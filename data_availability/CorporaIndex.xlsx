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3946" documentId="8_{0487008B-0CC1-4ED0-9867-7236AC6C4DB8}" xr6:coauthVersionLast="47" xr6:coauthVersionMax="47" xr10:uidLastSave="{60B62517-9702-4496-95CF-A454DBB147A5}"/>
  <bookViews>
    <workbookView xWindow="9888" yWindow="4404" windowWidth="25812" windowHeight="19044" tabRatio="877" xr2:uid="{00000000-000D-0000-FFFF-FFFF00000000}"/>
  </bookViews>
  <sheets>
    <sheet name="Corpus B" sheetId="32" r:id="rId1"/>
    <sheet name="Corpus A" sheetId="30" r:id="rId2"/>
    <sheet name="Overview" sheetId="31" r:id="rId3"/>
    <sheet name="1. OP" sheetId="2" r:id="rId4"/>
    <sheet name="2. JSEL" sheetId="7" r:id="rId5"/>
    <sheet name="3. PSM" sheetId="12" r:id="rId6"/>
    <sheet name="4. SSP" sheetId="25" r:id="rId7"/>
    <sheet name="5. JSACI" sheetId="26" r:id="rId8"/>
    <sheet name="6. AIN" sheetId="15" r:id="rId9"/>
    <sheet name="7. MS" sheetId="13" r:id="rId10"/>
    <sheet name="8. DS" sheetId="24" r:id="rId11"/>
    <sheet name="9. RMF" sheetId="27" r:id="rId12"/>
    <sheet name="10. PCU" sheetId="2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1" l="1"/>
  <c r="L27" i="31"/>
  <c r="K27" i="31"/>
  <c r="J27" i="31"/>
  <c r="I27" i="31"/>
  <c r="H27" i="31"/>
  <c r="G27" i="31"/>
  <c r="F27" i="31"/>
  <c r="E27" i="31"/>
  <c r="D27" i="31"/>
  <c r="C27" i="31"/>
  <c r="L19" i="31"/>
  <c r="K19" i="31"/>
  <c r="J19" i="31"/>
  <c r="I19" i="31"/>
  <c r="H19" i="31"/>
  <c r="G19" i="31"/>
  <c r="F19" i="31"/>
  <c r="E19" i="31"/>
  <c r="D19" i="31"/>
  <c r="C19" i="31"/>
  <c r="L11" i="31"/>
  <c r="K11" i="31"/>
  <c r="J11" i="31"/>
  <c r="I11" i="31"/>
  <c r="H11" i="31"/>
  <c r="G11" i="31"/>
  <c r="F11" i="31"/>
  <c r="E11" i="31"/>
  <c r="D11" i="31"/>
  <c r="C11" i="31"/>
  <c r="L26" i="31"/>
  <c r="K26" i="31"/>
  <c r="J26" i="31"/>
  <c r="I26" i="31"/>
  <c r="H26" i="31"/>
  <c r="G26" i="31"/>
  <c r="F26" i="31"/>
  <c r="E26" i="31"/>
  <c r="D26" i="31"/>
  <c r="C26" i="31"/>
  <c r="L25" i="31"/>
  <c r="K25" i="31"/>
  <c r="J25" i="31"/>
  <c r="I25" i="31"/>
  <c r="H25" i="31"/>
  <c r="G25" i="31"/>
  <c r="F25" i="31"/>
  <c r="E25" i="31"/>
  <c r="D25" i="31"/>
  <c r="C25" i="31"/>
  <c r="L24" i="31"/>
  <c r="K24" i="31"/>
  <c r="J24" i="31"/>
  <c r="I24" i="31"/>
  <c r="H24" i="31"/>
  <c r="G24" i="31"/>
  <c r="F24" i="31"/>
  <c r="E24" i="31"/>
  <c r="D24" i="31"/>
  <c r="C24" i="31"/>
  <c r="L18" i="31"/>
  <c r="K18" i="31"/>
  <c r="J18" i="31"/>
  <c r="I18" i="31"/>
  <c r="H18" i="31"/>
  <c r="G18" i="31"/>
  <c r="F18" i="31"/>
  <c r="E18" i="31"/>
  <c r="D18" i="31"/>
  <c r="C18" i="31"/>
  <c r="L17" i="31"/>
  <c r="K17" i="31"/>
  <c r="J17" i="31"/>
  <c r="I17" i="31"/>
  <c r="H17" i="31"/>
  <c r="G17" i="31"/>
  <c r="F17" i="31"/>
  <c r="E17" i="31"/>
  <c r="D17" i="31"/>
  <c r="C17" i="31"/>
  <c r="L16" i="31"/>
  <c r="K16" i="31"/>
  <c r="J16" i="31"/>
  <c r="I16" i="31"/>
  <c r="H16" i="31"/>
  <c r="G16" i="31"/>
  <c r="F16" i="31"/>
  <c r="E16" i="31"/>
  <c r="D16" i="31"/>
  <c r="C16" i="31"/>
  <c r="L5" i="31"/>
  <c r="K5" i="31"/>
  <c r="J5" i="31"/>
  <c r="I5" i="31"/>
  <c r="H5" i="31"/>
  <c r="G5" i="31"/>
  <c r="F5" i="31"/>
  <c r="E5" i="31"/>
  <c r="D5" i="31"/>
  <c r="C5" i="31"/>
  <c r="L4" i="31" a="1"/>
  <c r="L4" i="31" s="1"/>
  <c r="K4" i="31" a="1"/>
  <c r="K4" i="31" s="1"/>
  <c r="J4" i="31" a="1"/>
  <c r="J4" i="31" s="1"/>
  <c r="I4" i="31" a="1"/>
  <c r="I4" i="31" s="1"/>
  <c r="H4" i="31" a="1"/>
  <c r="H4" i="31" s="1"/>
  <c r="G4" i="31" a="1"/>
  <c r="G4" i="31" s="1"/>
  <c r="F4" i="31" a="1"/>
  <c r="F4" i="31" s="1"/>
  <c r="E4" i="31" a="1"/>
  <c r="E4" i="31" s="1"/>
  <c r="D4" i="31" a="1"/>
  <c r="D4" i="31" s="1"/>
  <c r="C4" i="31" a="1"/>
  <c r="C4" i="31" s="1"/>
  <c r="H445" i="25" a="1"/>
  <c r="H445" i="25" s="1"/>
  <c r="H446" i="25" a="1"/>
  <c r="H446" i="25" s="1"/>
  <c r="H447" i="25" a="1"/>
  <c r="H447" i="25" s="1"/>
  <c r="H448" i="25" a="1"/>
  <c r="H448" i="25" s="1"/>
  <c r="H442" i="25" a="1"/>
  <c r="H442" i="25" s="1"/>
  <c r="H443" i="25" a="1"/>
  <c r="H443" i="25" s="1"/>
  <c r="H444" i="25" a="1"/>
  <c r="H444" i="25" s="1"/>
  <c r="H354" i="25" a="1"/>
  <c r="H354" i="25" s="1"/>
  <c r="H355" i="25" a="1"/>
  <c r="H355" i="25" s="1"/>
  <c r="H356" i="25" a="1"/>
  <c r="H356" i="25" s="1"/>
  <c r="H357" i="25" a="1"/>
  <c r="H357" i="25" s="1"/>
  <c r="H327" i="25" a="1"/>
  <c r="H327" i="25" s="1"/>
  <c r="H328" i="25" a="1"/>
  <c r="H328" i="25" s="1"/>
  <c r="H329" i="25" a="1"/>
  <c r="H329" i="25" s="1"/>
  <c r="H330" i="25" a="1"/>
  <c r="H330" i="25" s="1"/>
  <c r="H331" i="25" a="1"/>
  <c r="H331" i="25" s="1"/>
  <c r="H332" i="25" a="1"/>
  <c r="H332" i="25" s="1"/>
  <c r="H333" i="25" a="1"/>
  <c r="H333" i="25" s="1"/>
  <c r="H204" i="2" a="1"/>
  <c r="H204" i="2" s="1"/>
  <c r="H205" i="2" a="1"/>
  <c r="H205" i="2" s="1"/>
  <c r="H206" i="2" a="1"/>
  <c r="H206" i="2" s="1"/>
  <c r="H207" i="2" a="1"/>
  <c r="H207" i="2" s="1"/>
  <c r="H208" i="2" a="1"/>
  <c r="H208" i="2" s="1"/>
  <c r="H209" i="2" a="1"/>
  <c r="H209" i="2" s="1"/>
  <c r="H396" i="27" a="1"/>
  <c r="H396" i="27" s="1"/>
  <c r="H397" i="27" a="1"/>
  <c r="H397" i="27" s="1"/>
  <c r="H398" i="27" a="1"/>
  <c r="H398" i="27" s="1"/>
  <c r="H399" i="27" a="1"/>
  <c r="H399" i="27" s="1"/>
  <c r="H400" i="27" a="1"/>
  <c r="H400" i="27" s="1"/>
  <c r="H401" i="27" a="1"/>
  <c r="H401" i="27" s="1"/>
  <c r="H402" i="27" a="1"/>
  <c r="H402" i="27" s="1"/>
  <c r="H403" i="27" a="1"/>
  <c r="H403" i="27" s="1"/>
  <c r="H404" i="27" a="1"/>
  <c r="H404" i="27" s="1"/>
  <c r="H405" i="27" a="1"/>
  <c r="H405" i="27" s="1"/>
  <c r="H406" i="27" a="1"/>
  <c r="H406" i="27" s="1"/>
  <c r="H387" i="27" a="1"/>
  <c r="H387" i="27" s="1"/>
  <c r="H388" i="27" a="1"/>
  <c r="H388" i="27" s="1"/>
  <c r="H389" i="27" a="1"/>
  <c r="H389" i="27" s="1"/>
  <c r="H390" i="27" a="1"/>
  <c r="H390" i="27" s="1"/>
  <c r="H391" i="27" a="1"/>
  <c r="H391" i="27" s="1"/>
  <c r="H392" i="27" a="1"/>
  <c r="H392" i="27" s="1"/>
  <c r="H266" i="27" a="1"/>
  <c r="H266" i="27" s="1"/>
  <c r="H267" i="27" a="1"/>
  <c r="H267" i="27" s="1"/>
  <c r="H268" i="27" a="1"/>
  <c r="H268" i="27" s="1"/>
  <c r="H269" i="27" a="1"/>
  <c r="H269" i="27" s="1"/>
  <c r="H270" i="27" a="1"/>
  <c r="H270" i="27" s="1"/>
  <c r="H271" i="27" a="1"/>
  <c r="H271" i="27" s="1"/>
  <c r="H272" i="27" a="1"/>
  <c r="H272" i="27" s="1"/>
  <c r="H273" i="27" a="1"/>
  <c r="H273" i="27" s="1"/>
  <c r="H274" i="27" a="1"/>
  <c r="H274" i="27" s="1"/>
  <c r="H383" i="27" a="1"/>
  <c r="H383" i="27" s="1"/>
  <c r="H384" i="27" a="1"/>
  <c r="H384" i="27" s="1"/>
  <c r="H385" i="27" a="1"/>
  <c r="H385" i="27" s="1"/>
  <c r="H386" i="27" a="1"/>
  <c r="H386" i="27" s="1"/>
  <c r="H393" i="27" a="1"/>
  <c r="H393" i="27" s="1"/>
  <c r="H394" i="27" a="1"/>
  <c r="H394" i="27" s="1"/>
  <c r="H395" i="27" a="1"/>
  <c r="H395" i="27" s="1"/>
  <c r="H342" i="27" a="1"/>
  <c r="H342" i="27" s="1"/>
  <c r="H343" i="27" a="1"/>
  <c r="H343" i="27" s="1"/>
  <c r="H344" i="27" a="1"/>
  <c r="H344" i="27" s="1"/>
  <c r="H345" i="27" a="1"/>
  <c r="H345" i="27" s="1"/>
  <c r="H346" i="27" a="1"/>
  <c r="H346" i="27" s="1"/>
  <c r="H347" i="27" a="1"/>
  <c r="H347" i="27" s="1"/>
  <c r="H348" i="27" a="1"/>
  <c r="H348" i="27" s="1"/>
  <c r="H349" i="27" a="1"/>
  <c r="H349" i="27" s="1"/>
  <c r="H350" i="27" a="1"/>
  <c r="H350" i="27" s="1"/>
  <c r="H586" i="27" a="1"/>
  <c r="H586" i="27" s="1"/>
  <c r="H587" i="27" a="1"/>
  <c r="H587" i="27" s="1"/>
  <c r="H588" i="27" a="1"/>
  <c r="H588" i="27" s="1"/>
  <c r="H589" i="27" a="1"/>
  <c r="H589" i="27" s="1"/>
  <c r="H590" i="27" a="1"/>
  <c r="H590" i="27" s="1"/>
  <c r="H591" i="27" a="1"/>
  <c r="H591" i="27" s="1"/>
  <c r="H592" i="27" a="1"/>
  <c r="H592" i="27" s="1"/>
  <c r="H593" i="27" a="1"/>
  <c r="H593" i="27" s="1"/>
  <c r="H594" i="27" a="1"/>
  <c r="H594" i="27" s="1"/>
  <c r="H595" i="27" a="1"/>
  <c r="H595" i="27" s="1"/>
  <c r="H596" i="27" a="1"/>
  <c r="H596" i="27" s="1"/>
  <c r="H581" i="27" a="1"/>
  <c r="H581" i="27" s="1"/>
  <c r="H582" i="27" a="1"/>
  <c r="H582" i="27" s="1"/>
  <c r="H583" i="27" a="1"/>
  <c r="H583" i="27" s="1"/>
  <c r="H584" i="27" a="1"/>
  <c r="H584" i="27" s="1"/>
  <c r="H585" i="27" a="1"/>
  <c r="H585" i="27" s="1"/>
  <c r="H577" i="27" a="1"/>
  <c r="H577" i="27" s="1"/>
  <c r="H578" i="27" a="1"/>
  <c r="H578" i="27" s="1"/>
  <c r="H579" i="27" a="1"/>
  <c r="H579" i="27" s="1"/>
  <c r="H580" i="27" a="1"/>
  <c r="H580" i="27" s="1"/>
  <c r="H556" i="27" a="1"/>
  <c r="H556" i="27" s="1"/>
  <c r="H557" i="27" a="1"/>
  <c r="H557" i="27" s="1"/>
  <c r="H558" i="27" a="1"/>
  <c r="H558" i="27" s="1"/>
  <c r="H559" i="27" a="1"/>
  <c r="H559" i="27" s="1"/>
  <c r="H560" i="27" a="1"/>
  <c r="H560" i="27" s="1"/>
  <c r="H561" i="27" a="1"/>
  <c r="H561" i="27" s="1"/>
  <c r="H562" i="27" a="1"/>
  <c r="H562" i="27" s="1"/>
  <c r="H563" i="27" a="1"/>
  <c r="H563" i="27" s="1"/>
  <c r="H564" i="27" a="1"/>
  <c r="H564" i="27" s="1"/>
  <c r="H565" i="27" a="1"/>
  <c r="H565" i="27" s="1"/>
  <c r="H566" i="27" a="1"/>
  <c r="H566" i="27" s="1"/>
  <c r="H567" i="27" a="1"/>
  <c r="H567" i="27" s="1"/>
  <c r="H568" i="27" a="1"/>
  <c r="H568" i="27" s="1"/>
  <c r="H569" i="27" a="1"/>
  <c r="H569" i="27" s="1"/>
  <c r="H570" i="27" a="1"/>
  <c r="H570" i="27" s="1"/>
  <c r="H571" i="27" a="1"/>
  <c r="H571" i="27" s="1"/>
  <c r="H572" i="27" a="1"/>
  <c r="H572" i="27" s="1"/>
  <c r="H94" i="27" a="1"/>
  <c r="H94" i="27" s="1"/>
  <c r="H95" i="27" a="1"/>
  <c r="H95" i="27" s="1"/>
  <c r="H96" i="27" a="1"/>
  <c r="H96" i="27" s="1"/>
  <c r="H97" i="27" a="1"/>
  <c r="H97" i="27" s="1"/>
  <c r="H98" i="27" a="1"/>
  <c r="H98" i="27" s="1"/>
  <c r="H99" i="27" a="1"/>
  <c r="H99" i="27" s="1"/>
  <c r="H100" i="27" a="1"/>
  <c r="H100" i="27" s="1"/>
  <c r="H156" i="27" a="1"/>
  <c r="H156" i="27" s="1"/>
  <c r="H157" i="27" a="1"/>
  <c r="H157" i="27" s="1"/>
  <c r="H158" i="27" a="1"/>
  <c r="H158" i="27" s="1"/>
  <c r="H159" i="27" a="1"/>
  <c r="H159" i="27" s="1"/>
  <c r="H160" i="27" a="1"/>
  <c r="H160" i="27" s="1"/>
  <c r="H161" i="27" a="1"/>
  <c r="H161" i="27" s="1"/>
  <c r="H162" i="27" a="1"/>
  <c r="H162" i="27" s="1"/>
  <c r="H798" i="15" a="1"/>
  <c r="H798" i="15" s="1"/>
  <c r="H799" i="15" a="1"/>
  <c r="H799" i="15" s="1"/>
  <c r="H800" i="15" a="1"/>
  <c r="H800" i="15" s="1"/>
  <c r="H801" i="15" a="1"/>
  <c r="H801" i="15" s="1"/>
  <c r="H802" i="15" a="1"/>
  <c r="H802" i="15" s="1"/>
  <c r="H803" i="15" a="1"/>
  <c r="H803" i="15" s="1"/>
  <c r="H804" i="15" a="1"/>
  <c r="H804" i="15" s="1"/>
  <c r="H805" i="15" a="1"/>
  <c r="H805" i="15" s="1"/>
  <c r="H806" i="15" a="1"/>
  <c r="H806" i="15" s="1"/>
  <c r="H807" i="15" a="1"/>
  <c r="H807" i="15" s="1"/>
  <c r="H808" i="15" a="1"/>
  <c r="H808" i="15" s="1"/>
  <c r="H809" i="15" a="1"/>
  <c r="H809" i="15" s="1"/>
  <c r="H373" i="24" a="1"/>
  <c r="H373" i="24" s="1"/>
  <c r="H374" i="24" a="1"/>
  <c r="H374" i="24" s="1"/>
  <c r="H375" i="24" a="1"/>
  <c r="H375" i="24" s="1"/>
  <c r="H376" i="24" a="1"/>
  <c r="H376" i="24" s="1"/>
  <c r="H377" i="24" a="1"/>
  <c r="H377" i="24" s="1"/>
  <c r="H378" i="24" a="1"/>
  <c r="H378" i="24" s="1"/>
  <c r="H379" i="24" a="1"/>
  <c r="H379" i="24" s="1"/>
  <c r="H3" i="24" a="1"/>
  <c r="H3" i="24" s="1"/>
  <c r="H4" i="24" a="1"/>
  <c r="H4" i="24" s="1"/>
  <c r="H5" i="24" a="1"/>
  <c r="H5" i="24" s="1"/>
  <c r="H6" i="24" a="1"/>
  <c r="H6" i="24" s="1"/>
  <c r="H7" i="24" a="1"/>
  <c r="H7" i="24" s="1"/>
  <c r="H8" i="24" a="1"/>
  <c r="H8" i="24" s="1"/>
  <c r="H9" i="24" a="1"/>
  <c r="H9" i="24" s="1"/>
  <c r="H10" i="24" a="1"/>
  <c r="H10" i="24" s="1"/>
  <c r="H11" i="24" a="1"/>
  <c r="H11" i="24" s="1"/>
  <c r="H12" i="24" a="1"/>
  <c r="H12" i="24" s="1"/>
  <c r="H13" i="24" a="1"/>
  <c r="H13" i="24" s="1"/>
  <c r="H14" i="24" a="1"/>
  <c r="H14" i="24" s="1"/>
  <c r="H15" i="24" a="1"/>
  <c r="H15" i="24" s="1"/>
  <c r="H16" i="24" a="1"/>
  <c r="H16" i="24" s="1"/>
  <c r="H17" i="24" a="1"/>
  <c r="H17" i="24" s="1"/>
  <c r="H18" i="24" a="1"/>
  <c r="H18" i="24" s="1"/>
  <c r="H19" i="24" a="1"/>
  <c r="H19" i="24" s="1"/>
  <c r="H20" i="24" a="1"/>
  <c r="H20" i="24" s="1"/>
  <c r="H21" i="24" a="1"/>
  <c r="H21" i="24" s="1"/>
  <c r="H22" i="24" a="1"/>
  <c r="H22" i="24" s="1"/>
  <c r="H23" i="24" a="1"/>
  <c r="H23" i="24" s="1"/>
  <c r="H24" i="24" a="1"/>
  <c r="H24" i="24" s="1"/>
  <c r="H25" i="24" a="1"/>
  <c r="H25" i="24" s="1"/>
  <c r="H26" i="24" a="1"/>
  <c r="H26" i="24" s="1"/>
  <c r="H27" i="24" a="1"/>
  <c r="H27" i="24" s="1"/>
  <c r="H28" i="24" a="1"/>
  <c r="H28" i="24" s="1"/>
  <c r="H29" i="24" a="1"/>
  <c r="H29" i="24" s="1"/>
  <c r="H30" i="24" a="1"/>
  <c r="H30" i="24" s="1"/>
  <c r="H31" i="24" a="1"/>
  <c r="H31" i="24" s="1"/>
  <c r="H32" i="24" a="1"/>
  <c r="H32" i="24" s="1"/>
  <c r="H33" i="24" a="1"/>
  <c r="H33" i="24" s="1"/>
  <c r="H34" i="24" a="1"/>
  <c r="H34" i="24" s="1"/>
  <c r="H35" i="24" a="1"/>
  <c r="H35" i="24" s="1"/>
  <c r="H36" i="24" a="1"/>
  <c r="H36" i="24" s="1"/>
  <c r="H37" i="24" a="1"/>
  <c r="H37" i="24" s="1"/>
  <c r="H38" i="24" a="1"/>
  <c r="H38" i="24" s="1"/>
  <c r="H39" i="24" a="1"/>
  <c r="H39" i="24" s="1"/>
  <c r="H40" i="24" a="1"/>
  <c r="H40" i="24" s="1"/>
  <c r="H41" i="24" a="1"/>
  <c r="H41" i="24" s="1"/>
  <c r="H42" i="24" a="1"/>
  <c r="H42" i="24" s="1"/>
  <c r="H43" i="24" a="1"/>
  <c r="H43" i="24" s="1"/>
  <c r="H44" i="24" a="1"/>
  <c r="H44" i="24" s="1"/>
  <c r="H45" i="24" a="1"/>
  <c r="H45" i="24" s="1"/>
  <c r="H46" i="24" a="1"/>
  <c r="H46" i="24" s="1"/>
  <c r="H47" i="24" a="1"/>
  <c r="H47" i="24" s="1"/>
  <c r="H48" i="24" a="1"/>
  <c r="H48" i="24" s="1"/>
  <c r="H49" i="24" a="1"/>
  <c r="H49" i="24" s="1"/>
  <c r="H50" i="24" a="1"/>
  <c r="H50" i="24" s="1"/>
  <c r="H51" i="24" a="1"/>
  <c r="H51" i="24" s="1"/>
  <c r="H52" i="24" a="1"/>
  <c r="H52" i="24" s="1"/>
  <c r="H53" i="24" a="1"/>
  <c r="H53" i="24" s="1"/>
  <c r="H54" i="24" a="1"/>
  <c r="H54" i="24" s="1"/>
  <c r="H55" i="24" a="1"/>
  <c r="H55" i="24" s="1"/>
  <c r="H56" i="24" a="1"/>
  <c r="H56" i="24" s="1"/>
  <c r="H57" i="24" a="1"/>
  <c r="H57" i="24" s="1"/>
  <c r="H58" i="24" a="1"/>
  <c r="H58" i="24" s="1"/>
  <c r="H59" i="24" a="1"/>
  <c r="H59" i="24" s="1"/>
  <c r="H60" i="24" a="1"/>
  <c r="H60" i="24" s="1"/>
  <c r="H61" i="24" a="1"/>
  <c r="H61" i="24" s="1"/>
  <c r="H62" i="24" a="1"/>
  <c r="H62" i="24" s="1"/>
  <c r="H63" i="24" a="1"/>
  <c r="H63" i="24" s="1"/>
  <c r="H64" i="24" a="1"/>
  <c r="H64" i="24" s="1"/>
  <c r="H65" i="24" a="1"/>
  <c r="H65" i="24" s="1"/>
  <c r="H66" i="24" a="1"/>
  <c r="H66" i="24" s="1"/>
  <c r="H67" i="24" a="1"/>
  <c r="H67" i="24" s="1"/>
  <c r="H68" i="24" a="1"/>
  <c r="H68" i="24" s="1"/>
  <c r="H69" i="24" a="1"/>
  <c r="H69" i="24" s="1"/>
  <c r="H70" i="24" a="1"/>
  <c r="H70" i="24" s="1"/>
  <c r="H71" i="24" a="1"/>
  <c r="H71" i="24" s="1"/>
  <c r="H72" i="24" a="1"/>
  <c r="H72" i="24" s="1"/>
  <c r="H73" i="24" a="1"/>
  <c r="H73" i="24" s="1"/>
  <c r="H74" i="24" a="1"/>
  <c r="H74" i="24" s="1"/>
  <c r="H75" i="24" a="1"/>
  <c r="H75" i="24" s="1"/>
  <c r="H76" i="24" a="1"/>
  <c r="H76" i="24" s="1"/>
  <c r="H77" i="24" a="1"/>
  <c r="H77" i="24" s="1"/>
  <c r="H78" i="24" a="1"/>
  <c r="H78" i="24" s="1"/>
  <c r="H79" i="24" a="1"/>
  <c r="H79" i="24" s="1"/>
  <c r="H80" i="24" a="1"/>
  <c r="H80" i="24" s="1"/>
  <c r="H81" i="24" a="1"/>
  <c r="H81" i="24" s="1"/>
  <c r="H82" i="24" a="1"/>
  <c r="H82" i="24" s="1"/>
  <c r="H83" i="24" a="1"/>
  <c r="H83" i="24" s="1"/>
  <c r="H84" i="24" a="1"/>
  <c r="H84" i="24" s="1"/>
  <c r="H85" i="24" a="1"/>
  <c r="H85" i="24" s="1"/>
  <c r="H86" i="24" a="1"/>
  <c r="H86" i="24" s="1"/>
  <c r="H87" i="24" a="1"/>
  <c r="H87" i="24" s="1"/>
  <c r="H88" i="24" a="1"/>
  <c r="H88" i="24" s="1"/>
  <c r="H89" i="24" a="1"/>
  <c r="H89" i="24" s="1"/>
  <c r="H90" i="24" a="1"/>
  <c r="H90" i="24" s="1"/>
  <c r="H91" i="24" a="1"/>
  <c r="H91" i="24" s="1"/>
  <c r="H92" i="24" a="1"/>
  <c r="H92" i="24" s="1"/>
  <c r="H93" i="24" a="1"/>
  <c r="H93" i="24" s="1"/>
  <c r="H94" i="24" a="1"/>
  <c r="H94" i="24" s="1"/>
  <c r="H95" i="24" a="1"/>
  <c r="H95" i="24" s="1"/>
  <c r="H96" i="24" a="1"/>
  <c r="H96" i="24" s="1"/>
  <c r="H97" i="24" a="1"/>
  <c r="H97" i="24" s="1"/>
  <c r="H98" i="24" a="1"/>
  <c r="H98" i="24" s="1"/>
  <c r="H99" i="24" a="1"/>
  <c r="H99" i="24" s="1"/>
  <c r="H100" i="24" a="1"/>
  <c r="H100" i="24" s="1"/>
  <c r="H101" i="24" a="1"/>
  <c r="H101" i="24" s="1"/>
  <c r="H102" i="24" a="1"/>
  <c r="H102" i="24" s="1"/>
  <c r="H103" i="24" a="1"/>
  <c r="H103" i="24" s="1"/>
  <c r="H104" i="24" a="1"/>
  <c r="H104" i="24" s="1"/>
  <c r="H105" i="24" a="1"/>
  <c r="H105" i="24" s="1"/>
  <c r="H106" i="24" a="1"/>
  <c r="H106" i="24" s="1"/>
  <c r="H107" i="24" a="1"/>
  <c r="H107" i="24" s="1"/>
  <c r="H108" i="24" a="1"/>
  <c r="H108" i="24" s="1"/>
  <c r="H109" i="24" a="1"/>
  <c r="H109" i="24" s="1"/>
  <c r="H110" i="24" a="1"/>
  <c r="H110" i="24" s="1"/>
  <c r="H111" i="24" a="1"/>
  <c r="H111" i="24" s="1"/>
  <c r="H112" i="24" a="1"/>
  <c r="H112" i="24" s="1"/>
  <c r="H113" i="24" a="1"/>
  <c r="H113" i="24" s="1"/>
  <c r="H114" i="24" a="1"/>
  <c r="H114" i="24" s="1"/>
  <c r="H115" i="24" a="1"/>
  <c r="H115" i="24" s="1"/>
  <c r="H116" i="24" a="1"/>
  <c r="H116" i="24" s="1"/>
  <c r="H117" i="24" a="1"/>
  <c r="H117" i="24" s="1"/>
  <c r="H118" i="24" a="1"/>
  <c r="H118" i="24" s="1"/>
  <c r="H119" i="24" a="1"/>
  <c r="H119" i="24" s="1"/>
  <c r="H120" i="24" a="1"/>
  <c r="H120" i="24" s="1"/>
  <c r="H121" i="24" a="1"/>
  <c r="H121" i="24" s="1"/>
  <c r="H122" i="24" a="1"/>
  <c r="H122" i="24" s="1"/>
  <c r="H123" i="24" a="1"/>
  <c r="H123" i="24" s="1"/>
  <c r="H124" i="24" a="1"/>
  <c r="H124" i="24" s="1"/>
  <c r="H125" i="24" a="1"/>
  <c r="H125" i="24" s="1"/>
  <c r="H126" i="24" a="1"/>
  <c r="H126" i="24" s="1"/>
  <c r="H127" i="24" a="1"/>
  <c r="H127" i="24" s="1"/>
  <c r="H128" i="24" a="1"/>
  <c r="H128" i="24" s="1"/>
  <c r="H129" i="24" a="1"/>
  <c r="H129" i="24" s="1"/>
  <c r="H130" i="24" a="1"/>
  <c r="H130" i="24" s="1"/>
  <c r="H131" i="24" a="1"/>
  <c r="H131" i="24" s="1"/>
  <c r="H132" i="24" a="1"/>
  <c r="H132" i="24" s="1"/>
  <c r="H133" i="24" a="1"/>
  <c r="H133" i="24" s="1"/>
  <c r="H134" i="24" a="1"/>
  <c r="H134" i="24" s="1"/>
  <c r="H135" i="24" a="1"/>
  <c r="H135" i="24" s="1"/>
  <c r="H136" i="24" a="1"/>
  <c r="H136" i="24" s="1"/>
  <c r="H137" i="24" a="1"/>
  <c r="H137" i="24" s="1"/>
  <c r="H138" i="24" a="1"/>
  <c r="H138" i="24" s="1"/>
  <c r="H139" i="24" a="1"/>
  <c r="H139" i="24" s="1"/>
  <c r="H140" i="24" a="1"/>
  <c r="H140" i="24" s="1"/>
  <c r="H141" i="24" a="1"/>
  <c r="H141" i="24" s="1"/>
  <c r="H142" i="24" a="1"/>
  <c r="H142" i="24" s="1"/>
  <c r="H143" i="24" a="1"/>
  <c r="H143" i="24" s="1"/>
  <c r="H144" i="24" a="1"/>
  <c r="H144" i="24" s="1"/>
  <c r="H145" i="24" a="1"/>
  <c r="H145" i="24" s="1"/>
  <c r="H146" i="24" a="1"/>
  <c r="H146" i="24" s="1"/>
  <c r="H147" i="24" a="1"/>
  <c r="H147" i="24" s="1"/>
  <c r="H148" i="24" a="1"/>
  <c r="H148" i="24" s="1"/>
  <c r="H149" i="24" a="1"/>
  <c r="H149" i="24" s="1"/>
  <c r="H150" i="24" a="1"/>
  <c r="H150" i="24" s="1"/>
  <c r="H151" i="24" a="1"/>
  <c r="H151" i="24" s="1"/>
  <c r="H152" i="24" a="1"/>
  <c r="H152" i="24" s="1"/>
  <c r="H153" i="24" a="1"/>
  <c r="H153" i="24" s="1"/>
  <c r="H154" i="24" a="1"/>
  <c r="H154" i="24" s="1"/>
  <c r="H155" i="24" a="1"/>
  <c r="H155" i="24" s="1"/>
  <c r="H156" i="24" a="1"/>
  <c r="H156" i="24" s="1"/>
  <c r="H157" i="24" a="1"/>
  <c r="H157" i="24" s="1"/>
  <c r="H158" i="24" a="1"/>
  <c r="H158" i="24" s="1"/>
  <c r="H159" i="24" a="1"/>
  <c r="H159" i="24" s="1"/>
  <c r="H160" i="24" a="1"/>
  <c r="H160" i="24" s="1"/>
  <c r="H161" i="24" a="1"/>
  <c r="H161" i="24" s="1"/>
  <c r="H162" i="24" a="1"/>
  <c r="H162" i="24" s="1"/>
  <c r="H163" i="24" a="1"/>
  <c r="H163" i="24" s="1"/>
  <c r="H164" i="24" a="1"/>
  <c r="H164" i="24" s="1"/>
  <c r="H165" i="24" a="1"/>
  <c r="H165" i="24" s="1"/>
  <c r="H166" i="24" a="1"/>
  <c r="H166" i="24" s="1"/>
  <c r="H167" i="24" a="1"/>
  <c r="H167" i="24" s="1"/>
  <c r="H168" i="24" a="1"/>
  <c r="H168" i="24" s="1"/>
  <c r="H169" i="24" a="1"/>
  <c r="H169" i="24" s="1"/>
  <c r="H170" i="24" a="1"/>
  <c r="H170" i="24" s="1"/>
  <c r="H171" i="24" a="1"/>
  <c r="H171" i="24" s="1"/>
  <c r="H172" i="24" a="1"/>
  <c r="H172" i="24" s="1"/>
  <c r="H173" i="24" a="1"/>
  <c r="H173" i="24" s="1"/>
  <c r="H174" i="24" a="1"/>
  <c r="H174" i="24" s="1"/>
  <c r="H175" i="24" a="1"/>
  <c r="H175" i="24" s="1"/>
  <c r="H176" i="24" a="1"/>
  <c r="H176" i="24" s="1"/>
  <c r="H177" i="24" a="1"/>
  <c r="H177" i="24" s="1"/>
  <c r="H178" i="24" a="1"/>
  <c r="H178" i="24" s="1"/>
  <c r="H179" i="24" a="1"/>
  <c r="H179" i="24" s="1"/>
  <c r="H180" i="24" a="1"/>
  <c r="H180" i="24" s="1"/>
  <c r="H181" i="24" a="1"/>
  <c r="H181" i="24" s="1"/>
  <c r="H182" i="24" a="1"/>
  <c r="H182" i="24" s="1"/>
  <c r="H183" i="24" a="1"/>
  <c r="H183" i="24" s="1"/>
  <c r="H184" i="24" a="1"/>
  <c r="H184" i="24" s="1"/>
  <c r="H185" i="24" a="1"/>
  <c r="H185" i="24" s="1"/>
  <c r="H186" i="24" a="1"/>
  <c r="H186" i="24" s="1"/>
  <c r="H187" i="24" a="1"/>
  <c r="H187" i="24" s="1"/>
  <c r="H188" i="24" a="1"/>
  <c r="H188" i="24" s="1"/>
  <c r="H189" i="24" a="1"/>
  <c r="H189" i="24" s="1"/>
  <c r="H190" i="24" a="1"/>
  <c r="H190" i="24" s="1"/>
  <c r="H191" i="24" a="1"/>
  <c r="H191" i="24" s="1"/>
  <c r="H192" i="24" a="1"/>
  <c r="H192" i="24" s="1"/>
  <c r="H193" i="24" a="1"/>
  <c r="H193" i="24" s="1"/>
  <c r="H194" i="24" a="1"/>
  <c r="H194" i="24" s="1"/>
  <c r="H195" i="24" a="1"/>
  <c r="H195" i="24" s="1"/>
  <c r="H196" i="24" a="1"/>
  <c r="H196" i="24" s="1"/>
  <c r="H197" i="24" a="1"/>
  <c r="H197" i="24" s="1"/>
  <c r="H198" i="24" a="1"/>
  <c r="H198" i="24" s="1"/>
  <c r="H199" i="24" a="1"/>
  <c r="H199" i="24" s="1"/>
  <c r="H200" i="24" a="1"/>
  <c r="H200" i="24" s="1"/>
  <c r="H201" i="24" a="1"/>
  <c r="H201" i="24" s="1"/>
  <c r="H202" i="24" a="1"/>
  <c r="H202" i="24" s="1"/>
  <c r="H203" i="24" a="1"/>
  <c r="H203" i="24" s="1"/>
  <c r="H204" i="24" a="1"/>
  <c r="H204" i="24" s="1"/>
  <c r="H205" i="24" a="1"/>
  <c r="H205" i="24" s="1"/>
  <c r="H206" i="24" a="1"/>
  <c r="H206" i="24" s="1"/>
  <c r="H207" i="24" a="1"/>
  <c r="H207" i="24" s="1"/>
  <c r="H208" i="24" a="1"/>
  <c r="H208" i="24" s="1"/>
  <c r="H209" i="24" a="1"/>
  <c r="H209" i="24" s="1"/>
  <c r="H210" i="24" a="1"/>
  <c r="H210" i="24" s="1"/>
  <c r="H211" i="24" a="1"/>
  <c r="H211" i="24" s="1"/>
  <c r="H212" i="24" a="1"/>
  <c r="H212" i="24" s="1"/>
  <c r="H213" i="24" a="1"/>
  <c r="H213" i="24" s="1"/>
  <c r="H214" i="24" a="1"/>
  <c r="H214" i="24" s="1"/>
  <c r="H215" i="24" a="1"/>
  <c r="H215" i="24" s="1"/>
  <c r="H216" i="24" a="1"/>
  <c r="H216" i="24" s="1"/>
  <c r="H217" i="24" a="1"/>
  <c r="H217" i="24" s="1"/>
  <c r="H218" i="24" a="1"/>
  <c r="H218" i="24" s="1"/>
  <c r="H219" i="24" a="1"/>
  <c r="H219" i="24" s="1"/>
  <c r="H220" i="24" a="1"/>
  <c r="H220" i="24" s="1"/>
  <c r="H221" i="24" a="1"/>
  <c r="H221" i="24" s="1"/>
  <c r="H222" i="24" a="1"/>
  <c r="H222" i="24" s="1"/>
  <c r="H223" i="24" a="1"/>
  <c r="H223" i="24" s="1"/>
  <c r="H224" i="24" a="1"/>
  <c r="H224" i="24" s="1"/>
  <c r="H225" i="24" a="1"/>
  <c r="H225" i="24" s="1"/>
  <c r="H226" i="24" a="1"/>
  <c r="H226" i="24" s="1"/>
  <c r="H227" i="24" a="1"/>
  <c r="H227" i="24" s="1"/>
  <c r="H228" i="24" a="1"/>
  <c r="H228" i="24" s="1"/>
  <c r="H229" i="24" a="1"/>
  <c r="H229" i="24" s="1"/>
  <c r="H230" i="24" a="1"/>
  <c r="H230" i="24" s="1"/>
  <c r="H231" i="24" a="1"/>
  <c r="H231" i="24" s="1"/>
  <c r="H232" i="24" a="1"/>
  <c r="H232" i="24" s="1"/>
  <c r="H233" i="24" a="1"/>
  <c r="H233" i="24" s="1"/>
  <c r="H234" i="24" a="1"/>
  <c r="H234" i="24" s="1"/>
  <c r="H235" i="24" a="1"/>
  <c r="H235" i="24" s="1"/>
  <c r="H236" i="24" a="1"/>
  <c r="H236" i="24" s="1"/>
  <c r="H237" i="24" a="1"/>
  <c r="H237" i="24" s="1"/>
  <c r="H238" i="24" a="1"/>
  <c r="H238" i="24" s="1"/>
  <c r="H239" i="24" a="1"/>
  <c r="H239" i="24" s="1"/>
  <c r="H240" i="24" a="1"/>
  <c r="H240" i="24" s="1"/>
  <c r="H241" i="24" a="1"/>
  <c r="H241" i="24" s="1"/>
  <c r="H242" i="24" a="1"/>
  <c r="H242" i="24" s="1"/>
  <c r="H243" i="24" a="1"/>
  <c r="H243" i="24" s="1"/>
  <c r="H244" i="24" a="1"/>
  <c r="H244" i="24" s="1"/>
  <c r="H245" i="24" a="1"/>
  <c r="H245" i="24" s="1"/>
  <c r="H246" i="24" a="1"/>
  <c r="H246" i="24" s="1"/>
  <c r="H247" i="24" a="1"/>
  <c r="H247" i="24" s="1"/>
  <c r="H248" i="24" a="1"/>
  <c r="H248" i="24" s="1"/>
  <c r="H249" i="24" a="1"/>
  <c r="H249" i="24" s="1"/>
  <c r="H250" i="24" a="1"/>
  <c r="H250" i="24" s="1"/>
  <c r="H251" i="24" a="1"/>
  <c r="H251" i="24" s="1"/>
  <c r="H252" i="24" a="1"/>
  <c r="H252" i="24" s="1"/>
  <c r="H253" i="24" a="1"/>
  <c r="H253" i="24" s="1"/>
  <c r="H254" i="24" a="1"/>
  <c r="H254" i="24" s="1"/>
  <c r="H255" i="24" a="1"/>
  <c r="H255" i="24" s="1"/>
  <c r="H256" i="24" a="1"/>
  <c r="H256" i="24" s="1"/>
  <c r="H257" i="24" a="1"/>
  <c r="H257" i="24" s="1"/>
  <c r="H258" i="24" a="1"/>
  <c r="H258" i="24" s="1"/>
  <c r="H259" i="24" a="1"/>
  <c r="H259" i="24" s="1"/>
  <c r="H260" i="24" a="1"/>
  <c r="H260" i="24" s="1"/>
  <c r="H261" i="24" a="1"/>
  <c r="H261" i="24" s="1"/>
  <c r="H262" i="24" a="1"/>
  <c r="H262" i="24" s="1"/>
  <c r="H263" i="24" a="1"/>
  <c r="H263" i="24" s="1"/>
  <c r="H264" i="24" a="1"/>
  <c r="H264" i="24" s="1"/>
  <c r="H265" i="24" a="1"/>
  <c r="H265" i="24" s="1"/>
  <c r="H266" i="24" a="1"/>
  <c r="H266" i="24" s="1"/>
  <c r="H267" i="24" a="1"/>
  <c r="H267" i="24" s="1"/>
  <c r="H268" i="24" a="1"/>
  <c r="H268" i="24" s="1"/>
  <c r="H269" i="24" a="1"/>
  <c r="H269" i="24" s="1"/>
  <c r="H270" i="24" a="1"/>
  <c r="H270" i="24" s="1"/>
  <c r="H271" i="24" a="1"/>
  <c r="H271" i="24" s="1"/>
  <c r="H272" i="24" a="1"/>
  <c r="H272" i="24" s="1"/>
  <c r="H273" i="24" a="1"/>
  <c r="H273" i="24" s="1"/>
  <c r="H274" i="24" a="1"/>
  <c r="H274" i="24" s="1"/>
  <c r="H275" i="24" a="1"/>
  <c r="H275" i="24" s="1"/>
  <c r="H276" i="24" a="1"/>
  <c r="H276" i="24" s="1"/>
  <c r="H277" i="24" a="1"/>
  <c r="H277" i="24" s="1"/>
  <c r="H278" i="24" a="1"/>
  <c r="H278" i="24" s="1"/>
  <c r="H279" i="24" a="1"/>
  <c r="H279" i="24" s="1"/>
  <c r="H280" i="24" a="1"/>
  <c r="H280" i="24" s="1"/>
  <c r="H281" i="24" a="1"/>
  <c r="H281" i="24" s="1"/>
  <c r="H282" i="24" a="1"/>
  <c r="H282" i="24" s="1"/>
  <c r="H283" i="24" a="1"/>
  <c r="H283" i="24" s="1"/>
  <c r="H284" i="24" a="1"/>
  <c r="H284" i="24" s="1"/>
  <c r="H285" i="24" a="1"/>
  <c r="H285" i="24" s="1"/>
  <c r="H286" i="24" a="1"/>
  <c r="H286" i="24" s="1"/>
  <c r="H287" i="24" a="1"/>
  <c r="H287" i="24" s="1"/>
  <c r="H288" i="24" a="1"/>
  <c r="H288" i="24" s="1"/>
  <c r="H289" i="24" a="1"/>
  <c r="H289" i="24" s="1"/>
  <c r="H290" i="24" a="1"/>
  <c r="H290" i="24" s="1"/>
  <c r="H291" i="24" a="1"/>
  <c r="H291" i="24" s="1"/>
  <c r="H292" i="24" a="1"/>
  <c r="H292" i="24" s="1"/>
  <c r="H293" i="24" a="1"/>
  <c r="H293" i="24" s="1"/>
  <c r="H294" i="24" a="1"/>
  <c r="H294" i="24" s="1"/>
  <c r="H295" i="24" a="1"/>
  <c r="H295" i="24" s="1"/>
  <c r="H296" i="24" a="1"/>
  <c r="H296" i="24" s="1"/>
  <c r="H297" i="24" a="1"/>
  <c r="H297" i="24" s="1"/>
  <c r="H298" i="24" a="1"/>
  <c r="H298" i="24" s="1"/>
  <c r="H299" i="24" a="1"/>
  <c r="H299" i="24" s="1"/>
  <c r="H300" i="24" a="1"/>
  <c r="H300" i="24" s="1"/>
  <c r="H301" i="24" a="1"/>
  <c r="H301" i="24" s="1"/>
  <c r="H302" i="24" a="1"/>
  <c r="H302" i="24" s="1"/>
  <c r="H303" i="24" a="1"/>
  <c r="H303" i="24" s="1"/>
  <c r="H304" i="24" a="1"/>
  <c r="H304" i="24" s="1"/>
  <c r="H305" i="24" a="1"/>
  <c r="H305" i="24" s="1"/>
  <c r="H306" i="24" a="1"/>
  <c r="H306" i="24" s="1"/>
  <c r="H307" i="24" a="1"/>
  <c r="H307" i="24" s="1"/>
  <c r="H308" i="24" a="1"/>
  <c r="H308" i="24" s="1"/>
  <c r="H309" i="24" a="1"/>
  <c r="H309" i="24" s="1"/>
  <c r="H310" i="24" a="1"/>
  <c r="H310" i="24" s="1"/>
  <c r="H311" i="24" a="1"/>
  <c r="H311" i="24" s="1"/>
  <c r="H312" i="24" a="1"/>
  <c r="H312" i="24" s="1"/>
  <c r="H313" i="24" a="1"/>
  <c r="H313" i="24" s="1"/>
  <c r="H314" i="24" a="1"/>
  <c r="H314" i="24" s="1"/>
  <c r="H315" i="24" a="1"/>
  <c r="H315" i="24" s="1"/>
  <c r="H316" i="24" a="1"/>
  <c r="H316" i="24" s="1"/>
  <c r="H317" i="24" a="1"/>
  <c r="H317" i="24" s="1"/>
  <c r="H318" i="24" a="1"/>
  <c r="H318" i="24" s="1"/>
  <c r="H319" i="24" a="1"/>
  <c r="H319" i="24" s="1"/>
  <c r="H320" i="24" a="1"/>
  <c r="H320" i="24" s="1"/>
  <c r="H321" i="24" a="1"/>
  <c r="H321" i="24" s="1"/>
  <c r="H322" i="24" a="1"/>
  <c r="H322" i="24" s="1"/>
  <c r="H323" i="24" a="1"/>
  <c r="H323" i="24" s="1"/>
  <c r="H324" i="24" a="1"/>
  <c r="H324" i="24" s="1"/>
  <c r="H325" i="24" a="1"/>
  <c r="H325" i="24" s="1"/>
  <c r="H326" i="24" a="1"/>
  <c r="H326" i="24" s="1"/>
  <c r="H327" i="24" a="1"/>
  <c r="H327" i="24" s="1"/>
  <c r="H328" i="24" a="1"/>
  <c r="H328" i="24" s="1"/>
  <c r="H329" i="24" a="1"/>
  <c r="H329" i="24" s="1"/>
  <c r="H330" i="24" a="1"/>
  <c r="H330" i="24" s="1"/>
  <c r="H331" i="24" a="1"/>
  <c r="H331" i="24" s="1"/>
  <c r="H332" i="24" a="1"/>
  <c r="H332" i="24" s="1"/>
  <c r="H333" i="24" a="1"/>
  <c r="H333" i="24" s="1"/>
  <c r="H334" i="24" a="1"/>
  <c r="H334" i="24" s="1"/>
  <c r="H335" i="24" a="1"/>
  <c r="H335" i="24" s="1"/>
  <c r="H336" i="24" a="1"/>
  <c r="H336" i="24" s="1"/>
  <c r="H337" i="24" a="1"/>
  <c r="H337" i="24" s="1"/>
  <c r="H338" i="24" a="1"/>
  <c r="H338" i="24" s="1"/>
  <c r="H339" i="24" a="1"/>
  <c r="H339" i="24" s="1"/>
  <c r="H340" i="24" a="1"/>
  <c r="H340" i="24" s="1"/>
  <c r="H341" i="24" a="1"/>
  <c r="H341" i="24" s="1"/>
  <c r="H342" i="24" a="1"/>
  <c r="H342" i="24" s="1"/>
  <c r="H343" i="24" a="1"/>
  <c r="H343" i="24" s="1"/>
  <c r="H344" i="24" a="1"/>
  <c r="H344" i="24" s="1"/>
  <c r="H345" i="24" a="1"/>
  <c r="H345" i="24" s="1"/>
  <c r="H346" i="24" a="1"/>
  <c r="H346" i="24" s="1"/>
  <c r="H347" i="24" a="1"/>
  <c r="H347" i="24" s="1"/>
  <c r="H348" i="24" a="1"/>
  <c r="H348" i="24" s="1"/>
  <c r="H349" i="24" a="1"/>
  <c r="H349" i="24" s="1"/>
  <c r="H350" i="24" a="1"/>
  <c r="H350" i="24" s="1"/>
  <c r="H351" i="24" a="1"/>
  <c r="H351" i="24" s="1"/>
  <c r="H352" i="24" a="1"/>
  <c r="H352" i="24" s="1"/>
  <c r="H353" i="24" a="1"/>
  <c r="H353" i="24" s="1"/>
  <c r="H354" i="24" a="1"/>
  <c r="H354" i="24" s="1"/>
  <c r="H355" i="24" a="1"/>
  <c r="H355" i="24" s="1"/>
  <c r="H356" i="24" a="1"/>
  <c r="H356" i="24" s="1"/>
  <c r="H357" i="24" a="1"/>
  <c r="H357" i="24" s="1"/>
  <c r="H358" i="24" a="1"/>
  <c r="H358" i="24" s="1"/>
  <c r="H359" i="24" a="1"/>
  <c r="H359" i="24" s="1"/>
  <c r="H360" i="24" a="1"/>
  <c r="H360" i="24" s="1"/>
  <c r="H361" i="24" a="1"/>
  <c r="H361" i="24" s="1"/>
  <c r="H362" i="24" a="1"/>
  <c r="H362" i="24" s="1"/>
  <c r="H363" i="24" a="1"/>
  <c r="H363" i="24" s="1"/>
  <c r="H364" i="24" a="1"/>
  <c r="H364" i="24" s="1"/>
  <c r="H365" i="24" a="1"/>
  <c r="H365" i="24" s="1"/>
  <c r="H366" i="24" a="1"/>
  <c r="H366" i="24" s="1"/>
  <c r="H367" i="24" a="1"/>
  <c r="H367" i="24" s="1"/>
  <c r="H368" i="24" a="1"/>
  <c r="H368" i="24" s="1"/>
  <c r="H369" i="24" a="1"/>
  <c r="H369" i="24" s="1"/>
  <c r="H370" i="24" a="1"/>
  <c r="H370" i="24" s="1"/>
  <c r="H371" i="24" a="1"/>
  <c r="H371" i="24" s="1"/>
  <c r="H372" i="24" a="1"/>
  <c r="H372" i="24" s="1"/>
  <c r="H380" i="24" a="1"/>
  <c r="H380" i="24" s="1"/>
  <c r="H381" i="24" a="1"/>
  <c r="H381" i="24" s="1"/>
  <c r="H382" i="24" a="1"/>
  <c r="H382" i="24" s="1"/>
  <c r="H383" i="24" a="1"/>
  <c r="H383" i="24" s="1"/>
  <c r="H384" i="24" a="1"/>
  <c r="H384" i="24" s="1"/>
  <c r="H385" i="24" a="1"/>
  <c r="H385" i="24" s="1"/>
  <c r="H59" i="25" a="1"/>
  <c r="H59" i="25" s="1"/>
  <c r="H60" i="25" a="1"/>
  <c r="H60" i="25" s="1"/>
  <c r="H61" i="25" a="1"/>
  <c r="H61" i="25" s="1"/>
  <c r="H62" i="25" a="1"/>
  <c r="H62" i="25" s="1"/>
  <c r="H63" i="25" a="1"/>
  <c r="H63" i="25" s="1"/>
  <c r="H64" i="25" a="1"/>
  <c r="H64" i="25" s="1"/>
  <c r="H65" i="25" a="1"/>
  <c r="H65" i="25" s="1"/>
  <c r="H66" i="25" a="1"/>
  <c r="H66" i="25" s="1"/>
  <c r="H67" i="25" a="1"/>
  <c r="H67" i="25" s="1"/>
  <c r="H68" i="25" a="1"/>
  <c r="H68" i="25" s="1"/>
  <c r="H69" i="25" a="1"/>
  <c r="H69" i="25" s="1"/>
  <c r="I2296" i="32"/>
  <c r="I2297" i="32"/>
  <c r="I2298" i="32"/>
  <c r="I2299" i="32"/>
  <c r="I2300" i="32"/>
  <c r="I2301" i="32"/>
  <c r="I2302" i="32"/>
  <c r="I2303" i="32"/>
  <c r="I3" i="32"/>
  <c r="I4" i="32"/>
  <c r="I5" i="32"/>
  <c r="I6" i="32"/>
  <c r="I7" i="32"/>
  <c r="I8" i="32"/>
  <c r="I9" i="32"/>
  <c r="I10" i="32"/>
  <c r="I11" i="32"/>
  <c r="I12" i="32"/>
  <c r="I13" i="32"/>
  <c r="I14" i="32"/>
  <c r="I15" i="32"/>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69" i="32"/>
  <c r="I70" i="32"/>
  <c r="I71" i="32"/>
  <c r="I72" i="32"/>
  <c r="I73" i="32"/>
  <c r="I74" i="32"/>
  <c r="I75" i="32"/>
  <c r="I76" i="32"/>
  <c r="I77" i="32"/>
  <c r="I78" i="32"/>
  <c r="I79" i="32"/>
  <c r="I80" i="32"/>
  <c r="I81" i="32"/>
  <c r="I82" i="32"/>
  <c r="I83" i="32"/>
  <c r="I84" i="32"/>
  <c r="I85" i="32"/>
  <c r="I86" i="32"/>
  <c r="I87" i="32"/>
  <c r="I88" i="32"/>
  <c r="I89" i="32"/>
  <c r="I90" i="32"/>
  <c r="I91" i="32"/>
  <c r="I92" i="32"/>
  <c r="I93" i="32"/>
  <c r="I94" i="32"/>
  <c r="I95" i="32"/>
  <c r="I96" i="32"/>
  <c r="I97" i="32"/>
  <c r="I98" i="32"/>
  <c r="I99" i="32"/>
  <c r="I100" i="32"/>
  <c r="I101" i="32"/>
  <c r="I102" i="32"/>
  <c r="I103" i="32"/>
  <c r="I104" i="32"/>
  <c r="I105" i="32"/>
  <c r="I106" i="32"/>
  <c r="I107" i="32"/>
  <c r="I108" i="32"/>
  <c r="I109" i="32"/>
  <c r="I110" i="32"/>
  <c r="I111" i="32"/>
  <c r="I112" i="32"/>
  <c r="I113" i="32"/>
  <c r="I114" i="32"/>
  <c r="I115" i="32"/>
  <c r="I116" i="32"/>
  <c r="I117" i="32"/>
  <c r="I118" i="32"/>
  <c r="I119" i="32"/>
  <c r="I120" i="32"/>
  <c r="I121" i="32"/>
  <c r="I122" i="32"/>
  <c r="I123" i="32"/>
  <c r="I124" i="32"/>
  <c r="I125" i="32"/>
  <c r="I126" i="32"/>
  <c r="I127" i="32"/>
  <c r="I128" i="32"/>
  <c r="I129" i="32"/>
  <c r="I130" i="32"/>
  <c r="I131" i="32"/>
  <c r="I132" i="32"/>
  <c r="I133" i="32"/>
  <c r="I134" i="32"/>
  <c r="I135" i="32"/>
  <c r="I136" i="32"/>
  <c r="I137" i="32"/>
  <c r="I138" i="32"/>
  <c r="I139" i="32"/>
  <c r="I140" i="32"/>
  <c r="I141" i="32"/>
  <c r="I142" i="32"/>
  <c r="I143" i="32"/>
  <c r="I144" i="32"/>
  <c r="I145" i="32"/>
  <c r="I146" i="32"/>
  <c r="I147" i="32"/>
  <c r="I148" i="32"/>
  <c r="I149" i="32"/>
  <c r="I150" i="32"/>
  <c r="I151" i="32"/>
  <c r="I152" i="32"/>
  <c r="I153" i="32"/>
  <c r="I154" i="32"/>
  <c r="I155" i="32"/>
  <c r="I156" i="32"/>
  <c r="I157" i="32"/>
  <c r="I158" i="32"/>
  <c r="I159" i="32"/>
  <c r="I160" i="32"/>
  <c r="I161" i="32"/>
  <c r="I162" i="32"/>
  <c r="I163" i="32"/>
  <c r="I164" i="32"/>
  <c r="I165" i="32"/>
  <c r="I166" i="32"/>
  <c r="I167" i="32"/>
  <c r="I168" i="32"/>
  <c r="I169" i="32"/>
  <c r="I170" i="32"/>
  <c r="I171" i="32"/>
  <c r="I172" i="32"/>
  <c r="I173" i="32"/>
  <c r="I174" i="32"/>
  <c r="I175" i="32"/>
  <c r="I176" i="32"/>
  <c r="I177" i="32"/>
  <c r="I178" i="32"/>
  <c r="I179" i="32"/>
  <c r="I180" i="32"/>
  <c r="I181" i="32"/>
  <c r="I182" i="32"/>
  <c r="I183" i="32"/>
  <c r="I184" i="32"/>
  <c r="I185" i="32"/>
  <c r="I186" i="32"/>
  <c r="I187" i="32"/>
  <c r="I188" i="32"/>
  <c r="I189" i="32"/>
  <c r="I190" i="32"/>
  <c r="I191" i="32"/>
  <c r="I192" i="32"/>
  <c r="I193" i="32"/>
  <c r="I194" i="32"/>
  <c r="I195" i="32"/>
  <c r="I196" i="32"/>
  <c r="I197" i="32"/>
  <c r="I198" i="32"/>
  <c r="I199" i="32"/>
  <c r="I200" i="32"/>
  <c r="I201" i="32"/>
  <c r="I202" i="32"/>
  <c r="I203" i="32"/>
  <c r="I204" i="32"/>
  <c r="I205" i="32"/>
  <c r="I206" i="32"/>
  <c r="I207" i="32"/>
  <c r="I208" i="32"/>
  <c r="I209" i="32"/>
  <c r="I210" i="32"/>
  <c r="I211" i="32"/>
  <c r="I212" i="32"/>
  <c r="I213" i="32"/>
  <c r="I214" i="32"/>
  <c r="I215" i="32"/>
  <c r="I216" i="32"/>
  <c r="I217" i="32"/>
  <c r="I218" i="32"/>
  <c r="I219" i="32"/>
  <c r="I220" i="32"/>
  <c r="I221" i="32"/>
  <c r="I222" i="32"/>
  <c r="I223" i="32"/>
  <c r="I224" i="32"/>
  <c r="I225" i="32"/>
  <c r="I226" i="32"/>
  <c r="I227" i="32"/>
  <c r="I228" i="32"/>
  <c r="I229" i="32"/>
  <c r="I230" i="32"/>
  <c r="I231" i="32"/>
  <c r="I232" i="32"/>
  <c r="I233" i="32"/>
  <c r="I234" i="32"/>
  <c r="I235" i="32"/>
  <c r="I236" i="32"/>
  <c r="I237" i="32"/>
  <c r="I238" i="32"/>
  <c r="I239" i="32"/>
  <c r="I240" i="32"/>
  <c r="I241" i="32"/>
  <c r="I242" i="32"/>
  <c r="I243" i="32"/>
  <c r="I244" i="32"/>
  <c r="I245" i="32"/>
  <c r="I246" i="32"/>
  <c r="I247" i="32"/>
  <c r="I248" i="32"/>
  <c r="I249" i="32"/>
  <c r="I250" i="32"/>
  <c r="I251" i="32"/>
  <c r="I252" i="32"/>
  <c r="I253" i="32"/>
  <c r="I254" i="32"/>
  <c r="I255" i="32"/>
  <c r="I256" i="32"/>
  <c r="I257" i="32"/>
  <c r="I258" i="32"/>
  <c r="I259" i="32"/>
  <c r="I260" i="32"/>
  <c r="I261" i="32"/>
  <c r="I262" i="32"/>
  <c r="I263" i="32"/>
  <c r="I264" i="32"/>
  <c r="I265" i="32"/>
  <c r="I266" i="32"/>
  <c r="I267" i="32"/>
  <c r="I268" i="32"/>
  <c r="I269" i="32"/>
  <c r="I270" i="32"/>
  <c r="I271" i="32"/>
  <c r="I272" i="32"/>
  <c r="I273" i="32"/>
  <c r="I274" i="32"/>
  <c r="I275" i="32"/>
  <c r="I276" i="32"/>
  <c r="I277" i="32"/>
  <c r="I278" i="32"/>
  <c r="I279" i="32"/>
  <c r="I280" i="32"/>
  <c r="I281" i="32"/>
  <c r="I282" i="32"/>
  <c r="I283" i="32"/>
  <c r="I284" i="32"/>
  <c r="I285" i="32"/>
  <c r="I286" i="32"/>
  <c r="I287" i="32"/>
  <c r="I288" i="32"/>
  <c r="I289" i="32"/>
  <c r="I290" i="32"/>
  <c r="I291" i="32"/>
  <c r="I292" i="32"/>
  <c r="I293" i="32"/>
  <c r="I294" i="32"/>
  <c r="I295" i="32"/>
  <c r="I296" i="32"/>
  <c r="I297" i="32"/>
  <c r="I298" i="32"/>
  <c r="I299" i="32"/>
  <c r="I300" i="32"/>
  <c r="I301" i="32"/>
  <c r="I302" i="32"/>
  <c r="I303" i="32"/>
  <c r="I304" i="32"/>
  <c r="I305" i="32"/>
  <c r="I306" i="32"/>
  <c r="I307" i="32"/>
  <c r="I308" i="32"/>
  <c r="I309" i="32"/>
  <c r="I310" i="32"/>
  <c r="I311" i="32"/>
  <c r="I312" i="32"/>
  <c r="I313" i="32"/>
  <c r="I314" i="32"/>
  <c r="I315" i="32"/>
  <c r="I316" i="32"/>
  <c r="I317" i="32"/>
  <c r="I318" i="32"/>
  <c r="I319" i="32"/>
  <c r="I320" i="32"/>
  <c r="I321" i="32"/>
  <c r="I322" i="32"/>
  <c r="I323" i="32"/>
  <c r="I324" i="32"/>
  <c r="I325" i="32"/>
  <c r="I326" i="32"/>
  <c r="I327" i="32"/>
  <c r="I328" i="32"/>
  <c r="I329" i="32"/>
  <c r="I330" i="32"/>
  <c r="I331" i="32"/>
  <c r="I332" i="32"/>
  <c r="I333" i="32"/>
  <c r="I334" i="32"/>
  <c r="I335" i="32"/>
  <c r="I336" i="32"/>
  <c r="I337" i="32"/>
  <c r="I338" i="32"/>
  <c r="I339" i="32"/>
  <c r="I340" i="32"/>
  <c r="I341" i="32"/>
  <c r="I342" i="32"/>
  <c r="I343" i="32"/>
  <c r="I344" i="32"/>
  <c r="I345" i="32"/>
  <c r="I346" i="32"/>
  <c r="I347" i="32"/>
  <c r="I348" i="32"/>
  <c r="I349" i="32"/>
  <c r="I350" i="32"/>
  <c r="I351" i="32"/>
  <c r="I352" i="32"/>
  <c r="I353" i="32"/>
  <c r="I354" i="32"/>
  <c r="I355" i="32"/>
  <c r="I356" i="32"/>
  <c r="I357" i="32"/>
  <c r="I358" i="32"/>
  <c r="I359" i="32"/>
  <c r="I360" i="32"/>
  <c r="I361" i="32"/>
  <c r="I362" i="32"/>
  <c r="I363" i="32"/>
  <c r="I364" i="32"/>
  <c r="I365" i="32"/>
  <c r="I366" i="32"/>
  <c r="I367" i="32"/>
  <c r="I368" i="32"/>
  <c r="I369" i="32"/>
  <c r="I370" i="32"/>
  <c r="I371" i="32"/>
  <c r="I372" i="32"/>
  <c r="I373" i="32"/>
  <c r="I374" i="32"/>
  <c r="I375" i="32"/>
  <c r="I376" i="32"/>
  <c r="I377" i="32"/>
  <c r="I378" i="32"/>
  <c r="I379" i="32"/>
  <c r="I380" i="32"/>
  <c r="I381" i="32"/>
  <c r="I382" i="32"/>
  <c r="I383" i="32"/>
  <c r="I384" i="32"/>
  <c r="I385" i="32"/>
  <c r="I386" i="32"/>
  <c r="I387" i="32"/>
  <c r="I388" i="32"/>
  <c r="I389" i="32"/>
  <c r="I390" i="32"/>
  <c r="I391" i="32"/>
  <c r="I392" i="32"/>
  <c r="I393" i="32"/>
  <c r="I394" i="32"/>
  <c r="I395" i="32"/>
  <c r="I396" i="32"/>
  <c r="I397" i="32"/>
  <c r="I398" i="32"/>
  <c r="I399" i="32"/>
  <c r="I400" i="32"/>
  <c r="I401" i="32"/>
  <c r="I402" i="32"/>
  <c r="I403" i="32"/>
  <c r="I404" i="32"/>
  <c r="I405" i="32"/>
  <c r="I406" i="32"/>
  <c r="I407" i="32"/>
  <c r="I408" i="32"/>
  <c r="I409" i="32"/>
  <c r="I410" i="32"/>
  <c r="I411" i="32"/>
  <c r="I412" i="32"/>
  <c r="I413" i="32"/>
  <c r="I414" i="32"/>
  <c r="I415" i="32"/>
  <c r="I416" i="32"/>
  <c r="I417" i="32"/>
  <c r="I418" i="32"/>
  <c r="I419" i="32"/>
  <c r="I420" i="32"/>
  <c r="I421" i="32"/>
  <c r="I422" i="32"/>
  <c r="I423" i="32"/>
  <c r="I424" i="32"/>
  <c r="I425" i="32"/>
  <c r="I426" i="32"/>
  <c r="I427" i="32"/>
  <c r="I428" i="32"/>
  <c r="I429" i="32"/>
  <c r="I430" i="32"/>
  <c r="I431" i="32"/>
  <c r="I432" i="32"/>
  <c r="I433" i="32"/>
  <c r="I434" i="32"/>
  <c r="I435" i="32"/>
  <c r="I436" i="32"/>
  <c r="I437" i="32"/>
  <c r="I438" i="32"/>
  <c r="I439" i="32"/>
  <c r="I440" i="32"/>
  <c r="I441" i="32"/>
  <c r="I442" i="32"/>
  <c r="I443" i="32"/>
  <c r="I444" i="32"/>
  <c r="I445" i="32"/>
  <c r="I446" i="32"/>
  <c r="I447" i="32"/>
  <c r="I448" i="32"/>
  <c r="I449" i="32"/>
  <c r="I450" i="32"/>
  <c r="I451" i="32"/>
  <c r="I452" i="32"/>
  <c r="I453" i="32"/>
  <c r="I454" i="32"/>
  <c r="I455" i="32"/>
  <c r="I456" i="32"/>
  <c r="I457" i="32"/>
  <c r="I458" i="32"/>
  <c r="I459" i="32"/>
  <c r="I460" i="32"/>
  <c r="I461" i="32"/>
  <c r="I462" i="32"/>
  <c r="I463" i="32"/>
  <c r="I464" i="32"/>
  <c r="I465" i="32"/>
  <c r="I466" i="32"/>
  <c r="I467" i="32"/>
  <c r="I468" i="32"/>
  <c r="I469" i="32"/>
  <c r="I470" i="32"/>
  <c r="I471" i="32"/>
  <c r="I472" i="32"/>
  <c r="I473" i="32"/>
  <c r="I474" i="32"/>
  <c r="I475" i="32"/>
  <c r="I476" i="32"/>
  <c r="I477" i="32"/>
  <c r="I478" i="32"/>
  <c r="I479" i="32"/>
  <c r="I480" i="32"/>
  <c r="I481" i="32"/>
  <c r="I482" i="32"/>
  <c r="I483" i="32"/>
  <c r="I484" i="32"/>
  <c r="I485" i="32"/>
  <c r="I486" i="32"/>
  <c r="I487" i="32"/>
  <c r="I488" i="32"/>
  <c r="I489" i="32"/>
  <c r="I490" i="32"/>
  <c r="I491" i="32"/>
  <c r="I492" i="32"/>
  <c r="I493" i="32"/>
  <c r="I494" i="32"/>
  <c r="I495" i="32"/>
  <c r="I496" i="32"/>
  <c r="I497" i="32"/>
  <c r="I498" i="32"/>
  <c r="I499" i="32"/>
  <c r="I500" i="32"/>
  <c r="I501" i="32"/>
  <c r="I502" i="32"/>
  <c r="I503" i="32"/>
  <c r="I504" i="32"/>
  <c r="I505" i="32"/>
  <c r="I506" i="32"/>
  <c r="I507" i="32"/>
  <c r="I508" i="32"/>
  <c r="I509" i="32"/>
  <c r="I510" i="32"/>
  <c r="I511" i="32"/>
  <c r="I512" i="32"/>
  <c r="I513" i="32"/>
  <c r="I514" i="32"/>
  <c r="I515" i="32"/>
  <c r="I516" i="32"/>
  <c r="I517" i="32"/>
  <c r="I518" i="32"/>
  <c r="I519" i="32"/>
  <c r="I520" i="32"/>
  <c r="I521" i="32"/>
  <c r="I522" i="32"/>
  <c r="I523" i="32"/>
  <c r="I524" i="32"/>
  <c r="I525" i="32"/>
  <c r="I526" i="32"/>
  <c r="I527" i="32"/>
  <c r="I528" i="32"/>
  <c r="I529" i="32"/>
  <c r="I530" i="32"/>
  <c r="I531" i="32"/>
  <c r="I532" i="32"/>
  <c r="I533" i="32"/>
  <c r="I534" i="32"/>
  <c r="I535" i="32"/>
  <c r="I536" i="32"/>
  <c r="I537" i="32"/>
  <c r="I538" i="32"/>
  <c r="I539" i="32"/>
  <c r="I540" i="32"/>
  <c r="I541" i="32"/>
  <c r="I542" i="32"/>
  <c r="I543" i="32"/>
  <c r="I544" i="32"/>
  <c r="I545" i="32"/>
  <c r="I546" i="32"/>
  <c r="I547" i="32"/>
  <c r="I548" i="32"/>
  <c r="I549" i="32"/>
  <c r="I550" i="32"/>
  <c r="I551" i="32"/>
  <c r="I552" i="32"/>
  <c r="I553" i="32"/>
  <c r="I554" i="32"/>
  <c r="I555" i="32"/>
  <c r="I556" i="32"/>
  <c r="I557" i="32"/>
  <c r="I558" i="32"/>
  <c r="I559" i="32"/>
  <c r="I560" i="32"/>
  <c r="I561" i="32"/>
  <c r="I562" i="32"/>
  <c r="I563" i="32"/>
  <c r="I564" i="32"/>
  <c r="I565" i="32"/>
  <c r="I566" i="32"/>
  <c r="I567" i="32"/>
  <c r="I568" i="32"/>
  <c r="I569" i="32"/>
  <c r="I570" i="32"/>
  <c r="I571" i="32"/>
  <c r="I572" i="32"/>
  <c r="I573" i="32"/>
  <c r="I574" i="32"/>
  <c r="I575" i="32"/>
  <c r="I576" i="32"/>
  <c r="I577" i="32"/>
  <c r="I578" i="32"/>
  <c r="I579" i="32"/>
  <c r="I580" i="32"/>
  <c r="I581" i="32"/>
  <c r="I582" i="32"/>
  <c r="I583" i="32"/>
  <c r="I584" i="32"/>
  <c r="I585" i="32"/>
  <c r="I586" i="32"/>
  <c r="I587" i="32"/>
  <c r="I588" i="32"/>
  <c r="I589" i="32"/>
  <c r="I590" i="32"/>
  <c r="I591" i="32"/>
  <c r="I592" i="32"/>
  <c r="I593" i="32"/>
  <c r="I594" i="32"/>
  <c r="I595" i="32"/>
  <c r="I596" i="32"/>
  <c r="I597" i="32"/>
  <c r="I598" i="32"/>
  <c r="I599" i="32"/>
  <c r="I600" i="32"/>
  <c r="I601" i="32"/>
  <c r="I602" i="32"/>
  <c r="I603" i="32"/>
  <c r="I604" i="32"/>
  <c r="I605" i="32"/>
  <c r="I606" i="32"/>
  <c r="I607" i="32"/>
  <c r="I608" i="32"/>
  <c r="I609" i="32"/>
  <c r="I610" i="32"/>
  <c r="I611" i="32"/>
  <c r="I612" i="32"/>
  <c r="I613" i="32"/>
  <c r="I614" i="32"/>
  <c r="I615" i="32"/>
  <c r="I616" i="32"/>
  <c r="I617" i="32"/>
  <c r="I618" i="32"/>
  <c r="I619" i="32"/>
  <c r="I620" i="32"/>
  <c r="I621" i="32"/>
  <c r="I622" i="32"/>
  <c r="I623" i="32"/>
  <c r="I624" i="32"/>
  <c r="I625" i="32"/>
  <c r="I626" i="32"/>
  <c r="I627" i="32"/>
  <c r="I628" i="32"/>
  <c r="I629" i="32"/>
  <c r="I630" i="32"/>
  <c r="I631" i="32"/>
  <c r="I632" i="32"/>
  <c r="I633" i="32"/>
  <c r="I634" i="32"/>
  <c r="I635" i="32"/>
  <c r="I636" i="32"/>
  <c r="I637" i="32"/>
  <c r="I638" i="32"/>
  <c r="I639" i="32"/>
  <c r="I640" i="32"/>
  <c r="I641" i="32"/>
  <c r="I642" i="32"/>
  <c r="I643" i="32"/>
  <c r="I644" i="32"/>
  <c r="I645" i="32"/>
  <c r="I646" i="32"/>
  <c r="I647" i="32"/>
  <c r="I648" i="32"/>
  <c r="I649" i="32"/>
  <c r="I650" i="32"/>
  <c r="I651" i="32"/>
  <c r="I652" i="32"/>
  <c r="I653" i="32"/>
  <c r="I654" i="32"/>
  <c r="I655" i="32"/>
  <c r="I656" i="32"/>
  <c r="I657" i="32"/>
  <c r="I658" i="32"/>
  <c r="I659" i="32"/>
  <c r="I660" i="32"/>
  <c r="I661" i="32"/>
  <c r="I662" i="32"/>
  <c r="I663" i="32"/>
  <c r="I664" i="32"/>
  <c r="I665" i="32"/>
  <c r="I666" i="32"/>
  <c r="I667" i="32"/>
  <c r="I668" i="32"/>
  <c r="I669" i="32"/>
  <c r="I670" i="32"/>
  <c r="I671" i="32"/>
  <c r="I672" i="32"/>
  <c r="I673" i="32"/>
  <c r="I674" i="32"/>
  <c r="I675" i="32"/>
  <c r="I676" i="32"/>
  <c r="I677" i="32"/>
  <c r="I678" i="32"/>
  <c r="I679" i="32"/>
  <c r="I680" i="32"/>
  <c r="I681" i="32"/>
  <c r="I682" i="32"/>
  <c r="I683" i="32"/>
  <c r="I684" i="32"/>
  <c r="I685" i="32"/>
  <c r="I686" i="32"/>
  <c r="I687" i="32"/>
  <c r="I688" i="32"/>
  <c r="I689" i="32"/>
  <c r="I690" i="32"/>
  <c r="I691" i="32"/>
  <c r="I692" i="32"/>
  <c r="I693" i="32"/>
  <c r="I694" i="32"/>
  <c r="I695" i="32"/>
  <c r="I696" i="32"/>
  <c r="I697" i="32"/>
  <c r="I698" i="32"/>
  <c r="I699" i="32"/>
  <c r="I700" i="32"/>
  <c r="I701" i="32"/>
  <c r="I702" i="32"/>
  <c r="I703" i="32"/>
  <c r="I704" i="32"/>
  <c r="I705" i="32"/>
  <c r="I706" i="32"/>
  <c r="I707" i="32"/>
  <c r="I708" i="32"/>
  <c r="I709" i="32"/>
  <c r="I710" i="32"/>
  <c r="I711" i="32"/>
  <c r="I712" i="32"/>
  <c r="I713" i="32"/>
  <c r="I714" i="32"/>
  <c r="I715" i="32"/>
  <c r="I716" i="32"/>
  <c r="I717" i="32"/>
  <c r="I718" i="32"/>
  <c r="I719" i="32"/>
  <c r="I720" i="32"/>
  <c r="I721" i="32"/>
  <c r="I722" i="32"/>
  <c r="I723" i="32"/>
  <c r="I724" i="32"/>
  <c r="I725" i="32"/>
  <c r="I726" i="32"/>
  <c r="I727" i="32"/>
  <c r="I728" i="32"/>
  <c r="I729" i="32"/>
  <c r="I730" i="32"/>
  <c r="I731" i="32"/>
  <c r="I732" i="32"/>
  <c r="I733" i="32"/>
  <c r="I734" i="32"/>
  <c r="I735" i="32"/>
  <c r="I736" i="32"/>
  <c r="I737" i="32"/>
  <c r="I738" i="32"/>
  <c r="I739" i="32"/>
  <c r="I740" i="32"/>
  <c r="I741" i="32"/>
  <c r="I742" i="32"/>
  <c r="I743" i="32"/>
  <c r="I744" i="32"/>
  <c r="I745" i="32"/>
  <c r="I746" i="32"/>
  <c r="I747" i="32"/>
  <c r="I748" i="32"/>
  <c r="I749" i="32"/>
  <c r="I750" i="32"/>
  <c r="I751" i="32"/>
  <c r="I752" i="32"/>
  <c r="I753" i="32"/>
  <c r="I754" i="32"/>
  <c r="I755" i="32"/>
  <c r="I756" i="32"/>
  <c r="I757" i="32"/>
  <c r="I758" i="32"/>
  <c r="I759" i="32"/>
  <c r="I760" i="32"/>
  <c r="I761" i="32"/>
  <c r="I762" i="32"/>
  <c r="I763" i="32"/>
  <c r="I764" i="32"/>
  <c r="I765" i="32"/>
  <c r="I766" i="32"/>
  <c r="I767" i="32"/>
  <c r="I768" i="32"/>
  <c r="I769" i="32"/>
  <c r="I770" i="32"/>
  <c r="I771" i="32"/>
  <c r="I772" i="32"/>
  <c r="I773" i="32"/>
  <c r="I774" i="32"/>
  <c r="I775" i="32"/>
  <c r="I776" i="32"/>
  <c r="I777" i="32"/>
  <c r="I778" i="32"/>
  <c r="I779" i="32"/>
  <c r="I780" i="32"/>
  <c r="I781" i="32"/>
  <c r="I782" i="32"/>
  <c r="I783" i="32"/>
  <c r="I784" i="32"/>
  <c r="I785" i="32"/>
  <c r="I786" i="32"/>
  <c r="I787" i="32"/>
  <c r="I788" i="32"/>
  <c r="I789" i="32"/>
  <c r="I790" i="32"/>
  <c r="I791" i="32"/>
  <c r="I792" i="32"/>
  <c r="I793" i="32"/>
  <c r="I794" i="32"/>
  <c r="I795" i="32"/>
  <c r="I796" i="32"/>
  <c r="I797" i="32"/>
  <c r="I798" i="32"/>
  <c r="I799" i="32"/>
  <c r="I800" i="32"/>
  <c r="I801" i="32"/>
  <c r="I802" i="32"/>
  <c r="I803" i="32"/>
  <c r="I804" i="32"/>
  <c r="I805" i="32"/>
  <c r="I806" i="32"/>
  <c r="I807" i="32"/>
  <c r="I808" i="32"/>
  <c r="I809" i="32"/>
  <c r="I810" i="32"/>
  <c r="I811" i="32"/>
  <c r="I812" i="32"/>
  <c r="I813" i="32"/>
  <c r="I814" i="32"/>
  <c r="I815" i="32"/>
  <c r="I816" i="32"/>
  <c r="I817" i="32"/>
  <c r="I818" i="32"/>
  <c r="I819" i="32"/>
  <c r="I820" i="32"/>
  <c r="I821" i="32"/>
  <c r="I822" i="32"/>
  <c r="I823" i="32"/>
  <c r="I824" i="32"/>
  <c r="I825" i="32"/>
  <c r="I826" i="32"/>
  <c r="I827" i="32"/>
  <c r="I828" i="32"/>
  <c r="I829" i="32"/>
  <c r="I830" i="32"/>
  <c r="I831" i="32"/>
  <c r="I832" i="32"/>
  <c r="I833" i="32"/>
  <c r="I834" i="32"/>
  <c r="I835" i="32"/>
  <c r="I836" i="32"/>
  <c r="I837" i="32"/>
  <c r="I838" i="32"/>
  <c r="I839" i="32"/>
  <c r="I840" i="32"/>
  <c r="I841" i="32"/>
  <c r="I842" i="32"/>
  <c r="I843" i="32"/>
  <c r="I844" i="32"/>
  <c r="I845" i="32"/>
  <c r="I846" i="32"/>
  <c r="I847" i="32"/>
  <c r="I848" i="32"/>
  <c r="I849" i="32"/>
  <c r="I850" i="32"/>
  <c r="I851" i="32"/>
  <c r="I852" i="32"/>
  <c r="I853" i="32"/>
  <c r="I854" i="32"/>
  <c r="I855" i="32"/>
  <c r="I856" i="32"/>
  <c r="I857" i="32"/>
  <c r="I858" i="32"/>
  <c r="I859" i="32"/>
  <c r="I860" i="32"/>
  <c r="I861" i="32"/>
  <c r="I862" i="32"/>
  <c r="I863" i="32"/>
  <c r="I864" i="32"/>
  <c r="I865" i="32"/>
  <c r="I866" i="32"/>
  <c r="I867" i="32"/>
  <c r="I868" i="32"/>
  <c r="I869" i="32"/>
  <c r="I870" i="32"/>
  <c r="I871" i="32"/>
  <c r="I872" i="32"/>
  <c r="I873" i="32"/>
  <c r="I874" i="32"/>
  <c r="I875" i="32"/>
  <c r="I876" i="32"/>
  <c r="I877" i="32"/>
  <c r="I878" i="32"/>
  <c r="I879" i="32"/>
  <c r="I880" i="32"/>
  <c r="I881" i="32"/>
  <c r="I882" i="32"/>
  <c r="I883" i="32"/>
  <c r="I884" i="32"/>
  <c r="I885" i="32"/>
  <c r="I886" i="32"/>
  <c r="I887" i="32"/>
  <c r="I888" i="32"/>
  <c r="I889" i="32"/>
  <c r="I890" i="32"/>
  <c r="I891" i="32"/>
  <c r="I892" i="32"/>
  <c r="I893" i="32"/>
  <c r="I894" i="32"/>
  <c r="I895" i="32"/>
  <c r="I896" i="32"/>
  <c r="I897" i="32"/>
  <c r="I898" i="32"/>
  <c r="I899" i="32"/>
  <c r="I900" i="32"/>
  <c r="I901" i="32"/>
  <c r="I902" i="32"/>
  <c r="I903" i="32"/>
  <c r="I904" i="32"/>
  <c r="I905" i="32"/>
  <c r="I906" i="32"/>
  <c r="I907" i="32"/>
  <c r="I908" i="32"/>
  <c r="I909" i="32"/>
  <c r="I910" i="32"/>
  <c r="I911" i="32"/>
  <c r="I912" i="32"/>
  <c r="I913" i="32"/>
  <c r="I914" i="32"/>
  <c r="I915" i="32"/>
  <c r="I916" i="32"/>
  <c r="I917" i="32"/>
  <c r="I918" i="32"/>
  <c r="I919" i="32"/>
  <c r="I920" i="32"/>
  <c r="I921" i="32"/>
  <c r="I922" i="32"/>
  <c r="I923" i="32"/>
  <c r="I924" i="32"/>
  <c r="I925" i="32"/>
  <c r="I926" i="32"/>
  <c r="I927" i="32"/>
  <c r="I928" i="32"/>
  <c r="I929" i="32"/>
  <c r="I930" i="32"/>
  <c r="I931" i="32"/>
  <c r="I932" i="32"/>
  <c r="I933" i="32"/>
  <c r="I934" i="32"/>
  <c r="I935" i="32"/>
  <c r="I936" i="32"/>
  <c r="I937" i="32"/>
  <c r="I938" i="32"/>
  <c r="I939" i="32"/>
  <c r="I940" i="32"/>
  <c r="I941" i="32"/>
  <c r="I942" i="32"/>
  <c r="I943" i="32"/>
  <c r="I944" i="32"/>
  <c r="I945" i="32"/>
  <c r="I946" i="32"/>
  <c r="I947" i="32"/>
  <c r="I948" i="32"/>
  <c r="I949" i="32"/>
  <c r="I950" i="32"/>
  <c r="I951" i="32"/>
  <c r="I952" i="32"/>
  <c r="I953" i="32"/>
  <c r="I954" i="32"/>
  <c r="I955" i="32"/>
  <c r="I956" i="32"/>
  <c r="I957" i="32"/>
  <c r="I958" i="32"/>
  <c r="I959" i="32"/>
  <c r="I960" i="32"/>
  <c r="I961" i="32"/>
  <c r="I962" i="32"/>
  <c r="I963" i="32"/>
  <c r="I964" i="32"/>
  <c r="I965" i="32"/>
  <c r="I966" i="32"/>
  <c r="I967" i="32"/>
  <c r="I968" i="32"/>
  <c r="I969" i="32"/>
  <c r="I970" i="32"/>
  <c r="I971" i="32"/>
  <c r="I972" i="32"/>
  <c r="I973" i="32"/>
  <c r="I974" i="32"/>
  <c r="I975" i="32"/>
  <c r="I976" i="32"/>
  <c r="I977" i="32"/>
  <c r="I978" i="32"/>
  <c r="I979" i="32"/>
  <c r="I980" i="32"/>
  <c r="I981" i="32"/>
  <c r="I982" i="32"/>
  <c r="I983" i="32"/>
  <c r="I984" i="32"/>
  <c r="I985" i="32"/>
  <c r="I986" i="32"/>
  <c r="I987" i="32"/>
  <c r="I988" i="32"/>
  <c r="I989" i="32"/>
  <c r="I990" i="32"/>
  <c r="I991" i="32"/>
  <c r="I992" i="32"/>
  <c r="I993" i="32"/>
  <c r="I994" i="32"/>
  <c r="I995" i="32"/>
  <c r="I996" i="32"/>
  <c r="I997" i="32"/>
  <c r="I998" i="32"/>
  <c r="I999" i="32"/>
  <c r="I1000" i="32"/>
  <c r="I1001" i="32"/>
  <c r="I1002" i="32"/>
  <c r="I1003" i="32"/>
  <c r="I1004" i="32"/>
  <c r="I1005" i="32"/>
  <c r="I1006" i="32"/>
  <c r="I1007" i="32"/>
  <c r="I1008" i="32"/>
  <c r="I1009" i="32"/>
  <c r="I1010" i="32"/>
  <c r="I1011" i="32"/>
  <c r="I1012" i="32"/>
  <c r="I1013" i="32"/>
  <c r="I1014" i="32"/>
  <c r="I1015" i="32"/>
  <c r="I1016" i="32"/>
  <c r="I1017" i="32"/>
  <c r="I1018" i="32"/>
  <c r="I1019" i="32"/>
  <c r="I1020" i="32"/>
  <c r="I1021" i="32"/>
  <c r="I1022" i="32"/>
  <c r="I1023" i="32"/>
  <c r="I1024" i="32"/>
  <c r="I1025" i="32"/>
  <c r="I1026" i="32"/>
  <c r="I1027" i="32"/>
  <c r="I1028" i="32"/>
  <c r="I1029" i="32"/>
  <c r="I1030" i="32"/>
  <c r="I1031" i="32"/>
  <c r="I1032" i="32"/>
  <c r="I1033" i="32"/>
  <c r="I1034" i="32"/>
  <c r="I1035" i="32"/>
  <c r="I1036" i="32"/>
  <c r="I1037" i="32"/>
  <c r="I1038" i="32"/>
  <c r="I1039" i="32"/>
  <c r="I1040" i="32"/>
  <c r="I1041" i="32"/>
  <c r="I1042" i="32"/>
  <c r="I1043" i="32"/>
  <c r="I1044" i="32"/>
  <c r="I1045" i="32"/>
  <c r="I1046" i="32"/>
  <c r="I1047" i="32"/>
  <c r="I1048" i="32"/>
  <c r="I1049" i="32"/>
  <c r="I1050" i="32"/>
  <c r="I1051" i="32"/>
  <c r="I1052" i="32"/>
  <c r="I1053" i="32"/>
  <c r="I1054" i="32"/>
  <c r="I1055" i="32"/>
  <c r="I1056" i="32"/>
  <c r="I1057" i="32"/>
  <c r="I1058" i="32"/>
  <c r="I1059" i="32"/>
  <c r="I1060" i="32"/>
  <c r="I1061" i="32"/>
  <c r="I1062" i="32"/>
  <c r="I1063" i="32"/>
  <c r="I1064" i="32"/>
  <c r="I1065" i="32"/>
  <c r="I1066" i="32"/>
  <c r="I1067" i="32"/>
  <c r="I1068" i="32"/>
  <c r="I1069" i="32"/>
  <c r="I1070" i="32"/>
  <c r="I1071" i="32"/>
  <c r="I1072" i="32"/>
  <c r="I1073" i="32"/>
  <c r="I1074" i="32"/>
  <c r="I1075" i="32"/>
  <c r="I1076" i="32"/>
  <c r="I1077" i="32"/>
  <c r="I1078" i="32"/>
  <c r="I1079" i="32"/>
  <c r="I1080" i="32"/>
  <c r="I1081" i="32"/>
  <c r="I1082" i="32"/>
  <c r="I1083" i="32"/>
  <c r="I1084" i="32"/>
  <c r="I1085" i="32"/>
  <c r="I1086" i="32"/>
  <c r="I1087" i="32"/>
  <c r="I1088" i="32"/>
  <c r="I1089" i="32"/>
  <c r="I1090" i="32"/>
  <c r="I1091" i="32"/>
  <c r="I1092" i="32"/>
  <c r="I1093" i="32"/>
  <c r="I1094" i="32"/>
  <c r="I1095" i="32"/>
  <c r="I1096" i="32"/>
  <c r="I1097" i="32"/>
  <c r="I1098" i="32"/>
  <c r="I1099" i="32"/>
  <c r="I1100" i="32"/>
  <c r="I1101" i="32"/>
  <c r="I1102" i="32"/>
  <c r="I1103" i="32"/>
  <c r="I1104" i="32"/>
  <c r="I1105" i="32"/>
  <c r="I1106" i="32"/>
  <c r="I1107" i="32"/>
  <c r="I1108" i="32"/>
  <c r="I1109" i="32"/>
  <c r="I1110" i="32"/>
  <c r="I1111" i="32"/>
  <c r="I1112" i="32"/>
  <c r="I1113" i="32"/>
  <c r="I1114" i="32"/>
  <c r="I1115" i="32"/>
  <c r="I1116" i="32"/>
  <c r="I1117" i="32"/>
  <c r="I1118" i="32"/>
  <c r="I1119" i="32"/>
  <c r="I1120" i="32"/>
  <c r="I1121" i="32"/>
  <c r="I1122" i="32"/>
  <c r="I1123" i="32"/>
  <c r="I1124" i="32"/>
  <c r="I1125" i="32"/>
  <c r="I1126" i="32"/>
  <c r="I1127" i="32"/>
  <c r="I1128" i="32"/>
  <c r="I1129" i="32"/>
  <c r="I1130" i="32"/>
  <c r="I1131" i="32"/>
  <c r="I1132" i="32"/>
  <c r="I1133" i="32"/>
  <c r="I1134" i="32"/>
  <c r="I1135" i="32"/>
  <c r="I1136" i="32"/>
  <c r="I1137" i="32"/>
  <c r="I1138" i="32"/>
  <c r="I1139" i="32"/>
  <c r="I1140" i="32"/>
  <c r="I1141" i="32"/>
  <c r="I1142" i="32"/>
  <c r="I1143" i="32"/>
  <c r="I1144" i="32"/>
  <c r="I1145" i="32"/>
  <c r="I1146" i="32"/>
  <c r="I1147" i="32"/>
  <c r="I1148" i="32"/>
  <c r="I1149" i="32"/>
  <c r="I1150" i="32"/>
  <c r="I1151" i="32"/>
  <c r="I1152" i="32"/>
  <c r="I1153" i="32"/>
  <c r="I1154" i="32"/>
  <c r="I1155" i="32"/>
  <c r="I1156" i="32"/>
  <c r="I1157" i="32"/>
  <c r="I1158" i="32"/>
  <c r="I1159" i="32"/>
  <c r="I1160" i="32"/>
  <c r="I1161" i="32"/>
  <c r="I1162" i="32"/>
  <c r="I1163" i="32"/>
  <c r="I1164" i="32"/>
  <c r="I1165" i="32"/>
  <c r="I1166" i="32"/>
  <c r="I1167" i="32"/>
  <c r="I1168" i="32"/>
  <c r="I1169" i="32"/>
  <c r="I1170" i="32"/>
  <c r="I1171" i="32"/>
  <c r="I1172" i="32"/>
  <c r="I1173" i="32"/>
  <c r="I1174" i="32"/>
  <c r="I1175" i="32"/>
  <c r="I1176" i="32"/>
  <c r="I1177" i="32"/>
  <c r="I1178" i="32"/>
  <c r="I1179" i="32"/>
  <c r="I1180" i="32"/>
  <c r="I1181" i="32"/>
  <c r="I1182" i="32"/>
  <c r="I1183" i="32"/>
  <c r="I1184" i="32"/>
  <c r="I1185" i="32"/>
  <c r="I1186" i="32"/>
  <c r="I1187" i="32"/>
  <c r="I1188" i="32"/>
  <c r="I1189" i="32"/>
  <c r="I1190" i="32"/>
  <c r="I1191" i="32"/>
  <c r="I1192" i="32"/>
  <c r="I1193" i="32"/>
  <c r="I1194" i="32"/>
  <c r="I1195" i="32"/>
  <c r="I1196" i="32"/>
  <c r="I1197" i="32"/>
  <c r="I1198" i="32"/>
  <c r="I1199" i="32"/>
  <c r="I1200" i="32"/>
  <c r="I1201" i="32"/>
  <c r="I1202" i="32"/>
  <c r="I1203" i="32"/>
  <c r="I1204" i="32"/>
  <c r="I1205" i="32"/>
  <c r="I1206" i="32"/>
  <c r="I1207" i="32"/>
  <c r="I1208" i="32"/>
  <c r="I1209" i="32"/>
  <c r="I1210" i="32"/>
  <c r="I1211" i="32"/>
  <c r="I1212" i="32"/>
  <c r="I1213" i="32"/>
  <c r="I1214" i="32"/>
  <c r="I1215" i="32"/>
  <c r="I1216" i="32"/>
  <c r="I1217" i="32"/>
  <c r="I1218" i="32"/>
  <c r="I1219" i="32"/>
  <c r="I1220" i="32"/>
  <c r="I1221" i="32"/>
  <c r="I1222" i="32"/>
  <c r="I1223" i="32"/>
  <c r="I1224" i="32"/>
  <c r="I1225" i="32"/>
  <c r="I1226" i="32"/>
  <c r="I1227" i="32"/>
  <c r="I1228" i="32"/>
  <c r="I1229" i="32"/>
  <c r="I1230" i="32"/>
  <c r="I1231" i="32"/>
  <c r="I1232" i="32"/>
  <c r="I1233" i="32"/>
  <c r="I1234" i="32"/>
  <c r="I1235" i="32"/>
  <c r="I1236" i="32"/>
  <c r="I1237" i="32"/>
  <c r="I1238" i="32"/>
  <c r="I1239" i="32"/>
  <c r="I1240" i="32"/>
  <c r="I1241" i="32"/>
  <c r="I1242" i="32"/>
  <c r="I1243" i="32"/>
  <c r="I1244" i="32"/>
  <c r="I1245" i="32"/>
  <c r="I1246" i="32"/>
  <c r="I1247" i="32"/>
  <c r="I1248" i="32"/>
  <c r="I1249" i="32"/>
  <c r="I1250" i="32"/>
  <c r="I1251" i="32"/>
  <c r="I1252" i="32"/>
  <c r="I1253" i="32"/>
  <c r="I1254" i="32"/>
  <c r="I1255" i="32"/>
  <c r="I1256" i="32"/>
  <c r="I1257" i="32"/>
  <c r="I1258" i="32"/>
  <c r="I1259" i="32"/>
  <c r="I1260" i="32"/>
  <c r="I1261" i="32"/>
  <c r="I1262" i="32"/>
  <c r="I1263" i="32"/>
  <c r="I1264" i="32"/>
  <c r="I1265" i="32"/>
  <c r="I1266" i="32"/>
  <c r="I1267" i="32"/>
  <c r="I1268" i="32"/>
  <c r="I1269" i="32"/>
  <c r="I1270" i="32"/>
  <c r="I1271" i="32"/>
  <c r="I1272" i="32"/>
  <c r="I1273" i="32"/>
  <c r="I1274" i="32"/>
  <c r="I1275" i="32"/>
  <c r="I1276" i="32"/>
  <c r="I1277" i="32"/>
  <c r="I1278" i="32"/>
  <c r="I1279" i="32"/>
  <c r="I1280" i="32"/>
  <c r="I1281" i="32"/>
  <c r="I1282" i="32"/>
  <c r="I1283" i="32"/>
  <c r="I1284" i="32"/>
  <c r="I1285" i="32"/>
  <c r="I1286" i="32"/>
  <c r="I1287" i="32"/>
  <c r="I1288" i="32"/>
  <c r="I1289" i="32"/>
  <c r="I1290" i="32"/>
  <c r="I1291" i="32"/>
  <c r="I1292" i="32"/>
  <c r="I1293" i="32"/>
  <c r="I1294" i="32"/>
  <c r="I1295" i="32"/>
  <c r="I1296" i="32"/>
  <c r="I1297" i="32"/>
  <c r="I1298" i="32"/>
  <c r="I1299" i="32"/>
  <c r="I1300" i="32"/>
  <c r="I1301" i="32"/>
  <c r="I1302" i="32"/>
  <c r="I1303" i="32"/>
  <c r="I1304" i="32"/>
  <c r="I1305" i="32"/>
  <c r="I1306" i="32"/>
  <c r="I1307" i="32"/>
  <c r="I1308" i="32"/>
  <c r="I1309" i="32"/>
  <c r="I1310" i="32"/>
  <c r="I1311" i="32"/>
  <c r="I1312" i="32"/>
  <c r="I1313" i="32"/>
  <c r="I1314" i="32"/>
  <c r="I1315" i="32"/>
  <c r="I1316" i="32"/>
  <c r="I1317" i="32"/>
  <c r="I1318" i="32"/>
  <c r="I1319" i="32"/>
  <c r="I1320" i="32"/>
  <c r="I1321" i="32"/>
  <c r="I1322" i="32"/>
  <c r="I1323" i="32"/>
  <c r="I1324" i="32"/>
  <c r="I1325" i="32"/>
  <c r="I1326" i="32"/>
  <c r="I1327" i="32"/>
  <c r="I1328" i="32"/>
  <c r="I1329" i="32"/>
  <c r="I1330" i="32"/>
  <c r="I1331" i="32"/>
  <c r="I1332" i="32"/>
  <c r="I1333" i="32"/>
  <c r="I1334" i="32"/>
  <c r="I1335" i="32"/>
  <c r="I1336" i="32"/>
  <c r="I1337" i="32"/>
  <c r="I1338" i="32"/>
  <c r="I1339" i="32"/>
  <c r="I1340" i="32"/>
  <c r="I1341" i="32"/>
  <c r="I1342" i="32"/>
  <c r="I1343" i="32"/>
  <c r="I1344" i="32"/>
  <c r="I1345" i="32"/>
  <c r="I1346" i="32"/>
  <c r="I1347" i="32"/>
  <c r="I1348" i="32"/>
  <c r="I1349" i="32"/>
  <c r="I1350" i="32"/>
  <c r="I1351" i="32"/>
  <c r="I1352" i="32"/>
  <c r="I1353" i="32"/>
  <c r="I1354" i="32"/>
  <c r="I1355" i="32"/>
  <c r="I1356" i="32"/>
  <c r="I1357" i="32"/>
  <c r="I1358" i="32"/>
  <c r="I1359" i="32"/>
  <c r="I1360" i="32"/>
  <c r="I1361" i="32"/>
  <c r="I1362" i="32"/>
  <c r="I1363" i="32"/>
  <c r="I1364" i="32"/>
  <c r="I1365" i="32"/>
  <c r="I1366" i="32"/>
  <c r="I1367" i="32"/>
  <c r="I1368" i="32"/>
  <c r="I1369" i="32"/>
  <c r="I1370" i="32"/>
  <c r="I1371" i="32"/>
  <c r="I1372" i="32"/>
  <c r="I1373" i="32"/>
  <c r="I1374" i="32"/>
  <c r="I1375" i="32"/>
  <c r="I1376" i="32"/>
  <c r="I1377" i="32"/>
  <c r="I1378" i="32"/>
  <c r="I1379" i="32"/>
  <c r="I1380" i="32"/>
  <c r="I1381" i="32"/>
  <c r="I1382" i="32"/>
  <c r="I1383" i="32"/>
  <c r="I1384" i="32"/>
  <c r="I1385" i="32"/>
  <c r="I1386" i="32"/>
  <c r="I1387" i="32"/>
  <c r="I1388" i="32"/>
  <c r="I1389" i="32"/>
  <c r="I1390" i="32"/>
  <c r="I1391" i="32"/>
  <c r="I1392" i="32"/>
  <c r="I1393" i="32"/>
  <c r="I1394" i="32"/>
  <c r="I1395" i="32"/>
  <c r="I1396" i="32"/>
  <c r="I1397" i="32"/>
  <c r="I1398" i="32"/>
  <c r="I1399" i="32"/>
  <c r="I1400" i="32"/>
  <c r="I1401" i="32"/>
  <c r="I1402" i="32"/>
  <c r="I1403" i="32"/>
  <c r="I1404" i="32"/>
  <c r="I1405" i="32"/>
  <c r="I1406" i="32"/>
  <c r="I1407" i="32"/>
  <c r="I1408" i="32"/>
  <c r="I1409" i="32"/>
  <c r="I1410" i="32"/>
  <c r="I1411" i="32"/>
  <c r="I1412" i="32"/>
  <c r="I1413" i="32"/>
  <c r="I1414" i="32"/>
  <c r="I1415" i="32"/>
  <c r="I1416" i="32"/>
  <c r="I1417" i="32"/>
  <c r="I1418" i="32"/>
  <c r="I1419" i="32"/>
  <c r="I1420" i="32"/>
  <c r="I1421" i="32"/>
  <c r="I1422" i="32"/>
  <c r="I1423" i="32"/>
  <c r="I1424" i="32"/>
  <c r="I1425" i="32"/>
  <c r="I1426" i="32"/>
  <c r="I1427" i="32"/>
  <c r="I1428" i="32"/>
  <c r="I1429" i="32"/>
  <c r="I1430" i="32"/>
  <c r="I1431" i="32"/>
  <c r="I1432" i="32"/>
  <c r="I1433" i="32"/>
  <c r="I1434" i="32"/>
  <c r="I1435" i="32"/>
  <c r="I1436" i="32"/>
  <c r="I1437" i="32"/>
  <c r="I1438" i="32"/>
  <c r="I1439" i="32"/>
  <c r="I1440" i="32"/>
  <c r="I1441" i="32"/>
  <c r="I1442" i="32"/>
  <c r="I1443" i="32"/>
  <c r="I1444" i="32"/>
  <c r="I1445" i="32"/>
  <c r="I1446" i="32"/>
  <c r="I1447" i="32"/>
  <c r="I1448" i="32"/>
  <c r="I1449" i="32"/>
  <c r="I1450" i="32"/>
  <c r="I1451" i="32"/>
  <c r="I1452" i="32"/>
  <c r="I1453" i="32"/>
  <c r="I1454" i="32"/>
  <c r="I1455" i="32"/>
  <c r="I1456" i="32"/>
  <c r="I1457" i="32"/>
  <c r="I1458" i="32"/>
  <c r="I1459" i="32"/>
  <c r="I1460" i="32"/>
  <c r="I1461" i="32"/>
  <c r="I1462" i="32"/>
  <c r="I1463" i="32"/>
  <c r="I1464" i="32"/>
  <c r="I1465" i="32"/>
  <c r="I1466" i="32"/>
  <c r="I1467" i="32"/>
  <c r="I1468" i="32"/>
  <c r="I1469" i="32"/>
  <c r="I1470" i="32"/>
  <c r="I1471" i="32"/>
  <c r="I1472" i="32"/>
  <c r="I1473" i="32"/>
  <c r="I1474" i="32"/>
  <c r="I1475" i="32"/>
  <c r="I1476" i="32"/>
  <c r="I1477" i="32"/>
  <c r="I1478" i="32"/>
  <c r="I1479" i="32"/>
  <c r="I1480" i="32"/>
  <c r="I1481" i="32"/>
  <c r="I1482" i="32"/>
  <c r="I1483" i="32"/>
  <c r="I1484" i="32"/>
  <c r="I1485" i="32"/>
  <c r="I1486" i="32"/>
  <c r="I1487" i="32"/>
  <c r="I1488" i="32"/>
  <c r="I1489" i="32"/>
  <c r="I1490" i="32"/>
  <c r="I1491" i="32"/>
  <c r="I1492" i="32"/>
  <c r="I1493" i="32"/>
  <c r="I1494" i="32"/>
  <c r="I1495" i="32"/>
  <c r="I1496" i="32"/>
  <c r="I1497" i="32"/>
  <c r="I1498" i="32"/>
  <c r="I1499" i="32"/>
  <c r="I1500" i="32"/>
  <c r="I1501" i="32"/>
  <c r="I1502" i="32"/>
  <c r="I1503" i="32"/>
  <c r="I1504" i="32"/>
  <c r="I1505" i="32"/>
  <c r="I1506" i="32"/>
  <c r="I1507" i="32"/>
  <c r="I1508" i="32"/>
  <c r="I1509" i="32"/>
  <c r="I1510" i="32"/>
  <c r="I1511" i="32"/>
  <c r="I1512" i="32"/>
  <c r="I1513" i="32"/>
  <c r="I1514" i="32"/>
  <c r="I1515" i="32"/>
  <c r="I1516" i="32"/>
  <c r="I1517" i="32"/>
  <c r="I1518" i="32"/>
  <c r="I1519" i="32"/>
  <c r="I1520" i="32"/>
  <c r="I1521" i="32"/>
  <c r="I1522" i="32"/>
  <c r="I1523" i="32"/>
  <c r="I1524" i="32"/>
  <c r="I1525" i="32"/>
  <c r="I1526" i="32"/>
  <c r="I1527" i="32"/>
  <c r="I1528" i="32"/>
  <c r="I1529" i="32"/>
  <c r="I1530" i="32"/>
  <c r="I1531" i="32"/>
  <c r="I1532" i="32"/>
  <c r="I1533" i="32"/>
  <c r="I1534" i="32"/>
  <c r="I1535" i="32"/>
  <c r="I1536" i="32"/>
  <c r="I1537" i="32"/>
  <c r="I1538" i="32"/>
  <c r="I1539" i="32"/>
  <c r="I1540" i="32"/>
  <c r="I1541" i="32"/>
  <c r="I1542" i="32"/>
  <c r="I1543" i="32"/>
  <c r="I1544" i="32"/>
  <c r="I1545" i="32"/>
  <c r="I1546" i="32"/>
  <c r="I1547" i="32"/>
  <c r="I1548" i="32"/>
  <c r="I1549" i="32"/>
  <c r="I1550" i="32"/>
  <c r="I1551" i="32"/>
  <c r="I1552" i="32"/>
  <c r="I1553" i="32"/>
  <c r="I1554" i="32"/>
  <c r="I1555" i="32"/>
  <c r="I1556" i="32"/>
  <c r="I1557" i="32"/>
  <c r="I1558" i="32"/>
  <c r="I1559" i="32"/>
  <c r="I1560" i="32"/>
  <c r="I1561" i="32"/>
  <c r="I1562" i="32"/>
  <c r="I1563" i="32"/>
  <c r="I1564" i="32"/>
  <c r="I1565" i="32"/>
  <c r="I1566" i="32"/>
  <c r="I1567" i="32"/>
  <c r="I1568" i="32"/>
  <c r="I1569" i="32"/>
  <c r="I1570" i="32"/>
  <c r="I1571" i="32"/>
  <c r="I1572" i="32"/>
  <c r="I1573" i="32"/>
  <c r="I1574" i="32"/>
  <c r="I1575" i="32"/>
  <c r="I1576" i="32"/>
  <c r="I1577" i="32"/>
  <c r="I1578" i="32"/>
  <c r="I1579" i="32"/>
  <c r="I1580" i="32"/>
  <c r="I1581" i="32"/>
  <c r="I1582" i="32"/>
  <c r="I1583" i="32"/>
  <c r="I1584" i="32"/>
  <c r="I1585" i="32"/>
  <c r="I1586" i="32"/>
  <c r="I1587" i="32"/>
  <c r="I1588" i="32"/>
  <c r="I1589" i="32"/>
  <c r="I1590" i="32"/>
  <c r="I1591" i="32"/>
  <c r="I1592" i="32"/>
  <c r="I1593" i="32"/>
  <c r="I1594" i="32"/>
  <c r="I1595" i="32"/>
  <c r="I1596" i="32"/>
  <c r="I1597" i="32"/>
  <c r="I1598" i="32"/>
  <c r="I1599" i="32"/>
  <c r="I1600" i="32"/>
  <c r="I1601" i="32"/>
  <c r="I1602" i="32"/>
  <c r="I1603" i="32"/>
  <c r="I1604" i="32"/>
  <c r="I1605" i="32"/>
  <c r="I1606" i="32"/>
  <c r="I1607" i="32"/>
  <c r="I1608" i="32"/>
  <c r="I1609" i="32"/>
  <c r="I1610" i="32"/>
  <c r="I1611" i="32"/>
  <c r="I1612" i="32"/>
  <c r="I1613" i="32"/>
  <c r="I1614" i="32"/>
  <c r="I1615" i="32"/>
  <c r="I1616" i="32"/>
  <c r="I1617" i="32"/>
  <c r="I1618" i="32"/>
  <c r="I1619" i="32"/>
  <c r="I1620" i="32"/>
  <c r="I1621" i="32"/>
  <c r="I1622" i="32"/>
  <c r="I1623" i="32"/>
  <c r="I1624" i="32"/>
  <c r="I1625" i="32"/>
  <c r="I1626" i="32"/>
  <c r="I1627" i="32"/>
  <c r="I1628" i="32"/>
  <c r="I1629" i="32"/>
  <c r="I1630" i="32"/>
  <c r="I1631" i="32"/>
  <c r="I1632" i="32"/>
  <c r="I1633" i="32"/>
  <c r="I1634" i="32"/>
  <c r="I1635" i="32"/>
  <c r="I1636" i="32"/>
  <c r="I1637" i="32"/>
  <c r="I1638" i="32"/>
  <c r="I1639" i="32"/>
  <c r="I1640" i="32"/>
  <c r="I1641" i="32"/>
  <c r="I1642" i="32"/>
  <c r="I1643" i="32"/>
  <c r="I1644" i="32"/>
  <c r="I1645" i="32"/>
  <c r="I1646" i="32"/>
  <c r="I1647" i="32"/>
  <c r="I1648" i="32"/>
  <c r="I1649" i="32"/>
  <c r="I1650" i="32"/>
  <c r="I1651" i="32"/>
  <c r="I1652" i="32"/>
  <c r="I1653" i="32"/>
  <c r="I1654" i="32"/>
  <c r="I1655" i="32"/>
  <c r="I1656" i="32"/>
  <c r="I1657" i="32"/>
  <c r="I1658" i="32"/>
  <c r="I1659" i="32"/>
  <c r="I1660" i="32"/>
  <c r="I1661" i="32"/>
  <c r="I1662" i="32"/>
  <c r="I1663" i="32"/>
  <c r="I1664" i="32"/>
  <c r="I1665" i="32"/>
  <c r="I1666" i="32"/>
  <c r="I1667" i="32"/>
  <c r="I1668" i="32"/>
  <c r="I1669" i="32"/>
  <c r="I1670" i="32"/>
  <c r="I1671" i="32"/>
  <c r="I1672" i="32"/>
  <c r="I1673" i="32"/>
  <c r="I1674" i="32"/>
  <c r="I1675" i="32"/>
  <c r="I1676" i="32"/>
  <c r="I1677" i="32"/>
  <c r="I1678" i="32"/>
  <c r="I1679" i="32"/>
  <c r="I1680" i="32"/>
  <c r="I1681" i="32"/>
  <c r="I1682" i="32"/>
  <c r="I1683" i="32"/>
  <c r="I1684" i="32"/>
  <c r="I1685" i="32"/>
  <c r="I1686" i="32"/>
  <c r="I1687" i="32"/>
  <c r="I1688" i="32"/>
  <c r="I1689" i="32"/>
  <c r="I1690" i="32"/>
  <c r="I1691" i="32"/>
  <c r="I1692" i="32"/>
  <c r="I1693" i="32"/>
  <c r="I1694" i="32"/>
  <c r="I1695" i="32"/>
  <c r="I1696" i="32"/>
  <c r="I1697" i="32"/>
  <c r="I1698" i="32"/>
  <c r="I1699" i="32"/>
  <c r="I1700" i="32"/>
  <c r="I1701" i="32"/>
  <c r="I1702" i="32"/>
  <c r="I1703" i="32"/>
  <c r="I1704" i="32"/>
  <c r="I1705" i="32"/>
  <c r="I1706" i="32"/>
  <c r="I1707" i="32"/>
  <c r="I1708" i="32"/>
  <c r="I1709" i="32"/>
  <c r="I1710" i="32"/>
  <c r="I1711" i="32"/>
  <c r="I1712" i="32"/>
  <c r="I1713" i="32"/>
  <c r="I1714" i="32"/>
  <c r="I1715" i="32"/>
  <c r="I1716" i="32"/>
  <c r="I1717" i="32"/>
  <c r="I1718" i="32"/>
  <c r="I1719" i="32"/>
  <c r="I1720" i="32"/>
  <c r="I1721" i="32"/>
  <c r="I1722" i="32"/>
  <c r="I1723" i="32"/>
  <c r="I1724" i="32"/>
  <c r="I1725" i="32"/>
  <c r="I1726" i="32"/>
  <c r="I1727" i="32"/>
  <c r="I1728" i="32"/>
  <c r="I1729" i="32"/>
  <c r="I1730" i="32"/>
  <c r="I1731" i="32"/>
  <c r="I1732" i="32"/>
  <c r="I1733" i="32"/>
  <c r="I1734" i="32"/>
  <c r="I1735" i="32"/>
  <c r="I1736" i="32"/>
  <c r="I1737" i="32"/>
  <c r="I1738" i="32"/>
  <c r="I1739" i="32"/>
  <c r="I1740" i="32"/>
  <c r="I1741" i="32"/>
  <c r="I1742" i="32"/>
  <c r="I1743" i="32"/>
  <c r="I1744" i="32"/>
  <c r="I1745" i="32"/>
  <c r="I1746" i="32"/>
  <c r="I1747" i="32"/>
  <c r="I1748" i="32"/>
  <c r="I1749" i="32"/>
  <c r="I1750" i="32"/>
  <c r="I1751" i="32"/>
  <c r="I1752" i="32"/>
  <c r="I1753" i="32"/>
  <c r="I1754" i="32"/>
  <c r="I1755" i="32"/>
  <c r="I1756" i="32"/>
  <c r="I1757" i="32"/>
  <c r="I1758" i="32"/>
  <c r="I1759" i="32"/>
  <c r="I1760" i="32"/>
  <c r="I1761" i="32"/>
  <c r="I1762" i="32"/>
  <c r="I1763" i="32"/>
  <c r="I1764" i="32"/>
  <c r="I1765" i="32"/>
  <c r="I1766" i="32"/>
  <c r="I1767" i="32"/>
  <c r="I1768" i="32"/>
  <c r="I1769" i="32"/>
  <c r="I1770" i="32"/>
  <c r="I1771" i="32"/>
  <c r="I1772" i="32"/>
  <c r="I1773" i="32"/>
  <c r="I1774" i="32"/>
  <c r="I1775" i="32"/>
  <c r="I1776" i="32"/>
  <c r="I1777" i="32"/>
  <c r="I1778" i="32"/>
  <c r="I1779" i="32"/>
  <c r="I1780" i="32"/>
  <c r="I1781" i="32"/>
  <c r="I1782" i="32"/>
  <c r="I1783" i="32"/>
  <c r="I1784" i="32"/>
  <c r="I1785" i="32"/>
  <c r="I1786" i="32"/>
  <c r="I1787" i="32"/>
  <c r="I1788" i="32"/>
  <c r="I1789" i="32"/>
  <c r="I1790" i="32"/>
  <c r="I1791" i="32"/>
  <c r="I1792" i="32"/>
  <c r="I1793" i="32"/>
  <c r="I1794" i="32"/>
  <c r="I1795" i="32"/>
  <c r="I1796" i="32"/>
  <c r="I1797" i="32"/>
  <c r="I1798" i="32"/>
  <c r="I1799" i="32"/>
  <c r="I1800" i="32"/>
  <c r="I1801" i="32"/>
  <c r="I1802" i="32"/>
  <c r="I1803" i="32"/>
  <c r="I1804" i="32"/>
  <c r="I1805" i="32"/>
  <c r="I1806" i="32"/>
  <c r="I1807" i="32"/>
  <c r="I1808" i="32"/>
  <c r="I1809" i="32"/>
  <c r="I1810" i="32"/>
  <c r="I1811" i="32"/>
  <c r="I1812" i="32"/>
  <c r="I1813" i="32"/>
  <c r="I1814" i="32"/>
  <c r="I1815" i="32"/>
  <c r="I1816" i="32"/>
  <c r="I1817" i="32"/>
  <c r="I1818" i="32"/>
  <c r="I1819" i="32"/>
  <c r="I1820" i="32"/>
  <c r="I1821" i="32"/>
  <c r="I1822" i="32"/>
  <c r="I1823" i="32"/>
  <c r="I1824" i="32"/>
  <c r="I1825" i="32"/>
  <c r="I1826" i="32"/>
  <c r="I1827" i="32"/>
  <c r="I1828" i="32"/>
  <c r="I1829" i="32"/>
  <c r="I1830" i="32"/>
  <c r="I1831" i="32"/>
  <c r="I1832" i="32"/>
  <c r="I1833" i="32"/>
  <c r="I1834" i="32"/>
  <c r="I1835" i="32"/>
  <c r="I1836" i="32"/>
  <c r="I1837" i="32"/>
  <c r="I1838" i="32"/>
  <c r="I1839" i="32"/>
  <c r="I1840" i="32"/>
  <c r="I1841" i="32"/>
  <c r="I1842" i="32"/>
  <c r="I1843" i="32"/>
  <c r="I1844" i="32"/>
  <c r="I1845" i="32"/>
  <c r="I1846" i="32"/>
  <c r="I1847" i="32"/>
  <c r="I1848" i="32"/>
  <c r="I1849" i="32"/>
  <c r="I1850" i="32"/>
  <c r="I1851" i="32"/>
  <c r="I1852" i="32"/>
  <c r="I1853" i="32"/>
  <c r="I1854" i="32"/>
  <c r="I1855" i="32"/>
  <c r="I1856" i="32"/>
  <c r="I1857" i="32"/>
  <c r="I1858" i="32"/>
  <c r="I1859" i="32"/>
  <c r="I1860" i="32"/>
  <c r="I1861" i="32"/>
  <c r="I1862" i="32"/>
  <c r="I1863" i="32"/>
  <c r="I1864" i="32"/>
  <c r="I1865" i="32"/>
  <c r="I1866" i="32"/>
  <c r="I1867" i="32"/>
  <c r="I1868" i="32"/>
  <c r="I1869" i="32"/>
  <c r="I1870" i="32"/>
  <c r="I1871" i="32"/>
  <c r="I1872" i="32"/>
  <c r="I1873" i="32"/>
  <c r="I1874" i="32"/>
  <c r="I1875" i="32"/>
  <c r="I1876" i="32"/>
  <c r="I1877" i="32"/>
  <c r="I1878" i="32"/>
  <c r="I1879" i="32"/>
  <c r="I1880" i="32"/>
  <c r="I1881" i="32"/>
  <c r="I1882" i="32"/>
  <c r="I1883" i="32"/>
  <c r="I1884" i="32"/>
  <c r="I1885" i="32"/>
  <c r="I1886" i="32"/>
  <c r="I1887" i="32"/>
  <c r="I1888" i="32"/>
  <c r="I1889" i="32"/>
  <c r="I1890" i="32"/>
  <c r="I1891" i="32"/>
  <c r="I1892" i="32"/>
  <c r="I1893" i="32"/>
  <c r="I1894" i="32"/>
  <c r="I1895" i="32"/>
  <c r="I1896" i="32"/>
  <c r="I1897" i="32"/>
  <c r="I1898" i="32"/>
  <c r="I1899" i="32"/>
  <c r="I1900" i="32"/>
  <c r="I1901" i="32"/>
  <c r="I1902" i="32"/>
  <c r="I1903" i="32"/>
  <c r="I1904" i="32"/>
  <c r="I1905" i="32"/>
  <c r="I1906" i="32"/>
  <c r="I1907" i="32"/>
  <c r="I1908" i="32"/>
  <c r="I1909" i="32"/>
  <c r="I1910" i="32"/>
  <c r="I1911" i="32"/>
  <c r="I1912" i="32"/>
  <c r="I1913" i="32"/>
  <c r="I1914" i="32"/>
  <c r="I1915" i="32"/>
  <c r="I1916" i="32"/>
  <c r="I1917" i="32"/>
  <c r="I1918" i="32"/>
  <c r="I1919" i="32"/>
  <c r="I1920" i="32"/>
  <c r="I1921" i="32"/>
  <c r="I1922" i="32"/>
  <c r="I1923" i="32"/>
  <c r="I1924" i="32"/>
  <c r="I1925" i="32"/>
  <c r="I1926" i="32"/>
  <c r="I1927" i="32"/>
  <c r="I1928" i="32"/>
  <c r="I1929" i="32"/>
  <c r="I1930" i="32"/>
  <c r="I1931" i="32"/>
  <c r="I1932" i="32"/>
  <c r="I1933" i="32"/>
  <c r="I1934" i="32"/>
  <c r="I1935" i="32"/>
  <c r="I1936" i="32"/>
  <c r="I1937" i="32"/>
  <c r="I1938" i="32"/>
  <c r="I1939" i="32"/>
  <c r="I1940" i="32"/>
  <c r="I1941" i="32"/>
  <c r="I1942" i="32"/>
  <c r="I1943" i="32"/>
  <c r="I1944" i="32"/>
  <c r="I1945" i="32"/>
  <c r="I1946" i="32"/>
  <c r="I1947" i="32"/>
  <c r="I1948" i="32"/>
  <c r="I1949" i="32"/>
  <c r="I1950" i="32"/>
  <c r="I1951" i="32"/>
  <c r="I1952" i="32"/>
  <c r="I1953" i="32"/>
  <c r="I1954" i="32"/>
  <c r="I1955" i="32"/>
  <c r="I1956" i="32"/>
  <c r="I1957" i="32"/>
  <c r="I1958" i="32"/>
  <c r="I1959" i="32"/>
  <c r="I1960" i="32"/>
  <c r="I1961" i="32"/>
  <c r="I1962" i="32"/>
  <c r="I1963" i="32"/>
  <c r="I1964" i="32"/>
  <c r="I1965" i="32"/>
  <c r="I1966" i="32"/>
  <c r="I1967" i="32"/>
  <c r="I1968" i="32"/>
  <c r="I1969" i="32"/>
  <c r="I1970" i="32"/>
  <c r="I1971" i="32"/>
  <c r="I1972" i="32"/>
  <c r="I1973" i="32"/>
  <c r="I1974" i="32"/>
  <c r="I1975" i="32"/>
  <c r="I1976" i="32"/>
  <c r="I1977" i="32"/>
  <c r="I1978" i="32"/>
  <c r="I1979" i="32"/>
  <c r="I1980" i="32"/>
  <c r="I1981" i="32"/>
  <c r="I1982" i="32"/>
  <c r="I1983" i="32"/>
  <c r="I1984" i="32"/>
  <c r="I1985" i="32"/>
  <c r="I1986" i="32"/>
  <c r="I1987" i="32"/>
  <c r="I1988" i="32"/>
  <c r="I1989" i="32"/>
  <c r="I1990" i="32"/>
  <c r="I1991" i="32"/>
  <c r="I1992" i="32"/>
  <c r="I1993" i="32"/>
  <c r="I1994" i="32"/>
  <c r="I1995" i="32"/>
  <c r="I1996" i="32"/>
  <c r="I1997" i="32"/>
  <c r="I1998" i="32"/>
  <c r="I1999" i="32"/>
  <c r="I2000" i="32"/>
  <c r="I2001" i="32"/>
  <c r="I2002" i="32"/>
  <c r="I2003" i="32"/>
  <c r="I2004" i="32"/>
  <c r="I2005" i="32"/>
  <c r="I2006" i="32"/>
  <c r="I2007" i="32"/>
  <c r="I2008" i="32"/>
  <c r="I2009" i="32"/>
  <c r="I2010" i="32"/>
  <c r="I2011" i="32"/>
  <c r="I2012" i="32"/>
  <c r="I2013" i="32"/>
  <c r="I2014" i="32"/>
  <c r="I2015" i="32"/>
  <c r="I2016" i="32"/>
  <c r="I2017" i="32"/>
  <c r="I2018" i="32"/>
  <c r="I2019" i="32"/>
  <c r="I2020" i="32"/>
  <c r="I2021" i="32"/>
  <c r="I2022" i="32"/>
  <c r="I2023" i="32"/>
  <c r="I2024" i="32"/>
  <c r="I2025" i="32"/>
  <c r="I2026" i="32"/>
  <c r="I2027" i="32"/>
  <c r="I2028" i="32"/>
  <c r="I2029" i="32"/>
  <c r="I2030" i="32"/>
  <c r="I2031" i="32"/>
  <c r="I2032" i="32"/>
  <c r="I2033" i="32"/>
  <c r="I2034" i="32"/>
  <c r="I2035" i="32"/>
  <c r="I2036" i="32"/>
  <c r="I2037" i="32"/>
  <c r="I2038" i="32"/>
  <c r="I2039" i="32"/>
  <c r="I2040" i="32"/>
  <c r="I2041" i="32"/>
  <c r="I2042" i="32"/>
  <c r="I2043" i="32"/>
  <c r="I2044" i="32"/>
  <c r="I2045" i="32"/>
  <c r="I2046" i="32"/>
  <c r="I2047" i="32"/>
  <c r="I2048" i="32"/>
  <c r="I2049" i="32"/>
  <c r="I2050" i="32"/>
  <c r="I2051" i="32"/>
  <c r="I2052" i="32"/>
  <c r="I2053" i="32"/>
  <c r="I2054" i="32"/>
  <c r="I2055" i="32"/>
  <c r="I2056" i="32"/>
  <c r="I2057" i="32"/>
  <c r="I2058" i="32"/>
  <c r="I2059" i="32"/>
  <c r="I2060" i="32"/>
  <c r="I2061" i="32"/>
  <c r="I2062" i="32"/>
  <c r="I2063" i="32"/>
  <c r="I2064" i="32"/>
  <c r="I2065" i="32"/>
  <c r="I2066" i="32"/>
  <c r="I2067" i="32"/>
  <c r="I2068" i="32"/>
  <c r="I2069" i="32"/>
  <c r="I2070" i="32"/>
  <c r="I2071" i="32"/>
  <c r="I2072" i="32"/>
  <c r="I2073" i="32"/>
  <c r="I2074" i="32"/>
  <c r="I2075" i="32"/>
  <c r="I2076" i="32"/>
  <c r="I2077" i="32"/>
  <c r="I2078" i="32"/>
  <c r="I2079" i="32"/>
  <c r="I2080" i="32"/>
  <c r="I2081" i="32"/>
  <c r="I2082" i="32"/>
  <c r="I2083" i="32"/>
  <c r="I2084" i="32"/>
  <c r="I2085" i="32"/>
  <c r="I2086" i="32"/>
  <c r="I2087" i="32"/>
  <c r="I2088" i="32"/>
  <c r="I2089" i="32"/>
  <c r="I2090" i="32"/>
  <c r="I2091" i="32"/>
  <c r="I2092" i="32"/>
  <c r="I2093" i="32"/>
  <c r="I2094" i="32"/>
  <c r="I2095" i="32"/>
  <c r="I2096" i="32"/>
  <c r="I2097" i="32"/>
  <c r="I2098" i="32"/>
  <c r="I2099" i="32"/>
  <c r="I2100" i="32"/>
  <c r="I2101" i="32"/>
  <c r="I2102" i="32"/>
  <c r="I2103" i="32"/>
  <c r="I2104" i="32"/>
  <c r="I2105" i="32"/>
  <c r="I2106" i="32"/>
  <c r="I2107" i="32"/>
  <c r="I2108" i="32"/>
  <c r="I2109" i="32"/>
  <c r="I2110" i="32"/>
  <c r="I2111" i="32"/>
  <c r="I2112" i="32"/>
  <c r="I2113" i="32"/>
  <c r="I2114" i="32"/>
  <c r="I2115" i="32"/>
  <c r="I2116" i="32"/>
  <c r="I2117" i="32"/>
  <c r="I2118" i="32"/>
  <c r="I2119" i="32"/>
  <c r="I2120" i="32"/>
  <c r="I2121" i="32"/>
  <c r="I2122" i="32"/>
  <c r="I2123" i="32"/>
  <c r="I2124" i="32"/>
  <c r="I2125" i="32"/>
  <c r="I2126" i="32"/>
  <c r="I2127" i="32"/>
  <c r="I2128" i="32"/>
  <c r="I2129" i="32"/>
  <c r="I2130" i="32"/>
  <c r="I2131" i="32"/>
  <c r="I2132" i="32"/>
  <c r="I2133" i="32"/>
  <c r="I2134" i="32"/>
  <c r="I2135" i="32"/>
  <c r="I2136" i="32"/>
  <c r="I2137" i="32"/>
  <c r="I2138" i="32"/>
  <c r="I2139" i="32"/>
  <c r="I2140" i="32"/>
  <c r="I2141" i="32"/>
  <c r="I2142" i="32"/>
  <c r="I2143" i="32"/>
  <c r="I2144" i="32"/>
  <c r="I2145" i="32"/>
  <c r="I2146" i="32"/>
  <c r="I2147" i="32"/>
  <c r="I2148" i="32"/>
  <c r="I2149" i="32"/>
  <c r="I2150" i="32"/>
  <c r="I2151" i="32"/>
  <c r="I2152" i="32"/>
  <c r="I2153" i="32"/>
  <c r="I2154" i="32"/>
  <c r="I2155" i="32"/>
  <c r="I2156" i="32"/>
  <c r="I2157" i="32"/>
  <c r="I2158" i="32"/>
  <c r="I2159" i="32"/>
  <c r="I2160" i="32"/>
  <c r="I2161" i="32"/>
  <c r="I2162" i="32"/>
  <c r="I2163" i="32"/>
  <c r="I2164" i="32"/>
  <c r="I2165" i="32"/>
  <c r="I2166" i="32"/>
  <c r="I2167" i="32"/>
  <c r="I2168" i="32"/>
  <c r="I2169" i="32"/>
  <c r="I2170" i="32"/>
  <c r="I2171" i="32"/>
  <c r="I2172" i="32"/>
  <c r="I2173" i="32"/>
  <c r="I2174" i="32"/>
  <c r="I2175" i="32"/>
  <c r="I2176" i="32"/>
  <c r="I2177" i="32"/>
  <c r="I2178" i="32"/>
  <c r="I2179" i="32"/>
  <c r="I2180" i="32"/>
  <c r="I2181" i="32"/>
  <c r="I2182" i="32"/>
  <c r="I2183" i="32"/>
  <c r="I2184" i="32"/>
  <c r="I2185" i="32"/>
  <c r="I2186" i="32"/>
  <c r="I2187" i="32"/>
  <c r="I2188" i="32"/>
  <c r="I2189" i="32"/>
  <c r="I2190" i="32"/>
  <c r="I2191" i="32"/>
  <c r="I2192" i="32"/>
  <c r="I2193" i="32"/>
  <c r="I2194" i="32"/>
  <c r="I2195" i="32"/>
  <c r="I2196" i="32"/>
  <c r="I2197" i="32"/>
  <c r="I2198" i="32"/>
  <c r="I2199" i="32"/>
  <c r="I2200" i="32"/>
  <c r="I2201" i="32"/>
  <c r="I2202" i="32"/>
  <c r="I2203" i="32"/>
  <c r="I2204" i="32"/>
  <c r="I2205" i="32"/>
  <c r="I2206" i="32"/>
  <c r="I2207" i="32"/>
  <c r="I2208" i="32"/>
  <c r="I2209" i="32"/>
  <c r="I2210" i="32"/>
  <c r="I2211" i="32"/>
  <c r="I2212" i="32"/>
  <c r="I2213" i="32"/>
  <c r="I2214" i="32"/>
  <c r="I2215" i="32"/>
  <c r="I2216" i="32"/>
  <c r="I2217" i="32"/>
  <c r="I2218" i="32"/>
  <c r="I2219" i="32"/>
  <c r="I2220" i="32"/>
  <c r="I2221" i="32"/>
  <c r="I2222" i="32"/>
  <c r="I2223" i="32"/>
  <c r="I2224" i="32"/>
  <c r="I2225" i="32"/>
  <c r="I2226" i="32"/>
  <c r="I2227" i="32"/>
  <c r="I2228" i="32"/>
  <c r="I2229" i="32"/>
  <c r="I2230" i="32"/>
  <c r="I2231" i="32"/>
  <c r="I2232" i="32"/>
  <c r="I2233" i="32"/>
  <c r="I2234" i="32"/>
  <c r="I2235" i="32"/>
  <c r="I2236" i="32"/>
  <c r="I2237" i="32"/>
  <c r="I2238" i="32"/>
  <c r="I2239" i="32"/>
  <c r="I2240" i="32"/>
  <c r="I2241" i="32"/>
  <c r="I2242" i="32"/>
  <c r="I2243" i="32"/>
  <c r="I2244" i="32"/>
  <c r="I2245" i="32"/>
  <c r="I2246" i="32"/>
  <c r="I2247" i="32"/>
  <c r="I2248" i="32"/>
  <c r="I2249" i="32"/>
  <c r="I2250" i="32"/>
  <c r="I2251" i="32"/>
  <c r="I2252" i="32"/>
  <c r="I2253" i="32"/>
  <c r="I2254" i="32"/>
  <c r="I2255" i="32"/>
  <c r="I2256" i="32"/>
  <c r="I2257" i="32"/>
  <c r="I2258" i="32"/>
  <c r="I2259" i="32"/>
  <c r="I2260" i="32"/>
  <c r="I2261" i="32"/>
  <c r="I2262" i="32"/>
  <c r="I2263" i="32"/>
  <c r="I2264" i="32"/>
  <c r="I2265" i="32"/>
  <c r="I2266" i="32"/>
  <c r="I2267" i="32"/>
  <c r="I2268" i="32"/>
  <c r="I2269" i="32"/>
  <c r="I2270" i="32"/>
  <c r="I2271" i="32"/>
  <c r="I2272" i="32"/>
  <c r="I2273" i="32"/>
  <c r="I2274" i="32"/>
  <c r="I2275" i="32"/>
  <c r="I2276" i="32"/>
  <c r="I2277" i="32"/>
  <c r="I2278" i="32"/>
  <c r="I2279" i="32"/>
  <c r="I2280" i="32"/>
  <c r="I2281" i="32"/>
  <c r="I2282" i="32"/>
  <c r="I2283" i="32"/>
  <c r="I2284" i="32"/>
  <c r="I2285" i="32"/>
  <c r="I2286" i="32"/>
  <c r="I2287" i="32"/>
  <c r="I2288" i="32"/>
  <c r="I2289" i="32"/>
  <c r="I2290" i="32"/>
  <c r="I2291" i="32"/>
  <c r="I2292" i="32"/>
  <c r="I2293" i="32"/>
  <c r="I2294" i="32"/>
  <c r="I2295" i="32"/>
  <c r="I2" i="32"/>
  <c r="L10" i="31"/>
  <c r="K10" i="31"/>
  <c r="J10" i="31"/>
  <c r="I10" i="31"/>
  <c r="H10" i="31"/>
  <c r="G10" i="31"/>
  <c r="F10" i="31"/>
  <c r="E10" i="31"/>
  <c r="D10" i="31"/>
  <c r="C10" i="31"/>
  <c r="H228" i="27" a="1"/>
  <c r="H228" i="27" s="1"/>
  <c r="H226" i="27" a="1"/>
  <c r="H226" i="27" s="1"/>
  <c r="H537" i="27" a="1"/>
  <c r="H537" i="27" s="1"/>
  <c r="H538" i="27" a="1"/>
  <c r="H538" i="27" s="1"/>
  <c r="H539" i="27" a="1"/>
  <c r="H539" i="27" s="1"/>
  <c r="H540" i="27" a="1"/>
  <c r="H540" i="27" s="1"/>
  <c r="H541" i="27" a="1"/>
  <c r="H541" i="27" s="1"/>
  <c r="H542" i="27" a="1"/>
  <c r="H542" i="27" s="1"/>
  <c r="H543" i="27" a="1"/>
  <c r="H543" i="27" s="1"/>
  <c r="H544" i="27" a="1"/>
  <c r="H544" i="27" s="1"/>
  <c r="H545" i="27" a="1"/>
  <c r="H545" i="27" s="1"/>
  <c r="H546" i="27" a="1"/>
  <c r="H546" i="27" s="1"/>
  <c r="H547" i="27" a="1"/>
  <c r="H547" i="27" s="1"/>
  <c r="H548" i="27" a="1"/>
  <c r="H548" i="27" s="1"/>
  <c r="H549" i="27" a="1"/>
  <c r="H549" i="27" s="1"/>
  <c r="H14" i="15" a="1"/>
  <c r="H14" i="15" s="1"/>
  <c r="H15" i="15" a="1"/>
  <c r="H15" i="15" s="1"/>
  <c r="H16" i="15" a="1"/>
  <c r="H16" i="15" s="1"/>
  <c r="H17" i="15" a="1"/>
  <c r="H17" i="15" s="1"/>
  <c r="H18" i="15" a="1"/>
  <c r="H18" i="15" s="1"/>
  <c r="H19" i="15" a="1"/>
  <c r="H19" i="15" s="1"/>
  <c r="H20" i="15" a="1"/>
  <c r="H20" i="15" s="1"/>
  <c r="H21" i="15" a="1"/>
  <c r="H21" i="15" s="1"/>
  <c r="H22" i="15" a="1"/>
  <c r="H22" i="15" s="1"/>
  <c r="H23" i="15" a="1"/>
  <c r="H23" i="15" s="1"/>
  <c r="H24" i="15" a="1"/>
  <c r="H24" i="15" s="1"/>
  <c r="H453" i="27" a="1"/>
  <c r="H453" i="27" s="1"/>
  <c r="H454" i="27" a="1"/>
  <c r="H454" i="27" s="1"/>
  <c r="H455" i="27" a="1"/>
  <c r="H455" i="27" s="1"/>
  <c r="H456" i="27" a="1"/>
  <c r="H456" i="27" s="1"/>
  <c r="H457" i="27" a="1"/>
  <c r="H457" i="27" s="1"/>
  <c r="H458" i="27" a="1"/>
  <c r="H458" i="27" s="1"/>
  <c r="H459" i="27" a="1"/>
  <c r="H459" i="27" s="1"/>
  <c r="H460" i="27" a="1"/>
  <c r="H460" i="27" s="1"/>
  <c r="H461" i="27" a="1"/>
  <c r="H461" i="27" s="1"/>
  <c r="H433" i="27" a="1"/>
  <c r="H433" i="27" s="1"/>
  <c r="H434" i="27" a="1"/>
  <c r="H434" i="27" s="1"/>
  <c r="H435" i="27" a="1"/>
  <c r="H435" i="27" s="1"/>
  <c r="H436" i="27" a="1"/>
  <c r="H436" i="27" s="1"/>
  <c r="H437" i="27" a="1"/>
  <c r="H437" i="27" s="1"/>
  <c r="H438" i="27" a="1"/>
  <c r="H438" i="27" s="1"/>
  <c r="H439" i="27" a="1"/>
  <c r="H439" i="27" s="1"/>
  <c r="H440" i="27" a="1"/>
  <c r="H440" i="27" s="1"/>
  <c r="H441" i="27" a="1"/>
  <c r="H441" i="27" s="1"/>
  <c r="H442" i="27" a="1"/>
  <c r="H442" i="27" s="1"/>
  <c r="H443" i="27" a="1"/>
  <c r="H443" i="27" s="1"/>
  <c r="H444" i="27" a="1"/>
  <c r="H444" i="27" s="1"/>
  <c r="H445" i="27" a="1"/>
  <c r="H445" i="27" s="1"/>
  <c r="C20" i="31" l="1"/>
  <c r="H402" i="25" a="1"/>
  <c r="H402" i="25" s="1"/>
  <c r="H401" i="25" a="1"/>
  <c r="H401" i="25" s="1"/>
  <c r="H400" i="25" a="1"/>
  <c r="H400" i="25" s="1"/>
  <c r="H399" i="25" a="1"/>
  <c r="H399" i="25" s="1"/>
  <c r="H398" i="25" a="1"/>
  <c r="H398" i="25" s="1"/>
  <c r="H397" i="25" a="1"/>
  <c r="H397" i="25" s="1"/>
  <c r="H396" i="25" a="1"/>
  <c r="H396" i="25" s="1"/>
  <c r="H395" i="25" a="1"/>
  <c r="H395" i="25" s="1"/>
  <c r="H394" i="25" a="1"/>
  <c r="H394" i="25" s="1"/>
  <c r="H393" i="25" a="1"/>
  <c r="H393" i="25" s="1"/>
  <c r="H392" i="25" a="1"/>
  <c r="H392" i="25" s="1"/>
  <c r="H391" i="25" a="1"/>
  <c r="H391" i="25" s="1"/>
  <c r="H78" i="25" a="1"/>
  <c r="H78" i="25" s="1"/>
  <c r="H79" i="25" a="1"/>
  <c r="H79" i="25" s="1"/>
  <c r="H80" i="25" a="1"/>
  <c r="H80" i="25" s="1"/>
  <c r="H81" i="25" a="1"/>
  <c r="H81" i="25" s="1"/>
  <c r="H82" i="25" a="1"/>
  <c r="H82" i="25" s="1"/>
  <c r="H83" i="25" a="1"/>
  <c r="H83" i="25" s="1"/>
  <c r="H84" i="25" a="1"/>
  <c r="H84" i="25" s="1"/>
  <c r="H85" i="25" a="1"/>
  <c r="H85" i="25" s="1"/>
  <c r="H86" i="25" a="1"/>
  <c r="H86" i="25" s="1"/>
  <c r="H87" i="25" a="1"/>
  <c r="H87" i="25" s="1"/>
  <c r="H88" i="25" a="1"/>
  <c r="H88" i="25" s="1"/>
  <c r="H213" i="25" a="1"/>
  <c r="H213" i="25" s="1"/>
  <c r="H214" i="25" a="1"/>
  <c r="H214" i="25" s="1"/>
  <c r="H215" i="25" a="1"/>
  <c r="H215" i="25" s="1"/>
  <c r="H216" i="25" a="1"/>
  <c r="H216" i="25" s="1"/>
  <c r="H217" i="25" a="1"/>
  <c r="H217" i="25" s="1"/>
  <c r="H218" i="25" a="1"/>
  <c r="H218" i="25" s="1"/>
  <c r="H219" i="25" a="1"/>
  <c r="H219" i="25" s="1"/>
  <c r="H220" i="25" a="1"/>
  <c r="H220" i="25" s="1"/>
  <c r="H202" i="25" a="1"/>
  <c r="H202" i="25" s="1"/>
  <c r="H203" i="25" a="1"/>
  <c r="H203" i="25" s="1"/>
  <c r="H204" i="25" a="1"/>
  <c r="H204" i="25" s="1"/>
  <c r="H205" i="25" a="1"/>
  <c r="H205" i="25" s="1"/>
  <c r="H206" i="25" a="1"/>
  <c r="H206" i="25" s="1"/>
  <c r="H207" i="25" a="1"/>
  <c r="H207" i="25" s="1"/>
  <c r="H208" i="25" a="1"/>
  <c r="H208" i="25" s="1"/>
  <c r="H209" i="25" a="1"/>
  <c r="H209" i="25" s="1"/>
  <c r="H70" i="25" a="1"/>
  <c r="H70" i="25" s="1"/>
  <c r="H55" i="25" a="1"/>
  <c r="H55" i="25" s="1"/>
  <c r="H56" i="25" a="1"/>
  <c r="H56" i="25" s="1"/>
  <c r="H57" i="25" a="1"/>
  <c r="H57" i="25" s="1"/>
  <c r="H58" i="25" a="1"/>
  <c r="H58" i="25" s="1"/>
  <c r="H429" i="25" a="1"/>
  <c r="H429" i="25" s="1"/>
  <c r="H430" i="25" a="1"/>
  <c r="H430" i="25" s="1"/>
  <c r="H431" i="25" a="1"/>
  <c r="H431" i="25" s="1"/>
  <c r="H432" i="25" a="1"/>
  <c r="H432" i="25" s="1"/>
  <c r="H433" i="25" a="1"/>
  <c r="H433" i="25" s="1"/>
  <c r="H434" i="25" a="1"/>
  <c r="H434" i="25" s="1"/>
  <c r="H435" i="25" a="1"/>
  <c r="H435" i="25" s="1"/>
  <c r="H436" i="25" a="1"/>
  <c r="H436" i="25" s="1"/>
  <c r="H437" i="25" a="1"/>
  <c r="H437" i="25" s="1"/>
  <c r="H438" i="25" a="1"/>
  <c r="H438" i="25" s="1"/>
  <c r="H439" i="25" a="1"/>
  <c r="H439" i="25" s="1"/>
  <c r="H440" i="25" a="1"/>
  <c r="H440" i="25" s="1"/>
  <c r="H441" i="25" a="1"/>
  <c r="H441" i="25" s="1"/>
  <c r="H3" i="15" a="1"/>
  <c r="H3" i="15" s="1"/>
  <c r="H4" i="15" a="1"/>
  <c r="H4" i="15" s="1"/>
  <c r="H5" i="15" a="1"/>
  <c r="H5" i="15" s="1"/>
  <c r="H6" i="15" a="1"/>
  <c r="H6" i="15" s="1"/>
  <c r="H7" i="15" a="1"/>
  <c r="H7" i="15" s="1"/>
  <c r="H8" i="15" a="1"/>
  <c r="H8" i="15" s="1"/>
  <c r="H9" i="15" a="1"/>
  <c r="H9" i="15" s="1"/>
  <c r="H10" i="15" a="1"/>
  <c r="H10" i="15" s="1"/>
  <c r="H11" i="15" a="1"/>
  <c r="H11" i="15" s="1"/>
  <c r="H12" i="15" a="1"/>
  <c r="H12" i="15" s="1"/>
  <c r="H13" i="15" a="1"/>
  <c r="H13" i="15" s="1"/>
  <c r="H25" i="15" a="1"/>
  <c r="H25" i="15" s="1"/>
  <c r="H26" i="15" a="1"/>
  <c r="H26" i="15" s="1"/>
  <c r="H27" i="15" a="1"/>
  <c r="H27" i="15" s="1"/>
  <c r="H28" i="15" a="1"/>
  <c r="H28" i="15" s="1"/>
  <c r="H29" i="15" a="1"/>
  <c r="H29" i="15" s="1"/>
  <c r="H30" i="15" a="1"/>
  <c r="H30" i="15" s="1"/>
  <c r="H31" i="15" a="1"/>
  <c r="H31" i="15" s="1"/>
  <c r="H32" i="15" a="1"/>
  <c r="H32" i="15" s="1"/>
  <c r="H33" i="15" a="1"/>
  <c r="H33" i="15" s="1"/>
  <c r="H34" i="15" a="1"/>
  <c r="H34" i="15" s="1"/>
  <c r="H35" i="15" a="1"/>
  <c r="H35" i="15" s="1"/>
  <c r="H36" i="15" a="1"/>
  <c r="H36" i="15" s="1"/>
  <c r="H37" i="15" a="1"/>
  <c r="H37" i="15" s="1"/>
  <c r="H38" i="15" a="1"/>
  <c r="H38" i="15" s="1"/>
  <c r="H39" i="15" a="1"/>
  <c r="H39" i="15" s="1"/>
  <c r="H40" i="15" a="1"/>
  <c r="H40" i="15" s="1"/>
  <c r="H41" i="15" a="1"/>
  <c r="H41" i="15" s="1"/>
  <c r="H42" i="15" a="1"/>
  <c r="H42" i="15" s="1"/>
  <c r="H43" i="15" a="1"/>
  <c r="H43" i="15" s="1"/>
  <c r="H44" i="15" a="1"/>
  <c r="H44" i="15" s="1"/>
  <c r="H45" i="15" a="1"/>
  <c r="H45" i="15" s="1"/>
  <c r="H46" i="15" a="1"/>
  <c r="H46" i="15" s="1"/>
  <c r="H47" i="15" a="1"/>
  <c r="H47" i="15" s="1"/>
  <c r="H48" i="15" a="1"/>
  <c r="H48" i="15" s="1"/>
  <c r="H49" i="15" a="1"/>
  <c r="H49" i="15" s="1"/>
  <c r="H50" i="15" a="1"/>
  <c r="H50" i="15" s="1"/>
  <c r="H51" i="15" a="1"/>
  <c r="H51" i="15" s="1"/>
  <c r="H52" i="15" a="1"/>
  <c r="H52" i="15" s="1"/>
  <c r="H53" i="15" a="1"/>
  <c r="H53" i="15" s="1"/>
  <c r="H54" i="15" a="1"/>
  <c r="H54" i="15" s="1"/>
  <c r="H55" i="15" a="1"/>
  <c r="H55" i="15" s="1"/>
  <c r="H56" i="15" a="1"/>
  <c r="H56" i="15" s="1"/>
  <c r="H57" i="15" a="1"/>
  <c r="H57" i="15" s="1"/>
  <c r="H58" i="15" a="1"/>
  <c r="H58" i="15" s="1"/>
  <c r="H59" i="15" a="1"/>
  <c r="H59" i="15" s="1"/>
  <c r="H60" i="15" a="1"/>
  <c r="H60" i="15" s="1"/>
  <c r="H61" i="15" a="1"/>
  <c r="H61" i="15" s="1"/>
  <c r="H62" i="15" a="1"/>
  <c r="H62" i="15" s="1"/>
  <c r="H63" i="15" a="1"/>
  <c r="H63" i="15" s="1"/>
  <c r="H64" i="15" a="1"/>
  <c r="H64" i="15" s="1"/>
  <c r="H65" i="15" a="1"/>
  <c r="H65" i="15" s="1"/>
  <c r="H66" i="15" a="1"/>
  <c r="H66" i="15" s="1"/>
  <c r="H67" i="15" a="1"/>
  <c r="H67" i="15" s="1"/>
  <c r="H68" i="15" a="1"/>
  <c r="H68" i="15" s="1"/>
  <c r="H69" i="15" a="1"/>
  <c r="H69" i="15" s="1"/>
  <c r="H70" i="15" a="1"/>
  <c r="H70" i="15" s="1"/>
  <c r="H71" i="15" a="1"/>
  <c r="H71" i="15" s="1"/>
  <c r="H72" i="15" a="1"/>
  <c r="H72" i="15" s="1"/>
  <c r="H73" i="15" a="1"/>
  <c r="H73" i="15" s="1"/>
  <c r="H74" i="15" a="1"/>
  <c r="H74" i="15" s="1"/>
  <c r="H75" i="15" a="1"/>
  <c r="H75" i="15" s="1"/>
  <c r="H76" i="15" a="1"/>
  <c r="H76" i="15" s="1"/>
  <c r="H77" i="15" a="1"/>
  <c r="H77" i="15" s="1"/>
  <c r="H78" i="15" a="1"/>
  <c r="H78" i="15" s="1"/>
  <c r="H79" i="15" a="1"/>
  <c r="H79" i="15" s="1"/>
  <c r="H80" i="15" a="1"/>
  <c r="H80" i="15" s="1"/>
  <c r="H81" i="15" a="1"/>
  <c r="H81" i="15" s="1"/>
  <c r="H82" i="15" a="1"/>
  <c r="H82" i="15" s="1"/>
  <c r="H83" i="15" a="1"/>
  <c r="H83" i="15" s="1"/>
  <c r="H84" i="15" a="1"/>
  <c r="H84" i="15" s="1"/>
  <c r="H85" i="15" a="1"/>
  <c r="H85" i="15" s="1"/>
  <c r="H86" i="15" a="1"/>
  <c r="H86" i="15" s="1"/>
  <c r="H87" i="15" a="1"/>
  <c r="H87" i="15" s="1"/>
  <c r="H88" i="15" a="1"/>
  <c r="H88" i="15" s="1"/>
  <c r="H89" i="15" a="1"/>
  <c r="H89" i="15" s="1"/>
  <c r="H90" i="15" a="1"/>
  <c r="H90" i="15" s="1"/>
  <c r="H91" i="15" a="1"/>
  <c r="H91" i="15" s="1"/>
  <c r="H92" i="15" a="1"/>
  <c r="H92" i="15" s="1"/>
  <c r="H93" i="15" a="1"/>
  <c r="H93" i="15" s="1"/>
  <c r="H94" i="15" a="1"/>
  <c r="H94" i="15" s="1"/>
  <c r="H95" i="15" a="1"/>
  <c r="H95" i="15" s="1"/>
  <c r="H96" i="15" a="1"/>
  <c r="H96" i="15" s="1"/>
  <c r="H97" i="15" a="1"/>
  <c r="H97" i="15" s="1"/>
  <c r="H98" i="15" a="1"/>
  <c r="H98" i="15" s="1"/>
  <c r="H99" i="15" a="1"/>
  <c r="H99" i="15" s="1"/>
  <c r="H100" i="15" a="1"/>
  <c r="H100" i="15" s="1"/>
  <c r="H101" i="15" a="1"/>
  <c r="H101" i="15" s="1"/>
  <c r="H102" i="15" a="1"/>
  <c r="H102" i="15" s="1"/>
  <c r="H103" i="15" a="1"/>
  <c r="H103" i="15" s="1"/>
  <c r="H104" i="15" a="1"/>
  <c r="H104" i="15" s="1"/>
  <c r="H105" i="15" a="1"/>
  <c r="H105" i="15" s="1"/>
  <c r="H106" i="15" a="1"/>
  <c r="H106" i="15" s="1"/>
  <c r="H107" i="15" a="1"/>
  <c r="H107" i="15" s="1"/>
  <c r="H108" i="15" a="1"/>
  <c r="H108" i="15" s="1"/>
  <c r="H109" i="15" a="1"/>
  <c r="H109" i="15" s="1"/>
  <c r="H110" i="15" a="1"/>
  <c r="H110" i="15" s="1"/>
  <c r="H111" i="15" a="1"/>
  <c r="H111" i="15" s="1"/>
  <c r="H112" i="15" a="1"/>
  <c r="H112" i="15" s="1"/>
  <c r="H113" i="15" a="1"/>
  <c r="H113" i="15" s="1"/>
  <c r="H114" i="15" a="1"/>
  <c r="H114" i="15" s="1"/>
  <c r="H115" i="15" a="1"/>
  <c r="H115" i="15" s="1"/>
  <c r="H116" i="15" a="1"/>
  <c r="H116" i="15" s="1"/>
  <c r="H117" i="15" a="1"/>
  <c r="H117" i="15" s="1"/>
  <c r="H118" i="15" a="1"/>
  <c r="H118" i="15" s="1"/>
  <c r="H119" i="15" a="1"/>
  <c r="H119" i="15" s="1"/>
  <c r="H120" i="15" a="1"/>
  <c r="H120" i="15" s="1"/>
  <c r="H121" i="15" a="1"/>
  <c r="H121" i="15" s="1"/>
  <c r="H122" i="15" a="1"/>
  <c r="H122" i="15" s="1"/>
  <c r="H123" i="15" a="1"/>
  <c r="H123" i="15" s="1"/>
  <c r="H124" i="15" a="1"/>
  <c r="H124" i="15" s="1"/>
  <c r="H125" i="15" a="1"/>
  <c r="H125" i="15" s="1"/>
  <c r="H126" i="15" a="1"/>
  <c r="H126" i="15" s="1"/>
  <c r="H127" i="15" a="1"/>
  <c r="H127" i="15" s="1"/>
  <c r="H128" i="15" a="1"/>
  <c r="H128" i="15" s="1"/>
  <c r="H129" i="15" a="1"/>
  <c r="H129" i="15" s="1"/>
  <c r="H130" i="15" a="1"/>
  <c r="H130" i="15" s="1"/>
  <c r="H131" i="15" a="1"/>
  <c r="H131" i="15" s="1"/>
  <c r="H132" i="15" a="1"/>
  <c r="H132" i="15" s="1"/>
  <c r="H133" i="15" a="1"/>
  <c r="H133" i="15" s="1"/>
  <c r="H134" i="15" a="1"/>
  <c r="H134" i="15" s="1"/>
  <c r="H135" i="15" a="1"/>
  <c r="H135" i="15" s="1"/>
  <c r="H136" i="15" a="1"/>
  <c r="H136" i="15" s="1"/>
  <c r="H137" i="15" a="1"/>
  <c r="H137" i="15" s="1"/>
  <c r="H138" i="15" a="1"/>
  <c r="H138" i="15" s="1"/>
  <c r="H139" i="15" a="1"/>
  <c r="H139" i="15" s="1"/>
  <c r="H140" i="15" a="1"/>
  <c r="H140" i="15" s="1"/>
  <c r="H141" i="15" a="1"/>
  <c r="H141" i="15" s="1"/>
  <c r="H142" i="15" a="1"/>
  <c r="H142" i="15" s="1"/>
  <c r="H143" i="15" a="1"/>
  <c r="H143" i="15" s="1"/>
  <c r="H144" i="15" a="1"/>
  <c r="H144" i="15" s="1"/>
  <c r="H145" i="15" a="1"/>
  <c r="H145" i="15" s="1"/>
  <c r="H146" i="15" a="1"/>
  <c r="H146" i="15" s="1"/>
  <c r="H147" i="15" a="1"/>
  <c r="H147" i="15" s="1"/>
  <c r="H148" i="15" a="1"/>
  <c r="H148" i="15" s="1"/>
  <c r="H149" i="15" a="1"/>
  <c r="H149" i="15" s="1"/>
  <c r="H150" i="15" a="1"/>
  <c r="H150" i="15" s="1"/>
  <c r="H151" i="15" a="1"/>
  <c r="H151" i="15" s="1"/>
  <c r="H152" i="15" a="1"/>
  <c r="H152" i="15" s="1"/>
  <c r="H153" i="15" a="1"/>
  <c r="H153" i="15" s="1"/>
  <c r="H154" i="15" a="1"/>
  <c r="H154" i="15" s="1"/>
  <c r="H155" i="15" a="1"/>
  <c r="H155" i="15" s="1"/>
  <c r="H156" i="15" a="1"/>
  <c r="H156" i="15" s="1"/>
  <c r="H157" i="15" a="1"/>
  <c r="H157" i="15" s="1"/>
  <c r="H158" i="15" a="1"/>
  <c r="H158" i="15" s="1"/>
  <c r="H159" i="15" a="1"/>
  <c r="H159" i="15" s="1"/>
  <c r="H160" i="15" a="1"/>
  <c r="H160" i="15" s="1"/>
  <c r="H161" i="15" a="1"/>
  <c r="H161" i="15" s="1"/>
  <c r="H162" i="15" a="1"/>
  <c r="H162" i="15" s="1"/>
  <c r="H163" i="15" a="1"/>
  <c r="H163" i="15" s="1"/>
  <c r="H164" i="15" a="1"/>
  <c r="H164" i="15" s="1"/>
  <c r="H165" i="15" a="1"/>
  <c r="H165" i="15" s="1"/>
  <c r="H166" i="15" a="1"/>
  <c r="H166" i="15" s="1"/>
  <c r="H167" i="15" a="1"/>
  <c r="H167" i="15" s="1"/>
  <c r="H168" i="15" a="1"/>
  <c r="H168" i="15" s="1"/>
  <c r="H169" i="15" a="1"/>
  <c r="H169" i="15" s="1"/>
  <c r="H170" i="15" a="1"/>
  <c r="H170" i="15" s="1"/>
  <c r="H171" i="15" a="1"/>
  <c r="H171" i="15" s="1"/>
  <c r="H172" i="15" a="1"/>
  <c r="H172" i="15" s="1"/>
  <c r="H173" i="15" a="1"/>
  <c r="H173" i="15" s="1"/>
  <c r="H174" i="15" a="1"/>
  <c r="H174" i="15" s="1"/>
  <c r="H175" i="15" a="1"/>
  <c r="H175" i="15" s="1"/>
  <c r="H176" i="15" a="1"/>
  <c r="H176" i="15" s="1"/>
  <c r="H177" i="15" a="1"/>
  <c r="H177" i="15" s="1"/>
  <c r="H178" i="15" a="1"/>
  <c r="H178" i="15" s="1"/>
  <c r="H179" i="15" a="1"/>
  <c r="H179" i="15" s="1"/>
  <c r="H180" i="15" a="1"/>
  <c r="H180" i="15" s="1"/>
  <c r="H181" i="15" a="1"/>
  <c r="H181" i="15" s="1"/>
  <c r="H182" i="15" a="1"/>
  <c r="H182" i="15" s="1"/>
  <c r="H183" i="15" a="1"/>
  <c r="H183" i="15" s="1"/>
  <c r="H184" i="15" a="1"/>
  <c r="H184" i="15" s="1"/>
  <c r="H185" i="15" a="1"/>
  <c r="H185" i="15" s="1"/>
  <c r="H186" i="15" a="1"/>
  <c r="H186" i="15" s="1"/>
  <c r="H187" i="15" a="1"/>
  <c r="H187" i="15" s="1"/>
  <c r="H188" i="15" a="1"/>
  <c r="H188" i="15" s="1"/>
  <c r="H189" i="15" a="1"/>
  <c r="H189" i="15" s="1"/>
  <c r="H190" i="15" a="1"/>
  <c r="H190" i="15" s="1"/>
  <c r="H191" i="15" a="1"/>
  <c r="H191" i="15" s="1"/>
  <c r="H192" i="15" a="1"/>
  <c r="H192" i="15" s="1"/>
  <c r="H193" i="15" a="1"/>
  <c r="H193" i="15" s="1"/>
  <c r="H194" i="15" a="1"/>
  <c r="H194" i="15" s="1"/>
  <c r="H195" i="15" a="1"/>
  <c r="H195" i="15" s="1"/>
  <c r="H196" i="15" a="1"/>
  <c r="H196" i="15" s="1"/>
  <c r="H197" i="15" a="1"/>
  <c r="H197" i="15" s="1"/>
  <c r="H198" i="15" a="1"/>
  <c r="H198" i="15" s="1"/>
  <c r="H199" i="15" a="1"/>
  <c r="H199" i="15" s="1"/>
  <c r="H200" i="15" a="1"/>
  <c r="H200" i="15" s="1"/>
  <c r="H201" i="15" a="1"/>
  <c r="H201" i="15" s="1"/>
  <c r="H202" i="15" a="1"/>
  <c r="H202" i="15" s="1"/>
  <c r="H203" i="15" a="1"/>
  <c r="H203" i="15" s="1"/>
  <c r="H204" i="15" a="1"/>
  <c r="H204" i="15" s="1"/>
  <c r="H205" i="15" a="1"/>
  <c r="H205" i="15" s="1"/>
  <c r="H206" i="15" a="1"/>
  <c r="H206" i="15" s="1"/>
  <c r="H207" i="15" a="1"/>
  <c r="H207" i="15" s="1"/>
  <c r="H208" i="15" a="1"/>
  <c r="H208" i="15" s="1"/>
  <c r="H209" i="15" a="1"/>
  <c r="H209" i="15" s="1"/>
  <c r="H210" i="15" a="1"/>
  <c r="H210" i="15" s="1"/>
  <c r="H211" i="15" a="1"/>
  <c r="H211" i="15" s="1"/>
  <c r="H212" i="15" a="1"/>
  <c r="H212" i="15" s="1"/>
  <c r="H213" i="15" a="1"/>
  <c r="H213" i="15" s="1"/>
  <c r="H214" i="15" a="1"/>
  <c r="H214" i="15" s="1"/>
  <c r="H215" i="15" a="1"/>
  <c r="H215" i="15" s="1"/>
  <c r="H216" i="15" a="1"/>
  <c r="H216" i="15" s="1"/>
  <c r="H217" i="15" a="1"/>
  <c r="H217" i="15" s="1"/>
  <c r="H218" i="15" a="1"/>
  <c r="H218" i="15" s="1"/>
  <c r="H219" i="15" a="1"/>
  <c r="H219" i="15" s="1"/>
  <c r="H220" i="15" a="1"/>
  <c r="H220" i="15" s="1"/>
  <c r="H221" i="15" a="1"/>
  <c r="H221" i="15" s="1"/>
  <c r="H222" i="15" a="1"/>
  <c r="H222" i="15" s="1"/>
  <c r="H223" i="15" a="1"/>
  <c r="H223" i="15" s="1"/>
  <c r="H224" i="15" a="1"/>
  <c r="H224" i="15" s="1"/>
  <c r="H225" i="15" a="1"/>
  <c r="H225" i="15" s="1"/>
  <c r="H226" i="15" a="1"/>
  <c r="H226" i="15" s="1"/>
  <c r="H227" i="15" a="1"/>
  <c r="H227" i="15" s="1"/>
  <c r="H228" i="15" a="1"/>
  <c r="H228" i="15" s="1"/>
  <c r="H229" i="15" a="1"/>
  <c r="H229" i="15" s="1"/>
  <c r="H230" i="15" a="1"/>
  <c r="H230" i="15" s="1"/>
  <c r="H231" i="15" a="1"/>
  <c r="H231" i="15" s="1"/>
  <c r="H232" i="15" a="1"/>
  <c r="H232" i="15" s="1"/>
  <c r="H233" i="15" a="1"/>
  <c r="H233" i="15" s="1"/>
  <c r="H234" i="15" a="1"/>
  <c r="H234" i="15" s="1"/>
  <c r="H235" i="15" a="1"/>
  <c r="H235" i="15" s="1"/>
  <c r="H236" i="15" a="1"/>
  <c r="H236" i="15" s="1"/>
  <c r="H237" i="15" a="1"/>
  <c r="H237" i="15" s="1"/>
  <c r="H238" i="15" a="1"/>
  <c r="H238" i="15" s="1"/>
  <c r="H239" i="15" a="1"/>
  <c r="H239" i="15" s="1"/>
  <c r="H240" i="15" a="1"/>
  <c r="H240" i="15" s="1"/>
  <c r="H241" i="15" a="1"/>
  <c r="H241" i="15" s="1"/>
  <c r="H242" i="15" a="1"/>
  <c r="H242" i="15" s="1"/>
  <c r="H243" i="15" a="1"/>
  <c r="H243" i="15" s="1"/>
  <c r="H244" i="15" a="1"/>
  <c r="H244" i="15" s="1"/>
  <c r="H245" i="15" a="1"/>
  <c r="H245" i="15" s="1"/>
  <c r="H246" i="15" a="1"/>
  <c r="H246" i="15" s="1"/>
  <c r="H247" i="15" a="1"/>
  <c r="H247" i="15" s="1"/>
  <c r="H248" i="15" a="1"/>
  <c r="H248" i="15" s="1"/>
  <c r="H249" i="15" a="1"/>
  <c r="H249" i="15" s="1"/>
  <c r="H250" i="15" a="1"/>
  <c r="H250" i="15" s="1"/>
  <c r="H251" i="15" a="1"/>
  <c r="H251" i="15" s="1"/>
  <c r="H252" i="15" a="1"/>
  <c r="H252" i="15" s="1"/>
  <c r="H253" i="15" a="1"/>
  <c r="H253" i="15" s="1"/>
  <c r="H254" i="15" a="1"/>
  <c r="H254" i="15" s="1"/>
  <c r="H255" i="15" a="1"/>
  <c r="H255" i="15" s="1"/>
  <c r="H256" i="15" a="1"/>
  <c r="H256" i="15" s="1"/>
  <c r="H257" i="15" a="1"/>
  <c r="H257" i="15" s="1"/>
  <c r="H258" i="15" a="1"/>
  <c r="H258" i="15" s="1"/>
  <c r="H259" i="15" a="1"/>
  <c r="H259" i="15" s="1"/>
  <c r="H260" i="15" a="1"/>
  <c r="H260" i="15" s="1"/>
  <c r="H261" i="15" a="1"/>
  <c r="H261" i="15" s="1"/>
  <c r="H262" i="15" a="1"/>
  <c r="H262" i="15" s="1"/>
  <c r="H263" i="15" a="1"/>
  <c r="H263" i="15" s="1"/>
  <c r="H264" i="15" a="1"/>
  <c r="H264" i="15" s="1"/>
  <c r="H265" i="15" a="1"/>
  <c r="H265" i="15" s="1"/>
  <c r="H266" i="15" a="1"/>
  <c r="H266" i="15" s="1"/>
  <c r="H267" i="15" a="1"/>
  <c r="H267" i="15" s="1"/>
  <c r="H268" i="15" a="1"/>
  <c r="H268" i="15" s="1"/>
  <c r="H269" i="15" a="1"/>
  <c r="H269" i="15" s="1"/>
  <c r="H270" i="15" a="1"/>
  <c r="H270" i="15" s="1"/>
  <c r="H271" i="15" a="1"/>
  <c r="H271" i="15" s="1"/>
  <c r="H272" i="15" a="1"/>
  <c r="H272" i="15" s="1"/>
  <c r="H273" i="15" a="1"/>
  <c r="H273" i="15" s="1"/>
  <c r="H274" i="15" a="1"/>
  <c r="H274" i="15" s="1"/>
  <c r="H275" i="15" a="1"/>
  <c r="H275" i="15" s="1"/>
  <c r="H276" i="15" a="1"/>
  <c r="H276" i="15" s="1"/>
  <c r="H277" i="15" a="1"/>
  <c r="H277" i="15" s="1"/>
  <c r="H278" i="15" a="1"/>
  <c r="H278" i="15" s="1"/>
  <c r="H279" i="15" a="1"/>
  <c r="H279" i="15" s="1"/>
  <c r="H280" i="15" a="1"/>
  <c r="H280" i="15" s="1"/>
  <c r="H281" i="15" a="1"/>
  <c r="H281" i="15" s="1"/>
  <c r="H282" i="15" a="1"/>
  <c r="H282" i="15" s="1"/>
  <c r="H283" i="15" a="1"/>
  <c r="H283" i="15" s="1"/>
  <c r="H284" i="15" a="1"/>
  <c r="H284" i="15" s="1"/>
  <c r="H285" i="15" a="1"/>
  <c r="H285" i="15" s="1"/>
  <c r="H286" i="15" a="1"/>
  <c r="H286" i="15" s="1"/>
  <c r="H287" i="15" a="1"/>
  <c r="H287" i="15" s="1"/>
  <c r="H288" i="15" a="1"/>
  <c r="H288" i="15" s="1"/>
  <c r="H289" i="15" a="1"/>
  <c r="H289" i="15" s="1"/>
  <c r="H290" i="15" a="1"/>
  <c r="H290" i="15" s="1"/>
  <c r="H291" i="15" a="1"/>
  <c r="H291" i="15" s="1"/>
  <c r="H292" i="15" a="1"/>
  <c r="H292" i="15" s="1"/>
  <c r="H293" i="15" a="1"/>
  <c r="H293" i="15" s="1"/>
  <c r="H294" i="15" a="1"/>
  <c r="H294" i="15" s="1"/>
  <c r="H295" i="15" a="1"/>
  <c r="H295" i="15" s="1"/>
  <c r="H296" i="15" a="1"/>
  <c r="H296" i="15" s="1"/>
  <c r="H297" i="15" a="1"/>
  <c r="H297" i="15" s="1"/>
  <c r="H298" i="15" a="1"/>
  <c r="H298" i="15" s="1"/>
  <c r="H299" i="15" a="1"/>
  <c r="H299" i="15" s="1"/>
  <c r="H300" i="15" a="1"/>
  <c r="H300" i="15" s="1"/>
  <c r="H301" i="15" a="1"/>
  <c r="H301" i="15" s="1"/>
  <c r="H302" i="15" a="1"/>
  <c r="H302" i="15" s="1"/>
  <c r="H303" i="15" a="1"/>
  <c r="H303" i="15" s="1"/>
  <c r="H304" i="15" a="1"/>
  <c r="H304" i="15" s="1"/>
  <c r="H305" i="15" a="1"/>
  <c r="H305" i="15" s="1"/>
  <c r="H306" i="15" a="1"/>
  <c r="H306" i="15" s="1"/>
  <c r="H307" i="15" a="1"/>
  <c r="H307" i="15" s="1"/>
  <c r="H308" i="15" a="1"/>
  <c r="H308" i="15" s="1"/>
  <c r="H309" i="15" a="1"/>
  <c r="H309" i="15" s="1"/>
  <c r="H310" i="15" a="1"/>
  <c r="H310" i="15" s="1"/>
  <c r="H311" i="15" a="1"/>
  <c r="H311" i="15" s="1"/>
  <c r="H312" i="15" a="1"/>
  <c r="H312" i="15" s="1"/>
  <c r="H313" i="15" a="1"/>
  <c r="H313" i="15" s="1"/>
  <c r="H314" i="15" a="1"/>
  <c r="H314" i="15" s="1"/>
  <c r="H315" i="15" a="1"/>
  <c r="H315" i="15" s="1"/>
  <c r="H316" i="15" a="1"/>
  <c r="H316" i="15" s="1"/>
  <c r="H317" i="15" a="1"/>
  <c r="H317" i="15" s="1"/>
  <c r="H318" i="15" a="1"/>
  <c r="H318" i="15" s="1"/>
  <c r="H319" i="15" a="1"/>
  <c r="H319" i="15" s="1"/>
  <c r="H320" i="15" a="1"/>
  <c r="H320" i="15" s="1"/>
  <c r="H321" i="15" a="1"/>
  <c r="H321" i="15" s="1"/>
  <c r="H322" i="15" a="1"/>
  <c r="H322" i="15" s="1"/>
  <c r="H323" i="15" a="1"/>
  <c r="H323" i="15" s="1"/>
  <c r="H324" i="15" a="1"/>
  <c r="H324" i="15" s="1"/>
  <c r="H325" i="15" a="1"/>
  <c r="H325" i="15" s="1"/>
  <c r="H326" i="15" a="1"/>
  <c r="H326" i="15" s="1"/>
  <c r="H327" i="15" a="1"/>
  <c r="H327" i="15" s="1"/>
  <c r="H328" i="15" a="1"/>
  <c r="H328" i="15" s="1"/>
  <c r="H329" i="15" a="1"/>
  <c r="H329" i="15" s="1"/>
  <c r="H330" i="15" a="1"/>
  <c r="H330" i="15" s="1"/>
  <c r="H331" i="15" a="1"/>
  <c r="H331" i="15" s="1"/>
  <c r="H332" i="15" a="1"/>
  <c r="H332" i="15" s="1"/>
  <c r="H333" i="15" a="1"/>
  <c r="H333" i="15" s="1"/>
  <c r="H334" i="15" a="1"/>
  <c r="H334" i="15" s="1"/>
  <c r="H335" i="15" a="1"/>
  <c r="H335" i="15" s="1"/>
  <c r="H336" i="15" a="1"/>
  <c r="H336" i="15" s="1"/>
  <c r="H337" i="15" a="1"/>
  <c r="H337" i="15" s="1"/>
  <c r="H338" i="15" a="1"/>
  <c r="H338" i="15" s="1"/>
  <c r="H339" i="15" a="1"/>
  <c r="H339" i="15" s="1"/>
  <c r="H340" i="15" a="1"/>
  <c r="H340" i="15" s="1"/>
  <c r="H341" i="15" a="1"/>
  <c r="H341" i="15" s="1"/>
  <c r="H342" i="15" a="1"/>
  <c r="H342" i="15" s="1"/>
  <c r="H343" i="15" a="1"/>
  <c r="H343" i="15" s="1"/>
  <c r="H344" i="15" a="1"/>
  <c r="H344" i="15" s="1"/>
  <c r="H345" i="15" a="1"/>
  <c r="H345" i="15" s="1"/>
  <c r="H346" i="15" a="1"/>
  <c r="H346" i="15" s="1"/>
  <c r="H347" i="15" a="1"/>
  <c r="H347" i="15" s="1"/>
  <c r="H348" i="15" a="1"/>
  <c r="H348" i="15" s="1"/>
  <c r="H349" i="15" a="1"/>
  <c r="H349" i="15" s="1"/>
  <c r="H350" i="15" a="1"/>
  <c r="H350" i="15" s="1"/>
  <c r="H351" i="15" a="1"/>
  <c r="H351" i="15" s="1"/>
  <c r="H352" i="15" a="1"/>
  <c r="H352" i="15" s="1"/>
  <c r="H353" i="15" a="1"/>
  <c r="H353" i="15" s="1"/>
  <c r="H354" i="15" a="1"/>
  <c r="H354" i="15" s="1"/>
  <c r="H355" i="15" a="1"/>
  <c r="H355" i="15" s="1"/>
  <c r="H356" i="15" a="1"/>
  <c r="H356" i="15" s="1"/>
  <c r="H357" i="15" a="1"/>
  <c r="H357" i="15" s="1"/>
  <c r="H358" i="15" a="1"/>
  <c r="H358" i="15" s="1"/>
  <c r="H359" i="15" a="1"/>
  <c r="H359" i="15" s="1"/>
  <c r="H360" i="15" a="1"/>
  <c r="H360" i="15" s="1"/>
  <c r="H361" i="15" a="1"/>
  <c r="H361" i="15" s="1"/>
  <c r="H362" i="15" a="1"/>
  <c r="H362" i="15" s="1"/>
  <c r="H363" i="15" a="1"/>
  <c r="H363" i="15" s="1"/>
  <c r="H364" i="15" a="1"/>
  <c r="H364" i="15" s="1"/>
  <c r="H365" i="15" a="1"/>
  <c r="H365" i="15" s="1"/>
  <c r="H366" i="15" a="1"/>
  <c r="H366" i="15" s="1"/>
  <c r="H367" i="15" a="1"/>
  <c r="H367" i="15" s="1"/>
  <c r="H368" i="15" a="1"/>
  <c r="H368" i="15" s="1"/>
  <c r="H369" i="15" a="1"/>
  <c r="H369" i="15" s="1"/>
  <c r="H370" i="15" a="1"/>
  <c r="H370" i="15" s="1"/>
  <c r="H371" i="15" a="1"/>
  <c r="H371" i="15" s="1"/>
  <c r="H372" i="15" a="1"/>
  <c r="H372" i="15" s="1"/>
  <c r="H373" i="15" a="1"/>
  <c r="H373" i="15" s="1"/>
  <c r="H374" i="15" a="1"/>
  <c r="H374" i="15" s="1"/>
  <c r="H375" i="15" a="1"/>
  <c r="H375" i="15" s="1"/>
  <c r="H376" i="15" a="1"/>
  <c r="H376" i="15" s="1"/>
  <c r="H377" i="15" a="1"/>
  <c r="H377" i="15" s="1"/>
  <c r="H378" i="15" a="1"/>
  <c r="H378" i="15" s="1"/>
  <c r="H379" i="15" a="1"/>
  <c r="H379" i="15" s="1"/>
  <c r="H380" i="15" a="1"/>
  <c r="H380" i="15" s="1"/>
  <c r="H381" i="15" a="1"/>
  <c r="H381" i="15" s="1"/>
  <c r="H382" i="15" a="1"/>
  <c r="H382" i="15" s="1"/>
  <c r="H383" i="15" a="1"/>
  <c r="H383" i="15" s="1"/>
  <c r="H384" i="15" a="1"/>
  <c r="H384" i="15" s="1"/>
  <c r="H385" i="15" a="1"/>
  <c r="H385" i="15" s="1"/>
  <c r="H386" i="15" a="1"/>
  <c r="H386" i="15" s="1"/>
  <c r="H387" i="15" a="1"/>
  <c r="H387" i="15" s="1"/>
  <c r="H388" i="15" a="1"/>
  <c r="H388" i="15" s="1"/>
  <c r="H389" i="15" a="1"/>
  <c r="H389" i="15" s="1"/>
  <c r="H390" i="15" a="1"/>
  <c r="H390" i="15" s="1"/>
  <c r="H391" i="15" a="1"/>
  <c r="H391" i="15" s="1"/>
  <c r="H392" i="15" a="1"/>
  <c r="H392" i="15" s="1"/>
  <c r="H393" i="15" a="1"/>
  <c r="H393" i="15" s="1"/>
  <c r="H394" i="15" a="1"/>
  <c r="H394" i="15" s="1"/>
  <c r="H395" i="15" a="1"/>
  <c r="H395" i="15" s="1"/>
  <c r="H396" i="15" a="1"/>
  <c r="H396" i="15" s="1"/>
  <c r="H397" i="15" a="1"/>
  <c r="H397" i="15" s="1"/>
  <c r="H398" i="15" a="1"/>
  <c r="H398" i="15" s="1"/>
  <c r="H399" i="15" a="1"/>
  <c r="H399" i="15" s="1"/>
  <c r="H400" i="15" a="1"/>
  <c r="H400" i="15" s="1"/>
  <c r="H401" i="15" a="1"/>
  <c r="H401" i="15" s="1"/>
  <c r="H402" i="15" a="1"/>
  <c r="H402" i="15" s="1"/>
  <c r="H403" i="15" a="1"/>
  <c r="H403" i="15" s="1"/>
  <c r="H404" i="15" a="1"/>
  <c r="H404" i="15" s="1"/>
  <c r="H405" i="15" a="1"/>
  <c r="H405" i="15" s="1"/>
  <c r="H406" i="15" a="1"/>
  <c r="H406" i="15" s="1"/>
  <c r="H407" i="15" a="1"/>
  <c r="H407" i="15" s="1"/>
  <c r="H408" i="15" a="1"/>
  <c r="H408" i="15" s="1"/>
  <c r="H409" i="15" a="1"/>
  <c r="H409" i="15" s="1"/>
  <c r="H410" i="15" a="1"/>
  <c r="H410" i="15" s="1"/>
  <c r="H411" i="15" a="1"/>
  <c r="H411" i="15" s="1"/>
  <c r="H412" i="15" a="1"/>
  <c r="H412" i="15" s="1"/>
  <c r="H413" i="15" a="1"/>
  <c r="H413" i="15" s="1"/>
  <c r="H414" i="15" a="1"/>
  <c r="H414" i="15" s="1"/>
  <c r="H415" i="15" a="1"/>
  <c r="H415" i="15" s="1"/>
  <c r="H416" i="15" a="1"/>
  <c r="H416" i="15" s="1"/>
  <c r="H417" i="15" a="1"/>
  <c r="H417" i="15" s="1"/>
  <c r="H418" i="15" a="1"/>
  <c r="H418" i="15" s="1"/>
  <c r="H419" i="15" a="1"/>
  <c r="H419" i="15" s="1"/>
  <c r="H420" i="15" a="1"/>
  <c r="H420" i="15" s="1"/>
  <c r="H421" i="15" a="1"/>
  <c r="H421" i="15" s="1"/>
  <c r="H422" i="15" a="1"/>
  <c r="H422" i="15" s="1"/>
  <c r="H423" i="15" a="1"/>
  <c r="H423" i="15" s="1"/>
  <c r="H424" i="15" a="1"/>
  <c r="H424" i="15" s="1"/>
  <c r="H425" i="15" a="1"/>
  <c r="H425" i="15" s="1"/>
  <c r="H426" i="15" a="1"/>
  <c r="H426" i="15" s="1"/>
  <c r="H427" i="15" a="1"/>
  <c r="H427" i="15" s="1"/>
  <c r="H428" i="15" a="1"/>
  <c r="H428" i="15" s="1"/>
  <c r="H429" i="15" a="1"/>
  <c r="H429" i="15" s="1"/>
  <c r="H430" i="15" a="1"/>
  <c r="H430" i="15" s="1"/>
  <c r="H431" i="15" a="1"/>
  <c r="H431" i="15" s="1"/>
  <c r="H432" i="15" a="1"/>
  <c r="H432" i="15" s="1"/>
  <c r="H433" i="15" a="1"/>
  <c r="H433" i="15" s="1"/>
  <c r="H434" i="15" a="1"/>
  <c r="H434" i="15" s="1"/>
  <c r="H435" i="15" a="1"/>
  <c r="H435" i="15" s="1"/>
  <c r="H436" i="15" a="1"/>
  <c r="H436" i="15" s="1"/>
  <c r="H437" i="15" a="1"/>
  <c r="H437" i="15" s="1"/>
  <c r="H438" i="15" a="1"/>
  <c r="H438" i="15" s="1"/>
  <c r="H439" i="15" a="1"/>
  <c r="H439" i="15" s="1"/>
  <c r="H440" i="15" a="1"/>
  <c r="H440" i="15" s="1"/>
  <c r="H441" i="15" a="1"/>
  <c r="H441" i="15" s="1"/>
  <c r="H442" i="15" a="1"/>
  <c r="H442" i="15" s="1"/>
  <c r="H443" i="15" a="1"/>
  <c r="H443" i="15" s="1"/>
  <c r="H444" i="15" a="1"/>
  <c r="H444" i="15" s="1"/>
  <c r="H445" i="15" a="1"/>
  <c r="H445" i="15" s="1"/>
  <c r="H446" i="15" a="1"/>
  <c r="H446" i="15" s="1"/>
  <c r="H447" i="15" a="1"/>
  <c r="H447" i="15" s="1"/>
  <c r="H448" i="15" a="1"/>
  <c r="H448" i="15" s="1"/>
  <c r="H449" i="15" a="1"/>
  <c r="H449" i="15" s="1"/>
  <c r="H450" i="15" a="1"/>
  <c r="H450" i="15" s="1"/>
  <c r="H451" i="15" a="1"/>
  <c r="H451" i="15" s="1"/>
  <c r="H452" i="15" a="1"/>
  <c r="H452" i="15" s="1"/>
  <c r="H453" i="15" a="1"/>
  <c r="H453" i="15" s="1"/>
  <c r="H454" i="15" a="1"/>
  <c r="H454" i="15" s="1"/>
  <c r="H455" i="15" a="1"/>
  <c r="H455" i="15" s="1"/>
  <c r="H456" i="15" a="1"/>
  <c r="H456" i="15" s="1"/>
  <c r="H457" i="15" a="1"/>
  <c r="H457" i="15" s="1"/>
  <c r="H458" i="15" a="1"/>
  <c r="H458" i="15" s="1"/>
  <c r="H459" i="15" a="1"/>
  <c r="H459" i="15" s="1"/>
  <c r="H460" i="15" a="1"/>
  <c r="H460" i="15" s="1"/>
  <c r="H461" i="15" a="1"/>
  <c r="H461" i="15" s="1"/>
  <c r="H462" i="15" a="1"/>
  <c r="H462" i="15" s="1"/>
  <c r="H463" i="15" a="1"/>
  <c r="H463" i="15" s="1"/>
  <c r="H464" i="15" a="1"/>
  <c r="H464" i="15" s="1"/>
  <c r="H465" i="15" a="1"/>
  <c r="H465" i="15" s="1"/>
  <c r="H466" i="15" a="1"/>
  <c r="H466" i="15" s="1"/>
  <c r="H467" i="15" a="1"/>
  <c r="H467" i="15" s="1"/>
  <c r="H468" i="15" a="1"/>
  <c r="H468" i="15" s="1"/>
  <c r="H469" i="15" a="1"/>
  <c r="H469" i="15" s="1"/>
  <c r="H470" i="15" a="1"/>
  <c r="H470" i="15" s="1"/>
  <c r="H471" i="15" a="1"/>
  <c r="H471" i="15" s="1"/>
  <c r="H472" i="15" a="1"/>
  <c r="H472" i="15" s="1"/>
  <c r="H473" i="15" a="1"/>
  <c r="H473" i="15" s="1"/>
  <c r="H474" i="15" a="1"/>
  <c r="H474" i="15" s="1"/>
  <c r="H475" i="15" a="1"/>
  <c r="H475" i="15" s="1"/>
  <c r="H476" i="15" a="1"/>
  <c r="H476" i="15" s="1"/>
  <c r="H477" i="15" a="1"/>
  <c r="H477" i="15" s="1"/>
  <c r="H478" i="15" a="1"/>
  <c r="H478" i="15" s="1"/>
  <c r="H479" i="15" a="1"/>
  <c r="H479" i="15" s="1"/>
  <c r="H480" i="15" a="1"/>
  <c r="H480" i="15" s="1"/>
  <c r="H481" i="15" a="1"/>
  <c r="H481" i="15" s="1"/>
  <c r="H482" i="15" a="1"/>
  <c r="H482" i="15" s="1"/>
  <c r="H483" i="15" a="1"/>
  <c r="H483" i="15" s="1"/>
  <c r="H484" i="15" a="1"/>
  <c r="H484" i="15" s="1"/>
  <c r="H485" i="15" a="1"/>
  <c r="H485" i="15" s="1"/>
  <c r="H486" i="15" a="1"/>
  <c r="H486" i="15" s="1"/>
  <c r="H487" i="15" a="1"/>
  <c r="H487" i="15" s="1"/>
  <c r="H488" i="15" a="1"/>
  <c r="H488" i="15" s="1"/>
  <c r="H489" i="15" a="1"/>
  <c r="H489" i="15" s="1"/>
  <c r="H490" i="15" a="1"/>
  <c r="H490" i="15" s="1"/>
  <c r="H491" i="15" a="1"/>
  <c r="H491" i="15" s="1"/>
  <c r="H492" i="15" a="1"/>
  <c r="H492" i="15" s="1"/>
  <c r="H493" i="15" a="1"/>
  <c r="H493" i="15" s="1"/>
  <c r="H494" i="15" a="1"/>
  <c r="H494" i="15" s="1"/>
  <c r="H495" i="15" a="1"/>
  <c r="H495" i="15" s="1"/>
  <c r="H496" i="15" a="1"/>
  <c r="H496" i="15" s="1"/>
  <c r="H497" i="15" a="1"/>
  <c r="H497" i="15" s="1"/>
  <c r="H498" i="15" a="1"/>
  <c r="H498" i="15" s="1"/>
  <c r="H499" i="15" a="1"/>
  <c r="H499" i="15" s="1"/>
  <c r="H500" i="15" a="1"/>
  <c r="H500" i="15" s="1"/>
  <c r="H501" i="15" a="1"/>
  <c r="H501" i="15" s="1"/>
  <c r="H502" i="15" a="1"/>
  <c r="H502" i="15" s="1"/>
  <c r="H503" i="15" a="1"/>
  <c r="H503" i="15" s="1"/>
  <c r="H504" i="15" a="1"/>
  <c r="H504" i="15" s="1"/>
  <c r="H505" i="15" a="1"/>
  <c r="H505" i="15" s="1"/>
  <c r="H506" i="15" a="1"/>
  <c r="H506" i="15" s="1"/>
  <c r="H507" i="15" a="1"/>
  <c r="H507" i="15" s="1"/>
  <c r="H508" i="15" a="1"/>
  <c r="H508" i="15" s="1"/>
  <c r="H509" i="15" a="1"/>
  <c r="H509" i="15" s="1"/>
  <c r="H510" i="15" a="1"/>
  <c r="H510" i="15" s="1"/>
  <c r="H511" i="15" a="1"/>
  <c r="H511" i="15" s="1"/>
  <c r="H512" i="15" a="1"/>
  <c r="H512" i="15" s="1"/>
  <c r="H513" i="15" a="1"/>
  <c r="H513" i="15" s="1"/>
  <c r="H514" i="15" a="1"/>
  <c r="H514" i="15" s="1"/>
  <c r="H515" i="15" a="1"/>
  <c r="H515" i="15" s="1"/>
  <c r="H516" i="15" a="1"/>
  <c r="H516" i="15" s="1"/>
  <c r="H517" i="15" a="1"/>
  <c r="H517" i="15" s="1"/>
  <c r="H518" i="15" a="1"/>
  <c r="H518" i="15" s="1"/>
  <c r="H519" i="15" a="1"/>
  <c r="H519" i="15" s="1"/>
  <c r="H520" i="15" a="1"/>
  <c r="H520" i="15" s="1"/>
  <c r="H521" i="15" a="1"/>
  <c r="H521" i="15" s="1"/>
  <c r="H522" i="15" a="1"/>
  <c r="H522" i="15" s="1"/>
  <c r="H523" i="15" a="1"/>
  <c r="H523" i="15" s="1"/>
  <c r="H524" i="15" a="1"/>
  <c r="H524" i="15" s="1"/>
  <c r="H525" i="15" a="1"/>
  <c r="H525" i="15" s="1"/>
  <c r="H526" i="15" a="1"/>
  <c r="H526" i="15" s="1"/>
  <c r="H527" i="15" a="1"/>
  <c r="H527" i="15" s="1"/>
  <c r="H528" i="15" a="1"/>
  <c r="H528" i="15" s="1"/>
  <c r="H529" i="15" a="1"/>
  <c r="H529" i="15" s="1"/>
  <c r="H530" i="15" a="1"/>
  <c r="H530" i="15" s="1"/>
  <c r="H531" i="15" a="1"/>
  <c r="H531" i="15" s="1"/>
  <c r="H532" i="15" a="1"/>
  <c r="H532" i="15" s="1"/>
  <c r="H533" i="15" a="1"/>
  <c r="H533" i="15" s="1"/>
  <c r="H534" i="15" a="1"/>
  <c r="H534" i="15" s="1"/>
  <c r="H535" i="15" a="1"/>
  <c r="H535" i="15" s="1"/>
  <c r="H536" i="15" a="1"/>
  <c r="H536" i="15" s="1"/>
  <c r="H537" i="15" a="1"/>
  <c r="H537" i="15" s="1"/>
  <c r="H538" i="15" a="1"/>
  <c r="H538" i="15" s="1"/>
  <c r="H539" i="15" a="1"/>
  <c r="H539" i="15" s="1"/>
  <c r="H540" i="15" a="1"/>
  <c r="H540" i="15" s="1"/>
  <c r="H541" i="15" a="1"/>
  <c r="H541" i="15" s="1"/>
  <c r="H542" i="15" a="1"/>
  <c r="H542" i="15" s="1"/>
  <c r="H543" i="15" a="1"/>
  <c r="H543" i="15" s="1"/>
  <c r="H544" i="15" a="1"/>
  <c r="H544" i="15" s="1"/>
  <c r="H545" i="15" a="1"/>
  <c r="H545" i="15" s="1"/>
  <c r="H546" i="15" a="1"/>
  <c r="H546" i="15" s="1"/>
  <c r="H547" i="15" a="1"/>
  <c r="H547" i="15" s="1"/>
  <c r="H548" i="15" a="1"/>
  <c r="H548" i="15" s="1"/>
  <c r="H549" i="15" a="1"/>
  <c r="H549" i="15" s="1"/>
  <c r="H550" i="15" a="1"/>
  <c r="H550" i="15" s="1"/>
  <c r="H551" i="15" a="1"/>
  <c r="H551" i="15" s="1"/>
  <c r="H552" i="15" a="1"/>
  <c r="H552" i="15" s="1"/>
  <c r="H553" i="15" a="1"/>
  <c r="H553" i="15" s="1"/>
  <c r="H554" i="15" a="1"/>
  <c r="H554" i="15" s="1"/>
  <c r="H555" i="15" a="1"/>
  <c r="H555" i="15" s="1"/>
  <c r="H556" i="15" a="1"/>
  <c r="H556" i="15" s="1"/>
  <c r="H557" i="15" a="1"/>
  <c r="H557" i="15" s="1"/>
  <c r="H558" i="15" a="1"/>
  <c r="H558" i="15" s="1"/>
  <c r="H559" i="15" a="1"/>
  <c r="H559" i="15" s="1"/>
  <c r="H560" i="15" a="1"/>
  <c r="H560" i="15" s="1"/>
  <c r="H561" i="15" a="1"/>
  <c r="H561" i="15" s="1"/>
  <c r="H562" i="15" a="1"/>
  <c r="H562" i="15" s="1"/>
  <c r="H563" i="15" a="1"/>
  <c r="H563" i="15" s="1"/>
  <c r="H564" i="15" a="1"/>
  <c r="H564" i="15" s="1"/>
  <c r="H565" i="15" a="1"/>
  <c r="H565" i="15" s="1"/>
  <c r="H566" i="15" a="1"/>
  <c r="H566" i="15" s="1"/>
  <c r="H567" i="15" a="1"/>
  <c r="H567" i="15" s="1"/>
  <c r="H568" i="15" a="1"/>
  <c r="H568" i="15" s="1"/>
  <c r="H569" i="15" a="1"/>
  <c r="H569" i="15" s="1"/>
  <c r="H570" i="15" a="1"/>
  <c r="H570" i="15" s="1"/>
  <c r="H571" i="15" a="1"/>
  <c r="H571" i="15" s="1"/>
  <c r="H572" i="15" a="1"/>
  <c r="H572" i="15" s="1"/>
  <c r="H573" i="15" a="1"/>
  <c r="H573" i="15" s="1"/>
  <c r="H574" i="15" a="1"/>
  <c r="H574" i="15" s="1"/>
  <c r="H575" i="15" a="1"/>
  <c r="H575" i="15" s="1"/>
  <c r="H576" i="15" a="1"/>
  <c r="H576" i="15" s="1"/>
  <c r="H577" i="15" a="1"/>
  <c r="H577" i="15" s="1"/>
  <c r="H578" i="15" a="1"/>
  <c r="H578" i="15" s="1"/>
  <c r="H579" i="15" a="1"/>
  <c r="H579" i="15" s="1"/>
  <c r="H580" i="15" a="1"/>
  <c r="H580" i="15" s="1"/>
  <c r="H581" i="15" a="1"/>
  <c r="H581" i="15" s="1"/>
  <c r="H582" i="15" a="1"/>
  <c r="H582" i="15" s="1"/>
  <c r="H583" i="15" a="1"/>
  <c r="H583" i="15" s="1"/>
  <c r="H584" i="15" a="1"/>
  <c r="H584" i="15" s="1"/>
  <c r="H585" i="15" a="1"/>
  <c r="H585" i="15" s="1"/>
  <c r="H586" i="15" a="1"/>
  <c r="H586" i="15" s="1"/>
  <c r="H587" i="15" a="1"/>
  <c r="H587" i="15" s="1"/>
  <c r="H588" i="15" a="1"/>
  <c r="H588" i="15" s="1"/>
  <c r="H589" i="15" a="1"/>
  <c r="H589" i="15" s="1"/>
  <c r="H590" i="15" a="1"/>
  <c r="H590" i="15" s="1"/>
  <c r="H591" i="15" a="1"/>
  <c r="H591" i="15" s="1"/>
  <c r="H592" i="15" a="1"/>
  <c r="H592" i="15" s="1"/>
  <c r="H593" i="15" a="1"/>
  <c r="H593" i="15" s="1"/>
  <c r="H594" i="15" a="1"/>
  <c r="H594" i="15" s="1"/>
  <c r="H595" i="15" a="1"/>
  <c r="H595" i="15" s="1"/>
  <c r="H596" i="15" a="1"/>
  <c r="H596" i="15" s="1"/>
  <c r="H597" i="15" a="1"/>
  <c r="H597" i="15" s="1"/>
  <c r="H598" i="15" a="1"/>
  <c r="H598" i="15" s="1"/>
  <c r="H599" i="15" a="1"/>
  <c r="H599" i="15" s="1"/>
  <c r="H600" i="15" a="1"/>
  <c r="H600" i="15" s="1"/>
  <c r="H601" i="15" a="1"/>
  <c r="H601" i="15" s="1"/>
  <c r="H602" i="15" a="1"/>
  <c r="H602" i="15" s="1"/>
  <c r="H603" i="15" a="1"/>
  <c r="H603" i="15" s="1"/>
  <c r="H604" i="15" a="1"/>
  <c r="H604" i="15" s="1"/>
  <c r="H605" i="15" a="1"/>
  <c r="H605" i="15" s="1"/>
  <c r="H606" i="15" a="1"/>
  <c r="H606" i="15" s="1"/>
  <c r="H607" i="15" a="1"/>
  <c r="H607" i="15" s="1"/>
  <c r="H608" i="15" a="1"/>
  <c r="H608" i="15" s="1"/>
  <c r="H609" i="15" a="1"/>
  <c r="H609" i="15" s="1"/>
  <c r="H610" i="15" a="1"/>
  <c r="H610" i="15" s="1"/>
  <c r="H611" i="15" a="1"/>
  <c r="H611" i="15" s="1"/>
  <c r="H612" i="15" a="1"/>
  <c r="H612" i="15" s="1"/>
  <c r="H613" i="15" a="1"/>
  <c r="H613" i="15" s="1"/>
  <c r="H614" i="15" a="1"/>
  <c r="H614" i="15" s="1"/>
  <c r="H615" i="15" a="1"/>
  <c r="H615" i="15" s="1"/>
  <c r="H616" i="15" a="1"/>
  <c r="H616" i="15" s="1"/>
  <c r="H617" i="15" a="1"/>
  <c r="H617" i="15" s="1"/>
  <c r="H618" i="15" a="1"/>
  <c r="H618" i="15" s="1"/>
  <c r="H619" i="15" a="1"/>
  <c r="H619" i="15" s="1"/>
  <c r="H620" i="15" a="1"/>
  <c r="H620" i="15" s="1"/>
  <c r="H621" i="15" a="1"/>
  <c r="H621" i="15" s="1"/>
  <c r="H622" i="15" a="1"/>
  <c r="H622" i="15" s="1"/>
  <c r="H623" i="15" a="1"/>
  <c r="H623" i="15" s="1"/>
  <c r="H624" i="15" a="1"/>
  <c r="H624" i="15" s="1"/>
  <c r="H625" i="15" a="1"/>
  <c r="H625" i="15" s="1"/>
  <c r="H626" i="15" a="1"/>
  <c r="H626" i="15" s="1"/>
  <c r="H627" i="15" a="1"/>
  <c r="H627" i="15" s="1"/>
  <c r="H628" i="15" a="1"/>
  <c r="H628" i="15" s="1"/>
  <c r="H629" i="15" a="1"/>
  <c r="H629" i="15" s="1"/>
  <c r="H630" i="15" a="1"/>
  <c r="H630" i="15" s="1"/>
  <c r="H631" i="15" a="1"/>
  <c r="H631" i="15" s="1"/>
  <c r="H632" i="15" a="1"/>
  <c r="H632" i="15" s="1"/>
  <c r="H633" i="15" a="1"/>
  <c r="H633" i="15" s="1"/>
  <c r="H634" i="15" a="1"/>
  <c r="H634" i="15" s="1"/>
  <c r="H635" i="15" a="1"/>
  <c r="H635" i="15" s="1"/>
  <c r="H636" i="15" a="1"/>
  <c r="H636" i="15" s="1"/>
  <c r="H637" i="15" a="1"/>
  <c r="H637" i="15" s="1"/>
  <c r="H638" i="15" a="1"/>
  <c r="H638" i="15" s="1"/>
  <c r="H639" i="15" a="1"/>
  <c r="H639" i="15" s="1"/>
  <c r="H640" i="15" a="1"/>
  <c r="H640" i="15" s="1"/>
  <c r="H641" i="15" a="1"/>
  <c r="H641" i="15" s="1"/>
  <c r="H642" i="15" a="1"/>
  <c r="H642" i="15" s="1"/>
  <c r="H643" i="15" a="1"/>
  <c r="H643" i="15" s="1"/>
  <c r="H644" i="15" a="1"/>
  <c r="H644" i="15" s="1"/>
  <c r="H645" i="15" a="1"/>
  <c r="H645" i="15" s="1"/>
  <c r="H646" i="15" a="1"/>
  <c r="H646" i="15" s="1"/>
  <c r="H647" i="15" a="1"/>
  <c r="H647" i="15" s="1"/>
  <c r="H648" i="15" a="1"/>
  <c r="H648" i="15" s="1"/>
  <c r="H649" i="15" a="1"/>
  <c r="H649" i="15" s="1"/>
  <c r="H650" i="15" a="1"/>
  <c r="H650" i="15" s="1"/>
  <c r="H651" i="15" a="1"/>
  <c r="H651" i="15" s="1"/>
  <c r="H652" i="15" a="1"/>
  <c r="H652" i="15" s="1"/>
  <c r="H653" i="15" a="1"/>
  <c r="H653" i="15" s="1"/>
  <c r="H654" i="15" a="1"/>
  <c r="H654" i="15" s="1"/>
  <c r="H655" i="15" a="1"/>
  <c r="H655" i="15" s="1"/>
  <c r="H656" i="15" a="1"/>
  <c r="H656" i="15" s="1"/>
  <c r="H657" i="15" a="1"/>
  <c r="H657" i="15" s="1"/>
  <c r="H658" i="15" a="1"/>
  <c r="H658" i="15" s="1"/>
  <c r="H659" i="15" a="1"/>
  <c r="H659" i="15" s="1"/>
  <c r="H660" i="15" a="1"/>
  <c r="H660" i="15" s="1"/>
  <c r="H661" i="15" a="1"/>
  <c r="H661" i="15" s="1"/>
  <c r="H662" i="15" a="1"/>
  <c r="H662" i="15" s="1"/>
  <c r="H663" i="15" a="1"/>
  <c r="H663" i="15" s="1"/>
  <c r="H664" i="15" a="1"/>
  <c r="H664" i="15" s="1"/>
  <c r="H665" i="15" a="1"/>
  <c r="H665" i="15" s="1"/>
  <c r="H666" i="15" a="1"/>
  <c r="H666" i="15" s="1"/>
  <c r="H667" i="15" a="1"/>
  <c r="H667" i="15" s="1"/>
  <c r="H668" i="15" a="1"/>
  <c r="H668" i="15" s="1"/>
  <c r="H669" i="15" a="1"/>
  <c r="H669" i="15" s="1"/>
  <c r="H670" i="15" a="1"/>
  <c r="H670" i="15" s="1"/>
  <c r="H671" i="15" a="1"/>
  <c r="H671" i="15" s="1"/>
  <c r="H672" i="15" a="1"/>
  <c r="H672" i="15" s="1"/>
  <c r="H673" i="15" a="1"/>
  <c r="H673" i="15" s="1"/>
  <c r="H674" i="15" a="1"/>
  <c r="H674" i="15" s="1"/>
  <c r="H675" i="15" a="1"/>
  <c r="H675" i="15" s="1"/>
  <c r="H676" i="15" a="1"/>
  <c r="H676" i="15" s="1"/>
  <c r="H677" i="15" a="1"/>
  <c r="H677" i="15" s="1"/>
  <c r="H678" i="15" a="1"/>
  <c r="H678" i="15" s="1"/>
  <c r="H679" i="15" a="1"/>
  <c r="H679" i="15" s="1"/>
  <c r="H680" i="15" a="1"/>
  <c r="H680" i="15" s="1"/>
  <c r="H681" i="15" a="1"/>
  <c r="H681" i="15" s="1"/>
  <c r="H682" i="15" a="1"/>
  <c r="H682" i="15" s="1"/>
  <c r="H683" i="15" a="1"/>
  <c r="H683" i="15" s="1"/>
  <c r="H684" i="15" a="1"/>
  <c r="H684" i="15" s="1"/>
  <c r="H685" i="15" a="1"/>
  <c r="H685" i="15" s="1"/>
  <c r="H686" i="15" a="1"/>
  <c r="H686" i="15" s="1"/>
  <c r="H687" i="15" a="1"/>
  <c r="H687" i="15" s="1"/>
  <c r="H688" i="15" a="1"/>
  <c r="H688" i="15" s="1"/>
  <c r="H689" i="15" a="1"/>
  <c r="H689" i="15" s="1"/>
  <c r="H690" i="15" a="1"/>
  <c r="H690" i="15" s="1"/>
  <c r="H691" i="15" a="1"/>
  <c r="H691" i="15" s="1"/>
  <c r="H692" i="15" a="1"/>
  <c r="H692" i="15" s="1"/>
  <c r="H693" i="15" a="1"/>
  <c r="H693" i="15" s="1"/>
  <c r="H694" i="15" a="1"/>
  <c r="H694" i="15" s="1"/>
  <c r="H695" i="15" a="1"/>
  <c r="H695" i="15" s="1"/>
  <c r="H696" i="15" a="1"/>
  <c r="H696" i="15" s="1"/>
  <c r="H697" i="15" a="1"/>
  <c r="H697" i="15" s="1"/>
  <c r="H698" i="15" a="1"/>
  <c r="H698" i="15" s="1"/>
  <c r="H699" i="15" a="1"/>
  <c r="H699" i="15" s="1"/>
  <c r="H700" i="15" a="1"/>
  <c r="H700" i="15" s="1"/>
  <c r="H701" i="15" a="1"/>
  <c r="H701" i="15" s="1"/>
  <c r="H702" i="15" a="1"/>
  <c r="H702" i="15" s="1"/>
  <c r="H703" i="15" a="1"/>
  <c r="H703" i="15" s="1"/>
  <c r="H704" i="15" a="1"/>
  <c r="H704" i="15" s="1"/>
  <c r="H705" i="15" a="1"/>
  <c r="H705" i="15" s="1"/>
  <c r="H706" i="15" a="1"/>
  <c r="H706" i="15" s="1"/>
  <c r="H707" i="15" a="1"/>
  <c r="H707" i="15" s="1"/>
  <c r="H708" i="15" a="1"/>
  <c r="H708" i="15" s="1"/>
  <c r="H709" i="15" a="1"/>
  <c r="H709" i="15" s="1"/>
  <c r="H710" i="15" a="1"/>
  <c r="H710" i="15" s="1"/>
  <c r="H711" i="15" a="1"/>
  <c r="H711" i="15" s="1"/>
  <c r="H712" i="15" a="1"/>
  <c r="H712" i="15" s="1"/>
  <c r="H713" i="15" a="1"/>
  <c r="H713" i="15" s="1"/>
  <c r="H714" i="15" a="1"/>
  <c r="H714" i="15" s="1"/>
  <c r="H715" i="15" a="1"/>
  <c r="H715" i="15" s="1"/>
  <c r="H716" i="15" a="1"/>
  <c r="H716" i="15" s="1"/>
  <c r="H717" i="15" a="1"/>
  <c r="H717" i="15" s="1"/>
  <c r="H718" i="15" a="1"/>
  <c r="H718" i="15" s="1"/>
  <c r="H719" i="15" a="1"/>
  <c r="H719" i="15" s="1"/>
  <c r="H720" i="15" a="1"/>
  <c r="H720" i="15" s="1"/>
  <c r="H721" i="15" a="1"/>
  <c r="H721" i="15" s="1"/>
  <c r="H722" i="15" a="1"/>
  <c r="H722" i="15" s="1"/>
  <c r="H723" i="15" a="1"/>
  <c r="H723" i="15" s="1"/>
  <c r="H724" i="15" a="1"/>
  <c r="H724" i="15" s="1"/>
  <c r="H725" i="15" a="1"/>
  <c r="H725" i="15" s="1"/>
  <c r="H726" i="15" a="1"/>
  <c r="H726" i="15" s="1"/>
  <c r="H727" i="15" a="1"/>
  <c r="H727" i="15" s="1"/>
  <c r="H728" i="15" a="1"/>
  <c r="H728" i="15" s="1"/>
  <c r="H729" i="15" a="1"/>
  <c r="H729" i="15" s="1"/>
  <c r="H730" i="15" a="1"/>
  <c r="H730" i="15" s="1"/>
  <c r="H731" i="15" a="1"/>
  <c r="H731" i="15" s="1"/>
  <c r="H732" i="15" a="1"/>
  <c r="H732" i="15" s="1"/>
  <c r="H733" i="15" a="1"/>
  <c r="H733" i="15" s="1"/>
  <c r="H734" i="15" a="1"/>
  <c r="H734" i="15" s="1"/>
  <c r="H735" i="15" a="1"/>
  <c r="H735" i="15" s="1"/>
  <c r="H736" i="15" a="1"/>
  <c r="H736" i="15" s="1"/>
  <c r="H737" i="15" a="1"/>
  <c r="H737" i="15" s="1"/>
  <c r="H738" i="15" a="1"/>
  <c r="H738" i="15" s="1"/>
  <c r="H739" i="15" a="1"/>
  <c r="H739" i="15" s="1"/>
  <c r="H740" i="15" a="1"/>
  <c r="H740" i="15" s="1"/>
  <c r="H741" i="15" a="1"/>
  <c r="H741" i="15" s="1"/>
  <c r="H742" i="15" a="1"/>
  <c r="H742" i="15" s="1"/>
  <c r="H743" i="15" a="1"/>
  <c r="H743" i="15" s="1"/>
  <c r="H744" i="15" a="1"/>
  <c r="H744" i="15" s="1"/>
  <c r="H745" i="15" a="1"/>
  <c r="H745" i="15" s="1"/>
  <c r="H746" i="15" a="1"/>
  <c r="H746" i="15" s="1"/>
  <c r="H747" i="15" a="1"/>
  <c r="H747" i="15" s="1"/>
  <c r="H748" i="15" a="1"/>
  <c r="H748" i="15" s="1"/>
  <c r="H749" i="15" a="1"/>
  <c r="H749" i="15" s="1"/>
  <c r="H750" i="15" a="1"/>
  <c r="H750" i="15" s="1"/>
  <c r="H751" i="15" a="1"/>
  <c r="H751" i="15" s="1"/>
  <c r="H752" i="15" a="1"/>
  <c r="H752" i="15" s="1"/>
  <c r="H753" i="15" a="1"/>
  <c r="H753" i="15" s="1"/>
  <c r="H754" i="15" a="1"/>
  <c r="H754" i="15" s="1"/>
  <c r="H755" i="15" a="1"/>
  <c r="H755" i="15" s="1"/>
  <c r="H756" i="15" a="1"/>
  <c r="H756" i="15" s="1"/>
  <c r="H757" i="15" a="1"/>
  <c r="H757" i="15" s="1"/>
  <c r="H758" i="15" a="1"/>
  <c r="H758" i="15" s="1"/>
  <c r="H759" i="15" a="1"/>
  <c r="H759" i="15" s="1"/>
  <c r="H760" i="15" a="1"/>
  <c r="H760" i="15" s="1"/>
  <c r="H761" i="15" a="1"/>
  <c r="H761" i="15" s="1"/>
  <c r="H762" i="15" a="1"/>
  <c r="H762" i="15" s="1"/>
  <c r="H763" i="15" a="1"/>
  <c r="H763" i="15" s="1"/>
  <c r="H764" i="15" a="1"/>
  <c r="H764" i="15" s="1"/>
  <c r="H765" i="15" a="1"/>
  <c r="H765" i="15" s="1"/>
  <c r="H766" i="15" a="1"/>
  <c r="H766" i="15" s="1"/>
  <c r="H767" i="15" a="1"/>
  <c r="H767" i="15" s="1"/>
  <c r="H768" i="15" a="1"/>
  <c r="H768" i="15" s="1"/>
  <c r="H769" i="15" a="1"/>
  <c r="H769" i="15" s="1"/>
  <c r="H770" i="15" a="1"/>
  <c r="H770" i="15" s="1"/>
  <c r="H771" i="15" a="1"/>
  <c r="H771" i="15" s="1"/>
  <c r="H772" i="15" a="1"/>
  <c r="H772" i="15" s="1"/>
  <c r="H773" i="15" a="1"/>
  <c r="H773" i="15" s="1"/>
  <c r="H774" i="15" a="1"/>
  <c r="H774" i="15" s="1"/>
  <c r="H775" i="15" a="1"/>
  <c r="H775" i="15" s="1"/>
  <c r="H776" i="15" a="1"/>
  <c r="H776" i="15" s="1"/>
  <c r="H777" i="15" a="1"/>
  <c r="H777" i="15" s="1"/>
  <c r="H778" i="15" a="1"/>
  <c r="H778" i="15" s="1"/>
  <c r="H779" i="15" a="1"/>
  <c r="H779" i="15" s="1"/>
  <c r="H780" i="15" a="1"/>
  <c r="H780" i="15" s="1"/>
  <c r="H781" i="15" a="1"/>
  <c r="H781" i="15" s="1"/>
  <c r="H782" i="15" a="1"/>
  <c r="H782" i="15" s="1"/>
  <c r="H783" i="15" a="1"/>
  <c r="H783" i="15" s="1"/>
  <c r="H784" i="15" a="1"/>
  <c r="H784" i="15" s="1"/>
  <c r="H785" i="15" a="1"/>
  <c r="H785" i="15" s="1"/>
  <c r="H786" i="15" a="1"/>
  <c r="H786" i="15" s="1"/>
  <c r="H787" i="15" a="1"/>
  <c r="H787" i="15" s="1"/>
  <c r="H788" i="15" a="1"/>
  <c r="H788" i="15" s="1"/>
  <c r="H789" i="15" a="1"/>
  <c r="H789" i="15" s="1"/>
  <c r="H790" i="15" a="1"/>
  <c r="H790" i="15" s="1"/>
  <c r="H791" i="15" a="1"/>
  <c r="H791" i="15" s="1"/>
  <c r="H792" i="15" a="1"/>
  <c r="H792" i="15" s="1"/>
  <c r="H793" i="15" a="1"/>
  <c r="H793" i="15" s="1"/>
  <c r="H794" i="15" a="1"/>
  <c r="H794" i="15" s="1"/>
  <c r="H795" i="15" a="1"/>
  <c r="H795" i="15" s="1"/>
  <c r="H796" i="15" a="1"/>
  <c r="H796" i="15" s="1"/>
  <c r="H797" i="15" a="1"/>
  <c r="H797" i="15" s="1"/>
  <c r="H810" i="15" a="1"/>
  <c r="H810" i="15" s="1"/>
  <c r="H811" i="15" a="1"/>
  <c r="H811" i="15" s="1"/>
  <c r="H812" i="15" a="1"/>
  <c r="H812" i="15" s="1"/>
  <c r="H813" i="15" a="1"/>
  <c r="H813" i="15" s="1"/>
  <c r="H814" i="15" a="1"/>
  <c r="H814" i="15" s="1"/>
  <c r="H815" i="15" a="1"/>
  <c r="H815" i="15" s="1"/>
  <c r="H816" i="15" a="1"/>
  <c r="H816" i="15" s="1"/>
  <c r="H817" i="15" a="1"/>
  <c r="H817" i="15" s="1"/>
  <c r="H818" i="15" a="1"/>
  <c r="H818" i="15" s="1"/>
  <c r="H819" i="15" a="1"/>
  <c r="H819" i="15" s="1"/>
  <c r="H820" i="15" a="1"/>
  <c r="H820" i="15" s="1"/>
  <c r="H821" i="15" a="1"/>
  <c r="H821" i="15" s="1"/>
  <c r="H822" i="15" a="1"/>
  <c r="H822" i="15" s="1"/>
  <c r="H823" i="15" a="1"/>
  <c r="H823" i="15" s="1"/>
  <c r="H824" i="15" a="1"/>
  <c r="H824" i="15" s="1"/>
  <c r="H825" i="15" a="1"/>
  <c r="H825" i="15" s="1"/>
  <c r="H826" i="15" a="1"/>
  <c r="H826" i="15" s="1"/>
  <c r="H827" i="15" a="1"/>
  <c r="H827" i="15" s="1"/>
  <c r="H828" i="15" a="1"/>
  <c r="H828" i="15" s="1"/>
  <c r="H829" i="15" a="1"/>
  <c r="H829" i="15" s="1"/>
  <c r="H830" i="15" a="1"/>
  <c r="H830" i="15" s="1"/>
  <c r="H831" i="15" a="1"/>
  <c r="H831" i="15" s="1"/>
  <c r="H832" i="15" a="1"/>
  <c r="H832" i="15" s="1"/>
  <c r="H833" i="15" a="1"/>
  <c r="H833" i="15" s="1"/>
  <c r="H834" i="15" a="1"/>
  <c r="H834" i="15" s="1"/>
  <c r="H835" i="15" a="1"/>
  <c r="H835" i="15" s="1"/>
  <c r="H836" i="15" a="1"/>
  <c r="H836" i="15" s="1"/>
  <c r="H837" i="15" a="1"/>
  <c r="H837" i="15" s="1"/>
  <c r="H838" i="15" a="1"/>
  <c r="H838" i="15" s="1"/>
  <c r="H839" i="15" a="1"/>
  <c r="H839" i="15" s="1"/>
  <c r="H840" i="15" a="1"/>
  <c r="H840" i="15" s="1"/>
  <c r="H841" i="15" a="1"/>
  <c r="H841" i="15" s="1"/>
  <c r="H842" i="15" a="1"/>
  <c r="H842" i="15" s="1"/>
  <c r="H843" i="15" a="1"/>
  <c r="H843" i="15" s="1"/>
  <c r="H844" i="15" a="1"/>
  <c r="H844" i="15" s="1"/>
  <c r="H845" i="15" a="1"/>
  <c r="H845" i="15" s="1"/>
  <c r="H846" i="15" a="1"/>
  <c r="H846" i="15" s="1"/>
  <c r="H847" i="15" a="1"/>
  <c r="H847" i="15" s="1"/>
  <c r="H848" i="15" a="1"/>
  <c r="H848" i="15" s="1"/>
  <c r="H849" i="15" a="1"/>
  <c r="H849" i="15" s="1"/>
  <c r="H850" i="15" a="1"/>
  <c r="H850" i="15" s="1"/>
  <c r="H851" i="15" a="1"/>
  <c r="H851" i="15" s="1"/>
  <c r="H852" i="15" a="1"/>
  <c r="H852" i="15" s="1"/>
  <c r="H853" i="15" a="1"/>
  <c r="H853" i="15" s="1"/>
  <c r="H854" i="15" a="1"/>
  <c r="H854" i="15" s="1"/>
  <c r="H855" i="15" a="1"/>
  <c r="H855" i="15" s="1"/>
  <c r="H856" i="15" a="1"/>
  <c r="H856" i="15" s="1"/>
  <c r="H857" i="15" a="1"/>
  <c r="H857" i="15" s="1"/>
  <c r="H858" i="15" a="1"/>
  <c r="H858" i="15" s="1"/>
  <c r="H6" i="26" l="1" a="1"/>
  <c r="H6" i="26" s="1"/>
  <c r="H7" i="26" a="1"/>
  <c r="H7" i="26" s="1"/>
  <c r="H8" i="26" a="1"/>
  <c r="H8" i="26" s="1"/>
  <c r="H9" i="26" a="1"/>
  <c r="H9" i="26" s="1"/>
  <c r="H10" i="26" a="1"/>
  <c r="H10" i="26" s="1"/>
  <c r="H11" i="26" a="1"/>
  <c r="H11" i="26" s="1"/>
  <c r="H12" i="26" a="1"/>
  <c r="H12" i="26" s="1"/>
  <c r="H13" i="26" a="1"/>
  <c r="H13" i="26" s="1"/>
  <c r="H3" i="26" a="1"/>
  <c r="H3" i="26" s="1"/>
  <c r="H4" i="26" a="1"/>
  <c r="H4" i="26" s="1"/>
  <c r="H5" i="26" a="1"/>
  <c r="H5" i="26" s="1"/>
  <c r="H14" i="26" a="1"/>
  <c r="H14" i="26" s="1"/>
  <c r="H15" i="26" a="1"/>
  <c r="H15" i="26" s="1"/>
  <c r="H16" i="26" a="1"/>
  <c r="H16" i="26" s="1"/>
  <c r="H17" i="26" a="1"/>
  <c r="H17" i="26" s="1"/>
  <c r="H18" i="26" a="1"/>
  <c r="H18" i="26" s="1"/>
  <c r="H19" i="26" a="1"/>
  <c r="H19" i="26" s="1"/>
  <c r="H20" i="26" a="1"/>
  <c r="H20" i="26" s="1"/>
  <c r="H10" i="7" a="1"/>
  <c r="H10" i="7" s="1"/>
  <c r="H11" i="7" a="1"/>
  <c r="H11" i="7" s="1"/>
  <c r="H12" i="7" a="1"/>
  <c r="H12" i="7" s="1"/>
  <c r="H13" i="7" a="1"/>
  <c r="H13" i="7" s="1"/>
  <c r="H14" i="7" a="1"/>
  <c r="H14" i="7" s="1"/>
  <c r="H15" i="7" a="1"/>
  <c r="H15" i="7" s="1"/>
  <c r="H16" i="7" a="1"/>
  <c r="H16" i="7" s="1"/>
  <c r="H17" i="7" a="1"/>
  <c r="H17" i="7" s="1"/>
  <c r="H18" i="7" a="1"/>
  <c r="H18" i="7" s="1"/>
  <c r="H19" i="7" a="1"/>
  <c r="H19" i="7" s="1"/>
  <c r="H20" i="7" a="1"/>
  <c r="H20" i="7" s="1"/>
  <c r="H21" i="7" a="1"/>
  <c r="H21" i="7" s="1"/>
  <c r="H22" i="7" a="1"/>
  <c r="H22" i="7" s="1"/>
  <c r="H23" i="7" a="1"/>
  <c r="H23" i="7" s="1"/>
  <c r="H24" i="7" a="1"/>
  <c r="H24" i="7" s="1"/>
  <c r="H17" i="13" a="1"/>
  <c r="H17" i="13" s="1"/>
  <c r="H6" i="22" l="1" a="1"/>
  <c r="H6" i="22" s="1"/>
  <c r="H7" i="22" a="1"/>
  <c r="H7" i="22" s="1"/>
  <c r="H8" i="22" a="1"/>
  <c r="H8" i="22" s="1"/>
  <c r="H9" i="22" a="1"/>
  <c r="H9" i="22" s="1"/>
  <c r="H200" i="12" a="1"/>
  <c r="H200" i="12" s="1"/>
  <c r="H201" i="12" a="1"/>
  <c r="H201" i="12" s="1"/>
  <c r="H202" i="12" a="1"/>
  <c r="H202" i="12" s="1"/>
  <c r="H203" i="12" a="1"/>
  <c r="H203" i="12" s="1"/>
  <c r="L9" i="31" l="1"/>
  <c r="K9" i="31"/>
  <c r="J9" i="31"/>
  <c r="I9" i="31"/>
  <c r="H9" i="31"/>
  <c r="G9" i="31"/>
  <c r="F9" i="31"/>
  <c r="E9" i="31"/>
  <c r="D9" i="31"/>
  <c r="C9" i="31"/>
  <c r="H76" i="12" a="1"/>
  <c r="H76" i="12" s="1"/>
  <c r="H77" i="12" a="1"/>
  <c r="H77" i="12" s="1"/>
  <c r="H78" i="12" a="1"/>
  <c r="H78" i="12" s="1"/>
  <c r="H79" i="12" a="1"/>
  <c r="H79" i="12" s="1"/>
  <c r="H80" i="12" a="1"/>
  <c r="H80" i="12" s="1"/>
  <c r="H81" i="12" a="1"/>
  <c r="H81" i="12" s="1"/>
  <c r="H82" i="12" a="1"/>
  <c r="H82" i="12" s="1"/>
  <c r="H83" i="12" a="1"/>
  <c r="H83" i="12" s="1"/>
  <c r="H84" i="12" a="1"/>
  <c r="H84" i="12" s="1"/>
  <c r="H85" i="12" a="1"/>
  <c r="H85" i="12" s="1"/>
  <c r="H86" i="12" a="1"/>
  <c r="H86" i="12" s="1"/>
  <c r="H87" i="12" a="1"/>
  <c r="H87" i="12" s="1"/>
  <c r="H88" i="12" a="1"/>
  <c r="H88" i="12" s="1"/>
  <c r="H89" i="12" a="1"/>
  <c r="H89" i="12" s="1"/>
  <c r="H90" i="12" a="1"/>
  <c r="H90" i="12" s="1"/>
  <c r="H91" i="12" a="1"/>
  <c r="H91" i="12" s="1"/>
  <c r="H92" i="12" a="1"/>
  <c r="H92" i="12" s="1"/>
  <c r="H93" i="12" a="1"/>
  <c r="H93" i="12" s="1"/>
  <c r="H94" i="12" a="1"/>
  <c r="H94" i="12" s="1"/>
  <c r="H95" i="12" a="1"/>
  <c r="H95" i="12" s="1"/>
  <c r="H96" i="12" a="1"/>
  <c r="H96" i="12" s="1"/>
  <c r="H97" i="12" a="1"/>
  <c r="H97" i="12" s="1"/>
  <c r="H98" i="12" a="1"/>
  <c r="H98" i="12" s="1"/>
  <c r="H99" i="12" a="1"/>
  <c r="H99" i="12" s="1"/>
  <c r="H100" i="12" a="1"/>
  <c r="H100" i="12" s="1"/>
  <c r="H101" i="12" a="1"/>
  <c r="H101" i="12" s="1"/>
  <c r="H2" i="24" l="1" a="1"/>
  <c r="H2" i="24" s="1"/>
  <c r="H78" i="27" a="1"/>
  <c r="H78" i="27" s="1"/>
  <c r="H79" i="27" a="1"/>
  <c r="H79" i="27" s="1"/>
  <c r="H80" i="27" a="1"/>
  <c r="H80" i="27" s="1"/>
  <c r="H81" i="27" a="1"/>
  <c r="H81" i="27" s="1"/>
  <c r="H82" i="27" a="1"/>
  <c r="H82" i="27" s="1"/>
  <c r="H83" i="27" a="1"/>
  <c r="H83" i="27" s="1"/>
  <c r="H84" i="27" a="1"/>
  <c r="H84" i="27" s="1"/>
  <c r="H85" i="27" a="1"/>
  <c r="H85" i="27" s="1"/>
  <c r="H86" i="27" a="1"/>
  <c r="H86" i="27" s="1"/>
  <c r="H87" i="27" a="1"/>
  <c r="H87" i="27" s="1"/>
  <c r="H88" i="27" a="1"/>
  <c r="H88" i="27" s="1"/>
  <c r="H89" i="27" a="1"/>
  <c r="H89" i="27" s="1"/>
  <c r="H90" i="27" a="1"/>
  <c r="H90" i="27" s="1"/>
  <c r="H91" i="27" a="1"/>
  <c r="H91" i="27" s="1"/>
  <c r="H92" i="27" a="1"/>
  <c r="H92" i="27" s="1"/>
  <c r="H93" i="27" a="1"/>
  <c r="H93" i="27" s="1"/>
  <c r="H101" i="27" a="1"/>
  <c r="H101" i="27" s="1"/>
  <c r="H102" i="27" a="1"/>
  <c r="H102" i="27" s="1"/>
  <c r="H103" i="27" a="1"/>
  <c r="H103" i="27" s="1"/>
  <c r="H104" i="27" a="1"/>
  <c r="H104" i="27" s="1"/>
  <c r="H105" i="27" a="1"/>
  <c r="H105" i="27" s="1"/>
  <c r="H106" i="27" a="1"/>
  <c r="H106" i="27" s="1"/>
  <c r="H107" i="27" a="1"/>
  <c r="H107" i="27" s="1"/>
  <c r="H108" i="27" a="1"/>
  <c r="H108" i="27" s="1"/>
  <c r="H109" i="27" a="1"/>
  <c r="H109" i="27" s="1"/>
  <c r="H110" i="27" a="1"/>
  <c r="H110" i="27" s="1"/>
  <c r="H111" i="27" a="1"/>
  <c r="H111" i="27" s="1"/>
  <c r="H112" i="27" a="1"/>
  <c r="H112" i="27" s="1"/>
  <c r="H113" i="27" a="1"/>
  <c r="H113" i="27" s="1"/>
  <c r="H114" i="27" a="1"/>
  <c r="H114" i="27" s="1"/>
  <c r="H115" i="27" a="1"/>
  <c r="H115" i="27" s="1"/>
  <c r="H116" i="27" a="1"/>
  <c r="H116" i="27" s="1"/>
  <c r="H117" i="27" a="1"/>
  <c r="H117" i="27" s="1"/>
  <c r="H118" i="27" a="1"/>
  <c r="H118" i="27" s="1"/>
  <c r="H3" i="13" a="1"/>
  <c r="H3" i="13" s="1"/>
  <c r="H4" i="13" a="1"/>
  <c r="H4" i="13" s="1"/>
  <c r="H5" i="13" a="1"/>
  <c r="H5" i="13" s="1"/>
  <c r="H6" i="13" a="1"/>
  <c r="H6" i="13" s="1"/>
  <c r="H7" i="13" a="1"/>
  <c r="H7" i="13" s="1"/>
  <c r="H8" i="13" a="1"/>
  <c r="H8" i="13" s="1"/>
  <c r="H9" i="13" a="1"/>
  <c r="H9" i="13" s="1"/>
  <c r="H10" i="13" a="1"/>
  <c r="H10" i="13" s="1"/>
  <c r="H11" i="13" a="1"/>
  <c r="H11" i="13" s="1"/>
  <c r="H12" i="13" a="1"/>
  <c r="H12" i="13" s="1"/>
  <c r="H13" i="13" a="1"/>
  <c r="H13" i="13" s="1"/>
  <c r="H14" i="13" a="1"/>
  <c r="H14" i="13" s="1"/>
  <c r="H15" i="13" a="1"/>
  <c r="H15" i="13" s="1"/>
  <c r="H16" i="13" a="1"/>
  <c r="H16" i="13" s="1"/>
  <c r="H2" i="13" a="1"/>
  <c r="H2" i="13" s="1"/>
  <c r="H2" i="15" a="1"/>
  <c r="H2" i="15" s="1"/>
  <c r="H21" i="26" a="1"/>
  <c r="H21" i="26" s="1"/>
  <c r="H22" i="26" a="1"/>
  <c r="H22" i="26" s="1"/>
  <c r="H23" i="26" a="1"/>
  <c r="H23" i="26" s="1"/>
  <c r="H24" i="26" a="1"/>
  <c r="H24" i="26" s="1"/>
  <c r="H25" i="26" a="1"/>
  <c r="H25" i="26" s="1"/>
  <c r="H26" i="26" a="1"/>
  <c r="H26" i="26" s="1"/>
  <c r="H27" i="26" a="1"/>
  <c r="H27" i="26" s="1"/>
  <c r="H28" i="26" a="1"/>
  <c r="H28" i="26" s="1"/>
  <c r="H29" i="26" a="1"/>
  <c r="H29" i="26" s="1"/>
  <c r="H30" i="26" a="1"/>
  <c r="H30" i="26" s="1"/>
  <c r="H31" i="26" a="1"/>
  <c r="H31" i="26" s="1"/>
  <c r="H32" i="26" a="1"/>
  <c r="H32" i="26" s="1"/>
  <c r="H33" i="26" a="1"/>
  <c r="H33" i="26" s="1"/>
  <c r="H34" i="26" a="1"/>
  <c r="H34" i="26" s="1"/>
  <c r="H35" i="26" a="1"/>
  <c r="H35" i="26" s="1"/>
  <c r="H36" i="26" a="1"/>
  <c r="H36" i="26" s="1"/>
  <c r="H37" i="26" a="1"/>
  <c r="H37" i="26" s="1"/>
  <c r="H38" i="26" a="1"/>
  <c r="H38" i="26" s="1"/>
  <c r="H39" i="26" a="1"/>
  <c r="H39" i="26" s="1"/>
  <c r="H40" i="26" a="1"/>
  <c r="H40" i="26" s="1"/>
  <c r="H41" i="26" a="1"/>
  <c r="H41" i="26" s="1"/>
  <c r="H42" i="26" a="1"/>
  <c r="H42" i="26" s="1"/>
  <c r="H43" i="26" a="1"/>
  <c r="H43" i="26" s="1"/>
  <c r="H44" i="26" a="1"/>
  <c r="H44" i="26" s="1"/>
  <c r="H45" i="26" a="1"/>
  <c r="H45" i="26" s="1"/>
  <c r="H46" i="26" a="1"/>
  <c r="H46" i="26" s="1"/>
  <c r="H2" i="26" a="1"/>
  <c r="H2" i="26" s="1"/>
  <c r="H3" i="25" a="1"/>
  <c r="H3" i="25" s="1"/>
  <c r="H4" i="25" a="1"/>
  <c r="H4" i="25" s="1"/>
  <c r="H5" i="25" a="1"/>
  <c r="H5" i="25" s="1"/>
  <c r="H6" i="25" a="1"/>
  <c r="H6" i="25" s="1"/>
  <c r="H7" i="25" a="1"/>
  <c r="H7" i="25" s="1"/>
  <c r="H8" i="25" a="1"/>
  <c r="H8" i="25" s="1"/>
  <c r="H9" i="25" a="1"/>
  <c r="H9" i="25" s="1"/>
  <c r="H10" i="25" a="1"/>
  <c r="H10" i="25" s="1"/>
  <c r="H11" i="25" a="1"/>
  <c r="H11" i="25" s="1"/>
  <c r="H12" i="25" a="1"/>
  <c r="H12" i="25" s="1"/>
  <c r="H13" i="25" a="1"/>
  <c r="H13" i="25" s="1"/>
  <c r="H14" i="25" a="1"/>
  <c r="H14" i="25" s="1"/>
  <c r="H15" i="25" a="1"/>
  <c r="H15" i="25" s="1"/>
  <c r="H16" i="25" a="1"/>
  <c r="H16" i="25" s="1"/>
  <c r="H17" i="25" a="1"/>
  <c r="H17" i="25" s="1"/>
  <c r="H18" i="25" a="1"/>
  <c r="H18" i="25" s="1"/>
  <c r="H19" i="25" a="1"/>
  <c r="H19" i="25" s="1"/>
  <c r="H20" i="25" a="1"/>
  <c r="H20" i="25" s="1"/>
  <c r="H21" i="25" a="1"/>
  <c r="H21" i="25" s="1"/>
  <c r="H22" i="25" a="1"/>
  <c r="H22" i="25" s="1"/>
  <c r="H23" i="25" a="1"/>
  <c r="H23" i="25" s="1"/>
  <c r="H24" i="25" a="1"/>
  <c r="H24" i="25" s="1"/>
  <c r="H25" i="25" a="1"/>
  <c r="H25" i="25" s="1"/>
  <c r="H26" i="25" a="1"/>
  <c r="H26" i="25" s="1"/>
  <c r="H27" i="25" a="1"/>
  <c r="H27" i="25" s="1"/>
  <c r="H28" i="25" a="1"/>
  <c r="H28" i="25" s="1"/>
  <c r="H29" i="25" a="1"/>
  <c r="H29" i="25" s="1"/>
  <c r="H30" i="25" a="1"/>
  <c r="H30" i="25" s="1"/>
  <c r="H31" i="25" a="1"/>
  <c r="H31" i="25" s="1"/>
  <c r="H32" i="25" a="1"/>
  <c r="H32" i="25" s="1"/>
  <c r="H33" i="25" a="1"/>
  <c r="H33" i="25" s="1"/>
  <c r="H34" i="25" a="1"/>
  <c r="H34" i="25" s="1"/>
  <c r="H35" i="25" a="1"/>
  <c r="H35" i="25" s="1"/>
  <c r="H36" i="25" a="1"/>
  <c r="H36" i="25" s="1"/>
  <c r="H37" i="25" a="1"/>
  <c r="H37" i="25" s="1"/>
  <c r="H38" i="25" a="1"/>
  <c r="H38" i="25" s="1"/>
  <c r="H39" i="25" a="1"/>
  <c r="H39" i="25" s="1"/>
  <c r="H40" i="25" a="1"/>
  <c r="H40" i="25" s="1"/>
  <c r="H41" i="25" a="1"/>
  <c r="H41" i="25" s="1"/>
  <c r="H42" i="25" a="1"/>
  <c r="H42" i="25" s="1"/>
  <c r="H43" i="25" a="1"/>
  <c r="H43" i="25" s="1"/>
  <c r="H44" i="25" a="1"/>
  <c r="H44" i="25" s="1"/>
  <c r="H45" i="25" a="1"/>
  <c r="H45" i="25" s="1"/>
  <c r="H46" i="25" a="1"/>
  <c r="H46" i="25" s="1"/>
  <c r="H47" i="25" a="1"/>
  <c r="H47" i="25" s="1"/>
  <c r="H48" i="25" a="1"/>
  <c r="H48" i="25" s="1"/>
  <c r="H49" i="25" a="1"/>
  <c r="H49" i="25" s="1"/>
  <c r="H50" i="25" a="1"/>
  <c r="H50" i="25" s="1"/>
  <c r="H51" i="25" a="1"/>
  <c r="H51" i="25" s="1"/>
  <c r="H52" i="25" a="1"/>
  <c r="H52" i="25" s="1"/>
  <c r="H53" i="25" a="1"/>
  <c r="H53" i="25" s="1"/>
  <c r="H54" i="25" a="1"/>
  <c r="H54" i="25" s="1"/>
  <c r="H71" i="25" a="1"/>
  <c r="H71" i="25" s="1"/>
  <c r="H72" i="25" a="1"/>
  <c r="H72" i="25" s="1"/>
  <c r="H73" i="25" a="1"/>
  <c r="H73" i="25" s="1"/>
  <c r="H74" i="25" a="1"/>
  <c r="H74" i="25" s="1"/>
  <c r="H75" i="25" a="1"/>
  <c r="H75" i="25" s="1"/>
  <c r="H76" i="25" a="1"/>
  <c r="H76" i="25" s="1"/>
  <c r="H77" i="25" a="1"/>
  <c r="H77" i="25" s="1"/>
  <c r="H89" i="25" a="1"/>
  <c r="H89" i="25" s="1"/>
  <c r="H90" i="25" a="1"/>
  <c r="H90" i="25" s="1"/>
  <c r="H91" i="25" a="1"/>
  <c r="H91" i="25" s="1"/>
  <c r="H92" i="25" a="1"/>
  <c r="H92" i="25" s="1"/>
  <c r="H93" i="25" a="1"/>
  <c r="H93" i="25" s="1"/>
  <c r="H94" i="25" a="1"/>
  <c r="H94" i="25" s="1"/>
  <c r="H95" i="25" a="1"/>
  <c r="H95" i="25" s="1"/>
  <c r="H96" i="25" a="1"/>
  <c r="H96" i="25" s="1"/>
  <c r="H97" i="25" a="1"/>
  <c r="H97" i="25" s="1"/>
  <c r="H98" i="25" a="1"/>
  <c r="H98" i="25" s="1"/>
  <c r="H99" i="25" a="1"/>
  <c r="H99" i="25" s="1"/>
  <c r="H100" i="25" a="1"/>
  <c r="H100" i="25" s="1"/>
  <c r="H101" i="25" a="1"/>
  <c r="H101" i="25" s="1"/>
  <c r="H102" i="25" a="1"/>
  <c r="H102" i="25" s="1"/>
  <c r="H103" i="25" a="1"/>
  <c r="H103" i="25" s="1"/>
  <c r="H104" i="25" a="1"/>
  <c r="H104" i="25" s="1"/>
  <c r="H105" i="25" a="1"/>
  <c r="H105" i="25" s="1"/>
  <c r="H106" i="25" a="1"/>
  <c r="H106" i="25" s="1"/>
  <c r="H107" i="25" a="1"/>
  <c r="H107" i="25" s="1"/>
  <c r="H108" i="25" a="1"/>
  <c r="H108" i="25" s="1"/>
  <c r="H109" i="25" a="1"/>
  <c r="H109" i="25" s="1"/>
  <c r="H110" i="25" a="1"/>
  <c r="H110" i="25" s="1"/>
  <c r="H111" i="25" a="1"/>
  <c r="H111" i="25" s="1"/>
  <c r="H112" i="25" a="1"/>
  <c r="H112" i="25" s="1"/>
  <c r="H113" i="25" a="1"/>
  <c r="H113" i="25" s="1"/>
  <c r="H114" i="25" a="1"/>
  <c r="H114" i="25" s="1"/>
  <c r="H115" i="25" a="1"/>
  <c r="H115" i="25" s="1"/>
  <c r="H116" i="25" a="1"/>
  <c r="H116" i="25" s="1"/>
  <c r="H117" i="25" a="1"/>
  <c r="H117" i="25" s="1"/>
  <c r="H118" i="25" a="1"/>
  <c r="H118" i="25" s="1"/>
  <c r="H119" i="25" a="1"/>
  <c r="H119" i="25" s="1"/>
  <c r="H120" i="25" a="1"/>
  <c r="H120" i="25" s="1"/>
  <c r="H121" i="25" a="1"/>
  <c r="H121" i="25" s="1"/>
  <c r="H122" i="25" a="1"/>
  <c r="H122" i="25" s="1"/>
  <c r="H123" i="25" a="1"/>
  <c r="H123" i="25" s="1"/>
  <c r="H124" i="25" a="1"/>
  <c r="H124" i="25" s="1"/>
  <c r="H125" i="25" a="1"/>
  <c r="H125" i="25" s="1"/>
  <c r="H126" i="25" a="1"/>
  <c r="H126" i="25" s="1"/>
  <c r="H127" i="25" a="1"/>
  <c r="H127" i="25" s="1"/>
  <c r="H128" i="25" a="1"/>
  <c r="H128" i="25" s="1"/>
  <c r="H129" i="25" a="1"/>
  <c r="H129" i="25" s="1"/>
  <c r="H130" i="25" a="1"/>
  <c r="H130" i="25" s="1"/>
  <c r="H131" i="25" a="1"/>
  <c r="H131" i="25" s="1"/>
  <c r="H132" i="25" a="1"/>
  <c r="H132" i="25" s="1"/>
  <c r="H133" i="25" a="1"/>
  <c r="H133" i="25" s="1"/>
  <c r="H134" i="25" a="1"/>
  <c r="H134" i="25" s="1"/>
  <c r="H135" i="25" a="1"/>
  <c r="H135" i="25" s="1"/>
  <c r="H136" i="25" a="1"/>
  <c r="H136" i="25" s="1"/>
  <c r="H137" i="25" a="1"/>
  <c r="H137" i="25" s="1"/>
  <c r="H138" i="25" a="1"/>
  <c r="H138" i="25" s="1"/>
  <c r="H139" i="25" a="1"/>
  <c r="H139" i="25" s="1"/>
  <c r="H140" i="25" a="1"/>
  <c r="H140" i="25" s="1"/>
  <c r="H141" i="25" a="1"/>
  <c r="H141" i="25" s="1"/>
  <c r="H142" i="25" a="1"/>
  <c r="H142" i="25" s="1"/>
  <c r="H143" i="25" a="1"/>
  <c r="H143" i="25" s="1"/>
  <c r="H144" i="25" a="1"/>
  <c r="H144" i="25" s="1"/>
  <c r="H145" i="25" a="1"/>
  <c r="H145" i="25" s="1"/>
  <c r="H146" i="25" a="1"/>
  <c r="H146" i="25" s="1"/>
  <c r="H147" i="25" a="1"/>
  <c r="H147" i="25" s="1"/>
  <c r="H148" i="25" a="1"/>
  <c r="H148" i="25" s="1"/>
  <c r="H149" i="25" a="1"/>
  <c r="H149" i="25" s="1"/>
  <c r="H150" i="25" a="1"/>
  <c r="H150" i="25" s="1"/>
  <c r="H151" i="25" a="1"/>
  <c r="H151" i="25" s="1"/>
  <c r="H152" i="25" a="1"/>
  <c r="H152" i="25" s="1"/>
  <c r="H153" i="25" a="1"/>
  <c r="H153" i="25" s="1"/>
  <c r="H154" i="25" a="1"/>
  <c r="H154" i="25" s="1"/>
  <c r="H155" i="25" a="1"/>
  <c r="H155" i="25" s="1"/>
  <c r="H156" i="25" a="1"/>
  <c r="H156" i="25" s="1"/>
  <c r="H157" i="25" a="1"/>
  <c r="H157" i="25" s="1"/>
  <c r="H158" i="25" a="1"/>
  <c r="H158" i="25" s="1"/>
  <c r="H159" i="25" a="1"/>
  <c r="H159" i="25" s="1"/>
  <c r="H160" i="25" a="1"/>
  <c r="H160" i="25" s="1"/>
  <c r="H161" i="25" a="1"/>
  <c r="H161" i="25" s="1"/>
  <c r="H162" i="25" a="1"/>
  <c r="H162" i="25" s="1"/>
  <c r="H163" i="25" a="1"/>
  <c r="H163" i="25" s="1"/>
  <c r="H164" i="25" a="1"/>
  <c r="H164" i="25" s="1"/>
  <c r="H165" i="25" a="1"/>
  <c r="H165" i="25" s="1"/>
  <c r="H166" i="25" a="1"/>
  <c r="H166" i="25" s="1"/>
  <c r="H167" i="25" a="1"/>
  <c r="H167" i="25" s="1"/>
  <c r="H168" i="25" a="1"/>
  <c r="H168" i="25" s="1"/>
  <c r="H169" i="25" a="1"/>
  <c r="H169" i="25" s="1"/>
  <c r="H170" i="25" a="1"/>
  <c r="H170" i="25" s="1"/>
  <c r="H171" i="25" a="1"/>
  <c r="H171" i="25" s="1"/>
  <c r="H172" i="25" a="1"/>
  <c r="H172" i="25" s="1"/>
  <c r="H173" i="25" a="1"/>
  <c r="H173" i="25" s="1"/>
  <c r="H174" i="25" a="1"/>
  <c r="H174" i="25" s="1"/>
  <c r="H175" i="25" a="1"/>
  <c r="H175" i="25" s="1"/>
  <c r="H176" i="25" a="1"/>
  <c r="H176" i="25" s="1"/>
  <c r="H177" i="25" a="1"/>
  <c r="H177" i="25" s="1"/>
  <c r="H178" i="25" a="1"/>
  <c r="H178" i="25" s="1"/>
  <c r="H179" i="25" a="1"/>
  <c r="H179" i="25" s="1"/>
  <c r="H180" i="25" a="1"/>
  <c r="H180" i="25" s="1"/>
  <c r="H181" i="25" a="1"/>
  <c r="H181" i="25" s="1"/>
  <c r="H182" i="25" a="1"/>
  <c r="H182" i="25" s="1"/>
  <c r="H183" i="25" a="1"/>
  <c r="H183" i="25" s="1"/>
  <c r="H184" i="25" a="1"/>
  <c r="H184" i="25" s="1"/>
  <c r="H185" i="25" a="1"/>
  <c r="H185" i="25" s="1"/>
  <c r="H186" i="25" a="1"/>
  <c r="H186" i="25" s="1"/>
  <c r="H187" i="25" a="1"/>
  <c r="H187" i="25" s="1"/>
  <c r="H188" i="25" a="1"/>
  <c r="H188" i="25" s="1"/>
  <c r="H189" i="25" a="1"/>
  <c r="H189" i="25" s="1"/>
  <c r="H190" i="25" a="1"/>
  <c r="H190" i="25" s="1"/>
  <c r="H191" i="25" a="1"/>
  <c r="H191" i="25" s="1"/>
  <c r="H192" i="25" a="1"/>
  <c r="H192" i="25" s="1"/>
  <c r="H193" i="25" a="1"/>
  <c r="H193" i="25" s="1"/>
  <c r="H194" i="25" a="1"/>
  <c r="H194" i="25" s="1"/>
  <c r="H195" i="25" a="1"/>
  <c r="H195" i="25" s="1"/>
  <c r="H196" i="25" a="1"/>
  <c r="H196" i="25" s="1"/>
  <c r="H197" i="25" a="1"/>
  <c r="H197" i="25" s="1"/>
  <c r="H198" i="25" a="1"/>
  <c r="H198" i="25" s="1"/>
  <c r="H199" i="25" a="1"/>
  <c r="H199" i="25" s="1"/>
  <c r="H200" i="25" a="1"/>
  <c r="H200" i="25" s="1"/>
  <c r="H201" i="25" a="1"/>
  <c r="H201" i="25" s="1"/>
  <c r="H210" i="25" a="1"/>
  <c r="H210" i="25" s="1"/>
  <c r="H211" i="25" a="1"/>
  <c r="H211" i="25" s="1"/>
  <c r="H212" i="25" a="1"/>
  <c r="H212" i="25" s="1"/>
  <c r="H221" i="25" a="1"/>
  <c r="H221" i="25" s="1"/>
  <c r="H222" i="25" a="1"/>
  <c r="H222" i="25" s="1"/>
  <c r="H223" i="25" a="1"/>
  <c r="H223" i="25" s="1"/>
  <c r="H224" i="25" a="1"/>
  <c r="H224" i="25" s="1"/>
  <c r="H225" i="25" a="1"/>
  <c r="H225" i="25" s="1"/>
  <c r="H226" i="25" a="1"/>
  <c r="H226" i="25" s="1"/>
  <c r="H227" i="25" a="1"/>
  <c r="H227" i="25" s="1"/>
  <c r="H228" i="25" a="1"/>
  <c r="H228" i="25" s="1"/>
  <c r="H229" i="25" a="1"/>
  <c r="H229" i="25" s="1"/>
  <c r="H230" i="25" a="1"/>
  <c r="H230" i="25" s="1"/>
  <c r="H231" i="25" a="1"/>
  <c r="H231" i="25" s="1"/>
  <c r="H232" i="25" a="1"/>
  <c r="H232" i="25" s="1"/>
  <c r="H233" i="25" a="1"/>
  <c r="H233" i="25" s="1"/>
  <c r="H234" i="25" a="1"/>
  <c r="H234" i="25" s="1"/>
  <c r="H235" i="25" a="1"/>
  <c r="H235" i="25" s="1"/>
  <c r="H236" i="25" a="1"/>
  <c r="H236" i="25" s="1"/>
  <c r="H237" i="25" a="1"/>
  <c r="H237" i="25" s="1"/>
  <c r="H238" i="25" a="1"/>
  <c r="H238" i="25" s="1"/>
  <c r="H239" i="25" a="1"/>
  <c r="H239" i="25" s="1"/>
  <c r="H240" i="25" a="1"/>
  <c r="H240" i="25" s="1"/>
  <c r="H241" i="25" a="1"/>
  <c r="H241" i="25" s="1"/>
  <c r="H242" i="25" a="1"/>
  <c r="H242" i="25" s="1"/>
  <c r="H243" i="25" a="1"/>
  <c r="H243" i="25" s="1"/>
  <c r="H244" i="25" a="1"/>
  <c r="H244" i="25" s="1"/>
  <c r="H245" i="25" a="1"/>
  <c r="H245" i="25" s="1"/>
  <c r="H246" i="25" a="1"/>
  <c r="H246" i="25" s="1"/>
  <c r="H247" i="25" a="1"/>
  <c r="H247" i="25" s="1"/>
  <c r="H248" i="25" a="1"/>
  <c r="H248" i="25" s="1"/>
  <c r="H249" i="25" a="1"/>
  <c r="H249" i="25" s="1"/>
  <c r="H250" i="25" a="1"/>
  <c r="H250" i="25" s="1"/>
  <c r="H251" i="25" a="1"/>
  <c r="H251" i="25" s="1"/>
  <c r="H252" i="25" a="1"/>
  <c r="H252" i="25" s="1"/>
  <c r="H253" i="25" a="1"/>
  <c r="H253" i="25" s="1"/>
  <c r="H254" i="25" a="1"/>
  <c r="H254" i="25" s="1"/>
  <c r="H255" i="25" a="1"/>
  <c r="H255" i="25" s="1"/>
  <c r="H256" i="25" a="1"/>
  <c r="H256" i="25" s="1"/>
  <c r="H257" i="25" a="1"/>
  <c r="H257" i="25" s="1"/>
  <c r="H258" i="25" a="1"/>
  <c r="H258" i="25" s="1"/>
  <c r="H259" i="25" a="1"/>
  <c r="H259" i="25" s="1"/>
  <c r="H260" i="25" a="1"/>
  <c r="H260" i="25" s="1"/>
  <c r="H261" i="25" a="1"/>
  <c r="H261" i="25" s="1"/>
  <c r="H262" i="25" a="1"/>
  <c r="H262" i="25" s="1"/>
  <c r="H263" i="25" a="1"/>
  <c r="H263" i="25" s="1"/>
  <c r="H264" i="25" a="1"/>
  <c r="H264" i="25" s="1"/>
  <c r="H265" i="25" a="1"/>
  <c r="H265" i="25" s="1"/>
  <c r="H266" i="25" a="1"/>
  <c r="H266" i="25" s="1"/>
  <c r="H267" i="25" a="1"/>
  <c r="H267" i="25" s="1"/>
  <c r="H268" i="25" a="1"/>
  <c r="H268" i="25" s="1"/>
  <c r="H269" i="25" a="1"/>
  <c r="H269" i="25" s="1"/>
  <c r="H270" i="25" a="1"/>
  <c r="H270" i="25" s="1"/>
  <c r="H271" i="25" a="1"/>
  <c r="H271" i="25" s="1"/>
  <c r="H272" i="25" a="1"/>
  <c r="H272" i="25" s="1"/>
  <c r="H273" i="25" a="1"/>
  <c r="H273" i="25" s="1"/>
  <c r="H274" i="25" a="1"/>
  <c r="H274" i="25" s="1"/>
  <c r="H275" i="25" a="1"/>
  <c r="H275" i="25" s="1"/>
  <c r="H276" i="25" a="1"/>
  <c r="H276" i="25" s="1"/>
  <c r="H277" i="25" a="1"/>
  <c r="H277" i="25" s="1"/>
  <c r="H278" i="25" a="1"/>
  <c r="H278" i="25" s="1"/>
  <c r="H279" i="25" a="1"/>
  <c r="H279" i="25" s="1"/>
  <c r="H280" i="25" a="1"/>
  <c r="H280" i="25" s="1"/>
  <c r="H281" i="25" a="1"/>
  <c r="H281" i="25" s="1"/>
  <c r="H282" i="25" a="1"/>
  <c r="H282" i="25" s="1"/>
  <c r="H283" i="25" a="1"/>
  <c r="H283" i="25" s="1"/>
  <c r="H284" i="25" a="1"/>
  <c r="H284" i="25" s="1"/>
  <c r="H285" i="25" a="1"/>
  <c r="H285" i="25" s="1"/>
  <c r="H286" i="25" a="1"/>
  <c r="H286" i="25" s="1"/>
  <c r="H287" i="25" a="1"/>
  <c r="H287" i="25" s="1"/>
  <c r="H288" i="25" a="1"/>
  <c r="H288" i="25" s="1"/>
  <c r="H289" i="25" a="1"/>
  <c r="H289" i="25" s="1"/>
  <c r="H290" i="25" a="1"/>
  <c r="H290" i="25" s="1"/>
  <c r="H291" i="25" a="1"/>
  <c r="H291" i="25" s="1"/>
  <c r="H292" i="25" a="1"/>
  <c r="H292" i="25" s="1"/>
  <c r="H293" i="25" a="1"/>
  <c r="H293" i="25" s="1"/>
  <c r="H294" i="25" a="1"/>
  <c r="H294" i="25" s="1"/>
  <c r="H295" i="25" a="1"/>
  <c r="H295" i="25" s="1"/>
  <c r="H296" i="25" a="1"/>
  <c r="H296" i="25" s="1"/>
  <c r="H297" i="25" a="1"/>
  <c r="H297" i="25" s="1"/>
  <c r="H298" i="25" a="1"/>
  <c r="H298" i="25" s="1"/>
  <c r="H299" i="25" a="1"/>
  <c r="H299" i="25" s="1"/>
  <c r="H300" i="25" a="1"/>
  <c r="H300" i="25" s="1"/>
  <c r="H301" i="25" a="1"/>
  <c r="H301" i="25" s="1"/>
  <c r="H302" i="25" a="1"/>
  <c r="H302" i="25" s="1"/>
  <c r="H303" i="25" a="1"/>
  <c r="H303" i="25" s="1"/>
  <c r="H304" i="25" a="1"/>
  <c r="H304" i="25" s="1"/>
  <c r="H305" i="25" a="1"/>
  <c r="H305" i="25" s="1"/>
  <c r="H306" i="25" a="1"/>
  <c r="H306" i="25" s="1"/>
  <c r="H307" i="25" a="1"/>
  <c r="H307" i="25" s="1"/>
  <c r="H308" i="25" a="1"/>
  <c r="H308" i="25" s="1"/>
  <c r="H309" i="25" a="1"/>
  <c r="H309" i="25" s="1"/>
  <c r="H310" i="25" a="1"/>
  <c r="H310" i="25" s="1"/>
  <c r="H311" i="25" a="1"/>
  <c r="H311" i="25" s="1"/>
  <c r="H312" i="25" a="1"/>
  <c r="H312" i="25" s="1"/>
  <c r="H313" i="25" a="1"/>
  <c r="H313" i="25" s="1"/>
  <c r="H314" i="25" a="1"/>
  <c r="H314" i="25" s="1"/>
  <c r="H315" i="25" a="1"/>
  <c r="H315" i="25" s="1"/>
  <c r="H316" i="25" a="1"/>
  <c r="H316" i="25" s="1"/>
  <c r="H317" i="25" a="1"/>
  <c r="H317" i="25" s="1"/>
  <c r="H318" i="25" a="1"/>
  <c r="H318" i="25" s="1"/>
  <c r="H319" i="25" a="1"/>
  <c r="H319" i="25" s="1"/>
  <c r="H320" i="25" a="1"/>
  <c r="H320" i="25" s="1"/>
  <c r="H321" i="25" a="1"/>
  <c r="H321" i="25" s="1"/>
  <c r="H322" i="25" a="1"/>
  <c r="H322" i="25" s="1"/>
  <c r="H323" i="25" a="1"/>
  <c r="H323" i="25" s="1"/>
  <c r="H324" i="25" a="1"/>
  <c r="H324" i="25" s="1"/>
  <c r="H325" i="25" a="1"/>
  <c r="H325" i="25" s="1"/>
  <c r="H326" i="25" a="1"/>
  <c r="H326" i="25" s="1"/>
  <c r="H334" i="25" a="1"/>
  <c r="H334" i="25" s="1"/>
  <c r="H335" i="25" a="1"/>
  <c r="H335" i="25" s="1"/>
  <c r="H336" i="25" a="1"/>
  <c r="H336" i="25" s="1"/>
  <c r="H337" i="25" a="1"/>
  <c r="H337" i="25" s="1"/>
  <c r="H338" i="25" a="1"/>
  <c r="H338" i="25" s="1"/>
  <c r="H339" i="25" a="1"/>
  <c r="H339" i="25" s="1"/>
  <c r="H340" i="25" a="1"/>
  <c r="H340" i="25" s="1"/>
  <c r="H341" i="25" a="1"/>
  <c r="H341" i="25" s="1"/>
  <c r="H342" i="25" a="1"/>
  <c r="H342" i="25" s="1"/>
  <c r="H343" i="25" a="1"/>
  <c r="H343" i="25" s="1"/>
  <c r="H344" i="25" a="1"/>
  <c r="H344" i="25" s="1"/>
  <c r="H345" i="25" a="1"/>
  <c r="H345" i="25" s="1"/>
  <c r="H346" i="25" a="1"/>
  <c r="H346" i="25" s="1"/>
  <c r="H347" i="25" a="1"/>
  <c r="H347" i="25" s="1"/>
  <c r="H348" i="25" a="1"/>
  <c r="H348" i="25" s="1"/>
  <c r="H349" i="25" a="1"/>
  <c r="H349" i="25" s="1"/>
  <c r="H350" i="25" a="1"/>
  <c r="H350" i="25" s="1"/>
  <c r="H351" i="25" a="1"/>
  <c r="H351" i="25" s="1"/>
  <c r="H352" i="25" a="1"/>
  <c r="H352" i="25" s="1"/>
  <c r="H353" i="25" a="1"/>
  <c r="H353" i="25" s="1"/>
  <c r="H358" i="25" a="1"/>
  <c r="H358" i="25" s="1"/>
  <c r="H359" i="25" a="1"/>
  <c r="H359" i="25" s="1"/>
  <c r="H360" i="25" a="1"/>
  <c r="H360" i="25" s="1"/>
  <c r="H361" i="25" a="1"/>
  <c r="H361" i="25" s="1"/>
  <c r="H362" i="25" a="1"/>
  <c r="H362" i="25" s="1"/>
  <c r="H363" i="25" a="1"/>
  <c r="H363" i="25" s="1"/>
  <c r="H364" i="25" a="1"/>
  <c r="H364" i="25" s="1"/>
  <c r="H365" i="25" a="1"/>
  <c r="H365" i="25" s="1"/>
  <c r="H366" i="25" a="1"/>
  <c r="H366" i="25" s="1"/>
  <c r="H367" i="25" a="1"/>
  <c r="H367" i="25" s="1"/>
  <c r="H368" i="25" a="1"/>
  <c r="H368" i="25" s="1"/>
  <c r="H369" i="25" a="1"/>
  <c r="H369" i="25" s="1"/>
  <c r="H370" i="25" a="1"/>
  <c r="H370" i="25" s="1"/>
  <c r="H371" i="25" a="1"/>
  <c r="H371" i="25" s="1"/>
  <c r="H372" i="25" a="1"/>
  <c r="H372" i="25" s="1"/>
  <c r="H373" i="25" a="1"/>
  <c r="H373" i="25" s="1"/>
  <c r="H374" i="25" a="1"/>
  <c r="H374" i="25" s="1"/>
  <c r="H375" i="25" a="1"/>
  <c r="H375" i="25" s="1"/>
  <c r="H376" i="25" a="1"/>
  <c r="H376" i="25" s="1"/>
  <c r="H377" i="25" a="1"/>
  <c r="H377" i="25" s="1"/>
  <c r="H378" i="25" a="1"/>
  <c r="H378" i="25" s="1"/>
  <c r="H379" i="25" a="1"/>
  <c r="H379" i="25" s="1"/>
  <c r="H380" i="25" a="1"/>
  <c r="H380" i="25" s="1"/>
  <c r="H381" i="25" a="1"/>
  <c r="H381" i="25" s="1"/>
  <c r="H382" i="25" a="1"/>
  <c r="H382" i="25" s="1"/>
  <c r="H383" i="25" a="1"/>
  <c r="H383" i="25" s="1"/>
  <c r="H384" i="25" a="1"/>
  <c r="H384" i="25" s="1"/>
  <c r="H385" i="25" a="1"/>
  <c r="H385" i="25" s="1"/>
  <c r="H386" i="25" a="1"/>
  <c r="H386" i="25" s="1"/>
  <c r="H387" i="25" a="1"/>
  <c r="H387" i="25" s="1"/>
  <c r="H388" i="25" a="1"/>
  <c r="H388" i="25" s="1"/>
  <c r="H389" i="25" a="1"/>
  <c r="H389" i="25" s="1"/>
  <c r="H390" i="25" a="1"/>
  <c r="H390" i="25" s="1"/>
  <c r="H403" i="25" a="1"/>
  <c r="H403" i="25" s="1"/>
  <c r="H404" i="25" a="1"/>
  <c r="H404" i="25" s="1"/>
  <c r="H405" i="25" a="1"/>
  <c r="H405" i="25" s="1"/>
  <c r="H406" i="25" a="1"/>
  <c r="H406" i="25" s="1"/>
  <c r="H407" i="25" a="1"/>
  <c r="H407" i="25" s="1"/>
  <c r="H408" i="25" a="1"/>
  <c r="H408" i="25" s="1"/>
  <c r="H409" i="25" a="1"/>
  <c r="H409" i="25" s="1"/>
  <c r="H410" i="25" a="1"/>
  <c r="H410" i="25" s="1"/>
  <c r="H411" i="25" a="1"/>
  <c r="H411" i="25" s="1"/>
  <c r="H412" i="25" a="1"/>
  <c r="H412" i="25" s="1"/>
  <c r="H413" i="25" a="1"/>
  <c r="H413" i="25" s="1"/>
  <c r="H414" i="25" a="1"/>
  <c r="H414" i="25" s="1"/>
  <c r="H415" i="25" a="1"/>
  <c r="H415" i="25" s="1"/>
  <c r="H416" i="25" a="1"/>
  <c r="H416" i="25" s="1"/>
  <c r="H417" i="25" a="1"/>
  <c r="H417" i="25" s="1"/>
  <c r="H418" i="25" a="1"/>
  <c r="H418" i="25" s="1"/>
  <c r="H419" i="25" a="1"/>
  <c r="H419" i="25" s="1"/>
  <c r="H420" i="25" a="1"/>
  <c r="H420" i="25" s="1"/>
  <c r="H421" i="25" a="1"/>
  <c r="H421" i="25" s="1"/>
  <c r="H422" i="25" a="1"/>
  <c r="H422" i="25" s="1"/>
  <c r="H423" i="25" a="1"/>
  <c r="H423" i="25" s="1"/>
  <c r="H424" i="25" a="1"/>
  <c r="H424" i="25" s="1"/>
  <c r="H425" i="25" a="1"/>
  <c r="H425" i="25" s="1"/>
  <c r="H426" i="25" a="1"/>
  <c r="H426" i="25" s="1"/>
  <c r="H427" i="25" a="1"/>
  <c r="H427" i="25" s="1"/>
  <c r="H428" i="25" a="1"/>
  <c r="H428" i="25" s="1"/>
  <c r="H449" i="25" a="1"/>
  <c r="H449" i="25" s="1"/>
  <c r="H450" i="25" a="1"/>
  <c r="H450" i="25" s="1"/>
  <c r="H451" i="25" a="1"/>
  <c r="H451" i="25" s="1"/>
  <c r="H452" i="25" a="1"/>
  <c r="H452" i="25" s="1"/>
  <c r="H453" i="25" a="1"/>
  <c r="H453" i="25" s="1"/>
  <c r="H454" i="25" a="1"/>
  <c r="H454" i="25" s="1"/>
  <c r="H455" i="25" a="1"/>
  <c r="H455" i="25" s="1"/>
  <c r="H456" i="25" a="1"/>
  <c r="H456" i="25" s="1"/>
  <c r="H457" i="25" a="1"/>
  <c r="H457" i="25" s="1"/>
  <c r="H458" i="25" a="1"/>
  <c r="H458" i="25" s="1"/>
  <c r="H459" i="25" a="1"/>
  <c r="H459" i="25" s="1"/>
  <c r="H460" i="25" a="1"/>
  <c r="H460" i="25" s="1"/>
  <c r="H461" i="25" a="1"/>
  <c r="H461" i="25" s="1"/>
  <c r="H462" i="25" a="1"/>
  <c r="H462" i="25" s="1"/>
  <c r="H463" i="25" a="1"/>
  <c r="H463" i="25" s="1"/>
  <c r="H464" i="25" a="1"/>
  <c r="H464" i="25" s="1"/>
  <c r="H465" i="25" a="1"/>
  <c r="H465" i="25" s="1"/>
  <c r="H466" i="25" a="1"/>
  <c r="H466" i="25" s="1"/>
  <c r="H467" i="25" a="1"/>
  <c r="H467" i="25" s="1"/>
  <c r="H468" i="25" a="1"/>
  <c r="H468" i="25" s="1"/>
  <c r="H469" i="25" a="1"/>
  <c r="H469" i="25" s="1"/>
  <c r="H470" i="25" a="1"/>
  <c r="H470" i="25" s="1"/>
  <c r="H471" i="25" a="1"/>
  <c r="H471" i="25" s="1"/>
  <c r="H472" i="25" a="1"/>
  <c r="H472" i="25" s="1"/>
  <c r="H473" i="25" a="1"/>
  <c r="H473" i="25" s="1"/>
  <c r="H474" i="25" a="1"/>
  <c r="H474" i="25" s="1"/>
  <c r="H475" i="25" a="1"/>
  <c r="H475" i="25" s="1"/>
  <c r="H476" i="25" a="1"/>
  <c r="H476" i="25" s="1"/>
  <c r="H477" i="25" a="1"/>
  <c r="H477" i="25" s="1"/>
  <c r="H478" i="25" a="1"/>
  <c r="H478" i="25" s="1"/>
  <c r="H479" i="25" a="1"/>
  <c r="H479" i="25" s="1"/>
  <c r="H480" i="25" a="1"/>
  <c r="H480" i="25" s="1"/>
  <c r="H481" i="25" a="1"/>
  <c r="H481" i="25" s="1"/>
  <c r="H482" i="25" a="1"/>
  <c r="H482" i="25" s="1"/>
  <c r="H483" i="25" a="1"/>
  <c r="H483" i="25" s="1"/>
  <c r="H484" i="25" a="1"/>
  <c r="H484" i="25" s="1"/>
  <c r="H485" i="25" a="1"/>
  <c r="H485" i="25" s="1"/>
  <c r="H486" i="25" a="1"/>
  <c r="H486" i="25" s="1"/>
  <c r="H487" i="25" a="1"/>
  <c r="H487" i="25" s="1"/>
  <c r="H488" i="25" a="1"/>
  <c r="H488" i="25" s="1"/>
  <c r="H489" i="25" a="1"/>
  <c r="H489" i="25" s="1"/>
  <c r="H490" i="25" a="1"/>
  <c r="H490" i="25" s="1"/>
  <c r="H491" i="25" a="1"/>
  <c r="H491" i="25" s="1"/>
  <c r="H492" i="25" a="1"/>
  <c r="H492" i="25" s="1"/>
  <c r="H493" i="25" a="1"/>
  <c r="H493" i="25" s="1"/>
  <c r="H494" i="25" a="1"/>
  <c r="H494" i="25" s="1"/>
  <c r="H495" i="25" a="1"/>
  <c r="H495" i="25" s="1"/>
  <c r="H2" i="25" a="1"/>
  <c r="H2" i="25" s="1"/>
  <c r="H3" i="12" a="1"/>
  <c r="H3" i="12" s="1"/>
  <c r="H4" i="12" a="1"/>
  <c r="H4" i="12" s="1"/>
  <c r="H5" i="12" a="1"/>
  <c r="H5" i="12" s="1"/>
  <c r="H6" i="12" a="1"/>
  <c r="H6" i="12" s="1"/>
  <c r="H7" i="12" a="1"/>
  <c r="H7" i="12" s="1"/>
  <c r="H8" i="12" a="1"/>
  <c r="H8" i="12" s="1"/>
  <c r="H9" i="12" a="1"/>
  <c r="H9" i="12" s="1"/>
  <c r="H10" i="12" a="1"/>
  <c r="H10" i="12" s="1"/>
  <c r="H11" i="12" a="1"/>
  <c r="H11" i="12" s="1"/>
  <c r="H12" i="12" a="1"/>
  <c r="H12" i="12" s="1"/>
  <c r="H13" i="12" a="1"/>
  <c r="H13" i="12" s="1"/>
  <c r="H14" i="12" a="1"/>
  <c r="H14" i="12" s="1"/>
  <c r="H15" i="12" a="1"/>
  <c r="H15" i="12" s="1"/>
  <c r="H16" i="12" a="1"/>
  <c r="H16" i="12" s="1"/>
  <c r="H17" i="12" a="1"/>
  <c r="H17" i="12" s="1"/>
  <c r="H18" i="12" a="1"/>
  <c r="H18" i="12" s="1"/>
  <c r="H19" i="12" a="1"/>
  <c r="H19" i="12" s="1"/>
  <c r="H20" i="12" a="1"/>
  <c r="H20" i="12" s="1"/>
  <c r="H21" i="12" a="1"/>
  <c r="H21" i="12" s="1"/>
  <c r="H22" i="12" a="1"/>
  <c r="H22" i="12" s="1"/>
  <c r="H23" i="12" a="1"/>
  <c r="H23" i="12" s="1"/>
  <c r="H24" i="12" a="1"/>
  <c r="H24" i="12" s="1"/>
  <c r="H25" i="12" a="1"/>
  <c r="H25" i="12" s="1"/>
  <c r="H26" i="12" a="1"/>
  <c r="H26" i="12" s="1"/>
  <c r="H27" i="12" a="1"/>
  <c r="H27" i="12" s="1"/>
  <c r="H28" i="12" a="1"/>
  <c r="H28" i="12" s="1"/>
  <c r="H29" i="12" a="1"/>
  <c r="H29" i="12" s="1"/>
  <c r="H30" i="12" a="1"/>
  <c r="H30" i="12" s="1"/>
  <c r="H31" i="12" a="1"/>
  <c r="H31" i="12" s="1"/>
  <c r="H32" i="12" a="1"/>
  <c r="H32" i="12" s="1"/>
  <c r="H33" i="12" a="1"/>
  <c r="H33" i="12" s="1"/>
  <c r="H34" i="12" a="1"/>
  <c r="H34" i="12" s="1"/>
  <c r="H35" i="12" a="1"/>
  <c r="H35" i="12" s="1"/>
  <c r="H36" i="12" a="1"/>
  <c r="H36" i="12" s="1"/>
  <c r="H37" i="12" a="1"/>
  <c r="H37" i="12" s="1"/>
  <c r="H38" i="12" a="1"/>
  <c r="H38" i="12" s="1"/>
  <c r="H39" i="12" a="1"/>
  <c r="H39" i="12" s="1"/>
  <c r="H40" i="12" a="1"/>
  <c r="H40" i="12" s="1"/>
  <c r="H41" i="12" a="1"/>
  <c r="H41" i="12" s="1"/>
  <c r="H42" i="12" a="1"/>
  <c r="H42" i="12" s="1"/>
  <c r="H43" i="12" a="1"/>
  <c r="H43" i="12" s="1"/>
  <c r="H44" i="12" a="1"/>
  <c r="H44" i="12" s="1"/>
  <c r="H45" i="12" a="1"/>
  <c r="H45" i="12" s="1"/>
  <c r="H46" i="12" a="1"/>
  <c r="H46" i="12" s="1"/>
  <c r="H47" i="12" a="1"/>
  <c r="H47" i="12" s="1"/>
  <c r="H48" i="12" a="1"/>
  <c r="H48" i="12" s="1"/>
  <c r="H49" i="12" a="1"/>
  <c r="H49" i="12" s="1"/>
  <c r="H50" i="12" a="1"/>
  <c r="H50" i="12" s="1"/>
  <c r="H51" i="12" a="1"/>
  <c r="H51" i="12" s="1"/>
  <c r="H52" i="12" a="1"/>
  <c r="H52" i="12" s="1"/>
  <c r="H53" i="12" a="1"/>
  <c r="H53" i="12" s="1"/>
  <c r="H54" i="12" a="1"/>
  <c r="H54" i="12" s="1"/>
  <c r="H55" i="12" a="1"/>
  <c r="H55" i="12" s="1"/>
  <c r="H56" i="12" a="1"/>
  <c r="H56" i="12" s="1"/>
  <c r="H57" i="12" a="1"/>
  <c r="H57" i="12" s="1"/>
  <c r="H58" i="12" a="1"/>
  <c r="H58" i="12" s="1"/>
  <c r="H59" i="12" a="1"/>
  <c r="H59" i="12" s="1"/>
  <c r="H60" i="12" a="1"/>
  <c r="H60" i="12" s="1"/>
  <c r="H61" i="12" a="1"/>
  <c r="H61" i="12" s="1"/>
  <c r="H62" i="12" a="1"/>
  <c r="H62" i="12" s="1"/>
  <c r="H63" i="12" a="1"/>
  <c r="H63" i="12" s="1"/>
  <c r="H64" i="12" a="1"/>
  <c r="H64" i="12" s="1"/>
  <c r="H65" i="12" a="1"/>
  <c r="H65" i="12" s="1"/>
  <c r="H66" i="12" a="1"/>
  <c r="H66" i="12" s="1"/>
  <c r="H67" i="12" a="1"/>
  <c r="H67" i="12" s="1"/>
  <c r="H68" i="12" a="1"/>
  <c r="H68" i="12" s="1"/>
  <c r="H69" i="12" a="1"/>
  <c r="H69" i="12" s="1"/>
  <c r="H70" i="12" a="1"/>
  <c r="H70" i="12" s="1"/>
  <c r="H71" i="12" a="1"/>
  <c r="H71" i="12" s="1"/>
  <c r="H72" i="12" a="1"/>
  <c r="H72" i="12" s="1"/>
  <c r="H73" i="12" a="1"/>
  <c r="H73" i="12" s="1"/>
  <c r="H74" i="12" a="1"/>
  <c r="H74" i="12" s="1"/>
  <c r="H75" i="12" a="1"/>
  <c r="H75" i="12" s="1"/>
  <c r="H102" i="12" a="1"/>
  <c r="H102" i="12" s="1"/>
  <c r="H103" i="12" a="1"/>
  <c r="H103" i="12" s="1"/>
  <c r="H104" i="12" a="1"/>
  <c r="H104" i="12" s="1"/>
  <c r="H105" i="12" a="1"/>
  <c r="H105" i="12" s="1"/>
  <c r="H106" i="12" a="1"/>
  <c r="H106" i="12" s="1"/>
  <c r="H107" i="12" a="1"/>
  <c r="H107" i="12" s="1"/>
  <c r="H108" i="12" a="1"/>
  <c r="H108" i="12" s="1"/>
  <c r="H109" i="12" a="1"/>
  <c r="H109" i="12" s="1"/>
  <c r="H110" i="12" a="1"/>
  <c r="H110" i="12" s="1"/>
  <c r="H111" i="12" a="1"/>
  <c r="H111" i="12" s="1"/>
  <c r="H112" i="12" a="1"/>
  <c r="H112" i="12" s="1"/>
  <c r="H113" i="12" a="1"/>
  <c r="H113" i="12" s="1"/>
  <c r="H114" i="12" a="1"/>
  <c r="H114" i="12" s="1"/>
  <c r="H115" i="12" a="1"/>
  <c r="H115" i="12" s="1"/>
  <c r="H116" i="12" a="1"/>
  <c r="H116" i="12" s="1"/>
  <c r="H117" i="12" a="1"/>
  <c r="H117" i="12" s="1"/>
  <c r="H118" i="12" a="1"/>
  <c r="H118" i="12" s="1"/>
  <c r="H119" i="12" a="1"/>
  <c r="H119" i="12" s="1"/>
  <c r="H120" i="12" a="1"/>
  <c r="H120" i="12" s="1"/>
  <c r="H121" i="12" a="1"/>
  <c r="H121" i="12" s="1"/>
  <c r="H122" i="12" a="1"/>
  <c r="H122" i="12" s="1"/>
  <c r="H123" i="12" a="1"/>
  <c r="H123" i="12" s="1"/>
  <c r="H124" i="12" a="1"/>
  <c r="H124" i="12" s="1"/>
  <c r="H125" i="12" a="1"/>
  <c r="H125" i="12" s="1"/>
  <c r="H126" i="12" a="1"/>
  <c r="H126" i="12" s="1"/>
  <c r="H127" i="12" a="1"/>
  <c r="H127" i="12" s="1"/>
  <c r="H128" i="12" a="1"/>
  <c r="H128" i="12" s="1"/>
  <c r="H129" i="12" a="1"/>
  <c r="H129" i="12" s="1"/>
  <c r="H130" i="12" a="1"/>
  <c r="H130" i="12" s="1"/>
  <c r="H131" i="12" a="1"/>
  <c r="H131" i="12" s="1"/>
  <c r="H132" i="12" a="1"/>
  <c r="H132" i="12" s="1"/>
  <c r="H133" i="12" a="1"/>
  <c r="H133" i="12" s="1"/>
  <c r="H134" i="12" a="1"/>
  <c r="H134" i="12" s="1"/>
  <c r="H135" i="12" a="1"/>
  <c r="H135" i="12" s="1"/>
  <c r="H136" i="12" a="1"/>
  <c r="H136" i="12" s="1"/>
  <c r="H137" i="12" a="1"/>
  <c r="H137" i="12" s="1"/>
  <c r="H138" i="12" a="1"/>
  <c r="H138" i="12" s="1"/>
  <c r="H139" i="12" a="1"/>
  <c r="H139" i="12" s="1"/>
  <c r="H140" i="12" a="1"/>
  <c r="H140" i="12" s="1"/>
  <c r="H141" i="12" a="1"/>
  <c r="H141" i="12" s="1"/>
  <c r="H142" i="12" a="1"/>
  <c r="H142" i="12" s="1"/>
  <c r="H143" i="12" a="1"/>
  <c r="H143" i="12" s="1"/>
  <c r="H144" i="12" a="1"/>
  <c r="H144" i="12" s="1"/>
  <c r="H145" i="12" a="1"/>
  <c r="H145" i="12" s="1"/>
  <c r="H146" i="12" a="1"/>
  <c r="H146" i="12" s="1"/>
  <c r="H147" i="12" a="1"/>
  <c r="H147" i="12" s="1"/>
  <c r="H148" i="12" a="1"/>
  <c r="H148" i="12" s="1"/>
  <c r="H149" i="12" a="1"/>
  <c r="H149" i="12" s="1"/>
  <c r="H150" i="12" a="1"/>
  <c r="H150" i="12" s="1"/>
  <c r="H151" i="12" a="1"/>
  <c r="H151" i="12" s="1"/>
  <c r="H152" i="12" a="1"/>
  <c r="H152" i="12" s="1"/>
  <c r="H153" i="12" a="1"/>
  <c r="H153" i="12" s="1"/>
  <c r="H154" i="12" a="1"/>
  <c r="H154" i="12" s="1"/>
  <c r="H155" i="12" a="1"/>
  <c r="H155" i="12" s="1"/>
  <c r="H156" i="12" a="1"/>
  <c r="H156" i="12" s="1"/>
  <c r="H157" i="12" a="1"/>
  <c r="H157" i="12" s="1"/>
  <c r="H158" i="12" a="1"/>
  <c r="H158" i="12" s="1"/>
  <c r="H159" i="12" a="1"/>
  <c r="H159" i="12" s="1"/>
  <c r="H160" i="12" a="1"/>
  <c r="H160" i="12" s="1"/>
  <c r="H161" i="12" a="1"/>
  <c r="H161" i="12" s="1"/>
  <c r="H162" i="12" a="1"/>
  <c r="H162" i="12" s="1"/>
  <c r="H163" i="12" a="1"/>
  <c r="H163" i="12" s="1"/>
  <c r="H164" i="12" a="1"/>
  <c r="H164" i="12" s="1"/>
  <c r="H165" i="12" a="1"/>
  <c r="H165" i="12" s="1"/>
  <c r="H166" i="12" a="1"/>
  <c r="H166" i="12" s="1"/>
  <c r="H167" i="12" a="1"/>
  <c r="H167" i="12" s="1"/>
  <c r="H168" i="12" a="1"/>
  <c r="H168" i="12" s="1"/>
  <c r="H169" i="12" a="1"/>
  <c r="H169" i="12" s="1"/>
  <c r="H170" i="12" a="1"/>
  <c r="H170" i="12" s="1"/>
  <c r="H171" i="12" a="1"/>
  <c r="H171" i="12" s="1"/>
  <c r="H172" i="12" a="1"/>
  <c r="H172" i="12" s="1"/>
  <c r="H173" i="12" a="1"/>
  <c r="H173" i="12" s="1"/>
  <c r="H174" i="12" a="1"/>
  <c r="H174" i="12" s="1"/>
  <c r="H175" i="12" a="1"/>
  <c r="H175" i="12" s="1"/>
  <c r="H176" i="12" a="1"/>
  <c r="H176" i="12" s="1"/>
  <c r="H177" i="12" a="1"/>
  <c r="H177" i="12" s="1"/>
  <c r="H178" i="12" a="1"/>
  <c r="H178" i="12" s="1"/>
  <c r="H179" i="12" a="1"/>
  <c r="H179" i="12" s="1"/>
  <c r="H180" i="12" a="1"/>
  <c r="H180" i="12" s="1"/>
  <c r="H181" i="12" a="1"/>
  <c r="H181" i="12" s="1"/>
  <c r="H182" i="12" a="1"/>
  <c r="H182" i="12" s="1"/>
  <c r="H183" i="12" a="1"/>
  <c r="H183" i="12" s="1"/>
  <c r="H184" i="12" a="1"/>
  <c r="H184" i="12" s="1"/>
  <c r="H185" i="12" a="1"/>
  <c r="H185" i="12" s="1"/>
  <c r="H186" i="12" a="1"/>
  <c r="H186" i="12" s="1"/>
  <c r="H187" i="12" a="1"/>
  <c r="H187" i="12" s="1"/>
  <c r="H188" i="12" a="1"/>
  <c r="H188" i="12" s="1"/>
  <c r="H189" i="12" a="1"/>
  <c r="H189" i="12" s="1"/>
  <c r="H190" i="12" a="1"/>
  <c r="H190" i="12" s="1"/>
  <c r="H191" i="12" a="1"/>
  <c r="H191" i="12" s="1"/>
  <c r="H192" i="12" a="1"/>
  <c r="H192" i="12" s="1"/>
  <c r="H193" i="12" a="1"/>
  <c r="H193" i="12" s="1"/>
  <c r="H194" i="12" a="1"/>
  <c r="H194" i="12" s="1"/>
  <c r="H195" i="12" a="1"/>
  <c r="H195" i="12" s="1"/>
  <c r="H196" i="12" a="1"/>
  <c r="H196" i="12" s="1"/>
  <c r="H197" i="12" a="1"/>
  <c r="H197" i="12" s="1"/>
  <c r="H198" i="12" a="1"/>
  <c r="H198" i="12" s="1"/>
  <c r="H199" i="12" a="1"/>
  <c r="H199" i="12" s="1"/>
  <c r="H204" i="12" a="1"/>
  <c r="H204" i="12" s="1"/>
  <c r="H205" i="12" a="1"/>
  <c r="H205" i="12" s="1"/>
  <c r="H206" i="12" a="1"/>
  <c r="H206" i="12" s="1"/>
  <c r="H2" i="12" a="1"/>
  <c r="H2" i="12" s="1"/>
  <c r="H5" i="22" l="1" a="1"/>
  <c r="H5" i="22" s="1"/>
  <c r="H4" i="22" a="1"/>
  <c r="H4" i="22" s="1"/>
  <c r="H3" i="22" a="1"/>
  <c r="H3" i="22" s="1"/>
  <c r="H2" i="22" a="1"/>
  <c r="H2" i="22" s="1"/>
  <c r="H3" i="27" a="1"/>
  <c r="H3" i="27" s="1"/>
  <c r="H4" i="27" a="1"/>
  <c r="H4" i="27" s="1"/>
  <c r="H5" i="27" a="1"/>
  <c r="H5" i="27" s="1"/>
  <c r="H6" i="27" a="1"/>
  <c r="H6" i="27" s="1"/>
  <c r="H7" i="27" a="1"/>
  <c r="H7" i="27" s="1"/>
  <c r="H8" i="27" a="1"/>
  <c r="H8" i="27" s="1"/>
  <c r="H9" i="27" a="1"/>
  <c r="H9" i="27" s="1"/>
  <c r="H10" i="27" a="1"/>
  <c r="H10" i="27" s="1"/>
  <c r="H11" i="27" a="1"/>
  <c r="H11" i="27" s="1"/>
  <c r="H12" i="27" a="1"/>
  <c r="H12" i="27" s="1"/>
  <c r="H13" i="27" a="1"/>
  <c r="H13" i="27" s="1"/>
  <c r="H14" i="27" a="1"/>
  <c r="H14" i="27" s="1"/>
  <c r="H15" i="27" a="1"/>
  <c r="H15" i="27" s="1"/>
  <c r="H16" i="27" a="1"/>
  <c r="H16" i="27" s="1"/>
  <c r="H17" i="27" a="1"/>
  <c r="H17" i="27" s="1"/>
  <c r="H18" i="27" a="1"/>
  <c r="H18" i="27" s="1"/>
  <c r="H19" i="27" a="1"/>
  <c r="H19" i="27" s="1"/>
  <c r="H20" i="27" a="1"/>
  <c r="H20" i="27" s="1"/>
  <c r="H21" i="27" a="1"/>
  <c r="H21" i="27" s="1"/>
  <c r="H22" i="27" a="1"/>
  <c r="H22" i="27" s="1"/>
  <c r="H23" i="27" a="1"/>
  <c r="H23" i="27" s="1"/>
  <c r="H24" i="27" a="1"/>
  <c r="H24" i="27" s="1"/>
  <c r="H25" i="27" a="1"/>
  <c r="H25" i="27" s="1"/>
  <c r="H26" i="27" a="1"/>
  <c r="H26" i="27" s="1"/>
  <c r="H27" i="27" a="1"/>
  <c r="H27" i="27" s="1"/>
  <c r="H28" i="27" a="1"/>
  <c r="H28" i="27" s="1"/>
  <c r="H29" i="27" a="1"/>
  <c r="H29" i="27" s="1"/>
  <c r="H30" i="27" a="1"/>
  <c r="H30" i="27" s="1"/>
  <c r="H31" i="27" a="1"/>
  <c r="H31" i="27" s="1"/>
  <c r="H32" i="27" a="1"/>
  <c r="H32" i="27" s="1"/>
  <c r="H33" i="27" a="1"/>
  <c r="H33" i="27" s="1"/>
  <c r="H34" i="27" a="1"/>
  <c r="H34" i="27" s="1"/>
  <c r="H35" i="27" a="1"/>
  <c r="H35" i="27" s="1"/>
  <c r="H36" i="27" a="1"/>
  <c r="H36" i="27" s="1"/>
  <c r="H37" i="27" a="1"/>
  <c r="H37" i="27" s="1"/>
  <c r="H38" i="27" a="1"/>
  <c r="H38" i="27" s="1"/>
  <c r="H39" i="27" a="1"/>
  <c r="H39" i="27" s="1"/>
  <c r="H40" i="27" a="1"/>
  <c r="H40" i="27" s="1"/>
  <c r="H41" i="27" a="1"/>
  <c r="H41" i="27" s="1"/>
  <c r="H42" i="27" a="1"/>
  <c r="H42" i="27" s="1"/>
  <c r="H43" i="27" a="1"/>
  <c r="H43" i="27" s="1"/>
  <c r="H44" i="27" a="1"/>
  <c r="H44" i="27" s="1"/>
  <c r="H45" i="27" a="1"/>
  <c r="H45" i="27" s="1"/>
  <c r="H46" i="27" a="1"/>
  <c r="H46" i="27" s="1"/>
  <c r="H47" i="27" a="1"/>
  <c r="H47" i="27" s="1"/>
  <c r="H48" i="27" a="1"/>
  <c r="H48" i="27" s="1"/>
  <c r="H49" i="27" a="1"/>
  <c r="H49" i="27" s="1"/>
  <c r="H50" i="27" a="1"/>
  <c r="H50" i="27" s="1"/>
  <c r="H51" i="27" a="1"/>
  <c r="H51" i="27" s="1"/>
  <c r="H52" i="27" a="1"/>
  <c r="H52" i="27" s="1"/>
  <c r="H53" i="27" a="1"/>
  <c r="H53" i="27" s="1"/>
  <c r="H54" i="27" a="1"/>
  <c r="H54" i="27" s="1"/>
  <c r="H55" i="27" a="1"/>
  <c r="H55" i="27" s="1"/>
  <c r="H56" i="27" a="1"/>
  <c r="H56" i="27" s="1"/>
  <c r="H57" i="27" a="1"/>
  <c r="H57" i="27" s="1"/>
  <c r="H58" i="27" a="1"/>
  <c r="H58" i="27" s="1"/>
  <c r="H59" i="27" a="1"/>
  <c r="H59" i="27" s="1"/>
  <c r="H60" i="27" a="1"/>
  <c r="H60" i="27" s="1"/>
  <c r="H61" i="27" a="1"/>
  <c r="H61" i="27" s="1"/>
  <c r="H62" i="27" a="1"/>
  <c r="H62" i="27" s="1"/>
  <c r="H63" i="27" a="1"/>
  <c r="H63" i="27" s="1"/>
  <c r="H64" i="27" a="1"/>
  <c r="H64" i="27" s="1"/>
  <c r="H65" i="27" a="1"/>
  <c r="H65" i="27" s="1"/>
  <c r="H66" i="27" a="1"/>
  <c r="H66" i="27" s="1"/>
  <c r="H67" i="27" a="1"/>
  <c r="H67" i="27" s="1"/>
  <c r="H68" i="27" a="1"/>
  <c r="H68" i="27" s="1"/>
  <c r="H69" i="27" a="1"/>
  <c r="H69" i="27" s="1"/>
  <c r="H70" i="27" a="1"/>
  <c r="H70" i="27" s="1"/>
  <c r="H71" i="27" a="1"/>
  <c r="H71" i="27" s="1"/>
  <c r="H72" i="27" a="1"/>
  <c r="H72" i="27" s="1"/>
  <c r="H73" i="27" a="1"/>
  <c r="H73" i="27" s="1"/>
  <c r="H74" i="27" a="1"/>
  <c r="H74" i="27" s="1"/>
  <c r="H75" i="27" a="1"/>
  <c r="H75" i="27" s="1"/>
  <c r="H76" i="27" a="1"/>
  <c r="H76" i="27" s="1"/>
  <c r="H77" i="27" a="1"/>
  <c r="H77" i="27" s="1"/>
  <c r="H119" i="27" a="1"/>
  <c r="H119" i="27" s="1"/>
  <c r="H120" i="27" a="1"/>
  <c r="H120" i="27" s="1"/>
  <c r="H121" i="27" a="1"/>
  <c r="H121" i="27" s="1"/>
  <c r="H122" i="27" a="1"/>
  <c r="H122" i="27" s="1"/>
  <c r="H123" i="27" a="1"/>
  <c r="H123" i="27" s="1"/>
  <c r="H124" i="27" a="1"/>
  <c r="H124" i="27" s="1"/>
  <c r="H125" i="27" a="1"/>
  <c r="H125" i="27" s="1"/>
  <c r="H126" i="27" a="1"/>
  <c r="H126" i="27" s="1"/>
  <c r="H127" i="27" a="1"/>
  <c r="H127" i="27" s="1"/>
  <c r="H128" i="27" a="1"/>
  <c r="H128" i="27" s="1"/>
  <c r="H129" i="27" a="1"/>
  <c r="H129" i="27" s="1"/>
  <c r="H130" i="27" a="1"/>
  <c r="H130" i="27" s="1"/>
  <c r="H131" i="27" a="1"/>
  <c r="H131" i="27" s="1"/>
  <c r="H132" i="27" a="1"/>
  <c r="H132" i="27" s="1"/>
  <c r="H133" i="27" a="1"/>
  <c r="H133" i="27" s="1"/>
  <c r="H134" i="27" a="1"/>
  <c r="H134" i="27" s="1"/>
  <c r="H135" i="27" a="1"/>
  <c r="H135" i="27" s="1"/>
  <c r="H136" i="27" a="1"/>
  <c r="H136" i="27" s="1"/>
  <c r="H137" i="27" a="1"/>
  <c r="H137" i="27" s="1"/>
  <c r="H138" i="27" a="1"/>
  <c r="H138" i="27" s="1"/>
  <c r="H139" i="27" a="1"/>
  <c r="H139" i="27" s="1"/>
  <c r="H140" i="27" a="1"/>
  <c r="H140" i="27" s="1"/>
  <c r="H141" i="27" a="1"/>
  <c r="H141" i="27" s="1"/>
  <c r="H142" i="27" a="1"/>
  <c r="H142" i="27" s="1"/>
  <c r="H143" i="27" a="1"/>
  <c r="H143" i="27" s="1"/>
  <c r="H144" i="27" a="1"/>
  <c r="H144" i="27" s="1"/>
  <c r="H145" i="27" a="1"/>
  <c r="H145" i="27" s="1"/>
  <c r="H146" i="27" a="1"/>
  <c r="H146" i="27" s="1"/>
  <c r="H147" i="27" a="1"/>
  <c r="H147" i="27" s="1"/>
  <c r="H148" i="27" a="1"/>
  <c r="H148" i="27" s="1"/>
  <c r="H149" i="27" a="1"/>
  <c r="H149" i="27" s="1"/>
  <c r="H150" i="27" a="1"/>
  <c r="H150" i="27" s="1"/>
  <c r="H151" i="27" a="1"/>
  <c r="H151" i="27" s="1"/>
  <c r="H152" i="27" a="1"/>
  <c r="H152" i="27" s="1"/>
  <c r="H153" i="27" a="1"/>
  <c r="H153" i="27" s="1"/>
  <c r="H154" i="27" a="1"/>
  <c r="H154" i="27" s="1"/>
  <c r="H155" i="27" a="1"/>
  <c r="H155" i="27" s="1"/>
  <c r="H163" i="27" a="1"/>
  <c r="H163" i="27" s="1"/>
  <c r="H164" i="27" a="1"/>
  <c r="H164" i="27" s="1"/>
  <c r="H165" i="27" a="1"/>
  <c r="H165" i="27" s="1"/>
  <c r="H166" i="27" a="1"/>
  <c r="H166" i="27" s="1"/>
  <c r="H167" i="27" a="1"/>
  <c r="H167" i="27" s="1"/>
  <c r="H168" i="27" a="1"/>
  <c r="H168" i="27" s="1"/>
  <c r="H169" i="27" a="1"/>
  <c r="H169" i="27" s="1"/>
  <c r="H170" i="27" a="1"/>
  <c r="H170" i="27" s="1"/>
  <c r="H171" i="27" a="1"/>
  <c r="H171" i="27" s="1"/>
  <c r="H172" i="27" a="1"/>
  <c r="H172" i="27" s="1"/>
  <c r="H173" i="27" a="1"/>
  <c r="H173" i="27" s="1"/>
  <c r="H174" i="27" a="1"/>
  <c r="H174" i="27" s="1"/>
  <c r="H175" i="27" a="1"/>
  <c r="H175" i="27" s="1"/>
  <c r="H176" i="27" a="1"/>
  <c r="H176" i="27" s="1"/>
  <c r="H177" i="27" a="1"/>
  <c r="H177" i="27" s="1"/>
  <c r="H178" i="27" a="1"/>
  <c r="H178" i="27" s="1"/>
  <c r="H179" i="27" a="1"/>
  <c r="H179" i="27" s="1"/>
  <c r="H180" i="27" a="1"/>
  <c r="H180" i="27" s="1"/>
  <c r="H181" i="27" a="1"/>
  <c r="H181" i="27" s="1"/>
  <c r="H182" i="27" a="1"/>
  <c r="H182" i="27" s="1"/>
  <c r="H183" i="27" a="1"/>
  <c r="H183" i="27" s="1"/>
  <c r="H184" i="27" a="1"/>
  <c r="H184" i="27" s="1"/>
  <c r="H185" i="27" a="1"/>
  <c r="H185" i="27" s="1"/>
  <c r="H186" i="27" a="1"/>
  <c r="H186" i="27" s="1"/>
  <c r="H187" i="27" a="1"/>
  <c r="H187" i="27" s="1"/>
  <c r="H188" i="27" a="1"/>
  <c r="H188" i="27" s="1"/>
  <c r="H189" i="27" a="1"/>
  <c r="H189" i="27" s="1"/>
  <c r="H190" i="27" a="1"/>
  <c r="H190" i="27" s="1"/>
  <c r="H191" i="27" a="1"/>
  <c r="H191" i="27" s="1"/>
  <c r="H192" i="27" a="1"/>
  <c r="H192" i="27" s="1"/>
  <c r="H193" i="27" a="1"/>
  <c r="H193" i="27" s="1"/>
  <c r="H194" i="27" a="1"/>
  <c r="H194" i="27" s="1"/>
  <c r="H195" i="27" a="1"/>
  <c r="H195" i="27" s="1"/>
  <c r="H196" i="27" a="1"/>
  <c r="H196" i="27" s="1"/>
  <c r="H197" i="27" a="1"/>
  <c r="H197" i="27" s="1"/>
  <c r="H198" i="27" a="1"/>
  <c r="H198" i="27" s="1"/>
  <c r="H199" i="27" a="1"/>
  <c r="H199" i="27" s="1"/>
  <c r="H200" i="27" a="1"/>
  <c r="H200" i="27" s="1"/>
  <c r="H201" i="27" a="1"/>
  <c r="H201" i="27" s="1"/>
  <c r="H202" i="27" a="1"/>
  <c r="H202" i="27" s="1"/>
  <c r="H203" i="27" a="1"/>
  <c r="H203" i="27" s="1"/>
  <c r="H204" i="27" a="1"/>
  <c r="H204" i="27" s="1"/>
  <c r="H205" i="27" a="1"/>
  <c r="H205" i="27" s="1"/>
  <c r="H206" i="27" a="1"/>
  <c r="H206" i="27" s="1"/>
  <c r="H207" i="27" a="1"/>
  <c r="H207" i="27" s="1"/>
  <c r="H208" i="27" a="1"/>
  <c r="H208" i="27" s="1"/>
  <c r="H209" i="27" a="1"/>
  <c r="H209" i="27" s="1"/>
  <c r="H210" i="27" a="1"/>
  <c r="H210" i="27" s="1"/>
  <c r="H211" i="27" a="1"/>
  <c r="H211" i="27" s="1"/>
  <c r="H212" i="27" a="1"/>
  <c r="H212" i="27" s="1"/>
  <c r="H213" i="27" a="1"/>
  <c r="H213" i="27" s="1"/>
  <c r="H214" i="27" a="1"/>
  <c r="H214" i="27" s="1"/>
  <c r="H215" i="27" a="1"/>
  <c r="H215" i="27" s="1"/>
  <c r="H216" i="27" a="1"/>
  <c r="H216" i="27" s="1"/>
  <c r="H217" i="27" a="1"/>
  <c r="H217" i="27" s="1"/>
  <c r="H218" i="27" a="1"/>
  <c r="H218" i="27" s="1"/>
  <c r="H219" i="27" a="1"/>
  <c r="H219" i="27" s="1"/>
  <c r="H220" i="27" a="1"/>
  <c r="H220" i="27" s="1"/>
  <c r="H221" i="27" a="1"/>
  <c r="H221" i="27" s="1"/>
  <c r="H222" i="27" a="1"/>
  <c r="H222" i="27" s="1"/>
  <c r="H223" i="27" a="1"/>
  <c r="H223" i="27" s="1"/>
  <c r="H224" i="27" a="1"/>
  <c r="H224" i="27" s="1"/>
  <c r="H225" i="27" a="1"/>
  <c r="H225" i="27" s="1"/>
  <c r="H227" i="27" a="1"/>
  <c r="H227" i="27" s="1"/>
  <c r="H229" i="27" a="1"/>
  <c r="H229" i="27" s="1"/>
  <c r="H230" i="27" a="1"/>
  <c r="H230" i="27" s="1"/>
  <c r="H231" i="27" a="1"/>
  <c r="H231" i="27" s="1"/>
  <c r="H232" i="27" a="1"/>
  <c r="H232" i="27" s="1"/>
  <c r="H233" i="27" a="1"/>
  <c r="H233" i="27" s="1"/>
  <c r="H234" i="27" a="1"/>
  <c r="H234" i="27" s="1"/>
  <c r="H235" i="27" a="1"/>
  <c r="H235" i="27" s="1"/>
  <c r="H236" i="27" a="1"/>
  <c r="H236" i="27" s="1"/>
  <c r="H237" i="27" a="1"/>
  <c r="H237" i="27" s="1"/>
  <c r="H238" i="27" a="1"/>
  <c r="H238" i="27" s="1"/>
  <c r="H239" i="27" a="1"/>
  <c r="H239" i="27" s="1"/>
  <c r="H240" i="27" a="1"/>
  <c r="H240" i="27" s="1"/>
  <c r="H241" i="27" a="1"/>
  <c r="H241" i="27" s="1"/>
  <c r="H242" i="27" a="1"/>
  <c r="H242" i="27" s="1"/>
  <c r="H243" i="27" a="1"/>
  <c r="H243" i="27" s="1"/>
  <c r="H244" i="27" a="1"/>
  <c r="H244" i="27" s="1"/>
  <c r="H245" i="27" a="1"/>
  <c r="H245" i="27" s="1"/>
  <c r="H246" i="27" a="1"/>
  <c r="H246" i="27" s="1"/>
  <c r="H247" i="27" a="1"/>
  <c r="H247" i="27" s="1"/>
  <c r="H248" i="27" a="1"/>
  <c r="H248" i="27" s="1"/>
  <c r="H249" i="27" a="1"/>
  <c r="H249" i="27" s="1"/>
  <c r="H250" i="27" a="1"/>
  <c r="H250" i="27" s="1"/>
  <c r="H251" i="27" a="1"/>
  <c r="H251" i="27" s="1"/>
  <c r="H252" i="27" a="1"/>
  <c r="H252" i="27" s="1"/>
  <c r="H253" i="27" a="1"/>
  <c r="H253" i="27" s="1"/>
  <c r="H254" i="27" a="1"/>
  <c r="H254" i="27" s="1"/>
  <c r="H255" i="27" a="1"/>
  <c r="H255" i="27" s="1"/>
  <c r="H256" i="27" a="1"/>
  <c r="H256" i="27" s="1"/>
  <c r="H257" i="27" a="1"/>
  <c r="H257" i="27" s="1"/>
  <c r="H258" i="27" a="1"/>
  <c r="H258" i="27" s="1"/>
  <c r="H259" i="27" a="1"/>
  <c r="H259" i="27" s="1"/>
  <c r="H260" i="27" a="1"/>
  <c r="H260" i="27" s="1"/>
  <c r="H261" i="27" a="1"/>
  <c r="H261" i="27" s="1"/>
  <c r="H262" i="27" a="1"/>
  <c r="H262" i="27" s="1"/>
  <c r="H263" i="27" a="1"/>
  <c r="H263" i="27" s="1"/>
  <c r="H264" i="27" a="1"/>
  <c r="H264" i="27" s="1"/>
  <c r="H265" i="27" a="1"/>
  <c r="H265" i="27" s="1"/>
  <c r="H275" i="27" a="1"/>
  <c r="H275" i="27" s="1"/>
  <c r="H276" i="27" a="1"/>
  <c r="H276" i="27" s="1"/>
  <c r="H277" i="27" a="1"/>
  <c r="H277" i="27" s="1"/>
  <c r="H278" i="27" a="1"/>
  <c r="H278" i="27" s="1"/>
  <c r="H279" i="27" a="1"/>
  <c r="H279" i="27" s="1"/>
  <c r="H280" i="27" a="1"/>
  <c r="H280" i="27" s="1"/>
  <c r="H281" i="27" a="1"/>
  <c r="H281" i="27" s="1"/>
  <c r="H282" i="27" a="1"/>
  <c r="H282" i="27" s="1"/>
  <c r="H283" i="27" a="1"/>
  <c r="H283" i="27" s="1"/>
  <c r="H284" i="27" a="1"/>
  <c r="H284" i="27" s="1"/>
  <c r="H285" i="27" a="1"/>
  <c r="H285" i="27" s="1"/>
  <c r="H286" i="27" a="1"/>
  <c r="H286" i="27" s="1"/>
  <c r="H287" i="27" a="1"/>
  <c r="H287" i="27" s="1"/>
  <c r="H288" i="27" a="1"/>
  <c r="H288" i="27" s="1"/>
  <c r="H289" i="27" a="1"/>
  <c r="H289" i="27" s="1"/>
  <c r="H290" i="27" a="1"/>
  <c r="H290" i="27" s="1"/>
  <c r="H291" i="27" a="1"/>
  <c r="H291" i="27" s="1"/>
  <c r="H292" i="27" a="1"/>
  <c r="H292" i="27" s="1"/>
  <c r="H293" i="27" a="1"/>
  <c r="H293" i="27" s="1"/>
  <c r="H294" i="27" a="1"/>
  <c r="H294" i="27" s="1"/>
  <c r="H295" i="27" a="1"/>
  <c r="H295" i="27" s="1"/>
  <c r="H296" i="27" a="1"/>
  <c r="H296" i="27" s="1"/>
  <c r="H297" i="27" a="1"/>
  <c r="H297" i="27" s="1"/>
  <c r="H298" i="27" a="1"/>
  <c r="H298" i="27" s="1"/>
  <c r="H299" i="27" a="1"/>
  <c r="H299" i="27" s="1"/>
  <c r="H300" i="27" a="1"/>
  <c r="H300" i="27" s="1"/>
  <c r="H301" i="27" a="1"/>
  <c r="H301" i="27" s="1"/>
  <c r="H302" i="27" a="1"/>
  <c r="H302" i="27" s="1"/>
  <c r="H303" i="27" a="1"/>
  <c r="H303" i="27" s="1"/>
  <c r="H304" i="27" a="1"/>
  <c r="H304" i="27" s="1"/>
  <c r="H305" i="27" a="1"/>
  <c r="H305" i="27" s="1"/>
  <c r="H306" i="27" a="1"/>
  <c r="H306" i="27" s="1"/>
  <c r="H307" i="27" a="1"/>
  <c r="H307" i="27" s="1"/>
  <c r="H308" i="27" a="1"/>
  <c r="H308" i="27" s="1"/>
  <c r="H309" i="27" a="1"/>
  <c r="H309" i="27" s="1"/>
  <c r="H310" i="27" a="1"/>
  <c r="H310" i="27" s="1"/>
  <c r="H311" i="27" a="1"/>
  <c r="H311" i="27" s="1"/>
  <c r="H312" i="27" a="1"/>
  <c r="H312" i="27" s="1"/>
  <c r="H313" i="27" a="1"/>
  <c r="H313" i="27" s="1"/>
  <c r="H314" i="27" a="1"/>
  <c r="H314" i="27" s="1"/>
  <c r="H315" i="27" a="1"/>
  <c r="H315" i="27" s="1"/>
  <c r="H316" i="27" a="1"/>
  <c r="H316" i="27" s="1"/>
  <c r="H317" i="27" a="1"/>
  <c r="H317" i="27" s="1"/>
  <c r="H318" i="27" a="1"/>
  <c r="H318" i="27" s="1"/>
  <c r="H319" i="27" a="1"/>
  <c r="H319" i="27" s="1"/>
  <c r="H320" i="27" a="1"/>
  <c r="H320" i="27" s="1"/>
  <c r="H321" i="27" a="1"/>
  <c r="H321" i="27" s="1"/>
  <c r="H322" i="27" a="1"/>
  <c r="H322" i="27" s="1"/>
  <c r="H323" i="27" a="1"/>
  <c r="H323" i="27" s="1"/>
  <c r="H324" i="27" a="1"/>
  <c r="H324" i="27" s="1"/>
  <c r="H325" i="27" a="1"/>
  <c r="H325" i="27" s="1"/>
  <c r="H326" i="27" a="1"/>
  <c r="H326" i="27" s="1"/>
  <c r="H327" i="27" a="1"/>
  <c r="H327" i="27" s="1"/>
  <c r="H328" i="27" a="1"/>
  <c r="H328" i="27" s="1"/>
  <c r="H329" i="27" a="1"/>
  <c r="H329" i="27" s="1"/>
  <c r="H330" i="27" a="1"/>
  <c r="H330" i="27" s="1"/>
  <c r="H331" i="27" a="1"/>
  <c r="H331" i="27" s="1"/>
  <c r="H332" i="27" a="1"/>
  <c r="H332" i="27" s="1"/>
  <c r="H333" i="27" a="1"/>
  <c r="H333" i="27" s="1"/>
  <c r="H334" i="27" a="1"/>
  <c r="H334" i="27" s="1"/>
  <c r="H335" i="27" a="1"/>
  <c r="H335" i="27" s="1"/>
  <c r="H336" i="27" a="1"/>
  <c r="H336" i="27" s="1"/>
  <c r="H337" i="27" a="1"/>
  <c r="H337" i="27" s="1"/>
  <c r="H338" i="27" a="1"/>
  <c r="H338" i="27" s="1"/>
  <c r="H339" i="27" a="1"/>
  <c r="H339" i="27" s="1"/>
  <c r="H340" i="27" a="1"/>
  <c r="H340" i="27" s="1"/>
  <c r="H341" i="27" a="1"/>
  <c r="H341" i="27" s="1"/>
  <c r="H351" i="27" a="1"/>
  <c r="H351" i="27" s="1"/>
  <c r="H352" i="27" a="1"/>
  <c r="H352" i="27" s="1"/>
  <c r="H353" i="27" a="1"/>
  <c r="H353" i="27" s="1"/>
  <c r="H354" i="27" a="1"/>
  <c r="H354" i="27" s="1"/>
  <c r="H355" i="27" a="1"/>
  <c r="H355" i="27" s="1"/>
  <c r="H356" i="27" a="1"/>
  <c r="H356" i="27" s="1"/>
  <c r="H357" i="27" a="1"/>
  <c r="H357" i="27" s="1"/>
  <c r="H358" i="27" a="1"/>
  <c r="H358" i="27" s="1"/>
  <c r="H359" i="27" a="1"/>
  <c r="H359" i="27" s="1"/>
  <c r="H360" i="27" a="1"/>
  <c r="H360" i="27" s="1"/>
  <c r="H361" i="27" a="1"/>
  <c r="H361" i="27" s="1"/>
  <c r="H362" i="27" a="1"/>
  <c r="H362" i="27" s="1"/>
  <c r="H363" i="27" a="1"/>
  <c r="H363" i="27" s="1"/>
  <c r="H364" i="27" a="1"/>
  <c r="H364" i="27" s="1"/>
  <c r="H365" i="27" a="1"/>
  <c r="H365" i="27" s="1"/>
  <c r="H366" i="27" a="1"/>
  <c r="H366" i="27" s="1"/>
  <c r="H367" i="27" a="1"/>
  <c r="H367" i="27" s="1"/>
  <c r="H368" i="27" a="1"/>
  <c r="H368" i="27" s="1"/>
  <c r="H369" i="27" a="1"/>
  <c r="H369" i="27" s="1"/>
  <c r="H370" i="27" a="1"/>
  <c r="H370" i="27" s="1"/>
  <c r="H371" i="27" a="1"/>
  <c r="H371" i="27" s="1"/>
  <c r="H372" i="27" a="1"/>
  <c r="H372" i="27" s="1"/>
  <c r="H373" i="27" a="1"/>
  <c r="H373" i="27" s="1"/>
  <c r="H374" i="27" a="1"/>
  <c r="H374" i="27" s="1"/>
  <c r="H375" i="27" a="1"/>
  <c r="H375" i="27" s="1"/>
  <c r="H376" i="27" a="1"/>
  <c r="H376" i="27" s="1"/>
  <c r="H377" i="27" a="1"/>
  <c r="H377" i="27" s="1"/>
  <c r="H378" i="27" a="1"/>
  <c r="H378" i="27" s="1"/>
  <c r="H379" i="27" a="1"/>
  <c r="H379" i="27" s="1"/>
  <c r="H380" i="27" a="1"/>
  <c r="H380" i="27" s="1"/>
  <c r="H381" i="27" a="1"/>
  <c r="H381" i="27" s="1"/>
  <c r="H382" i="27" a="1"/>
  <c r="H382" i="27" s="1"/>
  <c r="H407" i="27" a="1"/>
  <c r="H407" i="27" s="1"/>
  <c r="H408" i="27" a="1"/>
  <c r="H408" i="27" s="1"/>
  <c r="H409" i="27" a="1"/>
  <c r="H409" i="27" s="1"/>
  <c r="H410" i="27" a="1"/>
  <c r="H410" i="27" s="1"/>
  <c r="H411" i="27" a="1"/>
  <c r="H411" i="27" s="1"/>
  <c r="H412" i="27" a="1"/>
  <c r="H412" i="27" s="1"/>
  <c r="H413" i="27" a="1"/>
  <c r="H413" i="27" s="1"/>
  <c r="H414" i="27" a="1"/>
  <c r="H414" i="27" s="1"/>
  <c r="H415" i="27" a="1"/>
  <c r="H415" i="27" s="1"/>
  <c r="H416" i="27" a="1"/>
  <c r="H416" i="27" s="1"/>
  <c r="H417" i="27" a="1"/>
  <c r="H417" i="27" s="1"/>
  <c r="H418" i="27" a="1"/>
  <c r="H418" i="27" s="1"/>
  <c r="H419" i="27" a="1"/>
  <c r="H419" i="27" s="1"/>
  <c r="H420" i="27" a="1"/>
  <c r="H420" i="27" s="1"/>
  <c r="H421" i="27" a="1"/>
  <c r="H421" i="27" s="1"/>
  <c r="H422" i="27" a="1"/>
  <c r="H422" i="27" s="1"/>
  <c r="H423" i="27" a="1"/>
  <c r="H423" i="27" s="1"/>
  <c r="H424" i="27" a="1"/>
  <c r="H424" i="27" s="1"/>
  <c r="H425" i="27" a="1"/>
  <c r="H425" i="27" s="1"/>
  <c r="H426" i="27" a="1"/>
  <c r="H426" i="27" s="1"/>
  <c r="H427" i="27" a="1"/>
  <c r="H427" i="27" s="1"/>
  <c r="H428" i="27" a="1"/>
  <c r="H428" i="27" s="1"/>
  <c r="H429" i="27" a="1"/>
  <c r="H429" i="27" s="1"/>
  <c r="H430" i="27" a="1"/>
  <c r="H430" i="27" s="1"/>
  <c r="H431" i="27" a="1"/>
  <c r="H431" i="27" s="1"/>
  <c r="H432" i="27" a="1"/>
  <c r="H432" i="27" s="1"/>
  <c r="H446" i="27" a="1"/>
  <c r="H446" i="27" s="1"/>
  <c r="H447" i="27" a="1"/>
  <c r="H447" i="27" s="1"/>
  <c r="H448" i="27" a="1"/>
  <c r="H448" i="27" s="1"/>
  <c r="H449" i="27" a="1"/>
  <c r="H449" i="27" s="1"/>
  <c r="H450" i="27" a="1"/>
  <c r="H450" i="27" s="1"/>
  <c r="H451" i="27" a="1"/>
  <c r="H451" i="27" s="1"/>
  <c r="H452" i="27" a="1"/>
  <c r="H452" i="27" s="1"/>
  <c r="H462" i="27" a="1"/>
  <c r="H462" i="27" s="1"/>
  <c r="H463" i="27" a="1"/>
  <c r="H463" i="27" s="1"/>
  <c r="H464" i="27" a="1"/>
  <c r="H464" i="27" s="1"/>
  <c r="H465" i="27" a="1"/>
  <c r="H465" i="27" s="1"/>
  <c r="H466" i="27" a="1"/>
  <c r="H466" i="27" s="1"/>
  <c r="H467" i="27" a="1"/>
  <c r="H467" i="27" s="1"/>
  <c r="H468" i="27" a="1"/>
  <c r="H468" i="27" s="1"/>
  <c r="H469" i="27" a="1"/>
  <c r="H469" i="27" s="1"/>
  <c r="H470" i="27" a="1"/>
  <c r="H470" i="27" s="1"/>
  <c r="H471" i="27" a="1"/>
  <c r="H471" i="27" s="1"/>
  <c r="H472" i="27" a="1"/>
  <c r="H472" i="27" s="1"/>
  <c r="H473" i="27" a="1"/>
  <c r="H473" i="27" s="1"/>
  <c r="H474" i="27" a="1"/>
  <c r="H474" i="27" s="1"/>
  <c r="H475" i="27" a="1"/>
  <c r="H475" i="27" s="1"/>
  <c r="H476" i="27" a="1"/>
  <c r="H476" i="27" s="1"/>
  <c r="H477" i="27" a="1"/>
  <c r="H477" i="27" s="1"/>
  <c r="H478" i="27" a="1"/>
  <c r="H478" i="27" s="1"/>
  <c r="H479" i="27" a="1"/>
  <c r="H479" i="27" s="1"/>
  <c r="H480" i="27" a="1"/>
  <c r="H480" i="27" s="1"/>
  <c r="H481" i="27" a="1"/>
  <c r="H481" i="27" s="1"/>
  <c r="H482" i="27" a="1"/>
  <c r="H482" i="27" s="1"/>
  <c r="H483" i="27" a="1"/>
  <c r="H483" i="27" s="1"/>
  <c r="H484" i="27" a="1"/>
  <c r="H484" i="27" s="1"/>
  <c r="H485" i="27" a="1"/>
  <c r="H485" i="27" s="1"/>
  <c r="H486" i="27" a="1"/>
  <c r="H486" i="27" s="1"/>
  <c r="H487" i="27" a="1"/>
  <c r="H487" i="27" s="1"/>
  <c r="H488" i="27" a="1"/>
  <c r="H488" i="27" s="1"/>
  <c r="H489" i="27" a="1"/>
  <c r="H489" i="27" s="1"/>
  <c r="H490" i="27" a="1"/>
  <c r="H490" i="27" s="1"/>
  <c r="H491" i="27" a="1"/>
  <c r="H491" i="27" s="1"/>
  <c r="H492" i="27" a="1"/>
  <c r="H492" i="27" s="1"/>
  <c r="H493" i="27" a="1"/>
  <c r="H493" i="27" s="1"/>
  <c r="H494" i="27" a="1"/>
  <c r="H494" i="27" s="1"/>
  <c r="H495" i="27" a="1"/>
  <c r="H495" i="27" s="1"/>
  <c r="H496" i="27" a="1"/>
  <c r="H496" i="27" s="1"/>
  <c r="H497" i="27" a="1"/>
  <c r="H497" i="27" s="1"/>
  <c r="H498" i="27" a="1"/>
  <c r="H498" i="27" s="1"/>
  <c r="H499" i="27" a="1"/>
  <c r="H499" i="27" s="1"/>
  <c r="H500" i="27" a="1"/>
  <c r="H500" i="27" s="1"/>
  <c r="H501" i="27" a="1"/>
  <c r="H501" i="27" s="1"/>
  <c r="H502" i="27" a="1"/>
  <c r="H502" i="27" s="1"/>
  <c r="H503" i="27" a="1"/>
  <c r="H503" i="27" s="1"/>
  <c r="H504" i="27" a="1"/>
  <c r="H504" i="27" s="1"/>
  <c r="H505" i="27" a="1"/>
  <c r="H505" i="27" s="1"/>
  <c r="H506" i="27" a="1"/>
  <c r="H506" i="27" s="1"/>
  <c r="H507" i="27" a="1"/>
  <c r="H507" i="27" s="1"/>
  <c r="H508" i="27" a="1"/>
  <c r="H508" i="27" s="1"/>
  <c r="H509" i="27" a="1"/>
  <c r="H509" i="27" s="1"/>
  <c r="H510" i="27" a="1"/>
  <c r="H510" i="27" s="1"/>
  <c r="H511" i="27" a="1"/>
  <c r="H511" i="27" s="1"/>
  <c r="H512" i="27" a="1"/>
  <c r="H512" i="27" s="1"/>
  <c r="H513" i="27" a="1"/>
  <c r="H513" i="27" s="1"/>
  <c r="H514" i="27" a="1"/>
  <c r="H514" i="27" s="1"/>
  <c r="H515" i="27" a="1"/>
  <c r="H515" i="27" s="1"/>
  <c r="H516" i="27" a="1"/>
  <c r="H516" i="27" s="1"/>
  <c r="H517" i="27" a="1"/>
  <c r="H517" i="27" s="1"/>
  <c r="H518" i="27" a="1"/>
  <c r="H518" i="27" s="1"/>
  <c r="H519" i="27" a="1"/>
  <c r="H519" i="27" s="1"/>
  <c r="H520" i="27" a="1"/>
  <c r="H520" i="27" s="1"/>
  <c r="H521" i="27" a="1"/>
  <c r="H521" i="27" s="1"/>
  <c r="H522" i="27" a="1"/>
  <c r="H522" i="27" s="1"/>
  <c r="H523" i="27" a="1"/>
  <c r="H523" i="27" s="1"/>
  <c r="H524" i="27" a="1"/>
  <c r="H524" i="27" s="1"/>
  <c r="H525" i="27" a="1"/>
  <c r="H525" i="27" s="1"/>
  <c r="H526" i="27" a="1"/>
  <c r="H526" i="27" s="1"/>
  <c r="H527" i="27" a="1"/>
  <c r="H527" i="27" s="1"/>
  <c r="H528" i="27" a="1"/>
  <c r="H528" i="27" s="1"/>
  <c r="H529" i="27" a="1"/>
  <c r="H529" i="27" s="1"/>
  <c r="H530" i="27" a="1"/>
  <c r="H530" i="27" s="1"/>
  <c r="H531" i="27" a="1"/>
  <c r="H531" i="27" s="1"/>
  <c r="H532" i="27" a="1"/>
  <c r="H532" i="27" s="1"/>
  <c r="H533" i="27" a="1"/>
  <c r="H533" i="27" s="1"/>
  <c r="H534" i="27" a="1"/>
  <c r="H534" i="27" s="1"/>
  <c r="H535" i="27" a="1"/>
  <c r="H535" i="27" s="1"/>
  <c r="H536" i="27" a="1"/>
  <c r="H536" i="27" s="1"/>
  <c r="H550" i="27" a="1"/>
  <c r="H550" i="27" s="1"/>
  <c r="H551" i="27" a="1"/>
  <c r="H551" i="27" s="1"/>
  <c r="H552" i="27" a="1"/>
  <c r="H552" i="27" s="1"/>
  <c r="H553" i="27" a="1"/>
  <c r="H553" i="27" s="1"/>
  <c r="H554" i="27" a="1"/>
  <c r="H554" i="27" s="1"/>
  <c r="H555" i="27" a="1"/>
  <c r="H555" i="27" s="1"/>
  <c r="H573" i="27" a="1"/>
  <c r="H573" i="27" s="1"/>
  <c r="H574" i="27" a="1"/>
  <c r="H574" i="27" s="1"/>
  <c r="H575" i="27" a="1"/>
  <c r="H575" i="27" s="1"/>
  <c r="H576" i="27" a="1"/>
  <c r="H576" i="27" s="1"/>
  <c r="H597" i="27" a="1"/>
  <c r="H597" i="27" s="1"/>
  <c r="H598" i="27" a="1"/>
  <c r="H598" i="27" s="1"/>
  <c r="H599" i="27" a="1"/>
  <c r="H599" i="27" s="1"/>
  <c r="H600" i="27" a="1"/>
  <c r="H600" i="27" s="1"/>
  <c r="H601" i="27" a="1"/>
  <c r="H601" i="27" s="1"/>
  <c r="H602" i="27" a="1"/>
  <c r="H602" i="27" s="1"/>
  <c r="H603" i="27" a="1"/>
  <c r="H603" i="27" s="1"/>
  <c r="H604" i="27" a="1"/>
  <c r="H604" i="27" s="1"/>
  <c r="H605" i="27" a="1"/>
  <c r="H605" i="27" s="1"/>
  <c r="H606" i="27" a="1"/>
  <c r="H606" i="27" s="1"/>
  <c r="H607" i="27" a="1"/>
  <c r="H607" i="27" s="1"/>
  <c r="H608" i="27" a="1"/>
  <c r="H608" i="27" s="1"/>
  <c r="H609" i="27" a="1"/>
  <c r="H609" i="27" s="1"/>
  <c r="H610" i="27" a="1"/>
  <c r="H610" i="27" s="1"/>
  <c r="H611" i="27" a="1"/>
  <c r="H611" i="27" s="1"/>
  <c r="H612" i="27" a="1"/>
  <c r="H612" i="27" s="1"/>
  <c r="H613" i="27" a="1"/>
  <c r="H613" i="27" s="1"/>
  <c r="H614" i="27" a="1"/>
  <c r="H614" i="27" s="1"/>
  <c r="H615" i="27" a="1"/>
  <c r="H615" i="27" s="1"/>
  <c r="H616" i="27" a="1"/>
  <c r="H616" i="27" s="1"/>
  <c r="H617" i="27" a="1"/>
  <c r="H617" i="27" s="1"/>
  <c r="H618" i="27" a="1"/>
  <c r="H618" i="27" s="1"/>
  <c r="H619" i="27" a="1"/>
  <c r="H619" i="27" s="1"/>
  <c r="H620" i="27" a="1"/>
  <c r="H620" i="27" s="1"/>
  <c r="H621" i="27" a="1"/>
  <c r="H621" i="27" s="1"/>
  <c r="H622" i="27" a="1"/>
  <c r="H622" i="27" s="1"/>
  <c r="H623" i="27" a="1"/>
  <c r="H623" i="27" s="1"/>
  <c r="H624" i="27" a="1"/>
  <c r="H624" i="27" s="1"/>
  <c r="H625" i="27" a="1"/>
  <c r="H625" i="27" s="1"/>
  <c r="H626" i="27" a="1"/>
  <c r="H626" i="27" s="1"/>
  <c r="H627" i="27" a="1"/>
  <c r="H627" i="27" s="1"/>
  <c r="H628" i="27" a="1"/>
  <c r="H628" i="27" s="1"/>
  <c r="H629" i="27" a="1"/>
  <c r="H629" i="27" s="1"/>
  <c r="H630" i="27" a="1"/>
  <c r="H630" i="27" s="1"/>
  <c r="H631" i="27" a="1"/>
  <c r="H631" i="27" s="1"/>
  <c r="H632" i="27" a="1"/>
  <c r="H632" i="27" s="1"/>
  <c r="H633" i="27" a="1"/>
  <c r="H633" i="27" s="1"/>
  <c r="H634" i="27" a="1"/>
  <c r="H634" i="27" s="1"/>
  <c r="H635" i="27" a="1"/>
  <c r="H635" i="27" s="1"/>
  <c r="H636" i="27" a="1"/>
  <c r="H636" i="27" s="1"/>
  <c r="H637" i="27" a="1"/>
  <c r="H637" i="27" s="1"/>
  <c r="H638" i="27" a="1"/>
  <c r="H638" i="27" s="1"/>
  <c r="H639" i="27" a="1"/>
  <c r="H639" i="27" s="1"/>
  <c r="H640" i="27" a="1"/>
  <c r="H640" i="27" s="1"/>
  <c r="H641" i="27" a="1"/>
  <c r="H641" i="27" s="1"/>
  <c r="H642" i="27" a="1"/>
  <c r="H642" i="27" s="1"/>
  <c r="H643" i="27" a="1"/>
  <c r="H643" i="27" s="1"/>
  <c r="H644" i="27" a="1"/>
  <c r="H644" i="27" s="1"/>
  <c r="H645" i="27" a="1"/>
  <c r="H645" i="27" s="1"/>
  <c r="H646" i="27" a="1"/>
  <c r="H646" i="27" s="1"/>
  <c r="H647" i="27" a="1"/>
  <c r="H647" i="27" s="1"/>
  <c r="H648" i="27" a="1"/>
  <c r="H648" i="27" s="1"/>
  <c r="H649" i="27" a="1"/>
  <c r="H649" i="27" s="1"/>
  <c r="H650" i="27" a="1"/>
  <c r="H650" i="27" s="1"/>
  <c r="H651" i="27" a="1"/>
  <c r="H651" i="27" s="1"/>
  <c r="H652" i="27" a="1"/>
  <c r="H652" i="27" s="1"/>
  <c r="H653" i="27" a="1"/>
  <c r="H653" i="27" s="1"/>
  <c r="H654" i="27" a="1"/>
  <c r="H654" i="27" s="1"/>
  <c r="H655" i="27" a="1"/>
  <c r="H655" i="27" s="1"/>
  <c r="H656" i="27" a="1"/>
  <c r="H656" i="27" s="1"/>
  <c r="H657" i="27" a="1"/>
  <c r="H657" i="27" s="1"/>
  <c r="H658" i="27" a="1"/>
  <c r="H658" i="27" s="1"/>
  <c r="H659" i="27" a="1"/>
  <c r="H659" i="27" s="1"/>
  <c r="H660" i="27" a="1"/>
  <c r="H660" i="27" s="1"/>
  <c r="H661" i="27" a="1"/>
  <c r="H661" i="27" s="1"/>
  <c r="H662" i="27" a="1"/>
  <c r="H662" i="27" s="1"/>
  <c r="H663" i="27" a="1"/>
  <c r="H663" i="27" s="1"/>
  <c r="H664" i="27" a="1"/>
  <c r="H664" i="27" s="1"/>
  <c r="H665" i="27" a="1"/>
  <c r="H665" i="27" s="1"/>
  <c r="H666" i="27" a="1"/>
  <c r="H666" i="27" s="1"/>
  <c r="H667" i="27" a="1"/>
  <c r="H667" i="27" s="1"/>
  <c r="H668" i="27" a="1"/>
  <c r="H668" i="27" s="1"/>
  <c r="H669" i="27" a="1"/>
  <c r="H669" i="27" s="1"/>
  <c r="H670" i="27" a="1"/>
  <c r="H670" i="27" s="1"/>
  <c r="H671" i="27" a="1"/>
  <c r="H671" i="27" s="1"/>
  <c r="H672" i="27" a="1"/>
  <c r="H672" i="27" s="1"/>
  <c r="H673" i="27" a="1"/>
  <c r="H673" i="27" s="1"/>
  <c r="H674" i="27" a="1"/>
  <c r="H674" i="27" s="1"/>
  <c r="H675" i="27" a="1"/>
  <c r="H675" i="27" s="1"/>
  <c r="H676" i="27" a="1"/>
  <c r="H676" i="27" s="1"/>
  <c r="H677" i="27" a="1"/>
  <c r="H677" i="27" s="1"/>
  <c r="H678" i="27" a="1"/>
  <c r="H678" i="27" s="1"/>
  <c r="H679" i="27" a="1"/>
  <c r="H679" i="27" s="1"/>
  <c r="H680" i="27" a="1"/>
  <c r="H680" i="27" s="1"/>
  <c r="H681" i="27" a="1"/>
  <c r="H681" i="27" s="1"/>
  <c r="H682" i="27" a="1"/>
  <c r="H682" i="27" s="1"/>
  <c r="H683" i="27" a="1"/>
  <c r="H683" i="27" s="1"/>
  <c r="H684" i="27" a="1"/>
  <c r="H684" i="27" s="1"/>
  <c r="H685" i="27" a="1"/>
  <c r="H685" i="27" s="1"/>
  <c r="H686" i="27" a="1"/>
  <c r="H686" i="27" s="1"/>
  <c r="H687" i="27" a="1"/>
  <c r="H687" i="27" s="1"/>
  <c r="H688" i="27" a="1"/>
  <c r="H688" i="27" s="1"/>
  <c r="H689" i="27" a="1"/>
  <c r="H689" i="27" s="1"/>
  <c r="H690" i="27" a="1"/>
  <c r="H690" i="27" s="1"/>
  <c r="H691" i="27" a="1"/>
  <c r="H691" i="27" s="1"/>
  <c r="H692" i="27" a="1"/>
  <c r="H692" i="27" s="1"/>
  <c r="H693" i="27" a="1"/>
  <c r="H693" i="27" s="1"/>
  <c r="H694" i="27" a="1"/>
  <c r="H694" i="27" s="1"/>
  <c r="H695" i="27" a="1"/>
  <c r="H695" i="27" s="1"/>
  <c r="H696" i="27" a="1"/>
  <c r="H696" i="27" s="1"/>
  <c r="H697" i="27" a="1"/>
  <c r="H697" i="27" s="1"/>
  <c r="H698" i="27" a="1"/>
  <c r="H698" i="27" s="1"/>
  <c r="H699" i="27" a="1"/>
  <c r="H699" i="27" s="1"/>
  <c r="H700" i="27" a="1"/>
  <c r="H700" i="27" s="1"/>
  <c r="H701" i="27" a="1"/>
  <c r="H701" i="27" s="1"/>
  <c r="H702" i="27" a="1"/>
  <c r="H702" i="27" s="1"/>
  <c r="H703" i="27" a="1"/>
  <c r="H703" i="27" s="1"/>
  <c r="H704" i="27" a="1"/>
  <c r="H704" i="27" s="1"/>
  <c r="H2" i="27" a="1"/>
  <c r="H2" i="27" s="1"/>
  <c r="H3" i="7" a="1"/>
  <c r="H3" i="7" s="1"/>
  <c r="H4" i="7" a="1"/>
  <c r="H4" i="7" s="1"/>
  <c r="H5" i="7" a="1"/>
  <c r="H5" i="7" s="1"/>
  <c r="H6" i="7" a="1"/>
  <c r="H6" i="7" s="1"/>
  <c r="H7" i="7" a="1"/>
  <c r="H7" i="7" s="1"/>
  <c r="H8" i="7" a="1"/>
  <c r="H8" i="7" s="1"/>
  <c r="H9" i="7" a="1"/>
  <c r="H9" i="7" s="1"/>
  <c r="H25" i="7" a="1"/>
  <c r="H25" i="7" s="1"/>
  <c r="H26" i="7" a="1"/>
  <c r="H26" i="7" s="1"/>
  <c r="H27" i="7" a="1"/>
  <c r="H27" i="7" s="1"/>
  <c r="H28" i="7" a="1"/>
  <c r="H28" i="7" s="1"/>
  <c r="H29" i="7" a="1"/>
  <c r="H29" i="7" s="1"/>
  <c r="H30" i="7" a="1"/>
  <c r="H30" i="7" s="1"/>
  <c r="H31" i="7" a="1"/>
  <c r="H31" i="7" s="1"/>
  <c r="H32" i="7" a="1"/>
  <c r="H32" i="7" s="1"/>
  <c r="H33" i="7" a="1"/>
  <c r="H33" i="7" s="1"/>
  <c r="H34" i="7" a="1"/>
  <c r="H34" i="7" s="1"/>
  <c r="H35" i="7" a="1"/>
  <c r="H35" i="7" s="1"/>
  <c r="H36" i="7" a="1"/>
  <c r="H36" i="7" s="1"/>
  <c r="H37" i="7" a="1"/>
  <c r="H37" i="7" s="1"/>
  <c r="H38" i="7" a="1"/>
  <c r="H38" i="7" s="1"/>
  <c r="H39" i="7" a="1"/>
  <c r="H39" i="7" s="1"/>
  <c r="H40" i="7" a="1"/>
  <c r="H40" i="7" s="1"/>
  <c r="H41" i="7" a="1"/>
  <c r="H41" i="7" s="1"/>
  <c r="H42" i="7" a="1"/>
  <c r="H42" i="7" s="1"/>
  <c r="H43" i="7" a="1"/>
  <c r="H43" i="7" s="1"/>
  <c r="H44" i="7" a="1"/>
  <c r="H44" i="7" s="1"/>
  <c r="H45" i="7" a="1"/>
  <c r="H45" i="7" s="1"/>
  <c r="H46" i="7" a="1"/>
  <c r="H46" i="7" s="1"/>
  <c r="H47" i="7" a="1"/>
  <c r="H47" i="7" s="1"/>
  <c r="H48" i="7" a="1"/>
  <c r="H48" i="7"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 i="2" a="1"/>
  <c r="H2" i="2" s="1"/>
  <c r="C2" i="31" l="1"/>
  <c r="D2" i="31"/>
  <c r="I8" i="31"/>
  <c r="H8" i="31"/>
  <c r="G8" i="31"/>
  <c r="F8" i="31"/>
  <c r="E8" i="31"/>
  <c r="D8" i="31"/>
  <c r="I2" i="31"/>
  <c r="H2" i="31"/>
  <c r="J8" i="31"/>
  <c r="K8" i="31"/>
  <c r="L8" i="31"/>
  <c r="C8" i="31"/>
  <c r="J2" i="31"/>
  <c r="L2" i="31"/>
  <c r="G2" i="31"/>
  <c r="F2" i="31"/>
  <c r="E2" i="31"/>
  <c r="G12" i="31" l="1"/>
  <c r="G15" i="31" s="1"/>
  <c r="E20" i="31"/>
  <c r="E23" i="31" s="1"/>
  <c r="E12" i="31"/>
  <c r="E15" i="31" s="1"/>
  <c r="F6" i="31"/>
  <c r="G14" i="31"/>
  <c r="F20" i="31"/>
  <c r="F23" i="31" s="1"/>
  <c r="F14" i="31"/>
  <c r="G20" i="31"/>
  <c r="G23" i="31" s="1"/>
  <c r="E14" i="31"/>
  <c r="D12" i="31"/>
  <c r="D15" i="31" s="1"/>
  <c r="G6" i="31"/>
  <c r="L6" i="31"/>
  <c r="C6" i="31"/>
  <c r="I6" i="31"/>
  <c r="C23" i="31"/>
  <c r="C13" i="31"/>
  <c r="C14" i="31"/>
  <c r="E6" i="31"/>
  <c r="K2" i="31"/>
  <c r="K6" i="31" s="1"/>
  <c r="K12" i="31"/>
  <c r="D22" i="31"/>
  <c r="F22" i="31"/>
  <c r="H20" i="31"/>
  <c r="H23" i="31" s="1"/>
  <c r="C22" i="31"/>
  <c r="E13" i="31"/>
  <c r="G22" i="31"/>
  <c r="C21" i="31"/>
  <c r="I21" i="31"/>
  <c r="D14" i="31"/>
  <c r="I22" i="31"/>
  <c r="L21" i="31"/>
  <c r="L22" i="31"/>
  <c r="L12" i="31"/>
  <c r="L15" i="31" s="1"/>
  <c r="F13" i="31"/>
  <c r="L14" i="31"/>
  <c r="J12" i="31"/>
  <c r="J15" i="31" s="1"/>
  <c r="E21" i="31"/>
  <c r="G13" i="31"/>
  <c r="D20" i="31"/>
  <c r="D23" i="31" s="1"/>
  <c r="K20" i="31"/>
  <c r="K23" i="31" s="1"/>
  <c r="K22" i="31"/>
  <c r="H6" i="31"/>
  <c r="H13" i="31"/>
  <c r="H14" i="31"/>
  <c r="G21" i="31"/>
  <c r="L20" i="31"/>
  <c r="L23" i="31" s="1"/>
  <c r="F21" i="31"/>
  <c r="K21" i="31"/>
  <c r="F12" i="31"/>
  <c r="F15" i="31" s="1"/>
  <c r="D13" i="31"/>
  <c r="H22" i="31"/>
  <c r="L13" i="31"/>
  <c r="I13" i="31"/>
  <c r="H21" i="31"/>
  <c r="I20" i="31"/>
  <c r="I23" i="31" s="1"/>
  <c r="D21" i="31"/>
  <c r="E22" i="31"/>
  <c r="J22" i="31"/>
  <c r="J21" i="31"/>
  <c r="I12" i="31"/>
  <c r="I15" i="31" s="1"/>
  <c r="J20" i="31"/>
  <c r="J23" i="31" s="1"/>
  <c r="H12" i="31"/>
  <c r="H15" i="31" s="1"/>
  <c r="I14" i="31"/>
  <c r="J14" i="31"/>
  <c r="J13" i="31"/>
  <c r="J6" i="31"/>
  <c r="D6" i="31"/>
  <c r="C12" i="31"/>
  <c r="C15" i="31" s="1"/>
  <c r="K13" i="31" l="1"/>
  <c r="K14" i="31"/>
  <c r="K15" i="31"/>
  <c r="L28" i="31" l="1"/>
  <c r="L3" i="31" l="1"/>
  <c r="G28" i="31"/>
  <c r="D28" i="31"/>
  <c r="C3" i="31"/>
  <c r="F3" i="31"/>
  <c r="H3" i="31"/>
  <c r="D30" i="31"/>
  <c r="D3" i="31"/>
  <c r="E3" i="31"/>
  <c r="G3" i="31"/>
  <c r="I30" i="31"/>
  <c r="I3" i="31"/>
  <c r="K3" i="31"/>
  <c r="J3" i="31"/>
  <c r="H7" i="31" l="1"/>
  <c r="K28" i="31"/>
  <c r="K31" i="31" s="1"/>
  <c r="C29" i="31"/>
  <c r="H30" i="31"/>
  <c r="L7" i="31"/>
  <c r="L30" i="31"/>
  <c r="L29" i="31"/>
  <c r="L31" i="31"/>
  <c r="I28" i="31"/>
  <c r="I31" i="31" s="1"/>
  <c r="I29" i="31"/>
  <c r="H28" i="31"/>
  <c r="H31" i="31" s="1"/>
  <c r="H29" i="31"/>
  <c r="F7" i="31"/>
  <c r="F30" i="31"/>
  <c r="F28" i="31"/>
  <c r="F31" i="31" s="1"/>
  <c r="F29" i="31"/>
  <c r="D29" i="31"/>
  <c r="D31" i="31"/>
  <c r="E7" i="31"/>
  <c r="E30" i="31"/>
  <c r="E28" i="31"/>
  <c r="E31" i="31" s="1"/>
  <c r="E29" i="31"/>
  <c r="G7" i="31"/>
  <c r="G29" i="31"/>
  <c r="G30" i="31"/>
  <c r="G31" i="31"/>
  <c r="C30" i="31"/>
  <c r="C28" i="31"/>
  <c r="C31" i="31" s="1"/>
  <c r="J30" i="31"/>
  <c r="J28" i="31"/>
  <c r="J31" i="31" s="1"/>
  <c r="J29" i="31"/>
  <c r="K29" i="31"/>
  <c r="K30" i="31"/>
  <c r="D7" i="31"/>
  <c r="I7" i="31"/>
  <c r="C7" i="31"/>
  <c r="K7" i="3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<sst xmlns="http://schemas.openxmlformats.org/spreadsheetml/2006/main" count="46363" uniqueCount="11585">
  <si>
    <t>O Patriota</t>
  </si>
  <si>
    <t>Jornal Scientifico, Economico e Litterario</t>
  </si>
  <si>
    <t>Artes</t>
  </si>
  <si>
    <t>Memoria sobre o emprego do assucar combinado com a polvora, extrahida do Repertoio das Artes, Manufacturas, e Agricultura</t>
  </si>
  <si>
    <t>Title</t>
  </si>
  <si>
    <t>Section</t>
  </si>
  <si>
    <t>Novo methodo para refinar assucar por Luiz Honoré Henry German Constant, premiado a 27 de fevereiro de 1812</t>
  </si>
  <si>
    <t>N/A</t>
  </si>
  <si>
    <t>Agricultura</t>
  </si>
  <si>
    <t>Manuel Arruda da Câmara</t>
  </si>
  <si>
    <t>Memoria sobre a plantação e fabrico do Urucú, por B*</t>
  </si>
  <si>
    <t>Hidrografia</t>
  </si>
  <si>
    <t>Domingos Borges de Barros</t>
  </si>
  <si>
    <t>Methodo, que se seguiu no trabalho Hydrographico da Planta do Porto do Rio de Janeiro, levantada por Ordem do Serenissimo Senhor Infante Almirante General, em o anno de 1810.</t>
  </si>
  <si>
    <t>Medicina</t>
  </si>
  <si>
    <t>No anno de 1798 se propoz por Acordo da Camara desta Cidade a varios Medicos, hum Programma que tinha por objecto os quesitos seguintes.</t>
  </si>
  <si>
    <t>Literatura</t>
  </si>
  <si>
    <t>Resposta, que deu o Doutor Manoel Joaquim Marreiros, aos quesitos precedentes.</t>
  </si>
  <si>
    <t>Ode. A’ partida de S. A. R. o Principe Regente Nosso Senhor, de Portugal para o Brazil, feita em Paris aos 5 (a) de Janeiro de 1808 ; e recitada em prezença dos Bons Portuguezes alli existentes.</t>
  </si>
  <si>
    <t>Do Dezembargador Antonio Ribeiro dos Santos a Francisco de Borja Garção Stockler. Ode.</t>
  </si>
  <si>
    <t>Antonio Ribeiro dos Santos</t>
  </si>
  <si>
    <t>Ode. Ao Illustrissimo Antonio Ribeiro dos Santos, em resposta á antecêdente, por Francisco de Borja Garção Stockler.</t>
  </si>
  <si>
    <t>Francisco de Borja Garção Stockler</t>
  </si>
  <si>
    <t>Ode Pindarica. Ao grande Affonso de Albuquerque, Governador da India. Por Antonio Diniz da Cruz.</t>
  </si>
  <si>
    <t>Antonio Diniz da Cruz</t>
  </si>
  <si>
    <t>T. A. Gonzaga</t>
  </si>
  <si>
    <t>Lira Inedita de T. A. Gonzaga, Author da celebre Marilia de Dirceo.</t>
  </si>
  <si>
    <t>Correspondencia.</t>
  </si>
  <si>
    <t>Extracto da viagem, que fez ao sertão de Benguella no anno de 1785 por ordem do Governador e Capitão General do Reino de Angola, o Bacharel Joaquim José da Silva, enviado à aquelle Reino como Naturalista, e depois Secretario do Governo de Loanda para Benguella.</t>
  </si>
  <si>
    <t>Joaquim José da Silva</t>
  </si>
  <si>
    <t>Política</t>
  </si>
  <si>
    <t>Calculo sobre a perda de dinheiro do Reino, offerecido ao Senhor Rei D. JOAM QUINTO, de eterna gloria, por Alexandre de Gusmão, Seu Secretario do Estado, Fielmente copiado do seu original authographo.</t>
  </si>
  <si>
    <t>Tratado de paz entre S. M. o Rei da Suecia, e S. M. o Rei do Reino Unido da Gran Bretanha e Irlãnda.</t>
  </si>
  <si>
    <t>Barão de Engerstrom, Barão de Wotlersdet, Edward Thornton</t>
  </si>
  <si>
    <t>Issue</t>
  </si>
  <si>
    <t>Tratado de Amizade, União e Alliança entre a Hespanha e a Russia.</t>
  </si>
  <si>
    <t>Francisco de Zea Bermudes, Conde Nicolao de Romanzoff</t>
  </si>
  <si>
    <t>Estado politico da Europa.</t>
  </si>
  <si>
    <t>Comércio</t>
  </si>
  <si>
    <t>Mappa das Embarcações Portuguezas que entrarão em Gibraltar no anno de 1811, e suas importações, e exportações, extrahido de Documentos Officiaes.</t>
  </si>
  <si>
    <t>Maximas, Pensamentos, e Reflexoẽs Moraes por hum Brazileiro.</t>
  </si>
  <si>
    <t>Date</t>
  </si>
  <si>
    <t>Problema. Entre todos os Solidos de igual superficie, achar o que tem o maximo volume.</t>
  </si>
  <si>
    <t>José Saturnino da Costa Pereira</t>
  </si>
  <si>
    <t>Química</t>
  </si>
  <si>
    <t>Extracto de duas Cartas de M. Scheweiger a F.C. Delamethrie, sobre o Galvanismo.</t>
  </si>
  <si>
    <t>Methodo imaginado, e praticado no Laboratorio Chimico do Excellentissimo Antonio de Araujo de Azevedo, nesta Cidade do Rio de Janeiro, para extracção do Oleo de Mamona. (Ricinus communis, Lin.)</t>
  </si>
  <si>
    <t>Noções sobre a cultura, e fabrico do Anil, e Analize desta materia colorante, e do Pastel, publicadas por B.***</t>
  </si>
  <si>
    <t>Domingos Borges de Barros et al.</t>
  </si>
  <si>
    <t>Resposta que deu o Doutor Bernardino Antonio Gomes no Programma da Camara desta Cidade, que vem no N.º 1 pag. 58.</t>
  </si>
  <si>
    <t>Bernardino Antonio Gomes</t>
  </si>
  <si>
    <t>Epidecio à morte da Illustrissima e Excellentissima Duqueza de Alafoens, por B*</t>
  </si>
  <si>
    <t>Dithyrambo de Diniz</t>
  </si>
  <si>
    <t>Ode Anacreontica do mesmo.</t>
  </si>
  <si>
    <t>História</t>
  </si>
  <si>
    <t>José Henriques Ferreira</t>
  </si>
  <si>
    <t>Topografia</t>
  </si>
  <si>
    <t>Tradução de huma passagem do Livro 2.º das Georgicas de Virgilio. Por B.***</t>
  </si>
  <si>
    <t>Soneto.</t>
  </si>
  <si>
    <t>Geografia</t>
  </si>
  <si>
    <t>João da Silva Feijó</t>
  </si>
  <si>
    <t>Resposta, que ao Programma da Camara annunciado no N.º 1.º pag. 58, deu o Doutor Antonio Joaquim Medeiros</t>
  </si>
  <si>
    <t>Antonio Joaquim Medeiros</t>
  </si>
  <si>
    <t>Botanica</t>
  </si>
  <si>
    <t>Luiz de Abreu; João Gomes da Silveira Mendonça</t>
  </si>
  <si>
    <t>Silvestre José dos Passos</t>
  </si>
  <si>
    <t>Memoria sobre as novas fornalhas para cozer o assucar com o bagaço, inventadas pelo Doutor Manoel Jacinto de Almeida. Por Fr. Archangelo de Ancona, Missionario Apostolico.</t>
  </si>
  <si>
    <t>Memoria sobre o Algodoeiro continuada do N.º 2.º pag. 43. Capítulo IV. Do clima, ou temperie do ar mais conveniente á vegetação do Algodoeiro.</t>
  </si>
  <si>
    <t>Continuação da Viagem ao Sertão de Benguella, continuada do N.º 2.º pag. 86. Ritos, e costumes.</t>
  </si>
  <si>
    <t>Ode.</t>
  </si>
  <si>
    <t>Dithyrambo de Diniz.</t>
  </si>
  <si>
    <t>Discurso sobre a Traducção.</t>
  </si>
  <si>
    <t>Na Corte Carlton-House, 29 de Dezembro de 1812, estando S. A. R. o Principe Regente em Conselho.</t>
  </si>
  <si>
    <t>Obra publicada nesta Corte.</t>
  </si>
  <si>
    <t>Necrologia</t>
  </si>
  <si>
    <t>Estatística</t>
  </si>
  <si>
    <t>Os principaes dos 16 artigos do Tratado de Paz, concluído entre a Rússia e a Subli-Porta.</t>
  </si>
  <si>
    <t>Artigos estabelecidos no Parlamento da Sicilia, e apresentados ao Soberano para sua sancção.</t>
  </si>
  <si>
    <t>Tratado de Paz entre a Inglaterra e a Russia.</t>
  </si>
  <si>
    <t>Noticia da População, Commercio, e Agricultura da Capitania de Goyaz.</t>
  </si>
  <si>
    <t>Noticias Estatisticas acerca da Capitania de S. Paulo em 1811, extrahidas do Mappa Official.</t>
  </si>
  <si>
    <t>Remettida de Versailles á Paris por Francisco Manoel Nascimento (Filinto Elysio) á Domingos Borges de Barros.</t>
  </si>
  <si>
    <t>Epistola em resposta, remettida de Paris á Versailles, por B*** á Filinto Elysio.</t>
  </si>
  <si>
    <t>Lyra inedita de Gonzaga.</t>
  </si>
  <si>
    <t>Epigrammas de Diniz.</t>
  </si>
  <si>
    <t>Gramática Filosófica</t>
  </si>
  <si>
    <t>Eloquência</t>
  </si>
  <si>
    <t xml:space="preserve">Pratica de Alexandre de Gusmão, entrando na Academia Real de Historia Portugueza, em o dia 13 de Março de 1732.  </t>
  </si>
  <si>
    <t>Noticia acerca de varios carros de transporte, e particularmente do que os Francezes chamão Haquet, invenção do celebre Pascal. Por B.***</t>
  </si>
  <si>
    <t>Tratado de Alliança entre S. M. o Imperador e Rei e o Imperador de Austria.</t>
  </si>
  <si>
    <t>Mappa dos Habitantes da Capitania de Paraiba do Norte em 1812 e 1811.</t>
  </si>
  <si>
    <t>Produçoens da Ilha Grande, consumo, e exportação.</t>
  </si>
  <si>
    <t>Noticia de Importação, e Exportação das possessoens Portuguezas no porto de Liverpool nos mezes de Julho, Agosto, Setembro, e Outubro de 1812, extrahida de Mappas Officiaes.</t>
  </si>
  <si>
    <t>Memoria sobre o Café, sua historia, cultura, e amanhos.</t>
  </si>
  <si>
    <t>Discurso recitado em Presença de S. A. R., na Meza do Desembargo do Paço, pelo Desembargador Antonio Rodrigues Velloso de Oliveira, Communicado por hum amigo do Autor.</t>
  </si>
  <si>
    <t>Memoria remettida de Macau ao Redactor da Gazeta desta Corte por Joaquim José Leite, Reitor do Real Collegio de S. José em 14 de Janeiro de 1813.</t>
  </si>
  <si>
    <t xml:space="preserve">Outra do mesmo Author. </t>
  </si>
  <si>
    <t>Ode Anacreontica de Diniz.</t>
  </si>
  <si>
    <t>Epigramma de Diniz.</t>
  </si>
  <si>
    <t>Outro do mesmo Author.</t>
  </si>
  <si>
    <t>Ode ao Illustrissimo e Excellentissimo Senhor D. Manoel de Portugal e Castro, sobre a Tradução dos Ensayos Moraes, e Ensaio sobre a Critica d'Alexandre Pope, feita pelo Illustrissimo, e Excellentissimo Senhor Conde d'Aguiar, seu Tio.</t>
  </si>
  <si>
    <t>Satira aos Poetas, attribuida ao celebre Philologo Pedro José da Fonseca.</t>
  </si>
  <si>
    <t>Soneto aos annos de S. A. R. o Principe Regente Nosso Senhor.</t>
  </si>
  <si>
    <t>Viagem da Capitania de S. Paulo à Villa de Cuiabá.</t>
  </si>
  <si>
    <t>Manifesto da America Septentrional contra a Gran Bretanha.</t>
  </si>
  <si>
    <t>Declaração de Luiz XVIII. Rei de França.</t>
  </si>
  <si>
    <t>Declaração do Principe Regente da Gran Bretanha contra os Estados Unidos da America.</t>
  </si>
  <si>
    <t>Discurso sobre o Estado Politico da Europa.</t>
  </si>
  <si>
    <t>Continuação do Estado da athmosfera.</t>
  </si>
  <si>
    <t>Methodo de achar novas combinaçoens de letras para novas palavras, continuado do N.º 5.º pag. 18.</t>
  </si>
  <si>
    <t>Poema, recitado no dia dos annos de S. Magestade Fidelissima D. MARIA I. em 1788.</t>
  </si>
  <si>
    <t>Canção inedita de Bocage a Luiz de Vasconcellos e Souza, então Vice-Rei deste Estado.</t>
  </si>
  <si>
    <t>Poesia</t>
  </si>
  <si>
    <t>Soneto do Desembargador Antonio Ribeiro dos Santos, ao Illustrissimo Francisco de Borja Garção Stockler.</t>
  </si>
  <si>
    <t>O Retrato de Armia.</t>
  </si>
  <si>
    <t>Cultura do Café. Segunda Parte.</t>
  </si>
  <si>
    <t>Continuação das Memorias sobre o Rio de Janeiro, para servirem á Historia desta Cidade.</t>
  </si>
  <si>
    <t>Navegação</t>
  </si>
  <si>
    <t>Reflexoens sobre as derrotas de estima, e suas correcçoens.</t>
  </si>
  <si>
    <t>Noticias sobre Cabo Negro, extrahidas dos fragmentos da Viagem do Doutor Joa­quim José da Silva.</t>
  </si>
  <si>
    <t>Leis promulgadas nesta Corte.</t>
  </si>
  <si>
    <t>Necrologia.</t>
  </si>
  <si>
    <t>Obras publicadas nesta Corte no mez de Junho.</t>
  </si>
  <si>
    <t>Reflexão do Redactor.</t>
  </si>
  <si>
    <t>Introducção</t>
  </si>
  <si>
    <t>Elmano Bahiense</t>
  </si>
  <si>
    <t>Memoria sobre hum novo principio da Theorica do Calorico. Por Silvestre Pinheiro Ferreira.</t>
  </si>
  <si>
    <t>Mineralogia</t>
  </si>
  <si>
    <t>Memoria feita pelo Desembargador José Bonifacio de Andrada.</t>
  </si>
  <si>
    <t>Reflexoens sobre as viagens dos mais celebres navegadores, que tem feito o giro do mundo, e a necessidade de huma nova viagem do mesmo genero, com a declaração dos pontos mais notaveis na Hydrographia, que precisam de mais profundo exame. Por Joaquim Benito da Fonseca, Primeiro Tenente da Marinha.</t>
  </si>
  <si>
    <t>Gaspar Marques</t>
  </si>
  <si>
    <t>Joaquim Benito da Fonseca</t>
  </si>
  <si>
    <t>Soneto de Doutor Ignacio José de Alvarenga.</t>
  </si>
  <si>
    <t>Continuação das Memorias Historicas sobre o Rio de Janeiro continuada do N.º 6.º pag. 44.</t>
  </si>
  <si>
    <t>Copia de huma Carta de Mr. Krusemarck.</t>
  </si>
  <si>
    <t>Resposta á nota de Mr. o Barão de Krusemarck.</t>
  </si>
  <si>
    <t>Manifesto do Rei da Dinamarca, datado de Copenhague, a 29 de Abril.</t>
  </si>
  <si>
    <t>Resumo Politico</t>
  </si>
  <si>
    <t>Volume</t>
  </si>
  <si>
    <t>Memoria sobre o Café continuada do N.º 6. pag. 43. Por B.***. Terceira Parte. Amanhos Café.</t>
  </si>
  <si>
    <t>Manoel Joaquim Marreiros</t>
  </si>
  <si>
    <t>Alexandre de Gusmão</t>
  </si>
  <si>
    <t>Memoria sobre a abertura de huma estrada e communicação, entre a Capitania de Santa Catharina e a Villa de Lagens, e estabelecimento de huma Freguezia no Sertão da terra firme da mesma Capitania. Por Silvestre José dos Passos.</t>
  </si>
  <si>
    <t>Reflexoens sobre as viagens dos mais celebres navegadores, que tem feito o giro do mundo, e a necessidade de huma nova viagem do mesmo genero, &amp;c. Por Joaquim Bento da Fonseca. Continuada no N.º 1.º pag. 17.460</t>
  </si>
  <si>
    <t>Joaquim Bento da Fonseca</t>
  </si>
  <si>
    <t>Continuação da Memoria do Dezembargador José Bonifacio de Andrade.</t>
  </si>
  <si>
    <t>Continuação das Maximas, Pensamentos, e Reflexões Moraes. Por hum Brazileiro.</t>
  </si>
  <si>
    <t>Apotheose Poética ao Illustrissimo e Excellentissimo Senhor Luiz de Vasconcellos e Souza, Vice-Rei e Capitão General de Mar, e Terra do Brazil &amp;c. Canção offerecida no dia 10 de Outubro de 1785. Por Manoel Ignacio da Silva Alvarenga, Professor Regio de Rhetorica, na Capital do Rio de Janeiro.</t>
  </si>
  <si>
    <t>Manoel Ignacio da Silva Alvarenga</t>
  </si>
  <si>
    <t xml:space="preserve">A ausência de Armia. </t>
  </si>
  <si>
    <t>Descripção de huma tormenta. Por B.***</t>
  </si>
  <si>
    <t>Discurso do Doutor Duarte Ribeiro de Macedo sobre a introducção das Artes no Reino, que escreveu sendo Enviado na Côrte de Paris no anno de 1675.</t>
  </si>
  <si>
    <t>Duarte Ribeiro de Macedo</t>
  </si>
  <si>
    <t xml:space="preserve">Continuação da Descripção Geographica da Capitania de Mato Grosso. </t>
  </si>
  <si>
    <t>Obras publicadas nesta Corte no mez de Agosto.</t>
  </si>
  <si>
    <t>Continuação do Estado da Atmosfera.</t>
  </si>
  <si>
    <t>Claudio Manoel da Costa</t>
  </si>
  <si>
    <t>Fim da Memoria do Dezembargador José Bonifacio de Andrade, continuação do N.º antecedente, pag. 21.</t>
  </si>
  <si>
    <t>José Bonifacio de Andrada e Silva</t>
  </si>
  <si>
    <t>Breve Descripção Topografica e Statistica da Capitania do Espirito Santo. Por Francisco Manoel da Cunha. (*)</t>
  </si>
  <si>
    <t>Francisco Manoel da Cunha</t>
  </si>
  <si>
    <t>Manuel Ferreira de Araújo Guimarães</t>
  </si>
  <si>
    <t>Mariano Pereira da Fonseca</t>
  </si>
  <si>
    <t>Sciencias e Artes</t>
  </si>
  <si>
    <t>Theoria do universo. Ou da Causa primitiva do Movimento, e de seus principaes Effeitos.</t>
  </si>
  <si>
    <t>Ensaio sobre a origem dos corpos organisados, e inorganisados. Primeira parte. Da origem dos Corpos organisados.</t>
  </si>
  <si>
    <t>Agricultura, e economia rural.</t>
  </si>
  <si>
    <t>Poesia e Bellas Artes</t>
  </si>
  <si>
    <t>Villa Rica. Poema em dez cantos. De Claudio Manoel da Costa, Arcade Ultramarino.</t>
  </si>
  <si>
    <t>Viagens</t>
  </si>
  <si>
    <t>Variedades</t>
  </si>
  <si>
    <t>Sobre Providencias que exige a factura das Letras do Banco.</t>
  </si>
  <si>
    <t>Theoria do universo. Ou da Causa primitiva do Movimento, e de seus principaes Effeitos. (Continuada da Pag. 6 do 1.º N.º). Capítulo I. Do Calorico.</t>
  </si>
  <si>
    <t>Ensaio sobre a origem dos corpos organisados, e inorganisados. (Continuado da Pag. 20.)</t>
  </si>
  <si>
    <t>Estradas, Pontes, Calçadas, e caminhos de ferro. (Artigo continuado de pag. 27 do 1.º N.º).</t>
  </si>
  <si>
    <t>Instrucçoens publicadas por ordem do Parlamento para a reparação das estradas aos Commissarios e Engenheiros encarregados do seu entretenimento.</t>
  </si>
  <si>
    <t>Chimica Agricola. Continuação da Lição Primeira, seguida da pag. 37. (sobre a idéa geral dos objectos do curso, e da ordem pela qual elles serão tratados.)</t>
  </si>
  <si>
    <t>Epigrammas</t>
  </si>
  <si>
    <t>Villa Rica. Poema. Canto II.</t>
  </si>
  <si>
    <t>Pensamento Filososico.</t>
  </si>
  <si>
    <t>Viagem à roda do mundo. (Continuada de pag. 67 do 1.º N.º)</t>
  </si>
  <si>
    <t>Viagem à Pensilvania. Prisão da Filadelfia; seu estabelecimento, e regimen.</t>
  </si>
  <si>
    <t>Copia de memoria. Dirigida a hum dos Deputados da extincta Assembléa Geral.</t>
  </si>
  <si>
    <t>Correspondencia</t>
  </si>
  <si>
    <t>Aos Leitores.</t>
  </si>
  <si>
    <t>Destillação por meio do vapor.</t>
  </si>
  <si>
    <t>Estradas, Pontes, Calçadas. (Art. cont. de Pag. 140 do n.° 2.°)</t>
  </si>
  <si>
    <t>Pensamentos soltos.</t>
  </si>
  <si>
    <t>Introducção às Cartas Chilenas, ou Epistola a Critilo.</t>
  </si>
  <si>
    <t>Villa Rica. Poema. Canto III.</t>
  </si>
  <si>
    <t>Decimas.</t>
  </si>
  <si>
    <t>Outros pensamentos soltos.</t>
  </si>
  <si>
    <t>Viagem à roda do mundo. (Continuada de pag. 165 do N.º 2.º)</t>
  </si>
  <si>
    <t>Veridico Dialogo, Entre Leibnitz, e Carlos XII.</t>
  </si>
  <si>
    <t>Breve discurso de hum dos Redactores.</t>
  </si>
  <si>
    <t>Memorial, de que havemos feito menção, e que não foi attendido.</t>
  </si>
  <si>
    <t>Litteratura</t>
  </si>
  <si>
    <t>Observações sobre a inflammação da membrana mucosa, que forra os seios frontaes.</t>
  </si>
  <si>
    <t>Historia da ultima enfermidade do General Foy. Hypertrophia do coração, seguida de aneurisma deste orgão com dilatação; phlegmasia e ulcerações da crossa da aorta; gastro-duodenite; estado gorduroso do fígado, e alteração do rim esquerdo.</t>
  </si>
  <si>
    <t>Tratamento da Blennorrhagia Syphilitica.</t>
  </si>
  <si>
    <t>Cirurgia</t>
  </si>
  <si>
    <t xml:space="preserve">Reflexões sobre a administração do Sulfato de Quinina. </t>
  </si>
  <si>
    <t>Observações sobre as molestias dos orgãos genito-urinarios, por M. F. Lallemand, Professor de Clinica cirurgica etc. Primeira Parte – Estreitamentos da urethra.</t>
  </si>
  <si>
    <t>Aneurisma da arteria axillar curado pela ligadura da subclavia; por Henrique Blacke-Gibbs D. M.</t>
  </si>
  <si>
    <t>Observação sobre o entupimento das fossas nasaes.</t>
  </si>
  <si>
    <t>Pharmacia</t>
  </si>
  <si>
    <t>Novo methodo de fazer o acetato d'ammoniaco.</t>
  </si>
  <si>
    <t>Remedios particulares.</t>
  </si>
  <si>
    <t>Variedades Medicas</t>
  </si>
  <si>
    <t>Bibliographia Medica</t>
  </si>
  <si>
    <t>Boletim das Sciencias Naturaes</t>
  </si>
  <si>
    <t>Sobre o Commercio interior, Canaes, Estradas, Pontes, e Calçadas.</t>
  </si>
  <si>
    <t>Inventos Modernos.</t>
  </si>
  <si>
    <t>Sciencias e Artes.</t>
  </si>
  <si>
    <t>Memoria dirigida da extincta Assemblea Geral e Constituinte do Imperio do Brasil, por hum dos Redactores deste Jornal, a qual foi remetida à Comissão de Agricultura.</t>
  </si>
  <si>
    <t>Discurso do Doutor Duarte Ribeiro de Macedo continuado do N.º 2.º pag. 41.</t>
  </si>
  <si>
    <t>Branqueação da Cera. Por B***</t>
  </si>
  <si>
    <t>A Tempestade. Canção no dia dos annos da Fidelissima RAINHA Nossa Senhora em 17 de Dezembro de 1797.</t>
  </si>
  <si>
    <t>No dia da inauguração da Estatua Equestre de El-Rey N. Senhor D. José I.</t>
  </si>
  <si>
    <t>Eufrazia a Melcour. Epistola. Tradução de Bocage.</t>
  </si>
  <si>
    <t>Noticia das novas Povoaçoens de S. Pedro de Alcantara, e S. Fernando, civilisação da nação Macamecran; estrada para o Pará.</t>
  </si>
  <si>
    <t>Exame de algumas passagens de hum moderno Viajante ao Brazil, e refutação de seus erros mais grosseiros, por hum Brazileiro</t>
  </si>
  <si>
    <t>Noticia extrahida do Courier de 27 de Maio.</t>
  </si>
  <si>
    <t>Memoria sobre os muros de apoio, ou muros, que servem de sustentar as terras.</t>
  </si>
  <si>
    <t>Memoria sobre a Guaxima, por José Henriques Ferreira.</t>
  </si>
  <si>
    <t>Memoria sobre a Cochonilha do Brazil, por Joaquim de Amorim Castro.</t>
  </si>
  <si>
    <t>Processo para se derreter o sebo, e fabricarem-se Vellas de excellente qualidade, por Mr. Lefevre.</t>
  </si>
  <si>
    <t>Methodo de aperfeiçoar os pavios das vellas.</t>
  </si>
  <si>
    <t>Methodo para curar a diarrhea do gado cornigero.</t>
  </si>
  <si>
    <t>Methodo para preservar os Livros de serem destruídos pelos bixos.</t>
  </si>
  <si>
    <t>Instrucções para a cultura do Linho Canamo.</t>
  </si>
  <si>
    <t>Cultura da bananeira da grande especie, vulgarmente chamada do Maranhão.</t>
  </si>
  <si>
    <t>Continuação da Memoria sobre a Cultura da Canna, e Elaboração do assucar.</t>
  </si>
  <si>
    <t>Cura da Hydrophobia.</t>
  </si>
  <si>
    <t>Differentes methodos de fumar o toucinho, e a carne de porco.</t>
  </si>
  <si>
    <t>Memoria que o Sr. Mozinho da Silveira offereceu à Sociedade Promotora, sobre o tratamento das vaccas, criação dos bezerro, e fabrico da manteiga (em Lisboa), anno de 1832.</t>
  </si>
  <si>
    <t>Methodo para destruir as ervas parasitas.</t>
  </si>
  <si>
    <t>Methodo para curar a febre das vaccas, que lhes sobrevem depois de parirem.</t>
  </si>
  <si>
    <t>Remedio contra a enfermidade dos cães.</t>
  </si>
  <si>
    <t>Observações sobre os ovos.</t>
  </si>
  <si>
    <t>Nova Lamparina Economica.</t>
  </si>
  <si>
    <t>Da Perlassa, e da Potassa.</t>
  </si>
  <si>
    <t>Outro methodo modificado, por M. Thenard.</t>
  </si>
  <si>
    <t>Methodo para extinguir as Lesmas nos jardins.</t>
  </si>
  <si>
    <t>Methodo para conservar as pelles dos animaes.</t>
  </si>
  <si>
    <t>Methodo para que o vinho não azede.</t>
  </si>
  <si>
    <t>Methodo para tornar os calçados impenetraveis a agua.</t>
  </si>
  <si>
    <t>Methodo Inglez para conservar os presuntos e as linguas.</t>
  </si>
  <si>
    <t>Agua para limpar os tecidos de algodão, lãa, e seda.</t>
  </si>
  <si>
    <t>Fumigações pouco custosas.</t>
  </si>
  <si>
    <t>Vantagem do Emprego das Machinas</t>
  </si>
  <si>
    <t>Vinagre excellente feito de agua simpels pela Natureza, sem que o homem ajunte ingridiente, nem tenha mais trabalho, que o de preparar-lhe os meios, para esta sabia Mai obrar em liberdade, porque faz tudo. (Extrahido do Artigo Vinho, redigido pelo Cidadão Chaptal, no curso completo de Agricultura de Arade Rozier, no Tomo X. Paris anno de 1800.)</t>
  </si>
  <si>
    <t>Maneira de fabricar manteiga, extrahida da obra de Mr. Delaguette sobre o tratamento dos animaes, e vantagens a tirar dos seus productos.</t>
  </si>
  <si>
    <t>Memoria sobre o Loureiro Cinnamomo, vulgo – Caneleira de Ceylão.</t>
  </si>
  <si>
    <t>Memoria sobre a plantação e fabrico do Urucú por B.</t>
  </si>
  <si>
    <t>Esgosto dos Pantanos e lagos.</t>
  </si>
  <si>
    <t>Memoria em que se dá noticia de diversas especies de Abelhas, que dão mel, proprias do Brazil, e desconhecidas na Europa.</t>
  </si>
  <si>
    <t>Economia Rural.</t>
  </si>
  <si>
    <t>Methodo para se conhecer se o vidrado da louça he máo.</t>
  </si>
  <si>
    <t>Estrumes fossis.</t>
  </si>
  <si>
    <t>Economia Politica resumida.</t>
  </si>
  <si>
    <t>Amelhoramento dos terrenos.</t>
  </si>
  <si>
    <t>Meio de curar a sarna dos Carneiros.</t>
  </si>
  <si>
    <t>Da arvore chamada no Brazil Andaaçú.</t>
  </si>
  <si>
    <t>Cultura do Trigo, sobre a Caria, Ustilago dos Botanicos (Extrahida dos Annaes das Sciencias &amp;c.).</t>
  </si>
  <si>
    <t>Pastilhas proprias para tirar nodoas de sebo, ou de azeite, dos panos, da seda &amp;c.</t>
  </si>
  <si>
    <t>Vinagre extrahido da lenha.</t>
  </si>
  <si>
    <t>Remedio para evitar a corrosão dos forros de cobre nos navios.</t>
  </si>
  <si>
    <t>Relação abreviada das Machinas e modellos, que se achão no Conservatorio da Sociedade Auxiliadora da Industria Nacional.</t>
  </si>
  <si>
    <t>Systema de cosinhar o caldo da canna em vasilhas de madeira, para o qual obteve do Governo dos Estados Unidos huma Patente Augusto Archibald de New-York.</t>
  </si>
  <si>
    <t>Conservação das batatas.</t>
  </si>
  <si>
    <t>Meio economico de purificar o ar no interior dos edificios.</t>
  </si>
  <si>
    <t>Arrow-root, sua qualidade, cultura, e fabrico de sua fecula.</t>
  </si>
  <si>
    <t>Corte dos couros, impermeabilidade das sólas.</t>
  </si>
  <si>
    <t>Memoria sobre a Cochonilha e o methodo de a propagar, offerecida aos lavradores Brazileiros, por hum patriota zelozo, e amante da felicidade publica.</t>
  </si>
  <si>
    <t>Jacinto José da Silva Quintão</t>
  </si>
  <si>
    <t>Memória sobre a cultura do algodão.</t>
  </si>
  <si>
    <t>Methodo fácil de assentar o fio das navalhas de barba.</t>
  </si>
  <si>
    <t>Artigo communicado.</t>
  </si>
  <si>
    <t>Observações sobre a manipulação do caldo da canna em assucar bruto, e seus subsequentes produtos por via da refinação, publicadas em Londres em 1830.</t>
  </si>
  <si>
    <t>Conservação, ou restauração do caldo de carne.</t>
  </si>
  <si>
    <t>Ferrugem dos metaes.</t>
  </si>
  <si>
    <t>Methodo simples de reconhecer a qualidade, e a variedade dos terrenos.</t>
  </si>
  <si>
    <t>Memoria sobre a cultura do anil extrahido de varios livros.</t>
  </si>
  <si>
    <t>Algumas ideas sobre a apropriação das sementeiras, as localidade geográficas do Brazil.</t>
  </si>
  <si>
    <t>Semeador de M. Barreau.</t>
  </si>
  <si>
    <t>Utilidade que se pode tirar do farelo na fabricação do pão.</t>
  </si>
  <si>
    <t>Cultura da planta do tabaco como se pratica na Ilha de Cuba.</t>
  </si>
  <si>
    <t>Perdas que sofrem as viandas pela cozidura.</t>
  </si>
  <si>
    <t>Meio de cada hum pagar as suas contribuições sem augmentar o numero das terras.</t>
  </si>
  <si>
    <t>Castração das vaccas.</t>
  </si>
  <si>
    <t>Processo para fazer do Rhum hum licor excellente.</t>
  </si>
  <si>
    <t>Caminhos.</t>
  </si>
  <si>
    <t>Maneira de converter o vinho do Porto novo em vinho velho.</t>
  </si>
  <si>
    <t>Receita experimentada para os calos dos pés.</t>
  </si>
  <si>
    <t>Meio de fazer cessar os soluços.</t>
  </si>
  <si>
    <t>Modo de tornar velha a aguardente.</t>
  </si>
  <si>
    <t>Methodo de limpar o vidro dos espelhos.</t>
  </si>
  <si>
    <t>Conservação das fructas.</t>
  </si>
  <si>
    <t>Queijo feito de batatas.</t>
  </si>
  <si>
    <t>Maneira de conservar os ovos.</t>
  </si>
  <si>
    <t>Methodo de fazer tenra a carne de vacca que se destina para fazer caldo.</t>
  </si>
  <si>
    <t>Clarificação dos licores sem despezas.</t>
  </si>
  <si>
    <t>Meio de afinar os instrumentos cortantes.</t>
  </si>
  <si>
    <t>Reflexões extrahidas de hum Relatorio feito a Sociedade de Agricultura de Antigua, sobre a cultura das terra com arada, emprego de cavalos no mesmo serviço, e methodo de os tratar; assim como sobre a cultura de capim e uso do mesmo depois de maduro, e posto em estado de feno, tudo aplicado ao Brazil.</t>
  </si>
  <si>
    <t>Bixos que destroem o café.</t>
  </si>
  <si>
    <t>Pequena memoria de plantação de cultura do chá e sua preparação, até fica em estado de entrar no Commercio por José Arouche de Toledo Rendon, Tenente General e Director do Curso Jurídico de São Paulo.</t>
  </si>
  <si>
    <t>Verninz para dar côr e lustro aos cestos e outros utensílios de vime.</t>
  </si>
  <si>
    <t>Novo instrumento para excavar a terra.</t>
  </si>
  <si>
    <t xml:space="preserve">Publicações Literárias. </t>
  </si>
  <si>
    <t>Cultura das Melancias brancas na Russia, e de Pepinos; e methodo de conservar estes.</t>
  </si>
  <si>
    <t>Cultura e conservação dos Pepinos.</t>
  </si>
  <si>
    <t>Souyreroul, repolho salgado.</t>
  </si>
  <si>
    <t>Methodo de prevenir que dê alforra no Trigo.</t>
  </si>
  <si>
    <t>Continuação da Memoria sobre a plantação e cultura do Cha.</t>
  </si>
  <si>
    <t>Modo de produzir huma luz intensa.</t>
  </si>
  <si>
    <t>Mastique resistente ao fogo e à água.</t>
  </si>
  <si>
    <t>Processo para conservar às armas brancas, taes como espadas, bayonetas, &amp;c., o seu brilhantismo e polimento.</t>
  </si>
  <si>
    <t>Meio de tirar a ferrugem do ferro.</t>
  </si>
  <si>
    <t>Methodo de preservar da ferrugem os metaes.</t>
  </si>
  <si>
    <t>Novo processo para preservar do incêndio os tectos de restelho.</t>
  </si>
  <si>
    <t>Supplemento à Memoria acima</t>
  </si>
  <si>
    <t xml:space="preserve">Recopilação de Rosier sibre os bixos da seda, por Soares Francisco, &amp;c. </t>
  </si>
  <si>
    <t xml:space="preserve">Cultura da Gerumbeba; criação da Cochonilha, e preparação da mesma para o commercio </t>
  </si>
  <si>
    <t>Obra Publicada. Memoria a cerca do novo systema de manufacturar o assucar em caldeiras quadradas, por Manoel de Vasconcellos de Souza Bahiana.</t>
  </si>
  <si>
    <t>Sessão Publica da Sociedade Auxiliadora da Industria Nacional.</t>
  </si>
  <si>
    <t>Discurso do Presidente.</t>
  </si>
  <si>
    <t>Exposição das receitas e despesas da Sociedade.</t>
  </si>
  <si>
    <t>Betume para canos de ferro empregados em encanamentos d'água.</t>
  </si>
  <si>
    <t>Composição da Essencia de rosa.</t>
  </si>
  <si>
    <t>Meio para para melhorar o vinagre do vinho.</t>
  </si>
  <si>
    <t>Methodo para grudar o vidro, a louça, e a porcelana quebrados.</t>
  </si>
  <si>
    <t>Cola natural.</t>
  </si>
  <si>
    <t>Quesitos à cerca do Rio Ithajahy na Província de Santa Catharina.</t>
  </si>
  <si>
    <t>Memoria sobre a vantagem, necessidade, e meio mais prompto de propagar a cultura e manipulação do Chá.</t>
  </si>
  <si>
    <t>Memoria sobre a necessidade que há de estradas no Brazil, e algumas idéas sobre o methodo de fazer as mesmas.</t>
  </si>
  <si>
    <t>Utilidade do sal em Agricultura.</t>
  </si>
  <si>
    <t>Camphoreira.</t>
  </si>
  <si>
    <t>Da canna de assucar de Otaiti ou de Cayenna, e se he vantajosa a introdução da sua cultura nas colônias occidentaes.</t>
  </si>
  <si>
    <t>Agricultura na Inglaterra.</t>
  </si>
  <si>
    <t>Meio de conservar os dentes.</t>
  </si>
  <si>
    <t>Reflexoens sobre as viagens dos mais celebres navegadores, que tem feito o giro do mundo, e a necessidade de huma nova viagem do mesmo genero, &amp;c. Por Joaquim Bento da Fonseca. Continuadas do N.° 3.° pag. 16.</t>
  </si>
  <si>
    <t>Cultura do Rhuibardo.</t>
  </si>
  <si>
    <t>Cultura do Aipo.</t>
  </si>
  <si>
    <t>Remedio para a mordedura de Cobra.</t>
  </si>
  <si>
    <t>Historia natural, e cultura dos melões raiados da Persia.</t>
  </si>
  <si>
    <t>Nova espécie de Beterraba chamada de S. Clair.</t>
  </si>
  <si>
    <t>Noticia sobre as culturas que canção ou melhorão a terra.</t>
  </si>
  <si>
    <t>Introducção, progresso e estado presente do chá no Brasil.</t>
  </si>
  <si>
    <t>Maneira simples de conhecer a qualidade e a variedade dos terrenos.</t>
  </si>
  <si>
    <t>Aviso endereçado aos proprietários de terras, que se dão a inovações arriscadas.</t>
  </si>
  <si>
    <t>Do consumo de assucar em França.</t>
  </si>
  <si>
    <t>Receita de pós para limpar os dentes.</t>
  </si>
  <si>
    <t>Sociedade Auxiliadora. Carta dirigida à Sociedade por Mr. Moleon.</t>
  </si>
  <si>
    <t>Observações sobre os bichos da terra vegetal, e meios de os destruir.</t>
  </si>
  <si>
    <t>Sobre o mesmo objecto.</t>
  </si>
  <si>
    <t>Do enxerto e da fecundação artificial.</t>
  </si>
  <si>
    <t>Enxertos novos, ou pouco conhecidos.</t>
  </si>
  <si>
    <t>Modo para engordar os porcos.</t>
  </si>
  <si>
    <t>Remedio para curar os carneiros envenenados.</t>
  </si>
  <si>
    <t>Maneira de ter leite durante huma longa viagem.</t>
  </si>
  <si>
    <t>Vantagens da vaccina demonstradas por factos.</t>
  </si>
  <si>
    <t>Meio d’assegurar a boa qualidade e excelente constituição do vírus vaccinico.</t>
  </si>
  <si>
    <t>Ensino por si mesmo.</t>
  </si>
  <si>
    <t>Applicação do systema natural à leitura.</t>
  </si>
  <si>
    <t>Da castração das vaccas, seus efeitos sobre as faculdades lactiferas.</t>
  </si>
  <si>
    <t>Escolas ruraes de meninos pobres.</t>
  </si>
  <si>
    <t>Opiniões e preceitos de Jaques Bujault.</t>
  </si>
  <si>
    <t>Processo dos Chinezes na fabricação da tinta da China.</t>
  </si>
  <si>
    <t>Tinta, ou graxa Ingleza para botas.</t>
  </si>
  <si>
    <t>Preservativo contra o môfo.</t>
  </si>
  <si>
    <t>Memoria sobre o carvão, o seu emprego no saneamento das agoas, e em diversos usos econômicos.</t>
  </si>
  <si>
    <t>Cura do mormo dos cavallos</t>
  </si>
  <si>
    <t>Disposição das maquinas de vapor sobre os barcos Americanos.</t>
  </si>
  <si>
    <t>Maneira mais útil d’empregar os estrumes.</t>
  </si>
  <si>
    <t>Utilidade dos casulos depois de furados pelo Sirgo.</t>
  </si>
  <si>
    <t>Cha. Produzido e frabricado na Provincia de São Paulo.</t>
  </si>
  <si>
    <t xml:space="preserve">Sessão Publica Annual da Sociedade Auxiliadora. </t>
  </si>
  <si>
    <t>Relatorio dos trabalhos e progresso da Sociedade.</t>
  </si>
  <si>
    <t>Algumas ideias sobre a cultura do Trigo.</t>
  </si>
  <si>
    <t>Cultura do Linho Canhamo.</t>
  </si>
  <si>
    <t>Cathecismo d’Industria rural domestica.</t>
  </si>
  <si>
    <t>Discurso sobre algumas producções do Brasil, recitado pelo 2.º Secretário na mesma Sessão.</t>
  </si>
  <si>
    <t>Methodo de conhecer o peso da carne sem ossos dos animaes.</t>
  </si>
  <si>
    <t>Optimo processo para dessalga da carne de vacca.</t>
  </si>
  <si>
    <t>Maquina para abrir Vallas.</t>
  </si>
  <si>
    <t>Utilidades do emprego do Sal, tanto como estrume, como para servir de adubo ao alimento do gado.</t>
  </si>
  <si>
    <t>Eficacia do Vinagre contra a Tympanites gastriea dos animaes.</t>
  </si>
  <si>
    <t>Noticia.</t>
  </si>
  <si>
    <t>Maneira de criar e cevar as aves.</t>
  </si>
  <si>
    <t>Maneira econômica de nutrir Bezerros.</t>
  </si>
  <si>
    <t>Ideas sobre a – Tomates –.</t>
  </si>
  <si>
    <t>Processo para conservar por muitos anos a polpa da Batata.</t>
  </si>
  <si>
    <t>Cimento de Batatas com gesso ou argila.</t>
  </si>
  <si>
    <t>Meio de livrar as madeiras lavradas d’acção destructiva do ar, e d’agoa, etc.</t>
  </si>
  <si>
    <t>Processo para extrahir a resina dos pinheiros, praticado pelos habitantes da Carolina.</t>
  </si>
  <si>
    <t>Modo de preparar a Vitella à maneira do Atum.</t>
  </si>
  <si>
    <t>Differentes receitas para se tirarem todas as nodoas, tanto sobre tecidos, como sobre papel.</t>
  </si>
  <si>
    <t>Maneira de alimpar as luvas de côr clara.</t>
  </si>
  <si>
    <t>Meio de impedir a degeneração do Trigo.</t>
  </si>
  <si>
    <t>Maneira de desengordurar a lãs, e de utilizar o humor crasso, que ella contém.</t>
  </si>
  <si>
    <t>Azeite de sementes de Girasol.</t>
  </si>
  <si>
    <t>Discurso do Doutor Duarte Ribeiro de Macedo, continuado do N.º 3.º pag. 34.</t>
  </si>
  <si>
    <t>Continuação das Memorias Historicas sobre o Rio de Janeiro.</t>
  </si>
  <si>
    <t>Tradução em versos latinos do Ensaio sobre a Crítica de Pope.</t>
  </si>
  <si>
    <t>A Palinodia a Nize, Traduzida de Metastasio.</t>
  </si>
  <si>
    <t>A Melancolia. Tradução de huma passagem do Poema da Imaginação, por Delille, em igual numero de versos que o Original. Por B.**</t>
  </si>
  <si>
    <t>Ode improvisada, Offerecida ao Senhor Alferes Jacome Timotheo de Araujo, Commandante militar da Villa de Paracatú.</t>
  </si>
  <si>
    <t>Hamburgo. Decreto Imperial. Quartel General de Dresden 18 de Junho de 1813.</t>
  </si>
  <si>
    <t>Decreto do Príncipe de Eckmühl.</t>
  </si>
  <si>
    <t>Inglaterra. Finanças e Commercio da Gran Bretanha.</t>
  </si>
  <si>
    <t>Alemanha. Decreto Imperial.</t>
  </si>
  <si>
    <t>Suecia. Tratado de Alliança e subsidio entre Sua Magestade Britanica, e o Rei da Suecia, assignado em Stockolmo a 3 de Março de 1813. (Remettido ás duas Camaras do Parlamento, Sexta feira 11 de Junho.)</t>
  </si>
  <si>
    <t>Tratado entre a Russia e a Suecia. Resumo das obrigações entre as Cortes de S. Petersburgo e Stockholmo, assignadas em S. Petersburgo, a 24 de Março de 1812, ás quais se refere o Tratado entre o Rei da Gran Bretanha e o da Suecia, assignado em Stockholmo a 3 de Março de 1813.</t>
  </si>
  <si>
    <t>Biographia</t>
  </si>
  <si>
    <t>Conde de Wittgenstein.</t>
  </si>
  <si>
    <t>Obras publicadas nesta Corte no mez de Outubro.</t>
  </si>
  <si>
    <t>Hydraulica</t>
  </si>
  <si>
    <t>Noticia sobre o meio que se seguiu no esgotamento de hum pântano. Por B.***</t>
  </si>
  <si>
    <t>Roteiro para seguir a melhor Estrada do Maranhão, para a Corte do Rio de Janeiro.</t>
  </si>
  <si>
    <t>José Pedro Cesar de Menezes</t>
  </si>
  <si>
    <t>Serenissima Infantis Dominae Mariæ Annæ. Immortali Memoriæ.</t>
  </si>
  <si>
    <t>Resposta à Epístola que ao despedir-me do Rio de Janeiro me escreveu Ethmano Bahiense.</t>
  </si>
  <si>
    <t>Ode Pindarica. Feita nos annos do Illustrissimo e Excellentissimo Senhor D. Francisco de Assis Mascarenhas, Conde de Palma, Governador, e Capitão General da Capitania de Minas Geraes, em 30 de Setembro de 1813. Pelo Padre Mestre M. J. R. Professor Regio de Filosofia da mesma Capitania.</t>
  </si>
  <si>
    <t>Cartas de D. João de Castro, IV Vice-Rei da Índia, continuadas do N. 5.º pág. 49.</t>
  </si>
  <si>
    <t>Continuação da Descripção Geographica da Capitania de Mato Grosso.</t>
  </si>
  <si>
    <t>Manifesto de S. M. o Imperador d’Áustria, Rei de Hungria e Bohemia.</t>
  </si>
  <si>
    <t>Leis publicadas nesta Corte.</t>
  </si>
  <si>
    <t>Sumario da Historia do descobrimento da Cochonilha no Brazil, e das observações, que sobre ella fez no Rio de Janeiro o Dr. José Henriques Ferreira, Medico do Vice-Rei o Marquez do Lavradio.</t>
  </si>
  <si>
    <t>Ode Pindarica á SUA ALTEZA REAL.</t>
  </si>
  <si>
    <t>Discurso offerecido aos Bahianos no dia da abertura do seu novo Theatro, aos 13 de Maio de 1812, Dia dos Annos de S. A. R. o Príncipe Regente Nosso Senhor. Por B.***</t>
  </si>
  <si>
    <t>Pela occasião de ser nomeado Vice-Rei dos Estados da India o Excellentíssimo Senhor Conde de Palma, apparecerão os seguintes Sonetos em Villa Rica.</t>
  </si>
  <si>
    <t>Exame da Resposta defensiva e analytica à Censura, que o Redactor do Patriota fez ao Drama intitulado o Juramento dos Numes, &amp;c.</t>
  </si>
  <si>
    <t>Discurso do Redactor.</t>
  </si>
  <si>
    <t>Falla do Conde de Lacépède, Presidente do Senado, recitada em presença do Imperador e Rei, a 30 de Dezembro às 2 horas da tarde</t>
  </si>
  <si>
    <t>Resposta do Imperador.</t>
  </si>
  <si>
    <t>Falla do Principe de la Catolica à Camara dos Pares, por occasião de dissolver-se o Parlamento.</t>
  </si>
  <si>
    <t>Proclamação de Lord Bentinck.</t>
  </si>
  <si>
    <t>Confederação Suissa.</t>
  </si>
  <si>
    <t>Continuação do Estado da atmosphera.</t>
  </si>
  <si>
    <t>Discurso sobre a urgente necessidade de huma Povoação na cachoeira do Salto do Rio Madeira, para facilitar o utilissimo e indispensavel commercio, que pela carreira do Pará se deve fomentar para Matto Grosso, de que resulta a prosperidade de ambas as Capitanias, Author Ricardo Franco de Almeida Serra, Sargento Mór Engenheiro.</t>
  </si>
  <si>
    <t>Ricardo Franco de Almeida Serra</t>
  </si>
  <si>
    <t>Continuação da Memoria sobre a Capitania do Ceará, continuada do N.º 1.º pág. 46.</t>
  </si>
  <si>
    <t>Extracto da Historia da Capitania de Goyaz, ordenada pelo Cirurgião Mór José Manuel Antunes da Frota.</t>
  </si>
  <si>
    <t>Papel que se offereceo ao Serenissimo Rey o Senhor D. João IV, em que se mostra ser conveniente para os augmentos do Reino conservar-se nelle a Gente da Nação. Pelo Padre Antonio Vieira da Companhia de Jesus.</t>
  </si>
  <si>
    <t>Obras publicada nesta Corte.</t>
  </si>
  <si>
    <t>À Saudade. Cançoneta, por B.***</t>
  </si>
  <si>
    <t>As desgraças da desconfiança, passagem do Poema da Imaginação por Delille, traduzida verso a verso, por B.***</t>
  </si>
  <si>
    <t>Aos Benemeritos da Patria em Monumento. Por A. da R. F. Em Villa Rica.</t>
  </si>
  <si>
    <t>Nova Constituição Francesa. Senado Conservador. Extrahido dos Registros do Senado Conservador de Quinta feira 6 de Abril.</t>
  </si>
  <si>
    <t>Lê-se em hum periódico Inglêz a seguinte narração, debaixo do título de Príncipes da Caza de Bourbon.</t>
  </si>
  <si>
    <t>Tratado entre a Suécia e a Dinamarca. Kiel 14 de Janeiro.</t>
  </si>
  <si>
    <t>Russia. A Gazeta de Petersburgo de 20 de Janeiro contém o Tratado de Paz concluído entre a Rússia, e a Pérsia, que em substância he o seguinte.</t>
  </si>
  <si>
    <t>Advertencia.</t>
  </si>
  <si>
    <t>Acclamação de Luiz XVIII em França.</t>
  </si>
  <si>
    <t>O Maire de Bordeaux a seus Conciudadãos.</t>
  </si>
  <si>
    <t>Em nome do Rei. O Duque d’Angoulême ao Exercito Francez.</t>
  </si>
  <si>
    <t>Falla do Maire de Bordeaux dirigida ao Marechal Beresford no dia 12 de Março de 1814 ao meio dia.</t>
  </si>
  <si>
    <t>Às 2 horas o mesmo Maire fez a seguinte fala a Sua Alteza Real o Duque de Angoulême.</t>
  </si>
  <si>
    <t>Proclamação da parte do Rei.</t>
  </si>
  <si>
    <t>Proclamação aos Governadores, Generaes, Commandantes, Officiaes, Soldados, e habitantes de Cambray.</t>
  </si>
  <si>
    <t>Falla do Arcebispo de Bordeaux ao Duque de Angouleme.</t>
  </si>
  <si>
    <t>Constituição da Hollanda. Haya 3 de Março de 1814.</t>
  </si>
  <si>
    <t>Ensaio Politico sobre as Ilhas de Cabo Verde para servir de Plano à Historia Filosofica das mesmas. Por João da Silva Feijó, Naturalista encarregado por Sua Magestade do exame physico das ditas Ilhas.</t>
  </si>
  <si>
    <t>Ode. À vaidade dos Tumulos.</t>
  </si>
  <si>
    <t>Candido Lusitano</t>
  </si>
  <si>
    <t>O Carnaval. Pelo Conego João Pereira da Silva.</t>
  </si>
  <si>
    <t>Materia Medica. Plantas medicinas indígenas de Minas Geraes. Pelo Doutor Luiz José de Godoy Torres, Physico das tropas daquella Capitania.</t>
  </si>
  <si>
    <t>Chatillon sobre o Sena 16 de Março, Declaração dos motivos porque se dissolveu o Congresso de Chatillon.</t>
  </si>
  <si>
    <t>França. Relação do Commissario Provisional das Repartições da Fazenda e do Erario á Sua Alteza Real, Monsieur, Tenente General do Reino.</t>
  </si>
  <si>
    <t>Exportação das 4 Villas, Fortaleza, Aracati, Sobral, Camocí.</t>
  </si>
  <si>
    <t>Mappa das Produçoens, Exportação e consumo da Ilha de S. Catharina no anno de 1812.</t>
  </si>
  <si>
    <t>Correspondência</t>
  </si>
  <si>
    <t>Leis promulgadas nesta Corte no 1.º Semestre de 1814.</t>
  </si>
  <si>
    <t>Reflexões sobre as observações meteorológicas desde o primeiro de Fevereiro de 1813, até o ultimo de Janeiro de 1814.</t>
  </si>
  <si>
    <t>Memoria sobre o Descobrimento, Governo, População, e cousas mais notaveis da Capitania de Goyaz.</t>
  </si>
  <si>
    <t>Reflexoens sobre a materia dos numeros 28 até 43, que servem de Notas ao Roteiro do Maranhão, dado no N.º antecedente pagina 3.</t>
  </si>
  <si>
    <t>Nova Constituição de França. Paris 4 de Junho.</t>
  </si>
  <si>
    <t>Continuação da Memoria sobre o Descobrimento, Governo, População, e cousas mais notaveis da Capitania de Goyaz, continuada do N.º antecedente, paginas 33.</t>
  </si>
  <si>
    <t>Continuação da Historia dos Indios Cavalleiros, continuada do N.º antecedente, paginas 14.</t>
  </si>
  <si>
    <t>Reflexoens sobre as notas do Roteiro de Maranhão, continuadas do Numero antecedente, paginas 74.</t>
  </si>
  <si>
    <t>Discurso remettido de Macau por J. J. L. Professor das linguas Portugueza e Latina no Collegio de S. José daquella Cidade.</t>
  </si>
  <si>
    <t>Festa de Alexandre; ou o poder da Musica. Ode de Dryden composta para o dia de Santa Cecilia. (*)</t>
  </si>
  <si>
    <t xml:space="preserve">Camara dos Deputados. Sessão de 11 de Agosto.  </t>
  </si>
  <si>
    <t>Obras publicadas nesta Corte.</t>
  </si>
  <si>
    <t>Conclusão da Memoria sobre o Descobrimento, Governo, População, e cousas mais notaveis da Capitania de Goyaz, continuada do N.º antecedente, paginas 3.</t>
  </si>
  <si>
    <t>Conclusão das Reflexoens sobre as notas do Roteiro do Maranhão, &amp;c.</t>
  </si>
  <si>
    <t>Algumas observações Barometricas, e Geognosticas, &amp;c, feitas na Capitania de Minas Geraes por G. B. de E.</t>
  </si>
  <si>
    <t>Observações feitas pelo Coronel Carlos Julião sobre algumas madeiras do Brazil.</t>
  </si>
  <si>
    <t>Epistola a Sua Alteza Real o Principe Regente Nosso Senhor. Por Alfeno Cynthia.</t>
  </si>
  <si>
    <t>Mappa Corporativo da população de S. Paulo nos annos de 1811, 1812, e 1813; e das alterações, que soffreu aquella Capitania, depois de formado o mappa copiado no N.º 3.º da 1.ª Subscrição pag. 100 e seg.</t>
  </si>
  <si>
    <t>Continuação do estado da Atmosfera.</t>
  </si>
  <si>
    <t>Memoria sobre o meio de desaguar ou esgotar as terras inundadas, ou encharcadas por methodo facil e pouco dispendioso. Por B.***</t>
  </si>
  <si>
    <t>Hydrographia</t>
  </si>
  <si>
    <t>Continuação das Reflexoens sobre as viagens dos mais celebres navegadores, continuadas do N.º 4.º pag. 19.</t>
  </si>
  <si>
    <t>Continuação da Descripção Geographica da Capitania de Matto Grosso.</t>
  </si>
  <si>
    <t>O Canto dos Pastores. Ecloga, Offerecida á Illustrissima e Excellentissima Senhora D. J. J. de L. F.</t>
  </si>
  <si>
    <t>João Maximo do Prado</t>
  </si>
  <si>
    <t>Soneto ao Grande Silveira.</t>
  </si>
  <si>
    <t>Soneto ao Soldado Portuguez.</t>
  </si>
  <si>
    <t>Cartas de D. João de Castro, IV Vice-Rei da Índia, trasladadas de huma cópia, que possue o Excelentíssimo D. Miguel Antonio de Mello, extrahida dos originaes, que parão em poder do Excelentíssimo Conde de S. Lourenço, D. João Alberto de Noronha.</t>
  </si>
  <si>
    <t>Continuação do exame de hum moderno viajante ao Brazil.</t>
  </si>
  <si>
    <t>Obras publicadas nesta Côrte no mez de Novembro.</t>
  </si>
  <si>
    <t>Introducção.</t>
  </si>
  <si>
    <t>A cana d’assucar.</t>
  </si>
  <si>
    <t>A cultivação da cana, e preparação do assucar em calda.</t>
  </si>
  <si>
    <t>A fructa do pão.</t>
  </si>
  <si>
    <t>O elephante.</t>
  </si>
  <si>
    <t>Continuado da Fructa do Pão.</t>
  </si>
  <si>
    <t>O Mexico.</t>
  </si>
  <si>
    <t>Continuado da Cobra de Cascavel.</t>
  </si>
  <si>
    <t>O Papyro.</t>
  </si>
  <si>
    <t>A Planta do Fumo.</t>
  </si>
  <si>
    <t>Discripção do Monte Vezuvio.</t>
  </si>
  <si>
    <t>Anuncios.</t>
  </si>
  <si>
    <t>John Clark</t>
  </si>
  <si>
    <t>“Some Account of the City of Mexico.” The Saturday Magazine (London) 6, no. 166 (Supplement, January 1835): 35–36.</t>
  </si>
  <si>
    <t>“Mount Vesuvius,” The Saturday Magazine (London), no. 37 (Supplement, January 1833): 35–6.</t>
  </si>
  <si>
    <t>Educação</t>
  </si>
  <si>
    <t>1. Educação Moral. Carta de B. Franklin a John Alleyne, esq., sobre os Casamentos Prematuros.</t>
  </si>
  <si>
    <t>Benjamin Fraklin</t>
  </si>
  <si>
    <t>3. Instrucção. Escolas e Methodos. Instrucção nacional e professional.</t>
  </si>
  <si>
    <t>Continuação do Glossario do numero antencedente.</t>
  </si>
  <si>
    <t>Trabalho</t>
  </si>
  <si>
    <t>Economia</t>
  </si>
  <si>
    <t>1. Economia Geral. Considerações geraes sobre as estradas.</t>
  </si>
  <si>
    <t>Extracto das sessões da Academia de Medicina e de Cirurgia de Paris.</t>
  </si>
  <si>
    <t>Relação historica da Enfermidade do Ill.mo Snr. Brigadeiro Luiz Pereira da Nobrega de Souza Coutinho, Presidente da Camara dos Deputados do Imperio do Brasil, Ajudante de Campo de S. M. o Imperador, etc. etc.; seguida da Refutação das Cartas do Doutor José Maria Bontempo; por J. F. Sigaud, D. M. e R. P.</t>
  </si>
  <si>
    <t>Autopsia cadaverica.</t>
  </si>
  <si>
    <t>Memoria sobre o labio leporino.</t>
  </si>
  <si>
    <t>Francisco José Alypio</t>
  </si>
  <si>
    <t>Observação sobre huma Fractura complicada do tibia.</t>
  </si>
  <si>
    <t>Operação da castração feita em hum individuo, que tinha o cordão affectado acima do terço superior.</t>
  </si>
  <si>
    <t>Octaviano Maria da Rosa</t>
  </si>
  <si>
    <t>Necrologia. — Laennec.</t>
  </si>
  <si>
    <t>Extracto do elogio de Corvisart, recitado por M. Pariset.</t>
  </si>
  <si>
    <t>Zoologia.</t>
  </si>
  <si>
    <t>Resposta ao Snr. J. M. Bomtempo</t>
  </si>
  <si>
    <t>Cartão do Snr. José Maria Bomtempo.</t>
  </si>
  <si>
    <t>José Maria Bomtempo</t>
  </si>
  <si>
    <t>Explicação da estampa.</t>
  </si>
  <si>
    <t>Prenhez na trompa de Fallopio.</t>
  </si>
  <si>
    <t>Revista dos Jornaes de medicina Francezes.</t>
  </si>
  <si>
    <t>Revista dos Jornaes de Medicina Inglezes.</t>
  </si>
  <si>
    <t>Carta do Snr. F. J. Alypio ao Redactor Principal.</t>
  </si>
  <si>
    <t>Observação sobre o emprego do acido prussico medicinal no tratamento da tisica pulmonar.</t>
  </si>
  <si>
    <t>Paralello da febre cerebral, e das affecções verminosas nas crianças, etc.; por Elie Gintrac, D. M.</t>
  </si>
  <si>
    <t>Elie Gintrac</t>
  </si>
  <si>
    <t>Considerações sobre a natureza, séde e tratamento do Tétano (continuadas do numero precedente).</t>
  </si>
  <si>
    <t>Observação sobre hum caso de retenção d'ourinas, causada por hum estreitamento, e por huma affecção da prostata. — operação. — exame depois da morte.</t>
  </si>
  <si>
    <t>Maneira de descobrir-se o arsenico pelo nitrato de prata (pedra infernal).</t>
  </si>
  <si>
    <t>Revista dos Jornaes de Medicina Francezes</t>
  </si>
  <si>
    <t>Cartão do Snr. J. J. I. de Amaral ao Redactor principal</t>
  </si>
  <si>
    <t>Biographia Medica</t>
  </si>
  <si>
    <t>Noticia historica sobre o Doutor Eduardo Jenner, inventor da vaccina.</t>
  </si>
  <si>
    <t>Magnetismo animal.</t>
  </si>
  <si>
    <t>Reflexões sobre os ultimos trabalhos relativos á determinação das funcções das differentes partes do encephalo; por Casimiro Broussais D. M. P., segundo Cirurgião do hospital militar de instrucção de Strasbourg.</t>
  </si>
  <si>
    <t>Da Vaccina e Bexigas.</t>
  </si>
  <si>
    <t>Observações e reflexões sobre as feridas penetrantes do peito; por M. Toulmouche.</t>
  </si>
  <si>
    <t>Observação de huma ferida de cabeça com fractura da abobeda e da base do craneo, e despedacamento da substancia do figado; por M. Bouyer, Cirurgião da Marinha, em Rochefort.</t>
  </si>
  <si>
    <t>Sobre a Digitalina.</t>
  </si>
  <si>
    <t>Princípio activo do Óleo de Ricino.</t>
  </si>
  <si>
    <t>Preparações de quinina</t>
  </si>
  <si>
    <t>Medicina legal. Reflexões sobre alguns phenomenos proprios a fazer distinguir o suicidio da morte violenta nos casos de enforcados, por M. Deslandes.</t>
  </si>
  <si>
    <t>Duas observações ao mesmo respeito, por M. Rouzet.</t>
  </si>
  <si>
    <t>Ernesto Martini</t>
  </si>
  <si>
    <t>Novas experiencias sobre os effeitos dos pediluvios nitro-muriaticos em algumas molestias do figado, pelo Doutor F. Lavagna</t>
  </si>
  <si>
    <t>Noticia sobre o tratamento das Aneurismas por meio de refrigerantes, por M. Guerin Pai.</t>
  </si>
  <si>
    <t>Noticia Biographica sobre o Doutor Francisco José Victor Broussais.</t>
  </si>
  <si>
    <t>Indagações de historia natural medica sobre as pimenteiras, e sobre a raiz d’ava ou kawa; por M. J.-J. Virey D. M.</t>
  </si>
  <si>
    <t>Voyage en Italie fait en l’année 1820; ou Viagem á Italia feita em 1820. 2.ª edição corrigida e augmentada de novas observações feitas em huma segunda viagem de 1824; pelo Doutor Luiz Valentim.</t>
  </si>
  <si>
    <t>Memória sobre os Ferimentos do Canal Intestinal, por A. Jobert (de Lamballe); brochura in-8.º em Paris.</t>
  </si>
  <si>
    <t>Extracto dos Jornaes de Medicina Francezes.</t>
  </si>
  <si>
    <t>Extracto dos Jornaes Inglezes.</t>
  </si>
  <si>
    <t>Pastilhas alcalinas digestivas por M. Darcet.</t>
  </si>
  <si>
    <t>Pílulas contra a enxaqueca ou anti-cephalicas do Doutor Isoard.</t>
  </si>
  <si>
    <t>Lithotricia. Novo meio de destruir a pedra na bexiga sem a operação da talha.</t>
  </si>
  <si>
    <t>Caso de hum tumor inguinal, que continha vermes lombricoides.</t>
  </si>
  <si>
    <t>Úlcera Roedora no Nariz, Exasperada pelos Cáusticos, e Curada pelos Antiphlogisticos.</t>
  </si>
  <si>
    <t>Reflexões sobre os penosos efeitos, que resultão do uso muito aturado do suspensorio, e sobre os que são consequencia da má conformação deste apposito, por M. Dugivier, Medico dos Hospicios e prisões de Coulommiers (Seine-et-Marne).</t>
  </si>
  <si>
    <t>Nova doutrina das moléstias mentaes, por M. Bayle. (Continuada do n.º V.)</t>
  </si>
  <si>
    <t>Medicina d'alma.</t>
  </si>
  <si>
    <t>Observações clínicas sobre a virtude tænífuga da romeira.</t>
  </si>
  <si>
    <t>Fidelis Martins Bastos</t>
  </si>
  <si>
    <t>Uzo da Bile. Experiências feitas, tendentes a contestar os efeitos da ligadura do canal choledoco, pelo Doutor Herbert Mayo.</t>
  </si>
  <si>
    <t>Herbert Mayo</t>
  </si>
  <si>
    <t>Sobre o Liquido Cérebro-Espinhal. Memoria lida por M. Magendie na Academia das Sciencias á 4 e 18 de Dezembro de 1826.</t>
  </si>
  <si>
    <t>Tratado de therapeutica, redigido segundo os principios da nova doutrina medica; por L. J. Bégin, D. M., etc.</t>
  </si>
  <si>
    <t>Botanica.</t>
  </si>
  <si>
    <t>Gangrena dos membros inferiores por obstáculo ao curso do sangue, ossificação e obliteração dos vasos.</t>
  </si>
  <si>
    <t>Preparações de cobre.</t>
  </si>
  <si>
    <t>Pós de Sedlitz compostos.</t>
  </si>
  <si>
    <t>Considerações geraes sobre os hospitaes.</t>
  </si>
  <si>
    <t>Amputação na articulação do joelho.</t>
  </si>
  <si>
    <t>Johann Salomo Christoph Schweigger; Jean-Claude Delamétherie</t>
  </si>
  <si>
    <t>Silvestre Pinheiro Ferreira</t>
  </si>
  <si>
    <t>Escolha de hum medico.</t>
  </si>
  <si>
    <t>Medicos conferentes.</t>
  </si>
  <si>
    <t>Erro popular relativo à sangria applicada na apoplexia, e em outros casos graves.</t>
  </si>
  <si>
    <t>Observações sobre a utilidade da tintura do iodo no tratamento da uretrite (blenorragia) e dos engorgitamentos venéreos.</t>
  </si>
  <si>
    <t>Extracto de huma memoria lida por M. Laugier á Assembléa geral da Academia de Medicina, a 26 de Março de 1825.</t>
  </si>
  <si>
    <t>Nota sobre duas espécies novas d’areias na bexiga; por M. Magendie.</t>
  </si>
  <si>
    <t>Carta sobre a historia da Cirurgia, dirigida a hum Cirurgião de Provincia, por hum Doutor em Cirurgia de Paris.</t>
  </si>
  <si>
    <t>Remedio do professor Antonio Dubois contra a solitaria.</t>
  </si>
  <si>
    <t>Pós do Professor Dupuytren, contra os dartros phagedenicos ou roedôres.</t>
  </si>
  <si>
    <t>Meio contra a Asthma, pelo Doutor Francisco Chiarenti.</t>
  </si>
  <si>
    <t>Emprego da Belladona em uma febre intermitente.</t>
  </si>
  <si>
    <t>Speculum urethro-cistico.</t>
  </si>
  <si>
    <t>Noticia historica sobre M. Beclard.</t>
  </si>
  <si>
    <t>Zoologia. Considerações sobre o resplendor das Scolopendras, insectos apteterios (classe dos Mitosata Fabr. e dos Myriapodes de outros entomologistas); por M. J.-J. Virey.</t>
  </si>
  <si>
    <t>Colibri ou Chupa-flor.</t>
  </si>
  <si>
    <t>Obras novas de Medicina publicadas em Francez.</t>
  </si>
  <si>
    <t>Medicina Italiana. Saggio d’un analisi, etc. Exame analytico da doutrina medica das Escolas modernas da Italia pelo Doutor Geronimi, inserido nos Annaes de medicina e pathologia physiologica, publicado em Milão pelo Doutor Giovanni Strambio. 1.º anno. Cadernos de Abril, Maio, e Junho de 1824.</t>
  </si>
  <si>
    <t>Rhynoplastia ou arte de formar hum nariz artificial de carne viva, pelo Professor Lisfranc.</t>
  </si>
  <si>
    <t>Mixtura brasileira do Lepère.</t>
  </si>
  <si>
    <t>Tratado das Molestias da Pelle, fundado sobre novas Indagações d’Anatomia e de Physiologia Pathologica, por Rayer, Membro da Academia Real de Medicina de Paris, etc.</t>
  </si>
  <si>
    <t>Memoria sobre o diagnostico das affecções agudas e chronicas dos orgãos thoracicos, premiada pela Sociedade de Medicina de Louvain, por Elie Gintrac, Doutor em Medicina da Faculdade de Pariz, Professor d’Anatomia e de Physiologia na Escola Real secundaria de Bordeaux, et coetera.</t>
  </si>
  <si>
    <t>Dissertação sobre as feridas d’armas de fogo: These appresentada e sustentada, na Faculdade de Medicina de Paris em 25 de Abril de 1827, por Joaquim Candido Soares de Meirelles, Doutor em Medicina e Cirurgia etc.</t>
  </si>
  <si>
    <t>Joaquim Candido Soares de Meirelles</t>
  </si>
  <si>
    <t>Da Thridace.</t>
  </si>
  <si>
    <t>Funeral do Dr. Gall.</t>
  </si>
  <si>
    <t>Julio Cloquet</t>
  </si>
  <si>
    <t>Obras de Medicina publicadas em Francez.</t>
  </si>
  <si>
    <t>De Algumas Especialidades Cirúrgicas em Londres.</t>
  </si>
  <si>
    <t>Economia Domestica</t>
  </si>
  <si>
    <t>Medicina Domestica</t>
  </si>
  <si>
    <t>Epidemias que tem reinado na America do Sul em 1833 e 1834.</t>
  </si>
  <si>
    <t>José Francisco Sigaud; Francisco de Paula Candido; Francisco Crispiano Valdetaro</t>
  </si>
  <si>
    <t>Pneumonia das crianças (Pneumonia Infatilis).</t>
  </si>
  <si>
    <t>Reflexões acerca do transito livre dos doidos pelas ruas da cidade do Rio de Janeiro, etc.</t>
  </si>
  <si>
    <t>Reflexões sobre a nova theoria da respiração.</t>
  </si>
  <si>
    <t>Considerações praticas sobre a secção dos nervos, e restabelecimento da sensibilidade nas partes, em que se elles distribuem.</t>
  </si>
  <si>
    <t>Variedades e Noticias Medicas</t>
  </si>
  <si>
    <t>Considerações praticas sobre o levantar do primeiro apparelho depois das amputações.</t>
  </si>
  <si>
    <t>Da visita das boticas, e da venda publica de remedios, e substancias reputadas venenozas.</t>
  </si>
  <si>
    <t>Historica Natural</t>
  </si>
  <si>
    <t>Meteorologia.</t>
  </si>
  <si>
    <t>Bibliographia</t>
  </si>
  <si>
    <t>Obras de medecina publicadas no Rio de Janeiro no decurso de 1834.</t>
  </si>
  <si>
    <t>Francisco de Paula Candido</t>
  </si>
  <si>
    <t>A moda dos remédios e os remédios da moda</t>
  </si>
  <si>
    <t>Reflexões sobre o estudo clínico dos partos no Rio de Janeiro.</t>
  </si>
  <si>
    <t>Febres intermittentes.</t>
  </si>
  <si>
    <t>Quadro das molestias observadas nos primeiros quatro mezes do anno de 1835.</t>
  </si>
  <si>
    <t>José Francisco Sigaud</t>
  </si>
  <si>
    <t>Revista Medica</t>
  </si>
  <si>
    <t>Questão da Faculdade de Medicina do Rio de Janeiro (continuado do número antecedente).</t>
  </si>
  <si>
    <t>Joaquim Vieira da Silva e Souza</t>
  </si>
  <si>
    <t>Isidore Bourdon</t>
  </si>
  <si>
    <t>Dificuldade de ser ao mesmo tempo hábil cirurgião e bom médico. — Boyer, Corvisart, A. Dubois, Hallé, Portal, Laënnec — O que se especialisa em Paris, se accumula nas províncias — Raros talentos conciliados em Ant. Petit — Vícios da legislação quanto á medicina — Responsabilidade médica, e livro de M. Trebuchet, advogado, sobre a jurisprudência da medicina.</t>
  </si>
  <si>
    <t>Luiz Antonio de Oliveira Mendes</t>
  </si>
  <si>
    <t>Das glarias (glaires).</t>
  </si>
  <si>
    <t>Barão Percy e Comet</t>
  </si>
  <si>
    <t>Discurso pronunciado por Mr. Orfila junto da campa de Depuytren.</t>
  </si>
  <si>
    <t>Annuncio de algumas obras e periodicos de medicina recentemente publicados em Inglaterra e Italia.</t>
  </si>
  <si>
    <t>Reflexões sobre as febres intermittentes. — Considerações medico-topographicas sobre a cidade do Rio de Janeiro; por F. de Paula Candido.</t>
  </si>
  <si>
    <t>Jacques Lisfranc de Saint-Martin</t>
  </si>
  <si>
    <t>Do uso medicinal do guaraná contra a dysenteria.</t>
  </si>
  <si>
    <t>Da enfermidade dos pretos chamada Banzo.</t>
  </si>
  <si>
    <t>Do Mil-homens, e de seu uso médico; pelo Doutor Bernardino Antonio Gomes.</t>
  </si>
  <si>
    <t>Silvain Eymard</t>
  </si>
  <si>
    <t>Obras de Medicina Publicadas Ultimamente em Portugal e França.</t>
  </si>
  <si>
    <t>Programa da Sessão Pública da Sociedade de Medicina do Rio de Janeiro, no dia 30 de junho de 1835.</t>
  </si>
  <si>
    <t>Sessão Pública da Sociedade de Medicina do Rio de Janeiro.</t>
  </si>
  <si>
    <t>Therapeutica. Sangria e emolientes nas indigestiones. Casos de syphilis rebelde curada pelo opio.</t>
  </si>
  <si>
    <t>Febre imitativa.</t>
  </si>
  <si>
    <t>Febres Intermittentes. Continuação do exame das causas no Rio de Janeiro. — Ágoas.</t>
  </si>
  <si>
    <t>Medicina homeopathica</t>
  </si>
  <si>
    <t>Obras de Medicina Publicadas em Chile e no Brazil.</t>
  </si>
  <si>
    <t>Breve instrução sobre os soccorros que se devem administrar às pessoas mordidas por animaes damnados.</t>
  </si>
  <si>
    <t>Emprego da tintura d’iodo para a cura do hydrocele.</t>
  </si>
  <si>
    <t>Necrologia do doutor Foderé, professor da Faculdade de Medicina de Strasburgo</t>
  </si>
  <si>
    <t>Reflexões sobre o mal chamado de sete dias, pelo Doutor Troubat.</t>
  </si>
  <si>
    <t>João Lopes Cardoso</t>
  </si>
  <si>
    <t>Da enfermidade chamada hemorroidas observada no Brazil, pelo doutor João Lopes Cardoso Machado, de Pernambuco.</t>
  </si>
  <si>
    <t>Carta ao Doutor Correia, ou defeza da doutrina de Broussais, pelo Doutor Benit.</t>
  </si>
  <si>
    <t>Isidoro Bourdon</t>
  </si>
  <si>
    <t>Notável Efficacia do Creosoto para a Cura da Diabetes Assucarada, pelo Professor Berndt, em Greifswald.</t>
  </si>
  <si>
    <t>Do tratamento dos calculos biliarios.</t>
  </si>
  <si>
    <t>Observação de estreitamento considerável da vagina, oferecendo obstáculo ao parto, pelo Sr. Duparcque, D.M.P.</t>
  </si>
  <si>
    <t>Laqueação da Arteria Inominada em Hum Aneurisma da Subclavia Direita, Pelo Doutor Hall, Professor de Partos, Etc., na Universidade de Maryland</t>
  </si>
  <si>
    <t>Hall</t>
  </si>
  <si>
    <t>Hygiene por M. Isidore Bourbon. — Principios concernentes às profissões.</t>
  </si>
  <si>
    <t>Da revaccinação e seus efeitos.</t>
  </si>
  <si>
    <t>Hygiene por M. Isidore Bourbon. — Principios concernentes às profissões (continuado de pag. 145).</t>
  </si>
  <si>
    <t>Unguento do doutor Geddings contra as hemorroidas. — Receita contra a escarlatina. — Pomada anti-ophthalmica de Pitschast. — Xarope depurativo do doutor Devergie. — Preparação do bálsamo Opodeldoch. — Uso medicinal do ácido láctico, limonada láctica, pastilhas de ácido láctico. — Preparações ammoniáceas. — Xarope ammoniacal. — Xarope d’acetato d’ammoniaco e de ferro. — Elixir, dito thesouro da boca</t>
  </si>
  <si>
    <t>Hygiene por M. Isidore Bourbon. — 3.º e ultimo artigo.</t>
  </si>
  <si>
    <t>Sciencias Naturaes</t>
  </si>
  <si>
    <t>Analyse da farinha de trigo, precedida de hum ensaio sobre o gluten e substancia amyllacea, pelo professor Lavini.</t>
  </si>
  <si>
    <t>Nota sobre o tratamento da febre typhoide, usado na Inglaterra; communicada por M. Edwin Lee.</t>
  </si>
  <si>
    <t>Edwin Lee</t>
  </si>
  <si>
    <t>Novo systema de chimica organica fundado sobre novos methodos de observação, por F. V. Raspail (continuado do numero 21).</t>
  </si>
  <si>
    <t>Descobertas recentes do doutor Faraday no estudo dos fenômenos eléctricos.</t>
  </si>
  <si>
    <t>Nota sobre um novo princípio chamado Subrubina, descoberto no sangue humano e no de vários mamíferos, pelo doutor O’Shaughnessy.</t>
  </si>
  <si>
    <t>Physiologia. Sobre o mecanismo da excreção da bílis, por M. A. Judas, D.-M. P., médico adjunto do Hospital Civil d’Aix.</t>
  </si>
  <si>
    <t>Influência magnética das folhas do freixo sobre a cobra de cascavel.</t>
  </si>
  <si>
    <t>Observações sobre o magnestismo animal.</t>
  </si>
  <si>
    <t>Autopsia do Ex.mo Sr. Regente João Bráulio Muniz, feita segunda-feira, 21 de setembro de 1835, às 2 horas da tarde, 92 horas depois da morte.</t>
  </si>
  <si>
    <t>Hercúles Octaviano Muzzi</t>
  </si>
  <si>
    <t>Observação sobre huma luxação grave do joelho, precedida de reflexões sobre a natureza desta moléstia, e sobre o mecanismo das causas que a produzem. — Discussão.</t>
  </si>
  <si>
    <t>Exame do sangue, e da sua acção nos diversos phenomenos da vida; por J. L. Prévost, M. D., e J.-A. Dumas, etc.</t>
  </si>
  <si>
    <t>Primeiro relatorio annuo sobre o estabelecimento d’ensino practico de medicina legal na Universidade Real de Berlin, depois da Pascoa de 1833 a 1834; pelo Sr. Professor G. Wagner.</t>
  </si>
  <si>
    <t>Observação curiosa de um afogado, no qual se encontrou areia e cascalhos nos órgãos respiratórios, pelo doutor Blumhardt.</t>
  </si>
  <si>
    <t>Hemorrhagia pelas partes genitaes em huma menina recem-nascida; pelo doutor Camerer.</t>
  </si>
  <si>
    <t>Dilatação aneurismática das cavidades direitas do coração, com gangrena da pele; pelo doutor Cless.</t>
  </si>
  <si>
    <t>Observação de um tumor nos lábios, sobrevindo depois de um susto; pelo doutor Diez.</t>
  </si>
  <si>
    <t>Modo de criar os meninos sem leite das mães nem de amas, pelo Sr. Baldini</t>
  </si>
  <si>
    <t>Annuncio de quatro opusculos de medicina publicados no Rio de Janeiro.</t>
  </si>
  <si>
    <t>Exame do sangue, e da sua acção nos diversos phenomenos da vida; por J. L. Prevost, M. D., e J. A. Dumas, etc. (2.º artigo.)</t>
  </si>
  <si>
    <t>Quadro das molestias observadas no decurso dos mezes de Maio, Junho, Julho, e Agosto de 1835.</t>
  </si>
  <si>
    <t>Da composição da cera de palmeira, pelo Sr. Boussingault.</t>
  </si>
  <si>
    <t>Annuncios</t>
  </si>
  <si>
    <t>Anúncio do estabelecimento chymico-pharmaceutico do Sr. Ezequiel Corrêa dos Santos.</t>
  </si>
  <si>
    <t>Sciencias Medicas</t>
  </si>
  <si>
    <t>Therapeutica. Nota sobre a therapeutica das erysipelas simples, pelo doutor Bassereau.</t>
  </si>
  <si>
    <t>Episiographia, ou nova operação para a cura do prolapso da madre; pelo doutor Frick.</t>
  </si>
  <si>
    <t>Estatística das operações da talha praticadas no outono de 1834, no Hospital dos Incuráveis de Santa Maria do Loreto; pelo Sr. Salvador de Renzi.</t>
  </si>
  <si>
    <t>Salvador de Renzi</t>
  </si>
  <si>
    <t>Annuncio de obras novas publicadas em 1835 em França e Inglaterra.</t>
  </si>
  <si>
    <t>Annuncio dos redactores sobre a publicação do Diario de Saude no 2.º semestre.</t>
  </si>
  <si>
    <t>Reflexões sobre a conversão da Sociedade de Medicina do Rio de Janeiro em Academia, contendo o resumo dos seus trabalhos, etc.</t>
  </si>
  <si>
    <t>Pathologia</t>
  </si>
  <si>
    <t>E. Gaultier de Claubry</t>
  </si>
  <si>
    <t>Pathologia. Do riso sardônico, e da sede desta afecção singular; pelo professor Bricheteau, médico do Hospital Necker.</t>
  </si>
  <si>
    <t>Discurso recitado pelo doutor J. C. Soares de Meirelles, presidente da Academia Imperial de Medicina do Rio de Janeiro, na primeira sessão preparatória.</t>
  </si>
  <si>
    <t>J. C. Soares de Meirelles</t>
  </si>
  <si>
    <t>Prospecto da Sociedade de Aperfeiçoamento e Previdência entre os Médicos de Paris.</t>
  </si>
  <si>
    <t>Obras novas de medicina publicadas em França no anno de 1835.</t>
  </si>
  <si>
    <t>Esboço estatístico das operações da talha praticadas no Rio de Janeiro, Bahia, etc.</t>
  </si>
  <si>
    <t>Observação sobre hum caso de introducção d’huma pedrinha na caixa do tympano, e de sua expulção por meio de huma injecção na tromba d’Eustachio; pelo doutor Deleau, junior.</t>
  </si>
  <si>
    <t>Therapeutica.</t>
  </si>
  <si>
    <t>Cirurgia. — Esboço estatistico das operações da talha praticadas no Rio de Janeiro, Bahia, etc. (2.º artigo.)</t>
  </si>
  <si>
    <t>Physiologia. Discurso pronunciado na sessão annual da Sociedade Phrenologica; pelo professor Andral, presidente.</t>
  </si>
  <si>
    <t>Sobre o guaco como preservativo das consequências da mordedura das cobras venenosas.</t>
  </si>
  <si>
    <t>Pedro Orive y Vargas.</t>
  </si>
  <si>
    <t>Exposição das circunstancias que acompanharão e se seguirão á morte de Antonio de Mattos Brandão no dia 15 de novembro de 1835.</t>
  </si>
  <si>
    <t>Medicina Legal. Da prova deduzida d’apparências morbidas em caso de veneficio.</t>
  </si>
  <si>
    <t>José Ferreira Borges</t>
  </si>
  <si>
    <t>Pathologia Interna. Curso de pathologia interna, pelo professor Andral. (5 de novembro.)</t>
  </si>
  <si>
    <t>Therapeutica. Do tratamento das molestias da garganta, e de algumas inflammações das outras membranas mucosas, pelo sulfato de alumina e de potassa; memoria apresentada à Academia das Sciencias, a 16 de março de 1835; pelo Sr. Velpeau. (Continuado do n.º antecedente).</t>
  </si>
  <si>
    <t>Algumas reflexões sobre as circumstancias que precederão e acompanharhão a morte de Antonio de Mattos Brandão</t>
  </si>
  <si>
    <t>Therapeutica. Do tratamento das molestias da garganta, e de algumas inflammações das outras membranas mucosas, pelo sulfato de alumina e de potassa; memoria apresentada á Academia das Sciencias, a 16 de março de 1835; pelo Sr. Velpeau. (Continuado do n.º antecedente).</t>
  </si>
  <si>
    <t>Relatorio sobre o uso do gelo, lido na sessão da Sociedade de Medicina do Rio de Janeiro de 9 de agosto de 1834</t>
  </si>
  <si>
    <t>Botanica. Discurso lido pelo cidadão Pio Bustamante, discípulo da Escola de Botanica, ao principiar as lições deste anno, a 30 de junho do corrente anno.</t>
  </si>
  <si>
    <t>Novo apparelho pharmaceutico portatil, para a preparação de qualquer extracto, ou alcoolico ou aquoso, reunindo o methodo de deslocação, a distillação, e a evaporação em banho-maria, pelo Sr. Dausse, senior.</t>
  </si>
  <si>
    <t>Electuario de anil contra a epilepsia</t>
  </si>
  <si>
    <t>Pez branco, ou alcatrão administrado interiormente na lepra</t>
  </si>
  <si>
    <t>Preparação do sulfato de quinina por meio dos óleos voláteis, e sem o soccorro do álcool, pelos Srs. Jos. Pelletier e Ad. Despretz.</t>
  </si>
  <si>
    <t>Documentos autenticos, ou peças do processo do medico allemão Frederico Doellinger, contendo a autopsia de A. M. Brandão, o exame do liquido, e o auto de declaração dos facultativos.</t>
  </si>
  <si>
    <t>Manoel Carrilho da Costa et al.</t>
  </si>
  <si>
    <t>Pathologia. Noticia sobre a irritação cerebral ou cerebria, pelo Sr. Sc. Pinel</t>
  </si>
  <si>
    <t>Scipião Pinel</t>
  </si>
  <si>
    <t>Medicina clínica. Ação do tartaro estibiado em alta dose nas phlegmasias; pelo Sr. Brichleteau, médico do Hospital Necker.</t>
  </si>
  <si>
    <t>Sessão de instalação da Academia Imperial de Medicina do Rio de Janeiro.</t>
  </si>
  <si>
    <t>Cirurgia. Phimosis. — Processo do Sr. Philippe Ricord para a circuncisão, por Henrique Blatin.</t>
  </si>
  <si>
    <t>Henrique Blatin</t>
  </si>
  <si>
    <t>Notícia histórica da enfermidade e morte de Manoel Antunez, operado de hum aneurisma da arteria carotida primitiva direita, pelo Sr. Dr. João José Montes de Oca, medico do Hospital Geral dos Homens de Buenos-Ayres, e lente de anatomia e de physiologia.</t>
  </si>
  <si>
    <t>João José Montes de Oca</t>
  </si>
  <si>
    <t>Necrologia do Doutor Manoel Bernardes Pereira da Veiga.</t>
  </si>
  <si>
    <t>Obra de Medicina Publicada em França no Anno de 1835.</t>
  </si>
  <si>
    <t>Physiologia. Observações sobre a theoria da respiração lidas na sessão de 21 de maio de 1835, da Sociedade Real de Londres; pelo Sr. M. W. Steven.</t>
  </si>
  <si>
    <t>Therapeutica. Tratamento da Amaurosis pela Strychnina.</t>
  </si>
  <si>
    <t>M.</t>
  </si>
  <si>
    <t>Necroscopia de Manoel Antunez, operado pelo Dr. João José Montes de Oca, de hum aneurisma da carótida primitiva direita, etc., etc. (Continuado do numero antecedente.)</t>
  </si>
  <si>
    <t>Estatutos a que se refere o decreto esta data, que eleva a Sociedade de Medicina do Rio de Janeiro à categoria de Academia.</t>
  </si>
  <si>
    <t>Cirurgia. Da Extirpação do Cancro do Rectum.</t>
  </si>
  <si>
    <t>Estatutos a que se refere o Decreto esta data, que eleva a Sociedade de Medicina do Rio de Janeiro à categoria de Academia. (Continuado do numero antecedente.)</t>
  </si>
  <si>
    <t>Physiologia. Indagação sobre as mudanças induzidas no ar atmosphérico pela germinação das sementes, vegetação das plantas, e respiração de animais; por Daniel Ellis da Universidade d’Edimburgo.</t>
  </si>
  <si>
    <t>Daniel Ellis</t>
  </si>
  <si>
    <t>Ernesto da Riva</t>
  </si>
  <si>
    <t>Noticia necrologica do Doutor Manoel Ferreira da Camara Bittancourt e Sá</t>
  </si>
  <si>
    <t>Physiologia. Indagação sobre as mudanças induzidas no ar athmospherico pela germinação das sementes, vegetação das plantas, e respiração de animaes; por Daniel Ellis da Universidade d’Edimburgo.</t>
  </si>
  <si>
    <t>Obras de medicina publicadas no Rio de Janeiro em dezembro de 1835.</t>
  </si>
  <si>
    <t>Plano de hum jornal de medicina apresentado à Sociedade de Medicina do Rio de Janeiro, pelo Sr. Dr. Sigaud, e por esta adoptado na sua sessão de 21 de outubro de 1850.</t>
  </si>
  <si>
    <t>Boletim da Sociedade</t>
  </si>
  <si>
    <t>Sessões da reunião preparatoria. I. Sessão de 28 de Maio de 1829.</t>
  </si>
  <si>
    <t>Sessões da reunião preparatoria.</t>
  </si>
  <si>
    <t>Febre Intermittente Perniciosa Cerebral.</t>
  </si>
  <si>
    <t>Local</t>
  </si>
  <si>
    <t>Instrucção da Academia Real de Medicina de Paris sobre a Vaccina.</t>
  </si>
  <si>
    <t>Memoria do Dr. Compagny sobre a historia de huma enfermidade inflammatoria observada em Momtenais, departmento do Doubs</t>
  </si>
  <si>
    <t>Extractos das atas.</t>
  </si>
  <si>
    <t>Boletim Universal (Sciencias Medicas)</t>
  </si>
  <si>
    <t>Hydrophsia do Cerebro.</t>
  </si>
  <si>
    <t>Imperforação do utero.</t>
  </si>
  <si>
    <t>Novo Processo para conservar a Vaccina.</t>
  </si>
  <si>
    <t>Aneurismas da Aorta.</t>
  </si>
  <si>
    <t>Observação de huma phlegmasia do femur, etc.</t>
  </si>
  <si>
    <t>Caso de huma criança bicephala.</t>
  </si>
  <si>
    <t>Sciencias Naturaes. Zoologia.</t>
  </si>
  <si>
    <t>Petição.</t>
  </si>
  <si>
    <t>Ensaio sobre o uso do Oléo de Joannesia.</t>
  </si>
  <si>
    <t>Estatutos da Sociedade de Medicina do Rio de Janeiro</t>
  </si>
  <si>
    <t>Medicina. Efficacia dos Chloruretos contra a peste: noticia de Mr. D'Arcet filho, membro da Commissão Medica franceza, mandada ao Egypto (Giorn. d'Omodei)</t>
  </si>
  <si>
    <t>Acção da Quinina sobre as os orgãos do ouvido, e sobre alguns ramos nervosos.</t>
  </si>
  <si>
    <t>Uso de Chlorureto de ouro contra as ophtalmias chronicas.</t>
  </si>
  <si>
    <t>Observações do Dr. G. Grabner Maraschin sobre a combustão espontanea, e a do raio, consideradas medico-legalmente (Esculapio Napol.).</t>
  </si>
  <si>
    <t>Cura do aneurisma da artéria poplítea por meio de argilla applicada ao exterior.</t>
  </si>
  <si>
    <t>Capacidade dos pulmões no estado de saude e de enfermidade</t>
  </si>
  <si>
    <t>Sessões da Sociedade anteriores à installação.</t>
  </si>
  <si>
    <t>Medicina. Uso do milho como alimento.</t>
  </si>
  <si>
    <t>Da febre amarella.</t>
  </si>
  <si>
    <t>Nova obra do Professor Orfila.</t>
  </si>
  <si>
    <t xml:space="preserve">Medicina. </t>
  </si>
  <si>
    <t>Caso de concreções polyposas nas cavidades do coração, e nos grandes vasos em huma affecção apparentemente anginosa, e gastro meningítica, pelo Sr. Jacinto Rodrigues Pereira Reis, Membro Titular da Sociedade.</t>
  </si>
  <si>
    <t>Jacinto Rodrigues Pereira Reis</t>
  </si>
  <si>
    <t>Memoria sobre o tic doloroso; lida no Collegio dos medicos de Londres.</t>
  </si>
  <si>
    <t>Medicina. Kistos purulentos nas cavidades do coração. Observação communicada pelo Sr. Jeronimo Alves de Moura, Membro Honorario.</t>
  </si>
  <si>
    <t>Jeronimo Alves de Moura</t>
  </si>
  <si>
    <t>Dilatação de alguns ramos bronchiais acompanhada de symptomas que simulavão a existencia de turberculos pulmonares. Observação lida na Sociedade de Medicina na Sessão de 29 de Janeiro de 1851 pelo Sr. Dr. Joaquim Vicente Torres Homem, Membro Titular.</t>
  </si>
  <si>
    <t>Joaquim Vicente Torres Homem</t>
  </si>
  <si>
    <t>Observação de hum envenenamento pelo oleo empyreumatico por Mr. Duret.</t>
  </si>
  <si>
    <t>Medicina. Parecer da Sociedade de Medicina do Rio de Janeiro sobre a enfermidade que grassou na Villa de Magé e seu Termo em 1829, e 1850.</t>
  </si>
  <si>
    <t>Reflexões do Dr. Fidelis Martins Bastos, acerca do Hospital Militar da Corte.</t>
  </si>
  <si>
    <t>Cirurgia. Numero, classificação e observações dos militares feridos, que por occasião da revolta das tropas estrangeiras nos dias 9, 10, e 11, de Junho de 1828, entrárão para serem tratados no Hospital Militar da Corte; por Joaquim José dos Santos, segundo cirurgião do mesmo Hospital.</t>
  </si>
  <si>
    <t>Joaquim José dos Santos</t>
  </si>
  <si>
    <t>Nota sobre o emprego do  chloro contra a tisica pulmonar.</t>
  </si>
  <si>
    <t>Observação de huma hernia da bexiga.</t>
  </si>
  <si>
    <t>Considerações sobre Gymnastica.</t>
  </si>
  <si>
    <t>Questões medico-legaes relativas ao infaticidio.</t>
  </si>
  <si>
    <t>Commercio de Sanguexugas.</t>
  </si>
  <si>
    <t>Medicina. Historia de huma Hepatite passada a abscesso pelo Doutor L. V. De-Simoni.</t>
  </si>
  <si>
    <t>Reflexões sobre as combustões espontaneas.</t>
  </si>
  <si>
    <t>Observação de huma alopécia.</t>
  </si>
  <si>
    <t>Do estado da medicina nos Estados-Unidos da America do Norte (Continuado do n.º 5.)</t>
  </si>
  <si>
    <t>Cirurgia. Obliteração congenita e quasi inteira da vagina, e concepção effectuada apesar d’ella. Observação communicada pelo Sr. João Alvares Carneiro, Membro Titular.</t>
  </si>
  <si>
    <t>João Alvares Carneiro</t>
  </si>
  <si>
    <t>Medicina. Reflexões sobre a inhumação dos corpos, pelo Sr. Dr. Jobim, Membro Titular.</t>
  </si>
  <si>
    <t>Cirurgia. Cura de hum anus artificial, consecutivo de huma hernia inguinal incompleta, não obstante o intestino recto ter perdido inteiramente o seu uso por 56 dias. Observação do Sr. Jeronimo Alves de Moura, Membro Honorario, Cirurgião Mór do Hospital da Misericordia.</t>
  </si>
  <si>
    <t>Medicina. Reflexões sobre os grandes estabelecimentos, e principalmente sobre os grandes Hospitaes: Pelo Dr. Luiz Vicente De-Simoni, Membro Titular.</t>
  </si>
  <si>
    <t>Cirurgia. Caso de huma prenhez em que as partes osseas do feto forão extrahidas pelo intestino recto. Observação communicada pelo Sr. João Alves Carneiro, Membro Titular.</t>
  </si>
  <si>
    <t>Extracto do Relatorio de Mr. Larrey sobre os feridos dos dias 27, 28, e 29 de Julho de 1830 em Paris.</t>
  </si>
  <si>
    <t>Medicina. Sobre a segunda dentição.</t>
  </si>
  <si>
    <t>Medicina Legal. Sobre as pancadas, e contusões feitas depois da morte: Observações do Prof. M. R. Christison (Annales de Clinique.)</t>
  </si>
  <si>
    <t>Cirurgia. Imperforação completa da vagina causando demora da menstruação na cavidade do utero, com grande dilatação deste, e obstrucção das mais visceras abdominaes. Observação communicada pelo Sr. João Alvares Carneiro, Membro Titular.</t>
  </si>
  <si>
    <t>Medicina. Inflammações intermittentes. Observações do Sr. Dr. Joaquim Vicente Torres Homem, Membro Titular.</t>
  </si>
  <si>
    <t>Do gráo de certeza da medicina pelo Doutor Deconihout.</t>
  </si>
  <si>
    <t>Concepção extraordinaria.</t>
  </si>
  <si>
    <t>João Antonio de Medeiros</t>
  </si>
  <si>
    <t>Extracto das actas.</t>
  </si>
  <si>
    <t>Medicina. Da Colera.</t>
  </si>
  <si>
    <t>Envenenamento pelo tartaro emetico; observação pelo Doutor Fauveton.</t>
  </si>
  <si>
    <t>Caso de morte subida, no qual se encontrou huma hydaite na substancia do coração.</t>
  </si>
  <si>
    <t>Antonio Freire Allemão</t>
  </si>
  <si>
    <t>Cirurgica. Trepanação practicada com feliz resultado. Observação do Sr. Antonio Freire Allemão 1.º Cirurgião Interno do Hospital da Mizericordia.</t>
  </si>
  <si>
    <t>Da extirpação do utero.</t>
  </si>
  <si>
    <t>Medicina. Eruptão roseolar causada por vermes intestinaes com perfuração dos intestinos. Extracto de huma observação do Sr. Dr. José Martins da Cruz Jobim, Membro Titular, lida na Sociedade de Medicina na Sessão de 5 de Dezembro de 1850.</t>
  </si>
  <si>
    <t>José Martins da Cruz Jobim</t>
  </si>
  <si>
    <t>Correspondencia da Sociedade.</t>
  </si>
  <si>
    <t>Medicina. Infecções paludosas produzindo differentes affecções irritativas com typo continuo, curadas com o sulfato de quinina administrado pelo methodo interaleptico, combinado com uso interno de simplices bebidas emollientes. Observações do Dr. L. V. De-Simoni, Membro Titular.</t>
  </si>
  <si>
    <t>Caracteres distinctivos da nevrite, e da neuralgia pelo Dr. F. Melier (Jornal analytique de médecine.)</t>
  </si>
  <si>
    <t>Receita contra Blennorrhagia.</t>
  </si>
  <si>
    <t>Sedum Acre contra a epilepsia. Observação do Dr. Godier. (Révue Médicale).</t>
  </si>
  <si>
    <t>Annuncio.</t>
  </si>
  <si>
    <t>Pathologia. Vegetações da membrana interna das arterias que nascem da curvatura da aorta; por John Yelloly, D. M.</t>
  </si>
  <si>
    <t>John Yelloly</t>
  </si>
  <si>
    <t>Cirurgia. Pedido feito aos medicos operadores, relativamente á hydropesia enkiſtada dos ovarios; pelo Dr. Conselheiro Neumann em Berlin.</t>
  </si>
  <si>
    <t>Sobre o perigo de certas exhalações.</t>
  </si>
  <si>
    <t>Da extracção dos corpos extranhos introduzidos no canal alumentar ou no estomago.</t>
  </si>
  <si>
    <t>Caso d'amputação do humerus.</t>
  </si>
  <si>
    <t>Agostinho Thomaz de Aquino</t>
  </si>
  <si>
    <t>Pathologia. Tetano traumatico, com feridas combustas, complicado com tumor rachitico: Observação do Sr. Agostinho Thomaz de Aquino, extrahida da sua Memoria sobre o Tetano Traumatico, apresentada á Sociedade de Medicina do Rio de Janeiro, para ser admitido Membro Titular.</t>
  </si>
  <si>
    <t>Caso de imperforação do estomago na região pilorica em hum recemnascido. Observação de John Ckrooes, Cirurgião em Kilmarnok.</t>
  </si>
  <si>
    <t>John Ckrooes</t>
  </si>
  <si>
    <t>Doutrinas Medicas d’America (Capitulo extrahido da edição de 1829 do Exame das Doutrinas Medicas &amp;c. — por M. Broussais; e traduzido em vulgar por F. C. Valdetaro).</t>
  </si>
  <si>
    <t>M. Broussais</t>
  </si>
  <si>
    <t>Ilustres Membros da Commissão de Doenças Reinantes.</t>
  </si>
  <si>
    <t>Elogio historico de Mello Franco, lido na Sessão publica de 21 de Abril de 1851, pelo Sr. Dr. José Martins da Cruz Jobim, Membro Titular.</t>
  </si>
  <si>
    <t>Faculdade de profetizar attribuida a alguns doentes.</t>
  </si>
  <si>
    <t>Cirurgia. Perforação do cranio com instrumento agudo que penetrou até quasi a parede externa do ventriculo cerebral esquerdo. Observação lida na Sociedade de Medicina na Sessão de 30 de Dezembro de 1850 pelo Sr. Dr. Jobim, Membro Titular.</t>
  </si>
  <si>
    <t>Medicina. Extracto de huma obra do Dr. Rengger, publicada na Inglaterra, sobre os effeitos, e tratamento da mordidella das cobras venenosas do Paraguay.</t>
  </si>
  <si>
    <t>Transfusão felizmente praticada em hum caso de Metrorrhagia.</t>
  </si>
  <si>
    <t>Pharmacia. Modo de conservar os extractos narcoticos (Brandes, Arch. des Apothicaires. T. XXV.)</t>
  </si>
  <si>
    <t>Anedocta.</t>
  </si>
  <si>
    <t>Discurso dirigido á Sociedade de Medicina do Rio de Janeiro, na Sessão de 4 de Agosto, pelo Doutor José Francisco Sigaud.</t>
  </si>
  <si>
    <t>Pathologia Geral. Observações sobre a questão: se o aspecto do sangue tirado de huma veia, como meio curativo, pode fornecer dados exactos sobre a utilidade de reiterar a sangria (Archives de Médecine).</t>
  </si>
  <si>
    <t>Antiguidades Medicas</t>
  </si>
  <si>
    <t>Efficacia mui grande da Sabina contra as Metrorrhagias passivas. (Revue Médicale Octobre 1830.)</t>
  </si>
  <si>
    <t>Cirurgia. Calculos na Uretra. Observações de Mr. Civiale.</t>
  </si>
  <si>
    <t>Medicina. Parallelo entre as duas especies de Elephantiasis, e entre estas, e a Lepra pelo Dr. J. C. S. de Meirelles.</t>
  </si>
  <si>
    <t>Alteração particular do fígado. Observação lida na Sociedade de Medicina pelo Sr. Dr. Jobim, Membro Titular, na Sessão 21 d’Agosto de 1830.</t>
  </si>
  <si>
    <t xml:space="preserve">Variedades. Vicio de conformação. </t>
  </si>
  <si>
    <t>Chimica. Drusio, ou resina de Carvalho.</t>
  </si>
  <si>
    <t>Medicina. Effeito salutar e extraordinario de huma queda. Observação do Dr. L. V. De-Simoni, Membro Titular.</t>
  </si>
  <si>
    <t>Observação lida na Sociedade de Medicina, em 21 de Agosto de 1830, pelo Sr. Dr. Jobim, sobre a enfermidade de hum moleque hydropico, em consequencia de huma erupção recolhida.</t>
  </si>
  <si>
    <t>Variedades. Proposta dirigida á Sociedade de Medicina do Rio de Janeiro, pelo Dr. J. F. Sigaud, e adoptada pela mesma Sociedade.</t>
  </si>
  <si>
    <t>Medicina. Parecer da Commissão de Salubridade geral, sobre a carta do Sr. Manoel de Valladão Pimentel, relativa ás febres da Villa de Macacú, remettido ao Governo em 15 do corrente.</t>
  </si>
  <si>
    <t>Claudio Luiz da Costa; Antonio Martins Pinheiro; José Martins da Cruz Jobim; Agostinho Tomaz de Aquino.</t>
  </si>
  <si>
    <t>Exame das amostras das drogas medicinães enviadas de Porto Alegre, pelo Sr. Lourenço Junior de Castro, como suspeitas, por serem vendidas por hum Indio, e parecer do Sr. Jobim, a respeito das mesmas, como Membro da Commissão do exame das substancias Medicinães, lido na Sociedade de Medicina na Sessão de 16 de Outubro. Relação, e exame das Drogas.</t>
  </si>
  <si>
    <t>Botanica. Martimnea Manettia. Planta dedicada ao Sr. Martin Francisco Ribeiro de Andrada, Membro Honorario, pelo Sr. Antonio Luiz Patricio da Silva Manso, Socio Correspondente.</t>
  </si>
  <si>
    <t>Luiz Patricio da Silva Manso</t>
  </si>
  <si>
    <t>Medicina. Memoria sobre o tratamento das febres graves conhecidas debaixo das differentes denominações de gustro-enterite, dothinenterite, e caracterisadas anatomicamente pela ingurgitação, e alteração consecutiva dos folliculos intestinaes, por Mr. Dance, aggregado á faculdade de Medicina. (Revue Medicale Octobre 1850).</t>
  </si>
  <si>
    <t>Cirurgia. Imperforação congenita do intestino recto. Observação de Mr. Fourcade, communicada á Sociedade Anatomica de Paris.</t>
  </si>
  <si>
    <t>Pathologia Nova theoria sobre a nutrição, ou sobre o soro por Mr. Scelle-Mondezert (Du trouble de la nutrition, consequences medico-phytiologiques: Journal hebdomadaire).</t>
  </si>
  <si>
    <t>Medicina. Gastro-enteralgia intermittente. Observação de Mr. Alexandre Laborderie.</t>
  </si>
  <si>
    <t>Emprego da Bella-donna contra huma racha do anus, com contracção espasmodica. Observação de Mr. Laborderie (Revue Medicale, Octobre 1830).</t>
  </si>
  <si>
    <t>Physiologia. Memoria sobre hum ponto de Anatomia, e Physiologia do systema venoso. — Mechanismo da entrada accidenta do ar nas veas. Effeito da elasticidade do Pulmão; por Mr. Bérard. (Archives générales de Médecine, Juin 1830).</t>
  </si>
  <si>
    <t>Cirurgia. Caso de imperforação do anus. Observação do Sr. Antonio Martins Pinheiro, Membro Titular, lida na Sociedade de Medicina do Rio de Janeiro em 4 de Agosto de 1851.</t>
  </si>
  <si>
    <t>Antonio Martins Pinheiro</t>
  </si>
  <si>
    <t>Variedades.</t>
  </si>
  <si>
    <t>Obras publicadas em França no mez de Abril de 1831.</t>
  </si>
  <si>
    <t xml:space="preserve">Medicina. Informações sobre o Cholera morbus. </t>
  </si>
  <si>
    <t>Emprego da Salicina.</t>
  </si>
  <si>
    <t>Emprego do Iodureto de chumbo.</t>
  </si>
  <si>
    <t>Propriedades do Centeio respigado.</t>
  </si>
  <si>
    <t>Cirurgia. Alfinete mui cumprido na uretra.</t>
  </si>
  <si>
    <t>Anatamia Pathologica. Anchylose do joelho, e fígado sem vesícula. Peças anatômicas apresentadas por M. Amussat á Academia Real de Medicina de Paris em 22 Março 1851.</t>
  </si>
  <si>
    <t>Bibliographia. Obras publicadas em França no mez de Abril de 1831.</t>
  </si>
  <si>
    <t>Parecer da Comissão de Vaccina.</t>
  </si>
  <si>
    <t>Angelo Custodio Ferreira; Victor da Costa Vellozo; Severino Coelho Rodrigues; Vicente de Souza Mendes; Thomé Joaquim Gomes Teixeira; José Mendes Vieira</t>
  </si>
  <si>
    <t>Antonio Americo d’Urzedo; Fidelis Martins Bastos; Antonio Martins Pinheiro.</t>
  </si>
  <si>
    <t>Medicina. Emprego dos pediluvios nitro-muriaticos nas molestias do fígado.</t>
  </si>
  <si>
    <t>Emprego do Carvão vegetal, no caso de envenenamento pelo sublimado corrosivo.</t>
  </si>
  <si>
    <t>Pathologia Medica. Insania loquaz, occasionada por huma pneumonia chronica, com turberculos pulmonares? Observação do Sr. Dr. Jobim, Membro Titular, lida na Sociedade de Medicina na Sessão de 30 de Dezembro 1830.</t>
  </si>
  <si>
    <t>Chimica. Emprego chimico do Acido perchlorico, ou novo reactivo para distinguir, e separar nas soluçoes a existencia da potassa, e da soda.</t>
  </si>
  <si>
    <t>Medicina. Noticia sobre o Cholera-Morbus</t>
  </si>
  <si>
    <t>Parecer da Commissão de Salubridade publica, relativo á Consulta da Camara Municipal, sobre lugares proprios para cemiterios de irracionaes.</t>
  </si>
  <si>
    <t>Claudio Luiz da Costa; José Marianno da Silva; Christovão José dos Santos; José Martins da Cruz Jobim</t>
  </si>
  <si>
    <t>Hygiene Publica. Medidas Sanitarias contra o Cholera-Morbus</t>
  </si>
  <si>
    <t>Quadro das quarentenas, e Medidas Sanitarias às quaes devem ser submettidos os Navios.</t>
  </si>
  <si>
    <t>Inoculação do Cholera-Morbus</t>
  </si>
  <si>
    <t>Vestimenta preservativas do fogo.</t>
  </si>
  <si>
    <t>Artigo sobre o Cholera-Morbus publicado pelo Dr. Antommarchi, Medico de Napoleão em Santa Helena, e Inspector geral actual dos Hospitaes Militares na Polonia. (Le Constitutionel 12 Juillet 1851).</t>
  </si>
  <si>
    <t>Reflexões.</t>
  </si>
  <si>
    <t>Mortandade do Cholera Morbus. Extracto da Gazeta de S. Petersburg n.º 107 de 21 de Maio de 1831, publicado no Diario do nosso Governo de 15 de Setembro d’este anno.</t>
  </si>
  <si>
    <t>Variedades. Prêmios concedidos pela Academia Real das Sciencias de Paris, e proclamados na Sessão publica de 26 de Junho de 1851.</t>
  </si>
  <si>
    <t>Medicina. Epidemia em Geneve.</t>
  </si>
  <si>
    <t>Novo methodo de praticar a operação da talha suprapubiana, por Mr. Tanchou, D. M. (Archives Générales de Médecine, Avril 1851).</t>
  </si>
  <si>
    <t>Archives Générales de Médecine, Avril 1851</t>
  </si>
  <si>
    <t>Sessão da Academia das Sciencias, em 2 de Maio de 1831</t>
  </si>
  <si>
    <t>Medicina. Observações sobre a Tísica pulmonar e a Enfermidade vulgarmente chamada Opilação, lidas pelo Sr. Dr. Jobim, Membro Titular, na Sessão do 1.º de Outubro deste anno na Sociedade de Medicina.</t>
  </si>
  <si>
    <t xml:space="preserve">Chimica. </t>
  </si>
  <si>
    <t>Historia Natural.</t>
  </si>
  <si>
    <t>Medicina. Reflexões sobre o Cholera-Morbus.</t>
  </si>
  <si>
    <t>Carta de M. Scipião Pinel á Junta Medica de Varsovia. Varsovia 3 de Julho de 1831.</t>
  </si>
  <si>
    <t>Physiologia Vegetal. Circulação nas plantas lactescentes.</t>
  </si>
  <si>
    <t>Pathologia. Estrangulação dos intestinos em consequência de hum parto. (The Dublin Hospital Reports 1830, Tom. V, p. 320).</t>
  </si>
  <si>
    <t>Medicina. Historia interessante, que faz Percy, de hum comilão extraordinario, cuja fome nada era capaz de fartar; seus gostos exquisitos, suas forças digestivas, e seo fim desgraçado.</t>
  </si>
  <si>
    <t>Academia Real de Medicina de Paris. Sessão de 3 de Janeiro de 1851.</t>
  </si>
  <si>
    <t>Notícia sobre o célebre químico L. N. Vauquelin, extraída do elogio histórico que lhe fez Mr. Cuvier, perante o Instituto de França, do qual era membro aquele sábio, que tanta honra e benefício fez à sua pátria.</t>
  </si>
  <si>
    <t>Hemicrania devida à presença de huma scolopendra em hum dos seios frontaes.</t>
  </si>
  <si>
    <t>Carta de Sua Excellencia Reverendissima o Snr. Bispo Capellão Mór, em resposta á nomeação de Membro Honorario, em 30 de Abril de 1831.</t>
  </si>
  <si>
    <t>Reflexões à Carta pelo Redactor.</t>
  </si>
  <si>
    <t>Obliteração dos bronchios.</t>
  </si>
  <si>
    <t>Parecer da Commissão permanente de Vaccina da Sociedade de Medicina do Rio de Janeiro.</t>
  </si>
  <si>
    <t>Physiologia. Monstruosidades.</t>
  </si>
  <si>
    <t>Luiz Francisco Ferreira; Fidélis Martins Bastos; Honorio José da Cunha Grugel do Amaral.</t>
  </si>
  <si>
    <t>Cura de hum aneurisma da poplitea, por meio da ligadura da crural, segundo o methodo de Scarpa, pelo Dr. J. C. Soares de Meirelles.</t>
  </si>
  <si>
    <t>Discurso do Dr. J. M. da Cruz Jobim tomando o lugar de Presidente da Sociedade.</t>
  </si>
  <si>
    <t>Sobre o tratamento da coquelucha por Mr. Blaud, primeiro Medico dos hospitaes de Beaucaire.</t>
  </si>
  <si>
    <t>Observação de huma especie de lipoma fibro-lardaceo, que pezuava 17 libras, curada pela amputação no hospital da Misericordia.</t>
  </si>
  <si>
    <t>Observação de huma febre adynamica, lida na Sociedade de Medicina pelo Sr. Dr. Torres Homem a 22 de Outubro de 1822.</t>
  </si>
  <si>
    <t>Causas da morte nas inflammações membranosas.</t>
  </si>
  <si>
    <t>Noticia sobre o caracter da Epidemia de Cholera-Morbus, que grassou na Ilha de Bourbon em 1821 e 1822, lida na Sociedade de Medicina do Rio de Janeiro em 12 de Setembro de 1831, pelo Dr. L. V. De-Simoni.</t>
  </si>
  <si>
    <t>Carta do Sr. José Victorino Ventura Pinheiro, remettendo amostras de quatro qualidades de oleos extrahidos por elle do Croton tiglium, Joannesia Princeps, Noz da Índia, e Herva Coral.</t>
  </si>
  <si>
    <t>José Victorino Ventura Pinheiro</t>
  </si>
  <si>
    <t>Observações sobre as sciencias naturaes.</t>
  </si>
  <si>
    <t>Sciencias auxiliares e medicas.</t>
  </si>
  <si>
    <t xml:space="preserve">Methodo de conservar a manteiga fresca, usado na Escossia. </t>
  </si>
  <si>
    <t>Sterilidade devida d'hum prolongamento anormal do colo do utero, e curada pela operação.</t>
  </si>
  <si>
    <t>Aphorismos de Medicina pratica.</t>
  </si>
  <si>
    <t>Medicina Politica.</t>
  </si>
  <si>
    <t>Modo de applicar a resina de Cajú.</t>
  </si>
  <si>
    <t>Extracto do parecer da Commissão de molestias reinantes d’Academia Real de Medicina de Paris, sobre o cholera-morbus, em satisfação ao que della exigio o Governo.</t>
  </si>
  <si>
    <t>Continuação do numbero antecedente sobre o Cholera-Morbus</t>
  </si>
  <si>
    <t>Invenenamento pelo sublimado corrosivo.</t>
  </si>
  <si>
    <t>Observação de huma Cólica provavelmente produzida pela ingestão de Caranguejos; lida pelo Dr. L. V. De-Simoni na Sociedade de Medicina em 10 de Dezembro de 1851.</t>
  </si>
  <si>
    <t>Carta do Secretario da Academia Real de Medicina, e Cirurgia de Cadis.</t>
  </si>
  <si>
    <t>Programma publicado pela Real Academia de Medicina, e Cirurgia de Cadis para o anno de 1832.</t>
  </si>
  <si>
    <t>Exame do exame das doutrinas medicas de Broussais.</t>
  </si>
  <si>
    <t xml:space="preserve">Exprobações d'hum empirico d'hum medico instruido. </t>
  </si>
  <si>
    <t>Continuação do Relatorio da Commissão de Salubridade Geral da Sociedade de Medicina do Rio de Janeiro, sobre as causas de infecção da atmosphera d’esta Cidade, lido e approvado na Sessão de 17 de Dezembro de 1831.</t>
  </si>
  <si>
    <t>Fim do Relatorio da Commissão de Salubridade Geral da Sociedade de Medicina do Rio de Janeiro, sobre as causas da infecção da atmosphera d’esta Cidade, lido e approvado na Sessão de 17 de Dezembro de 1831.</t>
  </si>
  <si>
    <t>Claudio Luiz da Costa; José Martins da Cruz Jobim; Agostinho Thomaz d’Aquino</t>
  </si>
  <si>
    <t>Continuação de hum dos numeros antecedentes sobre o exame das doutrinas medicas de Broussais.</t>
  </si>
  <si>
    <t>Fim do Discurso lido na Sessão de 25 de Fevereiro de 1852, pelo Dr. José Francisco Sigaud, Presidente annual da Sociedade de Medicina do Rio de Janeiro.</t>
  </si>
  <si>
    <t>61 (91)</t>
  </si>
  <si>
    <t>62 (92)</t>
  </si>
  <si>
    <t>66 (96)</t>
  </si>
  <si>
    <t>65 (95)</t>
  </si>
  <si>
    <t>64 (94)</t>
  </si>
  <si>
    <t>63 (93)</t>
  </si>
  <si>
    <t>Considerações sobre as febres intermittentes pelo Professor Tomassini.</t>
  </si>
  <si>
    <t>67 (97)</t>
  </si>
  <si>
    <t xml:space="preserve">Physica Medica. Novo meio para apreciar o calor. </t>
  </si>
  <si>
    <t xml:space="preserve">Toxicologia. Envenenamento pelo cheiro do acido hydrdrocyanico, ou prussico. </t>
  </si>
  <si>
    <t>Pathologia. Amollecimento dos lobos anteriores do cerebro.</t>
  </si>
  <si>
    <t>68 (98)</t>
  </si>
  <si>
    <t>Novo methodo para destruir a pedra na bexiga sem a operação sangrionolenta; precedido por hum exame historico, e pratico, de todos os methodos de praticar a lithotritia, empregados até hoje; por Mr. Tanchou, Doutor em Medicina da faculdade de Paris, Membro da Legião de honra &amp;c. Paris, Brochard 1830 in 8.º de XVI, 387 pag. com estampas.</t>
  </si>
  <si>
    <t>69 (99)</t>
  </si>
  <si>
    <t xml:space="preserve">Medicina Pratica. Emprego da Strychina na amaurose. </t>
  </si>
  <si>
    <t>Cirurgia Pratica. Novo instrumento para fazer a poução no casos de Hydrothorax.</t>
  </si>
  <si>
    <t xml:space="preserve">Semeiotica. Signal racional indicante a prenhez antes do 4.º mez. </t>
  </si>
  <si>
    <t>70 (100)</t>
  </si>
  <si>
    <t>Nota sobre hum novo methodo de applicar ás sanguixugas, inventado pelo Prof. B. Mojon, Socio Correspondente em Genova; lida na Sociedade de Medicina em 16 de Abril.</t>
  </si>
  <si>
    <t>Observação sobre hum calculo uretral, pelo Sr. B. Mojon Socio Correspondente em Genova, lida na Sociedade de Medicina, em 16 de Abril.</t>
  </si>
  <si>
    <t>Uso dos corações ingeridos vivos no tratamento das affecções do pulmão, e laryinge.</t>
  </si>
  <si>
    <t>Chrirurgia Pratica. Emprego da Acupunctura das arterias, no tratamento dos Aneurismas.</t>
  </si>
  <si>
    <t>71 (101)</t>
  </si>
  <si>
    <t>Hygiene Publica. Reflexões sobre o estado actual da Hygiene publica no Rio de Janeiro.</t>
  </si>
  <si>
    <t>72 (102)</t>
  </si>
  <si>
    <t>Relatorio da Commissão de Consultas Gratuitas, dando conta dos seus trabalhos no anno Accademico de 1851, para 1852.</t>
  </si>
  <si>
    <t>Luiz Francisco Ferreira; João Alvares Carneiro; Manoel Feliciano Pereira de Carvalho; Octaviano Maria da Roza; Honorio José da Cunha Grugel do Amaral.</t>
  </si>
  <si>
    <t>73 (103)</t>
  </si>
  <si>
    <t>Reflexões sobre as cauzas que nos parecem terem dado nascimento, das febres chamadas de Macacú, desde Janeiro de 1829, té Maio de 1831.</t>
  </si>
  <si>
    <t>74 (104)</t>
  </si>
  <si>
    <t xml:space="preserve">Chirurgia Pratica. Amnesia ou perda da linguagem curada com emissões sanguineas. </t>
  </si>
  <si>
    <t>José Bonifacio de Andrada</t>
  </si>
  <si>
    <t>75 (105)</t>
  </si>
  <si>
    <t>Zoologia. Anthropologia.</t>
  </si>
  <si>
    <t>James Laidlaw</t>
  </si>
  <si>
    <t>76 (106)</t>
  </si>
  <si>
    <t>Hygiene Publica. Providencias tomadas pelo Governo Francez, para o caso em que o Cholera-Morbus se introduzisse na França, e em Paris, como depois infelizmente succedeo.</t>
  </si>
  <si>
    <t>Octaviano Maria da Roza</t>
  </si>
  <si>
    <t>77 (107)</t>
  </si>
  <si>
    <t>78 (108)</t>
  </si>
  <si>
    <t>79 (109)</t>
  </si>
  <si>
    <t>Medicina Pratica. Observações sobre o Cholera, e o uso do Oleo de Cajeput, pelo Dr. Tierney.</t>
  </si>
  <si>
    <t>80 (110)</t>
  </si>
  <si>
    <t>Medicina Pratica. Extracto de hum artigo do Boletim da Sociedade Medica da Emulação de Paris sobre o Cholera-Morbus e o uso do Oléo de Cajeput.</t>
  </si>
  <si>
    <t>81 (111)</t>
  </si>
  <si>
    <t>Medicina. Extracto de huma Carta do Sr. Claudio Luiz da Costa, Membro Titular, que actualmente se acha na Villa de Santos.</t>
  </si>
  <si>
    <t>Claudio Luiz da Costa</t>
  </si>
  <si>
    <t>Tratamento do Cholera Morbus com o Nitrato de Bismuto pelo Dr. Léo, de Varsovia.</t>
  </si>
  <si>
    <t>Outro tractamento do Cholera-Morbus, por hum pratico, publicado pelo D. Peschier de Genève.</t>
  </si>
  <si>
    <t>82 (112)</t>
  </si>
  <si>
    <t>Medicina. Efficacia do Nitrato de Bismuto no tratamento do Cholera-Morbus; Por Mr. de Loé, Medico do Rei de Baviera, e 1.º Medico do Hospital Geral de Munich.</t>
  </si>
  <si>
    <t>Efficacia do centeio respigado contra as Leucorrheas, e as Hemorrhagias.</t>
  </si>
  <si>
    <t>Declaração.</t>
  </si>
  <si>
    <t>83 (113)</t>
  </si>
  <si>
    <t>Medicina Pratica. Tratamento do Choléra Morbus, que foi mui geralmente bem succedido, e he adoptado actualmente pela maioria dos Medicos de Paris. (Journal de Commiss. sanitaires).</t>
  </si>
  <si>
    <t>Fourcade Prunet</t>
  </si>
  <si>
    <t xml:space="preserve">Therapeutica. Effeitos do Muriato de Morphina. </t>
  </si>
  <si>
    <t>Elaterina, e seus effeitos.</t>
  </si>
  <si>
    <t xml:space="preserve">Efficaeia do Opio no Rheumatismos. </t>
  </si>
  <si>
    <t>84 (114)</t>
  </si>
  <si>
    <t>Chirurgia Pratica. Tic doloroso, curado pela secção do nervo suborbital; por M. Bonnet.</t>
  </si>
  <si>
    <t>85 (115)</t>
  </si>
  <si>
    <t>Medicina Pratica. Scirro do fígado e cancro do estomago: observação lida pelo Dr. Jobim, Membro Titular, na Sociedade de Medicina, na Sessão de 18 do corrente.</t>
  </si>
  <si>
    <t>86 (116)</t>
  </si>
  <si>
    <t>Pathologia. Reflexões sobre o Parecer do Sr. Dr. Antonio Ferreira França, publicado no N.° antecedente; e sobre a natureza do Cholera-Morbus em geral.</t>
  </si>
  <si>
    <t>87 (117)</t>
  </si>
  <si>
    <t>Discurso do Sr. Presidente Freira na Sessão de 18 de Agosto de 1832.</t>
  </si>
  <si>
    <t>Pathologia. Continuado do numero antecedente.</t>
  </si>
  <si>
    <t>88 (118)</t>
  </si>
  <si>
    <t>Relatorio do Sr. Carvalho sobre as obras remettidas por Mr. Peschier, de Genebra; lido na Sessão de 23 de Julho de 1832.</t>
  </si>
  <si>
    <t>Amputação scapulo-humeral, praticada pelo Dr. Soares de Meirelles. Observação lida na Sociedade de Medicina no 1.º de Setembro de 1832.</t>
  </si>
  <si>
    <t>89 (119)</t>
  </si>
  <si>
    <t>90 (120)</t>
  </si>
  <si>
    <t>Mapa dos individuos vaccinados na Casa da Instituição vaccínica do Rio de Janeiro no 1.º semestre do corrente anno de 1832.</t>
  </si>
  <si>
    <t>Hercules Octaviano Mussi</t>
  </si>
  <si>
    <t>Pathologia. Sobre o contagio do Cholera-Morbus. Artigo extrahido de huma obra do Dr. Wedekind de Darmstadt, sobre esta molestia. (Notices et documents sur le Choléra; par Mr. Peschier n.º 2.).</t>
  </si>
  <si>
    <t>Obstetricia.</t>
  </si>
  <si>
    <t>Gymnastica.</t>
  </si>
  <si>
    <t>91 (121)</t>
  </si>
  <si>
    <t>Medicina Pratica. Tratamento do Cholera-Morbus na Inglaterra.</t>
  </si>
  <si>
    <t>92 (122)</t>
  </si>
  <si>
    <t>Pathologia. Carta de M. Desvencières ao Redactor do Jornal das Commissões Sanitarias de Paris, sobre a natureza e causas do Cholera-Morbus. (N.º 23.)</t>
  </si>
  <si>
    <t>93 (123)</t>
  </si>
  <si>
    <t>Pathologia. Comparação, e semelhança do Cholera-Morbus com a febre purpurea (frieselfieber) que grassou epidemicamente por tres annos no Reino de Würtemberg, a saber: nos annos de 1828, 1829, e 1830. Artigo extrahido de huma memoria do Dr. Steudel.</t>
  </si>
  <si>
    <t>Identidade da variola, e da vaccina, e meio de fazer nascer á vontade botões de vaccina sobre as vaccas: pelo Dr. Sonderland, de Barmen.</t>
  </si>
  <si>
    <t>Fungo hematoide do cerebro, com prisão obstinada de ventre por nove semanas; por James Laidlaw.</t>
  </si>
  <si>
    <t>94 (124)</t>
  </si>
  <si>
    <t>Medicina. Artigo sobre a Hydrophobia publicado ultimamente por J. Bigot.</t>
  </si>
  <si>
    <t>Somnambulismo.</t>
  </si>
  <si>
    <t>95 (125)</t>
  </si>
  <si>
    <t>Medicina. Memoria sobre a propriedade anti-carcinomatosa do Mappoam Mancinella, da família das Euphorbiaceas, e da Monœcia Monadelphia. Apresentada á Sociedade de Medicina pelo Sr. Emilio Germon.</t>
  </si>
  <si>
    <t>Emilio Germon</t>
  </si>
  <si>
    <t>96 (126)</t>
  </si>
  <si>
    <t>Chimica Pharmaceutica. Methodo para preparar o acido hydrocyanico medicinal (Acido Prússico) de M. F. Clark (Jour. de Chim. Médic.).</t>
  </si>
  <si>
    <t>97 (127)</t>
  </si>
  <si>
    <t>Medicina Practica. Instrucção Sanitaria contra o Cholera-Morbus, pelo Doutor Roth; offerecendo o resultado das suas esperiencias na Hungria; folheto publicado em Paris: 1852, 2.ª Edição em 8.º de 16 paginas.</t>
  </si>
  <si>
    <t>98 (128)</t>
  </si>
  <si>
    <t>Pathologia. Suor de leite.</t>
  </si>
  <si>
    <t>Chimica. Columbina: nova materia cristalina extrahida da raiz de Columba por Wittstock.</t>
  </si>
  <si>
    <t>Medicina Practica. Remedio para as gastralgias, e nevralgias da face: do Dr. Herisson. R. Tintura alcoólica</t>
  </si>
  <si>
    <t>Cura de huma febre quarta com os esforços para pregar hum sermão.</t>
  </si>
  <si>
    <t>Pós hemostaticos contra as hemorragias por causa traumatica.</t>
  </si>
  <si>
    <t>Uso medico do Phosphato de Quinina</t>
  </si>
  <si>
    <t>Remedios contra o Croup.</t>
  </si>
  <si>
    <t>99 (129)</t>
  </si>
  <si>
    <t>Materia Medica e Therapeutica. Efficacia da raiz de Artemisia na epilepsia no uso medico della como antipasmatico.</t>
  </si>
  <si>
    <t>Cirurgia. Novo méthodo para a operação do Ectropia.</t>
  </si>
  <si>
    <t>Uso medico do sulphureto de carbonio. Observações dos Drs. Wutzer e Pellengahr.</t>
  </si>
  <si>
    <t>100 (130)</t>
  </si>
  <si>
    <t>Anatomia Pathologica. Ectopia congenita do estomago. No. 5.º Vol. do Dublin Hospital Reports and Communications</t>
  </si>
  <si>
    <t>Physiologia. Sobre a electricidade animal, e a applicação dos Galvanometros ao systema nervoso.</t>
  </si>
  <si>
    <t>Materia Medica e Therapeutica. Sobre os Scapismos.</t>
  </si>
  <si>
    <t xml:space="preserve">Cirurgia. Hydrocele nas mulheres. </t>
  </si>
  <si>
    <t>101 (131)</t>
  </si>
  <si>
    <t>Medicina Practica. Carta sobre o Cholera dirigida ao Redactor da Gazeta de Lisboa.</t>
  </si>
  <si>
    <t>Manoel Rebello da Silva</t>
  </si>
  <si>
    <t>102 (132)</t>
  </si>
  <si>
    <t>Matéria Médica. Acção dos insectos tomados internamente, sobre os orgãos genito-urinarios; Artigo de Mr. Virey no Journal de Pharmacie.</t>
  </si>
  <si>
    <t>Materia Medica. Tratamento do Cholera-Morbus, por MM. Gaimard, e Gerardin, Membros, e Commissarios da Academia Real de Medicina de Paris, enviados á Russia pelo Governo, para estudar sobre o Cholera.</t>
  </si>
  <si>
    <t>103 (133)</t>
  </si>
  <si>
    <t>104 (134)</t>
  </si>
  <si>
    <t>Medicina Pratica. Continuado do N.º antecedente.</t>
  </si>
  <si>
    <t>105 (135)</t>
  </si>
  <si>
    <t>106 (136)</t>
  </si>
  <si>
    <t>Medicina Pratica. Continuado do numero antecedente.</t>
  </si>
  <si>
    <t>107 (137)</t>
  </si>
  <si>
    <t>108 (138)</t>
  </si>
  <si>
    <t>Medicina Practica. Febre intermittente perniciosa tendo por symptoma hum Pneumo-thorax, e perturbação das funcções do oitavo par dos nervos. — (Observação lida na Sociedade de Medicina do Rio de Janeiro, pelo Sr. Dr. Cuissart, em 15 de Janeiro de 1833).</t>
  </si>
  <si>
    <t>109 (139)</t>
  </si>
  <si>
    <t>Memoria do Sr. Dr. Torres, sobre o uso dos carbonatos alcalinos, nas várias espécies de cálculos urinarios, e principalmente no chamado mal das areias. (Lida na Sociedade de Medicina do Rio de Janeiro, em 19 de Janeiro de 1833).</t>
  </si>
  <si>
    <t>110 (140)</t>
  </si>
  <si>
    <t>111 (141)</t>
  </si>
  <si>
    <t>Pathologia. Suor azul: caso singular observado por M. Cadot, pharmaceutico em Angers, e communicado à Secção Medica da Sociedade R. Academica de Nantes, por M. Le Sant. (Journal de la Section de Medecine de la Societé Academique de Nantes.)</t>
  </si>
  <si>
    <t>112 (142)</t>
  </si>
  <si>
    <t>Chimica Medica. Analyse da Agoa Gazoza da Villa da Campanha, pelo Sr. Dr. Joaquim Vicente Torres Homem.</t>
  </si>
  <si>
    <t>Cirurgia. Extracção de huma pedra situada entre o glande, e o prepucio, feita por D. A. Binard: observação lida á Academia Real de Medicina de Paris, e á Secção Medica da Sociedade Academica de Nantes. (Journ. de la Sect. de Med. n. 24).</t>
  </si>
  <si>
    <t>113 (143)</t>
  </si>
  <si>
    <t>Pathologia. Mormo nos homens. Observações de Mr. Elliotson: professor de clinica medica no Hospital de S. Thomaz em Londres.</t>
  </si>
  <si>
    <t>Discurso do Sr. Presidente Octaviano Maria da Rosa.</t>
  </si>
  <si>
    <t>Pathologia. Transpiração com cheiro de Balsamo, em huma parte da pelle.</t>
  </si>
  <si>
    <t>114 (144)</t>
  </si>
  <si>
    <t>115 (145)</t>
  </si>
  <si>
    <t>Medicina. Relatorio feito ao Governo sobre a enfermidade de Iroja, pelo Sr. Dr. Paula Candido.</t>
  </si>
  <si>
    <t>Medicina Pratica. Rheumatismo articular com contracções tetanicas. Observação de Mr. Robert, na Basse-Indré.</t>
  </si>
  <si>
    <t>Physiologia. Indagações sobre a formação da fibra muscular por Mr. Dutrochet, Membro do Instituto de França.</t>
  </si>
  <si>
    <t>Therapeutica. Emprego do oleo de croton tiglium ao exterior.</t>
  </si>
  <si>
    <t>116 (146)</t>
  </si>
  <si>
    <t>Relatorio das Cartas Medico-Cirurgicas, e do Repertorio Medico Estrangeiro, periodico mensal de Medicina, Cirurgia, Arteicularia, Pharmacia, Chimica, e Botanica, publicados pelo Dr. D. José de Lietor Castro-Verde.</t>
  </si>
  <si>
    <t>Cirurgia. Considerações practicas sobre as fracturas observadas na clinica de Mr. Lisfranc, Cirurgião Mór do Hospital da Piedade em Paris. Extracto de hum relatorio de Mr. Priou sobre a Gazeta medica de Paris.</t>
  </si>
  <si>
    <t>Mappa dos individuos vaccinados na casa da Instituição Vaccinica do Rio de Janeiro, no segundo semestre do anno de 1832.</t>
  </si>
  <si>
    <t>117 (147)</t>
  </si>
  <si>
    <t>Discurso recitado na Sessão publica da Sociedade de Medicina do Rio de Janeiro, em 24 d’Abril de 1831, por José Augusto Cesar de Menezes, Bacharel Formado em Cirurgia pela Academia Medico-Cirurgica Fluminense, Membro Titular, e Secretario Adjunto da mesma Sociedade.</t>
  </si>
  <si>
    <t>Joaquim Vicente Torres Homem; João José de Carvalho; João Alvares Carneiro</t>
  </si>
  <si>
    <t>Inchação syphilitica de hum testiculo, tomada por hum sarcocele, e curada pelo tratamento mercurial. Observação de Mr. Priou, communicada á Secção Medica da Sociedade Acad. de Nantes.</t>
  </si>
  <si>
    <t>Medicina Legal. Envenenamento pelo vapor dos Eiheres.</t>
  </si>
  <si>
    <t>Therapeutica. Tratamento de Hemiplegia pelo Dr. Richard de Bristol.</t>
  </si>
  <si>
    <t xml:space="preserve">Uso da essencia de therebinthina contra a salinação. </t>
  </si>
  <si>
    <t>118 (148)</t>
  </si>
  <si>
    <t>Observações da Commissão de Salubridade Geral da Sociedade de Medicina, sobre o abuso dos toques de sinos nas Igrejas da Cidade, redigidas pelo Sócio Titular, e Membro da mesma Commissão, Claudio Luiz da Costa.</t>
  </si>
  <si>
    <t>119 (149)</t>
  </si>
  <si>
    <t>Medicina Pratica. Observações do Sr. Paula Candido sobre as febres de Irajá; lidas na Sociedade de Medicina em 17 d’Abril de 1833.</t>
  </si>
  <si>
    <t>Therapeutica. Efficacia das folhas da Oliveira contra as febres intermittentes. — Observações de J. B. Brugnon. (Osservatore Med. di Napoli.)</t>
  </si>
  <si>
    <t>Efficacia da tintura de Beijoim composta nas esculdaduras. (Archiv. Gen. de Med.)</t>
  </si>
  <si>
    <t>Effeitos do Magnetismo Mineral sobre a economia Animal.</t>
  </si>
  <si>
    <t>120 (150)</t>
  </si>
  <si>
    <t>Physiologia. Experiencias sobre a magnetização das agulhas no systema nervoso dos animaes vivos.</t>
  </si>
  <si>
    <t>Accessos epileptiformes curados pela applicação de hum maço.</t>
  </si>
  <si>
    <t>121 (151)</t>
  </si>
  <si>
    <t>Peregrino José Freire</t>
  </si>
  <si>
    <t>Relatorio do Sr. Sigaud sobre a Memoria do Sr. João Antonio de Azevedo, relativa á presença dos vermes lombricoides nas feridas e nos tecidos dos membros.</t>
  </si>
  <si>
    <t>Reflexões do Redactor</t>
  </si>
  <si>
    <t>122 (152)</t>
  </si>
  <si>
    <t>Tratamento das febres intermittentes, vulgarmente sezões, ou aviso que se dá aos habitantes dos lugares pantanosos da Provincia do Rio de Janeiro, pela Sociedade de Medicina d’esta Cidade.</t>
  </si>
  <si>
    <t>123 (153)</t>
  </si>
  <si>
    <t>Continuação do numero antecedente.</t>
  </si>
  <si>
    <t>124 (154)</t>
  </si>
  <si>
    <t>125 (155)</t>
  </si>
  <si>
    <t>Propriedades Medicas do Carvão Animal.</t>
  </si>
  <si>
    <t>Effeito da pomada de Atropa Belladonna na cura das ernias da membrana iris.</t>
  </si>
  <si>
    <t>Pharmacia. Preparação do Carvão para uso médico.</t>
  </si>
  <si>
    <t>Manoel Ferreira da Camara Bittencurt e Sá; Joaquim Ignacio de Aragão Bulcão</t>
  </si>
  <si>
    <t>Observaçoens sobre a cultura [...] do Gira-sol.</t>
  </si>
  <si>
    <t>Acta da nona Sessão ordinaria do Conselho de Direção da Sociedade de Agricultura, Commercio, e Industria da Provincia da Bahia, celebrada no dia 7 de Março de 1833, na Villa de S. Francisco de Sergipe do Conde</t>
  </si>
  <si>
    <t>Estatutos da Sociedade de Agricultura, Commercio, e Indústria da Província da Bahia, com a correção dos Artigos feita na Reunião Geral da mesma Sociedade no dia 31 de Janeiro do corrente anno de 1833.</t>
  </si>
  <si>
    <t>Reflexoens. Sobre a noticia do Caldeirão Vacuo para fabrico do assucar.</t>
  </si>
  <si>
    <t>Nicolao Pereira de Campos Vergueiro</t>
  </si>
  <si>
    <t>Lisongeiro Prospecto para os Agricultores Brasileiros. 2.º Documento.</t>
  </si>
  <si>
    <t>A colmeia pyramidal ou a Colmea de M. de La Bourdonnaye augmentada com [...]. Obra extrahida do Tratado do Inventor M. [...] por Joaquim Eustaquio de Azevedo Franco.</t>
  </si>
  <si>
    <t>Descoberta de uma machina em vaso aberto, que transforma o sumo da cana em assucar, a 70 até 80 gráos do thermometro centigrado, sem que haja producção de melaços.</t>
  </si>
  <si>
    <t>Rio Grande do Sul. Correspondencia do Propagador da Industria.</t>
  </si>
  <si>
    <t>Nova maneira de estaquear ou espixar ou couros.</t>
  </si>
  <si>
    <t>Domingos José de Almeida</t>
  </si>
  <si>
    <t>Descobrimento util ás Artes de um liquido insecativo, que preserva da oxidação os metaes.</t>
  </si>
  <si>
    <t>Acta da Decima terceira Sessão ordinaria do Conselho de Direcção da Sociedade de Agricultura, Commercio e Industria da Provincia da Bahia.</t>
  </si>
  <si>
    <t>Melhoramento no fabrico de assucar puro, ou refinado.</t>
  </si>
  <si>
    <t>Processo de Mr. Cadet Ganicoubt para preparar o café.</t>
  </si>
  <si>
    <t>Memoria sobre os adubos calcareos, e maneira de serem empregados na Lavoura. Offerecida á Sociedade de Agricultura, Commercio, e Industria da Bahia, por M. J. R. F.</t>
  </si>
  <si>
    <t>Continuação da memoria offerecida á esta Sociedade, e á Auxiliadora da Industria Nacional do Rio de Janeiro, pelo Sr. João Diogo Sturz, transcripta no numero antecedente.</t>
  </si>
  <si>
    <t>João Diogo Sturz</t>
  </si>
  <si>
    <t>Fabricação de cadernaes e moitões.</t>
  </si>
  <si>
    <t>Acta da vigessima septima Sessão ordinaria do Conselho de Direcção da Sociedade de Agricultura, Commercio e Industria da Provincia da Bahia.</t>
  </si>
  <si>
    <t>Communicado sobre os damnos causados á Agricultura, e ao Commercio, pela desregrada administração dos Trapiches, e Prensas, e sobre os meios de prevenir os mesmos damnos.</t>
  </si>
  <si>
    <t>Miguel Calmon Du Pin e Almeida</t>
  </si>
  <si>
    <t>A Sociedade d'Agricultura começa à ser proveitosa.</t>
  </si>
  <si>
    <t>Acta da vigessima oitava Sessão ordinaria do Conselho de Direcção da Sociedade de Agricultura, Commercio e Industria da Provincia da Bahia.</t>
  </si>
  <si>
    <t>Memoria sobre o estabelecimento de uma Companhia de Colonisação nesta Provincia; offerecida aos Bahianos; por Miguel Calmon du Pin e Almeida, do Conselho de S. M. o Imperador &amp;c. &amp;c. &amp;c.</t>
  </si>
  <si>
    <t>Economia Rural. Creação domestica.</t>
  </si>
  <si>
    <t>Manoel Mauricio Rebouças; Eduardo Ferreira França</t>
  </si>
  <si>
    <t>Breves considerações àcerca do atrazo e ruinas, que fazem as formigas á Agricultura, e noticia de um processo para extinguil-as, por M. Rodrigues da Silva, &amp;c.</t>
  </si>
  <si>
    <t>M. Rodrigues da Silva</t>
  </si>
  <si>
    <t>Manoel Mauricio Rebouças</t>
  </si>
  <si>
    <t>Temperatura Athmospherica.</t>
  </si>
  <si>
    <t>Raiva ou hydrophobia. Methodo curativo do doutor Buisson.</t>
  </si>
  <si>
    <t>Reclamação do Sr. J. Lima, seguida de reflexões dos redactores.</t>
  </si>
  <si>
    <t>Annuncio de 11 obras publicadas em 1835 em França e Inglaterra sobre diversos assumptos medicos.</t>
  </si>
  <si>
    <t>Correspondencia do Sr. J. Lima com a Sociedade de Medicina do Rio de Janeiro, e com o Sr. doutor J. C. Soares de Meirelles, acerca de huma memoria sobre a planta denominada guaco.</t>
  </si>
  <si>
    <t>Annuncio de 4 opusculos de medicina publicados no Rio de Janeiro e Bahia.</t>
  </si>
  <si>
    <t>Therapeutica. Trez observações sobre o Tétanos, por José Maria Guedes, ex-Cirurgião Mór da Provincia de Matto Grosso.</t>
  </si>
  <si>
    <t>José Maria Guedes</t>
  </si>
  <si>
    <t>Phrenologia. Discripção cranolologica do assassino Fieschi (dito Gerard), feita sobre o retrato mais exacto pelo Doutor Vianna de Rezende.</t>
  </si>
  <si>
    <t>Quina, formulas de suas mais importantes preparações (Nov. Form., etc. por Milne, Edward e P. Vavasseur)</t>
  </si>
  <si>
    <t>Phenomeno Physiologico — os dois siameses —.</t>
  </si>
  <si>
    <t xml:space="preserve">Do emprego dois meios moraes para curar os loucos melancolicos. </t>
  </si>
  <si>
    <t>Das molestias reinantes.</t>
  </si>
  <si>
    <t>Physiologia. Indagação sobre as mudanças induzidas no ar athmosphierico pela germinação das sementes, vegetação das plantas, e respiração de animaes; por Daniel Ellis. Continuado do numero 41.</t>
  </si>
  <si>
    <t>Chronica do mez de fevereiro, pelo Doutor Ernesto da Riva.</t>
  </si>
  <si>
    <t>Physiologia. Indagação sobre as mudanças induzidas no ar athmospherico pela germinação das sementes, vegetação das plantas, e respiração de animaes; por Daniel Ellis. Continuado do numero 46.</t>
  </si>
  <si>
    <t>Novo tratamento da queimadura; pelo Sr. Velpeau.</t>
  </si>
  <si>
    <t>Da epidemia actual e sarampo.</t>
  </si>
  <si>
    <t>Pensamentos de hum medico velho.</t>
  </si>
  <si>
    <t xml:space="preserve">Pharmacia. Das Agoas Mineraes. </t>
  </si>
  <si>
    <t>Botanica. Memoria sobre a planta conhecida na Republica de Columbia pelo nome generico — Guaco — propria das regiões equinociais, e sobre suas principaes virtudes; offerecida e dedicada á Sociedade de Medicina de Bogotá por J. Lima, Official General do Exercito Libertador.</t>
  </si>
  <si>
    <t>Ultima obra de Dupuytren.</t>
  </si>
  <si>
    <t>Pathologia. Algumas reflexões tendentes a provar que a dor não deve ser collocada entre os symptomas essenciaes da inflammação, e que he este phenomeno o signal especial da irritação da classe dos nervos, a que se tem dado a denominação de — nervos do sentimento — ; pelo Sr. Bouillaud</t>
  </si>
  <si>
    <t>Da Leugorrhea.</t>
  </si>
  <si>
    <t>Casos de envenenamento pelo laudano.</t>
  </si>
  <si>
    <t>Das agoas mineraes. (Continuado do numero antecedente).</t>
  </si>
  <si>
    <t>Agostinho Albano da Silveira Pinto</t>
  </si>
  <si>
    <t>Da Thridace ou Thridacio</t>
  </si>
  <si>
    <t>Refutação das falsidades publicadas em hum folheto por João Frederico Doellinger, acerca da morte de A. de M. Brandão, pelos facultativos chamados pela autoridade para dar a sua opinião sobre as causas da mesma morte.</t>
  </si>
  <si>
    <t>Pathologia. Relatorio da Commissão Especial sobre a epidemia de febre catharral, que grassou nos primeiros mezes de 1835, feito pelo doutor Maia, como relator.</t>
  </si>
  <si>
    <t>Emilio Joaquim da Silva Maia; Francisco de Paula Candido; Manoel de Valladão Pimentel; Augusto René Cuissart; Jacinto Rodrigues Pereira Reis</t>
  </si>
  <si>
    <t>Memoria do Sr. João Alvares Carneiro, sobre a bobas; lida na Sociedade de Medicina do Rio de Janeiro, em 3 de setembro de 1835.</t>
  </si>
  <si>
    <t>Chronica do mez de março, pelo Doutor Ernesto da Riva.</t>
  </si>
  <si>
    <t>Therapeutica. Nota sobre o tratamento da amenorrhéa pela irritação das mamas, pelo Sr. J. B. Mondière, medico em Loudun</t>
  </si>
  <si>
    <t>Hygiene. Notas sobre a vaccina.</t>
  </si>
  <si>
    <t>Quadro comparativo da verdadeira e da falsa vaccina.</t>
  </si>
  <si>
    <t>Hygiene</t>
  </si>
  <si>
    <t>Memoria sobre o xarope de pontas d’espargos, pelo Sr. Jonhson. — Paris, 1834.</t>
  </si>
  <si>
    <t>Chaussier. — Factos curiosos observados na maternidade. (Extracto de hum discurso do Sr. Parizet.)</t>
  </si>
  <si>
    <t>Étiénne Pariset</t>
  </si>
  <si>
    <t>Jean-Baptiste Boussingault</t>
  </si>
  <si>
    <t>Henrique Blacke-Gibbs</t>
  </si>
  <si>
    <t>Domingos Simões da Cunha</t>
  </si>
  <si>
    <t>Carlos Antonio Napion</t>
  </si>
  <si>
    <t>Alfeno Cynthia</t>
  </si>
  <si>
    <t>Francisco Alves do Prado</t>
  </si>
  <si>
    <t>Francisco Manoel Nascimento</t>
  </si>
  <si>
    <t xml:space="preserve">José Francisco Sigaud </t>
  </si>
  <si>
    <t>Pedro José da Fonseca</t>
  </si>
  <si>
    <t>Joa­quim José da Silva</t>
  </si>
  <si>
    <t>Antonio Rodrigues Velloso de Oliveira</t>
  </si>
  <si>
    <t>Joaquim José Leite</t>
  </si>
  <si>
    <t>Noticia sobre o novo methodo do Doutor Civiale, para destruir a pedra na bexiga sem a operação da talla.</t>
  </si>
  <si>
    <t>Bibliographia Classica Medica.</t>
  </si>
  <si>
    <t>Joaquim Justiniano Ozorio de Amaral</t>
  </si>
  <si>
    <t>José Augusto Cesar de Menezes</t>
  </si>
  <si>
    <t>Considerações sobre a epilepsia pelo Doutor Victor Broussais.</t>
  </si>
  <si>
    <t>Nova Doutrina das Molestias Mentaes, por M. Bayle</t>
  </si>
  <si>
    <t>Preparações Mercuriaes.</t>
  </si>
  <si>
    <t>Nota sobre o emprego da Belladona contra a escarlatina; por Ernesto Martini.</t>
  </si>
  <si>
    <t>Droga amarga, empregada na India contra a cholera-morbus.</t>
  </si>
  <si>
    <t>Indagações sobre o Emetico.</t>
  </si>
  <si>
    <t>Vinho diureutico do Professor Corvisart (Hospital da Caridade).</t>
  </si>
  <si>
    <t>Considerações sobre a séde, natureza, e o tratamento do tétanos, por M.A. Bonnet. D. M.</t>
  </si>
  <si>
    <t>“Case of retention of urine from stricture in the urethra.” The Lancet 9 (1826): 749.</t>
  </si>
  <si>
    <t xml:space="preserve">Duarte Ribeiro de Macedo </t>
  </si>
  <si>
    <t>Saquinho resolutivo do Dr. Duméril.</t>
  </si>
  <si>
    <t>Xarope anty-syphilitico.</t>
  </si>
  <si>
    <t>Receita do Professor Dupuytren contra a hydropesia passiva do tecido cellular.</t>
  </si>
  <si>
    <t>Esboços Medicaes sobre Londres.</t>
  </si>
  <si>
    <t>Emulsão purgativa do Dr. Alibert.</t>
  </si>
  <si>
    <t>Gotas sedativas de Magendie.</t>
  </si>
  <si>
    <t>Agoa de Bussang.</t>
  </si>
  <si>
    <t>Caldo peitoral do Dr. Bailly.</t>
  </si>
  <si>
    <t>Processos da Pharmacopéa de Londres para a preparação do emetico.</t>
  </si>
  <si>
    <t>Reflexões sobre a mesma observação pelo Dr. Broussais.</t>
  </si>
  <si>
    <t>Trabalhos d'Historia natural devido à Vicq-d'Azir.</t>
  </si>
  <si>
    <t>“Médecine de l’âme,” in Opuscules de médecine, de chirurgie, d’hygiène, et critiques médico-littéraires publiés dans l’Hygie, par le baron P. Percy et C.-J.-B. Comet (Paris: Mlle Delaunay; Bruxelles: Dépôt général de la librairie médicale française, 1827), pp. 66–72.</t>
  </si>
  <si>
    <t>Nota sobre a applicação directa do galyanismo aos nervos da orbita, e sobre o emprego deste meio para a cura da amaurosis; por F. Magendie; lida na Academia das Sciencias em Junho de 1826.</t>
  </si>
  <si>
    <t>Novo meio de descorar os assucares e os xaropes.</t>
  </si>
  <si>
    <t>Modo de fazer o gelo artificial.</t>
  </si>
  <si>
    <t>Novo methodo de preparar o Ethiops mineral.</t>
  </si>
  <si>
    <t>Nova tintura de digital.</t>
  </si>
  <si>
    <t>Obras de medicina publicadas em França em 1826.</t>
  </si>
  <si>
    <t>Obras publicadas em Inglaterra em 1826.</t>
  </si>
  <si>
    <t>Noticia sobre M. de Lacépède.</t>
  </si>
  <si>
    <t>François Magendie. “Sur l’application directe du galvanisme aux nerfs de l’orbite, et l’emploi de ce moyen pour la guérison de l’amaurose.” Journal de physiologie expérimentale et pathologique 6 (1826): 156–162.</t>
  </si>
  <si>
    <t>Algumas reflexões sobre o mecanismo da excreção da ourina, seguidas d’observações sobre a retenção completa deste liquido; por M. Amussat</t>
  </si>
  <si>
    <t>Jean-Zuléma Amussat. "Quelques reflexions sur le mécanismo de l'excrétion de l'urine, suviers d'observations sur la rétention complète de ce liquide," Journal de physiologie expérimentale et pathologique 6 (1826): 97–114.</t>
  </si>
  <si>
    <t>Anthelme-Balthasar Richerand. “Notice sur sa vie et sur ses ouvrages.” In Œuvres complètes de Bordeu, by Théophile de Bordeu, vol. 1. Paris: Caille et Ravier, 1818.</t>
  </si>
  <si>
    <t>Dos Virus.</t>
  </si>
  <si>
    <t xml:space="preserve">Hahnemann, Samuel. “Ueber die Wahl eines Hausarztes.” In Freund der Gesundheit, 185–195. Leipzig: Crusius, 1795. (Reprinted in Gesammelte kleine Schriften, ed. Josef M. Schmidt, pp. 197–205.) </t>
  </si>
  <si>
    <t>Sociedade de Medicina</t>
  </si>
  <si>
    <t>Emílio Joaquim da Silva Maia</t>
  </si>
  <si>
    <t xml:space="preserve">Kréosote ou Kréosite. </t>
  </si>
  <si>
    <t>Novo processo para obter-se o tanito puro.</t>
  </si>
  <si>
    <t>Sobre a não existência do ácido hydrochlorico, ou dos hydrochloratos na atmosphera, perto do mar, ou sobre elle mesmo.</t>
  </si>
  <si>
    <t>Principio activo da salsaparrilha.</t>
  </si>
  <si>
    <t>Memoria sobre o tabaco, lida nas Sessões da Sociedade de Medicina do Rio de Janeiro, de 6 e de 18 de Dezembro de 1834, por Emilio Joaquim da Silva Maia.</t>
  </si>
  <si>
    <t>Sessão de 27 de junho de 1833.</t>
  </si>
  <si>
    <t>Sessão publica em 30 de junho de 1833.</t>
  </si>
  <si>
    <t>Sessão de 20 de julho de 1833.</t>
  </si>
  <si>
    <t>Sessão de 15 de julho de 1833.</t>
  </si>
  <si>
    <t>Sessão de 3 de agosto de 1833.</t>
  </si>
  <si>
    <t>Sessão de 19 de agosto de 1834.</t>
  </si>
  <si>
    <t>Sessão de 31 de agosto de 1833.</t>
  </si>
  <si>
    <t>Relatorio do Sr. Dr. Julio Xavier sobre duas plantas remettidas de S. Paulo pelo Sr. Claudio Luiz da Costa, Membro Titular. Lido na Sessão de 15 de Julho de 1833.</t>
  </si>
  <si>
    <t>Julio Xavier</t>
  </si>
  <si>
    <t>Memoria sobre o Tabaco, lida nas Sessões da Sociedade de Medicina do Rio de Janeiro, de 6 e de 18 de Dezembro de 1834, pelo Dr. Emilio Joaquim da Silva Maia. (Continuado do numero antecedente.)</t>
  </si>
  <si>
    <t>Observação sobre a syphilis constitucional curada pelo sulfato de Cadmio.</t>
  </si>
  <si>
    <t>Sciencias Accessorias</t>
  </si>
  <si>
    <t>Chimica. Krèosote.</t>
  </si>
  <si>
    <t>Historia de uma morte apparente que durou vinte dias.</t>
  </si>
  <si>
    <t>Premio Proposto.</t>
  </si>
  <si>
    <t>Detalhes Curiosos. Sobre a cholera-morbus.</t>
  </si>
  <si>
    <t>Hercules Octaviano Muzi</t>
  </si>
  <si>
    <t>Sessão de 14 de septembro de 1833.</t>
  </si>
  <si>
    <t>Sessão de 12 de outubro de 1833.</t>
  </si>
  <si>
    <t>Relatorio do Snr. Dr. Paula Candido sobre a Memoria do Snr. Mojon acerca da natureza do miasmo cholerifico.</t>
  </si>
  <si>
    <t>Paula Candido</t>
  </si>
  <si>
    <t>Discurso do Snr. Dr. Meirelles, lido na sessão de 16 de novembro de 1833, como presidente.</t>
  </si>
  <si>
    <t>Relatorio da Commissão de Salubridade geral sobre hum Curtume de Mr. Deremusson na Praia formoza, por consulta da Camara Municipal da Corte, lido em 3 de Agosto de 1833.</t>
  </si>
  <si>
    <t>J. C. Soares de Meirelles, Octaviano Maria da Roza, José Maria Cambuci do Valle</t>
  </si>
  <si>
    <t>Observação sobre hum caso de perfuração ulcerosa de huma das valvulas sigmoides, e da origem da aorta no ponto correspondente, com derramamento na Cavidade do pericardio; apresentada e lida na Sociedade de Medicina desta Corte na Sessão de Agosto de 1833, pelo Membro Titular o Dr. Manoel de Valladão Pimentel, acompanhando a peça pathologica respectiva.</t>
  </si>
  <si>
    <t>Manoel de Valladão Pimentel</t>
  </si>
  <si>
    <t>Força da vontade de hum homem.</t>
  </si>
  <si>
    <t>Coragem d'hum medico.</t>
  </si>
  <si>
    <t>Incerteza dos sinaes da morte.</t>
  </si>
  <si>
    <t>Sessão de 5 de novembro de 1833.</t>
  </si>
  <si>
    <t>Sessão de 16 de novembro de 1833.</t>
  </si>
  <si>
    <t>Do Sr. Dr. Soares de Meirelles, como Presidente, na Sessão de 25 de Fevereiro de 1834.</t>
  </si>
  <si>
    <t>Sessão de 15 de março de 1834.</t>
  </si>
  <si>
    <t>Discurso do Sr. Dr. Soares de Meirelles sobre os damnos, que causão os dobros de sinos para defuntos.</t>
  </si>
  <si>
    <t>Observação sobre hum caso de Pústula Maligna, felizmente curada com a Agoa de Labarraque: lida pelo Sr. João Alves Carneiro, Membro Titular, na Sessão de 19 de Agosto de 1833.</t>
  </si>
  <si>
    <t>João Alves Carneiro</t>
  </si>
  <si>
    <t>Relatorio do Sr. Dr. Freire sobre varias obras enviadas pelo Sr. Joaquim Jeronymo Serpa, Socio Correspondente em Pernambuco. Lido e approvado na Sessão de 4 de Abril de 1835.</t>
  </si>
  <si>
    <t>Joaquim Jeronymo Serpa</t>
  </si>
  <si>
    <t>Francisco Freire Allemão</t>
  </si>
  <si>
    <t>Sessão publica da Sociedade de Medicina.</t>
  </si>
  <si>
    <t xml:space="preserve">Antidoto do Arsenico. </t>
  </si>
  <si>
    <t>Parecer do Sr. Dr. Jobim sobre a memoria vinda de Barcelona para o concurso proposto pela Sociedade de Medicina do Rio de Janeiro, pela maneira seguinte: Huma medalha de ouro do valor de 50$000 em metal, para o Autor que desenvolver melhor a questão seguinte.</t>
  </si>
  <si>
    <t>Relatorio do Sr. Dr. Valladão sobre a memoria do Sr. Saulnier de Pierre Lexée, ácerca das febres de Matto-Grosso. Lido em 26 de Abril de 1834.</t>
  </si>
  <si>
    <t>Topographia da cidade do Recife. (Continuado da pag. 29 do n. antecedente)</t>
  </si>
  <si>
    <t>A Homœopathia.</t>
  </si>
  <si>
    <t>Carta particular dirigida á S. Exc. o Ministro do Imperio, á cerca do intitulado methodo de curar a elephantiasis no Maranhão.</t>
  </si>
  <si>
    <t>José Maria Barreto</t>
  </si>
  <si>
    <t>Methodo de curar a elephantiasis, que usa o preto de D. Anna Francisca no Batatam.</t>
  </si>
  <si>
    <t>Caso de huma nervose muito curiosa.</t>
  </si>
  <si>
    <t>Composição da Atmosphera.</t>
  </si>
  <si>
    <t>Doenças que senão devem curar; extrahido por Lebaudy de huma memoria lida na Academia Medico Cirurgica de Napolis, por Gennaro Galbiati.</t>
  </si>
  <si>
    <t>Gennaro Galbiati</t>
  </si>
  <si>
    <t>Remedio contra a mordedura da cobra cascavel.</t>
  </si>
  <si>
    <t>Novo instrumento de exploração.</t>
  </si>
  <si>
    <t>Programma da Sessão Publica da Sociedade de Medicina do Rio de Janeiro, no dia 30 de Junho de 1834.</t>
  </si>
  <si>
    <t>Sessão de 7 de junho de 1833.</t>
  </si>
  <si>
    <t>Relatorio do Sr. Dr. Meirelles, sobre a Memoria do Sr. Dr. Maia, ácerca dos perigos a que estão sujeitos os meninos quando não são amamentados por suas Mãys. Lido em 12 de Julho de 1834.</t>
  </si>
  <si>
    <t>Discurso sobre os males, que tem produsido no Brasil, o corte das matas, e sobre os meios de os remediar. Lido na Sessão Publica da S. de M. do Rio de Janeiro, de 30 de Junho de 1835, por Emilio Joaquim da Silva Maia, Doutor em Medicina, pela Faculdade de Paris, Bacharel formado em Philosophia natural pela Universidade de Coimbra, Membro Titular da Sociedade de Medicina do Rio de Janeiro, Membro da Sociedade de Sciencias naturaes de França, &amp;c.</t>
  </si>
  <si>
    <t>Copia de hum catalogo das plantas medicinaes do Espirito Santo.</t>
  </si>
  <si>
    <t>Jatropha Lacerti. Monadelphia decandria. L. F. Tricocoe in Spreng.</t>
  </si>
  <si>
    <t>Pamoda de Ferrugem de chaminé contra as ulceras cancerosas.</t>
  </si>
  <si>
    <t>Massa phagedenica do Dr. Cancoin contra os cancros.</t>
  </si>
  <si>
    <t>Pommada de Dupuytrem.</t>
  </si>
  <si>
    <t xml:space="preserve">Preservativo contra a escarlatina. </t>
  </si>
  <si>
    <t>Academia Imperial de Medicina</t>
  </si>
  <si>
    <t>Discurso recitado pelo Dr. J. C. Soares de Meirelles, como Orador da Deputação apresentada à Regencia por parte da Academia Imperial de Medicina do Rio de Janeiro.</t>
  </si>
  <si>
    <t>Discurso recitado pelo Dr. J. C. Soares de Meirelles, Presidente da Academia Imperial de Medicina do Rio de Janeiro, na primeira Sessão preparatoria.</t>
  </si>
  <si>
    <t>Sumo peitorial.</t>
  </si>
  <si>
    <t>Discurso pronunciado pelo Sr. Dr. Imbert, perante a Faculdade de Medicina do Rio de Janeiro, no acto da sustentação da sua These para obter a permissão de exercer a Medicina no Brasil.</t>
  </si>
  <si>
    <t>Relatorio sobre o uso do gelo.</t>
  </si>
  <si>
    <t>Relatorio do Dr. Maia, sobre a obra do Dr. De Kirckoff ácerca da cholera morbus.</t>
  </si>
  <si>
    <t>Raphael da Rocha Neves Quintella</t>
  </si>
  <si>
    <t>Caso celebre de huma longa vida.</t>
  </si>
  <si>
    <t>Honras rendidas à grandes Medicos.</t>
  </si>
  <si>
    <t>Pessoas annexas ao processo.</t>
  </si>
  <si>
    <t>O vizionario de Londres</t>
  </si>
  <si>
    <t>Casos raros.</t>
  </si>
  <si>
    <t>Sessão de 6 de outubro de 1835.</t>
  </si>
  <si>
    <t>Discurso com que o Dr. José Martins da Cruz Jobim, abrio o seu Curso de Medicina Legal, na Faculdade de Medicina do Rio de Janeiro.</t>
  </si>
  <si>
    <t>Experiencias feitas com a digitalis purpurea por Goteried Joerg, Lente da Universidade de Leisig, na Allemanha.</t>
  </si>
  <si>
    <t>Como se fazem os autos de corpo de delicto no Brasil.</t>
  </si>
  <si>
    <t>Sessão preparatoria em 17 de novembro de 1835.</t>
  </si>
  <si>
    <t>Sessão publica de installação em 21 de dezembro de 1835.</t>
  </si>
  <si>
    <t>Expulsão de huma solitaria por meio do cosimento da casca da raiz da romeira. Lido perante a Sociedade de Medicina, na Sessão de 16 de Maio de 1835.</t>
  </si>
  <si>
    <t>Em seguimento a esta observação do nosso Collega apresentamos a seguinte nota, extrahida de hum dos Bulletins de Therapeutica, de 1834, sobre os diversos medicamentos empregados na Suissa, para combater as tenias.</t>
  </si>
  <si>
    <t>De huma memoria publicada em França por Mr. C. Forget sobre o humorismo racional, extrahimos a seguinte passagem, que trata da influencia das alterações do sangue, nas molestias em geral.</t>
  </si>
  <si>
    <t>Continua, do n. antecedente, o artigo intitulado: Como se fazem os autos de corpo de delicto no Brasil.</t>
  </si>
  <si>
    <t xml:space="preserve">Doutrina Homoeopathica. </t>
  </si>
  <si>
    <t>Observações meteorologicas, feitas no Rio de Janeiro, pelo Dr. Francisco de Freire Allemão.</t>
  </si>
  <si>
    <t>Reflexões. Barometro.</t>
  </si>
  <si>
    <t>Observação de envenenamento pelo acetato de morphina, seguida de algumas reflexões, por Orfila, Professor da Escola de Medicina de Paris.</t>
  </si>
  <si>
    <t>Doutrina Homoeopathica. (Continuação do n. antecedente).</t>
  </si>
  <si>
    <t>Samuel Hahnemann, Organon de l’art de guérir, traduit de l’allemand par Antoine Jourdan (Paris: Imprimerie de J.-B. Baillière, 1824).</t>
  </si>
  <si>
    <t>4.ª Sessão em 7 de maio de 1836.</t>
  </si>
  <si>
    <t>Mappa dos indivíduos vaccinados no 1.ª semestre do anno 1833 na Instituição Vaccínica desta Corte.</t>
  </si>
  <si>
    <t>Extracto de hum Artigo do Officio sob o n.ª 9 e data de 12 de Dezembro de 1834, do Encarregado dos Negocios do Brasil no Mexico, dirigido ao Ministro dos Negocios Estrangeiros, remettido por este ao dos Negocios do Imperio, e por este á Sociedade de Medicina.</t>
  </si>
  <si>
    <t>1.ª Sessão em 25 de fevereiro de 1834.</t>
  </si>
  <si>
    <t>2.ª Sessão em 8 de março de 1834.</t>
  </si>
  <si>
    <t>Observação sobre hum caso de perfuração ulcerosa de huma das valvulas sigmoides, e da origem da aorta no ponto correspondente, com derramamento na cavidade do pericardio; apresentada e lida na Sociedade de Medicina desta Corte, na Sessão de Agosto de 1833, pelo Membro Titular o Dr. Manoel de Valladão Pimentel, acompanhando a peça pathologica respectiva. (Continuado do N.ª antecedente.)</t>
  </si>
  <si>
    <t>4.ª Sessão de 5 de abril de 1834.</t>
  </si>
  <si>
    <t>5.ª Sessão de 26 de abril de 1834.</t>
  </si>
  <si>
    <t>6.ª Sessão de 5 de abril de 1834.</t>
  </si>
  <si>
    <t>7.ª Sessão de 31 de maio de 1834.</t>
  </si>
  <si>
    <t>8.ª Sessão de 14 de junho de 1834.</t>
  </si>
  <si>
    <t>9.ª Sessão de 28 de junho de 1834.</t>
  </si>
  <si>
    <t>10.ª Sessão de 12 de julho de 1834.</t>
  </si>
  <si>
    <t>11.ª Sessão de 19 de julho de 1834.</t>
  </si>
  <si>
    <t>12.ª Sessão de 31 de julho de 1834.</t>
  </si>
  <si>
    <t>13.ª Sessão de 9 de agosto de 1834.</t>
  </si>
  <si>
    <t>14.ª Sessão de 22 de agosto de 1834.</t>
  </si>
  <si>
    <t>15.ª Sessão de 4 de outubro de 1834.</t>
  </si>
  <si>
    <t>16.ª Sessão de 21 de outubro de 1834.</t>
  </si>
  <si>
    <t>17.ª Sessão de 8 de novembro de 1834.</t>
  </si>
  <si>
    <t>18.ª Sessão de 6 de dezembro de 1834.</t>
  </si>
  <si>
    <t>19.ª Sessão de 18 de dezembro de 1834.</t>
  </si>
  <si>
    <t>Botanica. (Continuado do N.ª 6.)</t>
  </si>
  <si>
    <t>2.ª Sessão de 21 de março de 1834.</t>
  </si>
  <si>
    <t>Reflexões sobre a prisão do Sr. Frederico Doclenger, pelo Juiz de Paz do 2.ª Districto do Santíssimo Sacramento, por suspeito de envenenamento na pessoa de hum doente tratado pelo dito Sr. Doclenger.</t>
  </si>
  <si>
    <t>13.ª Sessão de 20 de agosto de 1835.</t>
  </si>
  <si>
    <t>14.ª Sessão de 3 de setembro de 1835.</t>
  </si>
  <si>
    <t>15.ª Sessão de 14 de setembro de 1835.</t>
  </si>
  <si>
    <t>16.ª Sessão de 17 de setembro de 1835.</t>
  </si>
  <si>
    <t>17.ª Sessão do 1.ª de outubro de 1835.</t>
  </si>
  <si>
    <t>1.ª Sessão preparatoria em 15 de outubro de 1835.</t>
  </si>
  <si>
    <t>1.ª Sessão em 22 de fevereiro de 1836.</t>
  </si>
  <si>
    <t>2.ª Sessão em o 1.ª de março de 1836.</t>
  </si>
  <si>
    <t>Seção Medica. 1.ª Sessão em 21 de março de 1836.</t>
  </si>
  <si>
    <t>2.ª Sessão em 29 de março de 1836.</t>
  </si>
  <si>
    <t>Seção Cirurgica. 1.ª Sessão de 26 de fevereiro de 1836.</t>
  </si>
  <si>
    <t>2.ª Sessão em 10 de março de 1836.</t>
  </si>
  <si>
    <t>Seção de Pharmacia. 1.ª Sessão em 27 de fevereiro de 1836.</t>
  </si>
  <si>
    <t>2.ª Sessão em 28 de março de 1836.</t>
  </si>
  <si>
    <t>Secção de Medicina. 3.ª Sessão em o 1.ª de abril de 1836.</t>
  </si>
  <si>
    <t>5.ª Sessão de 19 de maio de 1836.</t>
  </si>
  <si>
    <t>Secção Cirurgica. 3.ª Sessão em 26 de março de 1836.</t>
  </si>
  <si>
    <t>4.ª Sessão em 21 de abril de 1836.</t>
  </si>
  <si>
    <t>5.ª Sessão em 15 de abril de 1836</t>
  </si>
  <si>
    <t>Secção de Pharmacia. 3.ª Sessão de 12 de abril de 1836.</t>
  </si>
  <si>
    <t>Continua de hum dos N.ºs antecedentes, o artigo intitulado como se fazem os autos de corpo de delicto no Brasil.</t>
  </si>
  <si>
    <t>Nota sobre o tratamento activo da gonorrhéa, communicado à Revista Medica de Paris por A. Berton.</t>
  </si>
  <si>
    <t>Estado actual da medicina na Hespanha.</t>
  </si>
  <si>
    <t>Opinião do redactor sobre a nossa febre typhoide.</t>
  </si>
  <si>
    <t>Politica.</t>
  </si>
  <si>
    <t>5.ª Sessão geral em o 1.º de maio de 1836.</t>
  </si>
  <si>
    <t>Secção de Medicina. 6.ª Sessão em 4 de junho de 1836.</t>
  </si>
  <si>
    <t>Secção Cirurgica. 6.ª Sessão em 6 de maio de 1836.</t>
  </si>
  <si>
    <t>Relatorio sobre huma Memoria do Sr. João Bernardo d’Almeida, acerca da enfermidade em Moçambique denominada Intaca. — Lido em 4 Junho de 1836.</t>
  </si>
  <si>
    <t>Discurso sobre a necessidade de hum Codigo Pharmaceutico Brasileiro, lido na sessão publica da Academia de Medicina, a 30 de Junho do corrente anno, pelo Sr. Ezequiel Correia dos Santos.</t>
  </si>
  <si>
    <t>Ezequiel Correia dos Santos</t>
  </si>
  <si>
    <t>Sessão publica da Academia Imperial de Medicina</t>
  </si>
  <si>
    <t>4.ª Sessão geral em 15 de junho de 1836.</t>
  </si>
  <si>
    <t>5.ª Sessão geral em 20 de junho de 1836.</t>
  </si>
  <si>
    <t>Secção Cirurgica. 7.ª Sessão geral em 20 de maio de 1836.</t>
  </si>
  <si>
    <t>Secção de Pharmacia. 4.ª Sessão em 10 de abril de 1836.</t>
  </si>
  <si>
    <t>5.ª Sessão em 26 de maio de 1836.</t>
  </si>
  <si>
    <t>Operações praticadas no Hospital da Santa Casa da Mizericordia, nos tres primeiros mezes do corrente anno, pelo Dr. M. F. Pereira de Carvalho.</t>
  </si>
  <si>
    <t>De huma obra de Mr. Julien de Paris intitulada: — Essai général d’éducation physique, morale et intellectuelle, approvada, e adoptada pelo Conselho Real de Instrução pública, como talvez a melhor de quantas existem sobre a materia, extrahimos o seguinte artigo, relativo á sanidade e importancia da profissão medica; quem assim falla não he hum enthusiasta da sua profissão, mas hum sabio, justo apreciador de todas.</t>
  </si>
  <si>
    <t>Discurso lido na Sessão publica da Academia Imperial de Medicina, a 30 de Junho do corrente anno, pelo Presidente annual, o Dr. Joaquim Candido Soares de Meirelles.</t>
  </si>
  <si>
    <t>Do segredo no exercicio da medicina.</t>
  </si>
  <si>
    <t>Operações praticadas no Hospital da Santa Casa da Mizericordia, nos tres primeiros mezes do corrente anno, pelo Dr. M. F. Pereira de Carvalho. (Continuado do antecedente n.º)</t>
  </si>
  <si>
    <t>Plano de Reorganisação do Curso de Pharmacia das Escolas de Medicina do Rio de Janeiro, e Bahia, e criação de Escolas Provinciaes de Pharmacia em diversas Provincias do Imperio; apresentado pela Secção de Pharmacia á Academia Imperial de Medicina.</t>
  </si>
  <si>
    <t>Secção de Medicina. 7.ª Sessão em 16 de julho de 1836.</t>
  </si>
  <si>
    <t>8.ª Sessão em 14 de julho de 1836.</t>
  </si>
  <si>
    <t>Secção de Pharmacia. 6.ª Sessão em 16 de maio de 1836.</t>
  </si>
  <si>
    <t>7.ª Sessão em 21 de maio de 1836.</t>
  </si>
  <si>
    <t>8.ª Sessão em 25 de maio de 1836.</t>
  </si>
  <si>
    <t>9.ª Sessão em 28 de junho de 1836.</t>
  </si>
  <si>
    <t>10.ª Sessão de 12 de julho de 1836.</t>
  </si>
  <si>
    <t>Observação sobre hum caso de febre intermittente algida, com symptomas cholericos; pelo Dr. Imbert.</t>
  </si>
  <si>
    <t xml:space="preserve">Sobre a dicta e sobre o seu abuso no tratamento das doenças. </t>
  </si>
  <si>
    <t>Memoria sobre o Tetano conhecido debaixo do nome de Opisthotonos; pelo Sr. João Evangelista Rangel, Cirurgião formado.</t>
  </si>
  <si>
    <t>João Evangelista Rangel</t>
  </si>
  <si>
    <t>"O Sr. A. M. de Sousa, que tanto tem trabalho por enriquecer a materia medica…"</t>
  </si>
  <si>
    <t>Secção de Medicina. 9.ª Sessão de 28 de julho de 1836.</t>
  </si>
  <si>
    <t>Secção de Pharmacia. 11.ª Sessão em 26 de julho de 1836.</t>
  </si>
  <si>
    <t>Dos agente therapeuticos considerados quanto à sua acção diversa sobre a economia.</t>
  </si>
  <si>
    <t>Memoria sobre o tétano conhecido debaixo do nome de Opisthotonos; pelo Sr. João Evangelista Rangel, Cirurgião formado. (Continuado do n.º antecedente.)</t>
  </si>
  <si>
    <t>Da molestia considerada em geral, segundo as differentes doutrinas medicas.</t>
  </si>
  <si>
    <t>Obra a publicar-se.</t>
  </si>
  <si>
    <t>Secção de Pharmacia. 12.ª Sessão em 30 de agosto de 1836.</t>
  </si>
  <si>
    <t>13.ª Sessão em 13 de setembro de 1836.</t>
  </si>
  <si>
    <t>Da molestia considerada em geral, segundo as differentes doutrinas medicas. (Continuada do n.º antecedente)</t>
  </si>
  <si>
    <t>Memoria sobre o tétano conhecido debaixo do nome de Opisthotonos; pelo Sr. João Evangelista Rangel, Cirurgião formado. (Continuado de hum dos n.ºs antecedentes.)</t>
  </si>
  <si>
    <t>3.ª Sessão de 4 de abril de 1835.</t>
  </si>
  <si>
    <t>4.ª Sessão de 14 de abril de 1835.</t>
  </si>
  <si>
    <t>Relatorio do Sr. Dr. Maia, ácerca da Memoria do Sr. Dr. Francisco José de Araujo Oliveira, sobre a paralysia; apresentada em 18 de Fevereiro de 1834, à Sociedade de Medicina, para ser nomeado Membro Correspondente. Lido na Sessão de 28 de Fevereiro de 1835.</t>
  </si>
  <si>
    <t>Relatorio do Sr. Dr. Freire, sobre a Obra de M. Levacher intitulada — Guide Medicale des Antilles et du Brésil — lido e approvado em 21 de Março de 1835.</t>
  </si>
  <si>
    <t>Memoria 1.ª Discripção abreviada da Ilha de Santa Lucia, de suas produções, seus habitantes, e seu clima; extrahida da Obra do Sr. Levacher, por F. Freire Allemão.</t>
  </si>
  <si>
    <t>Memoria 2.ª Extrahida da Obra do Sr. Levacher, por F. Freire Allemão.</t>
  </si>
  <si>
    <t>Diogo Antonio Feijó; Antonio Paulino Limp de Abreu</t>
  </si>
  <si>
    <t>5.ª Sessão de 2 de maio de 1835.</t>
  </si>
  <si>
    <t>6.ª Sessão de 30 de maio de 1835.</t>
  </si>
  <si>
    <t>8.ª Sessão de 27 de junho de 1835.</t>
  </si>
  <si>
    <t>Relatorio. Segunda Memoria da Obra de M. Levacher, pelo Sr. Dr. Freire; lida na Sessão de 16 de Maio de 1835. (Continuado do n. antecedente)</t>
  </si>
  <si>
    <t>Sessão de installação da Academia Imperial de Medicina do Rio de Janeiro.</t>
  </si>
  <si>
    <t>Antonio Paulino Limpo de Abreu</t>
  </si>
  <si>
    <t>Discurso pronunciado na sessão de instalação da Academia Imperial de Medicina do Rio de Janeiro, perante S. M. I., o Exm. Regente do Império, e de um auditório composto das principais dignidades da Corte, e dos homens ilustrados da Capital, no dia 21 de dezembro de 1835, por Joaquim Candido Soares de Meirelles, Dr. em Medicina e em Cirurgia pela Faculdade de Medicina de Paris, Membro Titular da Academia Imperial de Medicina do Rio de Janeiro e seu Presidente Interino, Correspondente da Real Academia Medico-Cirurgica de Nápoles, da Sociedade Philomatica de Paris, e da de Medicina de Louvain, &amp;c.</t>
  </si>
  <si>
    <t>Discurso pronunciado pelo Dr. J. C. S. de Meirelles, como Presidente da Sociedade, e orador da Deputação enviada pela Sociedade de Medicina ao Ministro do Imperio Antonio Pinto Chichorro da Gama.</t>
  </si>
  <si>
    <t>Feto humano vomitado por hum menino de tres annos.</t>
  </si>
  <si>
    <t>Luiz José de Godoy Torres</t>
  </si>
  <si>
    <t>Victour Broussais</t>
  </si>
  <si>
    <t>Cartas sobre o Magnetismo Animal, contendo a exposição critica das mais recentes Experiencias, e huma nova Theoria sobre as suas causas, phenomenos e applicações á medicina, dedicadas ao profesor Alibert, por J. Amadeo Dupau, doutor em medicina (1).</t>
  </si>
  <si>
    <t>Luiz Antonio da Costa; Fidelis Martins Bastos</t>
  </si>
  <si>
    <t xml:space="preserve">Pierre-François Percy and Charles-Jean-Baptiste Comet, “Erreur populaire relative à la saignée pratiquée dans l’apoplexie et autres cas graves,” in Opuscules de médecine, de chirurgie, d’hygiène, et critiques médico-littéraires, publiés dans l’“Hygie” (Paris: Mlle Delaunay, 1827), pp. 94–97. </t>
  </si>
  <si>
    <t>Lavagna, F. “Nuove sperienze comprovanti l’utilità dei pediluvi nitro-muriatici in alcune malattie del fegato.” Repertorio medico-chirurgico di Torino 64 (Aprile 1825): 145–155.</t>
  </si>
  <si>
    <t>Memoria sobre a Staphyloraphia, ou sutura do véo do paladar; por J. Roux Professor da faculdade de Medicina de Paris.</t>
  </si>
  <si>
    <t>6.ª Sessão em 16 de maio de 1835.</t>
  </si>
  <si>
    <t>10.ª Sessão de 11 de julho de 1835.</t>
  </si>
  <si>
    <t>11. Sessão de 23 de julho de 1835.</t>
  </si>
  <si>
    <t>12. Sessão em 6 de agosto de 1835.</t>
  </si>
  <si>
    <t>Relatorio da Commissão especial sobre à epidemia de febre catarral, que grassou nos primeiros mezes de 1835, feito pelo Doutor Maia, como Relator.</t>
  </si>
  <si>
    <t>Memoria do Sr. João Alvares Carneiro, sobre as bobas; lida na Sociedade de Medicina do Rio de Janeiro, em 3 de Setembro de 1856.</t>
  </si>
  <si>
    <t>Raiva ou hydrophobia. Methodo curativo do Doutor Buisson.</t>
  </si>
  <si>
    <t>João Frederico Doellinger</t>
  </si>
  <si>
    <t>Discurso do Ex. Ministro do Imperio.</t>
  </si>
  <si>
    <t>Correspondencia sobre os meios cosmeticos e hygienicos, de que usárão grandes Medicos e outros sabios da antiguidade.</t>
  </si>
  <si>
    <t>Bibliographia, ou analyse critica da Exposição ao Publico</t>
  </si>
  <si>
    <t xml:space="preserve">Revista Medica Fluminense. </t>
  </si>
  <si>
    <t>Observações sobre o uzo de hum oleo mui efficaz para favorecer, e promover a erupção das pústulas variolosas, quer nos casos de erupção incompleta, ou viciada, quer nos de repercussão; colhidas por João Alves de Moura, Cirurgião formado, e apresentadas à Sociedade de Medicina do Rio de Janeiro, em 5 de Maio de 1832.</t>
  </si>
  <si>
    <t>Factos que provão a propriedade anti-febril do principio extrahido pelo Sr. Ezechiel da casca do pau pereira.</t>
  </si>
  <si>
    <t>Variedades e Novidades Medicas</t>
  </si>
  <si>
    <t>Antonio José Souto do Amaral</t>
  </si>
  <si>
    <t>Efficacia d'agoa de vichay contra os calculos urinarios e gotta.</t>
  </si>
  <si>
    <t>Theses defendidas perante a Faculdade de Medicina do Rio de Janeiro, em o anno de 1840.</t>
  </si>
  <si>
    <t>Memoria sobre a dysenteria aguda, offerecida à Academia de Medicina do Rio de Janeiro, por José Pereira Rego, Dr. em Medicina e formado em Cirurgia pela Escola de Medicina do Rio de Janeiro em 1839.</t>
  </si>
  <si>
    <t>José Pereira Rego</t>
  </si>
  <si>
    <t>Elogio historico do Dr. José Pinto de Azeredo, pelo Dr. Emilio Joaquim da Silva Maia</t>
  </si>
  <si>
    <t>Theses defendidas perante a Faculdade de Medicina do Rio de Janeiro, em o anno de 1840. (Continuado do numero antecedente).</t>
  </si>
  <si>
    <t>Tratamento dos envenenamentos, pelo Dr. Chernoviz</t>
  </si>
  <si>
    <t>Tratamento da dysenteria. (Continuado do numero antecedente).</t>
  </si>
  <si>
    <t>Maravilhosa operação praticada no Egypto, por Gaëtany-Bey, noticia dada pelo Sr. J. Souto-Amaral.</t>
  </si>
  <si>
    <t>O quebra-pedra de Heurteloup modificado por Gaillon: artigo communicado pelo Sr. Souto-Amaral.</t>
  </si>
  <si>
    <t>Velpeau e a Orchite.</t>
  </si>
  <si>
    <t>Materia Medica Brasileira</t>
  </si>
  <si>
    <t>Plantas monocotyledoneas brasileiras empregadas na medicina.</t>
  </si>
  <si>
    <t>Casca de Pao Pereira (chamada também Canudo Amargoso, Pao Pente, e Pingnaciba pelos índios) Vallezia, Ruiz e Pavão.</t>
  </si>
  <si>
    <t>59.ª Sessão geral em 3 de setembro de 1840.</t>
  </si>
  <si>
    <t>Observações, que acompanhão a memória sobre a dysenteria aguda, pelo Sr. Dr. J. Pereira Rego; que vem nos dous números antecedentes.</t>
  </si>
  <si>
    <t>Suspensão da vida nos batracios pelo efeito do frio por Mr. Gaimard.</t>
  </si>
  <si>
    <t>Tenotomia.</t>
  </si>
  <si>
    <t>Novo meio curativo para as fissuras do ânus. Notícia dada pelo Sr. A. J. Souto Amaral.</t>
  </si>
  <si>
    <t>O nitrato de prata na cura da gastralgia, pelo Sr. Souto Amaral.</t>
  </si>
  <si>
    <t>O nitrato de prata nas blenorrhagias, pelo Sr. Souto Amaral.</t>
  </si>
  <si>
    <t>Noticia da agua denominada Santa existente no termo de Vassouras (Rio de Janeiro), dada pelo Sr. Antonio Maria de Miranda e Castro, estudante do 6.º anno da Escola de Medicina desta Côrte.</t>
  </si>
  <si>
    <t>58.ª Sessão geral em 20 de agosto de 1840.</t>
  </si>
  <si>
    <t>Antonio Maria de Miranda e Castro</t>
  </si>
  <si>
    <t>Meio simples de curar a constipação e o prolapso ani, que sobrevem às pessoas alienadas; por Georges Bodington, cirurgião de um estabelecimento de alienados em Sutton Colefield; traduzido do The Lancet; por J. M. do Rosário.</t>
  </si>
  <si>
    <t>Georges Bodington</t>
  </si>
  <si>
    <t>Discurso recitado, no dia 21 do corrente, pelo Sr. Dr. L. V. De-Simoni, secretário geral da Academia Imperial de Medicina, na igreja de S. Bento, no acto de se dar à sepultura o corpo do finado pharmaceutico José Caetano de Barros, membro honorário da dita Academia.</t>
  </si>
  <si>
    <t>Das molestias conhecidas pelo nome de estreitamentos da urethra, pelo Sr. Dr. F. Barrandon, antigo cirurgião dos hospitaes de França, residente em Campos. (Continuado do n. antecedente.)</t>
  </si>
  <si>
    <t>55.ª Sessão geral em 31 de julho de 1840.</t>
  </si>
  <si>
    <t>56.ª Sessão geral em 3 de agosto de 1840.</t>
  </si>
  <si>
    <t>57.ª Sessão geral em 6 de agosto de 1840.</t>
  </si>
  <si>
    <t>Maneira de preparar a veratrina, seu emprego, acção, e virtudes medicamentosas; pelo Dr. Ebel de Grunberg, no Grão-Ducado de Hesse. Artigo traduzido do Hufeland’s Journal der Practischen (Tomo LXXXVI, 8.º caderno, 1838); por J. M. do Rosario.</t>
  </si>
  <si>
    <t>Das moléstias conhecidas pelo nome de estreitamentos da urethra, pelo Sr. Dr. F. Barrandon, antigo cirurgião dos hospitaes de França, residente em Campos. (Continuado do n. antecedente).</t>
  </si>
  <si>
    <t>Pericarditis chronica, hypertrophia do ventriculo esquerdo com estado cartilaginoso de huma das valvulas ventriculo-aorticas, pleuriz violento no curso do tratamento, congestão de figado com schirrose do mesmo orgão, terminada pela morte. Observação colhida na clinica do Sr. Dr. Valladão no Hospital da Misericordia, por José Pereira Rego.</t>
  </si>
  <si>
    <t>Sessão geral em 2 de julho de 1840.</t>
  </si>
  <si>
    <t>Do ruído de couro novo como signal diagnóstico nas affecções abdominaes; por M. J. B. Kill, doutor em medicina, na Colonia; traduzido por Q.... D. M.</t>
  </si>
  <si>
    <t>Descoberta da natureza do centeio respigado.</t>
  </si>
  <si>
    <t>Artigo nechrologico à morte do Sr. Luiz Antonio da Costa Mattos.</t>
  </si>
  <si>
    <t>Discurso recitado junto à sepultura, no momento em que ia depositor-se o cadáver do pharmaceutico Luiz Antonio da Costa Mattos, no dia 7 do corrente, por E. C. dos Santos.</t>
  </si>
  <si>
    <t>Das molestias conhecidas pelo nome de estreitamentos da urethra, pelo Sr. Dr. F. Barrandon, antigo cirurgião dos hospitaes de França, residente em Campos.</t>
  </si>
  <si>
    <t>Considerações sobre alguns objectos relativos à hygiene pública, pelo Dr. José Pereira Rego.</t>
  </si>
  <si>
    <t>52.ª Sessão geral em 21 de maio de 1840.</t>
  </si>
  <si>
    <t>53.ª Sessão geral em 4 de junho de 1839.</t>
  </si>
  <si>
    <t>Calor comparativo dos vestidos.</t>
  </si>
  <si>
    <t>Caracter das boas bichas.</t>
  </si>
  <si>
    <t>Águas mineraes gazosas de S. João d’El-Rei (Minas), vulgarmente chamadas águas de Santa Rita.</t>
  </si>
  <si>
    <t>51.ª Sessão geral em 7 de maio de 1840.</t>
  </si>
  <si>
    <t>Considerações sobre alguns objectos relativos à hygiene pública, pelo Dr. J. P. Rego.</t>
  </si>
  <si>
    <t>Observação de huma encephalites congestiva, revestindo a forma apopletica, durante os primeiros dias de sua invasão, e de symptomas tetanicos no fim. Pelo Dr. José Pedro de Oliveira (de Montevidéo).</t>
  </si>
  <si>
    <t>José Pedro de Oliveira</t>
  </si>
  <si>
    <t>Novas águas minerais gazosas da província de Minas Gerais, vulgarmente chamadas água de Santa Rita.</t>
  </si>
  <si>
    <t>Calisto José de Arieira</t>
  </si>
  <si>
    <t>51.ª Sessão geral em 23 de abril de 1840.</t>
  </si>
  <si>
    <t>Relatorio do Sr. Dr. Francisco Julio Xavier, sobre duas memorias enviadas de Montevidéo pelo Sr. Garviso, lido e approvado na sessão de 26 de março de 1840.</t>
  </si>
  <si>
    <t>Francisco Julio Xavier</t>
  </si>
  <si>
    <t>Relatorio do Sr. Dr. José Bento da Rosa, sobre a memoria do Sr. Dr. José Pereira Rego, acerca da dysenteria; lido e approvado na sessão geral da Academia Imperial de Medicina em 12 de março de 1840.</t>
  </si>
  <si>
    <t>José Bento da Rosa</t>
  </si>
  <si>
    <t>Tratamento do Dr. Sauter na hydrophobia, traduzido do allemão pelo Dr. Lallemant.</t>
  </si>
  <si>
    <t>Observação. Convulsões puerperais resultantes d’um parto laborioso, e seguidas de derramamento cerebral, hemiplegia do lado direito, estado commatoso durante cinco dias, perda da falla por nove dias, delírio succedendo a estes phenômenos, diarrhéa ao depois, ulceração na região sacra, seguida de gangrena em grande extensão, febres intermittentes quotidianas, erysipela geral dos membros inferiores, reaparecimento da diarrhéa, symptomas de colite ligeira, terminado tudo pela cura; pelo Dr. J. P. Rego.</t>
  </si>
  <si>
    <t>Duas observações de hydrocele de natureza particular, pelo Dr. M. Louis Czerniewicz, médico clínico no Rio de Janeiro.</t>
  </si>
  <si>
    <t>Ferida perforante do olho causando a saída do cristalino. Caso observado pelo Dr. Lallemant, médico clínico no Rio de Janeiro.</t>
  </si>
  <si>
    <t>Observação de huma ruptura do baço com hemorragia proveniente de queda, pelo Sr. Francisco de Paula Duarte de Araujo Gondim, cirurgião interno do Hospital da Misericórdia.</t>
  </si>
  <si>
    <t>Francisco de Paula Duarte de Araujo Gondim</t>
  </si>
  <si>
    <t>49.ª Sessão geral em 9 de abril de 1840.</t>
  </si>
  <si>
    <t>Relatorio do Sr. Dr. Cuissart, sobre a memoria do Sr. Dr. L. T. Bonjean, acerca da amaurose, lido na sessão geral da Academia Imperial de Medicina de 4 de outubro de 1838.</t>
  </si>
  <si>
    <t>Responsabilidade dos médicos, pelo Dr. Garcia Peres. Jornal da Sociedade das Sciencias Medicas de Lisboa, jan., 1840.</t>
  </si>
  <si>
    <t>Garcia Peres</t>
  </si>
  <si>
    <t>Do emprego da creosote na surdez; por Harrison Curtis, médico de Londres; traduzido of the Lancet, nov. 1838, por Q…. D. M.</t>
  </si>
  <si>
    <t>Harrison Curtis</t>
  </si>
  <si>
    <t>Medicina hydriatrica. Artigo extrahido do Jornal do Commercio n. 153.</t>
  </si>
  <si>
    <t>Casos de longevidade.</t>
  </si>
  <si>
    <t>Do abuso dos vomitórios e purgantes pelo Dr. José Pedro de Oliveira. Continuado do número antecedente.</t>
  </si>
  <si>
    <t>Consideração sobre alguns objectos relativos à hygiene pública, pelo Dr. J. P. Rego.</t>
  </si>
  <si>
    <t>Da cauterização da bexiga na cystite chronica. Memoria do Dr. P. Louis Czerniewicz, antigo interno dos hospitaes civis da França.</t>
  </si>
  <si>
    <t>Observações sobre o novo estabelecimento para os phthysicos da Santa Casa da Misericórdia, e o número dos indivíduos n’elle tratados desde 19 de março de 1839, até 19 de março deste anno; pelo Dr. L. V. De-Simoni.</t>
  </si>
  <si>
    <t>48.ª Sessão geral em 26 de março de 1840.</t>
  </si>
  <si>
    <t>José Pedro Marques Belmiro</t>
  </si>
  <si>
    <t>Theses defendidas perante a Faculdade de Medicina do Rio de Janeiro, que têm sido remetidas à redação da Revista Medica.</t>
  </si>
  <si>
    <t>Artigo de introducção.</t>
  </si>
  <si>
    <t>Considerações sobre a utilidade de estabelecer-se a constituição médica do Rio de Janeiro, pelo Dr. J. P. Rego.</t>
  </si>
  <si>
    <t>Reflexões sobre os melhores meios desinfectantes, pelo Sr. Manoel Rodrigues da Silva, pharmaceutico da cidade da Bahia.</t>
  </si>
  <si>
    <t>Manoel Rodrigues da Silva</t>
  </si>
  <si>
    <t>Do abuso dos vomitórios e purgantes; pelo Dr. José Pedro de Oliveira (de Montevidéu).</t>
  </si>
  <si>
    <t>46.ª Sessão geral em 19 de dezembro de 1839.</t>
  </si>
  <si>
    <t>47.ª Sessão geral em 12 de março de 1840.</t>
  </si>
  <si>
    <t>Gauthier de Claubry</t>
  </si>
  <si>
    <t>Novas formulas, extrahidas de jornaes medicos francezes.</t>
  </si>
  <si>
    <t>Temperatura da vagina e útero, durante a menstruação, e da vagina, durante a prenhez. The American Med. Lib. and Intelligencer, 15 April 1850.</t>
  </si>
  <si>
    <t>Observação de hum envenenamento causado pelo ácido arsenioso, ou oxido branco de arsênico, colhida pelo Dr. L. F. Bonjean.</t>
  </si>
  <si>
    <t>Observação da primeira operação de lithotricia praticada no Rio de Janeiro, pelo Dr. José Pedro de Oliveira.</t>
  </si>
  <si>
    <t>Utilidade e necessidade da gymnastica.</t>
  </si>
  <si>
    <t>39.ª Sessão geral em 16 de maio de 1839.</t>
  </si>
  <si>
    <t>40.ª Sessão geral em 20 de junho de 1839.</t>
  </si>
  <si>
    <t>41.ª Sessão geral em 18 de julho de 1839.</t>
  </si>
  <si>
    <t>Parecer da comissão especial da Academia Imperial de Medicina, sobre a consulta do Provedor e Meza da Santa Casa, acerca das melhores bases higiênicas para a construção de hum novo hospital, lido, discutido e aprovado na sessão geral de 18 de outubro de 1838.</t>
  </si>
  <si>
    <t>Thomaz Gomes dos Santos; Octaviano Maria da Roza; José Martins da Cruz Jobim</t>
  </si>
  <si>
    <t>Águas thermaes (Caldas) da província de Goyaz e seus maravilhosos effeitos para a cura da morphea e outras enfermidades rebeldes de pelle. Memoria dirigida pelo Sr. Vicente Moretti Foggia, italiano, ao Exm. Sr. Presidente de Goyaz.</t>
  </si>
  <si>
    <t>Vicente Moretti Foggia; Feliciano José Leal</t>
  </si>
  <si>
    <t>Paraplegia com alteração das ultimas vertebras dorsaes, manifestada varios annos depois de huma queda de cavallo, e curada com 13 moxas successivamente applicados com longos intervallos.</t>
  </si>
  <si>
    <t>37.ª Sessão geral em 11 de abril de 1839.</t>
  </si>
  <si>
    <t>Noticia da Bafureira de Cabo Verde: apresentada à Sociedade das Sciencias Medicas de Lisboa pelo Sr. Dr. B. A. Gomes. Extraída do Jornal da Sociedade das Sciencias Medicas de Lisboa.</t>
  </si>
  <si>
    <t>Nota sobre a amniotite ou inflammação da membrana amnios. Pelo Professor Hohl. (Allgemeine medizinische Zeitung.) Do Jornal da S. das S. Medicas de Lisboa.</t>
  </si>
  <si>
    <t>Descoberta interessante a respeito da Vaccina.</t>
  </si>
  <si>
    <t>Acido prussico.</t>
  </si>
  <si>
    <t>Reflexões sobre os exames de pharmacia ultimamente feitos na Escola de Medicina desta Corte, por um pharmaceutico fluminense.</t>
  </si>
  <si>
    <t>Relatorio das molestias reinantes, tratadas no Hospital da Marinha no trimestre de janeiro a março de 1839, pelo Sr. Dr. Francisco Felix Pereira da Costa.</t>
  </si>
  <si>
    <t>Francisco Felix Pereira da Costa</t>
  </si>
  <si>
    <t>Extracto do Relatorio do Provedor da Santa Casa da Misericordia, com algumas notas. Continuado do n.º 6.</t>
  </si>
  <si>
    <t>36.ª Sessão geral em 2 de março de 1839.</t>
  </si>
  <si>
    <t>Memoria sobre a amaurose (gota-serena), pelo Dr. L. F. Bonjean D. M. Apresentada em francez na sessão geral da Academia Imperial de Medicina, de 31 de março de 1838.</t>
  </si>
  <si>
    <t>Tratamento da ophthalmia purulenta dos meninos na enfermaria de Glasgow, por M. Wood, cirurgião deste estabelecimento. Extraído do London Medical Gazette</t>
  </si>
  <si>
    <t>Plantas monocotyledoneas brasileiras, empregadas na medicina.</t>
  </si>
  <si>
    <t>33.ª Sessão geral em 18 de outubro de 1838.</t>
  </si>
  <si>
    <t>34.ª Sessão geral em 3 de novembro de 1838.</t>
  </si>
  <si>
    <t>35.ª Sessão geral em 6 de dezembro de 1838.</t>
  </si>
  <si>
    <t>Secção de Pharmacia. Sessão em 9 de outubro de 1838. Sessão em 5 de março de 1839.</t>
  </si>
  <si>
    <t>Relação e observações do Sr. Dr. José Pereira Rego, sobre as moléstias, tratadas no Hospital da Santa Casa da Misericórdia, na repartição de Medicina a cargo do Dr. Luiz Vicente De-Simoni, desde 19 de abril até o fim de dezembro de 1837. Apresentada à Academia Imperial de Medicina em 3 de novembro de 1838.</t>
  </si>
  <si>
    <t>Sociedade Medico-Chirurgica Provincial da Inglaterra</t>
  </si>
  <si>
    <t>Willian Beaumont</t>
  </si>
  <si>
    <t>Noticias medicas.</t>
  </si>
  <si>
    <t>Importância e necessidade da criação de um manicômio ou estabelecimento especial para o tratamento dos alienados. — Pelo Dr. Luiz Vicente De-Simoni.</t>
  </si>
  <si>
    <t>Discurso pronunciado pelo Dr. Luiz Vicente De-Simoni, como secretário geral da Academia Imperial de Medicina, no acto da inhumanação do corpo do finado pharmaceutico Luiz Antonio da Costa Mattos, membro titular da secção de pharmacia da mesma Academia, em o dia 7 do corrente, nas catacumbas da ordem terceira da Penitencia.</t>
  </si>
  <si>
    <t>Extracto do Relatorio do Provedor da Santa Casa da Misericordia, com algumas notas.</t>
  </si>
  <si>
    <t>Parecer da comissão da Academia Imperial de Medicina encarregada de examinar o lugar destinado pela administração da Santa Casa da Misericórdia, na Ponte do Calafate, para o novo cemitério da mesma Santa Casa, approvado pela mesma Academia na sua sessão geral de 20 de junho de 1839.</t>
  </si>
  <si>
    <t>Thomaz Gomes dos Santos; Augusto Cuissart; Octaviano Maria da Roza; Emilio Joaquim da Silva Maia; Manoel de Valladão Pimentel; Francisco de Paula Candido; José Francisco Sigaud.</t>
  </si>
  <si>
    <t>Noticia acerca da esquinencia e do seu tratamento; por Mr. Romain Gerardin, D. M. (Artigo traduzido por J. M. do Rozario).</t>
  </si>
  <si>
    <t>Romain Gerardin</t>
  </si>
  <si>
    <t>Novo methodo de amputar a lingua perto de sua base, imaginado e executado pelo Dr. Giorgio Regnoli, professor de clinica no hospital de Pisa. Observação redigida pelo Dr. Ranzi. (Artigo traduzido).</t>
  </si>
  <si>
    <t>Processo de M. Garot para cobrir as pílulas com gelatina a fim de se poderem tomar sem sentir-se o sabor das substâncias de que são compostas. Traduzido do Journal de Pharmacie.</t>
  </si>
  <si>
    <t>Observação de uma otite (inflammação do ouvido) interna aguda, colhida pelo Dr. Frederico Barandon.</t>
  </si>
  <si>
    <t>Frederico Barandon</t>
  </si>
  <si>
    <t>Importancia e necessidade do estudo da oculistica e da fundação de hum estabelecimento a elle destinado nesta Corte: artigo communicado por G. A., medico italiano.</t>
  </si>
  <si>
    <t>Relatorio das molestias reinantes tratadas no Hospital da Marinha, no trimestre de Outubro a Dezembro de 1838, pelo Sr. Dr. Francisco Felix Pereira da Costa.</t>
  </si>
  <si>
    <t>"No primeiro artigo em que tratámos deste assumpto, publicado no…"</t>
  </si>
  <si>
    <t>32.ª Sessão geral em 4 de outubro de 1839.</t>
  </si>
  <si>
    <t>Secção de Pharmacia. Sessão em 18 de setembro de 1838.</t>
  </si>
  <si>
    <t>Extracto do relatorio de M. Isidoro Geoffroy Saint Hilaire, acerca do merito scientifico de Goethe.</t>
  </si>
  <si>
    <t>Extracto da memória de Mr. Rognetta, médico francez, sobre as propriedades therapeúticas da belladona, e em particular do emprego desta substância no tratamento das molestias dos olhos. Traduzido da Gazette Medicale, pelo Sr. M. F. Lagos.</t>
  </si>
  <si>
    <t>Communicados.</t>
  </si>
  <si>
    <t>Erros populares relativos à saude.</t>
  </si>
  <si>
    <t>Observação de huma febre intermitente perniciosa, sendo os últimos accessos acompanhados de huma intensa cystite, a qual era determinada pela existencia de huma grande quantidade de cabellos na bexiga; pelo Cirurgião do corpo de Artilheria o Sr. Francisco Pereira Sebrão de Almeida. (Observação enviada da Bahia).</t>
  </si>
  <si>
    <t>Francisco Pereira Sebrão de Almeida</t>
  </si>
  <si>
    <t>Observação de uma ferida produzida por arma de fogo na mão direita, seguida de amputação do antebraço, e de completa cura em um mês, colhida na clínica do Sr. Dr. Manoel Feliciano Pereira de Carvalho por um de seus alunos.</t>
  </si>
  <si>
    <t>Longevidade brasileira.</t>
  </si>
  <si>
    <t>31.ª Sessão geral em 20 de setembro de 1839.</t>
  </si>
  <si>
    <t>Secção de Pharmacia. Sessão em 28 de agosto de 1838.</t>
  </si>
  <si>
    <t>Alexandre Augusto d’Oliveira Soares</t>
  </si>
  <si>
    <t>Considerações sobre alguns enganos dos órgãos sensórios da vista, pelo Dr. Adolfo Alberto Guilherme Rhodius, (médico alemão existente na cidade de S. Paulo).</t>
  </si>
  <si>
    <t>Adolfo Alberto Guilherme Rhodius</t>
  </si>
  <si>
    <t>30.ª Sessão geral em 6 de setembro de 1839.</t>
  </si>
  <si>
    <t>Algumas observações sobre o curativo das feridas e úlceras no hospital da Universidade de Londres; communicadas pelo Dr. Thomas Morton. Artigo traduzido.</t>
  </si>
  <si>
    <t>Thomas Morton</t>
  </si>
  <si>
    <t>Do perigo de ser enterrado vivo, e dos meios de comprovar a morte; por M. R. Bourgeois, D. M. P. — Artigo traduzido.</t>
  </si>
  <si>
    <t>Exposição das doutrinas médicas de Rasori, e de Tommasini, pelo Dr. João Brignoli, médico em Lisboa.</t>
  </si>
  <si>
    <t>João Brignoli</t>
  </si>
  <si>
    <t>Rasgos de coragem em alguns medicos.</t>
  </si>
  <si>
    <t>Duas palaras sobre o concurso.</t>
  </si>
  <si>
    <t>Revaccinação.</t>
  </si>
  <si>
    <t>Hercules Octaviano Muzzi</t>
  </si>
  <si>
    <t>Carta enviada de Paracatu.</t>
  </si>
  <si>
    <t>Manoel de Mello Franco</t>
  </si>
  <si>
    <t>Secção de Pharmacia. Sessão de 17 de junho de 1838.</t>
  </si>
  <si>
    <t>28. Sessão geral da academia.</t>
  </si>
  <si>
    <t>Regra de conducta do médico no exercício de sua profissão. Continuado do n. antecedente.</t>
  </si>
  <si>
    <t>Phosphorecencia do corpo humano depois da morte.</t>
  </si>
  <si>
    <t>Hygiene das profissões sedentarias, pelo Dr. Afonso Sanson.</t>
  </si>
  <si>
    <t>Afonso Sanson</t>
  </si>
  <si>
    <t xml:space="preserve">Casos raros. </t>
  </si>
  <si>
    <t>Hydrocele da tunica vaginal, curado por meio das injecções com tintura de iode, pelo Dr. A. da Costa Junior.</t>
  </si>
  <si>
    <t>Águas termaes (caldas) da província de Goyaz, e seus maravilhosos effeitos para a cura da morphéa.</t>
  </si>
  <si>
    <t>24.ª Sessão geral em 7 de junho de 1838.</t>
  </si>
  <si>
    <t>25.ª Sessão geral em 16 de junho de 1838.</t>
  </si>
  <si>
    <t>26.ª Sessão geral em 12 de julho de 1838.</t>
  </si>
  <si>
    <t>27.ª Sessão geral em 26 de julho de 1838.</t>
  </si>
  <si>
    <t>28.ª Sessão geral em 9 de agosto de 1838.</t>
  </si>
  <si>
    <t>Uso da agoa do mar contra a dyspepsia e affecções chronicas do figado, pelo Dr. Greenow, medico inglez.</t>
  </si>
  <si>
    <t>Novo remedio para a asma nervosa.</t>
  </si>
  <si>
    <t>Nova preparação de ipecacuanha.</t>
  </si>
  <si>
    <t>Formula do Sr. Mandiére, medico francez, contra a incontinencia das urinas.</t>
  </si>
  <si>
    <t>Pthisica pulmonar.</t>
  </si>
  <si>
    <t>Artigos nechrologicos.</t>
  </si>
  <si>
    <t>Concurso da Escola de Medicina.</t>
  </si>
  <si>
    <t>Comissão para examinar hum local para cemiterio.</t>
  </si>
  <si>
    <t>Continuação da Memoria do Sr. A. L. P. da Silva Manso, continuado do n. 10.</t>
  </si>
  <si>
    <t>Considerações sobre os abusos que se podem commetter no tratamento das molestias dos olhos.</t>
  </si>
  <si>
    <t>Considerações praticas sobre o senteio respigado por Mr. Duparque</t>
  </si>
  <si>
    <t xml:space="preserve">Morphetico mordido pela cobra cascavel. </t>
  </si>
  <si>
    <t>Advertencia às pessoas, que pretendem-se curar com mezinheiros.</t>
  </si>
  <si>
    <t>Novo Hospital para Phtisicos.</t>
  </si>
  <si>
    <t>Secção de Pharmacia. 18.ª Sessão em 20 de maio de 1838.</t>
  </si>
  <si>
    <t>Discurso sobre a morte do Sr. João Alvares Carneiro; continuado do numero antecedente.</t>
  </si>
  <si>
    <t xml:space="preserve">Sangria; nitratato de prata; meyo preservativo contra a Phthisica. </t>
  </si>
  <si>
    <t>Pomada que obsta a cahida dos cabellos.</t>
  </si>
  <si>
    <t>Noticia de humas novas aguas thermaes (Caldas) Brasileiras, e dos seus maravilhosos effeitos para a cura de morphea.</t>
  </si>
  <si>
    <t>Continuação da memoria do Sr. Mando, do N.º antecedente.</t>
  </si>
  <si>
    <t>Discurso necrológico sobre a morte de João Álvares Carneiro, recitado em huma sessão pública, e especial, da Academia, no dia 19 de dezembro de 1838, pelo Sr. Dr. Luiz Francisco Ferreira.</t>
  </si>
  <si>
    <t>Luiz Francisco Ferreira</t>
  </si>
  <si>
    <t>Continuação do relatorio das molestias reinantes tractadas no hospital de marinha.</t>
  </si>
  <si>
    <t>Cyanopathia.</t>
  </si>
  <si>
    <t>Indagações sobre a causa dos sons anormaes das arterias, e applicação d'estas indagações ao estado de muitas molestias, por M. Beau.</t>
  </si>
  <si>
    <t>Do senteio respigado na amonorrhea, pelo D. Euriotti Medico em Biello (Piedmonti).</t>
  </si>
  <si>
    <t>Artigo necrologico.</t>
  </si>
  <si>
    <t>23.ª Sessão geral em 31 de maio de 1838.</t>
  </si>
  <si>
    <t>Secção de Pharmacia. 16.ª Sessão em 20 de julho de 1837.</t>
  </si>
  <si>
    <t>17.ª Sessão em 3 de outubro de 1837.</t>
  </si>
  <si>
    <t>Nicolao Franchelli</t>
  </si>
  <si>
    <t>Enumeração das substancias brasileiras, que podem promover a cátarse, pelo Sr. A. L. P. da Silva Manso. Memoria coroada pela Imperial Academia de Medicina do Rio de Janeiro em o anno de 1836.</t>
  </si>
  <si>
    <t>Tartaro-emético em alta dose contra as inflammações agudas (methodo de Razori), pelo Dr. Barandon, D. M. M.</t>
  </si>
  <si>
    <t>Relatorio das molestias reinantes tratadas no hospital da Marinha pelo Sr. Dr. Francisco Felix Pereira da Costa.</t>
  </si>
  <si>
    <t>Da influencia dos climas sobre a produção e tratamento das affecções tuberculosas; por Ch. Dujat Doutor em Medicina.</t>
  </si>
  <si>
    <t>Belladona nas nevralgias.</t>
  </si>
  <si>
    <t>Lactolina.</t>
  </si>
  <si>
    <t>22.ª Sessão geral em 26 de maio de 1838.</t>
  </si>
  <si>
    <t>Discurso lido no fim da sessão publica d’Academia Imperial de Medicina, em 30 de Junho do corrente anno, pelo Dr. Francisco Freire Allemão como presidente da mesma Academia.</t>
  </si>
  <si>
    <t>Sobre alguns methodos empregados no tratamento do Hydroccle.</t>
  </si>
  <si>
    <t>Considerações praticas sobre as sangrias explorativas, revulsivas, e dirivativas.</t>
  </si>
  <si>
    <t>Communicados. Honras à memoria de João Alvares Carneiro, e inauguração do seu busto pela Academia Imperial de Medicina.</t>
  </si>
  <si>
    <t>21.ª Sessão geral em 17 de maio de 1838.</t>
  </si>
  <si>
    <t>Discurso sobre as cauzas que impedem o desenvolvimento da pharmacia no Brasil, e meios de as remover, lido na sessão publica annual da Academia Imperial de Medicina em 30 de junho do corrente anno, pelo Sr. Manoel Francisco Peixoto.</t>
  </si>
  <si>
    <t>Manoel Francisco Peixoto</t>
  </si>
  <si>
    <t>Relatório do Sr. Marcos da Silva Penha Lima, sobre a observação do Sr. Zamit, lido e approvado na sessão geral de 31 de Março de 1838.</t>
  </si>
  <si>
    <t>Marcos da Silva Penha Lima</t>
  </si>
  <si>
    <t>Tratamento da febre typhoide (dothinenteria) pelos evacuantes continuado; do numero antecedente.</t>
  </si>
  <si>
    <t>Injecções de nitrato de prata no tratamento do catharro chronico da bexiga, por Mr. Serre.</t>
  </si>
  <si>
    <t>Modo de conservar as sanguexugas.</t>
  </si>
  <si>
    <t>Bebida contra a irites chronica; formula de Carmichael.</t>
  </si>
  <si>
    <t>Cáustico destinado a cauterisar a garganta, por Mr. Bridel, médico em Bléré.</t>
  </si>
  <si>
    <t>De alguns medicamentos activos admnistrados em doses extraordinarias, por Mr. Forget.</t>
  </si>
  <si>
    <t>Tratamento da lepra pelo pez.</t>
  </si>
  <si>
    <t>Caso de extraordinaria longevidade.</t>
  </si>
  <si>
    <t>19.ª Sessão geral em 24 de abril de 1838.</t>
  </si>
  <si>
    <t>20.ª Sessão geral em 10 de maio de 1838.</t>
  </si>
  <si>
    <t>Discurso recitado na sessão pública da Academia Imperial de Medicina a 30 de junho do corrente anno pelo Sr. Dr. Francisco de Paula Candido.</t>
  </si>
  <si>
    <t>Novo processo operátorio para a cura do hydrocele, pelo Sr. Dr. Barandon.</t>
  </si>
  <si>
    <t>Reflexoens medico-cirurgicas sobre o tratamento das fracturas, pelo Sr. Dr. Luiz Francisco Bonjean.</t>
  </si>
  <si>
    <t>A elephantiasis dos gregos. — A cobra cascavel, (Crotalus horridus, Lin.).</t>
  </si>
  <si>
    <t>Fórmula apresentada e approvada pela secção de pharmacia da Academia Imperial de Medicina do Rio de Janeiro.</t>
  </si>
  <si>
    <t>Efficacia do opio para prevenir a inflammação que sobrevem às operações.</t>
  </si>
  <si>
    <t>Tratamento da febre typhoide (dothinen-teria) pelos evacuantes.</t>
  </si>
  <si>
    <t>15.ª Sessão geral em 18 de novembro de 1837.</t>
  </si>
  <si>
    <t>12.ª Sessão geral em 30 de dezembro de 1837.</t>
  </si>
  <si>
    <t>Sessão publica annual.</t>
  </si>
  <si>
    <t>Relatório dos trabalhos e estado da Academia Imperial de Medicina, lido na sessão pública de 30 de junho de 1838.</t>
  </si>
  <si>
    <t>Cura radical da encephalite com complicação gástrica, por A. da Costa Junior, Dr. em Medicina.</t>
  </si>
  <si>
    <t>Maneira de conhecer o sal d’alambre, e o cremor de tártaro, falsificados; pelo Sr. F. M. C. Leal Junior.</t>
  </si>
  <si>
    <t>Conservação das cantharidas, pelo Sr. Appert; extrahida dos Jornaes Francezes, pelo Sr. Barrol.</t>
  </si>
  <si>
    <t>Extracto de huma prelecção de Mr. Gendrin, Medico da Clinica do Hospital de la Pitié em Paris, sobre o rheumatismo agudo muito intenso.</t>
  </si>
  <si>
    <t>Uso do tartaro emetico em altas doses contra as lesões traumaticas. Memoria de J. Franc, premiada em 1833 pela Sociedade Cirurgica d’Emulação de Montpellier.</t>
  </si>
  <si>
    <t>11.ª Sessão geral em 27 de maio de 1837.</t>
  </si>
  <si>
    <t>12.ª Sessão geral em 5 de agosto de 1837.</t>
  </si>
  <si>
    <t>Sessão geral publica annual, em 30 de junho de 1837.</t>
  </si>
  <si>
    <t>13.ª Sessão geral em 11 de outubro de 1837.</t>
  </si>
  <si>
    <t>14.ª Sessão geral em 11 de novembro de 1837.</t>
  </si>
  <si>
    <t>Relatorio das molestias reinantes tratadas no Hospital da Marinha pelo Sr. Dr. Francisco Felix Pereira da Costa.</t>
  </si>
  <si>
    <t>Dos enterros precipitados, seus inconvenientes e providencias que reclamão. Pelo Dr. Francisco d’Assis e Souza Vaz.</t>
  </si>
  <si>
    <t>Francisco d’Assis e Souza Vaz</t>
  </si>
  <si>
    <t>Questão gramatical sobre a diferença que há entre as palavras boticario e pharmaceutico; extrahida de huma correspondencia, inserta no Bulletin de Pharmacia de Paris — Setembro de 1812.</t>
  </si>
  <si>
    <t>Maneira de conhecer a falsificação do hydriodato de potassa, da magnesia calcinada, da magnesia alva, do iodo e das flores de zinco.</t>
  </si>
  <si>
    <t>Extracto de huma memoria de Mr. Petrequin sobre o emprego therapeutico da creosota, e agua d’alcatrão no catarrho pulmonar chronico, e na phthisica em diversos gráos. Gazette Medicale de Paris, Novembro 1836.</t>
  </si>
  <si>
    <t>Principio do Sainête do vinho.</t>
  </si>
  <si>
    <t>Gagueira pelo Sr. Serres d'Alais.</t>
  </si>
  <si>
    <t>6.ª Sessão geral em 12 de agosto de 1836.</t>
  </si>
  <si>
    <t>7.ª Sessão geral em o 1ª de setembro de 1837.</t>
  </si>
  <si>
    <t>8.ª Sessão geral em 21 de fevereiro de 1837.</t>
  </si>
  <si>
    <t>9.ª Sessão geral em o 1º de março de 1837.</t>
  </si>
  <si>
    <t>10.ª Sessão geral em 17 de maio de 1837.</t>
  </si>
  <si>
    <t>Memoria sobre a elefancia, que ao Ministerio de 19 de setembro de 1837, em signal de profundo respeito e particular apreço, O. D. E C. o Autor.</t>
  </si>
  <si>
    <t>Maneira de conhecer o kermes mineral, o leite de enxofre, e o óleo d’ouro falsificados; pelo Sr. F. M. C. Leal Junior.</t>
  </si>
  <si>
    <t>Modo d'administrar a therebentina.</t>
  </si>
  <si>
    <t>Applicação do centeio respigado contra os corrimentos sanguíneos e mucosos, pelo Dr. Elliot de Stockholm.</t>
  </si>
  <si>
    <t>Concurso para lente na Escola de Medicina do Rio de Janeiro.</t>
  </si>
  <si>
    <t>Criação de hum jardim botanico para a Escolla Medica do Rio de Janeiro.</t>
  </si>
  <si>
    <t>Propagação da vaccina no Rio de Janeiro. Segundo semestre do anno de 1857.</t>
  </si>
  <si>
    <t>Raimundo José da Cunha Matos</t>
  </si>
  <si>
    <t>Discurso pronunciado pelo Presidente da Sociedade Auxiliadora da Industria Nacional, em Sessão de 2 de Julho de 1832.</t>
  </si>
  <si>
    <t>Memoria sobre a cultura do Cafeeiro, lida na Sessão de 7 de Fevereiro de 1833, da Sociedade Auxiliadora da Industria Nacional, pelo Socio effectivo, e Secretario actual, José Silvestre Rebello</t>
  </si>
  <si>
    <t>Discurso sobre o abuso das derrubadas de arvores em lugares superiores e vales, e sobre o das queimadas, lido na Sessão annual da Sociedade Auxiliadora da Industria Nacional, no dia 7 de Julho de 1833, por Januario da Cunha Barboza, Socio e 2.º Secretario da dita Sociedade.</t>
  </si>
  <si>
    <t>Memoria sobre a necessidade de se crearem Sociedades entre os homens por J. S. Rebello, lida na Sessão Publica de 7 de Julho de 1833 da Sociedade Auxiliadora.</t>
  </si>
  <si>
    <t>Vinagre.</t>
  </si>
  <si>
    <t>Principios geraes sobre o melhoramento das raças dos animaes domesticos.</t>
  </si>
  <si>
    <t>Das differentes especies de cal e do seu uso na economia rural e industrial.</t>
  </si>
  <si>
    <t>Descoberta para conservar as batatas.</t>
  </si>
  <si>
    <t>Methodo de conservar comestiveis por muito tempo e servirem depois como frescos.</t>
  </si>
  <si>
    <t>Pomada para impedir o cabello de cahir.</t>
  </si>
  <si>
    <t>Actividade e riqueza do solo; meios de as pôr e conservar em conveniente harmonia</t>
  </si>
  <si>
    <t>Meio de curar os caes envenenados com noz vomica</t>
  </si>
  <si>
    <t>Meio de transformar em sapatos pretos completamente novos os de marroquim esfolados ou sujos.</t>
  </si>
  <si>
    <t>Pedra para desengordurar as escovas de cabello.</t>
  </si>
  <si>
    <t>Sessao Publica da Sociedade Auxiladora da Industria. Relatório dos Trabalhos.</t>
  </si>
  <si>
    <t>Sessão da Sociedade Auxiliadora da Industria Nacional em Assembleia Geral aos 13 de Novembro de 1836.</t>
  </si>
  <si>
    <t>Sessão da mesma Sociedade em Assembléa Geral aos 20 de Novembro de 1836.</t>
  </si>
  <si>
    <t>Sessão N.º 137 do dia 3 de Dezembro de 1836.</t>
  </si>
  <si>
    <t>Preparação do Carvão de lenha.</t>
  </si>
  <si>
    <t>Sessão N.º 139 do dia 17 de Dezembro de 1836.</t>
  </si>
  <si>
    <t>Sessão N.º 140 do dia 7 de Janeiro de 1837.</t>
  </si>
  <si>
    <t>Memoria sobre a Geographia Hydraulica do Brasil, pelo Ex.mo Sr. 1º Secretario Cunha Matos.</t>
  </si>
  <si>
    <t>Regulamento que marca a maneira de fazer o Programma: a natureza dos prémios; o modo de julgar os trabalhos dignos delles; e, finalmente, o methodo de os conferir.</t>
  </si>
  <si>
    <t>Artigo sobre a criação dos insectos de seda.</t>
  </si>
  <si>
    <t>Sessão N.º 141 do Conselho Administrativo em 14 de janeiro de 1837.</t>
  </si>
  <si>
    <t>Sessão N.º 142 do Conselho Administrativo em 4 de fevereiro de 1837.</t>
  </si>
  <si>
    <t>Memoria sobre o tratamento da peste do gado vaccum.</t>
  </si>
  <si>
    <t>Observações praticas sobre a polmeira das cavallos.</t>
  </si>
  <si>
    <t>Modo de cevar galinhas ou frangos em 4 ou 5 dias.</t>
  </si>
  <si>
    <t>Maneira de destruir os bichos das arvores.</t>
  </si>
  <si>
    <t>Guardai as vossas agoas de Sabão.</t>
  </si>
  <si>
    <t>Remedio contra as formigas e aranhas.</t>
  </si>
  <si>
    <t>Nota a respeito das preparações empregadas para pintar os cabellos.</t>
  </si>
  <si>
    <t>Sabão para ennegrecer os cabelos.</t>
  </si>
  <si>
    <t>Maquina Magnetico-Electrica.</t>
  </si>
  <si>
    <t>Beterrabas.</t>
  </si>
  <si>
    <t>Consdeirações sobre a Mamoneira ou Carrapateiro</t>
  </si>
  <si>
    <t>Conservação das Carnes</t>
  </si>
  <si>
    <t>Reflexões sobre a raleadura, ou resiccação das flores.</t>
  </si>
  <si>
    <t>Preparação para preservar as feridas das arvores; e para cobrir o corte dos ramos novamente enxertados.</t>
  </si>
  <si>
    <t xml:space="preserve">Dos jardins de recreio de pouca extensão, dos jardins floristas, e dos tabolheiros de flores. </t>
  </si>
  <si>
    <t>Processo para fabricação do papelão, e do papel impermeaveis com as partes desperdiçadas dos couros e das pelles</t>
  </si>
  <si>
    <t xml:space="preserve">Analyse feita pelo R.mo Sr. Fr. Custodio Alves Serrão. </t>
  </si>
  <si>
    <t>Carta de pezames endereçada À Ill.ma e Ex.ma S.ra Condessa de Gestas pelo 1.º Secretario.</t>
  </si>
  <si>
    <t>Sessão Geral Anniversaria da Installação da Sociedade Auxiliadora da Industria Nacional, em 6 de Agosto.</t>
  </si>
  <si>
    <t>Discurso recitado pelo Ex.mo Sr. Presidente Francisco Cordeiro da Silva Torres.</t>
  </si>
  <si>
    <t>Relatorio recitado em a sessão publica da assembléa geral da Sociedade Auxiliadora da Indústria Nacional, em o dia 6 de agosto de 1837, pelo seu primeiro secretario Raimundo José da Cunha Matos.</t>
  </si>
  <si>
    <t>Elogio funebre do Sr. Conde de Gestas.</t>
  </si>
  <si>
    <t>Remedio para matar os carrapatos que atacão os animaes.</t>
  </si>
  <si>
    <t>Preservativo para livrar as pipas e toneis de serem furados pelos insectos vulgarmente conhecidos pelo nome de brocas.</t>
  </si>
  <si>
    <t>Minas de ferro.</t>
  </si>
  <si>
    <t>Carta a que se refere huma da Sessão.</t>
  </si>
  <si>
    <t>Sessão da Sociedade Auxiliadora da Industria Nacional em Assembléa Geral no dia 13 de Agosto deste anno.</t>
  </si>
  <si>
    <t>Memoria sorbre o cruzamento do gado vaccum.</t>
  </si>
  <si>
    <t>Arboricultura. Continuação do numero anterior.</t>
  </si>
  <si>
    <t>Carnaubeira.</t>
  </si>
  <si>
    <t>Processo para obter a composição de hum verniz preto chamado verniz preto naval.</t>
  </si>
  <si>
    <t>Processo proprio para tornar a lã tingida, ou não tingida idonea para ser fiada sem se lhe ajuntar azeite.</t>
  </si>
  <si>
    <t>Meio de aperfeiçoar o fabrico da telha e do tijolo</t>
  </si>
  <si>
    <t>Tinta indelevel alcalina, ou de segurança</t>
  </si>
  <si>
    <t>Parecer da Comissão sobre os três artigos vindos de Madrid.</t>
  </si>
  <si>
    <t>Memoria Historica sobre a População, Emigração e Colonisação que mais convem ao Brasil.</t>
  </si>
  <si>
    <t>Preparação do fogo branco indiano empregado pelos Astronomos.</t>
  </si>
  <si>
    <t>Processo pneumatico para tingir a seda, a lã, &amp;c</t>
  </si>
  <si>
    <t>Da purificação do ferro com auxílio da lenha</t>
  </si>
  <si>
    <t>Sobre a extracção da resinha dos Pinheiros e outras arvoers da Familia dos Coniferos</t>
  </si>
  <si>
    <t>Membros da Sociedade Auxiliadora da Industria Nacional</t>
  </si>
  <si>
    <t xml:space="preserve">Animaes domesticos: medicina veterinaria </t>
  </si>
  <si>
    <t>Cathecismo d'Agricultura</t>
  </si>
  <si>
    <t>Noticia sobre o carvão mineral da Provincia de Santa Catharina</t>
  </si>
  <si>
    <t>Sessão N.º 184 do Conselho Administrativo do dia 17 de março de 1838</t>
  </si>
  <si>
    <t>Noticias industriaes</t>
  </si>
  <si>
    <t>Melhoramento do solo</t>
  </si>
  <si>
    <t>Carta do Exm. Sr. Marquez de Quexeramobim, de que trata a sessão n.° 192.</t>
  </si>
  <si>
    <t>Parecer da comissão, que na sessão n.° 192 determinou o conselho que se imprimisse.</t>
  </si>
  <si>
    <t>Do leite e dos seus empregos</t>
  </si>
  <si>
    <t>Proposta. Ill.mos— Srs. Do conselho da Sociedade Auxiliadora da Industria Nacional.</t>
  </si>
  <si>
    <t>Sessão da Assembléa Geral da mesma Sociedade em 12 de Agosto</t>
  </si>
  <si>
    <t>Sessão da Assembléa Geral da mesma Sociedade em 19 de Agosto</t>
  </si>
  <si>
    <t>Relatorio recitado em Sessão Publica da Assemblea Geral da Sociedade Auxiliadora da Industria Nacional, pelo seu primeiro secretario Raymundo José da Cunha Mattos</t>
  </si>
  <si>
    <t>Substituição da Seda</t>
  </si>
  <si>
    <t>Extracto da memoria do Sr. Coronel Peréa, de que trata a sessão N.º 199</t>
  </si>
  <si>
    <t>Dos caminhos ou estradas de ferro</t>
  </si>
  <si>
    <t>Industria da Hollanda</t>
  </si>
  <si>
    <t>Sessão N.º 208 do Conselho Administrativo do dia 12 de janeiro de 1839</t>
  </si>
  <si>
    <t>Copia da carta lida na Sessão acima</t>
  </si>
  <si>
    <t>Sessão N.º 209 do Conselho Administrativo do dia 9 de fevereiro de 1839</t>
  </si>
  <si>
    <t>Sessão N.º 210 do Conselho Administrativo do dia 23 de março de 1839</t>
  </si>
  <si>
    <t>Importancia e applicações da Economia Politica</t>
  </si>
  <si>
    <t>Sessão N.º 211 do Conselho Administrativo do dia 5 de abril de 1839</t>
  </si>
  <si>
    <t>Sessão N.º 212 do Conselho Administrativo do dia 10 de maio de 1839</t>
  </si>
  <si>
    <t>Sessão N.º 213 do Conselho Administrativo do dia 25 de maio de 1839</t>
  </si>
  <si>
    <t>Carta a que se refere a sessão n.º 212</t>
  </si>
  <si>
    <t>Dos cereaes e da sua cultura especial - Milho</t>
  </si>
  <si>
    <t>Sessão N.º 214 do Conselho Administrativo do dia 8 de junho de 1839</t>
  </si>
  <si>
    <t>Sessão N.º 215 do Conselho Administrativo do dia 22 de junho de 1839</t>
  </si>
  <si>
    <t>Sessão da Assembléa Geral da Sociedade em 4 de agosto</t>
  </si>
  <si>
    <t>Utilidade do conhecimento dos solos para a prosperiedade da Agricultura</t>
  </si>
  <si>
    <t>Sessão da Assembléa Geral da Sociedade Auxiliadora da Industria Nacional em 25 de Agosto de 1839</t>
  </si>
  <si>
    <t>Sessão N.º 220 do Conselho Administrativo do dia 23 de agosto de 1839</t>
  </si>
  <si>
    <t>Elogio Historico do fallecido Secretario Perpetuo</t>
  </si>
  <si>
    <t>Sessão N.º 221 do Conselho Administrativo do dia 28 de setembro de 1839</t>
  </si>
  <si>
    <t>Sessão N.º 222 do Conselho Administrativo do dia 12 de outubro de 1839</t>
  </si>
  <si>
    <t>Ferramentas e instrumentos dos antigos</t>
  </si>
  <si>
    <t>O trabalho, ou cinco mil cruzados de renda.</t>
  </si>
  <si>
    <t>Sessão N.º 223 do Conselho Administrativo do dia 26 de outubro de 1839</t>
  </si>
  <si>
    <t>Sessão N.º 224 do Conselho Administrativo do dia 9 de novembro de 1839</t>
  </si>
  <si>
    <t>O povo e o trabalho.</t>
  </si>
  <si>
    <t>Sessão N.º 225 do Conselho Administrativo do dia 23 de novembro de 1839</t>
  </si>
  <si>
    <t>Como se lava a flanella, conservando-lhe a alvura.</t>
  </si>
  <si>
    <t>Arboricultura. Cuidados que devem haver com a plantação de arvores florestaes.</t>
  </si>
  <si>
    <t>Carta de agradecimento ao Exm. Sr. Dr. João Antonio de Miranda, actual Presidente do Pará.</t>
  </si>
  <si>
    <t>Apontamentos sobre a cultura do chá, colligidos de varias memorias, e offerecidos aos agricultores Catharinenses por J. J. Machado de Oliveira</t>
  </si>
  <si>
    <t>Memoria sobre a arte de criar os bichos da seda na China; extrahida da Historia do Imperio da China e da Tartaria, pelo Padre Duhalde, missionario</t>
  </si>
  <si>
    <t>Instruccção para os habitantes do campo sobre a educação e a cultura das arvores frutiferas novinhas, nascidas de sementes</t>
  </si>
  <si>
    <t>Relação botanica apresentada à Sociedade pelo seu membro o Sr. Dr. Riedel na sessão do Conselho N. 229</t>
  </si>
  <si>
    <t>Continuação da Memoria sobre a arte de criar os bichos de seda na China</t>
  </si>
  <si>
    <t>Idéas sobre a creação de uma Escola Normal</t>
  </si>
  <si>
    <t>Maneira de fabricar o negro animal (pó de marfim queimado) para uso das fabricas de refinar o assucar, da pintura, da graxa, etc.</t>
  </si>
  <si>
    <t>Novo emprego da cortiça.</t>
  </si>
  <si>
    <t>Frabicação de um feltro proprio para forro dos navios.</t>
  </si>
  <si>
    <t>Plantas para forragem (Continuação do N. 1)</t>
  </si>
  <si>
    <t>Destruição das plantas parasitas nas terras araveis.</t>
  </si>
  <si>
    <t>Continuação da memoria sobre os meios mais convenientes de supprir a falta dos estrumes animaes nos logares onde é difficultoso havel-os.</t>
  </si>
  <si>
    <t>Sessão Publica Anniversaria da Installação da Sociedade Auxiliadora da Industria Nacional em o dia 8 de Setembro de 1840.</t>
  </si>
  <si>
    <t>Sessão da Assembléa Geral da Sociedade Auxiliadora da Industria Nacional em 20 de Setembro de 1840.</t>
  </si>
  <si>
    <t>Observações sobre a agricultura no Brasil, copiadas de um Ms. da Bibliotheca do Instituto.</t>
  </si>
  <si>
    <t>Discurso sobre a utilidade da instituição de jardins nas principaes provincias do Brasil, por Manoel Arruda da Camara.</t>
  </si>
  <si>
    <t>Memoria sobre o azeite feito das sementes do girasol e do algodão, por Fr. José Marianno da Conceição Velloso.</t>
  </si>
  <si>
    <t>Historia natural da Orzella, pelo Dr. Felix de Avellar Brotero.</t>
  </si>
  <si>
    <t>Observações sobre a transplantação dos fructos da India ao Brasil, feitas por Duarte Ribeiro de Macedo.</t>
  </si>
  <si>
    <t>Sociedades nacionaes. – Colonia agricola e industrial na Provincia de S. Paulo.</t>
  </si>
  <si>
    <t>Sociedade para formação de uma estrada de ferro desde o Municipio da Corte até a villa de Rezende.</t>
  </si>
  <si>
    <t>Pedras fiadas e tecidas.</t>
  </si>
  <si>
    <t>Observações curiosas sobre os ovos.</t>
  </si>
  <si>
    <t>Imitação da tartaruga por meio da gelatina.</t>
  </si>
  <si>
    <t>Remedio para cura da hydrophobia.</t>
  </si>
  <si>
    <t>Relatorio dos trabalhos da Sociedade no anno decorrido desde 1839 a 1840, lido pelo Secretario Perpetuo o Sr. Conego J. da C. Barbosa na sessão publica anniversaria do mesmo anno.</t>
  </si>
  <si>
    <t>Memoria sobre os canaes e sua utilidade: pelo Sr. José Silvestre Rebello, membro effecivo da Sociedade.</t>
  </si>
  <si>
    <t>Itinerario mineralogico, observado na ocasião da diligencia de Monte Rorigo.</t>
  </si>
  <si>
    <t>Discurso sobre o melhoramento da economia rustica do Brasil pela intruducção do arado, reforma das fornalhas, e conservação de suas matas, etc, por José Gregorio de Moraes Navarro.</t>
  </si>
  <si>
    <t>7–9</t>
  </si>
  <si>
    <t>11–12</t>
  </si>
  <si>
    <t>O Propagador de Conhecimentos Uteis</t>
  </si>
  <si>
    <t>Acta da […] Sessão da Assembléa Geral da Sociedade de Agricultura, Commercio, e Industria da Bahia.</t>
  </si>
  <si>
    <t>Discurso—N.º 1. Do Sr. conselheiro Calmon, vice-presidente da Sociedade d’Agricultura, Commercio e Industria, recitado na reunião da assembléa da mesma sociedade, no dia 31 de janeiro de 1836.</t>
  </si>
  <si>
    <t>Trabalho Scientifico. Sciencias Fisicas.</t>
  </si>
  <si>
    <t>Agoa para a destruição dos insectos.</t>
  </si>
  <si>
    <t>Economia Usual</t>
  </si>
  <si>
    <t>Extracto do Philosophical Magazine. Remedio para evitar a corrupção dos firnos de cobre nos Navios.</t>
  </si>
  <si>
    <t>João Paes da Cunha</t>
  </si>
  <si>
    <t>Franklin, Benjamin. “To John Alleyne, Esq. (On Early Marriages), Craven Street, August 9, 1768.” In Memoirs of the Life and Writings of Benjamin Franklin …, edited by William Temple Franklin, vol. 3, 106. London: Henry Colburn, 1818.</t>
  </si>
  <si>
    <t>Francisco de Freire Allemão</t>
  </si>
  <si>
    <t>Francisco de Lemos de Faria Pereira Coutinho</t>
  </si>
  <si>
    <t>Krusenstern, Adam Johann von. Voyage Round the World in the Years 1803, 1804, 1805, &amp; 1806. Translated from the original German by Richard Belgrave Hoppner. 2 vols. London: John Murray, 1813.</t>
  </si>
  <si>
    <t>Drama Racional.</t>
  </si>
  <si>
    <t>Considerações sobre a Liberdade da Imprensa.</t>
  </si>
  <si>
    <t xml:space="preserve">Delisle de Sales, Jean-Baptiste-Claude. “Drame raisonnable (en un acte, avec des commentaires).” In De la philosophie de la nature, ou Traité de la morale pour le genre humain, vol. 4. London, 1804. </t>
  </si>
  <si>
    <t xml:space="preserve">Mackintosh, James. The Trial of John Peltier, Esq., for a Libel against Napoleon Buonaparté, First Consul of the French Republic, at the Court of King’s-Bench, Middlesex, on Monday the 21st of February, 1803. Taken in Short-Hand by Mr. Adams, and the Defence Revised by Mr. Mackintosh. London: Cox, Son, and Baylis, for M. Peltier, 1803. </t>
  </si>
  <si>
    <t xml:space="preserve">La Rochefoucauld-Liancourt, François-Alexandre-Frédéric, duc de. Des prisons de Philadelphie. Par un Européen. Philadelphia: Moreau de Saint-Méry, 1796. </t>
  </si>
  <si>
    <t>Carlos Julião</t>
  </si>
  <si>
    <t>Arquivo Histórico Ultramarino (AHU), Angola, cx. 40, “Relatório de Joaquim José da Silva a Martinho de Melo e Castro,” Benguela, 20 May 1787.</t>
  </si>
  <si>
    <t>Macedo, Duarte Ribeiro de. “Discurso do Doutor Duarte Ribeiro de Macedo sobre a introdução das artes no Reino que escreveu sendo enviado na Corte de Paris no ano de 1675.” Paris, 30 April 1675. Papéis do Brasil, Códice 14, fols. 95v–116, PT/TT/PBR/14. Arquivo Nacional da Torre do Tombo, Lisbon.</t>
  </si>
  <si>
    <t>Feijó, João da Silva. Memoria sobre a nova irrupção volcanica do Pico da Ilha do Fogo. Ilha do Fogo, 11 August 1786. Manuscript, Arquivo Histórico Ultramarino (AHU), Conselho Ultramarino, Cabo Verde, cx. 43, doc. 62.</t>
  </si>
  <si>
    <t>Silva, Joaquim José da. Letter to Júlio Mattiazzi. Benguela, 24 May 1787. Manuscript, CN/S-22. Arquivo Histórico do Museu Bocage, Museu Nacional de História Natural e da Ciência (MUHNAC/ULisboa), Lisbon; Silva, Joaquim José da. Letter to Júlio Mattiazzi. Luanda, 9 July 1787. Manuscript, CN/S-23. Arquivo Histórico do Museu Bocage, Museu Nacional de História Natural e da Ciência (MUHNAC/ULisboa), Lisbon.</t>
  </si>
  <si>
    <t xml:space="preserve">Costa, Cláudio Manuel da. “Não vês, Lise, brincar esse menino…” (Soneto XLVI), in Obras (Coimbra: Officina de Luiz Secco Ferreira, 1768), p. 24. </t>
  </si>
  <si>
    <t>Notes</t>
  </si>
  <si>
    <t>Describes specimens and transfers in the Rio royal garden created after 1808; institutional cue “nesta Corte” context = local reporting.</t>
  </si>
  <si>
    <t>Brazilian internal communications &amp; roadworks; no “extrahida/traduzida” cue; topic is provincial infrastructure.</t>
  </si>
  <si>
    <t>Continues the Arruda da Câmara agronomic memória already running as a Lisbon-origin reprint in nº 1–2.</t>
  </si>
  <si>
    <t>António Dinis da Cruz e Silva</t>
  </si>
  <si>
    <t>"S.P.F". was in Rio and published his grammatical/philosophical work there in 1813; O Patriota regularly carried his original texts.</t>
  </si>
  <si>
    <t>Marked “inédita”; first printing of a Brazilian poet’s manuscript in a Rio journal.</t>
  </si>
  <si>
    <t>“Nesta Corte” = Rio de Janeiro; local publication notice.</t>
  </si>
  <si>
    <t>Monthly meteorological series typical of Rio reporting.</t>
  </si>
  <si>
    <t>Monthly Rio meteorological table (ongoing local observation column).</t>
  </si>
  <si>
    <t>Compiled from “official maps” of Liverpool; i.e., extracted/translated foreign official returns.</t>
  </si>
  <si>
    <t xml:space="preserve">Provincial demographic return from a Brazilian capitania. </t>
  </si>
  <si>
    <t xml:space="preserve">Economic data for Ilha Grande (RJ), clearly Brazilian local statistics. </t>
  </si>
  <si>
    <t>Routine local death notice typical of the Rio “Necrologia” rubric.</t>
  </si>
  <si>
    <t>European text printed in Portuguese for a Brazilian readership.</t>
  </si>
  <si>
    <t>European  text printed in Portuguese for a Brazilian readership.</t>
  </si>
  <si>
    <t>The monthly Rio meteorological tabl, ongoing local observational series.</t>
  </si>
  <si>
    <t>Souza, Luiz Antônio da Silva e. Memória do descobrimento, governo, população e cousas mais notáveis da Capitania de Goyaz (1814). Goiânia: Editora UFG, 1998.</t>
  </si>
  <si>
    <t>“Roteiro do Maranhão e Goiás, pela Capitania do Piauhi, com as suas notas históricas.” Manuscript, Série Vermelha, Mss. 256 (copy by Fr. Vicente Salgado, O.F.M.). Biblioteca da Academia das Ciências de Lisboa (ACL), Lisbon.</t>
  </si>
  <si>
    <r>
      <t xml:space="preserve">Ongoing monthly meteorological table compiled in </t>
    </r>
    <r>
      <rPr>
        <b/>
        <sz val="11"/>
        <color theme="1"/>
        <rFont val="Calibri"/>
        <family val="2"/>
        <scheme val="minor"/>
      </rPr>
      <t>Rio</t>
    </r>
    <r>
      <rPr>
        <sz val="11"/>
        <color theme="1"/>
        <rFont val="Calibri"/>
        <family val="2"/>
        <scheme val="minor"/>
      </rPr>
      <t>.</t>
    </r>
  </si>
  <si>
    <t>Text of Pope Pius VII’s bull Sollicitudo omnium ecclesiarum (7 Aug 1814) restoring the Society of Jesus</t>
  </si>
  <si>
    <t>Foreign parliamentary digest (the term matches the French Chamber of Deputies created by the 1814 Charter)</t>
  </si>
  <si>
    <t>Portuguese rendering of John Dryden’s 1697 ode Alexander’s Feast, or the Power of Music (often translated/anthologized); the index credits Dryden explicitly.</t>
  </si>
  <si>
    <t>Prado, Francisco Rodrigues do. História dos Índios Cavalleiros, ou da Nação Guaycurú. Manuscript. Real Presídio de Coimbra, 1795. Rio de Janeiro: Instituto Histórico e Geográfico Brasileiro, Arquivo.</t>
  </si>
  <si>
    <t>Roteiro do Maranhão a Goyaz pela Capitania do Piauhí. Advertencia.</t>
  </si>
  <si>
    <t>João Pereira da Silva</t>
  </si>
  <si>
    <t xml:space="preserve">Commentary on the journal’s own meteorological observations (house essay). </t>
  </si>
  <si>
    <t>Ongoing Rio meteorological series.</t>
  </si>
  <si>
    <t xml:space="preserve">Reader/editor correspondence generated in Rio. </t>
  </si>
  <si>
    <t>Brazilian capitania “mapa” (production &amp; trade) compiled locally.</t>
  </si>
  <si>
    <t>Brazilian administrative data.</t>
  </si>
  <si>
    <t>French administrative report digested in Portuguese</t>
  </si>
  <si>
    <t>The Allied declaration dissolving the Congress of Châtillon.</t>
  </si>
  <si>
    <t>European diplomatic text rendered in Portuguese for Brazilian readers.</t>
  </si>
  <si>
    <t>José Manuel Antunes da Frota</t>
  </si>
  <si>
    <t>Monthly meteorological column compiled in Rio.</t>
  </si>
  <si>
    <t>The rubric explicitly refers to the Rio court.</t>
  </si>
  <si>
    <t>Identified as a “passagem” from a European poem (Delille’s L’Imagination); translated excerpt.</t>
  </si>
  <si>
    <t>A seventeenth-century Portuguese state paper (Restoration era) reprinted for context—Portuguese provenance.</t>
  </si>
  <si>
    <t>Foreign political news rendered in Portuguese</t>
  </si>
  <si>
    <t>Explicitly sourced to the Gazeta de Petersburgo; translated foreign notice.</t>
  </si>
  <si>
    <t>The header itself states it comes from an English periodical.</t>
  </si>
  <si>
    <t>Scandinavian treaty reported for Brazilian readers; translated.</t>
  </si>
  <si>
    <t>Virgilio</t>
  </si>
  <si>
    <t xml:space="preserve">French political speech rendered in Portuguese (foreign “Corpo Legislativo” context). </t>
  </si>
  <si>
    <t>French Senate (Sénat conservateur) speech reported in Portuguese; Lacépède was president of the Senate.</t>
  </si>
  <si>
    <t>Continuation of the French parliamentary exchange.</t>
  </si>
  <si>
    <t>Report of a European parliamentary sitting (British context).</t>
  </si>
  <si>
    <t>Foreign parliamentary address (Spanish/European rubric) rendered in Portuguese.</t>
  </si>
  <si>
    <t>British general’s 1814 proclamations in Italy routinely circulated via foreign prints.</t>
  </si>
  <si>
    <t>European political notice (Swiss Confederation) printed as a translated digest.</t>
  </si>
  <si>
    <t>Ongoing monthly meteorological series compiled in Rio.</t>
  </si>
  <si>
    <t>João Ferreira Soares</t>
  </si>
  <si>
    <t>European diplomatic act printed in Portuguese for a Brazilian readership.</t>
  </si>
  <si>
    <t xml:space="preserve">The journal’s recurring monthly meteorological table compiled in Rio. </t>
  </si>
  <si>
    <t xml:space="preserve">“Nesta Côrte” refers to the Rio court; it’s a house list of local publications. </t>
  </si>
  <si>
    <t>A critique (“por um Brasileiro”) of a recent European travel bool.</t>
  </si>
  <si>
    <t>Part of the serialized hydrographic/reflection essay first run in O Patriota and treated by the editors as a house series.</t>
  </si>
  <si>
    <t>Continuation of the paper’s report on an apparatus in the Rio laboratory milieu</t>
  </si>
  <si>
    <t>Continuation of the same European diplomatic exchange; translated reportage.</t>
  </si>
  <si>
    <t>European state act reproduced in Portuguese</t>
  </si>
  <si>
    <t>Broad European political digest</t>
  </si>
  <si>
    <t>House correspondence section</t>
  </si>
  <si>
    <t xml:space="preserve">Ongoing monthly meteorological table compiled locally in Rio. </t>
  </si>
  <si>
    <t>18th century Brazilian poet (Alvarenga Peixoto); appears as a single sonnet.</t>
  </si>
  <si>
    <t xml:space="preserve">Cruz e Silva, António Diniz da. Poesias de Antonio Diniz da Cruz e Silva na Arcadia de Lisboa Elpino Nonacriense. Tom. III: Que contém as Poesias Líricas. Lisboa: Typografia Lacerdina, 1812. </t>
  </si>
  <si>
    <t>Broad European situation report compiled from foreign gazettes and printed in Portuguese</t>
  </si>
  <si>
    <t>British government act rendered in Portuguese</t>
  </si>
  <si>
    <t xml:space="preserve">French royal declaration translated for the paper’s political section. </t>
  </si>
  <si>
    <t>War-of-1812 political document presented in Portuguese for Brazilian readers</t>
  </si>
  <si>
    <t>Narrative history focused on Rio produced as an internal serial</t>
  </si>
  <si>
    <t>Seventeenth-century Portuguese state paper reproduced for Rio readers.</t>
  </si>
  <si>
    <t>Consular/official Portuguese data reproduced for the journal.</t>
  </si>
  <si>
    <t>Diplomatic text carried via Portuguese official prints.</t>
  </si>
  <si>
    <t>Same treaty-reprint pattern as above.</t>
  </si>
  <si>
    <t xml:space="preserve">Editorial written in the paper’s voice. </t>
  </si>
  <si>
    <t xml:space="preserve">Rio publication notices. </t>
  </si>
  <si>
    <t>Obits mix local/foreign notices; provenance not identifiable from header.</t>
  </si>
  <si>
    <t xml:space="preserve">“Nesta Corte” = Rio; list of laws newly printed at Rio. </t>
  </si>
  <si>
    <t>Original critical/philological essay.</t>
  </si>
  <si>
    <t>Occasional court ode for the Rio court</t>
  </si>
  <si>
    <t>Marked "inédita" (first publication) of a manuscript by Manuel Maria Barbosa du Bocage (1765-1805).</t>
  </si>
  <si>
    <t>Speech delivered in the  “Mesa do Desembargo do Paço," then established in Rio</t>
  </si>
  <si>
    <t>Brazilian itinerary/description; the body of the issue around this section describes Brazilian rivers, fauna, routes, etc., typical of editor-prepared local materials.</t>
  </si>
  <si>
    <t>The journal’s monthly Rio meteorological table, compiled locally.</t>
  </si>
  <si>
    <t>“Nesta Corte” = Rio de Janeiro; house list of local publications.</t>
  </si>
  <si>
    <t>Brazilian internal-improvements notice about roads/communications between capitanias. Domestic administrative matter.</t>
  </si>
  <si>
    <t>European court/political notice rendered from foreign sources.</t>
  </si>
  <si>
    <t>Elmano Bahiense was a pseudonym of Manuel Ferreira de Araújo Guimarães, the journal's editor.</t>
  </si>
  <si>
    <t>Francisco de Almeida Serra</t>
  </si>
  <si>
    <t>Editor noted the piece was written by Serras in 1797.</t>
  </si>
  <si>
    <t>The journal’s monthly Rio meteorological table.</t>
  </si>
  <si>
    <t>House letters section produced in Rio.</t>
  </si>
  <si>
    <t>“Nesta Corte” = Rio de Janeiro; local publication notices.</t>
  </si>
  <si>
    <t>Explicitly “extrahida” from the Courier (foreign press).</t>
  </si>
  <si>
    <t>Polemical critique authored “por hum Brazileiro”; a house essay responding to a foreign travelogue.</t>
  </si>
  <si>
    <t>Brazilian settlement/road news; domestic administrative report.</t>
  </si>
  <si>
    <t>Presented explicitly as a tradução (Bocage’s Portuguese version) reproduced by the journal.</t>
  </si>
  <si>
    <t>Lisbon event (statue of D. José I, 1775); Portuguese commemorative verse reprinted.</t>
  </si>
  <si>
    <t>Court-occasion poem dated 1797; a Portuguese piece being reprinted.</t>
  </si>
  <si>
    <t xml:space="preserve">House meteorological series. </t>
  </si>
  <si>
    <t>Rio publication list.</t>
  </si>
  <si>
    <t>Foreign decree reported</t>
  </si>
  <si>
    <t>Publication of Feijó's unpublished manuscript.</t>
  </si>
  <si>
    <t xml:space="preserve">“Nesta Corte” = Rio de Janeiro; notices of laws freshly printed in Rio. </t>
  </si>
  <si>
    <t>Editorial/front-matter note in the journal’s voice.</t>
  </si>
  <si>
    <t>Manuel Inácio da Silva Alvarenga</t>
  </si>
  <si>
    <t>Alvarenga, Manoel Ignacio da Silva. O canto dos pastores: égloga oferecida a ***. Lisboa: Régia Officina Typografica, 1780, p. 63-9.</t>
  </si>
  <si>
    <t>Foreign biographical notice; text likely not a direct translation.</t>
  </si>
  <si>
    <t>Labeled “Resumo,” not a direct translation.</t>
  </si>
  <si>
    <t>Diplomatic notice</t>
  </si>
  <si>
    <t>Foreign economic digest</t>
  </si>
  <si>
    <t>Brazilian place/addressee; occasional local verse.</t>
  </si>
  <si>
    <t>Serial local history compiled by the editors.</t>
  </si>
  <si>
    <t>Science</t>
  </si>
  <si>
    <t>Revista Médica Fluminense</t>
  </si>
  <si>
    <t>Remedio contra as queimaduras.</t>
  </si>
  <si>
    <t>Observações sobre a cultura, e uso do Gira-Sol.</t>
  </si>
  <si>
    <t>Azeite de Baga, oleo de Recino, ou oleo de Mamona.</t>
  </si>
  <si>
    <t>Continuação da Viagem ao Sertão de Benguella.</t>
  </si>
  <si>
    <t>Ode do Desembargador Antonio Ribeiro dos Santos.</t>
  </si>
  <si>
    <t>Alexander von Humboldt</t>
  </si>
  <si>
    <t>João Pinto de Miranda</t>
  </si>
  <si>
    <t>Franco, Francisco de Mello. Ensaio sobre as febres com observações analyticas acerca da topographia, clima, e demais particularidades, que influem no caracter das febres do Rio de Janeiro. Lisbon: Academia Real das Sciencias, 1829, 13.</t>
  </si>
  <si>
    <t>Regra de conducta do medico no exercicio de sua profissão.</t>
  </si>
  <si>
    <t>Isidore Geoffroy Saint-Hilaire</t>
  </si>
  <si>
    <t>Davy, Humphry. Elements of Agricultural Chemistry, in a Course of Lectures for the Board of Agriculture. 2nd ed. London: Longman, Hurst, Rees, Orme, and Brown, 1814.</t>
  </si>
  <si>
    <t xml:space="preserve">Fray-Fournier, Jean-Baptiste. Essai sur l’origine des corps organisés et inorganisés, et sur quelques phénomènes de physiologie animale et végétale. Paris: Mme Ve Courcier, 1817. </t>
  </si>
  <si>
    <t>Renouard, Pierre-Victor. “Du charlatanisme en médecine.” Revue médicale française et étrangère (Paris) 2 (April 1839): 139–161.</t>
  </si>
  <si>
    <t>Bellingham, O’Bryan. “Observation d’un cas où des cristaux ont été trouvés dans les intestins d’un homme mort d’une pneumonie.” Archives générales de médecine (Paris) 3, no. 7 (1839): 248.</t>
  </si>
  <si>
    <t>F. M. C. Leal Júnior was a Portuguese chemist based in Lisbon and active in the Sociedade Farmacêutica de Lisboa, and that his technical notes on adulterations were first printed in the Jornal da Sociedade Pharmaceutica Lusitana and only then reprinted in Brazilian journals like the Revista Médica Fluminense.</t>
  </si>
  <si>
    <t>Reflexoens sobre as derrotas de cima, e suas estaçoens, continuadas do N.º 6, pag. 58.</t>
  </si>
  <si>
    <t>The piece explicitly says it is a review of English journals and then retells Dr Walter’s transfusion case in its own words.</t>
  </si>
  <si>
    <t>Emprego da belladona nas nevralgias; por G. Tood.</t>
  </si>
  <si>
    <t xml:space="preserve">Binard, D. A. “Extraction d’une pierre située entre le gland et le prépuce.” Journal de la Section de médecine de la Société académique du département de la Loire-Inférieure 6 (1830): 162–64. </t>
  </si>
  <si>
    <t>Original Portuguese circular written by Martius in 1829, inviting Brazilian readers to collect and send natural products (plants, drugs, resins, etc.) for scientific analysis</t>
  </si>
  <si>
    <t>Gaimard, Paul, and Nicolas-Vincent-Auguste Gérardin. Traitement du choléra-morbus. Paris: Levrault, 1832. Extract from Annales maritimes et coloniales.</t>
  </si>
  <si>
    <t>Boletim das Sciencias Medicas da Sociedade de Medicina de Bolonha</t>
  </si>
  <si>
    <t>Gazette de Medecine de Paris, Juillet 1830</t>
  </si>
  <si>
    <t>O Pensador</t>
  </si>
  <si>
    <t>Dr. Compagny</t>
  </si>
  <si>
    <t>Annales de lá Méd. Phyziolog, Novembre 1829</t>
  </si>
  <si>
    <t>Archives Generales de Médicine, Janvier 1830</t>
  </si>
  <si>
    <t>Sessões da Academia Real das Sciencias</t>
  </si>
  <si>
    <t>Journal Hebdomadaire de Médecine</t>
  </si>
  <si>
    <t>Journal des progrès des Sciencies et institutions médicales, Tome 18</t>
  </si>
  <si>
    <t>Sessões da Academia Real de Medicina Cirurgia e Pharmacia de Paris</t>
  </si>
  <si>
    <t>Academia Real de Medicina, de Chirurgia, e de Pharmacia</t>
  </si>
  <si>
    <t>Archivos Geraes de Medicina</t>
  </si>
  <si>
    <t>Revista Medica Franceza e Estrangeira</t>
  </si>
  <si>
    <t>Journal des connaissacers usuelles et pratiques, &amp;c. Avril 1830</t>
  </si>
  <si>
    <t>Giorn. d'Omodei</t>
  </si>
  <si>
    <t>Bulletin des Sciences. Ferussac.</t>
  </si>
  <si>
    <t>G. B. Bulletino delle scienze Mediche della Soc. Med. Chir. di Bologna</t>
  </si>
  <si>
    <t>Novo Merc. delle scienze Mediche</t>
  </si>
  <si>
    <t>Archives générales de médicine</t>
  </si>
  <si>
    <t>Revue médicale française étrangére</t>
  </si>
  <si>
    <t>Annales de Medicine Phisiologique de P. V. Broussais Decembre 1829</t>
  </si>
  <si>
    <t>Journal Genéral de Medicina, de chirurgie et de pharmacie</t>
  </si>
  <si>
    <t>Journal des progrès des Sciencies et institutions médicales</t>
  </si>
  <si>
    <t>Constitutionnel, 30 octobre 1830</t>
  </si>
  <si>
    <t>Journal des progrès des Sciencies et institutions médicales, Tome XVIII</t>
  </si>
  <si>
    <t>Dissertação sobre a epilepsia pele Dr. Fidelis Martins Bastos</t>
  </si>
  <si>
    <t>Journal Universel des Sciences Medicales</t>
  </si>
  <si>
    <t>Bulletin de Ferussac</t>
  </si>
  <si>
    <t>Nuovo Mercurio delle scienze mediche</t>
  </si>
  <si>
    <t>O Amigo da Salubridade Publica</t>
  </si>
  <si>
    <t>Dissertation sur les dents, par Mr. Alphonse Toirac</t>
  </si>
  <si>
    <t>M. R. Christison</t>
  </si>
  <si>
    <t>Annales de Clinique; Bolletino delle Scienze Mediche della Societá Med. Chir. di Bologna</t>
  </si>
  <si>
    <t>Journal Universel des Sciences medicales</t>
  </si>
  <si>
    <t>Nouveau Journal de Paris, 10 Novembre 1830</t>
  </si>
  <si>
    <t>J. S.</t>
  </si>
  <si>
    <t>Journal General de Médecine</t>
  </si>
  <si>
    <t>P. M. Raux</t>
  </si>
  <si>
    <t>Extrait du Medico-Chirurgical transactions of London, vol. XI, part. II; par P. M. Raux.</t>
  </si>
  <si>
    <t>Journal Général de Médecine, de Chirurgie et de Pharmacie</t>
  </si>
  <si>
    <t>Bulletino delle scienze Mediche della Soc. Med. Chir. di Bologna</t>
  </si>
  <si>
    <t>Recueil Encyclopédique</t>
  </si>
  <si>
    <t>Journal de Chimie Médicale</t>
  </si>
  <si>
    <t>Révue Médicale</t>
  </si>
  <si>
    <t>Conselheiro Neumann</t>
  </si>
  <si>
    <t>Nouveau Journal de Médecine</t>
  </si>
  <si>
    <t>Medical London Repository</t>
  </si>
  <si>
    <t>Opuscules de critique médicale par le Baron Percy</t>
  </si>
  <si>
    <t>Sessão da Academia das Sciencias de Paris de 13 de Dezembro de 1830</t>
  </si>
  <si>
    <t>The Medical Recorder, Philadelphia</t>
  </si>
  <si>
    <t>Exame das Doutrinas Medicas &amp;c. — por M. Broussais</t>
  </si>
  <si>
    <t>J. F. S.</t>
  </si>
  <si>
    <t>Revue Britanique</t>
  </si>
  <si>
    <t>Gazette de Santé de Paris</t>
  </si>
  <si>
    <t>Dr. Rengger; José Martins da Cruz Jobim</t>
  </si>
  <si>
    <t>Bollet. della Scienze Mediche della Soc. Med. Chir. di Bologna;  Edimburg Med. and Surg. Journal.</t>
  </si>
  <si>
    <t>F. S. A.</t>
  </si>
  <si>
    <t>Bolletino delle Scienze della Soc. Med. Chir. di Bologna</t>
  </si>
  <si>
    <t>Constitutionnel, 17 Janvier 1831</t>
  </si>
  <si>
    <t>Archives de Médecine</t>
  </si>
  <si>
    <t>F. M. B.</t>
  </si>
  <si>
    <t>Revue Médicale Octobre 1830</t>
  </si>
  <si>
    <t>Mr. Dupuytren</t>
  </si>
  <si>
    <t>Revue Méd. Octobre 1850</t>
  </si>
  <si>
    <t>J. C. S. de Meirelles</t>
  </si>
  <si>
    <t>Revue Medicale Octobre 1830</t>
  </si>
  <si>
    <t>Du trouble de la nutrition, consequences medico-phytiologiques: Journal hebdomadaire</t>
  </si>
  <si>
    <t>Journal de la Section de Médecine de la Société Académique de Nantes 25. Livraison 1830</t>
  </si>
  <si>
    <t>Revue Medicale</t>
  </si>
  <si>
    <t>Revue Medicale, Octobre 1830</t>
  </si>
  <si>
    <t>Archives générales de Médecine, Juin 1830</t>
  </si>
  <si>
    <t>Archives Generales de Médicine, Avril 1831</t>
  </si>
  <si>
    <t>Revue Medicale Avril 1831</t>
  </si>
  <si>
    <t>Osservatore Medico di Napoli. Aprile 1830 N.º VII.</t>
  </si>
  <si>
    <t>The American Journal of the Med. Sciences. Lond. med and physic. Journal February 1831. Archives Gen. de Méd. Avril 1831</t>
  </si>
  <si>
    <t>The Dublin Hospital reports, 1830 Tem. V. pag. 515</t>
  </si>
  <si>
    <t>Gazette Médicale de Paris: Mai 1831</t>
  </si>
  <si>
    <t>Le Temps, 10 Mai 1831</t>
  </si>
  <si>
    <t>Dr. F. M. Bastos; A. Américo Urzedo; A. Martins Pinheiro.</t>
  </si>
  <si>
    <t>Constitutionnel, 21 et 23 Julho 1831</t>
  </si>
  <si>
    <t>Academia Real das Sciencias de Paris. Sessão de 4 de Abril de 1831; Archives General de Médecine, Avril 1831</t>
  </si>
  <si>
    <t>Dr. Antommarchi</t>
  </si>
  <si>
    <t>Le Constitutionel 12 Juillet 1851</t>
  </si>
  <si>
    <t>Journal des Debats 6 Julliet 1831</t>
  </si>
  <si>
    <t>Mr. Tanchou, D. M.</t>
  </si>
  <si>
    <t>Archives Générales de Medicine</t>
  </si>
  <si>
    <t>The Dublin Hospital Reports 1830, Tom. V, p. 320; Archives Générales de Medecine Avril 1831</t>
  </si>
  <si>
    <t>Conta dos trabalhos da Sociedade das Sciencias da Moselle, appresentada na sessão publica de 1830 por Mr. Scoutetten.</t>
  </si>
  <si>
    <t>Bispo Capelão Mór</t>
  </si>
  <si>
    <t>Archivees Genérales de Médecine Avril</t>
  </si>
  <si>
    <t>Archivees Genérales de Médecine, Avril 1831</t>
  </si>
  <si>
    <t>Revista M. de P., Março, pag. 343</t>
  </si>
  <si>
    <t>Dr. Torres Homem</t>
  </si>
  <si>
    <t>Annaes de Medicina Physiologica, 1831</t>
  </si>
  <si>
    <t>Bérard. Application de l'analyse à la Médecine pratique</t>
  </si>
  <si>
    <t>Anales d'hygiène publique, n.º 11</t>
  </si>
  <si>
    <t>Revue Medicale, 1831</t>
  </si>
  <si>
    <t>Archives Generales de Médicine, Outubro 1831</t>
  </si>
  <si>
    <t>Gazette Médicale de Paris, t. 2, n. 40</t>
  </si>
  <si>
    <t>L. A. Orillard: Propositions de Méd. et Chirurgie</t>
  </si>
  <si>
    <t>B. J. Recue Medicale, Avril 1851</t>
  </si>
  <si>
    <t>Archives Générales de Médicine, Avril 1831</t>
  </si>
  <si>
    <t>Revue Medicale Extr. do Medical Transactions</t>
  </si>
  <si>
    <t>Gazzete Medicale de Paris, Javier 1831</t>
  </si>
  <si>
    <t>V. Annali Universali di Medicina do Dr. Omodei, julho 1831</t>
  </si>
  <si>
    <t>Revue Medicale, t. 4, Octubre 1831</t>
  </si>
  <si>
    <t>Archives Generales de Médicine, Dezembro 1831</t>
  </si>
  <si>
    <t>Gazette Medicale de Paris, Janeiro 1831</t>
  </si>
  <si>
    <t>Revue Médicale</t>
  </si>
  <si>
    <t>Archives Generales de Médicine</t>
  </si>
  <si>
    <t>Gisquet</t>
  </si>
  <si>
    <t>Journal des Commissions Sanitaires établies dans le Département de la Seine. Fevrier 1852</t>
  </si>
  <si>
    <t>Mr. H. Cloquet</t>
  </si>
  <si>
    <t>Journal des Commissions Sanitaires de Paris, 10 Avril 1832</t>
  </si>
  <si>
    <t>Dr. Léo</t>
  </si>
  <si>
    <t>Mr. de Loé</t>
  </si>
  <si>
    <t>Annali Universali di Medicina di Milano</t>
  </si>
  <si>
    <t>Journal des Commissions Sanitaires</t>
  </si>
  <si>
    <t>The Edinburgh Medical and Surgical Journal</t>
  </si>
  <si>
    <t>Bonnet</t>
  </si>
  <si>
    <t>Mr. Peschier</t>
  </si>
  <si>
    <t>Notices et documents sur le Choléra; par Mr. Peschier n.º 2</t>
  </si>
  <si>
    <t>Mr. Sizaire</t>
  </si>
  <si>
    <t>Archives Generales de Medicine</t>
  </si>
  <si>
    <t>Dr. Sonderland</t>
  </si>
  <si>
    <t>Journal der praktischen Heilkund. Edimburg. Med. and surg. journal. Archiv. Gen. Med. 1831 Dez.</t>
  </si>
  <si>
    <t>J. Bigot</t>
  </si>
  <si>
    <t>Journal du Commerce, 15 Agosto 1832</t>
  </si>
  <si>
    <t>Diario do Governo</t>
  </si>
  <si>
    <t>Sr. Cuissart</t>
  </si>
  <si>
    <t>M. F. Clark</t>
  </si>
  <si>
    <t>Bullettino delle Scienze Med. di Bologna. Vol. 3. pag. 297</t>
  </si>
  <si>
    <t>Journal de Pharmacie 1831; Bulletino delle Scienze med. di Bologna. 1831</t>
  </si>
  <si>
    <t>Bulletino delle Scienze med. di Bologna, 1831</t>
  </si>
  <si>
    <t>Archives Generales de Medicine, 1831; Bulletino delle Scienze med. di Bologna, 1831</t>
  </si>
  <si>
    <t>Journal de Chimie et Pharmacie</t>
  </si>
  <si>
    <t>Rev. Méd., Bullet. delle Scienze Méd.</t>
  </si>
  <si>
    <t>Rust's Magasin, XXX. Bol. 5. tres Hest.</t>
  </si>
  <si>
    <t>D.S.</t>
  </si>
  <si>
    <t>Gazette Medicale, t. 2, n.º 19; Bullettino delle Scienze Med. di Bologna</t>
  </si>
  <si>
    <t>Bullettino delle Scienze Med. di Bologna</t>
  </si>
  <si>
    <t>Novo Odontalgico.</t>
  </si>
  <si>
    <t>Nota do Redactor</t>
  </si>
  <si>
    <t>Mr. Virey</t>
  </si>
  <si>
    <t>Journal de Pharmacie</t>
  </si>
  <si>
    <t>P. Gaimard; A. Gerardin</t>
  </si>
  <si>
    <t>Sr. Dr. Cuissart</t>
  </si>
  <si>
    <t>Sr. Dr. Torres</t>
  </si>
  <si>
    <t>Dr. C. Martius</t>
  </si>
  <si>
    <t>O. M. Rosa</t>
  </si>
  <si>
    <t>Tendo nós fallado em hum dos n.os antecedentes da enfermidade de Irajá…</t>
  </si>
  <si>
    <t>J. J. de Carvalho</t>
  </si>
  <si>
    <t>Mr. Lisfranc</t>
  </si>
  <si>
    <t>Bullettino delle Scienze Med. di Bologna; Gazeta Medicale</t>
  </si>
  <si>
    <t>J. B. Brugnon</t>
  </si>
  <si>
    <t>Osservatore Med. di Napoli</t>
  </si>
  <si>
    <t>Bullettino delle Scienze Med. di Bologna; Archives Generales de Medicine</t>
  </si>
  <si>
    <t>Osservat. Med. di Napoli &amp;c. Bollettino delle Scienze Med.</t>
  </si>
  <si>
    <t>“Polvere contro l’emorragia da causa traumatica.” Bullettino delle scienze mediche (Bologna) 3 (1831): 193–195.</t>
  </si>
  <si>
    <t>"Fosfato di chinina (Traduit du Journal de chimie médicale, pharmacie et de toxicologie pag. 50)" Bullettino delle scienze mediche (Bologna) 3 (1831): 145.</t>
  </si>
  <si>
    <t>"Guarigione di una febbre intermittente venuta in seguito di una forte tensione cerebrale. (Archives générales de médecine: febbraio 1831)." Bullettino delle scienze mediche (Bologna) 3 (1831): 195.</t>
  </si>
  <si>
    <t>"Rimedio contro le gastralgie , nevralgie della faccia ec.: del dott. Herisson." Bullettino delle scienze mediche (Bologna) 3 (1831): 195.</t>
  </si>
  <si>
    <t>"Rimedio contro le gastralgie , nevralgie della faccia ec.: del dott. Herisson." Bullettino delle scienze mediche (Bologna) 3 (1831): 199.</t>
  </si>
  <si>
    <t>"Sudore di Latte. Osservazione del Dottor L. D. Ajello. ( Osservatore med. di Napoli . Gennaio 1831.)." Bullettino delle scienze mediche (Bologna) 3 (1831): 297.</t>
  </si>
  <si>
    <t>"Rimedi contro il croup (Traduit du Journal de chimie médicale, de pharmacie et de toxicologie pag. 86 )." Bullettino delle scienze mediche (Bologna) 3 (1831): 145.</t>
  </si>
  <si>
    <t>"Esperienze sull'uso in medicina della radice di artemisia volgare (Revue médicale: gennaio 1831)." Bullettino delle scienze mediche (Bologna) 3 (1831): 133.</t>
  </si>
  <si>
    <t>"Esperienze col solfuro di carbonio fatte dai dottori Wutzer e Pellengahr (Revue médicale : gennaio 1831)." Bullettino delle scienze mediche (Bologna) 3 (1831): 133.</t>
  </si>
  <si>
    <t>"Nuovo processo per la operazione dell' Ectropio - del Sig. Dieffenbach (Rust's Magazin XXX. , Bol. 3. tes Hest , 1830.)" Bullettino delle scienze mediche (Bologna) 3 (1831): 216.</t>
  </si>
  <si>
    <t>"Caso di anatomia patologica, che spiega il meccanismo del vomito. ( Gazette méd. Tom. 2. N. 19. )." Bullettino delle scienze mediche (Bologna) 3 (1831): 286–287.</t>
  </si>
  <si>
    <t>"Applicazione di un nuovo Galvanometro al sistema nervoso degli animali viventi." Bullettino delle scienze mediche (Bologna) 3 (1831): 288–289.</t>
  </si>
  <si>
    <t>"Intorno i Senapismi (Osservatore med. di Napoli. Gennajo. 1831.)" Bullettino delle scienze mediche (Bologna) 3 (1831): 309–310.</t>
  </si>
  <si>
    <t>"Nuovo Odontalgico (Osservat. med. di Napoli .Marzo. 1831)" Bullettino delle scienze mediche (Bologna) 3 (1831): 310–311.</t>
  </si>
  <si>
    <t>"Sull' idrocele delle donne. (Osservatore med. di Napoli. Giugno. 1831.)" Bullettino delle scienze mediche (Bologna) 3 (1831): 324–325.</t>
  </si>
  <si>
    <t>"Considerations pratiques sur les fractures observées à la clinique de M. LISFRANC, chirurgien en chef de la Pitie." Journal de la Section de Medecine de la Societé Academique de Nantes (Nantes) 8, no. (1832): 73–78.</t>
  </si>
  <si>
    <t>"Accessi diforma epilletica guariti mediante l'applicazione di un moxa (Archives générales de médecine. Marzo. 1831.)" Bullettino delle scienze mediche (Bologna) 3 (1831): 308–309.</t>
  </si>
  <si>
    <t>"Uso dello sciroppo di punte d’ Asparagi come sedativo (Gazette Medicale Tom. 2. N. 22. Eusèbe de Salle)." Bullettino delle scienze mediche (Bologna) 4 (1831): 140–142.</t>
  </si>
  <si>
    <t>"Intorno il magnetizzarsi degli aghi nel sistema nervoso di animali vivi. Brano di Memoria letta ad un' Accademia Medico- chirurgica nell' Agosto del 1830. Lionello Poletti." Bullettino delle scienze mediche (Bologna) 4 (1831): 289–294.</t>
  </si>
  <si>
    <t>"Sul Magnetismo minerale. (Osservat. med. di Napoli. Maggio. 1831.)" Bullettino delle scienze mediche (Bologna) 3 (1831): 294–295.</t>
  </si>
  <si>
    <t>"Uso della Tintura composta di Benzuino nelle brucciature. (Archives générales de Médecine. Marzo. 1831.)" Bullettino delle scienze mediche (Bologna) 3 (1831): 307–308.</t>
  </si>
  <si>
    <t>"Sull' efficacia accessifuga ed antifebbrile delle fronde di olivo; di Gio. Battista Brugnon. ( Osservatore med. Di Napoli . Giugno. 1831 )." Bullettino delle scienze mediche (Bologna) 3 (1831): 302–303.</t>
  </si>
  <si>
    <t>"Uso dell' essenza di Terebinto contro la Salivazione. (Gazzette medicale, Agosto 1831.)" Bullettino delle scienze mediche (Bologna) 4 (1831): 199.</t>
  </si>
  <si>
    <t>"Avvelenamento prodotto dai vapori dell' etere nitrico. (Archives generales de me'decine , Giugno 1831.)" Bullettino delle scienze mediche (Bologna) 4 (1831): 145–146.</t>
  </si>
  <si>
    <t>"Sopra la forza organizzatrice, e sopra la formazione della fibra muscolare. (Archives Janvier 1832.)" Bullettino delle scienze mediche (Bologna) 5 (1832): 233–238.</t>
  </si>
  <si>
    <t>"Trattamento dell’ emiplegia proposto dal Dott. Richard. (Gazzette medicale, Settembre 1831.)" Bullettino delle scienze mediche (Bologna) 4 (1831): 198.</t>
  </si>
  <si>
    <t>"De la morve chez l'homme; par J. Elliotson, professeu de clinique medicale à l'hópitat St.Thomas, de Londres." Journal de la Section de médecine de la Société académique du département de la Loire-Inférieure (Nantes) 8 (1832): 68.</t>
  </si>
  <si>
    <t>"Observation recueillie par M. Robert, à la Basse-Indre. Rhumatisme articulaire." Journal de la Section de médecine de la Société académique du département de la Loire-Inférieure (Nantes) 6 (1830): 169–172.</t>
  </si>
  <si>
    <t>"Segala cornuta nella paraplegia. (Revue méd. ec. Maggio . 1831.)" Bullettino delle scienze mediche (Bologna) 4 (1831): 17.</t>
  </si>
  <si>
    <t>Pathologia. Varizes arteriaes. Observação de Mr. Dupuytren communicada á Academia Real de Medicina de Paris na Sessão de 14 de Outubro de 1830. (Revue Méd. Octobre 1830).</t>
  </si>
  <si>
    <t>Glerin, Jules. "Un case de Somnambulisme…" Gazette médicale de Paris (Paris) 3, no. 77 (28 August 1832) 838.</t>
  </si>
  <si>
    <t>Doutor Roth</t>
  </si>
  <si>
    <t>"Ernia dell’iride guarita colla pomata di atropa belladonna. (Osserv. med. di Napoli N. XXI Anno VII 1. Novembre 1829.)" Bullettino delle scienze mediche (Bologna) 1 (1829): 277.</t>
  </si>
  <si>
    <t>“Sur la liqueur de Koechlin dans les scrophules (extrait de La Clinique, t. 1, no. 26).” Archives générales de médecine (Paris) 21 (November 1829): 443–44.</t>
  </si>
  <si>
    <t>Sobre a primeira dentição.</t>
  </si>
  <si>
    <t>Toirac. "De la première dentition." Journal des connaissances usueles et practiques (Paris) 11, no. 61 (April 1830): 160–162.</t>
  </si>
  <si>
    <t>G. A. "Uso del Cloruro di oro contro le ottalmiti croniche. Osservazioni del Dott. Jahn. (Férussac. Giugno. 1829.)" Bullettino delle scienze mediche (Bologna) 1 (1829): 198–199.</t>
  </si>
  <si>
    <t>F. F. "Guarigione di un Aneurisma dell' arteria poplitea per mezzo dell argilla applicata allo esterno. (Nuovo Mercurio delle Scienze Mediche. Maggio e Giuguo. 1829.)" Bullettino delle scienze mediche (Bologna) 1 (1829): 220–221.</t>
  </si>
  <si>
    <t>Se a rotura da tunica interna, e media das carotidas, he nos enforcados sinal certo de que o individuo viria no acto do enforcamento.</t>
  </si>
  <si>
    <t>Do estado da medicina nos Estados-Unidos da America do Norte.</t>
  </si>
  <si>
    <t>Do Cholera morbus.</t>
  </si>
  <si>
    <t>Livres à vendre chez Emile Seignot-Plancher, et Pedro Veiga.</t>
  </si>
  <si>
    <t>Stevens, William. “Découverte relative aux altérations du sang dans certaines fièvres (Extrait d’un Mémoire lu au collége des médecins de Londres, par le docteur William Stevens).” Gazette médicale de Paris (Paris) 1, no. 28 (10 July 1830): 255–257.</t>
  </si>
  <si>
    <t>Indagações physiologicas sobre o laringe, relativamente à laringotomia; pelo Doutor Albers, de Bonn.</t>
  </si>
  <si>
    <t>Novo methodo para preparar o sub-carbonato de ferro.</t>
  </si>
  <si>
    <t>"Nuovo modo di preparare il sotto-carbonato di ferro. (Nuovo Mercurio delle Scienze Mediche. Luglio. 1829.)" Bullettino delle scienze mediche (Bologna) 1 (1829): 211.</t>
  </si>
  <si>
    <t>Chimica. Quinoidina, ou novo alcaloide descoberto na Quina por M. Sertuner.</t>
  </si>
  <si>
    <t>F.M. "Nuovo Alcaloide della China scoperto dal Sig. Sertumer. (Bulletin de Férussac. Giugno. 1829.)" Bullettino delle scienze mediche (Bologna) 1 (1829): 209.</t>
  </si>
  <si>
    <t>"Avvelenamento per l’olio empyreumatico. Osservazione del Dott. Duret. (Revue méd. Gennajo. 1830.)" Bullettino delle scienze mediche (Bologna) 1 (1829): 96–98.</t>
  </si>
  <si>
    <t>Sobre a amputação da perna na articulação do joelho.</t>
  </si>
  <si>
    <t>"Effetti dei colpi e delle contusioni fatte dopo la morte. Osservazioni del Prof. M. R. Christison. (Clinique. Annales ecc. 5. Settembre.)" Bullettino delle scienze mediche (Bologna) 1 (1829): 300–301.</t>
  </si>
  <si>
    <t xml:space="preserve">Alphonse Toirac, Dissertation sur les dents, considérées sous le rapport de la santé, de la physionomie, et de la prononciation (Paris: Imprimerie de Didot le jeune, 1823), 23–25. </t>
  </si>
  <si>
    <t>Alphonse Toirac</t>
  </si>
  <si>
    <t>Sobre huma enfermidade chamada Pelliosis rheumatica, observada na Allemanha. Observação do Dr. Henri Fucus (Bulletin de Ferussac.)</t>
  </si>
  <si>
    <t>G. A. "Intorno ad una malattia appellata Pelliosis reumatica osservata in Allemagna. Osservazione del Doti. Conrad. Henri Fucus. (Bullettin de Férussac. Agosto. 1829.)" Bullettino delle scienze mediche (Bologna) 1 (1829): 266–267.</t>
  </si>
  <si>
    <t>Caso de hum parto facilitado pelo uso da belladona; pelo doutor Mandt.</t>
  </si>
  <si>
    <t>Mandt. "Accouchement facilité par l'usage de la Belladone. Par le docteur Mandt." Gazette de Santé (Paris) 53, no. 3 (25 January 1826): 21.</t>
  </si>
  <si>
    <t>G. B. B. "Caratteri di distinzione fra la nevrite e la nevralgia; del Dott. F. Melier. (Journal analitique de Médecine. Settembre. 1829.)" Bullettino delle scienze mediche (Bologna) 1 (1829): 269.</t>
  </si>
  <si>
    <t>Chevalier, A. "Formule d'une lotion prescrite par le docteur Jean-Marie Varela Martinez, contre la blennorrhagie." Journal de chimie médicale, de pharmacie et de toxicologie (Paris) 5, no. 5 (May 1829): 240</t>
  </si>
  <si>
    <t>"Seduvi acre contro V epilessia. Osservazione del Dott. Godier. (Révue méd. Settembre. 1829.)" Bullettino delle scienze mediche (Bologna) 1 (1829): 272.</t>
  </si>
  <si>
    <t>Percy, Pierre-François. “Note sur la conduite que l’on doit tenir quand des corps étrangers sont introduits dans le canal alimentaire ou l’estomac,” in Opuscules de médecine, de chirurgie, d’hygiène, et critiques médico-littéraires, publiés dans l’“Hygie” (Paris: Mlle Delaunay, 1827), 261–263.</t>
  </si>
  <si>
    <t>Neumann, Dr et conseiller. “Demande faite aux médecins-opérateurs, relativement à l’hydropisie enkystée des ovaires.” Nouveau journal de médecine, chirurgie, pharmacie, etc. (Paris) 13 (Janaury 1822): 225–26.</t>
  </si>
  <si>
    <t>"Faculté de prophétiser attribuée à quelques malades." Revue britannique (Bruxelles) 2 (July 1830): 72–73.</t>
  </si>
  <si>
    <t>Bonetti, Gaetano. "Impiego della morfina come correttivo del Iodio. (Gazzette de Sante . i5. Febbrajo 1829.)" Bullettino delle scienze mediche (Bologna) 1 (1829): 19.</t>
  </si>
  <si>
    <t>G. A. "Uso del Cloro contro V Idrofobia. (Bui. des Se. MétL Juillet 1828 — Archiv. Med. Journ. Novemb. 1828)" Bullettino delle scienze mediche (Bologna) 1 (1829): 19.</t>
  </si>
  <si>
    <t>Bonetti, Gaetano. ]"Sapori di Iodio contro la tisi. (Journal complementaire du dictionnaire des Sciences mc’dicales . Febbrajo 1829.)" Bullettino delle scienze mediche (Bologna) 1 (1829): 18.</t>
  </si>
  <si>
    <t>Bonetti, Gaetano. "Sull' impiego del cloro nella tisi pulmonare, del Signor Gannal. (Journal complementaire du dictionnaire des Sciences me'd. Settembre 1828.)" Bullettino delle scienze mediche (Bologna) 1 (1829): 18.</t>
  </si>
  <si>
    <t>G. B. "Trasfusione felicemente praticata in caso di Metrorragia. (Edimb. Med. and surg. Journal. Avril 1828. — Arch. Génér. de Medec. Tom. 18.)" Bullettino delle scienze mediche (Bologna) 1 (1829): 53–54.</t>
  </si>
  <si>
    <t>F. M. "Conservazione degli estratti narcotici. (Brandes. Archiv. des Apotheker, T. XXV.)" Bullettino delle scienze mediche (Bologna) 1 (1829): 203.</t>
  </si>
  <si>
    <t>Hufeland's Journal Julius 1830</t>
  </si>
  <si>
    <t>Revue Médicale Octobre 1830; Gestensame deutsch Zeischft fur Geburts ckunde vol. 4. cah. 4.</t>
  </si>
  <si>
    <t>"Choléra-Morbus." Archives générales de médecine (Paris) 25, no. 38 (1831): 570–571.</t>
  </si>
  <si>
    <t>"Séance du 14 mars. – Salicine." Archives générales de médecine (Paris) 25, no. 38 (1831): 578.</t>
  </si>
  <si>
    <t>"Iodune de ploms." Archives générales de médecine (Paris) 25, no. 38 (1831): 578.</t>
  </si>
  <si>
    <t>"Longue épingle dans l'urètre." Archives générales de médecine (Paris) 25, no. 38 (1831): 576.</t>
  </si>
  <si>
    <t>"Ankylose du genou, foie sans vésicule." Archives générales de médecine (Paris) 25, no. 38 (1831): 569.</t>
  </si>
  <si>
    <t>"Emploi des pédiluves nitro-muriatiques dans les maldies du foie." Revue médicale française et étrangère (Paris) 2, no. 32 (June 1830): 474–476.</t>
  </si>
  <si>
    <t>"Empoisonnement par le sublimé corrosif, emploi du charbon végétal; observat. par W. P. Hort, M. D." Archives générales de médecine (Paris) 25, no. 37 (1831): 560–561.</t>
  </si>
  <si>
    <t>"Plaie profonde de la partie antérieure du cou; suffocation par la chute de l’épiglotte sur le larynx." Archives générales de médecine (Paris) 25, no. 36 (1831): 548–549.</t>
  </si>
  <si>
    <t>“Académie royale de Médecine. Séance du 22 mars. Seigle ergoté dans l’accouchement.” Archives générales de médecine (Paris) 25, no. 38 (1831): 568–569.</t>
  </si>
  <si>
    <t>Bayle. "Ouvrages publiés dans le mois d’avril 1831." Revue médicale française et étrangère (Paris) 2, n. 2 (April 1831): 167–168.</t>
  </si>
  <si>
    <t>Laborderie, Alexandre. “D’une gastro-entéralgie intermittente.” Revue médicale française et étrangère (Paris) 4 (1830): 59–62.</t>
  </si>
  <si>
    <t>Laborderie, Alexandre. "Contre une fissure avec constriction spasmodique de l’anus; Par M. A. Laborderie." Revue médicale française et étrangère (Paris) 3 (1830): 48–51.</t>
  </si>
  <si>
    <t>"Du trouble de la nutrition; conséquences médico-physiologiques; par M. Scelle-Mondezert." Revue médicale française et étrangère (Paris) 4 (1830): 123–124.</t>
  </si>
  <si>
    <t>"Mémoire sur le traitement des fièvres graves connues sous les diverses dénominations de gastro-entérite, dothinentérite, et caractérisées anatomiquement par l’engorgement et l’ulcération consécutive des follicules intestinaux; par M. Dance, agrégé." Revue médicale française et étrangère (Paris) 4 (October 1830): 124–125.</t>
  </si>
  <si>
    <t>Fourcade, Louis-Antoine-Léon. "Cas d’imperforation du rectum; imperforation congénitale du rectum à un pouce de l’anus. — Dilatation et rupture du colon iliaque gauche. — Épanchement stercoral dans l’abdomen, et mort le troisième jour de la naissance. Communiqué par M. Fourcade, D. M. P." Revue médicale française et étrangère (Paris) 4 (October 1830): 54–55; "Extrait du rapport de M. Monod sur l’observation précédente. Ibid., pp. 55–58.</t>
  </si>
  <si>
    <t>"M. Larrey a donné à…" Mercure des Salons (Paris) 5, no. 6 (January 1831): 66</t>
  </si>
  <si>
    <t>"Drusium ou résine de chene, substance trouvée par M. Lemaire Lizancourt." Revue médicale française et étrangère (Paris) 4, no, 11 (October 1830): 163.</t>
  </si>
  <si>
    <t>"Vice de conformation." Revue médicale française et étrangère (Paris) 4, no, 11 (October 1830): 166.</t>
  </si>
  <si>
    <t>"Varices artérielles." Revue médicale française et étrangère (Paris) 4, no, 11 (October 1830): 164–165.</t>
  </si>
  <si>
    <t>Revue Méd. Octobre 1830</t>
  </si>
  <si>
    <t>"Calculus de l'uretre, par M. Civiale." Revue médicale française et étrangère (Paris) 4, no, 11 (October 1830): 163–164.</t>
  </si>
  <si>
    <t>Hippolyte Cloquet. “Note sur des antiquités médicales.” Nouveau journal de médecine, chirurgie, pharmacie, etc. (Paris) 13 (1822): 173–75.</t>
  </si>
  <si>
    <t>Efficacia do Hydrocyanato de Zinco contra a Hemicrania periódica, vulgarmente enchaqueca.</t>
  </si>
  <si>
    <t>Wedekind, Georg von. “Sur la contagion du choléra.” In Notices et documens sur le choléra: extraits de communications particulières et de journaux étrangers, translated and published by Charles Peschier, 25–30. 2nd ed. Genève: Imprimerie de Henri Schmiedt, 1831.</t>
  </si>
  <si>
    <t>"Asphyxie et apoplexie des nouveaux-nés." Archives générales de médecine (Paris) 27 (1831): 352</t>
  </si>
  <si>
    <t>"Déplacement du cœur, par suite d’une violence extérieure; par M. Stokes." Archives générales de médecine (Paris) 27, no. 35 (1831): 542–545.</t>
  </si>
  <si>
    <t>M. Desuvenières</t>
  </si>
  <si>
    <t>Desavenières. “Lettre au rédacteur du Journal des commissions sanitaires établies dans le département de la Seine sur la nature et les causes du choléra-morbus.” Journal des commissions sanitaires établies dans le département de la Seine (Paris), no. 23 (24 April 1832).</t>
  </si>
  <si>
    <t>"Fungus hæmatodes du cerveau, avec constipation prolongée pendant près de neuf semaines; par James Laidlaw." Archives générales de médecine (Paris) 27, no. 35 (1831): 538–539.</t>
  </si>
  <si>
    <t>"Identité de la variole et de la vaccine, et moyen de faire naître à volonté des boutons de vaccine sur les vaches." Archives générales de médecine (Paris) 27, no. 35 (1831): 540–542.</t>
  </si>
  <si>
    <t>Dr. Strudel</t>
  </si>
  <si>
    <t>"Tic douloureux guéri par la section du nerf sous-orbitaire; par M. Bonnet." Revue médicale française et étrangère (Paris) 4, no. 23 (December 1831): 364–368.</t>
  </si>
  <si>
    <t>Bazzoni. "Sull'uso della segala cornuta nella leucorrea ; osservazioni del dott. L. G. Bazzoni." Annali universali di medicina (Milan) 57, no. 15 (February 1831): 225–228.</t>
  </si>
  <si>
    <t>Dupasquier, Alphonse. “Compte rendu des travaux de la Société de médecine de Lyon, depuis le 11 août 1828 jusqu’au 9 août 1830; par Alph. Dupasquier, secrétaire général.” Revue médicale française et étrangère (Paris) 4 (December 1831): 522n1.</t>
  </si>
  <si>
    <t>Sizaire. "Anasarque et ascite survenues sous l’influence d’une affection scrofuleuse; guérison par les préparations aurifères." Archives générales de médecine (Paris) 37 (1831): 492–493.</t>
  </si>
  <si>
    <t>Davy, John. “Observations sur la question de savoir si l’aspect du sang tiré d’une veine, comme moyen curatif, peut fournir des données exactes sur l’utilité de réitérer la saignée.” Archives générales de médecine (Paris) 20 (1829): 240–248.</t>
  </si>
  <si>
    <t>Imperforação do anus, acompanhada de hum anus extraordinario: Obs: do Dr. Brachet Medic do Hotel Dieu de Lyon.</t>
  </si>
  <si>
    <t>"Académie de médecine. Séance du 18 janvier 1831." Gazette médicale de Paris (Paris) 2, no. 5 (29 January 1831): 45–46.</t>
  </si>
  <si>
    <t>"Observation sur une imperforation de l’anus accompagnée d’un anus extraordinaire.” Revue médicale française et étrangère (Paris) 4 (1831): 105–106.</t>
  </si>
  <si>
    <t>Chimica Animal.</t>
  </si>
  <si>
    <t>"Les matières animales mortes absorbent-elles l’air? La putréfaction des matières animales est-elle accompagnée d’un dégagement de calorique?" Gazette médicale de Paris (Paris) 2, no. 3 (15 January 1831): 25.</t>
  </si>
  <si>
    <t>"Signe rationel indiquant la grossesse avant le quatrième mois." Gazette médicale de Paris (Paris) 2, no. 3 (15 January 1831): 28.</t>
  </si>
  <si>
    <t>Jornal Analitico de Medicina de Strambio, vol. XIII, pag. 71, 1830.</t>
  </si>
  <si>
    <t xml:space="preserve">Chrestien, J.-A., e A. Legrand. “Observations sur l’emploi de l’escargot ingéré vivant, dans le traitement des affections du poumon et du larynx.” Revue médicale française et étrangère (Paris) 4 (1831): 5–27. </t>
  </si>
  <si>
    <t>"Observation sur une émission d’hydatides avec les urines; par le même." Revue médicale française et étrangère (Paris) 4, no, 7 (October 1831): 105.</t>
  </si>
  <si>
    <t>“Sur un moyen d’apprécier la chaleur.” Archives générales de médecine (Paris) 1re série, 27 (October 1831): 274–276.</t>
  </si>
  <si>
    <t>B. -J. "Traité de l’auscultation médiate et des maladies des poumons et du cœur; par R.-T.-H. Laennec, médecin de S. A. R. Madame, duchesse de Berry, professeur à l’École de médecine et au Collège de France, etc. Troisième édition, augmentée de notes, par Mériadec Laennec, D. M. P., ancien chef de clinique à la faculté de médecine de Paris, médecin des dispensaires, etc. 3 vol. in-8. Paris, 1831. Chez Chaudé, libraire-éditeur, rue de la Harpe, n° 64." Revue médicale française et étrangère (Paris) 2  (April 1831): 165–166.</t>
  </si>
  <si>
    <t>"Considérations sur les fièvres intermittentes, par M. le professeur Tommasini." Revue médicale française et étrangère (Paris) 1, no. 30 (March 1831) 457–459.</t>
  </si>
  <si>
    <t>"Le docteur Gosse, à Geneve, a fait…"  Journal des débats politiques et littéraires (Paris) 17 (6 July 1831): 3.</t>
  </si>
  <si>
    <t>"Algalie à obturateur mobile—Mémoire de M. Cazaneuve, médecin à Bordeaux, lu par M. Villeneuve." Archives générales de médecine (Paris) 25, no. 38 (1831): 574–575.</t>
  </si>
  <si>
    <t>“Académie royale des Sciences. Séance du 7 novembre. Gomme.” Archives générales de médecine (Paris) 27, no. 37 (December 1831): 570–571.</t>
  </si>
  <si>
    <t>"Séance du 21 mars. — Physiologie générale, circulation dans les plantes laiteuses." Archives générales de médecine (Paris) 25, no. 38 (1831): 578–579.</t>
  </si>
  <si>
    <t>"Étranglement des intestins après un accouchement." Archives générales de médecine (Paris) 25, no. 38 (1831): 566–567.</t>
  </si>
  <si>
    <t>"Séance du 3 janvier 1831. — Préparations d’iode." Archives générales de médecine (Paris) 25, no. 19 (1831): 283–284.</t>
  </si>
  <si>
    <t>Cuvier, Georges. "Éloge de Vauquelin, par M. Cuvier." Gazette Littéraire (Paris) 2, no. 33 (10 July 1831): 507–509.</t>
  </si>
  <si>
    <t>"Hémicranie due à la présence d’un scolopendre dans un des sinus frontaux. — Obs. de M. Maréchal fils." Archives générales de médecine (Paris) 24, no. 37 (1830): 570–572.</t>
  </si>
  <si>
    <t>"Séance du 4 avril. — Hygiène publique, vêtemens préservatifs du feu." Archives générales de médecine (Paris) 25, no. 39 (1831): 582–583.</t>
  </si>
  <si>
    <t>"Oblitération des bronches." Archives générales de médecine (Paris) 25, no. 38 (1831): 573–574.</t>
  </si>
  <si>
    <t>"Séance du 11 avril. — Monstruosités." Archives générales de médecine (Paris) 25, no. 39 (1831): 583–584.</t>
  </si>
  <si>
    <t>Jornal do Commercio, extrahido do Constitutionnel</t>
  </si>
  <si>
    <t>Virey, Julien-Joseph. “Cantharides des anciens.” Journal de pharmacie et des sciences accessoires (Paris) 14 (1828): 67–70.</t>
  </si>
  <si>
    <t>“Traitement du choléra [par un praticien].” In Notices et documens sur le choléra, extraits de communications particulières, et de journaux étrangers, traduits et publiés, translated and published by Charles Peschier, 2nd ed., no. 2, 17–19. Genève: Imprimerie de Henri Schmiedt, 1831.</t>
  </si>
  <si>
    <t>"Plaie de l’œil avec perte de substance de l’iris sans inconvénient pour la vision; par James Laidlaw." Archives générales de médecine (Paris) 27, no. 35 (1831): 539–540.</t>
  </si>
  <si>
    <t>"Bulletin de la Société médicale d’émulation (1), rédigé par MM. Chantourelle, Donné, Guillemiot, Mondière et Velpeau. Choléra. Mémoire et observations-pratiques." Archives générales de médecine (Paris) 27, no. 23 (1831): 349–353.</t>
  </si>
  <si>
    <t xml:space="preserve">Deloé. “Du nitrate de bismuth, comme moyen de guérison contre le choléra.” In Notices et documens sur le choléra: extraits de communications particulières, et de journaux étrangers, compiled and translated by Charles Peschier, 22–24. Genève: Imprimerie de Henri Schmiedt, 1831. </t>
  </si>
  <si>
    <t>“Amnésie ou perte du langage traité par les évacuations sanguines.” Gazette médicale de Paris (Paris) 2, no. 3 (15 January 1831): 24.</t>
  </si>
  <si>
    <t>Dr. Tierney</t>
  </si>
  <si>
    <t>Prunet, Fourcade. “Traitement du choléra-morbus qui a été généralement bien réussi, et adopté actuellement par la majorité des médecins de Paris.” Journal des commissions sanitaires établies dans le département de la Seine (Paris)  1, no. 26 (April 1832): 351–354.</t>
  </si>
  <si>
    <t>Tierney, Dr. “Remarques sur le choléra, et observations sur l’usage de l’huile de cajeput.” Journal des commissions sanitaires établies dans le département de la Seine (Paris) 1, no. 20 (10 April 1832): 277–280.</t>
  </si>
  <si>
    <t>Hygiene Publica. Extracto de hum Relatorio feito pelo Prefeito de Policia de Paris ao Ministro do Commercio, e dos Trabalhos Publicos, sobre o Mappa dos fallecimentos no anno de 1850. (Journal des Commissions Sanitaires établies dans le Département de la Seine. Fevrier 1832.)</t>
  </si>
  <si>
    <t>Gisquet, Henri. "No 12. Extrait d’un rapport adressé à M. le Ministre du commerce et des travaux publics sur le relevé des décès de l’année 1830." Journal des commissions sanitaires établies dans le département de la Seine (Paris) 1, no. 7 (February 1832): 85–93.</t>
  </si>
  <si>
    <t xml:space="preserve">"Mémoire sur l'emploi de l'huile de croton tiglium à l'extérieur, par M. ANDRAL, professeur à la faculté de médecine de Paris, et médecin de l'hôpital de la Pitié." Journal de la Section de médecine de la Société académique du département de la Loire-Inférieure (Nantes) 8 (1832): 69–70. </t>
  </si>
  <si>
    <t>"Estrazione di un calcolo dall’uretra, facilitato dall’uso esterno della belladonna; Osservazione del prof. Mojon." Annali universali di medicina (Milan) 58 (February 1832): 295–297.</t>
  </si>
  <si>
    <t>Speranza, Carlo. “Caso singolare di un individuo spirante soave odore dall’avambrazzo sinistro.” Annali universali di medicina (Milan) 61 (February 1832): 225–228.</t>
  </si>
  <si>
    <t>Devergie, Alphonse. “Se la rottura della membrana interna e media delle carotidi sia segno d’impiccatura vivente l’individuo.” Annali universali di medicina (Mlian) 52 (December 1829), fasc. 155–156.</t>
  </si>
  <si>
    <t>"Stérilité due à un prolongement anormal du col de l’utérus, et guérie par l’opération." Archives générales de médecine (Paris) 25, no. 18 (1831): 266.</t>
  </si>
  <si>
    <t>Dumont. These sustentada em 1831 em Paris.</t>
  </si>
  <si>
    <t xml:space="preserve">Audin-Rouvière, Joseph-Marie. L’oracle de la santé, ou L’art de se bien porter. 2e éd. Paris: Delaunay; Charles Béchet, 1829, aphorismes 144 and 147. </t>
  </si>
  <si>
    <t>"Méthode assurée de conserver le beurre, telle qu’elle se pratique en Écosse. (Mackensie, One thousand experiments in Chemistry. — Biblioth. physico-économ., sept. 1827, p. 183.)" Bulletin des sciences agricoles et économiques (Paris) 7, no. 101 (1829) 156.</t>
  </si>
  <si>
    <t>"Statistique comparée de l’état de l’instruction et du nombre des crimes." Annales d'hygiène publique, industrielle et sociale (Paris) 6, no. 13 (1831): 204–207.</t>
  </si>
  <si>
    <t>Parecer da Commissão de moléstias reinantes d'Academia Real de Medicina de Paris, sobre o colera-morbus</t>
  </si>
  <si>
    <t xml:space="preserve">Vieira de Mattos, José-Agostinho. Dissertation sur les usages du fruit d’Anacardium occidentale (noix d’acajou), et spécialement sur les propriétés médicinales de sa résine. Paris, 1831; “Thérapeutique. Dissertation sur les usages du fruit d’Anacardium occidentale (noix d’acajou), et spécialement sur les propriétés médicinales de sa résine, par M. José-Agostinho Vieira de Mattos.” Gazette des hôpitaux civils et militaires (Lancette française) 5 (1831): 159–160. </t>
  </si>
  <si>
    <t xml:space="preserve">Broussais, François-Joseph-Victor. Examen des doctrines médicales et des systèmes de nosologie, précédé de propositions renfermant la substance de la médecine physiologique. 3rd ed. 4 vols. Paris: Mlle Delaunay (and J.-B. Baillière), 1829–1834. </t>
  </si>
  <si>
    <t xml:space="preserve">Ferreira, José Henriques. “Memoria sobre a guaxima.” Memorias economicas da Academia Real das Sciencias de Lisboa (Lisbon) 1 (1789): 1–7. </t>
  </si>
  <si>
    <t xml:space="preserve">Castro, Joaquim de Amorim. “Memória sobre a cochonilha do Brasil.” Memórias económicas da Academia Real das Ciências de Lisboa (Lisbon) 2 (1790): 135–143. </t>
  </si>
  <si>
    <t xml:space="preserve">“Order in Council, 23 June 1812 (Revocation of the Orders in Council as Regards American Vessels).” Reprinted in The Acts, Orders in Council, &amp;c. of Great Britain [on Trade], 1793–1812. </t>
  </si>
  <si>
    <t>Noticia sobre a compra e remessa do marfim de Angola, extrahida de Documentos Officiaes.</t>
  </si>
  <si>
    <t>Obras publicadas no Rio de Janeiro no presente mez de Janeiro.</t>
  </si>
  <si>
    <t>Cruz e Silva, António Dinis da. “Epigrammas.” In Poesias de Antonio Diniz da Cruz e Silva (Elpino Nonacriense). Lisbon: Typographia Lacerdina, 1807–1817.</t>
  </si>
  <si>
    <t xml:space="preserve">Gusmão, Alexandre de. “Pratica de Alexandre de Gusmão, entrando na Academia Real de Historia Portugueza, em o dia 13 de Março de 1732.” In Collecçam dos Documentos e Memorias da Academia Real da Historia Portugueza, n. XVI. Lisbon, 1732. </t>
  </si>
  <si>
    <t>Framed as private correspondence first printed in Rio de Janeiro.</t>
  </si>
  <si>
    <t xml:space="preserve">Barbosa, Francisco Vilela. Regras e reflexões sobre o modo de corrigir as derrotas de estima. Lisbon: Impressão Régia, 1803. </t>
  </si>
  <si>
    <t>A liberdade a Nize.</t>
  </si>
  <si>
    <t>Likely first print of Anastácio da Cunha's poem.</t>
  </si>
  <si>
    <t xml:space="preserve">Metastasio, Pietro. “La libertà a Nice.” In Opere scelte, compiled by Leonardo Nardini. 2 vols. London: Dulau, 1806. </t>
  </si>
  <si>
    <t>The text “Descrição geográfica da capitania de Mato Grosso” is attributed to Ricardo Franco de Almeida Serra, an officer of the Real Corpo de Engenheiros, and is explicitly dated 1797.</t>
  </si>
  <si>
    <t xml:space="preserve">Serra, Ricardo Franco de Almeida. “Descrição geográfica da capitania de Mato Grosso.” Manuscript, 60 folios, 1797. Arquivo Histórico do Itamaraty (Rede Memória/Biblioteca Nacional), Rio de Janeiro. </t>
  </si>
  <si>
    <t>Cunha, Francisco Manoel da. “Informação que Francisco Manoel da Cunha deu sobre a província, então Capitania do Espírito Santo, ao Ministro de Estado Antônio de Araújo e Azevedo (Conde da Barca).” Manuscript report (ofício), Vitória, 23 June 1811. Present whereabouts of the autograph not identified in available digital catalogues.</t>
  </si>
  <si>
    <t xml:space="preserve">Thomson, James, and David Mallet. “Rule, Britannia!” In Alfred: A Masque. London: A. Millar, 1740. </t>
  </si>
  <si>
    <t xml:space="preserve">A locally authored Portuguese travel itinerary by José Pedro César de Menezes, written at the Rio de Janeiro court on 9 Feb. 1810 as a practical “roteiro” for the Maranhão–Rio route, later reprinted/serialised in O Patriota (1813). </t>
  </si>
  <si>
    <t>A locally authored Latin memorial epigram for the Infanta D. Maria Anna, written by Dr João Ferreira Soares (canon of the Mariana Cathedral) and printed as an original funerary tribute in O Patriota.</t>
  </si>
  <si>
    <t>An original, locally authored Pindaric ode composed in 1813 to celebrate Governor Conde de Palma, printed in the Brazilian journal.</t>
  </si>
  <si>
    <t>Archival Portuguese letter (c. 1540s) by D. João de Castro to D. João III, reproduced in print as a transcription from manuscript.</t>
  </si>
  <si>
    <t xml:space="preserve">Crosley, M. “Practical Observations on the Pneumatic Process for Expelling Molasses and Syrup from Raw Sugar.” The London Journal of Arts and Sciences (London) 3 (1830): 321–323. </t>
  </si>
  <si>
    <t>"Conservation et restauration du bouillon." Journal des connaissances utiles (Paris) 3, no. 6 (June 1833): 158–159.</t>
  </si>
  <si>
    <t>“Rouille des métaux.” Journal des connaissances utiles (Paris) 3, no. 6 (June 1833): 162.</t>
  </si>
  <si>
    <t>Meio fácil de desseccar com pouca despeza as terras pantanosas.</t>
  </si>
  <si>
    <t>“Le semoir du docteur Hunter; le semoir Barrault.” Journal des connaissances utiles (Paris) 3, no. 3 (March 1833): 84.</t>
  </si>
  <si>
    <t xml:space="preserve">“Emploi du son dans la fabrication du pain.” Journal des connaissances utiles (Paris) 3 (1833): 99–100. </t>
  </si>
  <si>
    <t>"Moyen facile de dessécher à peu de frais les terres marécageuses." Journal des connaissances utiles (Pairs) 3, no. 2 (February 1833): 53.</t>
  </si>
  <si>
    <t xml:space="preserve">“Castration des vaches.” Journal des Connaissances Utiles (Paris) 3 (1833): 52. </t>
  </si>
  <si>
    <t>Dyon, H. C. de. “Conservation des dents.” Journal des connaissances utiles (Paris) 2, no. 1 (January 1833): 231.</t>
  </si>
  <si>
    <t>"Common salt a Remedy for Animal Poison." The Southern Agriculturist and Register of Rural Affairs (Charleston) 5, no. 21 (March 1832): 168.</t>
  </si>
  <si>
    <t>Legaré, John D. “Account of an Agricultural Excursion Made into the South of Georgia in the Winter of 1832; by the Editor.” Southern Agriculturist and Register of Rural Affairs (Charleston) 6 (1833): 359–416.</t>
  </si>
  <si>
    <t xml:space="preserve">“Camphor,” in The Imperial Encyclopaedia; or, Dictionary of the Sciences and Arts, Comprehending Also the Whole Circle of Miscellaneous Literature, ed. W. M. Johnson and Thomas Exley (London: J. and J. Cundee, ca. 1812), s.v. “Camphor.” </t>
  </si>
  <si>
    <t xml:space="preserve">“Bitumen for Iron Pipes Used in Water Conduits.” American Journal of Science and Arts (New Haven) 18, no. 2 (July 1830): 245–246. </t>
  </si>
  <si>
    <t>Modo de lavar os Carneiros.</t>
  </si>
  <si>
    <t xml:space="preserve">Câmara, Manuel Arruda da. Discurso sobre a utilidade da instituição de jardins nas principais províncias do Brasil, para a transplantação dos vegetaes uteis de diversas partes do mundo. Rio de Janeiro: Impressão Régia, 1810. </t>
  </si>
  <si>
    <t>Fructuoso Luiz da Motta</t>
  </si>
  <si>
    <t>Richard Guest</t>
  </si>
  <si>
    <t>Elizabeth Celmart</t>
  </si>
  <si>
    <t>Carvão de pedra. Minas de carvão de pedra.</t>
  </si>
  <si>
    <t>Anselme Payen</t>
  </si>
  <si>
    <t>Ludwig Riedel</t>
  </si>
  <si>
    <t>Jean-Baptiste Du Halde</t>
  </si>
  <si>
    <t>José Joaquim Machado de Oliveira</t>
  </si>
  <si>
    <t>Januário da Cunha Barbosa</t>
  </si>
  <si>
    <t>Bernardo Jacintho da Veiga</t>
  </si>
  <si>
    <t>Vegetação das plantas.</t>
  </si>
  <si>
    <t>Nota sobre os processos de panificação que se devem empregar para melhorar o pão em geral, e para corrigir o que he feito com farinhas avariadas.</t>
  </si>
  <si>
    <t>Continuação do N. 11 do anno passado (1839).</t>
  </si>
  <si>
    <t>"Végétation des plantes." Journal des connaissances usuelles et pratiques (Paris) 25–26, no. 5 (1837): 73.</t>
  </si>
  <si>
    <t>Memoria sobre quaes são os meios mais convenientesde supprir a falta dos estrumes animaes nos logares onde é dificultoso havel-os.</t>
  </si>
  <si>
    <t>Cultura da Butabaga ou nabo da Suecia.</t>
  </si>
  <si>
    <t>Notas sobre a cultura das couves.</t>
  </si>
  <si>
    <t>Meio de fazer as arvores fructiferas mais constantemente ferteis.</t>
  </si>
  <si>
    <t>Instrucções para se conhecer e fabricar com perfeição a tinta anil.</t>
  </si>
  <si>
    <t>Tratamento da pleuro-pneumonite nos animaes cornigeros.</t>
  </si>
  <si>
    <t>Emprego da gomma elastica na fabricação dos chapeos.</t>
  </si>
  <si>
    <t>Composição de um novo sabão proprio para ensaboar a roupa branca, a seda, etc., tanto com agua de poço, como com agua de rio, em menos tempo e mais economicamente.</t>
  </si>
  <si>
    <t>Pannos de linho ou algodão imflammaveis.</t>
  </si>
  <si>
    <t>Paiva, Manuel Joaquim Henriques de. “Memoria Quimico-Agronómica sobre quaes são os meios mais convenientes de supprir a falta dos estrumes animaes nos lugares, onde he dificultozo have-los; averiguando-se particularmente se o revolver, e expor por várias vezes a terra à influencia da atmosphera será hum modo sufficiente de fertilizalla, e sendo tudo comprovado com experiencias repetidas, e authorisadas.” In Memorias de Agricultura, premiadas pela Academia Real das Sciencias de Lisboa em 1787 e 1788, tomo 1, 103–150. Lisbon: Na Officina da Academia Real das Sciencias, 1788.</t>
  </si>
  <si>
    <t xml:space="preserve">Magne. “De l’usage alimentaire de la viande de porc et de poisson.” Journal des connaissances usuelles et pratiques (Paris) 26 (1837): 281–282. </t>
  </si>
  <si>
    <t>"Toiles ininflammables." Journal des connaissances usuelles et pratiques (Paris) 25–26, no. 5 (1837): 74.</t>
  </si>
  <si>
    <t>Raynaldo Oudinot</t>
  </si>
  <si>
    <t>Hipólito José da Costa Pereira</t>
  </si>
  <si>
    <t>José Marianno da Conceição Velloso</t>
  </si>
  <si>
    <t>Bennedict Gallet</t>
  </si>
  <si>
    <t>Jean-Baptiste Say</t>
  </si>
  <si>
    <t>Gallet, Bennedict. "Revue du progres politique, social et littéraire." Revue du progres politique, social et littéraire (Paris) 2, no. 2 (1839): 24–32.</t>
  </si>
  <si>
    <t>João Silveira Caldeira</t>
  </si>
  <si>
    <t>José Silvestre Rebello</t>
  </si>
  <si>
    <t xml:space="preserve">José Silvestre Rebello </t>
  </si>
  <si>
    <t>Leclerc, Louis. "Beauvisage." La France littéraire (Paris) 26, no. 23 (1836): 355–366.</t>
  </si>
  <si>
    <t>"Conservation de végétaux vivants pendant des voyages de long cours." Journal d'agriculture pratique, de jardinage et d'économie domestique (Paris) 1, no. 9 (1837): 141–142.</t>
  </si>
  <si>
    <t>Uso do sal na agricultura.</t>
  </si>
  <si>
    <t>Januário da Cunha Barbosa.</t>
  </si>
  <si>
    <t>José Vieira Couto</t>
  </si>
  <si>
    <t>José Gregorio de Moraes Navarro</t>
  </si>
  <si>
    <t>Charles Dupin</t>
  </si>
  <si>
    <t>Bailly de Merlieux, Charles-François, ed. “Du maïs.” In Maison rustique du XIXe siècle: Encyclopédie d’agriculture pratique. Cours élémentaire, complet et méthodique d’économie rurale, vol. 1, Agriculture proprement dite, 396–403. Paris: Librairie Agricole, 1835.</t>
  </si>
  <si>
    <t>Do ferro, suas propriedades e seus usos.</t>
  </si>
  <si>
    <t>Louis Moll</t>
  </si>
  <si>
    <t>José Diogo Mascarenhas Neto</t>
  </si>
  <si>
    <t>Animaes domesticos: medicina veterinaria.</t>
  </si>
  <si>
    <t>Raimundo José da Cunha Matos; Januário da Cunha Barbosa</t>
  </si>
  <si>
    <t>Receitas, a que se refere a sessão N.º 200.</t>
  </si>
  <si>
    <t>"Migration des oiseaux." L'Abeille française (Paris) 6. no. 35 (1830): 346–355.</t>
  </si>
  <si>
    <t>Observações sobre a emigração dos passaros.</t>
  </si>
  <si>
    <t>Manoel Joaquim Fernandes de Barros</t>
  </si>
  <si>
    <t>Rozier, François, et al. “Muscadier aromatique (Myristica aromatica, Linn.).” In Nouveau cours complet d’agriculture théorique et pratique … ou Dictionnaire raisonné et universel d’agriculture, vol. 8. Paris: Chez Deterville, 1809.</t>
  </si>
  <si>
    <t>Jean-Baptiste François Rozier</t>
  </si>
  <si>
    <t>Emilio Joaquim da Silva Maia</t>
  </si>
  <si>
    <t>Manoel José Pires da Silva Pontes</t>
  </si>
  <si>
    <t>José Caetano Gomes</t>
  </si>
  <si>
    <t>José de Rezende Costa</t>
  </si>
  <si>
    <t>Diogo Duarte Silva</t>
  </si>
  <si>
    <t>Felkin, William. “Remarks on the Production of European Raw Silk, Written in 1826.” In Affairs of the East India Company; Continuation of Appendix to II. Finance and Accounts—Trade. Part 2—Commercial. Vol. 10, pt. 2 of Reports from Committees. House of Commons, Session 1831–32, p. 615.</t>
  </si>
  <si>
    <t>Fecundação artificial.</t>
  </si>
  <si>
    <t>Diversidades de cha's pretos.</t>
  </si>
  <si>
    <t>Felix de Avellar Brotero</t>
  </si>
  <si>
    <t>F. Marquis, Du thé, ou, Nouveau traité sur sa culture, sa récolte, sa préparation et ses usages, vol. 1 (Paris: Nepveu, 1820), 63–73, 118–22.</t>
  </si>
  <si>
    <t>Francisco Cordeiro da Silva Torres</t>
  </si>
  <si>
    <t>João Joaquim Ferreira de Aguiar</t>
  </si>
  <si>
    <t>Maneira de conservar no mar a agua sempre pura.</t>
  </si>
  <si>
    <t>Lino Antonio Rebello</t>
  </si>
  <si>
    <t>Joaquim José; Rodrigues Torres; Joaquim Francisco Vianna</t>
  </si>
  <si>
    <t>Michel Chevalier</t>
  </si>
  <si>
    <t>Pastor, Esteban. Catecismo de agricultura. 2.ª ed. London: R. Ackermann, impreso por Carlos Wood, 1826.</t>
  </si>
  <si>
    <t>Memoria sorbe a cultura do Cacao no Brasil, offerecida à Sociedade Auxiliadora da Indústria Nacional, por hum seo socio.</t>
  </si>
  <si>
    <t>Jacques-Marie Aymard (conde de Gestas)</t>
  </si>
  <si>
    <t>José da Silva Guimarães Filho</t>
  </si>
  <si>
    <t>Joaquim Francisco Vianna</t>
  </si>
  <si>
    <t>Jean-Baptiste Bory de Saint-Vincent</t>
  </si>
  <si>
    <t>Criação dos animaes lanigeros.</t>
  </si>
  <si>
    <t>Marked as a translation by the editor.</t>
  </si>
  <si>
    <t>Scientific</t>
  </si>
  <si>
    <t>The text is described to be manuscript booklet titled Compendio de Agricultura, compiled by a member of the Sociedade Auxiliadora da Indústria Nacional using excerpts from leading agricultural authors, rather than translating a single foreign source.</t>
  </si>
  <si>
    <t>Manoel José Onofre</t>
  </si>
  <si>
    <t>Manoel de Vasconcellos de Souza Bahiana</t>
  </si>
  <si>
    <t>Miguel de Souza Mello e Alvim</t>
  </si>
  <si>
    <t>Joaquim Gonçalves Ledo</t>
  </si>
  <si>
    <t>Emile Girandin</t>
  </si>
  <si>
    <t>João Arouche de Toledo Rendon</t>
  </si>
  <si>
    <t>Manoel Antonio Ribeiro e Castro</t>
  </si>
  <si>
    <t>Antoine Saint-Valery  Seheult</t>
  </si>
  <si>
    <t>Bernardino Antônio Gomes</t>
  </si>
  <si>
    <t>Vicente Coelho de Seabra</t>
  </si>
  <si>
    <t>José Xavier Mozinho da Silveira</t>
  </si>
  <si>
    <t>c.1840</t>
  </si>
  <si>
    <t>Estado da athmosfera no mez de Fevereiro.</t>
  </si>
  <si>
    <t>Soneto de Claudio Manoel da Costa.</t>
  </si>
  <si>
    <t>Continuação do Estado da athmosfera do mez de Fevereiro, e o de Março.</t>
  </si>
  <si>
    <t>Falecimento e enterro do Tenente Coronel Lobo.</t>
  </si>
  <si>
    <t>Epigrammas.</t>
  </si>
  <si>
    <t>Sonetos.</t>
  </si>
  <si>
    <t>Size</t>
  </si>
  <si>
    <t>Total, Articles</t>
  </si>
  <si>
    <t>Total, Pages</t>
  </si>
  <si>
    <t>Yes (Articles)</t>
  </si>
  <si>
    <t>Yes (Pages)</t>
  </si>
  <si>
    <t>Science-Ratio (Pages)</t>
  </si>
  <si>
    <t>Science-Ratio (Articles)</t>
  </si>
  <si>
    <t>Manoel de Vasconcellos de Souza Bahiana, Memória acerca do novo systema de manufaturar o açúcar em caldeiras quadradas, oferecida à Sociedade de Agricultura, Commercio, e Industria da Provincia da Bahia, que a julgou merecedora da honra da publicação, na sessão da Assembleia Geral, no dia 30 de Janeiro de 1834, mandando-a imprimir (Bahia: Typographia do Correio Mercantil, 1834).</t>
  </si>
  <si>
    <t>“Mastic qui résiste à l’action du feu et de l’eau.” Journal belge des connaissances utiles (Bruxelles) 1 (1832): 79.</t>
  </si>
  <si>
    <t xml:space="preserve">M. Deslorme, “Rouille,” in Dictionnaire portatif du cultivateur, à l’usage des personnes de la campagne, des propriétaires qui font valoir leur bien par eux-mêmes, des régisseurs et des fermiers, 11e éd., vol. 2 (Paris: A.-M. Wolf[f], 1828), 248. </t>
  </si>
  <si>
    <t>2.a Carta sobre a Cholera-Morbus.</t>
  </si>
  <si>
    <t>William Thomaz Brande</t>
  </si>
  <si>
    <t>Joaquim de Amorim Castro</t>
  </si>
  <si>
    <t>Humphrey Davy</t>
  </si>
  <si>
    <t xml:space="preserve">Malte-Brun, Conrad. Précis de la géographie universelle, ou Description de toutes les parties du monde, sur un plan nouveau, d’après les grandes divisions naturelles du globe. Vol. 4. Paris: F. Buisson, 1813; Humboldt, Alexander von. Essai politique sur le royaume de la Nouvelle-Espagne. Paris: F. Schoell, 1811–1812. (for the banana/wheat/potato productivity ratios cited by later authors). </t>
  </si>
  <si>
    <t>"Des différentes manières de fumer le lard et la viande de porc." Journal des connaissances usuelles et pratiques (Paris) 14, no. 80 (November 1831): 227–229; "De la préparation des jambons."  Journal des connaissances usuelles et pratiques (Paris) 14, no. 80 (November 1831): 229–230.</t>
  </si>
  <si>
    <t>"Moyen de détruire l'herbe parasite." Journal belge des connaissances utiles (Bruxelles) 1, no. 1 (1831–1832): 32.</t>
  </si>
  <si>
    <t>"Rats." Journal belge des connaissances utiles (Bruxelles) 1, no. 1 (1831–1832): 35.</t>
  </si>
  <si>
    <t>"Economia Politica." O Investigador Portuguez em Inglaterra (London) 12, no. 1 (March 1815): 64-69.</t>
  </si>
  <si>
    <t>Clemente Álvares de Oliveira Mendes; Manuel Corrêa de Araújo Júnior</t>
  </si>
  <si>
    <t>“Remède contre la maladie des chiens” Journal belge des connaissances utiles (Bruxelles) 1, no. 1 (1831–1832): 36.</t>
  </si>
  <si>
    <t>"Fièvre des vaches qui viennent de vêler." Journal belge des connaissances utiles (Bruxelles) 1, no. 1 (1831–1832): 35.</t>
  </si>
  <si>
    <t>"Conservation des oeufs." Journal belge des connaissances utiles (Bruxelles) 1, no. 1 (1831–1832): 44.</t>
  </si>
  <si>
    <t>"Nouvelle veilleuse économique." Journal belge des connaissances utiles (Bruxelles) 1, no. 1 (1831–1832): 44.</t>
  </si>
  <si>
    <t>"Moyen de rendre les chaussures imperméables." Journal belge des connaissances utiles (Bruxelles) 1, no. 25 (1831–1832): 194.</t>
  </si>
  <si>
    <t>Say, Jean-Baptiste. “Avantages de l’emploi des machines.” Journal des connaissances utiles (Paris) 2 (May–June 1832): 170–172.</t>
  </si>
  <si>
    <t>Delaguette, A. V. Traité des maladies des bestiaux, ou Description raisonnée de leurs maladies et de leur traitement: précédée d’un précis d’histoire naturelle, et d’un traité d’hygiène; et suivie d’un aperçu sur les moyens de tirer, des bestiaux, les produits les plus avantageux. Paris: Raynal, 1830, pp. 362–371.</t>
  </si>
  <si>
    <t>"Économie polique résumée." Journal des connaissances utiles (Paris) 2, no. 1 (January–February 1832): 29.</t>
  </si>
  <si>
    <t>"Engrais fossiles (1)." Journal des connaissances utiles (Paris) 2, no. 5–6 (May–June 1832): 168.</t>
  </si>
  <si>
    <t>"Conservation des pommes de terre." Journal belge des connaissances utiles (Bruxelles) 1, no. 9 (1831–1832): 68.</t>
  </si>
  <si>
    <t>Gillet de Grandmont, Al., rapporteur, with Comte de Lasteyrie, de Puymaurin, C. Bailly de Merlieux, and Herpin. "Rapport sur la gélatine, fait à la Société d'economie domestique." Journal des connaissances usuelles et pratiques (Paris) 12, no. 64 (July 1830): 5–16.</t>
  </si>
  <si>
    <t>"Moyen d'empécher de la farine de mais de s'eschauffer." Journal des connaissances usuelles et pratiques (Paris) 13, no. 71 (February 1831): 91.</t>
  </si>
  <si>
    <t>Catecismo de industria rural y domestica. London: R. Ackermann, 1824. Cap. XVII, “Seda,” 84–92.</t>
  </si>
  <si>
    <t xml:space="preserve">"Moyen de faire cesser le hoquet." Journal belge des Connaissances utiles (Bruxelles) 1, no. 55 (1831–1832): 279. </t>
  </si>
  <si>
    <t>"Machine a excavation." Le Semeur: journal religieux, politique, philosophique et littéraire (Paris) 1, no. 16 (21 December 1831): 128.</t>
  </si>
  <si>
    <t>Howison, William. "De la culture du Melon d'eau et du Concombre, en Russie." Bulletin des sciences agricoles et economiques (Paris) 6, no. 165 (1826): 254–255.</t>
  </si>
  <si>
    <t>Howison, William. "Du Concombre." Bulletin des sciences agricoles et economiques (Paris) 6, no. 165 (1826): 255–257.</t>
  </si>
  <si>
    <t xml:space="preserve">One Thousand Valuable Secrets, in the Elegant and Useful Arts (Philadelphia: B. Davies and T. Stephens, 1795), 20, recipe XXI, “To preserve the brightness of arms.” </t>
  </si>
  <si>
    <t>Trans.-Ratio</t>
  </si>
  <si>
    <t xml:space="preserve">Lisboa, J. A. Instrucção para a cultura do linho canamo. Rio de Janeiro: Typographia Imperial e Nacional, 1827. </t>
  </si>
  <si>
    <t>“Thé (Thea, Lin.),” in Nouveau cours complet d’agriculture théorique et pratique, ou Dictionnaire raisonné et universel d’agriculture, vol. 13, TAB–ZOO (Paris: Deterville, 1809), 114.</t>
  </si>
  <si>
    <t>Marked internally as a translation.</t>
  </si>
  <si>
    <t>Sociedade Auxiliadora</t>
  </si>
  <si>
    <t>Economia Rural</t>
  </si>
  <si>
    <t>Sobre a cultura do Milho.</t>
  </si>
  <si>
    <t>Noticia sobre huma nova espécie de bicho de Seda, achado na Provincia de Casanare.</t>
  </si>
  <si>
    <t>Historia Naturaç</t>
  </si>
  <si>
    <t>Platina do Oural.</t>
  </si>
  <si>
    <t>Sobre a semente das Batatas.</t>
  </si>
  <si>
    <t>Maneira d’administrar hum gallinheiro.</t>
  </si>
  <si>
    <t>Horticultura</t>
  </si>
  <si>
    <t>Economia Industrial</t>
  </si>
  <si>
    <t>Algumas ideas sobre as rodas dos carros.</t>
  </si>
  <si>
    <t>Extracto da Sessão da sua Assembléa Geral, reunida no dia 15 de Novembro.</t>
  </si>
  <si>
    <t>Dissertação sobre a mistura de terras.</t>
  </si>
  <si>
    <t>Nova teoria sobre a acção dos estrumes, e sobre o seu emprego.</t>
  </si>
  <si>
    <t>Conservação dos Estofos de lãs: meio de os preservar da traça.</t>
  </si>
  <si>
    <t>Noticia sobre os animaes cornigeros.</t>
  </si>
  <si>
    <t>Arte Veterinária</t>
  </si>
  <si>
    <t>Processo para trabalhar o Caoutchouc, ou goma elastica</t>
  </si>
  <si>
    <t>Quadro comparativo da verdadeira, e falsa vaccina.</t>
  </si>
  <si>
    <t>"Tableau comparatif de la vraie et de fausse vaccine." Journal des connaissances utiles (Paris) 3, no. 3 (March 1833): 72</t>
  </si>
  <si>
    <t>Voltaire. “De la grande protection due à l’agriculture.” In “Agriculture,” Dictionnaire philosophique, vol. 1. Paris: Lequien fils, 1829.</t>
  </si>
  <si>
    <t>"Moyen de s'assurer de la bonne qualité et de l'excellente constitution du virus vaccin." Journal des connaissances utiles (Paris) 3, no. 3 (March 1833): 73.</t>
  </si>
  <si>
    <t>"Moyen d'empécher le vin de s'aigrir." Journal des connaissances usuelles et pratiques (Paris) 13, no. 72 (March 1831): 145.</t>
  </si>
  <si>
    <t>"Manière de conserver les peaux des animaux." Journal des connaissances usuelles et pratiques (Paris) 13, no. 72 (March 1831): 133–134.</t>
  </si>
  <si>
    <t>"Moyen économique de purifier l'air des intérieurs." Journal belge des connaissances utiles (Bruxelles) 1, no. 9 (1831–1832): 69.</t>
  </si>
  <si>
    <t>"Amélioration des sols." Journal des connaissances utiles (Paris) 1, no. 1 (January–February 1832): 31–32.</t>
  </si>
  <si>
    <t>Observações geraes sobre os afolhamentos. Principios sobre o melhoramento das raças dos animaes domesticos.</t>
  </si>
  <si>
    <t>Methodo simples de leitura d’ortographia, por M. E. Boutmy.</t>
  </si>
  <si>
    <t>Cultura do tabaco na Virginia e Maryland: propriedades e uso do tabaco.</t>
  </si>
  <si>
    <t>Estrume.</t>
  </si>
  <si>
    <t>Medicina Veterinaria</t>
  </si>
  <si>
    <t xml:space="preserve">Honra dada à Agricultura. </t>
  </si>
  <si>
    <t>Vinagre de Cajú e de Goiaba.</t>
  </si>
  <si>
    <t>Maneira de tornar saudáveis as habitações húmidas.</t>
  </si>
  <si>
    <t>Meio de curar os animaes atacados de meteriosação</t>
  </si>
  <si>
    <t>Processo contra a oxidação do cobre do forro dos navios.</t>
  </si>
  <si>
    <t>Primeira preparação, ou fabrico do Chá.</t>
  </si>
  <si>
    <t>Industria e Artes</t>
  </si>
  <si>
    <t>Compendio de Agricultura. Introdução.</t>
  </si>
  <si>
    <t>Cultura do Arroz.</t>
  </si>
  <si>
    <t>Methodo de criar Peruns.</t>
  </si>
  <si>
    <t>Maneira de destruir os insectos que atacão as arvores frutíferas.</t>
  </si>
  <si>
    <t>Remedio mui simpels para queimadura.</t>
  </si>
  <si>
    <t>Noticia sobre Babbage e suas maravilhosas invenções.</t>
  </si>
  <si>
    <t>Economia Agrícola</t>
  </si>
  <si>
    <t>Introducção do chá e especiarias no Brasil.</t>
  </si>
  <si>
    <t>Observações praticas sobre a fabricação dos azeites.</t>
  </si>
  <si>
    <t>Physiologia vegetal.</t>
  </si>
  <si>
    <t>Guarda-raios, e guarda-pedrisco</t>
  </si>
  <si>
    <t>Memoria sobre a a terra combustivel, sua exploração, &amp;c.</t>
  </si>
  <si>
    <t>Salga da carne de porco.</t>
  </si>
  <si>
    <t>Economia Doméstica</t>
  </si>
  <si>
    <t>Medicina Pratica</t>
  </si>
  <si>
    <t>Sal comum como remédio contra veneno animal.</t>
  </si>
  <si>
    <t xml:space="preserve">Memoria sobre o Tabaco, lida nas Sessoes da Sociedade de Medicina do Rio de Janeiro de 6 e 18 de Dezembro de 1854, por Emilio Joaquim da Silva Maia, Doutor em Medicina. </t>
  </si>
  <si>
    <t>Compendio de Agricultura. Continuação do Cap. III.</t>
  </si>
  <si>
    <t>Cultura das Batatas chamadas vulgarmente Batatas Inglezas.</t>
  </si>
  <si>
    <t>Canaes. Memoria sobre a abertura de hum novo Canal para facilitar a comunicação entre as Vilas de Campos e São João de Macabé, por José Carneiro.</t>
  </si>
  <si>
    <t>Fim da Memoria sobre a plantação e cultura do Chá</t>
  </si>
  <si>
    <t>Erros populares relativos à Vaccina.</t>
  </si>
  <si>
    <t>Economia Pública</t>
  </si>
  <si>
    <t xml:space="preserve">Utilidade dos marcos de pedra. </t>
  </si>
  <si>
    <t>Arboricultura</t>
  </si>
  <si>
    <t>Hygiene Publica</t>
  </si>
  <si>
    <t>Madeira de Teca.</t>
  </si>
  <si>
    <t>Modo d'extrahir o alcatrão e resina dos pinheiros.</t>
  </si>
  <si>
    <t xml:space="preserve">Meio de tirar nodoas gordurosa dos estofos. </t>
  </si>
  <si>
    <t>Considerações sobre o Commercio por M. Berryer pai.</t>
  </si>
  <si>
    <t>Algumas considerações sobre os afolhamentos.</t>
  </si>
  <si>
    <t>Sobre os empregos de chloruretos e chloro; por A. Chevalier.</t>
  </si>
  <si>
    <t>Remedio contra a Ictericia.</t>
  </si>
  <si>
    <t>Receita para fazer agoa de Seltz artificial.</t>
  </si>
  <si>
    <t>Importancia geral da manufactura do algodão.</t>
  </si>
  <si>
    <t>Meios de fazer velas de sebo em casa.</t>
  </si>
  <si>
    <t>Maneira de fazer despparecer as nodoas de ferrugem, alcatão, fructas, vinho, etc.</t>
  </si>
  <si>
    <t>Novas Camas para melões.</t>
  </si>
  <si>
    <t>Tratamento para hydrophobia.</t>
  </si>
  <si>
    <t>Utilidade, e propriedade do estrume de diversos animaes.</t>
  </si>
  <si>
    <t>Remedio simples contra a surdeza.</t>
  </si>
  <si>
    <t>Canaes de navegação.</t>
  </si>
  <si>
    <t xml:space="preserve">Seda nos matos do Brazil. </t>
  </si>
  <si>
    <t>Nova maneira de conservar as batatas.</t>
  </si>
  <si>
    <t>Branqueamento dos lenços e tecidos.</t>
  </si>
  <si>
    <t>Dissertação sobre as diferentes sortes de queijos, e methodos para os fabricar.</t>
  </si>
  <si>
    <t>Continuação da viagem aos Estados Unidos da America, por Hyppolito José da Costa Pereira.</t>
  </si>
  <si>
    <t>Leblond, Jean-Baptiste. “Mémoire sur la préparation du rocou et sur la culture du rocouyer.” In Mémoires de la Société d’agriculture de Paris, tome 6, 65–133. Paris, 1804.</t>
  </si>
  <si>
    <t>Industria Agricola</t>
  </si>
  <si>
    <t>Historia do assucar.</t>
  </si>
  <si>
    <t>Industria Commercial</t>
  </si>
  <si>
    <t>Topinambour.</t>
  </si>
  <si>
    <t>Nota sobre o alimentar os bichos da seda com a fecula da batata</t>
  </si>
  <si>
    <t>Potencia industrial da Inglaterra</t>
  </si>
  <si>
    <t>Câmara, Manuel Arruda da. Memoria sobre a cultura dos algodoeiros, e sobre o methodo de o escolher, e ensacar, etc.: em que se propoem alguns planos novos, para o seu melhoramento. Lisbon: Na Officina da Casa Litteraria do Arco do Cego, 1799. [4], 80, [3] p., [6] fold. plates.</t>
  </si>
  <si>
    <t>Duportal, Antoine-Sylvestre. Recherches sur l’état actuel de la distillation du vin en France, et sur les moyens d’améliorer la distillation des eaux-de-vie de tous les pays. Avec cinq planches en taille-douce. Paris: J. Klostermann fils; Saint-Pétersbourg: Klostermann père et fils, 1811, 30–34 (“Description de l’appareil distillatoire d’Edouard Adam,” “Explication de la seconde planche”).</t>
  </si>
  <si>
    <t>Das plantas para forragem.</t>
  </si>
  <si>
    <t>Processos proprios para a purificação do espermaceti.</t>
  </si>
  <si>
    <t>Instruccção sobre a cultura dos nabos e de suas variedades</t>
  </si>
  <si>
    <t>Do uso alimentario da carne de porco e do peixe</t>
  </si>
  <si>
    <t>Technical note on engenho practice (bagasse-firing) with a named inventor; subject is a Brazilian manufacturing problem.</t>
  </si>
  <si>
    <t>"Académie des sciences. Séance du 20 juillet." Journal des débats politiques et littéraires (Paris) (22 July 1840): 1–2.</t>
  </si>
  <si>
    <t>Davy, Humphry. “Additional Experiments and Observations on the Application of Electrical Combinations to the Preservation of the Copper Sheathing of Ships, and to Other Purposes.” Philosophical Transactions of the Royal Society of London 114 (1824): 242–246.</t>
  </si>
  <si>
    <t>Economia Rural. Productos dos animaes mansuefactos. Extrahido do Tratado de Mr. Delaguette, impresso em 1830.</t>
  </si>
  <si>
    <t>“Oie.” In Dictionnaire d’agriculture pratique: contenant la grande et la petite culture, l’économie rurale et domestique, la médecine vétérinaire, etc., t. 2, 172. Paris: Aucher-Éloy et V. de Boisjoslin, 1828.</t>
  </si>
  <si>
    <t>A. V. Delaguette, “Troisième partie. Des produits que donnent les bestiaux,” in Traité des maladies des bestiaux, ou Description raisonnée de leurs maladies et de leur traitement: précédée d’un précis d’histoire naturelle, et d’un traité d’hygiène; et suivie d’un aperçu sur les moyens de tirer, des bestiaux, les produits les plus avantageux (Paris: Raynal, 1830), 348–378.</t>
  </si>
  <si>
    <t>Sobre o Rima, ou Arvore do Pão.</t>
  </si>
  <si>
    <t xml:space="preserve">Cadet, M.-P.-L. “Café (Procédé pour le préparer).” In Dictionnaire chronologique et raisonné des découvertes, inventions, innovations, perfectionnemens, observations nouvelles et importations, en France, dans les sciences, la littérature, les arts, l’agriculture, le commerce et l’industrie, de 1789 à la fin de 1820, vol. 2, 264–65. Paris: Louis Colas, 1822. </t>
  </si>
  <si>
    <t>Masson-Four. "Amélioration dans la fabrication du sucre pur ou raffine." Journal des connaissances utiles (Paris) 3, no. 5 (May 1833): 140.</t>
  </si>
  <si>
    <t>"Le célèbre brise-pierre ou brise-coque de M. Heurteloup.” Revue scientifique et industrielle (Paris) 2 (1840): 457–458.</t>
  </si>
  <si>
    <t>"Du bruit de cuir neuf comme signe diagnostique dans les affections abdominales; par M. J.-B. Kyll, docteur en médecine, à Cologne." Encyclographie des sciences médicales (Paris) 4, no. 3 (1839): 99–100.</t>
  </si>
  <si>
    <t>This article is an original medical essay by the Brazilian physician José Pedro de Oliveira, who was then practicing in Montevideo, Uruguay. It was written there and sent to be published in the Revista Médica Fluminense in Rio de Janeiro.</t>
  </si>
  <si>
    <t>“Acido prussico.” O Museu Portuense (Lisbon) 1, no. 6 (1838): 85–86.</t>
  </si>
  <si>
    <t>Novos moxas de N. Grœfe.</t>
  </si>
  <si>
    <t>Jardon. "Quelques inflexions sur la stomatite mercurielle et sur l'emploi des mercuriaux." Journal des connaissances médico-chirurgicales (Paris) 6, no. 8 (February 1839): 56–62.</t>
  </si>
  <si>
    <t>Garot, M. “Procédé nouveau pour recouvrir les pilules d’un enduit de gélatine.” Journal de Pharmacie et des Sciences Accessoires (Paris) 24 (February 1838): 78–80.</t>
  </si>
  <si>
    <t>Ainda o Sr. Nayler-Bey.</t>
  </si>
  <si>
    <t>"Causes des scrophules et notamment de la pneumonie tuberculeuse Influence des climats, de la température, des professions et des lieux sur le développement de ces affections." Journal des Connaissances Medico Chirurgicales (Paris) 6, no. 3 (September 1838): 92–94.</t>
  </si>
  <si>
    <t>"Sur l’emploi de l’eau de mer à l’intérieur dans différentes maladies, par le docteur Greenhow." Gazette médicale de Paris (Paris) 3, no. 52 (26 December 1835): 825.</t>
  </si>
  <si>
    <t>"Considération pratique sur le seigle ergoté, par M. Dupareque." Journal des connaissances médico-chirurgicales (Paris) 7, no. 5 (May 1838): 209–210.</t>
  </si>
  <si>
    <t>"Considérations sur les abus commis dans le traitement des maladies des yeux." Journal des connaissances médico-chirurgicales (Paris) 7, no. 5 (May 1838): 212–213.</t>
  </si>
  <si>
    <t>"Saignée; nitrate d'argent; moyen préservatif contre la phthisie." Journal des connaissances médico-chirurgicales (Paris) 7, no. 2 (February 1838): 73–74.</t>
  </si>
  <si>
    <t>"De l’influence des climats sur la production et le traitement des affections tuberculeuses; par Ch. Dujat, D. M. P." Journal des connaissances médico-chirurgicales (Paris) 7, no. 4 (April 1838): 154–155.</t>
  </si>
  <si>
    <t>Cadot. "Observation d’une sueur bleue, et recherches chimiques sur la nature de cette couleur ; par M. CADOT, pharmacien à Angers (Maine-et-Loire) ; communiquée par M. Le Sant, pharmacien." Journal de la Section de médecine de la Société académique du département de la Loire-Inférieure (Nantes) 7 (1831): 93–94.</t>
  </si>
  <si>
    <t xml:space="preserve">Great Britain. Parliament. Commissioners for the Improvement of the Mail Coach Roads. General Rules for Repairing Roads, Recommended, by the Parliamentary Commissioners for the Improvement of the Mail Coach Road from London, by Coventry, to Holyhead, to the Turnpike Trustees between London and Shrewsbury. Illustrated with a Plate. 4th ed. London: J. Taylor, 1823. </t>
  </si>
  <si>
    <t>"Art. 1003." Journal de médecine et de chirurgie pratiques (Paris) 6 (February 1835): 109.</t>
  </si>
  <si>
    <t>Renucci. "Note sur l'acarus de la gale ches l'homme." Revue médicale française et étrangère (Paris) 3 (September 1834): 486–491.</t>
  </si>
  <si>
    <t>"Art. 965. Considérations sur l’emploi d’une pâte destinée à détruire les tumeurs cancéreuses." Journal de médecine et de chirurgie pratiques (Paris) 6 (February 1835): 5–8.</t>
  </si>
  <si>
    <t>"Art. 1633. Des injections de nitrate d’argent dans le traitement du catarrhe chronique de la vessie." Journal de médecine et de chirurgie pratiques (Paris) 9 (April 1838): 157–159.</t>
  </si>
  <si>
    <t>"Art. 1641. Note sur la conservation des sangues." Journal de médecine et de chirurgie pratiques (Paris) 9 (April 1838): 181–182.</t>
  </si>
  <si>
    <t>"Art. 1640. Note sur la conservation des sangues." Journal de médecine et de chirurgie pratiques (Paris) 9 (April 1838): 181.</t>
  </si>
  <si>
    <t>"Effets thérapeutiques du chlore." Journal des connaissances médico-chirurgicales (Paris) 6, no. 7 (January 1839): 42–43.</t>
  </si>
  <si>
    <t xml:space="preserve">Charles Louis Cadet de Gassicourt, V. Bally, and F. Cadet de Gassicourt, “Bouillon pectoral du Dr Bailly,” in Formulaire magistral et mémorial pharmaceutique, 6e éd. (Paris: Louis Colas, 1826), 47. </t>
  </si>
  <si>
    <t>Preparação dos chloruros alcalinos.</t>
  </si>
  <si>
    <t>"Esquisses médicales sur Londres." Journal medical de la Gironde (Bordeaux) 3 (1825): 173–176.</t>
  </si>
  <si>
    <t>Bibliographic notes summarising newly published French medical books (Virey, Bourdon, Broussais, Candolle, Martinet, Peisse, Bricheteau), likely compiled from Parisian publishers’ catalogues.</t>
  </si>
  <si>
    <t>Bibliographic notes summarising newly published French medical books, likely compiled from Parisian publishers’ catalogues.</t>
  </si>
  <si>
    <t>"Préparation des chlorures alcalins." Journal de pharmacie et des sciences accessoires (Paris) 13, no. 7 (July 1827): 332–337.</t>
  </si>
  <si>
    <t xml:space="preserve">“Poudre de M. Dupuytren contre les dartres phagédéniques ou rongeantes.” In Formulaire pratique des hôpitaux civils de Paris: ou Recueil des prescriptions médicamenteuses employées par les médecins et chirurgiens de ces établissements, 345–48. 2e éd. Paris: J.-B. Baillière, 1825. </t>
  </si>
  <si>
    <t xml:space="preserve">“Traitment de M. Dupuytren contre l'hydropisie passive du tissu cellulaire.” In Formulaire pratique des hôpitaux civils de Paris: ou Recueil des prescriptions médicamenteuses employées par les médecins et chirurgiens de ces établissements, 341–342. 2e éd. Paris: J.-B. Baillière, 1825. </t>
  </si>
  <si>
    <t xml:space="preserve">“Sachet résolutif (Maison de Santé, M. Duméril).” In Formulaire pratique des hôpitaux civils de Paris: ou Recueil des prescriptions médicamenteuses employées par les médecins et chirurgiens de ces établissements, 334. 2e éd. Paris: J.-B. Baillière, 1825. </t>
  </si>
  <si>
    <t xml:space="preserve">"Sirop de Cuisinier réformé (Vénériens)." In Formulaire pratique des hôpitaux civils de Paris: ou Recueil des prescriptions médicamenteuses employées par les médecins et chirurgiens de ces établissements, 333. 2e éd. Paris: J.-B. Baillière, 1825. </t>
  </si>
  <si>
    <t>“Remède du professeur Dubois contre le ténia.” In Formulaire pratique des hôpitaux civils de Paris: ou Recueil des prescriptions médicamenteuses employées par les médecins et chirurgiens de ces établissements, 332–33. 2e éd. Paris: J.-B. Baillière, 1825.</t>
  </si>
  <si>
    <t xml:space="preserve">“Du colibri.” In Nouvelle lecture amusante et instructive: avec l’explication des mots et des phrases en allemand, 276–77. 5e éd. Francfort-sur-le-Main: Hermann, 1818. </t>
  </si>
  <si>
    <t>Meio d’extrahir o placenta do útero, em caso d’hemorrhagia depois do parto.</t>
  </si>
  <si>
    <t>"Procédé de la Pharmacopée de Londres." Journal de pharmacie et des sciences accessoires (Paris) 12, no. 2 (February 1826) 70–71.</t>
  </si>
  <si>
    <t>“Nouvelle poudre de Sedlitz composée.” Journal de pharmacie et des sciences accessoires (Paris) 12, no. 11 ( November1826): 572.</t>
  </si>
  <si>
    <t xml:space="preserve">Montmahou, E. de. “Préparations d’antimoine. Tartrate de potasse antimonié, émétique.” In Manuel médico-légal des poisons, 57–60. Paris: Compère Jeune, 1824. </t>
  </si>
  <si>
    <t>Preparações de antimonio.</t>
  </si>
  <si>
    <t>Preparações d'estanho.</t>
  </si>
  <si>
    <t xml:space="preserve">Montmahou, E. de. “Préparations d'étain. Oxyde et muriate d'étain.” In Manuel médico-légal des poisons, 64–66. Paris: Compère Jeune, 1824. </t>
  </si>
  <si>
    <t xml:space="preserve">Montmahou, E. de. “Préparations de cuivre. Vert-de-gris, etc.” In Manuel médico-légal des poisons, 62–64. Paris: Compère Jeune, 1824. </t>
  </si>
  <si>
    <t xml:space="preserve">“Considérations générales sur les hôpitaux.” In Formulaire pratique des hôpitaux civils de Paris: ou Recueil des prescriptions médicamenteuses employées par les médecins et chirurgiens de ces établissements, xix-xxii. Paris: J.-B. Baillière, 1823. </t>
  </si>
  <si>
    <t xml:space="preserve">“Considérations générales sur les hôpitaux.” In Formulaire pratique des hôpitaux civils de Paris: ou Recueil des prescriptions médicamenteuses employées par les médecins et chirurgiens de ces établissements, xxii-xxxii. Paris: J.-B. Baillière, 1823. </t>
  </si>
  <si>
    <t xml:space="preserve">“Considérations générales sur les hôpitaux.” In Formulaire pratique des hôpitaux civils de Paris: ou Recueil des prescriptions médicamenteuses employées par les médecins et chirurgiens de ces établissements, xxxii-xxxiii. Paris: J.-B. Baillière, 1823. </t>
  </si>
  <si>
    <t>"Zoologie." Journal de pharmacie et des sciences accessoires (Paris) 12 (September 1826): 476–477.</t>
  </si>
  <si>
    <t>Bibliographic notes summarising newly published English medical books, likely compiled from  publishers’ catalogues.</t>
  </si>
  <si>
    <t>Virey, J.-J. “Recherches d’histoire naturelle médicale sur les poivriers, et la racine d’ava ou kawa.” Journal de pharmacie et des sciences accessoires (Paris) 2e sér., 12 (1826): 116–124.</t>
  </si>
  <si>
    <t>"Pipules contre la migraine, ou anti-cephalalgiques, du docteur Isoard." Journal de pharmacie et des sciences accessoires (Paris) 12, no. 5 (May 1826): 255.</t>
  </si>
  <si>
    <t>"Employée dans l'Indie contre le cholera-morbus." Journal de pharmacie et des sciences accessoires (Paris) 12, no. 9 (September 1826): 481.</t>
  </si>
  <si>
    <t>Antoine-Laurent-Jessé Bayle, “Nouvelle doctrine des maladies mentales.” Revue médicale française et étrangère (Paris) 1 (1825): 169–215.</t>
  </si>
  <si>
    <t>“Broussais (François-Joseph-Victor).” In Biographie nouvelle des contemporains, ou Dictionnaire historique et raisonné de tous les hommes qui, depuis la Révolution française, ont acquis de la célébrité par leurs actions, leurs écrits, leurs erreurs ou leurs crimes, soit en France, soit dans les pays étrangers, vol. 2, 521–24. Paris: Librairie historique, 1820.</t>
  </si>
  <si>
    <t>Article quotes French/European authorities, but the text does not seem to be a direct translation.</t>
  </si>
  <si>
    <t>Foreign manuscript.</t>
  </si>
  <si>
    <t>"De l'absorption pulmonaire." Revue médicale française et étrangère (Paris) 1 (January 1826): 165–167.</t>
  </si>
  <si>
    <t>Obras de M. Alibert.</t>
  </si>
  <si>
    <t>Sobre a absorpção pulmonar.</t>
  </si>
  <si>
    <t>Hydrocele tratado com successo, sem a operação.</t>
  </si>
  <si>
    <t xml:space="preserve">J. L. H. P., Les médecins français contemporains (Paris: Librairie de l’Industrie, 1827), 57–68. </t>
  </si>
  <si>
    <t>Sobre a acção dos Calomelanos.</t>
  </si>
  <si>
    <t>Lithotomia.</t>
  </si>
  <si>
    <t>Casos de morte subita.</t>
  </si>
  <si>
    <t>"Réflexions sur quelques phénomènes propres à faire distinguer le suicide de la mort violente, dans les cas de pendaison; par M. Deslandes." Revue médicale française et étrangère (Paris) 2 (April 1824): 93–102.</t>
  </si>
  <si>
    <t>Nova formula para as pílulas de Plenck.</t>
  </si>
  <si>
    <t>Simon, L. "Du principe actif contenu dans la digitale pourprée; mémoire lu à la Soc. de Physique et d’Histoire naturelle de Genève; par M. A. Le Royer." Bulletin universel des sciences et de l'industrie (Paris) 2 (1824): 547–548.</t>
  </si>
  <si>
    <t>"Observations et réflexions sur les Plaies pénétrantes de la poitrine; Par M. Toulmouche." Revue médicale française et étrangère (Paris) 1 (March 1825): 402–415.</t>
  </si>
  <si>
    <t>"Notice sur l'emploi de la belladone, contre la scarlatine; par Ernest Martini." Archives générales de médecine (Paris) 5 (1824): 264-271.</t>
  </si>
  <si>
    <t xml:space="preserve">Montmahou, E. de. “Préparations mercurielles.” In Manuel médico-légal des poisons, 52–57. Paris: Compère Jeune, 1824. </t>
  </si>
  <si>
    <t xml:space="preserve">Montmahou, E. de. “Préparations d'arsenic.” In Manuel médico-légal des poisons, 46–52. Paris: Compère Jeune, 1824. </t>
  </si>
  <si>
    <t>"M. Henry continue ses recherches sur l'émétique…" Journal de pharmacie et des sciences accessoires (Paris) 12, no. 1 (January 1826): 23–24.</t>
  </si>
  <si>
    <t>Observações sobre as vantagens e o emprego dos purgantes em muitas molestias; por James Hamilton, Doutor em Medicina em Edimburgo: traduzidas do Inglez e da 7.ª edic., por A. Lafisse, Medico em Paris. Hum vol. in-8º de 250 pag. Paris, 1825.</t>
  </si>
  <si>
    <t>Observações sobre as funcções dos orgãos digestivos.</t>
  </si>
  <si>
    <t xml:space="preserve">F. Ratier, “Vin diurétique amer de la Charité.” in Formulaire pratique des hôpitaux civils de Paris (Paris: J.-B. Baillière, 1823), 247. </t>
  </si>
  <si>
    <t xml:space="preserve">F. Ratier, “Remèdes particuliers.” in Formulaire pratique des hôpitaux civils de Paris (Paris: J.-B. Baillière, 1823), 242–44. </t>
  </si>
  <si>
    <t>Operação do Phimosis.</t>
  </si>
  <si>
    <t>Sobre a vaccina.</t>
  </si>
  <si>
    <t>Fistula Lacrymal.</t>
  </si>
  <si>
    <t>Urethrotomo do Sr. Lisfranc.</t>
  </si>
  <si>
    <t>Medicina Ingleza.</t>
  </si>
  <si>
    <t>Ligadura da arteria humeral.</t>
  </si>
  <si>
    <t>Amputação do collo da madre.</t>
  </si>
  <si>
    <t>Historia Natural e medica do Agrião do Pará.</t>
  </si>
  <si>
    <t>"Académia Royale de Médecine. Section de Pharmacie. 5 avril." Journal de chimie médicale, de pharmacie et de toxicologie (Paris) 1, no. 5 (May 1825): 261-262.</t>
  </si>
  <si>
    <t>Cultura do Chá no Brasil.</t>
  </si>
  <si>
    <t>Palma Christi d’America.</t>
  </si>
  <si>
    <t>Analyse do Fedegoso.</t>
  </si>
  <si>
    <t>Sociedade Linneanna</t>
  </si>
  <si>
    <t>Fortenelle, Julia. "Notice historique sur M. Le Comte de Lacépède." Revue médicale française et étrangère (Paris) 4 (November 1825): 351–359.</t>
  </si>
  <si>
    <t>Purificação do Oleo de therementina.</t>
  </si>
  <si>
    <t>Analyse dos pós de James.</t>
  </si>
  <si>
    <t>Pommada de Stramnonium.</t>
  </si>
  <si>
    <t>"Pilules antisyphilitiques du docteur Sarrasin, de Saint-Quentin." Journal de pharmacie et des sciences accessoires (Paris) 9 (1823): 521.</t>
  </si>
  <si>
    <t>Pílulas anti-syphiliticas do Doutor Sarrasin.</t>
  </si>
  <si>
    <t>Poção Stibio-opiacea do Doutor Peysson.</t>
  </si>
  <si>
    <t>Poção com acido prussico, segundo a formula de M. Magendie.</t>
  </si>
  <si>
    <t>Novo methodo para fazer o Precipitado branco.</t>
  </si>
  <si>
    <t>"Grossesse dans la trompe de Fallope." Revue médicale française et étrangère (Paris) 1 (February 1826): 295–286.</t>
  </si>
  <si>
    <t>Sobre as curvaduras lateraes da Espinha.</t>
  </si>
  <si>
    <t>Bonnet. “Du siège, de la nature et du traitement du tétanos.” Journal médical de la Gironde (Bordeaux) 3 (1825): 349–74.</t>
  </si>
  <si>
    <t>"Notice sur le nouveau moyen du docteur Civiale, pour détruire la pierre dans la vessie sans l’opération de la taille." Journal medical de la Gironde (Bordeaux) 1 (1824): 344–353.</t>
  </si>
  <si>
    <t>Noticia sobre a quina do Brasil.</t>
  </si>
  <si>
    <t>Efficacia do laudano para a cura das nodoas nos olhos.</t>
  </si>
  <si>
    <t>Ventosas applicadas no caso de ferida envenenada.</t>
  </si>
  <si>
    <t>Tísica curada pelo cauterio moxa.</t>
  </si>
  <si>
    <t>Descoberta do liquido cerebro-espinhal pelo Magendie.</t>
  </si>
  <si>
    <t>Premios da Academia de Paris.</t>
  </si>
  <si>
    <t>Vicio de conformação do coração.</t>
  </si>
  <si>
    <t>“Ventouses aux plaies empoisonnées.” Revue médicale française et étrangère (Paris) 4 (October 1825): 153–154.</t>
  </si>
  <si>
    <t>Stoeber, V. "46. Vice de conformation du cœur, par M. Tiedemann. (Zeitschrift für Physiologie, von Tiedemann und Treviranus; t. I, cah. I, 1824.)." Bulletin des sciences médicales (Paris) 7 (1826): 104–105.</t>
  </si>
  <si>
    <t>Sobre a cafeína.</t>
  </si>
  <si>
    <t>Pós aromaticos de Leayson.</t>
  </si>
  <si>
    <t>Traducção das instruções relativas ao calçamento das ruas com madeira.</t>
  </si>
  <si>
    <t>Economia politica. Preceitos geraes.</t>
  </si>
  <si>
    <t>Caso de homicídio involuntário causado pela administração das pílulas de Morisson.</t>
  </si>
  <si>
    <t>Cicatrizes artificiaes, empregadas para a cura de varias enfermidades.</t>
  </si>
  <si>
    <t>Tratamento da queimadura com a agoa phagedenica.</t>
  </si>
  <si>
    <t xml:space="preserve">Lad. A. Szerlecki, Dictionnaire abrégé de thérapeutique: Exposé des moyens curatifs employés par les praticiens les plus distingués de la France, de l’Allemagne, de l’Angleterre et de l’Italie, dans toutes les maladies, rangées d’après l’ordre alphabétique (Bruxelles: Société typographique belge, Ad. Wahlen et Cie, 1836), 49. </t>
  </si>
  <si>
    <t>Emprego no oleo de terebenthina em Clisteis.</t>
  </si>
  <si>
    <t>"Pneumonte des Enfants (Pneumonia Infantilis)," Gazette Médicale de Paris (Paris), 1, no. 44 (30 October 1830): 397–8.</t>
  </si>
  <si>
    <t>Da vaccina e da influencia della sobre a duração da vida.</t>
  </si>
  <si>
    <t>"De la vaccine et de son influence sur la durée de la vie." Revue britannique (Bruxelles) 2 (December 1833): 351–352.</t>
  </si>
  <si>
    <t>"Sur la présence des miasmes dans l'air." Archives générales de médecine (Paris) 5 (1834): 641–647.</t>
  </si>
  <si>
    <t>Questão da Faculdade de Medicina do Rio de Janeiro; documentos números 4, 5, 6 e 7 (continuado de pag. 36).</t>
  </si>
  <si>
    <t>Mudez curada pela galvinização. (Nota communicada por M. Fabré-Palaprat.)</t>
  </si>
  <si>
    <t>Questão da Faculdade de Medicina do Rio de Janeiro; documentos números 1, 2 e 3.</t>
  </si>
  <si>
    <t>Extracção de certos tumores do colo da bexiga por meio dos instrumentos da lithotricia.</t>
  </si>
  <si>
    <t xml:space="preserve">"Chrirurgie." Le National (Paris) (24 December 1834): 2. </t>
  </si>
  <si>
    <t>Notícia sobre o creosoto, e processo para a sua extracção.</t>
  </si>
  <si>
    <t>Processo para curar os calos dos pés, pelo Sr. Dubroca.</t>
  </si>
  <si>
    <t>"Procédé de M. Dubroca, médecin à Barsac, pour la guérison des corps aux pieds." Le Temps (Paris) 6, no. 1903 (8 January 1835): 2.</t>
  </si>
  <si>
    <t>Ácido sulfúrico crystallisado.</t>
  </si>
  <si>
    <t>Acção do ammoniaco contra a embriaguez.</t>
  </si>
  <si>
    <t xml:space="preserve">Oxido de ferro. </t>
  </si>
  <si>
    <t>Mendes, Luiz Antônio de Oliveira. “Discurso academico ao programma: Determinar com todos os seus symptomas as doenças agudas, e chronicas, que mais frequentemente accommettem os Pretos recem-tirados da Africa: examinando as causas da sua mortandade depois da sua chegada ao Brasil: se talvez a mudança do clima, se a vida mais laboriosa, ou se alguns outros motivos concorrem para tanto estrago: e finalmente indicar os methodos mais apropriados para evitalo, prevenindo-o, e curando-o: Tudo isto deduzido da experiencia mais sizuda, e fiel.” In Memorias economicas da Academia Real das Sciencias de Lisboa, para o adiantamento da agricultura, das artes, e da industria em Portugal, e suas conquistas, tomo IV, 1–64. Lisbon: Na Typografia da Mesma Academia, 1812.</t>
  </si>
  <si>
    <t>"Acide sulfurique cristallisé." Journal de Chimie Medicale, de Pharmacie et de Toxicologie (Paris) 10 (1834): 103.</t>
  </si>
  <si>
    <t>Preparação do xarope de orxata.</t>
  </si>
  <si>
    <t>Xarope de café.</t>
  </si>
  <si>
    <t>Electuario de casca de raiz de romeira.</t>
  </si>
  <si>
    <t>"Sirop de café." Journal de Chimie Medicale, de Pharmacie et de Toxicologie (Paris) 9 (1833): 599–600.</t>
  </si>
  <si>
    <t>Imposto sobre as Sangue-sugas.</t>
  </si>
  <si>
    <t>Noticias médicas da América do Sul.</t>
  </si>
  <si>
    <t>Oleo de Ricino.</t>
  </si>
  <si>
    <t>Dissertações apresentadas á Faculdade de Medicina do Rio de Janeiro.</t>
  </si>
  <si>
    <t>Objectos de Concurso.</t>
  </si>
  <si>
    <t>Obras de Médicos Brazileiros.</t>
  </si>
  <si>
    <t>Panaceá Swaim.</t>
  </si>
  <si>
    <t>Sphygmometro.</t>
  </si>
  <si>
    <t>Acção do chá.</t>
  </si>
  <si>
    <t>Novo caso d’hypochondria.</t>
  </si>
  <si>
    <t>Origem do vidro.</t>
  </si>
  <si>
    <t>“The Sugar Cane,” The Saturday Magazine (London) 2, no. 60 (8 June 1833): 219–222.</t>
  </si>
  <si>
    <t>J. Cordier, Ponts et chaussées. Essais sur la construction des routes, des ponts suspendus, des barrages, etc., extraits de divers ouvrages anglais (Lille: Imprimerie de Reboux-Leroy, 1825).</t>
  </si>
  <si>
    <t>J. Cordier, Ponts et chaussées. Essais sur la construction des routes, des ponts suspendus, des barrages, etc., extraits de divers ouvrages anglais (Lille: Imprimerie de Reboux-Leroy, 1825), vi–lxxxiii.</t>
  </si>
  <si>
    <t>Antoine-Laurent-Jessé Bayle, "Sur les Hallucinations des sens," Revue Médicale Française et Etrangère (Paris) 1, no. 1 (1825): 31–53.</t>
  </si>
  <si>
    <t>J. Cordier, Ponts et chaussées. Essais sur la construction des routes, des ponts suspendus, des barrages, etc., extraits de divers ouvrages anglais (Lille: Imprimerie de Reboux-Leroy, 1825), 445–448.</t>
  </si>
  <si>
    <t>Chaga do olho com perda da substancia da iria, sem inconveniente na vista. Observação de Mr. James Laidlaw.</t>
  </si>
  <si>
    <t>Relatorio do Dr. De-Simoni, sobre a Memoria do Sr. Guilherme Luiz Taube, sobre os effeitos physicos e moraes dos exercicios gymnasticos. Lido e approvado na Sessão de 4 de Agosto deste anno:</t>
  </si>
  <si>
    <t>Hernias. — Ventagens do emprego do extracto de belladona para dilatar o anel e facilitar a reducção das hernias. — Cura radical das hernias pelo repouso. — Hernia inguinal dobrada com suffocação no collo do sacco, operação, cura.</t>
  </si>
  <si>
    <t>Caso d’evolução espontânea do feto, pelo doutor Malcolm.</t>
  </si>
  <si>
    <t>Hydropisia do útero.</t>
  </si>
  <si>
    <t>Como se deve terminar o parto quando se apresenta, ou já tem sahido hum braço da criança? pelo Sr. Capuron.</t>
  </si>
  <si>
    <t>Considerações therapeuticas sobre o estreitamento do intestino recto, pelo Sr. Rognetta.</t>
  </si>
  <si>
    <t>Sobre o emprego do ammoníaco para combater os arrotos ácidos, que aparecem durante a digestão.</t>
  </si>
  <si>
    <t>Memoria sobre o diagnostico, na qual se examina os signaes communs e differenciaes de diversas molestias dos orgãos contidos nas cavidades pectoral, abdominal e cephalo-rachidiana, contendo varias observações interessantes, e entre outras: — Aneurisma da aorta, simulando phthisica laryngea. — Ossificação de quasi toda a extensão da aorta e da arteria pulmonar, tomada por hum aneurisma do coração. — Tuberculos pulmonares, simulando huma affecção de coração. — Amollecimento da medulla espinhal, simulando hum aneurisma do coração; pelo Sr. Huguier, ajudante de anatomia da faculdade, etc.</t>
  </si>
  <si>
    <t>Da presença de huma substancia aromatica, analoga ao almíscar na ourina, pelo Sr. Chevallier.</t>
  </si>
  <si>
    <t>Origem do succino, pelo Sr. Guiseppe Alessi.</t>
  </si>
  <si>
    <t>Perforação do estomago.</t>
  </si>
  <si>
    <t>Sessão de 17. Influencia therapeutica do calor athmospherico.</t>
  </si>
  <si>
    <t>Sessão de 24. Conservação das sangue-sugas.</t>
  </si>
  <si>
    <t>Nova theoria da combustão.</t>
  </si>
  <si>
    <t>Relação das pessoas que compõem a mesa, conselho d’administration e comissões permanentes.</t>
  </si>
  <si>
    <t>Reforma da Academia Real de Medicina de Paris em 1834.</t>
  </si>
  <si>
    <t>Signed by the author in Rio de Janeiro.</t>
  </si>
  <si>
    <t>Pastilhas de Magendie para desinfecção do halito.</t>
  </si>
  <si>
    <t>Offerta à Soc. de Med. do Rio de Janeiro de alguns productos extrahidos do alcatrão de fumeiro, pelo Sr. E. G. A.</t>
  </si>
  <si>
    <t>Desastrosa mordedura de huma cobra.</t>
  </si>
  <si>
    <t>Caso d’hydrophobia.</t>
  </si>
  <si>
    <t>Agrião do Pará.</t>
  </si>
  <si>
    <t>Das molestias agudas do coração.</t>
  </si>
  <si>
    <t>Codigo Pharmaceutico Lusitano.</t>
  </si>
  <si>
    <t>Da frequencia da apoplexia.</t>
  </si>
  <si>
    <t>Conservação dos cadaveres.</t>
  </si>
  <si>
    <t>Moléstias de Ubatuba.</t>
  </si>
  <si>
    <t>Planta phosphorescente.</t>
  </si>
  <si>
    <t>Chá do Brazil.</t>
  </si>
  <si>
    <t>Flora de Pernambuco.</t>
  </si>
  <si>
    <t>Assumptos de théses.</t>
  </si>
  <si>
    <t>Do gelo.</t>
  </si>
  <si>
    <t>Nota sobre a dieta e abuso della no tratamento das molestias, pelo Sr. J. F. Caffort, cirurg. do hosp. de Narbonne. (Bul. etc.)</t>
  </si>
  <si>
    <t>Falta de facultativos nas províncias.</t>
  </si>
  <si>
    <t>Extracto do relatório do ministro do Império sobre a vaccina.</t>
  </si>
  <si>
    <t>Decreto sobre o grau de pharmaceutico.</t>
  </si>
  <si>
    <t>Operações.</t>
  </si>
  <si>
    <t>Crespoto.</t>
  </si>
  <si>
    <t>Emprego da camphora e das fricções mercuriais contra a erysipela, por J. F. Sigaud.</t>
  </si>
  <si>
    <t>Nova instituição médica na República Oriental, por J. F. Sigaud.</t>
  </si>
  <si>
    <t>Notícias de Portugal sobre vários assumptos médicos.</t>
  </si>
  <si>
    <t>Artigo sobre o estabelecimento chymico-pharmaceutico do Sr. Ezequiel Corrêa dos Santos.</t>
  </si>
  <si>
    <t>Xarope de Larrey.</t>
  </si>
  <si>
    <t>Pommada contra a inflammação chronica das palpebras.</t>
  </si>
  <si>
    <t>Mistura adstringente de Bennati.</t>
  </si>
  <si>
    <t xml:space="preserve">Mistura peitoral de Boerhaave. </t>
  </si>
  <si>
    <t>Vinho de colchico.</t>
  </si>
  <si>
    <t>Pommada contra os tumores escrófulosos do doutor Verring.</t>
  </si>
  <si>
    <t>Iodureto de mercurio.</t>
  </si>
  <si>
    <t>Hemorrhagia periódica pelo recto em hum menino de oito annos, a qual já datava de sete annos. Observação communicada pelo Sr. Jouan, cirurgião em Rochefort (Gaz. Méd.)</t>
  </si>
  <si>
    <t>Remedio contra a masturbação habitual.</t>
  </si>
  <si>
    <t>Cosimento de Zittmann, dito forte, dito fraco.</t>
  </si>
  <si>
    <t>Xarope de orxata.</t>
  </si>
  <si>
    <t>Nova massa corrosiva.</t>
  </si>
  <si>
    <t>Sessões d'Academia Imperial de Medicina do Rio de Janeiro.</t>
  </si>
  <si>
    <t>Hygiene das ruas.</t>
  </si>
  <si>
    <t>Caixa de previdencia entre os médicos.</t>
  </si>
  <si>
    <t>Do emprego de fumigações de ácido carbônico para combater a amenorrhea, e as dores uterinas que precedem à evacuação menstrual.</t>
  </si>
  <si>
    <t>Emprego do creosoto.</t>
  </si>
  <si>
    <t>Novos remedios para a ophthalmia.</t>
  </si>
  <si>
    <t>Novo porta-caustico.</t>
  </si>
  <si>
    <t>Processo para combater a introducção dos corpos extranhos nos olhos.</t>
  </si>
  <si>
    <t>Processo para a cura da enxaqueca.</t>
  </si>
  <si>
    <t>Thèses.</t>
  </si>
  <si>
    <t>Responsabilidade medica</t>
  </si>
  <si>
    <t>Pneumonia lobular.</t>
  </si>
  <si>
    <t>Concurso para a cadeira do célebre Dupuytren.</t>
  </si>
  <si>
    <t>Epidemia de cholera-morbus em Marselha.</t>
  </si>
  <si>
    <t>Concelho de salubridade pública.</t>
  </si>
  <si>
    <t>Sessão pública da Academmia Imperial de Medicina do Rio de Janeiro.</t>
  </si>
  <si>
    <t>Obras de medicina publicadas ultimamente no Rio de Janeiro.</t>
  </si>
  <si>
    <t>Pio Bustamante</t>
  </si>
  <si>
    <t>Pitaya, nova quina.</t>
  </si>
  <si>
    <t>Corpos extranhos na orelha.</t>
  </si>
  <si>
    <t>Café purgante.</t>
  </si>
  <si>
    <t>Creosoto.</t>
  </si>
  <si>
    <t>Salivação resultante das preparações d’oiro.</t>
  </si>
  <si>
    <t>Erro de diagnostico.</t>
  </si>
  <si>
    <t>Psoriasis.</t>
  </si>
  <si>
    <t>Preparações de prata.</t>
  </si>
  <si>
    <t>Progressos.</t>
  </si>
  <si>
    <t>Cosimento branco de Sydenham.</t>
  </si>
  <si>
    <t>Remédio tópico para as febres de accesso.</t>
  </si>
  <si>
    <t>Luxações.</t>
  </si>
  <si>
    <t>Ophthalmia causada por hum dente cariado.</t>
  </si>
  <si>
    <t>Obras de medicina publicadas no Rio de Janeiro.</t>
  </si>
  <si>
    <t>Casos d’esquinencia.</t>
  </si>
  <si>
    <t>Casos de sarampo.</t>
  </si>
  <si>
    <t>Ablação da verga.</t>
  </si>
  <si>
    <t>Notícia sobre o estado da medicina em Buenos-Ayres.</t>
  </si>
  <si>
    <t>Instituições médicas no Chile, por J. F. Sigaud.</t>
  </si>
  <si>
    <t>Jornal Médico-Cirúrgico de Lisboa.</t>
  </si>
  <si>
    <t>A sala de visitas de um médico de Paris. Trad. F. C. Valdetaro</t>
  </si>
  <si>
    <t>Novo processo para a preparação do mel rosado, pelo Sr. Valmont, membro correspondente da Sociedade das Sciencias physicas.</t>
  </si>
  <si>
    <t>Preparações ammoniacaes, pelo Sr. Berard.</t>
  </si>
  <si>
    <t>Sobre o carragaheen, e formula de varios de seus compostos, pelo Sr. Berard. Trad. F. C. Valdetaro.</t>
  </si>
  <si>
    <t>Vantagens de sangrar um ministro da Fazenda.</t>
  </si>
  <si>
    <t>Usos da belladona no tratamento das contracções espasmodicas do utero; por Carré D.-M</t>
  </si>
  <si>
    <t>Operações de Hydrocele.</t>
  </si>
  <si>
    <t>Uso de raiz de guiné contra o mal de Morfêa.</t>
  </si>
  <si>
    <t>Decreto do proto-medicato de Lima contra o uso dos calomelanos na dyssenteria.</t>
  </si>
  <si>
    <t>Epidemia de escarlatina em Montevidéo.</t>
  </si>
  <si>
    <t xml:space="preserve">Lithoscopo. </t>
  </si>
  <si>
    <t>Portuguese clinical digest that loosely summarizes French work of Louis Martinet’s 1829 memoir on turpentine therapy and an untraced Marseille case series.</t>
  </si>
  <si>
    <t>Portuguese surgical note that compiles and adapts contemporary French techniques of Amussat’s section of the sternocleidomastoid for torticollis and Delpech and Duval’s Achilles tenotomy for pied-bot.</t>
  </si>
  <si>
    <t>Marked as a translation from Spanish by the editor.</t>
  </si>
  <si>
    <t>Hypothese de Millot, quanto á localisação dos sexos.</t>
  </si>
  <si>
    <t>"Nouveau traitement des dartres." Gazette médicale de Paris (Paris) 4, no. 13 (March 1836): 204.</t>
  </si>
  <si>
    <t>Tratamento das impingens.</t>
  </si>
  <si>
    <t>Casos de tetanos.</t>
  </si>
  <si>
    <t>Ossificações. Petrificações.</t>
  </si>
  <si>
    <t>Processo do Doutor J. F. Doellinger. — Exposição ao publico, por J. F. Doellinger.</t>
  </si>
  <si>
    <t>Short bibliographic notice compiled by the Brazilian journal’s editors listing recent French and English medical books and periodicals, intended to update local physicians on new foreign literature.</t>
  </si>
  <si>
    <t>A translation-cum-abridgment of Buisson’s hydrophobia pamphlet (via the standard French formula “sept bains de vapeur…”).</t>
  </si>
  <si>
    <t>Marked as translation by the editor.</t>
  </si>
  <si>
    <t>"Considérations pratiques sur la section des nerfs et le rétablissement de la sensibilité dans les parties auxquelles ils se distribuent." Journal de médecine et de chirurgie pratiques (Paris) 4 (1833): 106–107</t>
  </si>
  <si>
    <t>Influencia das profissões sobre a phthisica pulmonar.</t>
  </si>
  <si>
    <t>Emprego da manita.</t>
  </si>
  <si>
    <t>Feridas da vesícula biliar.</t>
  </si>
  <si>
    <t>Melancolia dos homens illustres.</t>
  </si>
  <si>
    <t>Ruidos do coração.</t>
  </si>
  <si>
    <t>Systema de Gall.</t>
  </si>
  <si>
    <t>Caso d’envenenamento.</t>
  </si>
  <si>
    <t>Visita à cataléptica de Virieu.</t>
  </si>
  <si>
    <t>Dentes.</t>
  </si>
  <si>
    <t>Manteiga vegetal.</t>
  </si>
  <si>
    <t>Origem da batata.</t>
  </si>
  <si>
    <t>Medicos Chinezes.</t>
  </si>
  <si>
    <t>Abuso da sangria.</t>
  </si>
  <si>
    <t xml:space="preserve">Obra do doutor Segalas. </t>
  </si>
  <si>
    <t>Observação de loucura curiosa.</t>
  </si>
  <si>
    <t>Notícias e variedades médicas. — História de hum feto vomitado por hum menino.</t>
  </si>
  <si>
    <t>A peste he contagiosa?</t>
  </si>
  <si>
    <t>Instituto medico-electrico de M. Le Molt.</t>
  </si>
  <si>
    <t>Operação rara praticada por Lisfranc.</t>
  </si>
  <si>
    <t>Boudet, F. "De la Kréosote." Journal des Connaissances Medico Chirurgicales (Paris) 1, no. 3 (November 1833): 78–79.</t>
  </si>
  <si>
    <t>Boudet, F. "Du Tannin." Journal des Connaissances Medico Chirurgicales (Paris) 1, no. 3 (November 1833): 78.</t>
  </si>
  <si>
    <t>"Sur la non existence de l’acide hydrochlorique ou des hydrochlorates dans l’atmosphère, près de la mer ou sur la mer elle-même, par M. Roubaudi, pharmacien à Nice." Journal des Connaissances Medico Chirurgicales (Paris) 1, no. 6 (February 1834): 184.</t>
  </si>
  <si>
    <t>"Du principe actif de la salsepareille, par M. Batka." Journal des Connaissances Medico Chirurgicales (Paris) 1, no. 6 (February 1834): 184.</t>
  </si>
  <si>
    <t>"Fécondité extraordinaire." Journal des Connaissances Medico Chirurgicales (Paris) 1, no. 1 (September 1833): 22.</t>
  </si>
  <si>
    <t>"Statistique médicale. Poids de l’homme aux différens âges." Journal des Connaissances Medico Chirurgicales (Paris) 1, no. 3 (November 1833): 81–82.</t>
  </si>
  <si>
    <t>Memoria sobre hum novo processo operatorio proprio para prevenir a rechida de cancro, pelo Sr. Martinet (de la Creuse.)</t>
  </si>
  <si>
    <t>Emprego das sangue-sugas para extracção de corpos extrahidos do conducto auditivo.</t>
  </si>
  <si>
    <t>"Note sur un nouveau produit organique, obtenu au moyen de la réaction du deuto-chlorure d'iode sur le liége." Journal de pharmacie et des sciences accessoires (Paris) 24 (December 1838): 620–627.</t>
  </si>
  <si>
    <t>Augustin-Jacob Landré-Beauvais, Séméiotique, ou traité des signes des maladies, 3e éd. (Paris: J.-A. Brosson, 1818), viii–ix.</t>
  </si>
  <si>
    <t xml:space="preserve">Trébuchet, Adolphe. “Du secret dans l’exercice de la médecine.” In Jurisprudence de la médecine, de la chirurgie et de la pharmacie en France, comprenant la médecine légale, la police médicale, la responsabilité des médecins, chirurgiens, pharmaciens, etc., l’exposé et la discussion des lois, ordonnances, règlemens et instructions concernant l’art de guérir. Appuyé des jugemens des cours et des tribunaux, 273–287. Paris: J.-B. Baillière, 1834. </t>
  </si>
  <si>
    <t>"46. Observation d’une phthisie guérie en 1825 par le moxa, par Z.-H. Van der Feen, D.-M. à Amsterdam. (Vaderlandsche Letteroefening; juillet 1827, nos 8 et 9.)" Bulletin des sciences médicales (Paris) 12, no. 33 (1827): 65–66.</t>
  </si>
  <si>
    <t xml:space="preserve">Text based on 18th-century French works (Dujardin &amp; Peyrilhe’s Histoire de la chirurgie, Quesnay’s historical preface, Diderot’s “Sur l’histoire de la chirurgie par M. Peyrilhe”, and related pamphlets). The title reminisces thr work Chicoyneau, François. Lettre d’un chirurgien de Paris a un chirugien de province: contenant un rêve singulier et quelques remarques sur l’excellence de la Médecine moderne. [S.l.]: s.n., 1748. </t>
  </si>
  <si>
    <t xml:space="preserve">Percy, Pierre-François, and C.-J.-B. Comet. “Des médecins consultants.” In Opuscules de médecine, de chirurgie, d’hygiène, et critiques médico-littéraires, publiés dans l’Hygie, 135–39. Paris: Mlle Delaunay, libraire; Bruxelles: Dépôt général de la librairie médicale française, 1827. </t>
  </si>
  <si>
    <t>Marchant, Leaõ. "Traité de thérapeutique, rédigé suivant les principes de la nouvelle doctrine médicale; par L.-J. Bégin, D. M., etc.: deux vol. in-8°.." Journal médical de la Gironde (Bordeaux) 4 (1825): 354–369.</t>
  </si>
  <si>
    <t>"Note sur la caféine." Journal de pharmacie et des sciences accessoires (Paris) 5, no. 5 (May 1826): 229–233.</t>
  </si>
  <si>
    <t>"Notice sur le traitement des anéurismes par les réfrigérans; par M. Guérin père." Journal médical de la Gironde (Bordeaux) 4 (1825): 233–242.</t>
  </si>
  <si>
    <t>"X. Sur les courbures latérales de l’épine et sur les corsets par lesquels on y remédie. — M. Shaw, dont nous avons." Revue médicale française et étrangère (Paris) 4 (November 1825): 327–330.</t>
  </si>
  <si>
    <t>"Nécrologie. M. Laennec." Annales de la littérature et des arts (Paris) 24 (1826): 447–448.</t>
  </si>
  <si>
    <t>"Teinture de stramonium du docteur Zollickoffer." Journal de pharmacie et des sciences accessoires (Paris) 9 (1823): 521.</t>
  </si>
  <si>
    <t>Documentos historicos relativos á historia da medicina brasileira. — Academia creada em 1772 no Rio de Janeiro.</t>
  </si>
  <si>
    <t>Academia medico-cirurgica do Rio de Janeiro.</t>
  </si>
  <si>
    <t>Origem da cultura da canella.</t>
  </si>
  <si>
    <t>Casos de dentição extraordinária.</t>
  </si>
  <si>
    <t>Effeitos da imaginação sobre o physico do homem.</t>
  </si>
  <si>
    <t>Antídoto do arsênico.</t>
  </si>
  <si>
    <t>Febres intermitentes.</t>
  </si>
  <si>
    <t>Ode aos felicissimos annos da Serenissima Senhora D. Carlota Joaquina, Princeza do Brazil.</t>
  </si>
  <si>
    <t>OP1813s1v1</t>
  </si>
  <si>
    <t>OP1813s1v2</t>
  </si>
  <si>
    <t>JSEL1826s1v1n1</t>
  </si>
  <si>
    <t>JSEL1826s1v1n2</t>
  </si>
  <si>
    <t>JSEL1826s1v1n3</t>
  </si>
  <si>
    <t>OP1814s1v3</t>
  </si>
  <si>
    <t>PSM1827s1v1</t>
  </si>
  <si>
    <t>PSM1827s1v2</t>
  </si>
  <si>
    <t>PSM1827s1v3</t>
  </si>
  <si>
    <t>PSM1827-8s1v4</t>
  </si>
  <si>
    <t>SSP1831s1v1n1-53</t>
  </si>
  <si>
    <t>SSP1832s1v1n54-132</t>
  </si>
  <si>
    <t>SSP1833s1v1n133-155</t>
  </si>
  <si>
    <t>AIN1833s1v1</t>
  </si>
  <si>
    <t>AIN1834s1v2</t>
  </si>
  <si>
    <t>AIN1835s1v3</t>
  </si>
  <si>
    <t>AIN1836s1v4</t>
  </si>
  <si>
    <t>AIN1840s1v8</t>
  </si>
  <si>
    <t>AIN1839s1v7</t>
  </si>
  <si>
    <t>AIN1838s1v6</t>
  </si>
  <si>
    <t>AIN1837s1v5</t>
  </si>
  <si>
    <t>PCU1836s1v1n8</t>
  </si>
  <si>
    <t>RMF1835s1v1</t>
  </si>
  <si>
    <t>RMF1836s1v2</t>
  </si>
  <si>
    <t>RMF1838s1v4</t>
  </si>
  <si>
    <t>RMF1839s1v5</t>
  </si>
  <si>
    <t>RMF1840s1v6</t>
  </si>
  <si>
    <t>DS1835s1v1</t>
  </si>
  <si>
    <t>MS1835s1v1</t>
  </si>
  <si>
    <t>Priou. "Observation sur un testicule, dit vénérien, pris pour un sarcocèle, et guéri par un traitement mercuriel ; par M. Priou, D. M." Journal de la Section de médecine de la Société académique du département de la Loire-Inférieure (Nantes) 7 (1831): 94–96.</t>
  </si>
  <si>
    <t>Signed by the author in a Brazillian location.</t>
  </si>
  <si>
    <t>Retrato pitoresco de Dupuytren, pelo Sr. Isidoro Bourdon.</t>
  </si>
  <si>
    <t>"De l’influence des professions sur la phthisie pulmonaire; par le docteur Lombard de Genève." Revue médicale française et étrangère (Paris) 1 (1834): 422–424.</t>
  </si>
  <si>
    <t>File</t>
  </si>
  <si>
    <t>Year</t>
  </si>
  <si>
    <t>Serie</t>
  </si>
  <si>
    <t>O Auxiliador da Industria Nacional</t>
  </si>
  <si>
    <t xml:space="preserve">O Propagador das Sciencias Medicas </t>
  </si>
  <si>
    <t>A Miscellania Scientifica</t>
  </si>
  <si>
    <t>Jornal da Soc. de Agri., Com. e Ind. da Prov. da Bahia</t>
  </si>
  <si>
    <t>Museo Universal</t>
  </si>
  <si>
    <t>1837-1838</t>
  </si>
  <si>
    <t>1838-1839</t>
  </si>
  <si>
    <t>1839-1840</t>
  </si>
  <si>
    <t>1830-1831</t>
  </si>
  <si>
    <t>“Tartaruga: sua imitação por meio da gelatina.” O Panorama (Lisbon) 4, no. 169 (25 July 1840): 235.</t>
  </si>
  <si>
    <t>1. OP</t>
  </si>
  <si>
    <t>2. JSEL</t>
  </si>
  <si>
    <t>3. PSM</t>
  </si>
  <si>
    <t>4. SSP</t>
  </si>
  <si>
    <t>5. JSACI</t>
  </si>
  <si>
    <t>6. AIN</t>
  </si>
  <si>
    <t>7. MS</t>
  </si>
  <si>
    <t>8. DS</t>
  </si>
  <si>
    <t>9. RMF</t>
  </si>
  <si>
    <t>10. PCU</t>
  </si>
  <si>
    <t>Litteratura Medica</t>
  </si>
  <si>
    <t>Clinica Medica</t>
  </si>
  <si>
    <t>Ensaio sobre algumas substancias indigenas como succedaneeas do sulphato de quinina. A respeito da administração do Phlumbago, vulgarmente Picão da Praia.</t>
  </si>
  <si>
    <t>Memoria sobre o Tetano conhecido debaixo do nome de Opisthotonos; pelo Sr. João Evangelista Rangel, Cirurgião formado. (Continuado do Vol. II)</t>
  </si>
  <si>
    <t>Noticias Estrangeiras</t>
  </si>
  <si>
    <t>Acerca da utilidade das perigrinações feitas por Medicos.</t>
  </si>
  <si>
    <t xml:space="preserve">Secção de Medicina. </t>
  </si>
  <si>
    <t>Molestias reinantes, ou constituição medico do 1.º trimestre do corrente anno.</t>
  </si>
  <si>
    <t>Observação de huma gangrena de intestinos eliminados pelo ano, referido pelo Sr. Dr. Antonio Felis Martins.</t>
  </si>
  <si>
    <t>Antonio Felis Martins</t>
  </si>
  <si>
    <t>Ensaio da casca pao pereira no tractamento das febres intermittentes.</t>
  </si>
  <si>
    <t>Continuação da memoria do Sr. João Evangelista Rangel; cirurgião formado. Segunda Parte.</t>
  </si>
  <si>
    <t>Secção de Pharmacia. 12.ª Sessão em 18 de outubro de 1836.</t>
  </si>
  <si>
    <t>13.ª Sessão em 21 de março de 1837.</t>
  </si>
  <si>
    <t>14.ª Sessão em 11 de maio de 1837.</t>
  </si>
  <si>
    <t>15.ª Sessão em 23 de maio de 1837.</t>
  </si>
  <si>
    <t>Observação recolhida na enfermaria do Hospital da Misericordia, à cargo do Sr. Dr. Valladão.</t>
  </si>
  <si>
    <t>Pharmacia. Observações sobre a cataplasma de linhaça, lidas pelo Sr. Ezequiel Corrêa dos Santos, na sessão da secção de pharmacia em 11 de maio de 1837.</t>
  </si>
  <si>
    <t>Memoria. Existem por ventura casos de variola franca nos individuos, que forão bem vaccinados?</t>
  </si>
  <si>
    <t>Continuação da memoria do Sr. João Evangelista Rangel; cirurgião formado.</t>
  </si>
  <si>
    <t>Noticia das tentativas, para restituir a vida aos dois ultimos enforcados, feitas pelo Sr. Dr. José Martins da Cruz Jobim, e por elle referidas á Secção medica da Academia Imperial de Medicina a 15 de março de 1837.</t>
  </si>
  <si>
    <t>"Existe-t-il des cas de variole franche chez des individus ayant été bien vaccinés? — Mémoire lu à la Société de médecine de Paris; — Par J. C. Sabatier, D. M." Revue médicale française et étrangère (Paris) 3 (1834): 5–19.</t>
  </si>
  <si>
    <t>Sessão publica.</t>
  </si>
  <si>
    <t>Falla com que S. Ex. O Sr. Ministro do Imperio Manoel Alves Branco abrio a sessão publica annual da Academia Imperial de Medicina em 30 de junho de 1837.</t>
  </si>
  <si>
    <t>Manoel Alves Branco</t>
  </si>
  <si>
    <t>Relatorio das molestias reinantes tratadas no Hospital da Marinha nos tres mezes de abril a junho.</t>
  </si>
  <si>
    <t>Francisco Felis Pereira da Costa</t>
  </si>
  <si>
    <t>Medicina Politica</t>
  </si>
  <si>
    <t>Policia medica e sanitaria.</t>
  </si>
  <si>
    <t>Extracto do discurso do conde Stanhope, presidente da Sociedade Médico-Botânica de Londres, lido na sessão do anniversario da Sociedade, a 16 de janeiro de 1836.</t>
  </si>
  <si>
    <t>Molestias reinantes no 2.º trimestre do corrente anno.</t>
  </si>
  <si>
    <t>Relatorio dos trabalhos da Academia Imperial de Medicina do Rio de Janeiro desde 30 de junho de 1836 até 30 de junho de 1837, lido na sessão publica annual pelo Sr. Dr. Luiz Vicente de-Simoni, secretario geral.</t>
  </si>
  <si>
    <t>Pleuro-pneumonia acompanhada de derramamento, e seguida de pneumo-thorax em consequencia de huma fistula pulmonar.</t>
  </si>
  <si>
    <t>Januario dos Santos Sabino</t>
  </si>
  <si>
    <t>Segunda parte do relatorio do Sr. De-Simoni. Estado e relações da Academia.</t>
  </si>
  <si>
    <t>Continuação da memoria do Sr. João Evangelista Rangel, sobre o tetano. Continuado do n. antecedente.</t>
  </si>
  <si>
    <t>Do Diario da Bahia n. 16 extractamos o seguinte:</t>
  </si>
  <si>
    <t>Cura do rheumatismo pelo enxofre.</t>
  </si>
  <si>
    <t>Homem herbivoro.</t>
  </si>
  <si>
    <t>Novo instrumento para extrahir corpos estranhos cravados no corpo.</t>
  </si>
  <si>
    <t>Vaccina.</t>
  </si>
  <si>
    <t>Nova injecção para o tratamento da blenorrahagiae da leucorrhea.</t>
  </si>
  <si>
    <t>Collyrio do Dr. Henderson contra a amaurose.</t>
  </si>
  <si>
    <t xml:space="preserve">Emprego do anil no tratamento da epilepsia. </t>
  </si>
  <si>
    <t>Nicolao Dreys</t>
  </si>
  <si>
    <t>Congestão cerebral apoplectiforme, resolvida por hum suor de sangue facial e espontaneo. Caso observado em Iguape, e communicado pelo Sr. Dreys á Secção de Medicina da Academia Imperial de Medicina.</t>
  </si>
  <si>
    <t>Discurso recitado pelo Sr. Dr. Joaquim Candido Soares de Meirelles, na sessão publica annual do anniversario da Academia Imperial de Medicina.</t>
  </si>
  <si>
    <t>Relatorio do Sr. Octaviano Maria da Rosa sobre huma memoria de M. Saint-Ange, acerca da circulação do sangue no feto humano; lido, e approvado na sessão geral da Academia Imperial de Medicina, em 5 de agosto de 1837.</t>
  </si>
  <si>
    <t>Observações sobre a digestão por Mr. Matteusi.</t>
  </si>
  <si>
    <t>Preparações de iodo e de oiro.</t>
  </si>
  <si>
    <t>Historia physiologica da saliva.</t>
  </si>
  <si>
    <t>Caracteres distinctivos do pus.</t>
  </si>
  <si>
    <t>Receita infallivel para estirpar os callos.</t>
  </si>
  <si>
    <t>Combustão espontanea.</t>
  </si>
  <si>
    <t>Caso importante communicado por J. C. Cook: expulsão do utero com seus appendices, pouco depois do parto.</t>
  </si>
  <si>
    <t>Reflexão de Mello Franco sobre o ar.</t>
  </si>
  <si>
    <t>Discurso recitado pelo Sr. Dr. Francisco de Paula Candido na sessão publica annual do anniversario da Academia Imperial de Medicina.</t>
  </si>
  <si>
    <t>Considerações geraes. Sobre a analyse chymica, e ensaio analytico da raiz da abobora do matto (vulgarmente denominada tayuya), por João Maria Soullie, pharmaceutico; memoria apresentada em francez á Sociedade de Medicina do Rio de Janeiro em 23 de junho de 1832.</t>
  </si>
  <si>
    <t>Nova formula para a composição do emplastro vesicatorio.</t>
  </si>
  <si>
    <t>Impressão do sol na cabeça (coup de soleil) por J. J. Russel.</t>
  </si>
  <si>
    <t>Acção da athmosphera na producção das doenças; por Henri Searle.</t>
  </si>
  <si>
    <t xml:space="preserve">Fallecimento e enterro de João Alvares Carneiro, em 18 do corrente. </t>
  </si>
  <si>
    <t>Mexino electrico.</t>
  </si>
  <si>
    <t>Novo instrumento cirurgico.</t>
  </si>
  <si>
    <t>Conservação das substancias animaes.</t>
  </si>
  <si>
    <t>Hydrosoluto de nitrato de prata nos catarrhos da uretra antigos e recentes.</t>
  </si>
  <si>
    <t>Memoria helminthologica suscitada pela observação da exexpulsão de hum tenia cucurbitino, promovida pelo tratamento anti-irritativo; dirigida á Sociedade de Medicina do Rio de Janeiro, por Claudio Luiz da Costa, em 10 de Agosto de 1830.</t>
  </si>
  <si>
    <t>Memoria do Sr. Vieira apresentada à Academia a 21 de fevereiro de 1837.</t>
  </si>
  <si>
    <t>Jacintho Rodrigues Pereira Reys</t>
  </si>
  <si>
    <t>Parecer sobre a memoria do Sr. Luiz Antonio Vieira; 1.º cirurgião da armada, relativamente á epidemia do Pará; lido e approvado em sessão geral de 11 de Novembro de 1837.</t>
  </si>
  <si>
    <t>Luiz Antonio Vieira</t>
  </si>
  <si>
    <t>Veneno do Povo.</t>
  </si>
  <si>
    <t>Signaes de boas sanguesugas.</t>
  </si>
  <si>
    <t>Discursos recitados no mosteiro de S. Bento, na occasião de ser dado a' sepultura o cadaver de João Alvares Carneiro'. Do Sr. Dr. José Martins da Cruz Jobim, presidente da Secção Medica da Academia Imperial de Medica.</t>
  </si>
  <si>
    <t>Memoria helminthologica suscitada pela observação da expulsão de hum tenia cucurbitino, promovida pelo tratamento anti-irritativo; dirigida a' Sociedade de Medicina do Rio de Janeiro, por Claudio Luiz da Costa, em 10 de Agosto de 1830. (Continuado do n.º antecedente.)</t>
  </si>
  <si>
    <t>Molestias reinantes. Bexigas—Sarampo—Escarlatina.</t>
  </si>
  <si>
    <t>Extracto do relatorio da Commissão nomeada pela Camara Munipal para o exame dos hospitaes &amp;c.</t>
  </si>
  <si>
    <t>Novo processo para a preparação do unguento mercurial dobre, por Mr. Blanc, pharmaceutico, no Rio de Janeiro.</t>
  </si>
  <si>
    <t>Officio dirigido à Camara Municipal d’esta Côrte pela Commissão por ella nomeada para proceder às visitas de saude.</t>
  </si>
  <si>
    <t>Novo methodo de tratamento do hydrocele por meio da acupuntura, por MM. Lewis, Traver, e Reate.</t>
  </si>
  <si>
    <t>Relatorio do Sr. M. F. Peixoto, sobre o codigo pharmaceutico lusitano do Sr. Agostinho Albano da Silveira Pinto. Lido e approvado em sessão geral da Academia de 3 de Agosto de 1837.</t>
  </si>
  <si>
    <t>Páo pereira e seu principio activo.</t>
  </si>
  <si>
    <t>Botanica. Memoria sobre a planta conhecida na Republica de Columbia pelo nome generico — Guaco — propria das regiões equinociaes, e sobre suas principaes virtudes; offerecida e dedicada à Sociedade de Medicina de Bogotá por .... J. Lima, Official General do Exercito Libertador.</t>
  </si>
  <si>
    <t>Memoria sobre a planta conhecida na Republica de Colombia pelo nome generico—Guaco—propria das regiões equinociaes; e sobre suas principaes virtudes; offerecida e dedicada a’ Sociedade de Medicina de Bogota’ por J. Lima, official general do exercito libertador. (1)</t>
  </si>
  <si>
    <t>Excisão parcial do baço.</t>
  </si>
  <si>
    <t>Noticia de huma operação praticada na Persia para remover a opacidade cornea.</t>
  </si>
  <si>
    <t>Memoria sobre a possibilidade de fazer fallar e ouvir aos surdo-mudos de nascimento; (1) pelo doutor Antonio de Ramon Massoty, medico da Villa de Cascaes.</t>
  </si>
  <si>
    <t xml:space="preserve">Processo para obter-se a pereirina. </t>
  </si>
  <si>
    <t>Communicado. Sr. Redactor da Revista Medica Fluminense.</t>
  </si>
  <si>
    <t>Ezeuiel Corrêa dos Santos</t>
  </si>
  <si>
    <t>Quadro estatistico do resultado dos trabalhos do anno lectivo de 1837 da faculdade de medicina do Rio de Janeiro com relação ao curso medico.</t>
  </si>
  <si>
    <t>Prodigiosa longevidade.</t>
  </si>
  <si>
    <t>Memoria sobre a possibilidade de fazer fallar e ouvir aos surdo-mudos de nascimento; pelo doutor Antonio de Ramon Massoty, medico da Villa de Cascaes. (Continuado).</t>
  </si>
  <si>
    <t>Casos de Longevidade Brasileira.</t>
  </si>
  <si>
    <t>Novo Pacificador.</t>
  </si>
  <si>
    <t>O Paficificador Universal.</t>
  </si>
  <si>
    <t>Novo Emprego do Gaz.</t>
  </si>
  <si>
    <t>Apparelho de Salvação.</t>
  </si>
  <si>
    <t>Machinas de Vapor.</t>
  </si>
  <si>
    <t>Luiz da Silva Alves de Azambuja Susano</t>
  </si>
  <si>
    <t>Luiz Carlos da Fonseca; Juvencio Pereira Ferreira; Joaquim Marcos d'Almeida Rego; José Evangelista Rangel</t>
  </si>
  <si>
    <t>Factos que provão a propriedade anti-febril do principio extraido pelo Sr. Ezquiel, da casca do pau pereira.</t>
  </si>
  <si>
    <t>Continuação da memoria do Sr. João Evangelista Rangel, cirurgião formado. (Continuado do n. 3.º)</t>
  </si>
  <si>
    <t>João Maria Soullie</t>
  </si>
  <si>
    <t>"Collyre du docteur Henderson, contre l'amaurose." Journal de Pharmacie et des Sciences Accessoires (Paris) 22, no. 3 (March 1836): 156</t>
  </si>
  <si>
    <t>"Nouvelle injection pour le traitement de la blénorrhagie et de la leucorrhée." Journal de Pharmacie et des Sciences Accessoires (Paris) 22, no. 9 (September 1836): 525–526.</t>
  </si>
  <si>
    <t>"Homem herbivoro." Armazem de conhecimentos uteis, nas artes e officios (Paris) 1, no. 4 (April 1837) 405.</t>
  </si>
  <si>
    <t>"Novo instrumento para extrahir corpos estranhos cravados no corpo." Armazem de conhecimentos uteis, nas artes e officios (Paris) 1, no. 2 (February 1837) 184.</t>
  </si>
  <si>
    <t>"Vaccina." Armazem de conhecimentos uteis, nas artes e officios (Paris) 1, no. 1 (January 1837) 82.</t>
  </si>
  <si>
    <t>"Cura do rheumatismo pelo enxofre." Armazem de conhecimentos uteis, nas artes e officios (Paris) 1, no. 4 (April 1837) 406.</t>
  </si>
  <si>
    <t>"Preparações de antimonio." Armazem de conhecimentos uteis, nas artes e officios (Paris) 1, no. 1 (January 1837) 83.</t>
  </si>
  <si>
    <t>"Preparações de iodo e de oiro." Armazem de conhecimentos uteis, nas artes e officios (Paris) 1, no. 1 (January 1837) 83–84.</t>
  </si>
  <si>
    <t>"Historia physiologica da saliva." Armazem de conhecimentos uteis, nas artes e officios (Paris) 1, no. 3 (March 1837) 298–299.</t>
  </si>
  <si>
    <t>"Caracteres distinctivos do pus." Armazem de conhecimentos uteis, nas artes e officios (Paris) 1, no. 2 (February 1837) 181.</t>
  </si>
  <si>
    <t>"Receita infallivel para extirpar os callos." Armazem de conhecimentos uteis, nas artes e officios (Paris) 1, no. 2 (February 1837) 185.</t>
  </si>
  <si>
    <t>"Combustão espontanea." Armazem de conhecimentos uteis, nas artes e officios (Paris) 1, no. 2 (February 1837) 187.</t>
  </si>
  <si>
    <t>Obras publicadas nesta Corte no corrente mez de Fevereiro.</t>
  </si>
  <si>
    <t>"De la vaccine et de la petite-vérole." Revue britannique (Bruxelles) 2 (October 1825): 289–297.</t>
  </si>
  <si>
    <t>"Plantes employées comme the dans les differentes contrées." Revue britannique (Bruxelles) 4, no. 13 (1826): 207–209.</t>
  </si>
  <si>
    <t>"Moyen de conserver les collections zoologiques." Revue britannique (Bruxelles) 4, no. 26 (1826): 402–403.</t>
  </si>
  <si>
    <t>"Des causes du développement de l’industrie manufacturière dans la Grande-Bretagne." Revue britannique (Bruxelles) 16, no. 4 (1835): 64–79.</t>
  </si>
  <si>
    <t>Caso curioso de hum braço sem osso.</t>
  </si>
  <si>
    <t>Short bibliographic notice compiled by the Brazilian journal’s editor.</t>
  </si>
  <si>
    <t>"Un nouvel empoisonnement…" Le National (Paris) (1 November 1834): 3.</t>
  </si>
  <si>
    <t>Medicina homeopathica.</t>
  </si>
  <si>
    <t>Meios de combater o soluço.</t>
  </si>
  <si>
    <t>Mistura atrophica de Magendie.</t>
  </si>
  <si>
    <t>Cura da epilepsia pelo anil.</t>
  </si>
  <si>
    <t>Remedio contra o verme solitaria.</t>
  </si>
  <si>
    <t>Monstro recem-nascido no Porto.</t>
  </si>
  <si>
    <t>"Bruits du cœur." Le Temps (Paris) 5, no. 1774 (27 August 1834): 1.</t>
  </si>
  <si>
    <t>"Des sourds et muets en Europe." Revue britannique (Bruxelles) 2 (December 1833): 352.</t>
  </si>
  <si>
    <t>Cirurgia. Ferida profunda na parte anterior do pESToço, e suffocação pelo abalimento da epiglottis sobre o larynge.</t>
  </si>
  <si>
    <t>Uso do chloro em banhos contra as molestias do figado.</t>
  </si>
  <si>
    <t>"Uso della mannite." Bullettino delle scienze mediche (Bologna) 10 (1834): 35–36.</t>
  </si>
  <si>
    <t>"De l’emploi du chlore donné en bains, contre les maladies du foie." Journal des connaissances usueles et practiques (Paris) 11, no. 66 (September 1830): 107–108.</t>
  </si>
  <si>
    <t>"Prospectus de la clinique chirurgicale exercée dans le grand hôpital de Florence, depuis le 1er janvier 1832 jusqu’à la fin de décembre 1833, par M. le professeur Vincent Andreini ; rapport verbal de M. Larrey." Le National (Paris) (24 December 1834): 2.</t>
  </si>
  <si>
    <r>
      <t xml:space="preserve">Da enfermidade chamada </t>
    </r>
    <r>
      <rPr>
        <i/>
        <sz val="11"/>
        <color theme="1"/>
        <rFont val="Calibri"/>
        <family val="2"/>
        <scheme val="minor"/>
      </rPr>
      <t>maculo.</t>
    </r>
  </si>
  <si>
    <t>Phosphoresencia do mar.</t>
  </si>
  <si>
    <t>Historia do Rio de Janeiro, descobrimento, e primeira restauração deste Territorio.</t>
  </si>
  <si>
    <t>Memoria sobre a Capitania do Ceará, escrita de Ordem Superior pelo Sargento Mór João da Silva Feijó, Naturalista Encarrregado por S. A. R. das Investigações Filosoficas da mesma Capitania.</t>
  </si>
  <si>
    <t>História dos Índios Cavalleiros, da Nação Guaycurú, Escrita no Real Presídio de Coimbra no anno de 1795, por Francisco Alves do Prado, Comandante do mesmo, em que dESTreve os seus usos, costumes, leis, allianças, ritos, governo domestico; as hostilidades feitas a differentes Nações barbaras, e aos Portuguezes, e Hespanhoes, males, que ainda são presentes na memoria de todos.</t>
  </si>
  <si>
    <t>Discurso filosofico e politico. Sobre a Liberdade dos Matrimonios no Estado Social. Por D. Francisco de Lemos de Faria Pereira Coutinho, Bispo de Coimbra, Conde de Arganil, Reformador da Universidade de Coimbra. &amp;c. &amp;c. &amp;c.</t>
  </si>
  <si>
    <t>Memoria sobre o Algodoeiro continuado do N.º 1.º pag. 34. Capítulo II. Da descripção do Algodoeiro.</t>
  </si>
  <si>
    <t>Fim da descripção Geographica da Capitania de Matto Grosso.</t>
  </si>
  <si>
    <t>Continuação da Descrição do Alambique n.º 2, p. 89 deste periódico, e construcção de huma fornalha pertencente ao mesmo Alambique. Por Gaspar Marques.</t>
  </si>
  <si>
    <t>Recado por Escripto, a que se refere a sessão n.º 198</t>
  </si>
  <si>
    <t>Memoria Historica e Geographica da Descoberta das Minas, Extrahida de Manuscritos de Claudio Manoel da Costa, Secretario do Governo daquella Capitania, que consultou muitos Documentos authenticos, existentes na Secretaria do Governo, e em outros Archivos.</t>
  </si>
  <si>
    <t>Therapeutica. Nova propriedade Descoberta nos Asparagos, e uso do xarope dos mesmos como sedativo. (Gazette medicale. Eusebe de Salte)</t>
  </si>
  <si>
    <t>Breve resumo das Descobertas, e invenções feitas em Medicina e Cirurgia durante os annos de 1830, 31, 32, 33.</t>
  </si>
  <si>
    <t>Breve resumo das Descobertas e invenções feitas em Medicina e Cirurgia durante os annos de 1830, 31, 32, e 33; continuado do n. 8.</t>
  </si>
  <si>
    <t>Novo methodo de conservar os Escaleres e botes que navegão.</t>
  </si>
  <si>
    <t>Observações geraes sobre a aquisição e Escolha das raças d’animaes domésticos, etc.</t>
  </si>
  <si>
    <t>Tratamento das molestias escrofulosas por M. Dupuytren, Professor de Medecina Operatoria da Escola de Medicina de Paris, etc.</t>
  </si>
  <si>
    <t>Discurso sobre as matrículas dos estudantes das Escolas medicas, lido na Sociedade de Medicina do Rio de Janeiro, na Sessão de 29 de Novembro de 1830, pelo Dr. Luiz Vicente De-Simoni, Membro Titular.</t>
  </si>
  <si>
    <t>Creação de huma Escola medica em Athenas.</t>
  </si>
  <si>
    <t>Buffon, Georges-Louis Leclerc, comte de. “Le Rhinocéros.” In Histoire naturelle, générale et particulière, avec la Description du Cabinet du Roi. Histoire des quadrupèdes, vol. 28, 282–330. Paris: F. Dufart, 1799; Goldsmith, Oliver. A History of the Earth and Animated Nature. London: J. Nourse, 1774. (See the chapter “The Rhinoceros.”)</t>
  </si>
  <si>
    <t>Buffon, Georges-Louis Leclerc, comte de. “L’Éléphant,” in Histoire naturelle, générale et particulière, avec la Description du Cabinet du Roi, vol. 11 (Paris: Imprimerie Royale, 1764), 1–62; Perrault, Claude, “Description d’un éléphant,” in Histoire de l’Académie royale des sciences (Paris: Imprimerie Royale, 1734), 34–52.</t>
  </si>
  <si>
    <t>Sobre a agricultura e industria nos Estados Unidos.</t>
  </si>
  <si>
    <t xml:space="preserve">Das molestias conhecidas pelo nome de estreitamentos da urethra, pelo Sr. Dr. F. Barandon, antigo cirurgião dos hospitaes de França, residente em Campos. (Continuação e fim.) </t>
  </si>
  <si>
    <t>Memoria sobre a ultima irrupção volcanica do Pico da Ilha do Fogo, succedida em 24 de Janeiro do anno de 1795, observada e Escripta, por João da Silva Feijó, Naturalista, que foi encarregado, por Sua Magestade, do exame Phisico das Ilhas de Cabo Verde. Lisboa 1797.</t>
  </si>
  <si>
    <t>De D. Fernando de Castro para seu Pai o Vice-Rei D. João de Castro, estando o dito D. Fernando em Dio, no tempo do cerco, que defendeu D. João Mascarenhas. He original Escripta per letra do mesmo D. Fernando em 1546.</t>
  </si>
  <si>
    <t>Pathologia. Cholera Morbus. Extracto de huma carta de Mr. H. Cloquet, Membro da Commissão Medica enviada á Russia, Escripta de S. Petersburgo á Academia de Medicina de Paris em 16 de Agosto de 1851.</t>
  </si>
  <si>
    <t>Memoria sobre o produto d’huma plantação de Café na Ilha de Cuba, e sobre o methodo de cultivar a mesma na sobredita Ilha; Escripta pelo Conselheiro José Caetano Gomes. Socio Honorario da Sociedade Auxiliadora da Industria Nacional, na idade de 85 annos.</t>
  </si>
  <si>
    <t>Observações sobre o producto da seda crua da Europa, Escripta em 1828.</t>
  </si>
  <si>
    <t>Memoria sobre as salitreiras naturaes de Monte Rorigo; maneira de as auxiliar por meio das artificiaes; refinaria do nitrato de potassa ou salitre; Escripta no anno de 1803 por José Vieira Couto.</t>
  </si>
  <si>
    <t>Memoria sobre os terrenos dos cemiterios, o arsenico que elles podem fornecer, e as consequencias medico-legaes que se deve tirar da existencia de hum composto arsenical nestes terrenos; Escripta por Orfila, e traduzida do Jornal dos conhecimentos medico-cirurgicos de março de 1840 pelo Sr. J. M. do Rosario.</t>
  </si>
  <si>
    <t>Memoria sobre os terrenos dos cemitérios, o arsênico que elles podem fornecer, e as consequencias médico-legaes que se deve tirar da existência de hum composto arsênical nestes terrenos; Escripta por Orfila, e traduzida do Jornal dos conhecimentos médico cirúrgicos de março de 1840, pelo Sr. J. M. do Rosário. (Continuado do n. antecedente.)</t>
  </si>
  <si>
    <t>G. A. "Intorno la combustione spontanea guardata rispetto ala medicina legale. Osservazioni del Dott. G. Grabner Maraschin. (Esculapio Gior. Nap. Marzo. 1829.)" Bullettino delle scienze mediche (Bologna) 1 (1829): 226–227.</t>
  </si>
  <si>
    <t>Souza, Luiz Antônio da Silva e. Memória do Descobrimento, governo, população e cousas mais notáveis da Capitania de Goyaz (1814). Goiânia: Editora UFG, 1998.</t>
  </si>
  <si>
    <t>Mineralogia. Memoria Historica e Topografica sobre a Descoberta das Minas de Ferro de Sorocaba, na Provincia de S. Paulo; e sobre as vantagens, que o Brasil póde obter da continuação do seu Descobrimento e progressos, e do importante e urgente estabelecimento de Fabricas de Ferro de que mui essencialmente depende a sua futura prosperidade.</t>
  </si>
  <si>
    <t>Commercio de Escravos, considerado como causa da febre amarella.</t>
  </si>
  <si>
    <t>Relação da moléstia Escorbútica, que atacou vários indivíduos da equipagem da régia fragata Sarda — Eurídice — durante a viagem do Pará ao Rio de Janeiro; pelo Sr. Dr. Nicolão Franchelli, Cirurgião da dita fragata.</t>
  </si>
  <si>
    <t>Novo uso do iodio.</t>
  </si>
  <si>
    <t>Noticias scientificas.</t>
  </si>
  <si>
    <t>"Mémoire sur un nouveau procédé opératoire propre à prévenir la récidive du cancer, par M. Martinet de la Creuse." Journal des Connaissances Medico Chirurgicales (Paris) 2, no. 7 (March 1835): 238.</t>
  </si>
  <si>
    <t>Novo remédio contra o cancro, descoberto pelo Sr. Recamier, ou antes indicado pelo acaso. Trad. F. C. Valdetaro.</t>
  </si>
  <si>
    <t>Henri Blatin, "Phimosis.— Procédé de M. Philippe Ricord pour la circoncision; par Henri Blatin." Journal des Connaissances Medico Chirurgicales (Paris) 2, no. 6 (February 1835): 184–185.</t>
  </si>
  <si>
    <t>Signed by the author in Buenos Aires, Argentina.</t>
  </si>
  <si>
    <t>"Mémoire sur le sirop de pointes d’asperges, par M. Jonhson. — Paris, 1834. In-8° de 31 pag." Gazette médicale de Paris (Paris) 3, no. 9 (28 February 1835): 143–144.</t>
  </si>
  <si>
    <t>"Note sur le traitement de l’aménorrhée par l’irritation des mamelles ; par J.-B. Mondière, médecin à Loudun." Encyclographie des sciences médicales (Paris) 3, no. 29 (1835): 8–11.</t>
  </si>
  <si>
    <t xml:space="preserve">Agostinho Albano da Silveira Pinto, “Extracto d’alface (E. de lactuca saliva). Lactucario. Thridracio,” in Codigo pharmaceutico lusitano ou tratado de pharmaconomia: No qual s’explicão as regras e preceitos com que se escolhem, conservão e preparão os medicamentos; e se appresentão as virtudes, usos e doses das formulas pharmaceuticas, 2nd ed. (Porto: Na Typographia Commercial Portuense, 1836), 343–44. </t>
  </si>
  <si>
    <r>
      <t xml:space="preserve">Agostinho Albano da Silveira Pinto, “§ 3.º Do exame das aguas.” In </t>
    </r>
    <r>
      <rPr>
        <i/>
        <sz val="11"/>
        <color theme="1"/>
        <rFont val="Calibri"/>
        <family val="2"/>
        <scheme val="minor"/>
      </rPr>
      <t>Codigo pharmaceutico lusitano, ou tratado de pharmaconomia: No qual s'explicão as regras e preceitos com que se escolhem, conservão e preparão os medicamentos; e se appresentão as virtudes, usos e doses das formulas pharmaceuticas</t>
    </r>
    <r>
      <rPr>
        <sz val="11"/>
        <color theme="1"/>
        <rFont val="Calibri"/>
        <family val="2"/>
        <scheme val="minor"/>
      </rPr>
      <t xml:space="preserve">, 231–235. 2nd ed. Porto: Typographia Commercial Portuense, 1836. </t>
    </r>
  </si>
  <si>
    <t xml:space="preserve">Agostinho Albano da Silveira Pinto, “Cap. 7.º Das agoas mineraes” (incl. “§. 2.º Das agoas mineraes” and opening of “§. 3.º Do exame das agoas”), in Codigo pharmaceutico lusitano ou tratado de pharmaconomia…, 2nd ed. (Porto: Na Typographia Commercial Portuense, 1836), 227–232. </t>
  </si>
  <si>
    <t>"Mémoire sur un nouveau traitement de la brulure ; par M. Velpeau." Gazette médicale de Paris (Paris) 3, no. 35 (29 August 1835): 552–554.</t>
  </si>
  <si>
    <t>Therapeutica. — Analyse da memoria do Sr. Sandras intitulada Algumas reflexões sobre o tratamento da phthisica pulmonar tuberculosa. Trad. F. C. Valdetaro.</t>
  </si>
  <si>
    <t>H. Pidoux. "Bulletin de thérapeutique (30 novembre et 15 décembre 1834)." Journal des Connaissances Medico Chirurgicales (Paris) 2, no. 7 (March 1835): 234–236.</t>
  </si>
  <si>
    <t xml:space="preserve">Manoel Ferreira da Câmara, “Ensaio de descripção fizica, e economica da Comarca dos Ilheos na America,” in Memorias economicas da Academia Real das Sciencias de Lisboa para o adiantamento da agricultura, das artes, e da industria em Portugal, e suas conquistas, Tomo I (Lisbon: Na Officina da Academia Real das Sciencias, 1789), 323–324. </t>
  </si>
  <si>
    <t xml:space="preserve">Short bibliographic notice compiled by the Brazilian journal’s editor. </t>
  </si>
  <si>
    <t>"Séance du 3 janvier 1835." Journal des Connaissances Medico Chirurgicales (Paris) 2, no. 7 (March 1835): 245.</t>
  </si>
  <si>
    <t>"Séance du 6 janvier 1835." Journal des Connaissances Medico Chirurgicales (Paris) 2, no. 7 (March 1835): 248.</t>
  </si>
  <si>
    <t>"Extrait d’un mémoire. Sur un nouvel appareil pharmaceutique portatif, pour la préparation de tout extrait, soit alcoolique ou aqueux, réunissant la méthode de déplacement, la distillation et l’évaporation au bain-marie, par M. Dausse aîné, pharmacien, et exécuté par M. Oberlin." Journal de pharmacie et des sciences accessoires (Paris) 21 (July 1835): 369–370.</t>
  </si>
  <si>
    <t>Coster. "Quelquers nouveaux essais faits avec la créosote." Bulletin general de therapeutique (Paris) 6 (1834): 48–49.</t>
  </si>
  <si>
    <t>H. Pidoux. "3º De l’emploi des fumigations d’acide carbonique, pour combattre l’aménorrhée et les douleurs utérines qui précèdent l’évacuation menstruelle." Journal des Connaissances Medico Chirurgicales (Paris) 2, no. 7 (March 1835): 236.</t>
  </si>
  <si>
    <t>"IV. Essais sur les propriétés curatives de la décoction de Zittmann." Revue médicale française et étrangère (Paris) 2 (May 1834): 283–285.</t>
  </si>
  <si>
    <t>"Extrait du procés verbal de la séance de la Société de Pharmacie, 5 mars 1834." Journal de pharmacie et des sciences accessoires (Paris) 20 (April 1834): 255</t>
  </si>
  <si>
    <r>
      <t xml:space="preserve">Société de perfectionnement et de prévoyance entre les médecins de Paris. </t>
    </r>
    <r>
      <rPr>
        <i/>
        <sz val="11"/>
        <color theme="1"/>
        <rFont val="Calibri"/>
        <family val="2"/>
        <scheme val="minor"/>
      </rPr>
      <t>Prospectus de la société de perfectionnement et de prévoyance entre les médecins de Paris.</t>
    </r>
    <r>
      <rPr>
        <sz val="11"/>
        <color theme="1"/>
        <rFont val="Calibri"/>
        <family val="2"/>
        <scheme val="minor"/>
      </rPr>
      <t xml:space="preserve"> Paris: Imprimerie de Dupont, [1832]. </t>
    </r>
  </si>
  <si>
    <t>"Hémorrhagie par les parties génitales chez une petite fille nouvellement née, par le docteur Camerer." Gazette médicale de Paris (Paris) 3, no. 16 (18 April 1835): 248.</t>
  </si>
  <si>
    <t>"Dilatation anévrismatique des cavités droites du cœur, avec gangrène de la peau ; par le même." Gazette médicale de Paris (Paris) 3, no. 16 (18 April 1835): 248.</t>
  </si>
  <si>
    <t>Introducção às biographias dos sabios brazileiros que se tem tornado distinctos na cultura das sciencias medicas e naturaes.</t>
  </si>
  <si>
    <t>"Exame do sangue, e da sua acção nos diversos phenomenos da vida; por J. L. Prevost, M. D., e J. A. Dumas, etc.." Annaes das sciencias, das artes, e das letras (Paris) 16 (1822): 104–118.</t>
  </si>
  <si>
    <t>Œdema cerebral.</t>
  </si>
  <si>
    <t>Ossificação muscular, pelo doutor Hasse.</t>
  </si>
  <si>
    <t>Novo systema de chimica organica fundado sobre novos methodos de observação; por F. V. Raspail.</t>
  </si>
  <si>
    <t>François Foy</t>
  </si>
  <si>
    <t>Dr. Bastos</t>
  </si>
  <si>
    <t>Parecer da Sociedade de Medicina do Rio de Janeiro, sobre os meios de obstar á introducção e estragos do Cholera-Morbus, em consequencia de hum convite da Augusta Camara dos Deputados para esse fim, concluido em 28 de Julho de 1832, e remettido em 2 de Agosto de 1832.</t>
  </si>
  <si>
    <t>ESA (Total)</t>
  </si>
  <si>
    <t>ESA-Ratio</t>
  </si>
  <si>
    <t>Receita de huma tinta de escrever alcalina, muita dificil de ser alterada</t>
  </si>
  <si>
    <t>Meio d'impedir a tinta de escrever de criar bolor.</t>
  </si>
  <si>
    <t>Discurso do Sr. Presidente Carvalho, na Sessão de 18 de maio de 1833.</t>
  </si>
  <si>
    <t>João José de Carvalho</t>
  </si>
  <si>
    <t>JSACI1832s1v1</t>
  </si>
  <si>
    <t>JSACI1833s1v2</t>
  </si>
  <si>
    <t>JSACI1835s1v4</t>
  </si>
  <si>
    <t>JSACI1836s1v5</t>
  </si>
  <si>
    <t>Methodo do Sr. Gerdy para curar as hernias.</t>
  </si>
  <si>
    <t xml:space="preserve">Emprego da ferrugem de chaminé no cancro. </t>
  </si>
  <si>
    <t>Caso de polypo canceroso.</t>
  </si>
  <si>
    <t>Novo meio para fazer abortar o panarício.</t>
  </si>
  <si>
    <t>Differentes meios curativos, empregados no tratamento da coqueluche e de suas complicações, no hosp. das crianças doentes de Paris, pelo Sr. Constant</t>
  </si>
  <si>
    <t>Dos surdos e mudos.</t>
  </si>
  <si>
    <t>Maneira de criar e de cevar os porcos.</t>
  </si>
  <si>
    <t>Maneira de alimentar o gado com batatas.</t>
  </si>
  <si>
    <t>Maneira americana de engordar os cordeiros.</t>
  </si>
  <si>
    <t>ID</t>
  </si>
  <si>
    <t>Vol.</t>
  </si>
  <si>
    <t>JSEL1826.1.1.1-1</t>
  </si>
  <si>
    <t>JSEL1826.1.1.1-2</t>
  </si>
  <si>
    <t>JSEL1826.1.1.1-3</t>
  </si>
  <si>
    <t>JSEL1826.1.1.1-4</t>
  </si>
  <si>
    <t>JSEL1826.1.1.1-5</t>
  </si>
  <si>
    <t>JSEL1826.1.1.1-6</t>
  </si>
  <si>
    <t>JSEL1826.1.1.1-7</t>
  </si>
  <si>
    <t>JSEL1826.1.1.1-8</t>
  </si>
  <si>
    <t>JSEL1826.1.1.1-9</t>
  </si>
  <si>
    <t>JSEL1826.1.1.1-10</t>
  </si>
  <si>
    <t>JSEL1826.1.1.1-11</t>
  </si>
  <si>
    <t>JSEL1826.1.1.1-12</t>
  </si>
  <si>
    <t>JSEL1826.1.1.1-13</t>
  </si>
  <si>
    <t>JSEL1826.1.1.1-14</t>
  </si>
  <si>
    <t>JSEL1826.1.1.2-17</t>
  </si>
  <si>
    <t>JSEL1826.1.1.2-18</t>
  </si>
  <si>
    <t>JSEL1826.1.1.2-19</t>
  </si>
  <si>
    <t>JSEL1826.1.1.2-20</t>
  </si>
  <si>
    <t>JSEL1826.1.1.2-21</t>
  </si>
  <si>
    <t>JSEL1826.1.1.2-22</t>
  </si>
  <si>
    <t>JSEL1826.1.1.2-23</t>
  </si>
  <si>
    <t>JSEL1826.1.1.2-24</t>
  </si>
  <si>
    <t>JSEL1826.1.1.2-25</t>
  </si>
  <si>
    <t>JSEL1826.1.1.2-26</t>
  </si>
  <si>
    <t>JSEL1826.1.1.2-27</t>
  </si>
  <si>
    <t>JSEL1826.1.1.2-28</t>
  </si>
  <si>
    <t>JSEL1826.1.1.2-29</t>
  </si>
  <si>
    <t>JSEL1826.1.1.2-30</t>
  </si>
  <si>
    <t>JSEL1826.1.1.2-31</t>
  </si>
  <si>
    <t>JSEL1826.1.1.3-34</t>
  </si>
  <si>
    <t>JSEL1826.1.1.3-35</t>
  </si>
  <si>
    <t>JSEL1826.1.1.3-36</t>
  </si>
  <si>
    <t>JSEL1826.1.1.3-37</t>
  </si>
  <si>
    <t>JSEL1826.1.1.3-38</t>
  </si>
  <si>
    <t>JSEL1826.1.1.3-39</t>
  </si>
  <si>
    <t>JSEL1826.1.1.3-40</t>
  </si>
  <si>
    <t>JSEL1826.1.1.3-41</t>
  </si>
  <si>
    <t>JSEL1826.1.1.3-42</t>
  </si>
  <si>
    <t>JSEL1826.1.1.3-43</t>
  </si>
  <si>
    <t>JSEL1826.1.1.3-44</t>
  </si>
  <si>
    <t>JSEL1826.1.1.3-45</t>
  </si>
  <si>
    <t>PSM1827.1.1.1-1</t>
  </si>
  <si>
    <t>PSM1827.1.1.1-2</t>
  </si>
  <si>
    <t>PSM1827.1.1.1-3</t>
  </si>
  <si>
    <t>PSM1827.1.1.1-4</t>
  </si>
  <si>
    <t>PSM1827.1.1.1-5</t>
  </si>
  <si>
    <t>PSM1827.1.1.1-6</t>
  </si>
  <si>
    <t>PSM1827.1.1.1-7</t>
  </si>
  <si>
    <t>PSM1827.1.1.1-8</t>
  </si>
  <si>
    <t>PSM1827.1.1.1-9</t>
  </si>
  <si>
    <t>PSM1827.1.1.1-10</t>
  </si>
  <si>
    <t>PSM1827.1.1.1-11</t>
  </si>
  <si>
    <t>PSM1827.1.1.1-12</t>
  </si>
  <si>
    <t>PSM1827.1.1.1-13</t>
  </si>
  <si>
    <t>PSM1827.1.1.1-14</t>
  </si>
  <si>
    <t>PSM1827.1.1.1-15</t>
  </si>
  <si>
    <t>PSM1827.1.1.1-16</t>
  </si>
  <si>
    <t>PSM1827.1.1.1-17</t>
  </si>
  <si>
    <t>PSM1827.1.1.1-18</t>
  </si>
  <si>
    <t>PSM1827.1.1.1-19</t>
  </si>
  <si>
    <t>PSM1827.1.1.1-20</t>
  </si>
  <si>
    <t>PSM1827.1.1.1-21</t>
  </si>
  <si>
    <t>PSM1827.1.1.1-22</t>
  </si>
  <si>
    <t>PSM1827.1.1.1-23</t>
  </si>
  <si>
    <t>PSM1827.1.1.1-24</t>
  </si>
  <si>
    <t>PSM1827.1.1.1-25</t>
  </si>
  <si>
    <t>PSM1827.1.1.1-26</t>
  </si>
  <si>
    <t>PSM1827.1.1.1-27</t>
  </si>
  <si>
    <t>PSM1827.1.1.1-28</t>
  </si>
  <si>
    <t>PSM1827.1.1.1-29</t>
  </si>
  <si>
    <t>PSM1827.1.1.1-30</t>
  </si>
  <si>
    <t>PSM1827.1.1.1-31</t>
  </si>
  <si>
    <t>PSM1827.1.1.1-32</t>
  </si>
  <si>
    <t>PSM1827.1.1.1-33</t>
  </si>
  <si>
    <t>PSM1827.1.1.1-34</t>
  </si>
  <si>
    <t>PSM1827.1.1.1-35</t>
  </si>
  <si>
    <t>PSM1827.1.1.1-36</t>
  </si>
  <si>
    <t>PSM1827.1.1.1-37</t>
  </si>
  <si>
    <t>PSM1827.1.1.2-38</t>
  </si>
  <si>
    <t>PSM1827.1.1.2-39</t>
  </si>
  <si>
    <t>PSM1827.1.1.2-40</t>
  </si>
  <si>
    <t>PSM1827.1.1.2-41</t>
  </si>
  <si>
    <t>PSM1827.1.1.2-42</t>
  </si>
  <si>
    <t>PSM1827.1.1.2-43</t>
  </si>
  <si>
    <t>PSM1827.1.1.2-44</t>
  </si>
  <si>
    <t>PSM1827.1.1.2-45</t>
  </si>
  <si>
    <t>PSM1827.1.1.2-46</t>
  </si>
  <si>
    <t>PSM1827.1.1.2-47</t>
  </si>
  <si>
    <t>PSM1827.1.1.2-48</t>
  </si>
  <si>
    <t>PSM1827.1.1.2-49</t>
  </si>
  <si>
    <t>PSM1827.1.1.2-50</t>
  </si>
  <si>
    <t>PSM1827.1.1.2-51</t>
  </si>
  <si>
    <t>PSM1827.1.1.2-52</t>
  </si>
  <si>
    <t>PSM1827.1.1.2-53</t>
  </si>
  <si>
    <t>PSM1827.1.1.2-54</t>
  </si>
  <si>
    <t>PSM1827.1.1.2-55</t>
  </si>
  <si>
    <t>PSM1827.1.1.2-56</t>
  </si>
  <si>
    <t>PSM1827.1.1.2-57</t>
  </si>
  <si>
    <t>PSM1827.1.1.2-58</t>
  </si>
  <si>
    <t>PSM1827.1.1.2-59</t>
  </si>
  <si>
    <t>PSM1827.1.1.2-60</t>
  </si>
  <si>
    <t>PSM1827.1.1.2-61</t>
  </si>
  <si>
    <t>PSM1827.1.1.2-62</t>
  </si>
  <si>
    <t>PSM1827.1.1.2-63</t>
  </si>
  <si>
    <t>PSM1827.1.1.2-64</t>
  </si>
  <si>
    <t>PSM1827.1.1.2-65</t>
  </si>
  <si>
    <t>PSM1827.1.1.2-66</t>
  </si>
  <si>
    <t>PSM1827.1.1.2-67</t>
  </si>
  <si>
    <t>PSM1827.1.1.3-68</t>
  </si>
  <si>
    <t>PSM1827.1.1.3-69</t>
  </si>
  <si>
    <t>PSM1827.1.1.3-70</t>
  </si>
  <si>
    <t>PSM1827.1.1.3-71</t>
  </si>
  <si>
    <t>PSM1827.1.1.3-72</t>
  </si>
  <si>
    <t>PSM1827.1.1.3-73</t>
  </si>
  <si>
    <t>PSM1827.1.1.3-74</t>
  </si>
  <si>
    <t>PSM1827.1.1.3-75</t>
  </si>
  <si>
    <t>PSM1827.1.1.3-76</t>
  </si>
  <si>
    <t>PSM1827.1.1.3-77</t>
  </si>
  <si>
    <t>PSM1827.1.1.3-78</t>
  </si>
  <si>
    <t>PSM1827.1.1.3-79</t>
  </si>
  <si>
    <t>PSM1827.1.1.3-80</t>
  </si>
  <si>
    <t>PSM1827.1.1.3-81</t>
  </si>
  <si>
    <t>PSM1827.1.1.3-82</t>
  </si>
  <si>
    <t>PSM1827.1.1.3-83</t>
  </si>
  <si>
    <t>PSM1827.1.1.3-84</t>
  </si>
  <si>
    <t>PSM1827.1.2.4-85</t>
  </si>
  <si>
    <t>PSM1827.1.2.4-86</t>
  </si>
  <si>
    <t>PSM1827.1.2.4-87</t>
  </si>
  <si>
    <t>PSM1827.1.2.4-88</t>
  </si>
  <si>
    <t>PSM1827.1.2.4-89</t>
  </si>
  <si>
    <t>PSM1827.1.2.4-90</t>
  </si>
  <si>
    <t>PSM1827.1.2.4-91</t>
  </si>
  <si>
    <t>PSM1827.1.2.4-92</t>
  </si>
  <si>
    <t>PSM1827.1.2.4-93</t>
  </si>
  <si>
    <t>PSM1827.1.2.4-94</t>
  </si>
  <si>
    <t>PSM1827.1.2.4-95</t>
  </si>
  <si>
    <t>PSM1827.1.2.4-96</t>
  </si>
  <si>
    <t>PSM1827.1.2.4-97</t>
  </si>
  <si>
    <t>PSM1827.1.2.4-98</t>
  </si>
  <si>
    <t>PSM1827.1.2.4-99</t>
  </si>
  <si>
    <t>PSM1827.1.2.4-100</t>
  </si>
  <si>
    <t>PSM1827.1.2.5-102</t>
  </si>
  <si>
    <t>PSM1827.1.2.5-103</t>
  </si>
  <si>
    <t>PSM1827.1.2.5-104</t>
  </si>
  <si>
    <t>PSM1827.1.2.5-105</t>
  </si>
  <si>
    <t>PSM1827.1.2.5-106</t>
  </si>
  <si>
    <t>PSM1827.1.2.5-107</t>
  </si>
  <si>
    <t>PSM1827.1.2.5-108</t>
  </si>
  <si>
    <t>PSM1827.1.2.5-109</t>
  </si>
  <si>
    <t>PSM1827.1.2.5-110</t>
  </si>
  <si>
    <t>PSM1827.1.2.5-111</t>
  </si>
  <si>
    <t>PSM1827.1.2.5-112</t>
  </si>
  <si>
    <t>PSM1827.1.2.5-113</t>
  </si>
  <si>
    <t>PSM1827.1.2.5-114</t>
  </si>
  <si>
    <t>PSM1827.1.2.5-115</t>
  </si>
  <si>
    <t>PSM1827.1.2.6-117</t>
  </si>
  <si>
    <t>PSM1827.1.2.6-118</t>
  </si>
  <si>
    <t>PSM1827.1.2.6-119</t>
  </si>
  <si>
    <t>PSM1827.1.2.6-120</t>
  </si>
  <si>
    <t>PSM1827.1.2.6-121</t>
  </si>
  <si>
    <t>PSM1827.1.2.6-122</t>
  </si>
  <si>
    <t>PSM1827.1.2.6-123</t>
  </si>
  <si>
    <t>PSM1827.1.2.6-124</t>
  </si>
  <si>
    <t>PSM1827.1.2.6-125</t>
  </si>
  <si>
    <t>PSM1827.1.2.6-126</t>
  </si>
  <si>
    <t>PSM1827.1.2.6-127</t>
  </si>
  <si>
    <t>PSM1827.1.2.6-128</t>
  </si>
  <si>
    <t>PSM1827.1.2.6-129</t>
  </si>
  <si>
    <t>PSM1827.1.3.7-131</t>
  </si>
  <si>
    <t>PSM1827.1.3.7-132</t>
  </si>
  <si>
    <t>PSM1827.1.3.7-133</t>
  </si>
  <si>
    <t>PSM1827.1.3.7-134</t>
  </si>
  <si>
    <t>PSM1827.1.3.7-135</t>
  </si>
  <si>
    <t>PSM1827.1.3.7-136</t>
  </si>
  <si>
    <t>PSM1827.1.3.7-137</t>
  </si>
  <si>
    <t>PSM1827.1.3.7-138</t>
  </si>
  <si>
    <t>PSM1827.1.3.7-139</t>
  </si>
  <si>
    <t>PSM1827.1.3.7-140</t>
  </si>
  <si>
    <t>PSM1827.1.3.8-142</t>
  </si>
  <si>
    <t>PSM1827.1.3.8-143</t>
  </si>
  <si>
    <t>PSM1827.1.3.8-144</t>
  </si>
  <si>
    <t>PSM1827.1.3.8-145</t>
  </si>
  <si>
    <t>PSM1827.1.3.8-146</t>
  </si>
  <si>
    <t>PSM1827.1.3.8-147</t>
  </si>
  <si>
    <t>PSM1827.1.3.8-148</t>
  </si>
  <si>
    <t>PSM1827.1.3.8-149</t>
  </si>
  <si>
    <t>PSM1827.1.3.8-150</t>
  </si>
  <si>
    <t>PSM1827.1.3.8-151</t>
  </si>
  <si>
    <t>PSM1827.1.3.8-152</t>
  </si>
  <si>
    <t>PSM1827.1.3.8-153</t>
  </si>
  <si>
    <t>PSM1827.1.3.8-154</t>
  </si>
  <si>
    <t>PSM1827.1.3.8-155</t>
  </si>
  <si>
    <t>PSM1827.1.3.8-156</t>
  </si>
  <si>
    <t>PSM1827.1.3.8-157</t>
  </si>
  <si>
    <t>PSM1827.1.3.9-159</t>
  </si>
  <si>
    <t>PSM1827.1.3.9-160</t>
  </si>
  <si>
    <t>PSM1827.1.3.9-161</t>
  </si>
  <si>
    <t>PSM1827.1.3.9-162</t>
  </si>
  <si>
    <t>PSM1827.1.3.9-163</t>
  </si>
  <si>
    <t>PSM1827.1.3.9-164</t>
  </si>
  <si>
    <t>PSM1827.1.3.9-165</t>
  </si>
  <si>
    <t>PSM1827.1.3.9-166</t>
  </si>
  <si>
    <t>PSM1827.1.3.9-167</t>
  </si>
  <si>
    <t>PSM1827.1.3.9-168</t>
  </si>
  <si>
    <t>PSM1827.1.3.9-169</t>
  </si>
  <si>
    <t>PSM1827.1.3.9-170</t>
  </si>
  <si>
    <t>PSM1827.1.3.9-171</t>
  </si>
  <si>
    <t>PSM1827.1.3.9-172</t>
  </si>
  <si>
    <t>PSM1827.1.3.9-173</t>
  </si>
  <si>
    <t>PSM1827.1.3.9-174</t>
  </si>
  <si>
    <t>PSM1827.1.3.9-175</t>
  </si>
  <si>
    <t>PSM1827.1.3.9-176</t>
  </si>
  <si>
    <t>SSP1831.1.1.1-1</t>
  </si>
  <si>
    <t>SSP1831.1.1.1-2</t>
  </si>
  <si>
    <t>SSP1831.1.1.1-3</t>
  </si>
  <si>
    <t>SSP1831.1.1.1-4</t>
  </si>
  <si>
    <t>SSP1831.1.1.1-5</t>
  </si>
  <si>
    <t>SSP1831.1.1.1-7</t>
  </si>
  <si>
    <t>SSP1831.1.1.2-9</t>
  </si>
  <si>
    <t>SSP1831.1.1.2-10</t>
  </si>
  <si>
    <t>SSP1831.1.1.2-11</t>
  </si>
  <si>
    <t>SSP1831.1.1.3-13</t>
  </si>
  <si>
    <t>SSP1831.1.1.3-14</t>
  </si>
  <si>
    <t>SSP1831.1.1.3-15</t>
  </si>
  <si>
    <t>SSP1831.1.1.3-16</t>
  </si>
  <si>
    <t>SSP1831.1.1.3-17</t>
  </si>
  <si>
    <t>SSP1831.1.1.3-18</t>
  </si>
  <si>
    <t>SSP1831.1.1.3-19</t>
  </si>
  <si>
    <t>SSP1831.1.1.3-20</t>
  </si>
  <si>
    <t>SSP1831.1.1.3-21</t>
  </si>
  <si>
    <t>SSP1831.1.1.3-22</t>
  </si>
  <si>
    <t>SSP1831.1.1.3-23</t>
  </si>
  <si>
    <t>SSP1831.1.1.3-24</t>
  </si>
  <si>
    <t>SSP1831.1.1.3-25</t>
  </si>
  <si>
    <t>SSP1831.1.1.3-26</t>
  </si>
  <si>
    <t>SSP1831.1.1.3-27</t>
  </si>
  <si>
    <t>SSP1831.1.1.3-28</t>
  </si>
  <si>
    <t>SSP1831.1.1.4-30</t>
  </si>
  <si>
    <t>SSP1831.1.1.5-32</t>
  </si>
  <si>
    <t>SSP1831.1.1.5-33</t>
  </si>
  <si>
    <t>SSP1831.1.1.5-34</t>
  </si>
  <si>
    <t>SSP1831.1.1.5-35</t>
  </si>
  <si>
    <t>SSP1831.1.1.5-36</t>
  </si>
  <si>
    <t>SSP1831.1.1.5-37</t>
  </si>
  <si>
    <t>SSP1831.1.1.5-38</t>
  </si>
  <si>
    <t>SSP1831.1.1.5-39</t>
  </si>
  <si>
    <t>SSP1831.1.1.5-40</t>
  </si>
  <si>
    <t>SSP1831.1.1.5-41</t>
  </si>
  <si>
    <t>SSP1831.1.1.5-42</t>
  </si>
  <si>
    <t>SSP1831.1.1.6-44</t>
  </si>
  <si>
    <t>SSP1831.1.1.6-45</t>
  </si>
  <si>
    <t>SSP1831.1.1.6-46</t>
  </si>
  <si>
    <t>SSP1831.1.1.6-47</t>
  </si>
  <si>
    <t>SSP1831.1.1.6-48</t>
  </si>
  <si>
    <t>SSP1831.1.1.6-49</t>
  </si>
  <si>
    <t>SSP1831.1.1.7-51</t>
  </si>
  <si>
    <t>SSP1831.1.1.7-52</t>
  </si>
  <si>
    <t>SSP1831.1.1.7-53</t>
  </si>
  <si>
    <t>SSP1831.1.1.7-54</t>
  </si>
  <si>
    <t>SSP1831.1.1.7-55</t>
  </si>
  <si>
    <t>SSP1831.1.1.8-56</t>
  </si>
  <si>
    <t>SSP1831.1.1.8-57</t>
  </si>
  <si>
    <t>SSP1831.1.1.8-58</t>
  </si>
  <si>
    <t>SSP1831.1.1.8-59</t>
  </si>
  <si>
    <t>SSP1831.1.1.8-60</t>
  </si>
  <si>
    <t>SSP1831.1.1.8-61</t>
  </si>
  <si>
    <t>SSP1831.1.1.8-62</t>
  </si>
  <si>
    <t>SSP1831.1.1.9-65</t>
  </si>
  <si>
    <t>SSP1831.1.1.9-66</t>
  </si>
  <si>
    <t>SSP1831.1.1.10-69</t>
  </si>
  <si>
    <t>SSP1831.1.1.10-70</t>
  </si>
  <si>
    <t>SSP1831.1.1.10-71</t>
  </si>
  <si>
    <t>SSP1831.1.1.11-74</t>
  </si>
  <si>
    <t>SSP1831.1.1.12-77</t>
  </si>
  <si>
    <t>SSP1831.1.1.12-78</t>
  </si>
  <si>
    <t>SSP1831.1.1.12-79</t>
  </si>
  <si>
    <t>SSP1831.1.1.14-88</t>
  </si>
  <si>
    <t>SSP1831.1.1.15-93</t>
  </si>
  <si>
    <t>SSP1831.1.1.15-94</t>
  </si>
  <si>
    <t>SSP1831.1.1.16-99</t>
  </si>
  <si>
    <t>SSP1831.1.1.16-100</t>
  </si>
  <si>
    <t>SSP1831.1.1.17-105</t>
  </si>
  <si>
    <t>SSP1831.1.1.17-106</t>
  </si>
  <si>
    <t>SSP1831.1.1.18-111</t>
  </si>
  <si>
    <t>SSP1831.1.1.18-112</t>
  </si>
  <si>
    <t>SSP1831.1.1.18-113</t>
  </si>
  <si>
    <t>SSP1831.1.1.18-114</t>
  </si>
  <si>
    <t>SSP1831.1.1.19-119</t>
  </si>
  <si>
    <t>SSP1831.1.1.19-120</t>
  </si>
  <si>
    <t>SSP1831.1.1.21-127</t>
  </si>
  <si>
    <t>SSP1831.1.1.21-128</t>
  </si>
  <si>
    <t>SSP1831.1.1.21-129</t>
  </si>
  <si>
    <t>SSP1831.1.1.21-130</t>
  </si>
  <si>
    <t>SSP1831.1.1.22-135</t>
  </si>
  <si>
    <t>SSP1831.1.1.24-142</t>
  </si>
  <si>
    <t>SSP1831.1.1.24-143</t>
  </si>
  <si>
    <t>SSP1831.1.1.26-151</t>
  </si>
  <si>
    <t>SSP1831.1.1.26-152</t>
  </si>
  <si>
    <t>SSP1831.1.1.26-153</t>
  </si>
  <si>
    <t>SSP1831.1.1.31-170</t>
  </si>
  <si>
    <t>SSP1831.1.1.32-175</t>
  </si>
  <si>
    <t>SSP1831.1.1.34-184</t>
  </si>
  <si>
    <t>SSP1831.1.1.34-185</t>
  </si>
  <si>
    <t>SSP1831.1.1.34-186</t>
  </si>
  <si>
    <t>SSP1831.1.1.34-187</t>
  </si>
  <si>
    <t>SSP1831.1.1.34-188</t>
  </si>
  <si>
    <t>SSP1831.1.1.36-195</t>
  </si>
  <si>
    <t>SSP1831.1.1.36-196</t>
  </si>
  <si>
    <t>SSP1831.1.1.36-197</t>
  </si>
  <si>
    <t>SSP1831.1.1.36-198</t>
  </si>
  <si>
    <t>SSP1831.1.1.38-207</t>
  </si>
  <si>
    <t>SSP1831.1.1.38-208</t>
  </si>
  <si>
    <t>JSACI1832.1.1.4-1</t>
  </si>
  <si>
    <t>JSACI1832.1.1.4-2</t>
  </si>
  <si>
    <t>JSACI1832.1.2.18-5</t>
  </si>
  <si>
    <t>JSACI1832.1.2.18-6</t>
  </si>
  <si>
    <t>JSACI1833.1.3.3-9</t>
  </si>
  <si>
    <t>JSACI1833.1.3.3-10</t>
  </si>
  <si>
    <t>JSACI1833.1.3.3-11</t>
  </si>
  <si>
    <t>JSACI1833.1.3.3-12</t>
  </si>
  <si>
    <t>JSACI1833.1.3.16-15</t>
  </si>
  <si>
    <t>JSACI1833.1.3.16-16</t>
  </si>
  <si>
    <t>JSACI1833.1.3.16-17</t>
  </si>
  <si>
    <t>JSACI1833.1.3.16-18</t>
  </si>
  <si>
    <t>JSACI1833.1.3.16-19</t>
  </si>
  <si>
    <t>JSACI1833.1.3.16-20</t>
  </si>
  <si>
    <t>JSACI1833.1.3.16-21</t>
  </si>
  <si>
    <t>JSACI1835.1.5.35-24</t>
  </si>
  <si>
    <t>JSACI1835.1.10.36-27</t>
  </si>
  <si>
    <t>JSACI1835.1.10.36-28</t>
  </si>
  <si>
    <t>JSACI1835.1.10.36-29</t>
  </si>
  <si>
    <t>JSACI1835.1.10.36-30</t>
  </si>
  <si>
    <t>JSACI1835.1.11.38-33</t>
  </si>
  <si>
    <t>JSACI1835.1.11.38-34</t>
  </si>
  <si>
    <t>JSACI1835.1.11.38-35</t>
  </si>
  <si>
    <t>JSACI1835.1.11.38-36</t>
  </si>
  <si>
    <t>JSACI1835.1.11.38-37</t>
  </si>
  <si>
    <t>JSACI1836.1.0.2-42</t>
  </si>
  <si>
    <t>JSACI1836.1.0.2-41</t>
  </si>
  <si>
    <t>JSACI1836.1.0.2-40</t>
  </si>
  <si>
    <t>MS1835.1.1.2-1</t>
  </si>
  <si>
    <t>MS1835.1.1.2-2</t>
  </si>
  <si>
    <t>MS1835.1.1.2-3</t>
  </si>
  <si>
    <t>MS1835.1.1.2-4</t>
  </si>
  <si>
    <t>MS1835.1.1.2-5</t>
  </si>
  <si>
    <t>MS1835.1.1.2-6</t>
  </si>
  <si>
    <t>MS1835.1.1.2-7</t>
  </si>
  <si>
    <t>MS1835.1.1.2-8</t>
  </si>
  <si>
    <t>MS1835.1.1.3-9</t>
  </si>
  <si>
    <t>MS1835.1.1.3-10</t>
  </si>
  <si>
    <t>MS1835.1.1.3-11</t>
  </si>
  <si>
    <t>MS1835.1.1.3-12</t>
  </si>
  <si>
    <t>MS1835.1.1.3-13</t>
  </si>
  <si>
    <t>MS1835.1.1.3-14</t>
  </si>
  <si>
    <t>MS1835.1.1.3-15</t>
  </si>
  <si>
    <t>DS1835.1.1.1-1</t>
  </si>
  <si>
    <t>DS1835.1.1.1-2</t>
  </si>
  <si>
    <t>DS1835.1.1.1-3</t>
  </si>
  <si>
    <t>DS1835.1.1.1-4</t>
  </si>
  <si>
    <t>DS1835.1.1.2-7</t>
  </si>
  <si>
    <t>DS1835.1.1.2-8</t>
  </si>
  <si>
    <t>DS1835.1.1.2-9</t>
  </si>
  <si>
    <t>DS1835.1.1.2-10</t>
  </si>
  <si>
    <t>DS1835.1.1.2-11</t>
  </si>
  <si>
    <t>DS1835.1.1.2-12</t>
  </si>
  <si>
    <t>DS1835.1.1.2-13</t>
  </si>
  <si>
    <t>DS1835.1.1.3-16</t>
  </si>
  <si>
    <t>DS1835.1.1.3-17</t>
  </si>
  <si>
    <t>DS1835.1.1.3-18</t>
  </si>
  <si>
    <t>DS1835.1.1.3-19</t>
  </si>
  <si>
    <t>DS1835.1.1.3-20</t>
  </si>
  <si>
    <t>DS1835.1.1.4-23</t>
  </si>
  <si>
    <t>DS1835.1.1.5-26</t>
  </si>
  <si>
    <t>DS1835.1.1.5-27</t>
  </si>
  <si>
    <t>DS1835.1.1.5-28</t>
  </si>
  <si>
    <t>DS1835.1.1.6-31</t>
  </si>
  <si>
    <t>DS1835.1.1.6-32</t>
  </si>
  <si>
    <t>DS1835.1.1.6-33</t>
  </si>
  <si>
    <t>DS1835.1.1.6-34</t>
  </si>
  <si>
    <t>DS1835.1.1.6-35</t>
  </si>
  <si>
    <t>DS1835.1.1.7-38</t>
  </si>
  <si>
    <t>DS1835.1.1.8-41</t>
  </si>
  <si>
    <t>DS1835.1.1.8-42</t>
  </si>
  <si>
    <t>DS1835.1.1.8-43</t>
  </si>
  <si>
    <t>DS1835.1.1.8-44</t>
  </si>
  <si>
    <t>DS1835.1.1.8-45</t>
  </si>
  <si>
    <t>DS1835.1.1.8-46</t>
  </si>
  <si>
    <t>DS1835.1.1.8-47</t>
  </si>
  <si>
    <t>DS1835.1.1.8-48</t>
  </si>
  <si>
    <t>DS1835.1.1.8-49</t>
  </si>
  <si>
    <t>DS1835.1.1.8-50</t>
  </si>
  <si>
    <t>DS1835.1.1.9-53</t>
  </si>
  <si>
    <t>DS1835.1.1.9-54</t>
  </si>
  <si>
    <t>DS1835.1.1.9-55</t>
  </si>
  <si>
    <t>DS1835.1.1.10-58</t>
  </si>
  <si>
    <t>DS1835.1.1.10-59</t>
  </si>
  <si>
    <t>DS1835.1.1.10-60</t>
  </si>
  <si>
    <t>DS1835.1.1.10-61</t>
  </si>
  <si>
    <t>DS1835.1.1.10-62</t>
  </si>
  <si>
    <t>DS1835.1.1.10-63</t>
  </si>
  <si>
    <t>DS1835.1.1.10-64</t>
  </si>
  <si>
    <t>DS1835.1.1.10-65</t>
  </si>
  <si>
    <t>DS1835.1.1.10-66</t>
  </si>
  <si>
    <t>DS1835.1.1.11-69</t>
  </si>
  <si>
    <t>DS1835.1.1.11-70</t>
  </si>
  <si>
    <t>DS1835.1.1.11-71</t>
  </si>
  <si>
    <t>DS1835.1.1.11-72</t>
  </si>
  <si>
    <t>DS1835.1.1.11-73</t>
  </si>
  <si>
    <t>DS1835.1.1.11-74</t>
  </si>
  <si>
    <t>DS1835.1.1.11-75</t>
  </si>
  <si>
    <t>DS1835.1.1.11-76</t>
  </si>
  <si>
    <t>DS1835.1.1.11-77</t>
  </si>
  <si>
    <t>DS1835.1.1.11-78</t>
  </si>
  <si>
    <t>DS1835.1.1.11-79</t>
  </si>
  <si>
    <t>DS1835.1.1.11-80</t>
  </si>
  <si>
    <t>DS1835.1.1.11-81</t>
  </si>
  <si>
    <t>DS1835.1.1.11-82</t>
  </si>
  <si>
    <t>DS1835.1.1.12-85</t>
  </si>
  <si>
    <t>DS1835.1.1.12-86</t>
  </si>
  <si>
    <t>DS1835.1.1.12-87</t>
  </si>
  <si>
    <t>DS1835.1.1.12-88</t>
  </si>
  <si>
    <t>DS1835.1.1.12-89</t>
  </si>
  <si>
    <t>DS1835.1.1.12-90</t>
  </si>
  <si>
    <t>DS1835.1.1.13-93</t>
  </si>
  <si>
    <t>DS1835.1.1.14-96</t>
  </si>
  <si>
    <t>DS1835.1.1.14-97</t>
  </si>
  <si>
    <t>DS1835.1.1.14-98</t>
  </si>
  <si>
    <t>DS1835.1.1.14-99</t>
  </si>
  <si>
    <t>DS1835.1.1.15-102</t>
  </si>
  <si>
    <t>DS1835.1.1.15-103</t>
  </si>
  <si>
    <t>DS1835.1.1.15-104</t>
  </si>
  <si>
    <t>DS1835.1.1.16-107</t>
  </si>
  <si>
    <t>DS1835.1.1.16-108</t>
  </si>
  <si>
    <t>DS1835.1.1.16-109</t>
  </si>
  <si>
    <t>DS1835.1.1.16-110</t>
  </si>
  <si>
    <t>DS1835.1.1.16-111</t>
  </si>
  <si>
    <t>DS1835.1.1.16-112</t>
  </si>
  <si>
    <t>DS1835.1.1.16-113</t>
  </si>
  <si>
    <t>DS1835.1.1.17-116</t>
  </si>
  <si>
    <t>DS1835.1.1.18-119</t>
  </si>
  <si>
    <t>DS1835.1.1.18-120</t>
  </si>
  <si>
    <t>DS1835.1.1.18-121</t>
  </si>
  <si>
    <t>DS1835.1.1.18-122</t>
  </si>
  <si>
    <t>DS1835.1.1.18-123</t>
  </si>
  <si>
    <t>DS1835.1.1.18-124</t>
  </si>
  <si>
    <t>DS1835.1.1.18-125</t>
  </si>
  <si>
    <t>DS1835.1.1.18-126</t>
  </si>
  <si>
    <t>DS1835.1.1.18-127</t>
  </si>
  <si>
    <t>DS1835.1.1.18-128</t>
  </si>
  <si>
    <t>DS1835.1.1.18-129</t>
  </si>
  <si>
    <t>DS1835.1.1.18-130</t>
  </si>
  <si>
    <t>DS1835.1.1.19-133</t>
  </si>
  <si>
    <t>DS1835.1.1.19-134</t>
  </si>
  <si>
    <t>DS1835.1.1.19-135</t>
  </si>
  <si>
    <t>DS1835.1.1.19-136</t>
  </si>
  <si>
    <t>DS1835.1.1.19-137</t>
  </si>
  <si>
    <t>DS1835.1.1.19-138</t>
  </si>
  <si>
    <t>DS1835.1.1.19-139</t>
  </si>
  <si>
    <t>DS1835.1.1.20-142</t>
  </si>
  <si>
    <t>DS1835.1.1.20-143</t>
  </si>
  <si>
    <t>DS1835.1.1.20-144</t>
  </si>
  <si>
    <t>DS1835.1.1.20-145</t>
  </si>
  <si>
    <t>DS1835.1.1.20-146</t>
  </si>
  <si>
    <t>DS1835.1.1.20-147</t>
  </si>
  <si>
    <t>DS1835.1.1.20-148</t>
  </si>
  <si>
    <t>DS1835.1.1.20-149</t>
  </si>
  <si>
    <t>DS1835.1.1.21-153</t>
  </si>
  <si>
    <t>DS1835.1.1.22-157</t>
  </si>
  <si>
    <t>DS1835.1.1.22-158</t>
  </si>
  <si>
    <t>DS1835.1.1.22-159</t>
  </si>
  <si>
    <t>DS1835.1.1.22-160</t>
  </si>
  <si>
    <t>DS1835.1.1.22-161</t>
  </si>
  <si>
    <t>DS1835.1.1.23-165</t>
  </si>
  <si>
    <t>DS1835.1.1.23-166</t>
  </si>
  <si>
    <t>DS1835.1.1.23-167</t>
  </si>
  <si>
    <t>DS1835.1.1.23-168</t>
  </si>
  <si>
    <t>DS1835.1.1.23-169</t>
  </si>
  <si>
    <t>DS1835.1.1.23-170</t>
  </si>
  <si>
    <t>DS1835.1.1.23-171</t>
  </si>
  <si>
    <t>DS1835.1.1.24-175</t>
  </si>
  <si>
    <t>DS1835.1.1.24-176</t>
  </si>
  <si>
    <t>DS1835.1.1.25-180</t>
  </si>
  <si>
    <t>DS1835.1.1.25-181</t>
  </si>
  <si>
    <t>DS1835.1.1.25-182</t>
  </si>
  <si>
    <t>DS1835.1.1.25-183</t>
  </si>
  <si>
    <t>DS1835.1.1.25-184</t>
  </si>
  <si>
    <t>DS1835.1.1.25-185</t>
  </si>
  <si>
    <t>DS1835.1.1.25-186</t>
  </si>
  <si>
    <t>DS1835.1.1.26-189</t>
  </si>
  <si>
    <t>DS1835.1.1.26-190</t>
  </si>
  <si>
    <t>DS1835.1.1.26-191</t>
  </si>
  <si>
    <t>DS1835.1.1.27-194</t>
  </si>
  <si>
    <t>DS1835.1.1.27-195</t>
  </si>
  <si>
    <t>DS1835.1.1.27-196</t>
  </si>
  <si>
    <t>DS1835.1.1.27-197</t>
  </si>
  <si>
    <t>DS1835.1.1.27-198</t>
  </si>
  <si>
    <t>DS1835.1.1.27-199</t>
  </si>
  <si>
    <t>DS1835.1.1.27-200</t>
  </si>
  <si>
    <t>DS1835.1.1.28-203</t>
  </si>
  <si>
    <t>DS1835.1.1.28-204</t>
  </si>
  <si>
    <t>DS1835.1.1.28-205</t>
  </si>
  <si>
    <t>DS1835.1.1.28-206</t>
  </si>
  <si>
    <t>DS1835.1.1.28-207</t>
  </si>
  <si>
    <t>DS1835.1.1.28-208</t>
  </si>
  <si>
    <t>DS1835.1.1.28-209</t>
  </si>
  <si>
    <t>DS1835.1.1.28-210</t>
  </si>
  <si>
    <t>DS1835.1.1.28-211</t>
  </si>
  <si>
    <t>DS1835.1.1.28-212</t>
  </si>
  <si>
    <t>DS1835.1.1.28-213</t>
  </si>
  <si>
    <t>DS1835.1.1.28-214</t>
  </si>
  <si>
    <t>DS1835.1.1.29-218</t>
  </si>
  <si>
    <t>DS1835.1.1.29-219</t>
  </si>
  <si>
    <t>DS1835.1.1.29-220</t>
  </si>
  <si>
    <t>DS1835.1.1.29-221</t>
  </si>
  <si>
    <t>DS1835.1.1.29-222</t>
  </si>
  <si>
    <t>DS1835.1.1.29-223</t>
  </si>
  <si>
    <t>DS1835.1.1.29-224</t>
  </si>
  <si>
    <t>DS1835.1.1.30-227</t>
  </si>
  <si>
    <t>DS1835.1.1.30-228</t>
  </si>
  <si>
    <t>DS1835.1.1.30-229</t>
  </si>
  <si>
    <t>DS1835.1.1.30-230</t>
  </si>
  <si>
    <t>DS1835.1.1.30-231</t>
  </si>
  <si>
    <t>DS1835.1.1.30-232</t>
  </si>
  <si>
    <t>DS1835.1.1.31-235</t>
  </si>
  <si>
    <t>DS1835.1.1.32-238</t>
  </si>
  <si>
    <t>DS1835.1.1.32-239</t>
  </si>
  <si>
    <t>DS1835.1.1.32-240</t>
  </si>
  <si>
    <t>DS1835.1.1.32-241</t>
  </si>
  <si>
    <t>DS1835.1.1.33-244</t>
  </si>
  <si>
    <t>DS1835.1.1.33-245</t>
  </si>
  <si>
    <t>DS1835.1.1.33-246</t>
  </si>
  <si>
    <t>DS1835.1.1.34-249</t>
  </si>
  <si>
    <t>DS1835.1.1.34-250</t>
  </si>
  <si>
    <t>DS1835.1.1.34-251</t>
  </si>
  <si>
    <t>DS1835.1.1.34-252</t>
  </si>
  <si>
    <t>DS1835.1.1.34-253</t>
  </si>
  <si>
    <t>DS1835.1.1.35-256</t>
  </si>
  <si>
    <t>DS1835.1.1.35-257</t>
  </si>
  <si>
    <t>DS1835.1.1.35-258</t>
  </si>
  <si>
    <t>DS1835.1.1.35-259</t>
  </si>
  <si>
    <t>DS1835.1.1.35-260</t>
  </si>
  <si>
    <t>DS1835.1.1.36-263</t>
  </si>
  <si>
    <t>DS1835.1.1.36-264</t>
  </si>
  <si>
    <t>DS1835.1.1.36-265</t>
  </si>
  <si>
    <t>DS1835.1.1.36-266</t>
  </si>
  <si>
    <t>DS1835.1.1.36-267</t>
  </si>
  <si>
    <t>DS1835.1.1.36-268</t>
  </si>
  <si>
    <t>DS1835.1.1.36-269</t>
  </si>
  <si>
    <t>DS1835.1.1.36-270</t>
  </si>
  <si>
    <t>DS1835.1.1.37-273</t>
  </si>
  <si>
    <t>DS1835.1.1.37-274</t>
  </si>
  <si>
    <t>DS1835.1.1.37-275</t>
  </si>
  <si>
    <t>DS1835.1.1.37-276</t>
  </si>
  <si>
    <t>DS1835.1.1.37-277</t>
  </si>
  <si>
    <t>DS1835.1.1.37-278</t>
  </si>
  <si>
    <t>DS1835.1.1.37-279</t>
  </si>
  <si>
    <t>DS1835.1.1.37-280</t>
  </si>
  <si>
    <t>DS1835.1.1.37-281</t>
  </si>
  <si>
    <t>DS1835.1.1.37-282</t>
  </si>
  <si>
    <t>DS1835.1.1.37-283</t>
  </si>
  <si>
    <t>DS1835.1.1.37-284</t>
  </si>
  <si>
    <t>DS1835.1.1.37-285</t>
  </si>
  <si>
    <t>DS1835.1.1.37-286</t>
  </si>
  <si>
    <t>DS1835.1.1.37-287</t>
  </si>
  <si>
    <t>DS1835.1.1.37-288</t>
  </si>
  <si>
    <t>DS1835.1.1.38-291</t>
  </si>
  <si>
    <t>DS1835.1.1.38-292</t>
  </si>
  <si>
    <t>DS1835.1.1.38-293</t>
  </si>
  <si>
    <t>DS1835.1.1.39-296</t>
  </si>
  <si>
    <t>DS1835.1.1.39-297</t>
  </si>
  <si>
    <t>DS1835.1.1.39-298</t>
  </si>
  <si>
    <t>DS1835.1.1.39-299</t>
  </si>
  <si>
    <t>DS1835.1.1.39-300</t>
  </si>
  <si>
    <t>DS1835.1.1.39-301</t>
  </si>
  <si>
    <t>DS1835.1.1.46-339</t>
  </si>
  <si>
    <t>DS1835.1.1.46-340</t>
  </si>
  <si>
    <t>DS1835.1.1.46-341</t>
  </si>
  <si>
    <t>DS1835.1.1.53-375</t>
  </si>
  <si>
    <t>DS1835.1.1.53-376</t>
  </si>
  <si>
    <t>RMF1835.1.1.1-1</t>
  </si>
  <si>
    <t>RMF1835.1.1.1-2</t>
  </si>
  <si>
    <t>RMF1835.1.1.1-3</t>
  </si>
  <si>
    <t>RMF1835.1.1.1-4</t>
  </si>
  <si>
    <t>RMF1835.1.1.1-5</t>
  </si>
  <si>
    <t>RMF1835.1.1.1-6</t>
  </si>
  <si>
    <t>RMF1835.1.1.1-7</t>
  </si>
  <si>
    <t>RMF1835.1.1.1-8</t>
  </si>
  <si>
    <t>RMF1835.1.1.1-9</t>
  </si>
  <si>
    <t>RMF1835.1.1.1-10</t>
  </si>
  <si>
    <t>RMF1835.1.1.1-11</t>
  </si>
  <si>
    <t>RMF1835.1.1.1-12</t>
  </si>
  <si>
    <t>RMF1835.1.1.1-13</t>
  </si>
  <si>
    <t>RMF1835.1.1.2-14</t>
  </si>
  <si>
    <t>RMF1835.1.1.2-15</t>
  </si>
  <si>
    <t>RMF1835.1.1.2-16</t>
  </si>
  <si>
    <t>RMF1835.1.1.2-17</t>
  </si>
  <si>
    <t>RMF1835.1.1.2-18</t>
  </si>
  <si>
    <t>RMF1835.1.1.2-19</t>
  </si>
  <si>
    <t>RMF1835.1.1.2-20</t>
  </si>
  <si>
    <t>RMF1835.1.1.2-21</t>
  </si>
  <si>
    <t>RMF1835.1.1.2-22</t>
  </si>
  <si>
    <t>RMF1835.1.1.2-23</t>
  </si>
  <si>
    <t>RMF1835.1.1.2-24</t>
  </si>
  <si>
    <t>RMF1835.1.1.2-25</t>
  </si>
  <si>
    <t>RMF1835.1.1.2-26</t>
  </si>
  <si>
    <t>RMF1835.1.1.2-27</t>
  </si>
  <si>
    <t>RMF1835.1.1.2-28</t>
  </si>
  <si>
    <t>RMF1835.1.1.2-29</t>
  </si>
  <si>
    <t>RMF1835.1.1.2-30</t>
  </si>
  <si>
    <t>RMF1835.1.1.2-31</t>
  </si>
  <si>
    <t>RMF1835.1.1.3-32</t>
  </si>
  <si>
    <t>RMF1835.1.1.3-33</t>
  </si>
  <si>
    <t>RMF1835.1.1.3-34</t>
  </si>
  <si>
    <t>RMF1835.1.1.3-35</t>
  </si>
  <si>
    <t>RMF1835.1.1.3-36</t>
  </si>
  <si>
    <t>RMF1835.1.1.3-37</t>
  </si>
  <si>
    <t>RMF1835.1.1.3-38</t>
  </si>
  <si>
    <t>RMF1835.1.1.3-39</t>
  </si>
  <si>
    <t>RMF1835.1.1.3-40</t>
  </si>
  <si>
    <t>RMF1835.1.1.3-41</t>
  </si>
  <si>
    <t>RMF1835.1.1.3-42</t>
  </si>
  <si>
    <t>RMF1835.1.1.3-43</t>
  </si>
  <si>
    <t>RMF1835.1.1.4-44</t>
  </si>
  <si>
    <t>RMF1835.1.1.4-45</t>
  </si>
  <si>
    <t>RMF1835.1.1.4-46</t>
  </si>
  <si>
    <t>RMF1835.1.1.4-47</t>
  </si>
  <si>
    <t>RMF1835.1.1.4-48</t>
  </si>
  <si>
    <t>RMF1835.1.1.4-49</t>
  </si>
  <si>
    <t>RMF1835.1.1.4-50</t>
  </si>
  <si>
    <t>RMF1835.1.1.4-51</t>
  </si>
  <si>
    <t>RMF1835.1.1.4-52</t>
  </si>
  <si>
    <t>RMF1835.1.1.4-53</t>
  </si>
  <si>
    <t>RMF1835.1.1.4-54</t>
  </si>
  <si>
    <t>RMF1835.1.1.4-55</t>
  </si>
  <si>
    <t>RMF1835.1.1.4-56</t>
  </si>
  <si>
    <t>RMF1835.1.1.4-57</t>
  </si>
  <si>
    <t>RMF1835.1.1.4-58</t>
  </si>
  <si>
    <t>RMF1835.1.1.5-59</t>
  </si>
  <si>
    <t>RMF1835.1.1.5-60</t>
  </si>
  <si>
    <t>RMF1835.1.1.5-61</t>
  </si>
  <si>
    <t>RMF1835.1.1.5-62</t>
  </si>
  <si>
    <t>RMF1835.1.1.5-63</t>
  </si>
  <si>
    <t>RMF1835.1.1.5-64</t>
  </si>
  <si>
    <t>RMF1835.1.1.5-65</t>
  </si>
  <si>
    <t>RMF1835.1.1.5-66</t>
  </si>
  <si>
    <t>RMF1835.1.1.5-67</t>
  </si>
  <si>
    <t>RMF1835.1.1.5-68</t>
  </si>
  <si>
    <t>RMF1835.1.1.5-69</t>
  </si>
  <si>
    <t>RMF1835.1.1.5-70</t>
  </si>
  <si>
    <t>RMF1835.1.1.5-71</t>
  </si>
  <si>
    <t>RMF1835.1.1.5-72</t>
  </si>
  <si>
    <t>RMF1835.1.1.5-73</t>
  </si>
  <si>
    <t>RMF1835.1.1.5-74</t>
  </si>
  <si>
    <t>RMF1835.1.1.5-75</t>
  </si>
  <si>
    <t>RMF1835.1.1.5-76</t>
  </si>
  <si>
    <t>RMF1835.1.1.6-77</t>
  </si>
  <si>
    <t>RMF1835.1.1.6-78</t>
  </si>
  <si>
    <t>RMF1835.1.1.6-79</t>
  </si>
  <si>
    <t>RMF1835.1.1.6-80</t>
  </si>
  <si>
    <t>RMF1835.1.1.6-81</t>
  </si>
  <si>
    <t>RMF1835.1.1.6-82</t>
  </si>
  <si>
    <t>RMF1835.1.1.6-83</t>
  </si>
  <si>
    <t>RMF1835.1.1.6-84</t>
  </si>
  <si>
    <t>RMF1835.1.1.6-85</t>
  </si>
  <si>
    <t>RMF1835.1.1.6-86</t>
  </si>
  <si>
    <t>RMF1835.1.1.6-87</t>
  </si>
  <si>
    <t>RMF1835.1.1.6-88</t>
  </si>
  <si>
    <t>RMF1835.1.1.6-89</t>
  </si>
  <si>
    <t>RMF1835.1.1.6-90</t>
  </si>
  <si>
    <t>RMF1835.1.1.7-91</t>
  </si>
  <si>
    <t>RMF1835.1.1.7-92</t>
  </si>
  <si>
    <t>RMF1835.1.1.7-93</t>
  </si>
  <si>
    <t>RMF1835.1.1.7-94</t>
  </si>
  <si>
    <t>RMF1835.1.1.7-95</t>
  </si>
  <si>
    <t>RMF1835.1.1.7-96</t>
  </si>
  <si>
    <t>RMF1835.1.1.7-97</t>
  </si>
  <si>
    <t>RMF1835.1.1.7-98</t>
  </si>
  <si>
    <t>RMF1835.1.1.7-99</t>
  </si>
  <si>
    <t>RMF1835.1.1.7-100</t>
  </si>
  <si>
    <t>RMF1835.1.1.7-101</t>
  </si>
  <si>
    <t>RMF1835.1.1.8-103</t>
  </si>
  <si>
    <t>RMF1835.1.1.8-104</t>
  </si>
  <si>
    <t>RMF1835.1.1.8-105</t>
  </si>
  <si>
    <t>RMF1835.1.1.8-106</t>
  </si>
  <si>
    <t>RMF1835.1.1.8-107</t>
  </si>
  <si>
    <t>RMF1835.1.1.8-108</t>
  </si>
  <si>
    <t>RMF1835.1.1.8-109</t>
  </si>
  <si>
    <t>RMF1835.1.1.8-110</t>
  </si>
  <si>
    <t>RMF1835.1.1.8-111</t>
  </si>
  <si>
    <t>RMF1835.1.1.9-113</t>
  </si>
  <si>
    <t>RMF1835.1.1.9-114</t>
  </si>
  <si>
    <t>RMF1835.1.1.9-115</t>
  </si>
  <si>
    <t>RMF1835.1.1.9-116</t>
  </si>
  <si>
    <t>RMF1835.1.1.9-117</t>
  </si>
  <si>
    <t>RMF1836.1.2.1-147</t>
  </si>
  <si>
    <t>RMF1836.1.2.1-148</t>
  </si>
  <si>
    <t>RMF1836.1.2.1-149</t>
  </si>
  <si>
    <t>RMF1836.1.2.1-150</t>
  </si>
  <si>
    <t>RMF1836.1.2.1-151</t>
  </si>
  <si>
    <t>RMF1836.1.2.1-152</t>
  </si>
  <si>
    <t>RMF1836.1.2.1-153</t>
  </si>
  <si>
    <t>RMF1836.1.2.1-154</t>
  </si>
  <si>
    <t>RMF1836.1.2.1-155</t>
  </si>
  <si>
    <t>RMF1836.1.2.1-156</t>
  </si>
  <si>
    <t>RMF1836.1.2.2-157</t>
  </si>
  <si>
    <t>RMF1836.1.2.2-158</t>
  </si>
  <si>
    <t>RMF1836.1.2.2-159</t>
  </si>
  <si>
    <t>RMF1836.1.2.2-160</t>
  </si>
  <si>
    <t>RMF1836.1.2.2-161</t>
  </si>
  <si>
    <t>RMF1836.1.2.2-162</t>
  </si>
  <si>
    <t>RMF1836.1.2.2-163</t>
  </si>
  <si>
    <t>RMF1836.1.2.2-164</t>
  </si>
  <si>
    <t>RMF1836.1.2.2-165</t>
  </si>
  <si>
    <t>RMF1836.1.2.2-166</t>
  </si>
  <si>
    <t>RMF1836.1.2.2-167</t>
  </si>
  <si>
    <t>RMF1836.1.2.2-168</t>
  </si>
  <si>
    <t>RMF1837.1.3.1-244</t>
  </si>
  <si>
    <t>RMF1837.1.3.1-245</t>
  </si>
  <si>
    <t>RMF1837.1.3.1-246</t>
  </si>
  <si>
    <t>RMF1837.1.3.1-247</t>
  </si>
  <si>
    <t>RMF1837.1.3.1-248</t>
  </si>
  <si>
    <t>RMF1837.1.3.1-249</t>
  </si>
  <si>
    <t>RMF1837.1.3.2-250</t>
  </si>
  <si>
    <t>RMF1837.1.3.2-251</t>
  </si>
  <si>
    <t>RMF1837.1.3.2-252</t>
  </si>
  <si>
    <t>RMF1837.1.3.2-253</t>
  </si>
  <si>
    <t>RMF1837.1.3.2-254</t>
  </si>
  <si>
    <t>RMF1837.1.3.2-255</t>
  </si>
  <si>
    <t>RMF1837.1.3.3-256</t>
  </si>
  <si>
    <t>RMF1837.1.3.3-257</t>
  </si>
  <si>
    <t>RMF1837.1.3.3-258</t>
  </si>
  <si>
    <t>RMF1837.1.3.3-259</t>
  </si>
  <si>
    <t>RMF1837.1.3.3-260</t>
  </si>
  <si>
    <t>RMF1837.1.3.3-261</t>
  </si>
  <si>
    <t>RMF1837.1.3.3-262</t>
  </si>
  <si>
    <t>RMF1837.1.3.3-263</t>
  </si>
  <si>
    <t>RMF1837.1.3.3-264</t>
  </si>
  <si>
    <t>RMF1837.1.3.4-265</t>
  </si>
  <si>
    <t>RMF1837.1.3.4-266</t>
  </si>
  <si>
    <t>RMF1837.1.3.4-267</t>
  </si>
  <si>
    <t>RMF1837.1.3.4-268</t>
  </si>
  <si>
    <t>RMF1837.1.3.4-269</t>
  </si>
  <si>
    <t>PCU1836.1.1.8-1</t>
  </si>
  <si>
    <t>PCU1836.1.1.8-2</t>
  </si>
  <si>
    <t>PCU1836.1.1.8-3</t>
  </si>
  <si>
    <t>PCU1836.1.1.8-4</t>
  </si>
  <si>
    <t>PCU1836.1.1.8-5</t>
  </si>
  <si>
    <t>PCU1836.1.1.8-6</t>
  </si>
  <si>
    <t>[O Governo de S. Catharina compreende nove districtos, a saber.] População, Navegação, Produçoens, etc., da Ilha de S. Catharina.</t>
  </si>
  <si>
    <t>Satira.</t>
  </si>
  <si>
    <t>Memoria de S.P.F. [As Definiçoens Grammaticaes, publicadas no primeiro…]</t>
  </si>
  <si>
    <t>["Não havendo recebido noticias modernas da Europa…"]</t>
  </si>
  <si>
    <t>Lista de assignantes.</t>
  </si>
  <si>
    <t>["A Revista Medica Fluminense vae entrar no quinto anno de sua…"]</t>
  </si>
  <si>
    <t>["O catarrho epidemico, pelos Francezes denomiado grippe…"]</t>
  </si>
  <si>
    <t>["Começa o 3.º anno de existencia deste jornal. Redigido primeiro pelo Sr. Dr. Meirelles…"]</t>
  </si>
  <si>
    <t>["Honrado com os suffragios da Academia Imperial de Medicina…"]</t>
  </si>
  <si>
    <t>["Com este numero terminamos a tarefa de que nos incumbio a Academia Imperial de Medicina…"]</t>
  </si>
  <si>
    <t>["Huma nova especie de massa caustica acaba de ser introdusida na materia medica…"]</t>
  </si>
  <si>
    <t>["A escolha dos lugares, em que se passão os primeiros annos da vida…"]</t>
  </si>
  <si>
    <t>["Quando vesitamos algum doente gravemente enfermo, sempre se nos pergunta…"]</t>
  </si>
  <si>
    <t>["Huma questão toda nova he actualmente submettida ao exame do Sr. Ministro da…"]</t>
  </si>
  <si>
    <t>["A Academia Imperial de Medicina poz á premio, como vimos n o N.º antecedente…"]</t>
  </si>
  <si>
    <t>Antonio de Ramon Massoty</t>
  </si>
  <si>
    <t>["Paris 19 de Dezembro."] Discurso do Imperador e Rei, ao Corpo Legislativo.</t>
  </si>
  <si>
    <t>Senado Conservador. Sessão de Segunda feira 27 de Dezembro, debaixo da presidencia de S. A. R. o Principe Archichanceller do Imperio.</t>
  </si>
  <si>
    <t>OP1813.1.1.1-1</t>
  </si>
  <si>
    <t>OP1813.1.1.1-2</t>
  </si>
  <si>
    <t>OP1813.1.1.1-3</t>
  </si>
  <si>
    <t>OP1813.1.1.1-4</t>
  </si>
  <si>
    <t>OP1813.1.1.1-5</t>
  </si>
  <si>
    <t>OP1813.1.1.1-6</t>
  </si>
  <si>
    <t>OP1813.1.1.1-7</t>
  </si>
  <si>
    <t>OP1813.1.1.1-8</t>
  </si>
  <si>
    <t>OP1813.1.1.1-9</t>
  </si>
  <si>
    <t>OP1813.1.1.1-10</t>
  </si>
  <si>
    <t>OP1813.1.1.1-11</t>
  </si>
  <si>
    <t>OP1813.1.1.1-12</t>
  </si>
  <si>
    <t>OP1813.1.1.1-13</t>
  </si>
  <si>
    <t>OP1813.1.1.1-14</t>
  </si>
  <si>
    <t>OP1813.1.1.1-15</t>
  </si>
  <si>
    <t>OP1813.1.1.1-16</t>
  </si>
  <si>
    <t>OP1813.1.1.1-17</t>
  </si>
  <si>
    <t>OP1813.1.1.1-18</t>
  </si>
  <si>
    <t>OP1813.1.1.1-19</t>
  </si>
  <si>
    <t>OP1813.1.1.1-20</t>
  </si>
  <si>
    <t>OP1813.1.1.1-21</t>
  </si>
  <si>
    <t>OP1813.1.1.1-22</t>
  </si>
  <si>
    <t>OP1813.1.1.1-23</t>
  </si>
  <si>
    <t>OP1813.1.1.2-24</t>
  </si>
  <si>
    <t>OP1813.1.1.2-25</t>
  </si>
  <si>
    <t>OP1813.1.1.2-26</t>
  </si>
  <si>
    <t>OP1813.1.1.2-27</t>
  </si>
  <si>
    <t>OP1813.1.1.2-28</t>
  </si>
  <si>
    <t>OP1813.1.1.2-29</t>
  </si>
  <si>
    <t>OP1813.1.1.2-30</t>
  </si>
  <si>
    <t>OP1813.1.1.2-31</t>
  </si>
  <si>
    <t>OP1813.1.1.2-32</t>
  </si>
  <si>
    <t>OP1813.1.1.2-33</t>
  </si>
  <si>
    <t>OP1813.1.1.2-34</t>
  </si>
  <si>
    <t>OP1813.1.1.2-35</t>
  </si>
  <si>
    <t>OP1813.1.1.2-36</t>
  </si>
  <si>
    <t>OP1813.1.1.2-37</t>
  </si>
  <si>
    <t>OP1813.1.1.2-38</t>
  </si>
  <si>
    <t>OP1813.1.1.2-39</t>
  </si>
  <si>
    <t>OP1813.1.1.2-40</t>
  </si>
  <si>
    <t>OP1813.1.1.2-41</t>
  </si>
  <si>
    <t>OP1813.1.1.3-42</t>
  </si>
  <si>
    <t>OP1813.1.1.3-43</t>
  </si>
  <si>
    <t>OP1813.1.1.3-44</t>
  </si>
  <si>
    <t>OP1813.1.1.3-45</t>
  </si>
  <si>
    <t>OP1813.1.1.3-46</t>
  </si>
  <si>
    <t>OP1813.1.1.3-47</t>
  </si>
  <si>
    <t>OP1813.1.1.3-48</t>
  </si>
  <si>
    <t>OP1813.1.1.3-49</t>
  </si>
  <si>
    <t>OP1813.1.1.3-50</t>
  </si>
  <si>
    <t>OP1813.1.1.3-51</t>
  </si>
  <si>
    <t>OP1813.1.1.3-52</t>
  </si>
  <si>
    <t>OP1813.1.1.3-53</t>
  </si>
  <si>
    <t>OP1813.1.1.3-54</t>
  </si>
  <si>
    <t>OP1813.1.1.3-55</t>
  </si>
  <si>
    <t>OP1813.1.1.3-56</t>
  </si>
  <si>
    <t>OP1813.1.1.3-57</t>
  </si>
  <si>
    <t>OP1813.1.1.3-58</t>
  </si>
  <si>
    <t>OP1813.1.1.3-59</t>
  </si>
  <si>
    <t>OP1813.1.1.3-60</t>
  </si>
  <si>
    <t>OP1813.1.1.3-61</t>
  </si>
  <si>
    <t>OP1813.1.1.3-62</t>
  </si>
  <si>
    <t>OP1813.1.1.3-63</t>
  </si>
  <si>
    <t>OP1813.1.1.3-64</t>
  </si>
  <si>
    <t>OP1813.1.1.4-65</t>
  </si>
  <si>
    <t>OP1813.1.1.4-66</t>
  </si>
  <si>
    <t>OP1813.1.1.4-67</t>
  </si>
  <si>
    <t>OP1813.1.1.4-68</t>
  </si>
  <si>
    <t>OP1813.1.1.4-69</t>
  </si>
  <si>
    <t>OP1813.1.1.4-70</t>
  </si>
  <si>
    <t>OP1813.1.1.4-71</t>
  </si>
  <si>
    <t>OP1813.1.1.4-72</t>
  </si>
  <si>
    <t>OP1813.1.1.4-73</t>
  </si>
  <si>
    <t>OP1813.1.1.4-74</t>
  </si>
  <si>
    <t>OP1813.1.1.4-75</t>
  </si>
  <si>
    <t>OP1813.1.1.4-76</t>
  </si>
  <si>
    <t>OP1813.1.1.4-77</t>
  </si>
  <si>
    <t>OP1813.1.1.4-78</t>
  </si>
  <si>
    <t>OP1813.1.1.4-79</t>
  </si>
  <si>
    <t>OP1813.1.1.4-80</t>
  </si>
  <si>
    <t>OP1813.1.1.4-81</t>
  </si>
  <si>
    <t>OP1813.1.1.5-82</t>
  </si>
  <si>
    <t>OP1813.1.1.5-83</t>
  </si>
  <si>
    <t>OP1813.1.1.5-84</t>
  </si>
  <si>
    <t>OP1813.1.1.5-85</t>
  </si>
  <si>
    <t>OP1813.1.1.5-86</t>
  </si>
  <si>
    <t>OP1813.1.1.5-87</t>
  </si>
  <si>
    <t>OP1813.1.1.5-88</t>
  </si>
  <si>
    <t>OP1813.1.1.5-89</t>
  </si>
  <si>
    <t>OP1813.1.1.5-90</t>
  </si>
  <si>
    <t>OP1813.1.1.5-91</t>
  </si>
  <si>
    <t>OP1813.1.1.5-92</t>
  </si>
  <si>
    <t>OP1813.1.1.5-93</t>
  </si>
  <si>
    <t>OP1813.1.1.5-94</t>
  </si>
  <si>
    <t>OP1813.1.1.5-95</t>
  </si>
  <si>
    <t>OP1813.1.1.5-96</t>
  </si>
  <si>
    <t>OP1813.1.1.5-97</t>
  </si>
  <si>
    <t>OP1813.1.1.5-98</t>
  </si>
  <si>
    <t>OP1813.1.1.5-99</t>
  </si>
  <si>
    <t>OP1813.1.1.6-100</t>
  </si>
  <si>
    <t>OP1813.1.1.6-101</t>
  </si>
  <si>
    <t>OP1813.1.1.6-102</t>
  </si>
  <si>
    <t>OP1813.1.1.6-103</t>
  </si>
  <si>
    <t>OP1813.1.1.6-104</t>
  </si>
  <si>
    <t>OP1813.1.1.6-105</t>
  </si>
  <si>
    <t>OP1813.1.1.6-106</t>
  </si>
  <si>
    <t>OP1813.1.1.6-107</t>
  </si>
  <si>
    <t>OP1813.1.1.6-108</t>
  </si>
  <si>
    <t>OP1813.1.1.6-109</t>
  </si>
  <si>
    <t>OP1813.1.1.6-110</t>
  </si>
  <si>
    <t>OP1813.1.1.6-111</t>
  </si>
  <si>
    <t>OP1813.1.1.6-112</t>
  </si>
  <si>
    <t>OP1813.1.1.6-113</t>
  </si>
  <si>
    <t>OP1813.1.1.6-114</t>
  </si>
  <si>
    <t>OP1813.1.2.1-115</t>
  </si>
  <si>
    <t>OP1813.1.2.1-116</t>
  </si>
  <si>
    <t>OP1813.1.2.1-117</t>
  </si>
  <si>
    <t>OP1813.1.2.1-118</t>
  </si>
  <si>
    <t>OP1813.1.2.1-119</t>
  </si>
  <si>
    <t>OP1813.1.2.1-120</t>
  </si>
  <si>
    <t>OP1813.1.2.1-121</t>
  </si>
  <si>
    <t>OP1813.1.2.1-122</t>
  </si>
  <si>
    <t>OP1813.1.2.1-123</t>
  </si>
  <si>
    <t>OP1813.1.2.1-124</t>
  </si>
  <si>
    <t>OP1813.1.2.1-125</t>
  </si>
  <si>
    <t>OP1813.1.2.1-126</t>
  </si>
  <si>
    <t>OP1813.1.2.1-127</t>
  </si>
  <si>
    <t>OP1813.1.2.1-128</t>
  </si>
  <si>
    <t>OP1813.1.2.1-129</t>
  </si>
  <si>
    <t>OP1813.1.2.1-130</t>
  </si>
  <si>
    <t>OP1813.1.2.1-131</t>
  </si>
  <si>
    <t>OP1813.1.2.2-132</t>
  </si>
  <si>
    <t>OP1813.1.2.2-133</t>
  </si>
  <si>
    <t>OP1813.1.2.2-134</t>
  </si>
  <si>
    <t>OP1813.1.2.2-135</t>
  </si>
  <si>
    <t>OP1813.1.2.2-136</t>
  </si>
  <si>
    <t>OP1813.1.2.2-137</t>
  </si>
  <si>
    <t>OP1813.1.2.2-138</t>
  </si>
  <si>
    <t>OP1813.1.2.2-139</t>
  </si>
  <si>
    <t>OP1813.1.2.2-140</t>
  </si>
  <si>
    <t>OP1813.1.2.2-141</t>
  </si>
  <si>
    <t>OP1813.1.2.2-142</t>
  </si>
  <si>
    <t>OP1813.1.2.2-143</t>
  </si>
  <si>
    <t>OP1813.1.2.2-144</t>
  </si>
  <si>
    <t>OP1813.1.2.2-145</t>
  </si>
  <si>
    <t>OP1813.1.2.3-146</t>
  </si>
  <si>
    <t>OP1813.1.2.3-147</t>
  </si>
  <si>
    <t>OP1813.1.2.3-148</t>
  </si>
  <si>
    <t>OP1813.1.2.3-149</t>
  </si>
  <si>
    <t>OP1813.1.2.3-150</t>
  </si>
  <si>
    <t>OP1813.1.2.3-151</t>
  </si>
  <si>
    <t>OP1813.1.2.3-152</t>
  </si>
  <si>
    <t>OP1813.1.2.3-153</t>
  </si>
  <si>
    <t>OP1813.1.2.3-154</t>
  </si>
  <si>
    <t>OP1813.1.2.3-155</t>
  </si>
  <si>
    <t>OP1813.1.2.3-156</t>
  </si>
  <si>
    <t>OP1813.1.2.3-157</t>
  </si>
  <si>
    <t>OP1813.1.2.3-158</t>
  </si>
  <si>
    <t>OP1813.1.2.3-159</t>
  </si>
  <si>
    <t>OP1813.1.2.3-160</t>
  </si>
  <si>
    <t>OP1813.1.2.3-161</t>
  </si>
  <si>
    <t>OP1813.1.2.4-162</t>
  </si>
  <si>
    <t>OP1813.1.2.4-163</t>
  </si>
  <si>
    <t>OP1813.1.2.4-164</t>
  </si>
  <si>
    <t>OP1813.1.2.4-165</t>
  </si>
  <si>
    <t>OP1813.1.2.4-166</t>
  </si>
  <si>
    <t>OP1813.1.2.4-167</t>
  </si>
  <si>
    <t>OP1813.1.2.4-168</t>
  </si>
  <si>
    <t>OP1813.1.2.4-169</t>
  </si>
  <si>
    <t>OP1813.1.2.4-170</t>
  </si>
  <si>
    <t>OP1813.1.2.4-171</t>
  </si>
  <si>
    <t>OP1813.1.2.4-172</t>
  </si>
  <si>
    <t>OP1813.1.2.4-173</t>
  </si>
  <si>
    <t>OP1813.1.2.4-174</t>
  </si>
  <si>
    <t>OP1813.1.2.4-175</t>
  </si>
  <si>
    <t>OP1813.1.2.4-176</t>
  </si>
  <si>
    <t>OP1813.1.2.4-177</t>
  </si>
  <si>
    <t>OP1813.1.2.4-178</t>
  </si>
  <si>
    <t>OP1813.1.2.4-179</t>
  </si>
  <si>
    <t>OP1813.1.2.4-180</t>
  </si>
  <si>
    <t>OP1813.1.2.5-181</t>
  </si>
  <si>
    <t>OP1813.1.2.5-182</t>
  </si>
  <si>
    <t>OP1813.1.2.5-183</t>
  </si>
  <si>
    <t>OP1813.1.2.5-184</t>
  </si>
  <si>
    <t>OP1813.1.2.5-185</t>
  </si>
  <si>
    <t>OP1813.1.2.5-186</t>
  </si>
  <si>
    <t>OP1813.1.2.5-187</t>
  </si>
  <si>
    <t>OP1813.1.2.5-188</t>
  </si>
  <si>
    <t>OP1813.1.2.5-189</t>
  </si>
  <si>
    <t>OP1813.1.2.5-190</t>
  </si>
  <si>
    <t>OP1813.1.2.5-191</t>
  </si>
  <si>
    <t>OP1813.1.2.6-192</t>
  </si>
  <si>
    <t>OP1813.1.2.6-193</t>
  </si>
  <si>
    <t>OP1813.1.2.6-194</t>
  </si>
  <si>
    <t>OP1813.1.2.6-195</t>
  </si>
  <si>
    <t>OP1813.1.2.6-196</t>
  </si>
  <si>
    <t>OP1813.1.2.6-197</t>
  </si>
  <si>
    <t>OP1813.1.2.6-198</t>
  </si>
  <si>
    <t>OP1813.1.2.6-199</t>
  </si>
  <si>
    <t>OP1813.1.2.6-200</t>
  </si>
  <si>
    <t>OP1813.1.2.6-201</t>
  </si>
  <si>
    <t>OP1813.1.2.6-202</t>
  </si>
  <si>
    <t>OP1813.1.2.6-203</t>
  </si>
  <si>
    <t>OP1814.1.3.1-205</t>
  </si>
  <si>
    <t>OP1814.1.3.1-206</t>
  </si>
  <si>
    <t>OP1814.1.3.1-207</t>
  </si>
  <si>
    <t>OP1814.1.3.1-208</t>
  </si>
  <si>
    <t>OP1814.1.3.1-209</t>
  </si>
  <si>
    <t>OP1814.1.3.1-210</t>
  </si>
  <si>
    <t>OP1814.1.3.1-211</t>
  </si>
  <si>
    <t>OP1814.1.3.1-212</t>
  </si>
  <si>
    <t>OP1814.1.3.1-213</t>
  </si>
  <si>
    <t>OP1814.1.3.1-214</t>
  </si>
  <si>
    <t>OP1814.1.3.1-215</t>
  </si>
  <si>
    <t>OP1814.1.3.1-216</t>
  </si>
  <si>
    <t>OP1814.1.3.1-217</t>
  </si>
  <si>
    <t>OP1814.1.3.1-218</t>
  </si>
  <si>
    <t>OP1814.1.3.1-219</t>
  </si>
  <si>
    <t>OP1814.1.3.1-220</t>
  </si>
  <si>
    <t>OP1814.1.3.1-221</t>
  </si>
  <si>
    <t>OP1814.1.3.1-222</t>
  </si>
  <si>
    <t>OP1814.1.3.2-224</t>
  </si>
  <si>
    <t>OP1814.1.3.2-225</t>
  </si>
  <si>
    <t>OP1814.1.3.2-226</t>
  </si>
  <si>
    <t>OP1814.1.3.2-227</t>
  </si>
  <si>
    <t>OP1814.1.3.2-228</t>
  </si>
  <si>
    <t>OP1814.1.3.2-229</t>
  </si>
  <si>
    <t>OP1814.1.3.2-230</t>
  </si>
  <si>
    <t>OP1814.1.3.2-231</t>
  </si>
  <si>
    <t>OP1814.1.3.2-232</t>
  </si>
  <si>
    <t>OP1814.1.3.2-233</t>
  </si>
  <si>
    <t>OP1814.1.3.2-234</t>
  </si>
  <si>
    <t>OP1814.1.3.2-235</t>
  </si>
  <si>
    <t>OP1814.1.3.2-236</t>
  </si>
  <si>
    <t>OP1814.1.3.2-237</t>
  </si>
  <si>
    <t>OP1814.1.3.2-238</t>
  </si>
  <si>
    <t>OP1814.1.3.2-239</t>
  </si>
  <si>
    <t>OP1814.1.3.2-240</t>
  </si>
  <si>
    <t>OP1814.1.3.2-241</t>
  </si>
  <si>
    <t>OP1814.1.3.2-242</t>
  </si>
  <si>
    <t>OP1814.1.3.2-243</t>
  </si>
  <si>
    <t>OP1814.1.3.2-244</t>
  </si>
  <si>
    <t>OP1814.1.3.2-245</t>
  </si>
  <si>
    <t>OP1814.1.3.3-247</t>
  </si>
  <si>
    <t>OP1814.1.3.3-248</t>
  </si>
  <si>
    <t>OP1814.1.3.3-249</t>
  </si>
  <si>
    <t>OP1814.1.3.3-250</t>
  </si>
  <si>
    <t>OP1814.1.3.3-251</t>
  </si>
  <si>
    <t>OP1814.1.3.3-252</t>
  </si>
  <si>
    <t>OP1814.1.3.3-253</t>
  </si>
  <si>
    <t>OP1814.1.3.3-254</t>
  </si>
  <si>
    <t>OP1814.1.3.3-255</t>
  </si>
  <si>
    <t>OP1814.1.3.3-256</t>
  </si>
  <si>
    <t>OP1814.1.3.3-257</t>
  </si>
  <si>
    <t>OP1814.1.3.3-258</t>
  </si>
  <si>
    <t>OP1814.1.3.3-259</t>
  </si>
  <si>
    <t>OP1814.1.3.3-260</t>
  </si>
  <si>
    <t>OP1814.1.3.3-261</t>
  </si>
  <si>
    <t>OP1814.1.3.3-262</t>
  </si>
  <si>
    <t>OP1814.1.3.4-264</t>
  </si>
  <si>
    <t>OP1814.1.3.4-265</t>
  </si>
  <si>
    <t>OP1814.1.3.4-266</t>
  </si>
  <si>
    <t>OP1814.1.3.4-267</t>
  </si>
  <si>
    <t>OP1814.1.3.5-269</t>
  </si>
  <si>
    <t>OP1814.1.3.5-270</t>
  </si>
  <si>
    <t>OP1814.1.3.5-271</t>
  </si>
  <si>
    <t>OP1814.1.3.5-272</t>
  </si>
  <si>
    <t>OP1814.1.3.5-273</t>
  </si>
  <si>
    <t>OP1814.1.3.5-274</t>
  </si>
  <si>
    <t>OP1814.1.3.5-275</t>
  </si>
  <si>
    <t>OP1814.1.3.5-276</t>
  </si>
  <si>
    <t>OP1814.1.3.5-277</t>
  </si>
  <si>
    <t>OP1814.1.3.6-279</t>
  </si>
  <si>
    <t>OP1814.1.3.6-280</t>
  </si>
  <si>
    <t>OP1814.1.3.6-281</t>
  </si>
  <si>
    <t>OP1814.1.3.6-282</t>
  </si>
  <si>
    <t>OP1814.1.3.6-283</t>
  </si>
  <si>
    <t>OP1814.1.3.6-284</t>
  </si>
  <si>
    <t>OP1814.1.3.6-285</t>
  </si>
  <si>
    <t>OP1814.1.3.6-286</t>
  </si>
  <si>
    <t>OP1814.1.3.6-287</t>
  </si>
  <si>
    <t>OP1814.1.3.6-288</t>
  </si>
  <si>
    <t>A Capitania do Ceará contém 16 Villas, a saber.</t>
  </si>
  <si>
    <t>Minas Gearaes.</t>
  </si>
  <si>
    <t>Ilha de Santa Catharina.</t>
  </si>
  <si>
    <t>["Recebemos a Carta seguinte…"] Carta de J. S. R. ao Redactor do Patriota.</t>
  </si>
  <si>
    <t xml:space="preserve">["Roma 10 de Agosto"] Bulla para o restabelecimento dos Jesuitas.    </t>
  </si>
  <si>
    <t>Ode aos Annos do Illustrissimo e Excellentissimo Conde da Ponte, Governador e Capitão General da Capitania da Bahia</t>
  </si>
  <si>
    <t>["O Auctor da Memoria sobre a cultura…"] Correspondencia sobre o producto do Café.</t>
  </si>
  <si>
    <t>Correspondencia. ["Sr. Redactor. Prometti-lhe, como se lê no seu n. 6…"]</t>
  </si>
  <si>
    <t>["Ill.mo Sr. Secretario da Sociedade Auxiliadora…"] Carta dirigida ao Secretario da Sociedade Auxiliadora da Industria Nacional, pelo Redactor deste Periodico.</t>
  </si>
  <si>
    <t>["Ill.mo Sr. Redactor do Auxiliador…"] Carta do Secretario da dita Sociedade ao mesmo.</t>
  </si>
  <si>
    <t>Gyrofe ou cravo da India.</t>
  </si>
  <si>
    <t>Discurso do Sr. Dr. Meirelles dirigido à Sociedade, na Sessão de 19 de Agosto de 1833.</t>
  </si>
  <si>
    <t>["Mr. Lisfranc communicou à huma das ultimas sessões da Academia de…"]</t>
  </si>
  <si>
    <t>["Todos os annos observa-se na Capital do Império, assim como em todo o littoral…"]</t>
  </si>
  <si>
    <t>Descripção do Processo de Autochrosia, com auxilio do qual se obtem huma nova pintua a oleo.</t>
  </si>
  <si>
    <t>Conservação das Carnes.</t>
  </si>
  <si>
    <t>Descripção da arvore de cera.</t>
  </si>
  <si>
    <t>Applicação do vapor à agricultura.</t>
  </si>
  <si>
    <t>Novo meio de melhorar o ferro</t>
  </si>
  <si>
    <t>Processo de M. Dixon para destruir toda a possibilidade de explosão nas cadeiras de vapor</t>
  </si>
  <si>
    <t>Ao editor do Jornal de Mineração.</t>
  </si>
  <si>
    <t>Communicação.</t>
  </si>
  <si>
    <t>Transplantação de arvores.</t>
  </si>
  <si>
    <t>Novo processo para livrar arvores frutiferos dos estragos dos insetos.</t>
  </si>
  <si>
    <t>["O Pastor Agricola Golinitz tem enxertado desde 1804…"]</t>
  </si>
  <si>
    <t>Da destruição do pulgão lanigero.</t>
  </si>
  <si>
    <t>Maneira de branquear de prompto do canhamo e linho, que se quer empregar nos usos domesticos.</t>
  </si>
  <si>
    <t>Descripção dos methodos especiaes, de que se deve fazer uso com cada substancia, que se quer conservar. (Continuada do nosso N.º 5.º)</t>
  </si>
  <si>
    <t>Licor desalterante para uso das pessoas, que tiveram de fazer grandes caminhadas a pé.</t>
  </si>
  <si>
    <t>Arboricultura. Capitulo segundo. Do clima, da exposição do terreno conveniente à amoreira.</t>
  </si>
  <si>
    <t>Branqueamento instantaneo e sem fogo do sal marinho pardo para o uso domestico.</t>
  </si>
  <si>
    <t>Meio de limpar o verniz das salas e quartos, especialmente a parte interior das portas.</t>
  </si>
  <si>
    <t>Do tabaco, e sua influencia sobre a saude.</t>
  </si>
  <si>
    <t>Branqueamento da lã.</t>
  </si>
  <si>
    <t>Util publicação litteraria.</t>
  </si>
  <si>
    <t>Cathecismo d'Agricultura.</t>
  </si>
  <si>
    <t>Zinco Inoxidavel.</t>
  </si>
  <si>
    <t>Chimica</t>
  </si>
  <si>
    <t>Cartas e documentos a que se refere a sessão acima.</t>
  </si>
  <si>
    <t>Pontes suspensas.</t>
  </si>
  <si>
    <t>Pomologia Physiologica.</t>
  </si>
  <si>
    <t>Estado d'Agricultura na Europa.</t>
  </si>
  <si>
    <t>Meio de se conseguir que a tinta não alastre.</t>
  </si>
  <si>
    <t>Victor Broussais</t>
  </si>
  <si>
    <t>["O Dr. Herisson em huma nota que vem na Revista medica Franceza…"]</t>
  </si>
  <si>
    <t>["Hum Jornal Medico Inglez exprime-se desta maneira sobre…"]</t>
  </si>
  <si>
    <t>["O Doutor Kahlaesias, medico Allemão, indica o seguinte tratamento…"]</t>
  </si>
  <si>
    <t>["M. Dumas lêo na Academia…"]</t>
  </si>
  <si>
    <t>["Mr. Rontet, Medico em Anvers…"]</t>
  </si>
  <si>
    <t>["Mr. Jemina de Mondovi…"]</t>
  </si>
  <si>
    <t>["Mr. Caventou appresentou ao…"]</t>
  </si>
  <si>
    <t>["Mr. Tilhol enviou à Academia das Sciencias de Paris…"]</t>
  </si>
  <si>
    <t>Cirurgia. Algalia a obturador movel; instrumento inventado por M. Cazeneuve.</t>
  </si>
  <si>
    <t>["Cornaro, autor Italiano, que escreveo no seculo XVI alguns…"]</t>
  </si>
  <si>
    <t>["A nossa cahinca ou raiz preta, vai adquirindo…"]</t>
  </si>
  <si>
    <t>["A dysenteria he huma das molestias mais frequentes…"]</t>
  </si>
  <si>
    <t>["Em hum dos Jornaes medicos de França lembra-se ao…"]</t>
  </si>
  <si>
    <t>Relatorio do Sr. Sigaud, sobre a Memoria do Sr. João Antonio d’Azevedo, relativa ás bexigas; lido na Sociedade de Medicina, em 1.º de Dezembro de 1832.</t>
  </si>
  <si>
    <t>Relatorio do Sr. Cuissart sobre a Memoria do Sr. Gamard acerca do Magnetismo animal: lido na Sociedade de Medicina de Rio de Janeiro em 6 de Outubro de 1832.</t>
  </si>
  <si>
    <t>Relatorio do Sr. Octaviano Maria da Roza sobre huma Memoria do Sr. Calderoni, a respeito de hum novo methodo de extrahir a placenta proposto pelo Professor Mojon de Genova. (Lido na Sociedade de Medicina em 26 de Maio de 1832).</t>
  </si>
  <si>
    <t>Relatorio da Commissão de Salubridade Geral da Sociedade de Medicina do Rio de Janeiro, sobre as causas de infecção da atmosphera d’esta Cidade, lido e approvado na Sessão de 17 de Dezembro de 1831.</t>
  </si>
  <si>
    <t>["Quando nos occpamos da Medicina com certa liberdade de vistas…"]</t>
  </si>
  <si>
    <t>["A habitação nas grandes cidades…"]</t>
  </si>
  <si>
    <t>["Recommendados muito aos que commeção o exercicio da Medicina…"]</t>
  </si>
  <si>
    <t>["Os preceitos principaes da Medicina hyppocratica podem ser…"]</t>
  </si>
  <si>
    <t>["Na época em que o systema da irritação tem allucinado alguns Medicos presumidos…"]</t>
  </si>
  <si>
    <t>Relatorio sobre a Secção Medica da Sociedade Academica de Nantes, a semelhança topographica do territorio do Departamento da Loire inferior, e de suas molestias com a Provincia do Rio de Janeiro, e sobre a Therapeutica, e opiniões dos Medicos d’aquelle paiz: Lido na Sessão de 25 de Fevereiro pelo Dr. Luiz Vicente De-Simoni, Secretario, e Membro Titular.</t>
  </si>
  <si>
    <t>["O Regente, em Nome do Imperador o Senhor D. Pedro Segundo"] Decreto do Corpo Legislativo sobre os Formados em Paiz Extrangeiro.</t>
  </si>
  <si>
    <t>Reflexões sobre esta declaração.</t>
  </si>
  <si>
    <t>Instituição vaccinica do Rio de Janeiro</t>
  </si>
  <si>
    <t>DS1835.1.1.21-152</t>
  </si>
  <si>
    <t>DS1835.1.1.22-156</t>
  </si>
  <si>
    <t>DS1835.1.1.23-164</t>
  </si>
  <si>
    <t>DS1835.1.1.24-174</t>
  </si>
  <si>
    <t>DS1835.1.1.25-179</t>
  </si>
  <si>
    <t>AIN1833.1.1.1-1</t>
  </si>
  <si>
    <t>Meio para se empedir que se esquente ou arda a farinha de milho.</t>
  </si>
  <si>
    <t>Extracto da Acta.</t>
  </si>
  <si>
    <t>Vantagens da vida campestre, em resposta à carta, em que de Lisboa se despedia, devendo partir para a Bahia, Paulo José de Mello, escritas de Paris aos 21 de Maio de 1806. Por B.***</t>
  </si>
  <si>
    <t xml:space="preserve">Couto, José Vieira. Memória sobre as salitreiras naturaes de Monte Rorigo: maneira de as auxiliar por meio das artificiaes; refinaria do nitrato de potassa, ou salitre: escrita no anno de 1803. Rio de Janeiro: Impressão Régia, 1809. </t>
  </si>
  <si>
    <t xml:space="preserve">Couto, José Vieira. “Itinerário mineralógico, observado na occasião da diligência de Monte Rorigo.” In Memória sobre as salitreiras naturaes de Monte Rorigo: maneira de as auxiliar por meio das artificiaes; refinaria do nitrato de potassa, ou salitre: escrita no anno de 1803, 51–61. Rio de Janeiro: Impressão Régia, 1809. </t>
  </si>
  <si>
    <t>Methodo de depurar todas as sortes de azeites, por Curaudau.</t>
  </si>
  <si>
    <t>["Em huma questão..."] Questão grammatical sobre as Syllabas por S.P.F.</t>
  </si>
  <si>
    <t>"Puissance de La Volonte d'un homme," Le Magasin Universel (Paris) 1, no. 1 (21 October 1833): 2–3.</t>
  </si>
  <si>
    <t>"L'homoeopathie," Le Magasin Universel (Paris) 1, no. 16 (6 February 1834): 126–127.</t>
  </si>
  <si>
    <t xml:space="preserve">Relatorio das molestias, reinantes tratadas no Hospital da Marinha desta Corte, nos tres mezes de Julho, Agosto, e Setembro. </t>
  </si>
  <si>
    <t>"Nouveau moyen préservatif de la scarlatine," Journal des Connaissances Medico Chirurgicales (Paris) 2, no. 6 (February 1835): 201</t>
  </si>
  <si>
    <t>"Sur le traitement de la fièvre typhoïde (dothinentérie) par les évacuans." Archives Générales de Médecine (Paris) 3 series, 1, no. 1 (January 1837): 19-29.</t>
  </si>
  <si>
    <t>"On vient de terminer, à Athènes, l'organisation…" Journal des Connaissances Medico Chirurgicales (Paris) 4, no. 3 (October 1836): 475.</t>
  </si>
  <si>
    <t>Experiencias de Thilorier sobre a solidez do acido carbonico e do mercurio.</t>
  </si>
  <si>
    <t xml:space="preserve"> "Les belles expériences de M. Thilorier sur l'acide…" Journal des Connaissances Medico Chirurgicales (Paris) 4, no. 1 (January 1837): 42.</t>
  </si>
  <si>
    <t>"Enfant électrique." Journal des Connaissances Medico Chirurgicales (Paris) 4, no. 5 (May 1837): 226.</t>
  </si>
  <si>
    <t>"On sait combien il est quelquefois difficile…" Journal des Connaissances Medico Chirurgicales (Paris) 2, no. 8 (April 1835): 288.</t>
  </si>
  <si>
    <t xml:space="preserve">“Exposé du seul traitement assuré et constaté par une nombreuse expérience de la morsure des chiens, loups, chats, renards et autres animaux enragés.” Journal de médecine, chirurgie, pharmacie (Paris) 89 (October 1791): 289–291. </t>
  </si>
  <si>
    <t>"Destruction des limaces." Journal des connaissances usuelles et pratiques (Paris) 13, no. 71 (February 1831): 67–68.</t>
  </si>
  <si>
    <t>"6º Moyen. Procédé de M. Thénard, modifé." Journal des connaissances usuelles et pratiques (Paris) 13, no. 70 (January 1831): 21–22.</t>
  </si>
  <si>
    <t>Amelhoramento das raças de animaes.</t>
  </si>
  <si>
    <t>"Amélioration des races." Journal belge des connaissances utiles (Bruxelles) 1 (1832): 64–65.</t>
  </si>
  <si>
    <t>"5º Moyen. Dépuration des toutes sortes d'huiles et de beurre; par Curaudau." Journal des connaissances usuelles et pratiques (Paris) 13, no. 70 (January 1831): 20–21.</t>
  </si>
  <si>
    <t>"Reméde contre les brulures." Journal des connaissances utiles (Paris) 2, 1–2 (January–February 1832): 38.</t>
  </si>
  <si>
    <t>"Observations sur la culture et les usages du soleil ou grand tournesol." Journal des connaissances usuelles et pratiques (Paris) 14, no. 80 (November 1831): 193–196.</t>
  </si>
  <si>
    <t>"Méthode anglaise pour conserver les jambons et les langues." Journal belge des connaissances utiles (Bruxelles) 1 (1831–1832): 218.</t>
  </si>
  <si>
    <t>"Deux médecins des armées prussiennes…" Journal des Connaissances Medico Chirurgicales (Paris) 2, no. 8 (April 1835): 290</t>
  </si>
  <si>
    <t>"IV. Hôpital de la Pitié. — Clinique de M. Gendrin. — Leçon sur le traitement du rhumatisme aigu intense." Journal des Connaissances Medico Chirurgicales (Paris) 4 (February 1837): 65–67.</t>
  </si>
  <si>
    <t>["Sr. Redactor da Revista Medica Fluminense. Vendo todos os dias…"]</t>
  </si>
  <si>
    <t>[P.S. "Vimos no Jornal do Commercio de 22 de Setembro hum annuncio…"]</t>
  </si>
  <si>
    <t>["O Sr. Renucci, discipulo de Mr. Alibert, e membro da Sociedade dos…"]</t>
  </si>
  <si>
    <t>["Subscriptor da interessante Revista Medica Fluminense, que vós…"]</t>
  </si>
  <si>
    <t>["No dia de 9 de Junho de 1835 na Ilha de Paquetá foi o Dr. José Martins da Cruz Jobim…"]</t>
  </si>
  <si>
    <t>[P.S. "Com este numero terminamos o nosso anno de redacção…"]</t>
  </si>
  <si>
    <t>Causa dos effeitos perniciosos do sereno.</t>
  </si>
  <si>
    <t>"Coupe des cuirs, imperméabilité des semmelles." Journal des connaissances utiles (Paris) 3, no. 4 (April 1833): 112.</t>
  </si>
  <si>
    <t>Fecundidade extraordinaria.</t>
  </si>
  <si>
    <t>Peso do homem em differentes idades.</t>
  </si>
  <si>
    <t>Observação sobre o volvo curado pela introducção de uma sonda pelo ânus, feita pelo Dr. Meirelles em 1834.</t>
  </si>
  <si>
    <t>Chimica.</t>
  </si>
  <si>
    <t>Noticias das Sciencias Accessorias.</t>
  </si>
  <si>
    <t>Receita para envelhecer os vinhos.</t>
  </si>
  <si>
    <t>Cerveja caseira.</t>
  </si>
  <si>
    <t>Formula de hum remedio contra as dores de garganta.</t>
  </si>
  <si>
    <t>Pomada que obsta à cahida dos cabelos.</t>
  </si>
  <si>
    <t>Receita para que o leite não azede.</t>
  </si>
  <si>
    <t>Homens uteis — Beauvisage.</t>
  </si>
  <si>
    <t>Descripção da Carnauba, do Buriti, da Seringa e do Catolé, com a exposição das suas propriedades; remettido tudo do Ceará, com as sementes dessas plantas, pelo Exm. Presidente da Provincia, como consta da acta da sessão n.º 213.</t>
  </si>
  <si>
    <t>Extracto da carta do Sr. João da Silveira Caldeira, de que trata a sessão n.º 223.</t>
  </si>
  <si>
    <t>Sobre a mina de carvão de pedra em Camaragibe na provincia das Alagoas.</t>
  </si>
  <si>
    <t>Memoria sobre estradas.</t>
  </si>
  <si>
    <t>Fabricação dos tijolos em grande, por meios mechanicos.</t>
  </si>
  <si>
    <t>Origem da arte de lustrar a ceda.</t>
  </si>
  <si>
    <t>Fabricação dos estofos de seda por meio do vapor.</t>
  </si>
  <si>
    <t>Mathieu Bonnafaus</t>
  </si>
  <si>
    <t>Relatorio recitado em a sessão publica da assembléa geral da Sociedade Auxiliadora da industria nacional do Rio de Janeiro, em o dia 18 de agosto de 1839, pelo seu secretario interino Lino Antonio Rebello.</t>
  </si>
  <si>
    <t>Sessão publica da assembléa geral da Sociedade Auxiliadora da industria nacional em o dia 18 de agosto de 1839.</t>
  </si>
  <si>
    <t>Sessão N.º 219 do dia 4 de agosto de 1839</t>
  </si>
  <si>
    <t>Sessão N.º 216 do dia 6 de julho de 1839</t>
  </si>
  <si>
    <t>Sessão N.º 217 do dia 20 de julho de 1839</t>
  </si>
  <si>
    <t>Sessão N.º 218 do dia 25 de julho de 1839</t>
  </si>
  <si>
    <t>Oscar Leclerc-Thouin</t>
  </si>
  <si>
    <t>Relação das Plantas exoticas e de especiarias, cultivadas no Real Jardim da Lagua de Freitas, e transportadas da Ilha de França, pelo Chefe de Divisão Luiz d'Abreu.</t>
  </si>
  <si>
    <t>Hygiene Publica. ["A passagem da Cholera para a America do norte, aonde consta…"]</t>
  </si>
  <si>
    <t>Variedades. ["Huma nova Sociedade denominada de Instrucção Medica acaba de ser…"]</t>
  </si>
  <si>
    <t>Discurso do Sr. Presidente Octaviano Maria da Rosa, lido na Sessão de 7 de Maio de 1831.</t>
  </si>
  <si>
    <t>["A Academia Medico-Cirurgica d'esta Corte…"]</t>
  </si>
  <si>
    <t>["Chamamos a attenção do Governo; e das Authoridades…"]</t>
  </si>
  <si>
    <t>["A Sociedade de Medicina do Rio de Janeiro tendo…"]</t>
  </si>
  <si>
    <t>["A Sessão publica annual da Sociedade de Medicina…"]</t>
  </si>
  <si>
    <t>Medicina.</t>
  </si>
  <si>
    <t>Relatorio.</t>
  </si>
  <si>
    <t>Observações.</t>
  </si>
  <si>
    <t>Sciencias Medicas.</t>
  </si>
  <si>
    <t>Materia medica brasileira.</t>
  </si>
  <si>
    <t>“Remède pour guérir les bêtes à cornes de la diarrhée.” Journal des connaissances usuelles et pratiques (Paris) 14, no. 80 (November 1831): 205–6.</t>
  </si>
  <si>
    <t>Considerações sobre a liberdade da imprensa, continuada de pag. 84 do N.º 1.º.</t>
  </si>
  <si>
    <t>Cordier, J. “Extrait d’un mémoire sur les canaux d’Égypte.” Revue scientifique et industrielle (Paris) 2 (1840): 372–391.</t>
  </si>
  <si>
    <t>“Sur l’action de l’acide prussique.” Gazette médicale de Paris (Paris) 2, no. 40 (1 October 1831): 342.</t>
  </si>
  <si>
    <t>Repertory of Arts, &amp;cc. n.º 125</t>
  </si>
  <si>
    <t>Memoria sobre a cultura dos algodoeiros</t>
  </si>
  <si>
    <t>Jornal de Physica</t>
  </si>
  <si>
    <t>Panorama</t>
  </si>
  <si>
    <t>Traduzida de Metastasio por Alexandre de Gusmão.</t>
  </si>
  <si>
    <t>D.J.B.</t>
  </si>
  <si>
    <t>S.P.F.</t>
  </si>
  <si>
    <t>S.r…; D.B.B.</t>
  </si>
  <si>
    <t>Fr. Archangelo de Ancona</t>
  </si>
  <si>
    <t>Chetwynd</t>
  </si>
  <si>
    <t>Gonzaga</t>
  </si>
  <si>
    <t>M. J. S. A.</t>
  </si>
  <si>
    <t>B***</t>
  </si>
  <si>
    <t>O Professor de Filosofia de Vila Rica</t>
  </si>
  <si>
    <t>A. do R. F.</t>
  </si>
  <si>
    <t>J. J. de S. G.</t>
  </si>
  <si>
    <t>A. da R. F.</t>
  </si>
  <si>
    <t>G. B. de E.</t>
  </si>
  <si>
    <t>Redactores</t>
  </si>
  <si>
    <t>C. M. da C.</t>
  </si>
  <si>
    <t>M. F. Lallemand</t>
  </si>
  <si>
    <t>E. L. Pereyra, D. M. P.</t>
  </si>
  <si>
    <t>J. F. Tavares</t>
  </si>
  <si>
    <t>Giornale de Brugnatelli</t>
  </si>
  <si>
    <t>Jornal de Pharmacia de Paris</t>
  </si>
  <si>
    <t>Revue Medicale, Octobre 1825</t>
  </si>
  <si>
    <t>N.T.</t>
  </si>
  <si>
    <t>Jornal de Configliachi, e Brugnatelli</t>
  </si>
  <si>
    <t>Annals of Philosophy</t>
  </si>
  <si>
    <t>Journal de pharmacie et des sciences accessoires</t>
  </si>
  <si>
    <t>Geornale de Pharmacia, et de Chimica de Cattaneo, junho de 1824</t>
  </si>
  <si>
    <t>M. Pariset</t>
  </si>
  <si>
    <t>Journal Complementaire des Sciences Medicales</t>
  </si>
  <si>
    <t>Zimmermann, traité de l'experience</t>
  </si>
  <si>
    <t>F. M. Bastos</t>
  </si>
  <si>
    <t>A. Bonnet</t>
  </si>
  <si>
    <t>J. Roux</t>
  </si>
  <si>
    <t>The Lancet</t>
  </si>
  <si>
    <t>Journal de Pharmacie de Paris</t>
  </si>
  <si>
    <t>Recamier</t>
  </si>
  <si>
    <t>Formulario de M. Magendie</t>
  </si>
  <si>
    <t xml:space="preserve">Archivos geraes de Medicina, Jornal Universal, Jornal Complementar, Revista Medica </t>
  </si>
  <si>
    <t>Edimburgh Medical and Surgical Journal, october 1825</t>
  </si>
  <si>
    <t>Revista de Edimburgo</t>
  </si>
  <si>
    <t>M. Toulmouche</t>
  </si>
  <si>
    <t>M. Bouyer</t>
  </si>
  <si>
    <t>M. Deslandes</t>
  </si>
  <si>
    <t>M. Rouzet</t>
  </si>
  <si>
    <t>M. Bayle</t>
  </si>
  <si>
    <t>T. Lavagna</t>
  </si>
  <si>
    <t>M. Dugivier</t>
  </si>
  <si>
    <t>J.B.</t>
  </si>
  <si>
    <t>Annaes da Med. Physiol. Septembro, de 1826</t>
  </si>
  <si>
    <t>Colleção de Memorias de Med., de Cirurg., e de Pharm., 1826, T. 13, pag. 240 e 242</t>
  </si>
  <si>
    <t>Annales de la médecine physiologique</t>
  </si>
  <si>
    <t>Capuron</t>
  </si>
  <si>
    <t>M. J.-J. Virey</t>
  </si>
  <si>
    <t>The London Medical and physical Journal, oct. 1826, p. 340 et 342</t>
  </si>
  <si>
    <t>M. Magendie</t>
  </si>
  <si>
    <t>Journal des sciences et des institutions medicales en Europe et en Amerique etc. etc, 1 vol. 1827, pag. 266</t>
  </si>
  <si>
    <t>F. Magendie</t>
  </si>
  <si>
    <t>M. Amussat</t>
  </si>
  <si>
    <t>Jornal de Physiologie experimentale e Pathologie de M. Magendie = 1826 = à Paris</t>
  </si>
  <si>
    <t>Leaõ Marchant</t>
  </si>
  <si>
    <t>The American Medical Review</t>
  </si>
  <si>
    <t>The north american Medical and surgical Journal, april, 1826, p.466</t>
  </si>
  <si>
    <t>P…</t>
  </si>
  <si>
    <t>M. Laugier</t>
  </si>
  <si>
    <t>Rapport des travaux de l'Acad. de Marseille, par le docteur Fabre, sec. general.</t>
  </si>
  <si>
    <t>Journal de Pharmacie et des Sciences Accessoires. Juillet 1826 à Paris</t>
  </si>
  <si>
    <t>Doutor Geronimi</t>
  </si>
  <si>
    <t>Professor Lisfranc</t>
  </si>
  <si>
    <t>E. S. A.</t>
  </si>
  <si>
    <t>M. S. A.</t>
  </si>
  <si>
    <t>F. M. S. A.</t>
  </si>
  <si>
    <t>L. Ch. Roche</t>
  </si>
  <si>
    <t>Charbonnier</t>
  </si>
  <si>
    <t>Rouvière</t>
  </si>
  <si>
    <t>Revue Trimestrielle</t>
  </si>
  <si>
    <t>Jornal dos conhecimentos usuaes &amp;c. Diario do Governo de 7 de Agosto de 1832</t>
  </si>
  <si>
    <t>Tempo, n. 70</t>
  </si>
  <si>
    <t>X.</t>
  </si>
  <si>
    <t>Imbert</t>
  </si>
  <si>
    <t>Jornal do Commercio, n. 20</t>
  </si>
  <si>
    <t>Um Negociante do Brasil</t>
  </si>
  <si>
    <t>Correio Official, n. 60</t>
  </si>
  <si>
    <t>Pierre-Louis du Couëdic de Villeneuve, La ruche pyramidale, ou la ruche écossaise de M. de la Bourdonnaye, enrichie d’un troisième panier</t>
  </si>
  <si>
    <t>Correio Official, n. 69</t>
  </si>
  <si>
    <t>Jornal do Commercio, n. 184</t>
  </si>
  <si>
    <t>Jornal dos Conhecimentos Uteis, Maio 1833, Arcana of Science and Artes, 1833, Correio Official, n. 116</t>
  </si>
  <si>
    <t>Annaes de Chimica, Correio Official, n. 110</t>
  </si>
  <si>
    <t>M. J. R. F.</t>
  </si>
  <si>
    <t>F. S. Constanço</t>
  </si>
  <si>
    <t>Jornal das Sciencias e Artes</t>
  </si>
  <si>
    <t>Mr. Delaguette</t>
  </si>
  <si>
    <t>Tratado de Mr. Delaguette</t>
  </si>
  <si>
    <t>Dicionario d'Agricultura, Conde de Nauchatau (1828)</t>
  </si>
  <si>
    <t>Annaes de Chimica</t>
  </si>
  <si>
    <t>Philosophical Magazine</t>
  </si>
  <si>
    <t>Mr. Lefevre</t>
  </si>
  <si>
    <t>Journal des Connaissances Usuelles et Pratiques</t>
  </si>
  <si>
    <t>J. A. Lisboa</t>
  </si>
  <si>
    <t>Diário Fluminsense</t>
  </si>
  <si>
    <t>Investigador Portuguez em Inglaterra</t>
  </si>
  <si>
    <t>Dr. J. B. S.</t>
  </si>
  <si>
    <t>Propagador da Industria Rio Grandense</t>
  </si>
  <si>
    <t>Jornal da Agricultura da Bahia</t>
  </si>
  <si>
    <t>J. C. G.</t>
  </si>
  <si>
    <t>Jornal dos Conhecimentos Uzuaes</t>
  </si>
  <si>
    <t>Moneuse de Dijon</t>
  </si>
  <si>
    <t>J. dos Conh. Uteis</t>
  </si>
  <si>
    <t>F. Minor</t>
  </si>
  <si>
    <t>Annaes das Sciencias das Artes e das Letras</t>
  </si>
  <si>
    <t>M. J. de O.</t>
  </si>
  <si>
    <t>Courrier Fr.</t>
  </si>
  <si>
    <t>J. A. T. R.</t>
  </si>
  <si>
    <t>Propagador da Industria Rio-Grandense; J. dos Conhecimentos Usuaes</t>
  </si>
  <si>
    <t>Jorn. dos Conh. Uteis</t>
  </si>
  <si>
    <t>Ornytophago</t>
  </si>
  <si>
    <t>American Farmer</t>
  </si>
  <si>
    <t>C. de G</t>
  </si>
  <si>
    <t>Journal des Connaissances utiles</t>
  </si>
  <si>
    <t>Mysocapnos</t>
  </si>
  <si>
    <t>Père de Famille</t>
  </si>
  <si>
    <t>Semanario de Agricultura y Artes</t>
  </si>
  <si>
    <t>O Chronista</t>
  </si>
  <si>
    <t>Worcester Herald</t>
  </si>
  <si>
    <t>Register of Arts</t>
  </si>
  <si>
    <t>José Carneiro</t>
  </si>
  <si>
    <t>Monitor Campista</t>
  </si>
  <si>
    <t>Soares Francisco</t>
  </si>
  <si>
    <t>Curso de Agricultura</t>
  </si>
  <si>
    <t>H. C. Dyon</t>
  </si>
  <si>
    <t>Novo Curso de Agricultura</t>
  </si>
  <si>
    <t>Magasin Pittoresque</t>
  </si>
  <si>
    <t>D.M.</t>
  </si>
  <si>
    <t>Mr. Moleon</t>
  </si>
  <si>
    <t>M. Thosse</t>
  </si>
  <si>
    <t>A.C.</t>
  </si>
  <si>
    <t>Limouzin- La Mothe</t>
  </si>
  <si>
    <t>J. C. Barros.</t>
  </si>
  <si>
    <t>Naut. Mag.</t>
  </si>
  <si>
    <t>Agronomo</t>
  </si>
  <si>
    <t>L. B.</t>
  </si>
  <si>
    <t>New England Farmer</t>
  </si>
  <si>
    <t>Conde Devierville</t>
  </si>
  <si>
    <t>Visconde Dutoict</t>
  </si>
  <si>
    <t>V. Dutoict</t>
  </si>
  <si>
    <t>Mosaico</t>
  </si>
  <si>
    <t>Pistorius</t>
  </si>
  <si>
    <t>Maíson Rustique de Siecle XIX</t>
  </si>
  <si>
    <t>L'art du Blanchiment de Pajot des Charmes</t>
  </si>
  <si>
    <t>Messager</t>
  </si>
  <si>
    <t>Southern Agriculturist</t>
  </si>
  <si>
    <t>Jornal dos Debates de Paris</t>
  </si>
  <si>
    <t>J. B. Midosi</t>
  </si>
  <si>
    <t>Manual do Jardineiro</t>
  </si>
  <si>
    <t>Revue Britannique</t>
  </si>
  <si>
    <t>Moniteur de la Propriete et de l'Agriculture</t>
  </si>
  <si>
    <t>Uma revista do México</t>
  </si>
  <si>
    <t>Journal Le Tems</t>
  </si>
  <si>
    <t>F. B. G.</t>
  </si>
  <si>
    <t>M. Disê</t>
  </si>
  <si>
    <t>Mining Journal</t>
  </si>
  <si>
    <t>Moniteur de la Propriete et de L'Agriculture</t>
  </si>
  <si>
    <t>France Industrielle</t>
  </si>
  <si>
    <t>Doutor Al. Donné</t>
  </si>
  <si>
    <t>Journal de Agriculture Pratique</t>
  </si>
  <si>
    <t>Coronel Peréa</t>
  </si>
  <si>
    <t>C. B. de M.</t>
  </si>
  <si>
    <t>J. Randoing</t>
  </si>
  <si>
    <t>Jornal dos Trabalhos da Academia da Industria Agricola, Manufactureira e Commercial</t>
  </si>
  <si>
    <t>Compêndio da Agricultura</t>
  </si>
  <si>
    <t>O Panorama</t>
  </si>
  <si>
    <t>L. de M.</t>
  </si>
  <si>
    <t>F. J. P. Rubião</t>
  </si>
  <si>
    <t>História do Império da China e da Tartaria</t>
  </si>
  <si>
    <t>Memorias de Agricultura</t>
  </si>
  <si>
    <t>Jay</t>
  </si>
  <si>
    <t>Sonton</t>
  </si>
  <si>
    <t>J. B.</t>
  </si>
  <si>
    <t>R.</t>
  </si>
  <si>
    <t>Debray</t>
  </si>
  <si>
    <t>J. H. da C. R.</t>
  </si>
  <si>
    <t>The public ledger and Newfoundland, general advertiser</t>
  </si>
  <si>
    <t>Ann. Soc. d'Hort. Jan.</t>
  </si>
  <si>
    <t>Clinica de M. Dupuytren (1833)</t>
  </si>
  <si>
    <t>Annaes de hygiene publica, janeiro</t>
  </si>
  <si>
    <t>Académie Royale de Médecine in Paris, 5 de maio</t>
  </si>
  <si>
    <t>Bull. Gen. de Therap. 30 de abril</t>
  </si>
  <si>
    <t>Journ. des Conn. Usuelles</t>
  </si>
  <si>
    <t>Rapport chirurgical de M. Roux, publicado nos Mémoires de l’Académie Royale de Médecine, ano de 1834.</t>
  </si>
  <si>
    <t>Reveillé Parise. Mem. del’Acad. Roy. de Med. pag. 288</t>
  </si>
  <si>
    <t>Le Temps, aout 1834</t>
  </si>
  <si>
    <t>Clinica de M. Lisfranc (1833)</t>
  </si>
  <si>
    <t>Rev. Britan. — dezembro de 1833</t>
  </si>
  <si>
    <t>Extrahida dos diários franceses</t>
  </si>
  <si>
    <t>Temps. 1834</t>
  </si>
  <si>
    <t>L. e S.</t>
  </si>
  <si>
    <t>National — 24 dezembro de 1834</t>
  </si>
  <si>
    <t>Temps de 8 de janeiro de 1835</t>
  </si>
  <si>
    <t>Gazette des Hôpitaux, p. 317</t>
  </si>
  <si>
    <t>N. Form. dos Hosp. 1834 pag. 262</t>
  </si>
  <si>
    <t>Repertoire Clinique, Tom. 2.º</t>
  </si>
  <si>
    <t>Le Temps, 5 de janeiro de 1835</t>
  </si>
  <si>
    <t>Memória sobre as doenças agudas e chronicas, que mais freqüentemente acommettem os pretos recém-tirados da África.—pag. 58.)</t>
  </si>
  <si>
    <t>Journ. de Chim. Méd. et de Pharm. 1834</t>
  </si>
  <si>
    <t>National</t>
  </si>
  <si>
    <t>Courrier des États-Unis — Abril de 1835</t>
  </si>
  <si>
    <t>J. de Méd. et de Chirurg. pratiq. — de março de 1833</t>
  </si>
  <si>
    <t>Courrier Français — de 30 de janeiro de 1835</t>
  </si>
  <si>
    <t>Memoria sobre as doenças agudas e chronicas que mais frequentemente acomettem os pretos recem-tirados da Africa, pag. 36 e 61.</t>
  </si>
  <si>
    <t>Repertoire annuel de clinique médico-chirurgicale, par Carron du Villards, 1834</t>
  </si>
  <si>
    <t>Repert. etc. par Carron du Villards, 1835</t>
  </si>
  <si>
    <t>Diario do Porto</t>
  </si>
  <si>
    <t>Courrier des États-Unis, de março de 1835</t>
  </si>
  <si>
    <t>Thompson-Zoological Inquiries</t>
  </si>
  <si>
    <t>Dentition, par Frelot, D.-M.</t>
  </si>
  <si>
    <t>Viagem a Tombouctou, por Caillié</t>
  </si>
  <si>
    <t>Origem das plantas</t>
  </si>
  <si>
    <t>Cod. Chinez</t>
  </si>
  <si>
    <t>Hyg. dos hom. de letr., pelo doutor Reveillé Parise</t>
  </si>
  <si>
    <t>Chronica de Paris</t>
  </si>
  <si>
    <t>National de 7 de nov. de 1834</t>
  </si>
  <si>
    <t>Indépendant — Diario de Bruxellas, de 6 de março de 1835</t>
  </si>
  <si>
    <t>Courrier des États-Unis, de dezembro de 1834</t>
  </si>
  <si>
    <t>L’Éclair, diario de Bruxellas, de 23 de fever. de 1835</t>
  </si>
  <si>
    <t>Lanterne Magique, de abril de 1835</t>
  </si>
  <si>
    <t>L'Independent, Brussels</t>
  </si>
  <si>
    <t>Curie. Courrier Belge — de 12 de fevereiro</t>
  </si>
  <si>
    <t xml:space="preserve">Lantérne magique — março de 1835 </t>
  </si>
  <si>
    <t>Journal des connaissances médico-chirurgicales — de janeiro de 1834</t>
  </si>
  <si>
    <t>Troubat</t>
  </si>
  <si>
    <t>National de 1834 — 8 de abril de 1835</t>
  </si>
  <si>
    <t>J. des Con. Méd.-Chir. — de 1834</t>
  </si>
  <si>
    <t>Bulletin de therapeutique.— Maio de 1834</t>
  </si>
  <si>
    <t>Benit</t>
  </si>
  <si>
    <t>Huffeland's Journal, feb. 1834</t>
  </si>
  <si>
    <t>Duparcque</t>
  </si>
  <si>
    <t>Gaz. Méd. — Janeiro de 1834</t>
  </si>
  <si>
    <t>Baltimore Medical and Surgical Journal and Review — Outubro de 1833</t>
  </si>
  <si>
    <t>Diario do Gov. de Lisboa</t>
  </si>
  <si>
    <t>Courrier des États-Unis</t>
  </si>
  <si>
    <t>Journal da Soc. des Sciences phys. et chim. — Março e Abril de 1835</t>
  </si>
  <si>
    <t>Revue Medicale de Paris, Abril 1834</t>
  </si>
  <si>
    <t>Extracto da sessão da Academia das Sciencias de 10 de março de 1834.</t>
  </si>
  <si>
    <t>Sess. d’Acad. das Scienc. de Paris — Março de 1834</t>
  </si>
  <si>
    <t>Revue Britannique; Diario do Gov. de Lisboa</t>
  </si>
  <si>
    <t>Censeur Médical de 1834</t>
  </si>
  <si>
    <t>Lavini</t>
  </si>
  <si>
    <t>Journal de chimie médicale, mar. de 1835</t>
  </si>
  <si>
    <t>Gazette médicale, 18 maio de 1835</t>
  </si>
  <si>
    <t>O’Shaughnessy</t>
  </si>
  <si>
    <t>The Lancet, Journal de la Société des Sciences Physiques, Chimiques, et Arts Agricoles et Industriels</t>
  </si>
  <si>
    <t>Judas, D.-M. P.</t>
  </si>
  <si>
    <t>Gazette médicale de Paris, 18 de abril de 1835</t>
  </si>
  <si>
    <t>Diario do Gov. de Lisboa, 20 de junho de 1835</t>
  </si>
  <si>
    <t>Gamard, D-M.</t>
  </si>
  <si>
    <t>Gazette Médicale de Paris, abril de 1835</t>
  </si>
  <si>
    <t>Gazette Médicale de Paris, maio de 1835</t>
  </si>
  <si>
    <t>Journal de la Societé des Sciences physiques et chimiques, etc.—março de 1835.)</t>
  </si>
  <si>
    <t>O Periódico dos Pobres—16 de junho de 1835</t>
  </si>
  <si>
    <t>Correio Official</t>
  </si>
  <si>
    <t>Larrey</t>
  </si>
  <si>
    <t>Gazette Médicale de Paris, 18 de abril de 1835</t>
  </si>
  <si>
    <t>F. S. C.</t>
  </si>
  <si>
    <t>Annaes das Sciencias, das Artes, e da Literatura</t>
  </si>
  <si>
    <t>Gazette Médicale de 1835</t>
  </si>
  <si>
    <t>Clot-Bey</t>
  </si>
  <si>
    <t>Periodico oficial del Mexico, dezembro de 1834</t>
  </si>
  <si>
    <t>Le Temps</t>
  </si>
  <si>
    <t>Gazette Medical de 1835, Diarios Allemães</t>
  </si>
  <si>
    <t>Gazette Medical de 1835, Diarios italianos</t>
  </si>
  <si>
    <t>J. Hebdomadaire dos Progrès des Sciencies et Institutions Médicales, 1834</t>
  </si>
  <si>
    <t>Gazette Médicale de 1835; J. Allemands</t>
  </si>
  <si>
    <t>Gazette Médicale de 1835; J. Italiens</t>
  </si>
  <si>
    <t>J. Hebdomadaire dos Progrès des Sciencies et Institutions Médicales, Octobre 1834</t>
  </si>
  <si>
    <t>Manuel des Maladies de la Peau</t>
  </si>
  <si>
    <t>Novo Formulario de Foy</t>
  </si>
  <si>
    <t>American Journal of Medical Sciences</t>
  </si>
  <si>
    <t>Repértoire Clinique de Carron du Villaes</t>
  </si>
  <si>
    <t>The London Medical Gazette</t>
  </si>
  <si>
    <t>Gazette Médicale</t>
  </si>
  <si>
    <t>Lanterne Magique</t>
  </si>
  <si>
    <t>Censeur Medical, 1834</t>
  </si>
  <si>
    <t>Journal des Connaissances medico-chirurgicales, mai 1835</t>
  </si>
  <si>
    <t>Deleau</t>
  </si>
  <si>
    <t>Bulletin therapeutique, 1835</t>
  </si>
  <si>
    <t>Andral</t>
  </si>
  <si>
    <t>Revista Mexicana, de maio e abril de 1835</t>
  </si>
  <si>
    <t>Velpeau</t>
  </si>
  <si>
    <t>J. Hebdomadaire dos Progrès des Sciencies et Institutions Médicales, 15 novembre 1834</t>
  </si>
  <si>
    <t>Gazette Médicale, 4 de abril de 1835</t>
  </si>
  <si>
    <t>Diario del Gobierno de los Estados-Unidos Mexicanos —, 3 de julho de 1835</t>
  </si>
  <si>
    <t>Rust Magasin</t>
  </si>
  <si>
    <t>Méd. Quaterly Review</t>
  </si>
  <si>
    <t>Repertory of Patent Invention</t>
  </si>
  <si>
    <t>Censur Médical, 1834</t>
  </si>
  <si>
    <t>Journal de Santé, septembre 1835</t>
  </si>
  <si>
    <t>Journal des connaissances médico-chirurgicales</t>
  </si>
  <si>
    <t>J. de Santé — Outubro de 1835</t>
  </si>
  <si>
    <t>M. W. Steven</t>
  </si>
  <si>
    <t>Journal des Sciences Physiques, septembre 1835</t>
  </si>
  <si>
    <t>Journal de Santé, 25 de outubro de 1835</t>
  </si>
  <si>
    <t>Al. D.</t>
  </si>
  <si>
    <t>Gazette Médicale de Paris</t>
  </si>
  <si>
    <t>Nacional, de novembro 1835</t>
  </si>
  <si>
    <t>Percy</t>
  </si>
  <si>
    <t>J. de Santé</t>
  </si>
  <si>
    <t>Ernesto Fouinet</t>
  </si>
  <si>
    <t>Investigador Portuguez — N,°* X e XI de maio e junho de 1812.</t>
  </si>
  <si>
    <t>Journal de Chimie Medicale</t>
  </si>
  <si>
    <t>Journal de la Societé des Sciences Physiques, abril de 1835</t>
  </si>
  <si>
    <t>O Patriota, janeiro 1814</t>
  </si>
  <si>
    <t>Memória sobre a comarca dos Ilheos na America, pelo Sr. Manoel Ferreira da Camara. Cap. IX.</t>
  </si>
  <si>
    <t>H. Pidoux</t>
  </si>
  <si>
    <t>Journal des Connaissances Médico-Chirurgicales — Março de 1835</t>
  </si>
  <si>
    <t>Bulletin hebdomadaire. — Academia das Sciencias de Paris, sessão de 2 de nov. de 1835</t>
  </si>
  <si>
    <t>Propagador dos conhecimentos úteis, 1.º, n.º de janeiro de 1836</t>
  </si>
  <si>
    <t>Journal Medico-Cirurgico e Pharmaceutico de Lisboa, 1835</t>
  </si>
  <si>
    <t>Doutor Vianna de Rezende</t>
  </si>
  <si>
    <t>Milne, Edward e P. Vavasseur</t>
  </si>
  <si>
    <t>Nov. Form., etc. por Milne, Edward e P. Vavasseur</t>
  </si>
  <si>
    <t>Journal d'Anvers</t>
  </si>
  <si>
    <t>Journal de Santé</t>
  </si>
  <si>
    <t>Journal des Connaissances Médico-Chirurgicales, 1834</t>
  </si>
  <si>
    <t>J. Lima</t>
  </si>
  <si>
    <t>Investigador Português, maio e junho de 1812</t>
  </si>
  <si>
    <t>Dr. Anonymo</t>
  </si>
  <si>
    <t>Codigo Pharmaceutico Lusitano, pag. 264-74</t>
  </si>
  <si>
    <t>J. Hébdomadaire des Progrès des Sciences el Institutions Medicales—de 1834</t>
  </si>
  <si>
    <t>Gazeta Medica de Londres, pag. 14, vol. 8</t>
  </si>
  <si>
    <t>Pharmaconomia Lusitana, pag. 119</t>
  </si>
  <si>
    <t>Revista Médica Fluminense, março de 1836</t>
  </si>
  <si>
    <t>J. B. Mondière</t>
  </si>
  <si>
    <t>J. Héb. des Progrès, etc, Dezembro de 1834</t>
  </si>
  <si>
    <t>Gazette Médicale de Paris, 28 de fevereiro de 1835</t>
  </si>
  <si>
    <t>Journal de Santé, 6 de dezembro de 1835</t>
  </si>
  <si>
    <t>F. Ratier, D. M. P.</t>
  </si>
  <si>
    <t>Journal de Santé, 17 de janeiro de 1836</t>
  </si>
  <si>
    <t>Regenerador</t>
  </si>
  <si>
    <t>Gaceta Mercantil de Buenos-Ayves</t>
  </si>
  <si>
    <t>Times</t>
  </si>
  <si>
    <t>Dr. Meirelles</t>
  </si>
  <si>
    <t>F. Boudet</t>
  </si>
  <si>
    <t>Lond. Med. Surg. Journal traduzido pelo Dr. Maia</t>
  </si>
  <si>
    <t>Dr. Soares de Meirelles</t>
  </si>
  <si>
    <t>Dr. J. C. Soares de Meirelles</t>
  </si>
  <si>
    <t>Jornal de Pharmacie, Octobre 1834</t>
  </si>
  <si>
    <t>Extrahido do Magasin Universel, t. 1.ª 1833, 1834</t>
  </si>
  <si>
    <t>Extrahido de alguns Jornaes de Paris, pelo Dr. Maia</t>
  </si>
  <si>
    <t>Journal des Con. Medicohir, Febrier 1835</t>
  </si>
  <si>
    <t>Imbert, D. M.</t>
  </si>
  <si>
    <t>Imbert, Dr. em Medicina</t>
  </si>
  <si>
    <t>J. Sigaud</t>
  </si>
  <si>
    <t>Recueil de la Societé Polytechnique</t>
  </si>
  <si>
    <t>Laterne Magique, Mai 1835, pag. 133</t>
  </si>
  <si>
    <t>Journal des Con. Medico, Avril de 1835</t>
  </si>
  <si>
    <t>Tirado de varios Jornaes da Europa, pelo Dr. Maia</t>
  </si>
  <si>
    <t>Sr. Levacher</t>
  </si>
  <si>
    <t>Dr. J. F. Sigaud</t>
  </si>
  <si>
    <t>Diario de Saude</t>
  </si>
  <si>
    <t>Archivos de Medicina de Paris de 1831</t>
  </si>
  <si>
    <t>Bulletins de Therapeutica</t>
  </si>
  <si>
    <t>C. Forget</t>
  </si>
  <si>
    <t>Gazeta Medica de Paris</t>
  </si>
  <si>
    <t>A. Berton</t>
  </si>
  <si>
    <t>F. F. Pereira da Costa</t>
  </si>
  <si>
    <t>Dr. M. F. Pereira de Carvalho</t>
  </si>
  <si>
    <t>Mr. Julien de Paris</t>
  </si>
  <si>
    <t>Hippocrates</t>
  </si>
  <si>
    <t>Trebuchet</t>
  </si>
  <si>
    <t>Jurisprudencia da Medicina</t>
  </si>
  <si>
    <t>O Redactor</t>
  </si>
  <si>
    <t>Redactor</t>
  </si>
  <si>
    <t>J. C. Sabatier</t>
  </si>
  <si>
    <t>Bull. Gen. de Thérapeutique 15 de Agosto de 1836</t>
  </si>
  <si>
    <t>J. de Phar. Tom. 22</t>
  </si>
  <si>
    <t>Arch. Dos C. Ut.</t>
  </si>
  <si>
    <t>Recueil de la Soc. Polytecnique</t>
  </si>
  <si>
    <t>Medico-Chirurgical Review. March 1836</t>
  </si>
  <si>
    <t>Elementos de Hygiene por Mello Franco pag. 43</t>
  </si>
  <si>
    <t>London Medical Gazette March, 1836</t>
  </si>
  <si>
    <t>Rev. Estrangeira Coimbra 1837</t>
  </si>
  <si>
    <t>L. V. D-S.</t>
  </si>
  <si>
    <t>Revista Estrangeira</t>
  </si>
  <si>
    <t>Jornal Med. Cirurgico de Londres</t>
  </si>
  <si>
    <t>L.V. De-Simoni</t>
  </si>
  <si>
    <t>Mr. Blanc</t>
  </si>
  <si>
    <t>Gazette Medicale. (Maio. 1837.)</t>
  </si>
  <si>
    <t>Transactions of the Medical Society of Calcutta. Vol. VII. 1838, e appendix.</t>
  </si>
  <si>
    <t>Jornal Medico Chir. E Pharm. De Lisboa tom 1.º pg. 134</t>
  </si>
  <si>
    <t>Gabinete de Leitura</t>
  </si>
  <si>
    <t>O. D. E C.</t>
  </si>
  <si>
    <t>F. M. C. Leal Junior</t>
  </si>
  <si>
    <t>Journal de Pharmacie et des Sciences accessoires de Paris — Fevereiro de 1835</t>
  </si>
  <si>
    <t>Journal da Soc. Pharm. De Lisboa de n.º 5 à 10</t>
  </si>
  <si>
    <t>A. A.</t>
  </si>
  <si>
    <t>Dr. Elliot</t>
  </si>
  <si>
    <t>Jour. Des Connaissances Med. — Chir. 1837</t>
  </si>
  <si>
    <t>Bulletin de Pharmacia de Paris — Setembro de 1812</t>
  </si>
  <si>
    <t>Journal de Pharmacie et des Sciences accessoires de Paris — fevereiro de 1835</t>
  </si>
  <si>
    <t>Jorn. Da Soc. Pharm. de Lisboa</t>
  </si>
  <si>
    <t>Mr. Petrequin</t>
  </si>
  <si>
    <t>A. da Costa Junior</t>
  </si>
  <si>
    <t>Sr. F. M. C. Leal Junior</t>
  </si>
  <si>
    <t>Jorn. da Soc. Pharm. de Lisboa, n. 5.º e 6.º</t>
  </si>
  <si>
    <t>Journ. De Connoiss. Med.-Chirurg. 4.º anno</t>
  </si>
  <si>
    <t>J. Franc</t>
  </si>
  <si>
    <t>Repositorio Litterario Portuense</t>
  </si>
  <si>
    <t>J. de M. e Chr. Pratiques, Janeiro 1837</t>
  </si>
  <si>
    <t>Archives General de Medicine, Janeiro de 1837</t>
  </si>
  <si>
    <t>J. de M. d Chir. Pratiques. Ultimos ns. De 1838</t>
  </si>
  <si>
    <t>A. A-Repos. Lit.</t>
  </si>
  <si>
    <t>F. Rattier</t>
  </si>
  <si>
    <t>Hum jornal austriaco</t>
  </si>
  <si>
    <t>J. de Med. e Chir. Pratiques. Março de 1838</t>
  </si>
  <si>
    <t>F. Gomes</t>
  </si>
  <si>
    <t>J. des Con. Med.-Chir. Março de 1838</t>
  </si>
  <si>
    <t>Sr. A. L. P. da Silva Manso</t>
  </si>
  <si>
    <t>Dr. Barandon, D. M. M.</t>
  </si>
  <si>
    <t>J. dos Conh. Med-Chir. Abril 1838</t>
  </si>
  <si>
    <t>Rep. literario</t>
  </si>
  <si>
    <t>Tradusida do Italiano por L. V. D-S.</t>
  </si>
  <si>
    <t>M. Beau</t>
  </si>
  <si>
    <t>Arch. Gen. de Med. (Fev. de 1838)</t>
  </si>
  <si>
    <t>Jorn. des Con. Med. Chir. (Março 1838)</t>
  </si>
  <si>
    <t>Journal des Con. Medico. Chir. Fevrier 1838</t>
  </si>
  <si>
    <t>Panorama, Junho 1838</t>
  </si>
  <si>
    <t>The Continental and British Medical Review, Janeiro 1838</t>
  </si>
  <si>
    <t>Jornal des Con. Medico-Chirurgicales, Maio 1838</t>
  </si>
  <si>
    <t>Mello Franco. Ensaio sobre as febres, pg. 13</t>
  </si>
  <si>
    <t>Z.</t>
  </si>
  <si>
    <t>Dr. A. da Costa Junior</t>
  </si>
  <si>
    <t>Revue Britanique, Juilliet 1838</t>
  </si>
  <si>
    <t>Mr. le Dr. Junod</t>
  </si>
  <si>
    <t xml:space="preserve"> J. L. Dros</t>
  </si>
  <si>
    <t>Mr. Fourcault</t>
  </si>
  <si>
    <t>Jornal des Connaissances Medico-Chirurgicales</t>
  </si>
  <si>
    <t>M. R. Bourgeois, D. M. P.</t>
  </si>
  <si>
    <t>Jornal da Sociedade das Sciencias Medicas de Lisboa</t>
  </si>
  <si>
    <t>Dr. Roesch</t>
  </si>
  <si>
    <t>Annales d’Hygiene publique et de medecine légale</t>
  </si>
  <si>
    <t>Mr. Rognetta</t>
  </si>
  <si>
    <t>Gazette Medicale</t>
  </si>
  <si>
    <t>Dr. G. Ambrosioni</t>
  </si>
  <si>
    <t>Dr. Ranzi</t>
  </si>
  <si>
    <t>Bull. Gen. de Therapeutique</t>
  </si>
  <si>
    <t>American Journal of Medical Sciences, Revue Medicale</t>
  </si>
  <si>
    <t>Dr. L. F. Bonjean D. M</t>
  </si>
  <si>
    <t>Dr. Jardon</t>
  </si>
  <si>
    <t>Jornal des Connaissances Medico-Chirurgicales do mez de Fevereiro de 1839</t>
  </si>
  <si>
    <t>Jornal des Connaissances Medico-Chirurgicales. Outubro de 1838</t>
  </si>
  <si>
    <t>London Medical Gazette</t>
  </si>
  <si>
    <t>Annales d’hygiène publique et de médecine légale</t>
  </si>
  <si>
    <t>Allgemeine medizinische Zeitung; Jornal da S. das S. Medicas de Lisboa</t>
  </si>
  <si>
    <t>Berrow's Worcester Journal, de 1 de Agosto deste anno</t>
  </si>
  <si>
    <t>Journal de chirurgie und augen-heilkunde</t>
  </si>
  <si>
    <t>Dr. L. F. Bonjean</t>
  </si>
  <si>
    <t>J. da Sociedade das Sciencias Medicas de Lisboa</t>
  </si>
  <si>
    <t>Dr. Behrend</t>
  </si>
  <si>
    <t>Mr. Laserre</t>
  </si>
  <si>
    <t>Bulletin da Academia de Medicina de Paris</t>
  </si>
  <si>
    <t>The American Med. Lib. and Intelligencer, 15 April 1850</t>
  </si>
  <si>
    <t>Jornal des connaissances médico-chirurgicales, março de 1840, p. 123</t>
  </si>
  <si>
    <t>P. Louis Czerniewicz</t>
  </si>
  <si>
    <t>Mr. Dumas</t>
  </si>
  <si>
    <t>Recueil de la Société Polytechnique, Setembro 1839</t>
  </si>
  <si>
    <t>American Medical Library and Intelligencer</t>
  </si>
  <si>
    <t>Jornal da Sociedade das Sciencias Medicas de Lisboa, janeiro 1840</t>
  </si>
  <si>
    <t>Journal des connaissances medico-chirurgicales, março 1840</t>
  </si>
  <si>
    <t>M. Louis Czerniewicz</t>
  </si>
  <si>
    <t>Revista Medica Fluminense, tom. 5, pag. 555</t>
  </si>
  <si>
    <t>Jornal da Sociedade das Sciencias Medicas de Lisboa, jan., 1840.</t>
  </si>
  <si>
    <t>Lancet, nov. 1838</t>
  </si>
  <si>
    <t>Jornal do Commercio n. 153</t>
  </si>
  <si>
    <t>Wochen schrift von Casper, 1838, n. 14</t>
  </si>
  <si>
    <t>J. J. Cazenave</t>
  </si>
  <si>
    <t>Journ. des Con. Med.-Chir. março 1840</t>
  </si>
  <si>
    <t>Gazeta de Breslau, 8 de janeiro de 1840</t>
  </si>
  <si>
    <t>Journal de Savoie n. 42, 1839, Paquete do Ultramar, no. 180 (1840), Observador de Trieste</t>
  </si>
  <si>
    <t>Orfila</t>
  </si>
  <si>
    <t>Medico-Chirurgical Review, outubro de 1838</t>
  </si>
  <si>
    <t>Dublin Medical Press</t>
  </si>
  <si>
    <t>La Lancette Française, n. 88, de 25 de Julho de 1840</t>
  </si>
  <si>
    <t>Boston Medical and Surgical Journal</t>
  </si>
  <si>
    <t>Sr. J. M. do Rosário</t>
  </si>
  <si>
    <t>Dr. M. P. S.</t>
  </si>
  <si>
    <t>Sr. Dr. F. Barrandon</t>
  </si>
  <si>
    <t>Revue Scientifique, April</t>
  </si>
  <si>
    <t>Revue scientifique et industrielle par le Dr. Quemeville, março de 1840</t>
  </si>
  <si>
    <t>Journal de clinica medical</t>
  </si>
  <si>
    <t>Revue scientifique</t>
  </si>
  <si>
    <t>M. J. B. Kill</t>
  </si>
  <si>
    <t>Revue britannique. Jun 1840</t>
  </si>
  <si>
    <t>E. C. dos Santos</t>
  </si>
  <si>
    <t>Dr. Ebel de Grunberg</t>
  </si>
  <si>
    <t>Hufeland’s Journal der Practischen (Tomo LXXXVI, 8.º caderno, 1838)</t>
  </si>
  <si>
    <t>Hufeland’s Journal der Practischen, (Tomo LXXXVI, 8.º caderno, 1838)</t>
  </si>
  <si>
    <t>Jornal de Pharmacia e sciencias accessorias, de Paris</t>
  </si>
  <si>
    <t>Revue Scientifique</t>
  </si>
  <si>
    <t>Jornal de Saboia do mez de Outubro de 1839</t>
  </si>
  <si>
    <t>V. Renourd</t>
  </si>
  <si>
    <t>Dr. Chernoviz</t>
  </si>
  <si>
    <t>O’Brion Bellingham</t>
  </si>
  <si>
    <t>Archives généraux de médecine</t>
  </si>
  <si>
    <t>Sr. Souto-Amaral</t>
  </si>
  <si>
    <t>Sr. J. Souto-Amaral</t>
  </si>
  <si>
    <t>Revue scientifique e industr.</t>
  </si>
  <si>
    <t>Souto Amaral</t>
  </si>
  <si>
    <t>Artigo extraído do Formulario do Dr. Chernoviz, que sairá à luz por todo o mês de abril. Vid. o annuncio bibliographico na capa da Revista.</t>
  </si>
  <si>
    <t>Bibliotheque Universelle de Geneve Mars: de 1840</t>
  </si>
  <si>
    <t>Jornal dos Debates</t>
  </si>
  <si>
    <t>Jornal da Soc. das Sciencias Medicas de Lisboa, Setembro 1840</t>
  </si>
  <si>
    <t>Observação de epilepsia, por Lasser (J. J.) Medico em Domme (Dordogne).</t>
  </si>
  <si>
    <t>Lasser</t>
  </si>
  <si>
    <t>PSM1827.1.2.6-130</t>
  </si>
  <si>
    <t>PSM1827.1.2.4-101</t>
  </si>
  <si>
    <t>PSM1827.1.2.5-116</t>
  </si>
  <si>
    <t>PSM1827.1.3.7-141</t>
  </si>
  <si>
    <t>Reference</t>
  </si>
  <si>
    <t>Claude François Lallemand, “Observations pathologiques propres à éclairer plusieurs points de physiologie: Observations sur les fonctions des organes digestifs (‘Sur le vomissement’).” Nouveau Journal de Médecine, Chirurgie, Pharmacie, etc. (Paris) 2 (1818): 338–344.</t>
  </si>
  <si>
    <t>NJM1818s1v2</t>
  </si>
  <si>
    <t>RMFE1825s1v1</t>
  </si>
  <si>
    <t>AMP1826s1v9</t>
  </si>
  <si>
    <t>AMP1830s1v17</t>
  </si>
  <si>
    <t>BDSM1829s1v1</t>
  </si>
  <si>
    <t>Cirurgia.</t>
  </si>
  <si>
    <t>ANU1829s1v52</t>
  </si>
  <si>
    <t>"Nouvelle médecine allemande ou Doctrine de l'homoeopathie," Revue Britannique (Paris) 10 (February 1830): 73-85.</t>
  </si>
  <si>
    <t>RBP1831s2v10</t>
  </si>
  <si>
    <t>JCMC1833-4s1v1</t>
  </si>
  <si>
    <t>JPSA1827s1v13</t>
  </si>
  <si>
    <t>JPSA1826s1v12</t>
  </si>
  <si>
    <t>AMP1827s1v11</t>
  </si>
  <si>
    <t>JPEP1826s1v6</t>
  </si>
  <si>
    <t>Meio empregado pelos Chins para a propagação das árvores fructíferas &amp;c., publicado por B.***</t>
  </si>
  <si>
    <t>This is a short technical note that renders in Portuguese an English report describing James Howison’s account of a Chinese method for propagating fruit trees. It corresponds to Howison’s article “On the Chinese method of propagating fruit-trees by abscission,” published in The Philosophical Magazine (vol. 31, no. 122, 1808, pp. 114–116)</t>
  </si>
  <si>
    <t>AGM1831s1v25</t>
  </si>
  <si>
    <t>BSAE1827s1v7</t>
  </si>
  <si>
    <t>AHPML1831s1v6</t>
  </si>
  <si>
    <t>["Publicando este artigo na nossa Folha, não desejamos fazer a apologia da ignorancia…"]</t>
  </si>
  <si>
    <t>AMP1831s1v20</t>
  </si>
  <si>
    <t>AGM1830s1v24</t>
  </si>
  <si>
    <t>BDSM1831s1v3</t>
  </si>
  <si>
    <t>JPSA1828s1v14</t>
  </si>
  <si>
    <t>MEARSL1789s1v1</t>
  </si>
  <si>
    <t>MEARSL1790s1v2</t>
  </si>
  <si>
    <t>TSM1833s1v2</t>
  </si>
  <si>
    <t>PM1832s1v1</t>
  </si>
  <si>
    <t>TSM1835s1v6</t>
  </si>
  <si>
    <t>TSM1832s1v1</t>
  </si>
  <si>
    <t>"Papyrus," The Penny Magazine (London), no. 38 (3 November 1832): 309–10.</t>
  </si>
  <si>
    <t>“The Rattle-Snake,” The Saturday Magazine (London), no. 55 (11 May 1833): 181–2</t>
  </si>
  <si>
    <t>"Tobacco," The Penny Magazine (London), no. 18 (14 July 1832): 148–9.</t>
  </si>
  <si>
    <t>"The Bread Fruit," The Penny Magazine (London), 1, no. 41 (24 November 1832): 333–4.</t>
  </si>
  <si>
    <t>“The Rattle-Snake,” The Saturday Magazine (London), no. 55 (11 May 1833): 181–2.</t>
  </si>
  <si>
    <t>GMP1830s1v1</t>
  </si>
  <si>
    <t>JMCP1833s1v4</t>
  </si>
  <si>
    <t>AIFE1829s1v3</t>
  </si>
  <si>
    <t>JBCU1831-1832s1v1</t>
  </si>
  <si>
    <t>JCU1832s1v2</t>
  </si>
  <si>
    <t>OPA1840s1v4</t>
  </si>
  <si>
    <t>AGM1829s1v21</t>
  </si>
  <si>
    <t>"Produzione artificiale d’acido succinico di M. Vogel. (Brandes, Archiv.) (Tom. XXII.)" Bullettino delle scienze mediche (Bologna) 1 (1829): 213; "Costituzione Chimica dell’Etere Acetico di M. Planiava. (Kastner d’Archiv.) (T. IX.)" Bullettino delle scienze mediche (Bologna) 1 (1829): 213.</t>
  </si>
  <si>
    <t>["Huma carta Escripta da Ilha de Paquetá…"]</t>
  </si>
  <si>
    <t>AMP1829s1v16</t>
  </si>
  <si>
    <t>["Cyanureto de Mercurio"]</t>
  </si>
  <si>
    <t>JMSAN1831s1v7</t>
  </si>
  <si>
    <t>BDSM1831s1v4</t>
  </si>
  <si>
    <t>JMSAN1832s1v8</t>
  </si>
  <si>
    <t>BDSM1832s1v5</t>
  </si>
  <si>
    <t>JMSAN1830s1v6</t>
  </si>
  <si>
    <t>ANU1832s1v61</t>
  </si>
  <si>
    <t>Materia Medica. Advertencia aos Curiosos do paiz, respectivamente a hum meio para promover a historia natural e os conhecimentos de producções da natureza, ainda desconhecidas, que podem ser uteis á Medicina, Industria e Commercio do Imperio do Brazil.</t>
  </si>
  <si>
    <t>Carl Friedrich Philipp von Martius, Advertencia aos curiosos do paiz, respectivamente a hum meio para promover a historia natural e os conhecimentos de produções da natureza, ainda desconhecidas, que podem ser uteis à Medicina, Industria e Commercio do Imperio do Brazil (Munich: [s.n.], 1829).</t>
  </si>
  <si>
    <t>"Compte rendu: Dupau, Lettres physiologiques et morales sur le magnétisme animal,” Revue médicale française et étrangère (Paris) 2 (February 1826): 269.</t>
  </si>
  <si>
    <t>RMFE1826s1v2</t>
  </si>
  <si>
    <t>AMP1825s1v8</t>
  </si>
  <si>
    <t>AMP1826s1v10</t>
  </si>
  <si>
    <t>JPCHNA1811s1v72</t>
  </si>
  <si>
    <t>The article is a adaption of Jean-Baptiste Leblond’s Mémoire sur la culture du roucouyer à la Guyane française (Mémoires de la Société d’agriculture du département de la Seine, 1804) with additional material from contemporary French chemical literature (particularly Vauquelin and Chaptal).</t>
  </si>
  <si>
    <t>RAMA1812s2v21</t>
  </si>
  <si>
    <t>Feijó, João da Silva. “Ensaio económico sobre as Ilhas de Cabo Verde em 1797.” Manuscript (memória apresentada à Academia Real das Ciências de Lisboa), 1797. Lisbon: Academia das Ciências de Lisboa (ACL), Biblioteca e Arquivo.</t>
  </si>
  <si>
    <t>Sousa Coutinho, Luís Pinto de. To Francisco Xavier de Mendonça Furtado. “Ofício … sobre o projeto de estabelecimento de uma nova povoação na cachoeira do Salto para coadjuvar o novo estabelecimento do Lugar de Balsemão.” 18 June 1769. CT-AHU-ACL-CU-010, Cx. 14, Doc. 852. Arquivo Histórico Ultramarino (AHU), Lisbon. (Digitized via Biblioteca Digital Luso-Brasileira, Rede Memória.)</t>
  </si>
  <si>
    <t>Marked as a translaion by the editor.</t>
  </si>
  <si>
    <t>Reuse (Translation)</t>
  </si>
  <si>
    <t>Dutch constitutional text summarized in Portuguese; Reuse (Translation) from European sources.</t>
  </si>
  <si>
    <t>D’Arcet, Charles-Félix. “Cloruri contra la peste.” Annali universali di medicina (Milan) 52 (December 1829), fasc. 155–156.</t>
  </si>
  <si>
    <t>["Vem em hum dos numeros recentes da Gazeta Medica de Paris, muitas observações…"]</t>
  </si>
  <si>
    <t>Biographia.</t>
  </si>
  <si>
    <t>Plantas conhecidas.</t>
  </si>
  <si>
    <t>“Remedios para cura da hydrophobia” O Panorama (Lisbon) 4, no. 91 (26 December 1840): 416.</t>
  </si>
  <si>
    <t>“Plantas conhecidas.” O Panorama (Lisbon) 4, no. 175 (5 September 1840): 288.</t>
  </si>
  <si>
    <t>["Dois chimicos allemães bastante conhecidos…"]</t>
  </si>
  <si>
    <t>Influencia da economia domestica nos costumes e na publica felicidade.</t>
  </si>
  <si>
    <t>OPA1838s1v2</t>
  </si>
  <si>
    <t>“Influencia da economia domestica nos costumes e na publica felicidade.” O Panorama (Lisbon) 2, no. 84 (8 December 1838): 386–387.</t>
  </si>
  <si>
    <t>OPA1837s1v1</t>
  </si>
  <si>
    <t>Queimaduras.</t>
  </si>
  <si>
    <t>“Queimaduras.” O Panorama (Lisbon) 1, no. 19 (9 September 1837): 147–148.</t>
  </si>
  <si>
    <t>Primeiros socorros em caso de ferimento.</t>
  </si>
  <si>
    <t>“Primeiros socorros em caso de ferimento.” O Panorama (Lisbon) 1, no. 20 (16 September 1837): 158–160.</t>
  </si>
  <si>
    <t>André Alpes Pereira Ribeiro e Cirne</t>
  </si>
  <si>
    <t>Uso do carvão vegetal como medicamento.</t>
  </si>
  <si>
    <t>Pó dentrifico de carvão.</t>
  </si>
  <si>
    <t>Pó de carvão e de quina.</t>
  </si>
  <si>
    <t>Emprego da giesta contra a raiva ou hydrophobia.</t>
  </si>
  <si>
    <t>Meio de preservar do pulgão as platas novas.</t>
  </si>
  <si>
    <t>Pastilhas para destruir o mau halito.</t>
  </si>
  <si>
    <t>Receita para mitigar as dores da gota.</t>
  </si>
  <si>
    <t>Electurario para a conservação dos dentes e gengivas.</t>
  </si>
  <si>
    <t>“Pó dentrifico de carvão.” O Panorama (Lisbon) 1, no. 17 (26 August 1837): 186.</t>
  </si>
  <si>
    <t>“Emprego da giesta contra a raiva ou hydrophobia.” O Panorama (Lisbon) 1, no. 17 (26 August 1837): 186.</t>
  </si>
  <si>
    <t>“Uso do carvão vegetal como medicamento.” O Panorama (Lisbon) 1, no. 17 (26 August 1837): 186.</t>
  </si>
  <si>
    <t>“Pó de caredo e de quina.” O Panorama (Lisbon) 1, no. 17 (26 August 1837): 186.</t>
  </si>
  <si>
    <t>“Meio de preservar do pulgão as platas novas.” O Panorama (Lisbon) 1, no. 25 (21 October 1837): 200.</t>
  </si>
  <si>
    <t>Presunto de carneiro.</t>
  </si>
  <si>
    <t>“Presunto de carneiro.” O Panorama (Lisbon) 1, no. 25 (21 October 1837): 200.</t>
  </si>
  <si>
    <t>“Receita para mitigar as dores da gota.” O Panorama (Lisbon) 1, no. 25 (21 October 1837): 200.</t>
  </si>
  <si>
    <t>“Pastilhas para destruir o máu halito.” O Panorama (Lisbon) 1, no. 14 (5 August 1837): 112.</t>
  </si>
  <si>
    <t>“Electurario para a conservação dos dentes e gengivas.” O Panorama (Lisbon) 1, no. 14 (5 August 1837): 112.</t>
  </si>
  <si>
    <t>Homens uteis. — Jacquard.</t>
  </si>
  <si>
    <t>O trabalho e os capitaes.</t>
  </si>
  <si>
    <t>“O trabalho, e os capitaes.” O Panorama (Lisbon) 1, no. 22 (30 September 1837): 170–171.</t>
  </si>
  <si>
    <t>“O trabalho, e os capitaes.” O Panorama (Lisbon) 1, no. 16 (19 August 1837): 125–126.</t>
  </si>
  <si>
    <t>Productos industriaes do milho.</t>
  </si>
  <si>
    <t>Conservação dos dentes — Precauções relativas aos meninos</t>
  </si>
  <si>
    <t>Receitas para tirar nodoas do fato.</t>
  </si>
  <si>
    <t>“Conservação dos dentes — Precauções relativas aos meninos.” O Panorama (Lisbon) 1, no. 19 (9 September 1837): 150–152.</t>
  </si>
  <si>
    <t>“Cerveja caseira.” O Panorama (Lisbon) 1, no. 14 (5 August 1837): 112.</t>
  </si>
  <si>
    <t>Bolot.</t>
  </si>
  <si>
    <t>"Des soins qu’on doit donner aux plantations d’arbres forestiers." Journal des connaissances usuelles et pratiques (Paris) 23, no. 7 (1836): 108–110.</t>
  </si>
  <si>
    <t>JCUP1836s1v23</t>
  </si>
  <si>
    <t>JCUP1836s1v24</t>
  </si>
  <si>
    <t>"Procédés propres à la purification du blanc de baleine." Journal des connaissances usuelles et pratiques (Paris) 24, no. 6 (1836): 81–83.</t>
  </si>
  <si>
    <t>"Note sur les procédés de panification qu’on doit employer pour améliorer le pain en général, et pour corriger celui qui est fait avec des farines avariées." Journal des connaissances usuelles et pratiques (Paris) 24, no. 12 (1836): 177–184.</t>
  </si>
  <si>
    <t>Meio de conservar a agua nos toneis das embarcações e nas cisternas.</t>
  </si>
  <si>
    <t>Delwat, L. V. "Traitement de la pleuro-pneumonite des bêtes a crones." Journal des connaissances usuelles et pratiques (Paris) 26, no. 10 (1837): 153–154.</t>
  </si>
  <si>
    <t>JCUP1837s1v26</t>
  </si>
  <si>
    <t>Jay. "Emploi du caoutchouc dans la fabrication des chapeaux." Journal des connaissances usuelles et pratiques (Paris) 26, no. 11 (1837): 163–164.</t>
  </si>
  <si>
    <t>Sonton. "Composition d’un nouveau savon propre à savonner le linge, les toiles, la soierie, etc., soit à l’eau de puits, soit à l’eau de rivière, en moins de temps et plus économiquement que le savon de rivière." Journal des connaissances usuelles et pratiques (Paris) 26, no. 5 (1837): 78–79.</t>
  </si>
  <si>
    <t>"Nouvel emploi du liége." Journal des connaissances usuelles et pratiques (Paris) 26, no. 5 (1837): 79.</t>
  </si>
  <si>
    <t>Debray. "Fabrication d’un feutre propre au doublage des navires." Journal des connaissances usuelles et pratiques (Paris) 26, no. 5 (1837): 164–166.</t>
  </si>
  <si>
    <t>MEARSL1788s1v1</t>
  </si>
  <si>
    <t>JCUP1831s1v14</t>
  </si>
  <si>
    <t xml:space="preserve">Silveira, José Xavier Mouzinho da. “Memoria. Sobre o modo de criar vacas turinas, e fazer manteiga.” Annaes da Sociedade Promotora da Industria Nacional (Lisbon) 1, no. 1 (1 May 1822): 17–24. </t>
  </si>
  <si>
    <t>ASPIN1822s1v1</t>
  </si>
  <si>
    <t>JCUP1830s1v12</t>
  </si>
  <si>
    <t>JCU1833s1v3</t>
  </si>
  <si>
    <t>Regnault. "Utilité de l’incision annulaire pour les arbres." Journal des connaissances usueles et practiques (Paris) 17, no. 97 (April 1833): 202.</t>
  </si>
  <si>
    <t>JCUP1833s1v17</t>
  </si>
  <si>
    <t>"Notice sur l’incision annulaire pratiquée sur des pommiers." Journal des connaissances usueles et practiques (Paris) 18, no. 100 (July 1833): 20–21.</t>
  </si>
  <si>
    <t>JCUP1833s1v18</t>
  </si>
  <si>
    <t>"De la greffe et de la fécondation artificielle." Journal des connaissances usueles et practiques (Paris) 17, no. 97 (April 1833):198–199.</t>
  </si>
  <si>
    <t>"De la Fécondation artificielle." Journal des connaissances usueles et practiques (Paris) 17, no. 97 (April 1833):199–200.</t>
  </si>
  <si>
    <t xml:space="preserve">“Bellême.— M. Magnin-Grandmont, de Bellême, a fait de nombreuses remarques….” Journal des connaissances utiles (Paris) 3 (1833): 306. </t>
  </si>
  <si>
    <t xml:space="preserve">“Moyen de préserver les toits en chaume des ravages de l’incendie.” Journal des connaissances usuelles et pratiques (Paris) 9, no. 46 (January 1832): 44–45. </t>
  </si>
  <si>
    <t>JCUP1832s1v9</t>
  </si>
  <si>
    <t>Joaquim Francisco Vianna;Raimundo José da Cunha Matos; José Silvestre Rebello</t>
  </si>
  <si>
    <t>Pedro Dias Pais Leme</t>
  </si>
  <si>
    <t>JCUP1831s1v13</t>
  </si>
  <si>
    <t>ASAL1819s1v4</t>
  </si>
  <si>
    <t>Economia do tempo na Inglaterra.</t>
  </si>
  <si>
    <t>FI1835-1836s1v1-2</t>
  </si>
  <si>
    <t>"Des Chamins de Fer." La France industrielle (Paris) 1, no.  1 (April 1834): 11–12.</t>
  </si>
  <si>
    <t>"Puissange Industrille de l'Angleterre." La France industrielle (Paris) 1, no.  5 (August 1834): 154–155.</t>
  </si>
  <si>
    <t>"Industrille de la Hollande." La France industrielle (Paris) 1, no.  5 (August 1834): 156–157.</t>
  </si>
  <si>
    <t>Curioso aperfeiçoamento para os mergulhadores.</t>
  </si>
  <si>
    <t>Machina giratoria movida pelo vapor.</t>
  </si>
  <si>
    <t>Noticias Industriaes</t>
  </si>
  <si>
    <t>Segurança da navegação por vapor.</t>
  </si>
  <si>
    <t>Facto extraordinario.</t>
  </si>
  <si>
    <t>Novas carruagens.</t>
  </si>
  <si>
    <t>Theatros ao abrigo do fogo.</t>
  </si>
  <si>
    <t>Producção da seda em França</t>
  </si>
  <si>
    <t>Estofos de fios de vidro.</t>
  </si>
  <si>
    <t>Conservação dos legumes.</t>
  </si>
  <si>
    <t>Producção do assucar indigena da França.</t>
  </si>
  <si>
    <t>FI1837-1838s1v4</t>
  </si>
  <si>
    <t>"Machine à tourner, allant par la vapeur," La France industrielle (Paris) 4, no.  26 (28 September 1837): 207.</t>
  </si>
  <si>
    <t>"Curieux perfectionnement pour les plongeurs," La France industrielle (Paris) 4, no.  26 (28 September 1837): 207.</t>
  </si>
  <si>
    <t>"Sûreté de la navigation par la vapeur," La France industrielle (Paris) 4, no.  26 (28 September 1837): 207.</t>
  </si>
  <si>
    <t>"Un fait dont lá réalisation paraissait chimérique..." La France industrielle (Paris) 4, no.  26 (28 September 1837): 208.</t>
  </si>
  <si>
    <t>"Les théâtres mis à l'abri du feu," La France industrielle (Paris) 4, no.  26 (28 September 1837): 207.</t>
  </si>
  <si>
    <t>Calculo exacto.</t>
  </si>
  <si>
    <t>"Voitures nouvelles," La France industrielle (Paris) 4, no. 26 (28 September 1837): 206.</t>
  </si>
  <si>
    <t>"Production du Sucre indigène en France," La France industrielle (Paris) 4, no. 47 (2 February 1838): 375–6.</t>
  </si>
  <si>
    <t>"Etoffes en verre filé," "Production du Sucre indigène en France," La France industrielle (Paris) 4, no. 49 (8 March 1838): 398.</t>
  </si>
  <si>
    <t>"Preduction de la Soie en France," La France industrielle (Paris) 4, no. 47 (22 February 1838): 376.</t>
  </si>
  <si>
    <t>"Trois mille chênes sont nécessaires…" La France industrielle (Paris) 4, no. 48 (1 March 1838): 387.</t>
  </si>
  <si>
    <t>"Conservation des légumes," La France industrielle (Paris) 4, no. 48 (1 March 1838): 385.</t>
  </si>
  <si>
    <t>Mulhouse — Sociedade Industrial.</t>
  </si>
  <si>
    <t>Revista da Industria e Commercio de diversos paises.</t>
  </si>
  <si>
    <t>Das Estradas na Inglaterra.</t>
  </si>
  <si>
    <t>"Revue de leur industrie et de leur commerce," La France industrielle (Paris) 1, no. 6 (September 1834): 188–193.</t>
  </si>
  <si>
    <t>"Des route en Angleterre, 1580-1834," La France industrielle (Paris) 1, no. 5 (August 1834): 160.</t>
  </si>
  <si>
    <t>"Machines a vapeur," La France industrielle (Paris) 1, no. 5 (August 1834): 160–161.</t>
  </si>
  <si>
    <t>"Appareil de Sauvetage," La France industrielle (Paris) 1, no. 5 (August 1834): 161–162.</t>
  </si>
  <si>
    <t>"Nouvel emploi du gaz," La France industrielle (Paris) 1, no. 5 (August 1834): 161–162.</t>
  </si>
  <si>
    <t>"Le Pacificateur Universel" La France industrielle (Paris) 1, no. 5 (August 1834): 161.</t>
  </si>
  <si>
    <t>"Nouveau Pacificateur," La France industrielle (Paris) 1, no. 6 (September 1834): 186.</t>
  </si>
  <si>
    <t>"Importance et applications de l'économie politique," La France industrielle (Paris) 1, no. 3 (June 1834): 65–71.</t>
  </si>
  <si>
    <t>Rodet</t>
  </si>
  <si>
    <t>"Influence qu’exercent les orages sur la maturation des fruits sucrés." Journal des connaissances usuelles et pratiques (Paris) 25, no. 8 (1837): 124–126.</t>
  </si>
  <si>
    <t>JCUP1837s1v25</t>
  </si>
  <si>
    <t>Causas que podem occasionar uma nova submersão do nosso globo</t>
  </si>
  <si>
    <t>Tollard, H. "Culture du rutabaga, ou navet de Suède." Journal des connaissances usuelles et pratiques (Paris) 23, no. 16 (1836): 247–249.</t>
  </si>
  <si>
    <t>"Sur la culture des choux." Journal des connaissances usuelles et pratiques (Paris) 24, no. 13 (1836): 203–204.</t>
  </si>
  <si>
    <t>Custodio Alves Serrão</t>
  </si>
  <si>
    <t>João Maria Barbosa</t>
  </si>
  <si>
    <t>Sessão N.º 151 do dia 22 de abril de 1837.</t>
  </si>
  <si>
    <t>Sessão N.º 152 do dia 29 de abril de 1837.</t>
  </si>
  <si>
    <t>Conservavação das Carnes. (Continuação do N.º 4 do mez d' Abril.)</t>
  </si>
  <si>
    <t>Maíson Rustique</t>
  </si>
  <si>
    <t>"Manière de nourrir le bétail avec des pommes de terre," Moniteur de la propriété et de l'agriculture (Paris) 1 (30 November 1836): 346.</t>
  </si>
  <si>
    <t>MPA1836s1v1</t>
  </si>
  <si>
    <t>"De la maniére américaine d'engraisser les agneuax," Journal des connaissances usuelles et pratiques (Paris) 25, no. 142 (January 1837): 15.</t>
  </si>
  <si>
    <t>P. -A. Masson-Four, "De l'extraction de la résine des pins et autres arbres de la famille des coniferes," Moniteur de la propriété et de l'agriculture (Paris) 1 (30 November 1836): 366–369.</t>
  </si>
  <si>
    <t>P. A. Masson</t>
  </si>
  <si>
    <t>Economia do gado. (Continuação do numero antecedente.)</t>
  </si>
  <si>
    <t>"Éducation des cochons au Mexique," Journal des connaissances usuelles et pratiques (Paris) 23, no. 135 (June 1836): 282–283.</t>
  </si>
  <si>
    <t>Hesbert</t>
  </si>
  <si>
    <t>Puymaurin</t>
  </si>
  <si>
    <t>Hesbert. "Manière de conserver les haricots," Journal des connaissances usuelles et pratiques (Paris) 23, no. 135 (June 1836): 283.</t>
  </si>
  <si>
    <t>Mistura de batatas com a manteiga.</t>
  </si>
  <si>
    <t>Meneira de conservar os feijões verdes.</t>
  </si>
  <si>
    <t>Educação dos porcos no Mexico.</t>
  </si>
  <si>
    <t>Maneira de criar os ganços, de os sevar e conservar as carnes delles. Por M. Puymaurin.</t>
  </si>
  <si>
    <t>Meio simples e infalivel de impedir o leite de se alterar</t>
  </si>
  <si>
    <t>Peymaurin, "Manière d’élever, d’engraisser les oies, et de conserver leur chair," Journal des connaissances usuelles et pratiques (Paris) 23, no. 135 (June 1836): 279–282.</t>
  </si>
  <si>
    <t>"Mélange de la pomme de terre et du beurre," Journal des connaissances usuelles et pratiques (Paris) 23, no. 135 (June 1836): 285.</t>
  </si>
  <si>
    <t>Meio usado na Escossia para conservar os ovos.</t>
  </si>
  <si>
    <t>"Moyen fort simple et infaillible pour dégraisser le vin," Journal des connaissances usuelles et pratiques (Paris) 23, no. 135 (June 1836): 286.</t>
  </si>
  <si>
    <t>Gautier</t>
  </si>
  <si>
    <t>"Moyen usité en Écosse pour conserver les oeufs," Journal des connaissances usuelles et pratiques (Paris) 17, no. 96 (March 1833): 173.</t>
  </si>
  <si>
    <t>Additamento.</t>
  </si>
  <si>
    <t>ASAL1819s1v3</t>
  </si>
  <si>
    <t>Da plantação das arvores.</t>
  </si>
  <si>
    <t>MR1836v2</t>
  </si>
  <si>
    <t>Sobre a cultura do Pecegueiro em Montreuil.</t>
  </si>
  <si>
    <t>J. Beugnot, “Chapitre V. - Pathologie,” in Maison rustique du XIXe siècle: Encyclopédie d’agriculture pratique, ed. Alexandre Bixio, tome 2, Cultures industrielles et animaux domestiques (Paris: Au bureau, quai aux fleurs, no. 15, 1837), 296–306.</t>
  </si>
  <si>
    <t>J. Beugnot, “Chapitre V. - Pathologie,” in Maison rustique du XIXe siècle: Encyclopédie d’agriculture pratique, ed. Alexandre Bixio, tome 2, Cultures industrielles et animaux domestiques (Paris: Au bureau, quai aux fleurs, no. 15, 1837), 308–312.</t>
  </si>
  <si>
    <t>J. Beugnot, “Chapitre V. - Pathologie,” in Maison rustique du XIXe siècle: Encyclopédie d’agriculture pratique, ed. Alexandre Bixio, tome 2, Cultures industrielles et animaux domestiques (Paris: Au bureau, quai aux fleurs, no. 15, 1837), 312–321.</t>
  </si>
  <si>
    <t>IPI1815s1v12</t>
  </si>
  <si>
    <t>MEARSL1799s1v2</t>
  </si>
  <si>
    <t>Secção segunda. Descripção botanica das amoreiras. Primeira especie. Descripção d'amoreira branca. (Continuado do n.º antecedente.)</t>
  </si>
  <si>
    <t>Da composição do cimento petrificavel, e seu emprego nas construcções ordinarias.</t>
  </si>
  <si>
    <t>J. dos Conh. Usuaes</t>
  </si>
  <si>
    <t>JCUP1834s1v19</t>
  </si>
  <si>
    <t>Agoa para a boca, ou espirito de Pyrethro composto, de M. Guibourt.</t>
  </si>
  <si>
    <t>Arte de fazer perfumes e substancia aromaticas em casa.</t>
  </si>
  <si>
    <t>"Art du parfunneur de ménage," Journal des connaissances usueles et practiques (Paris) 19, no. 110 (May 1834): 255–259.</t>
  </si>
  <si>
    <t>"Eau pour la Bouchem ou espirit de pyrèthre composé, de M. Guibourt," Journal des connaissances usueles et practiques (Paris) 19, no. 110 (May 1834): 260.</t>
  </si>
  <si>
    <t>"Eau contre la migraine," Journal des connaissances usueles et practiques (Paris) 19, no. 110 (May 1834): 264.</t>
  </si>
  <si>
    <t>OPA1839s1v3</t>
  </si>
  <si>
    <t>"Dos produtos industriaes do milho." O Panorama (Lisbon) 3, no. 106 (11 Maio 1839): 146–148.</t>
  </si>
  <si>
    <t>Pós para tingir os cabellos.</t>
  </si>
  <si>
    <t>A. Payen</t>
  </si>
  <si>
    <t>Encyclopedia of Agric. of Loudon</t>
  </si>
  <si>
    <t>Methodo d'enxugar os terrenos paludosos. (Continuado do Numero antecedente.)</t>
  </si>
  <si>
    <t>Carvão de pedra. (Continuado do N.º antecedente.)</t>
  </si>
  <si>
    <t>Jorn. Belg. Dos Conh. Uteis</t>
  </si>
  <si>
    <t>Da actividade e da riqueza do solo (Continuado do Numero antecedente.)</t>
  </si>
  <si>
    <t>Arboricultura.</t>
  </si>
  <si>
    <t>Fabrico do papel Chinez.</t>
  </si>
  <si>
    <t>Sobre o magucy, planta empregada no fabrico do papel, no Mexico.</t>
  </si>
  <si>
    <t>Agoa contra a Enxaquecas</t>
  </si>
  <si>
    <t>"Usages du sel dans l'agriculture." Journal des connaissances usuelles et pratiques (Paris) 26, no. 4 (1837): 49–54.</t>
  </si>
  <si>
    <t>JAP1837s1v1</t>
  </si>
  <si>
    <t>Memorias Economicas da Academia Real das Sciencias de Lisboa. Tom 1</t>
  </si>
  <si>
    <t>Mem. Ec. da Ae. R. das Sc. de Lisboa. T . 2º</t>
  </si>
  <si>
    <t>Annaes da Industria, do anno de 1829</t>
  </si>
  <si>
    <t>Lefebvre, M. “Procédés pour fondre les suifs.” Annales de l’industrie française et étrangère (Paris) 3 (1829): 421–430.</t>
  </si>
  <si>
    <t>Lond. and Paris Observer, de 23 de Novembro de 1828</t>
  </si>
  <si>
    <t>Outro methodo de endurecer o cebo e a graxa para delle se fabricarem excellentes vellas.</t>
  </si>
  <si>
    <t>Extrahida do Barão de Humboldt, e do grande Diccionario da Historia Natural</t>
  </si>
  <si>
    <t>Methodo prompto, e facil de converter em estrume toda a especie de ervas parazitas.</t>
  </si>
  <si>
    <t>Journal des Connaissances Usuelles de Novembro de 1831</t>
  </si>
  <si>
    <t>Extractos dos Elementos de Chimica concernente a Agricultura</t>
  </si>
  <si>
    <t>Jornal de Medicina, tom. 89, pag. 290, anno 1790.</t>
  </si>
  <si>
    <t>Outro sobre vinagre.</t>
  </si>
  <si>
    <t>Mais vinagre.</t>
  </si>
  <si>
    <t>Jornal des Connaissanses Usuells de Novembro de 1831</t>
  </si>
  <si>
    <t>Dito para extinguir os ratos.</t>
  </si>
  <si>
    <t>Patriota, de 4 de Dezembro de 1814</t>
  </si>
  <si>
    <t>Jornal dos Conh. Uzuaes</t>
  </si>
  <si>
    <t>Jornal dos Conh. Uteis, de 1832</t>
  </si>
  <si>
    <t>J. dos Conh. Uteis de 1832</t>
  </si>
  <si>
    <t>J. dos Conhec. Uteis</t>
  </si>
  <si>
    <t>Extrahido do Artigo Vinho, redigido pelo Cidadão Chaptal, no curso completo da Agricultura do Arade Rozier; no Tomo X. Paris anno de 1800.</t>
  </si>
  <si>
    <t>Extrahida da obra de Mr. Delaguette</t>
  </si>
  <si>
    <t>Gama, Manuel Jacinto Nogueira da. Memoria sobre o loureiro cinnamomo vulgo caneleira de Ceylaõ: por ordem de Sua Alteza Real o Principe Nosso Senhor, para acompanhar a remessa das plantas, que pelas reaes ordens vão ser transportadas ao Brasil. Lisbon: Na Officina Patriarcal, 1797.</t>
  </si>
  <si>
    <t>Patriota de Janeiro 1813</t>
  </si>
  <si>
    <t>30.º vol. do Dic. das Scien. Med.</t>
  </si>
  <si>
    <t>["Domingo 7 de Julho a Sociedade Auxiliadora da Industria Nacional…"]</t>
  </si>
  <si>
    <t>Cultura do Amendoim (Arachis hypogea.)</t>
  </si>
  <si>
    <t>Lista do novo Conselho Administrativo.</t>
  </si>
  <si>
    <t>Revista Britannica N.º 10, Abril 1826</t>
  </si>
  <si>
    <t>Tomo 2.º das Memorias da Academia Real das Sciencias de Lisboa</t>
  </si>
  <si>
    <t>J. dos Conh. usuaes, de Março de 1832</t>
  </si>
  <si>
    <t>Jornal dos Conh. Usuaes</t>
  </si>
  <si>
    <t>Cultura do tabaco. Escolha da terra para fazer os viveiros. Terras proprias para viveiros.</t>
  </si>
  <si>
    <t>Correspondencias.</t>
  </si>
  <si>
    <t>["Sr. Redactor. Colhendo cada hum dos Roceiros…"]</t>
  </si>
  <si>
    <t>Journal des Debats de 4 de Junho</t>
  </si>
  <si>
    <t>Moniteur Argelino N. 56, do 16 de Fevereiro deste anno</t>
  </si>
  <si>
    <t>Emprego de estrumes Salinos.</t>
  </si>
  <si>
    <t>["Ilm. Sr. Redactor do Auxiliador. Tendo-me sido dirigida…"]</t>
  </si>
  <si>
    <t>Academia das Sciencias, de Paris , Sessão de 24 de Junho de 1835.</t>
  </si>
  <si>
    <t>American Farmer, março de 1833</t>
  </si>
  <si>
    <t>Methodo de cozer batatas como alimento.</t>
  </si>
  <si>
    <t>American Farmer, 1833</t>
  </si>
  <si>
    <t>Publicadas em Londres em 1830</t>
  </si>
  <si>
    <t>Journal des Connaissances Utiles, 3.me année</t>
  </si>
  <si>
    <t>Père de Famille, 3.º anno</t>
  </si>
  <si>
    <t>Journal des Connaissances Utiles, 1833</t>
  </si>
  <si>
    <t>Novo methodo de cozinhar o assucar.</t>
  </si>
  <si>
    <t>Sobre a Gelatina extrahida dos ossos.</t>
  </si>
  <si>
    <t>Dissertação sobre a mistura das terras, &amp;c. (Continuada do n.º antecedente.)</t>
  </si>
  <si>
    <t>Sobre o alimento que se deve dar aos poldros.</t>
  </si>
  <si>
    <t>J. Belga dos Conh. Uteis</t>
  </si>
  <si>
    <t>G. de G.</t>
  </si>
  <si>
    <t>Do perigo do uso de vasilhas de cobre na economia domestica, e da necessidade de as substituir por outras de ferro.</t>
  </si>
  <si>
    <t>Museo Universal das Sienc. e Art.</t>
  </si>
  <si>
    <t>Remedio simples para os tenesmos e colicas dos cavallos, e dos animaes domesticos.</t>
  </si>
  <si>
    <t>J. D.</t>
  </si>
  <si>
    <t>Idêas sobre a criação dos carneiros, modo de os tratar e cuidar.</t>
  </si>
  <si>
    <t>Molestias dos carneiros, e idêas sobre a cura das mesmas.</t>
  </si>
  <si>
    <t>Algumas idéas sobre a criação dos Porcos.</t>
  </si>
  <si>
    <t>Bulletin das Scienc., Agric. e Econ</t>
  </si>
  <si>
    <t>Noticia sobre o meio de se obter gelo em todos os lugares, e em todas as estações, sem auxilio das neveiras, por Mr. Du Meilet.</t>
  </si>
  <si>
    <t>Novo processo para tirar as nodoas de môfo d'estofos de diversas naturezas por Mr. Piligot.</t>
  </si>
  <si>
    <t>Excelente receita para a Agoa de marmelos.</t>
  </si>
  <si>
    <t>Meio de fazer a barba macia para o corte da navalha.</t>
  </si>
  <si>
    <t>Cidra do Beg-op zoom.</t>
  </si>
  <si>
    <t>J. dos Conh. Usuaes.</t>
  </si>
  <si>
    <t>Bulletin das Scienc. Agric. e Econ.</t>
  </si>
  <si>
    <t>Da influencia comparativa do macho e da femea dos animaes domesticos sobre a sua progenie.</t>
  </si>
  <si>
    <t>Do amontoamento, e da combustão do solo frequentemente reiterada, como hum poderoso meio de fertilisar a terra e de substituir os estrumes.</t>
  </si>
  <si>
    <t>J. Belg. dos Conh. Uteis</t>
  </si>
  <si>
    <t>Dos meios de prevenir or indendios nos Theatros e outros lugares publicos expostos aos mesmos perigos.</t>
  </si>
  <si>
    <t>Meio infalivel e ao alcance de fazer todo o mundo para fazer cortar bem as navalhas de barba.</t>
  </si>
  <si>
    <t>Agricultura. Do amontoamento e combustão do solo. (Continuação do Numero antecedente.)</t>
  </si>
  <si>
    <t>Elisabeth Celnart</t>
  </si>
  <si>
    <t>Maneira de preparem na Hespanha as uvas seccas chamadas commumente passas.</t>
  </si>
  <si>
    <t>Caracteres essenciaes da Agricultura, das Manufacturas e do Commercio.</t>
  </si>
  <si>
    <t>Cultura, e manipulação do Assucar no Mexico.</t>
  </si>
  <si>
    <t>Introducção do Chá e Especiarias no Brasil.</t>
  </si>
  <si>
    <t>Medicina Prática</t>
  </si>
  <si>
    <t>Memoria sobre o Tabaco principiada no numero antecedente.</t>
  </si>
  <si>
    <t>["Illm. Sr. José Silvestre Rebello, Secretario da. Sociedade Auxiliadora da Industria."]</t>
  </si>
  <si>
    <t>Cultura da Amoreira.</t>
  </si>
  <si>
    <t>Recueil Industriel</t>
  </si>
  <si>
    <t>Curso Completo d'Agricultura do Abbade Rozier</t>
  </si>
  <si>
    <t>Sobre huma das causas do definhamento de pecegueiros.</t>
  </si>
  <si>
    <t>"Sur une des causes du dépérissement des pêchers." Recueil industriel, manufacturier, agricole et commercial (Paris) 2e série, 1, no. 1 (January 1834): 74.</t>
  </si>
  <si>
    <t>"Nouvelle espèce de betterave de Sain-Clair." Recueil industriel, manufacturier, agricole et commercial (Paris) 2e série, 1, no. 1 (January 1834): 75.</t>
  </si>
  <si>
    <t>Recueil de la Societé Polytechninique</t>
  </si>
  <si>
    <t>RIMAC1834s2v8.2</t>
  </si>
  <si>
    <t>"Agriculture in England." The Southern Agriculturist and Register of Rural Affairs (Charleston) 5, no. 21 (March 1832): 167.</t>
  </si>
  <si>
    <t>"Curing pork." The Southern Agriculturist and Register of Rural Affairs (Charleston) 5, no. 21 (March 1832): 166–167.</t>
  </si>
  <si>
    <t>"Notice sur les récoltes qui épuisent ou améliorent la terre." Recueil industriel, manufacturier, agricole et commercial (Paris) 2e série, 1, no. 1 (January 1834): 138–139.</t>
  </si>
  <si>
    <t>F. C. S. T.</t>
  </si>
  <si>
    <t>American Farmer,  Southern Agriculturist de Março de 1832</t>
  </si>
  <si>
    <t>Southern Agriculturist de Março de 1830</t>
  </si>
  <si>
    <t>Encylopedia Ingleza</t>
  </si>
  <si>
    <t>Agricultor do Sul</t>
  </si>
  <si>
    <t>SARRA1833s1v6</t>
  </si>
  <si>
    <t>SARRA1832s1v5</t>
  </si>
  <si>
    <t>Despcrição de dous Engenhos de assucar da Georgia, feita pelo Editor do Agricultor do Sul, conforme ele os vio em huma viagem, empreendida para esse fim no anno de 1833; e do methodo de culturas as cannas e elaborar o assucar nos mesmos Engenhos.</t>
  </si>
  <si>
    <t>Sociedade Auxiliadora da Indústria Nacional.</t>
  </si>
  <si>
    <t>Aço manufacturado em Minas.</t>
  </si>
  <si>
    <t>Sociedade Auxiliadora da Indústria Nacional</t>
  </si>
  <si>
    <t>Casulos de seda.</t>
  </si>
  <si>
    <t>Commercio, propriedades, uso, cultura e preparação do café.</t>
  </si>
  <si>
    <t>Compendio de Agricultura. Continuação do Cap. II.</t>
  </si>
  <si>
    <t>Compendio de Agricultura. (Continuação).</t>
  </si>
  <si>
    <t>["Ill.e Ex.mo Sr. Desejando contribuir, quanto posso, para a propagação da Industria Nacional…"]</t>
  </si>
  <si>
    <t>American Journal of Science and Arts, Vol. 18, N.2, Julho de 1830</t>
  </si>
  <si>
    <t>AJSA1830s1v18</t>
  </si>
  <si>
    <t>“Moyen prompt et facile de convertir en engrais toutes les espèces d’herbes parasites.” Journal des connaissances usuelles et pratiques (Paris) 14, no. 80 (November 1831): 201–202.</t>
  </si>
  <si>
    <t>J. de Pharmacie, janeiro de 1834, pelo Dr. Maia</t>
  </si>
  <si>
    <t>J. dos Con. Med. Chir. pelo Dr. Maia</t>
  </si>
  <si>
    <t>Ann. d'hyes. Et de méd lég</t>
  </si>
  <si>
    <t>Jorn. dos Conh. Usuaes</t>
  </si>
  <si>
    <t>RAMA1812s2v20</t>
  </si>
  <si>
    <t>"An Account of a vegetable Wax from Brazil by William Thomas Brande, Esq. F.R.S. from the Philosophical Transactions of the Royal Society of London," The Repertory of Arts, Manufactures, and Agriculture (London) 20, no. 117 (February 1812): 173–180.</t>
  </si>
  <si>
    <t>Purificação do Alcatrão.</t>
  </si>
  <si>
    <t>Processos destinados a preservarem da putrefação os objetos fabricados com estofos de canhamo e de linho.</t>
  </si>
  <si>
    <t>Receita do verniz de Gomma elastica, e emprego delle no fabrico dos marroquins, e pelles de carneira envernisadas.</t>
  </si>
  <si>
    <t>Processos para o fabrico de pannos e couros envernisados.</t>
  </si>
  <si>
    <t>"Recette des vernis à la gomme élastique (caout-choux) de M. Champagnat et son emploi à la fabrication des maroquins et peaux de moutons vernis." Journal des connaissances usuelles et pratiques (Paris) 24, no. 136 (July 1836): 43–44.</t>
  </si>
  <si>
    <t>"Purification du goudeon." Journal des connaissances usuelles et pratiques (Paris) 24, no. 136 (July 1836): 39–40.</t>
  </si>
  <si>
    <t>"Procédés destinés à préserver de la putréfaction les objets fabriqués avec des étoffes de chanvre et de lin." Journal des connaissances usuelles et pratiques (Paris) 24, no. 136 (July 1836): 37–39.</t>
  </si>
  <si>
    <t>"Procédés de fabrication de toiles et cuirs vernis, par M. Jroes." Journal des connaissances usuelles et pratiques (Paris) 24, no. 136 (July 1836): 42–43.</t>
  </si>
  <si>
    <t>Sessoes de 26 de setembro e 3 de outubro de 1836 d'Academia das Sciencias de Paris</t>
  </si>
  <si>
    <t>Casa Rustica do Seculo XIX</t>
  </si>
  <si>
    <t>Nota adicional sobre o ondeado metallico.</t>
  </si>
  <si>
    <t>Maneira de preparar o ondeado metallico.</t>
  </si>
  <si>
    <t>Escolas de Agricultura.</t>
  </si>
  <si>
    <t>Processo simples para impedir a tinta ordinaria de atacar as pennas metallicas.</t>
  </si>
  <si>
    <t>Elisabeth Celnart. "Procédé simple pour empécher l'encre ondinaire d'attaquer les plumes métalliques." Journal des connaissances usuelles et pratiques (Paris) 24, no. 136 (July 1836): 88–89.</t>
  </si>
  <si>
    <t>Observações sobre o emprego do carvão de pedra anthracito como combustivel.</t>
  </si>
  <si>
    <t>RBB1837s4v1</t>
  </si>
  <si>
    <t>"Observations sur l'emploi de la houille anthracite , comme combustible," Revue Britannique (Bruxelles) 1 (March 1837): 286–288.</t>
  </si>
  <si>
    <t>"Note additionnelle sur la fabrication du moiré métallique," Journal des connaissances usuelles et pratiques (Paris) 23, no. 130 (January 1836): 31–32.</t>
  </si>
  <si>
    <t>"Manière de préparer le moiré métallique," Journal des connaissances usuelles et pratiques (Paris) 23, no. 130 (January 1836): 29–31.</t>
  </si>
  <si>
    <t>Papelão e papel d'aparas de couros.</t>
  </si>
  <si>
    <t>"Carton et papier de déchets de cuir," Journal des connaissances usuelles et pratiques (Paris) 23, no. 132 (March 1836): 121–122.</t>
  </si>
  <si>
    <t>Amanhos geraes que devem dar-se à terra.</t>
  </si>
  <si>
    <t>MR1835v1</t>
  </si>
  <si>
    <t>Escola de Agricultura para Meninos.</t>
  </si>
  <si>
    <t>Courrier du Gard, Archives du Commerce</t>
  </si>
  <si>
    <t>"Recette d'une encre alcaline fort difficile a altérer." Journal des connaissances usuelles et pratiques (Paris) 23, no. 130 (January 1836): 38–39.</t>
  </si>
  <si>
    <t>"Procédé pour fabrication de carton et de papier imperméables avec des déchets de cuirs et de peaux" Journal des connaissances usuelles et pratiques (Paris) 23, no. 130 (January 1836): 36.</t>
  </si>
  <si>
    <t>Processo simples e economico para fazer a colla, ou a gelatina de ossos melhor e mais linda.</t>
  </si>
  <si>
    <t>"Procéde simple et économique de rendre la colle ou la gélatine d'os meilleure et plus belle, au moyen des acides et de l'ébulition," Journal des connaissances usuelles et pratiques (Paris) 23, no. 130 (January 1836): 35–36.</t>
  </si>
  <si>
    <t>"Préparations pour garantir les plaies des arbres et pour couvrir la coupe des branches nouvellement greffées." Journal des connaissances usuelles et pratiques (Paris) 19, no. 110 (May 1834): 245.</t>
  </si>
  <si>
    <t>Sociedade Auxiliadora da Industria Nacional</t>
  </si>
  <si>
    <t>Memoria do socio effectivo o Ex.mo Sr. Conde de Gesta's, por elle lida na sessão publica de 6 de novembro proximo oassado.</t>
  </si>
  <si>
    <t>Da castração dos poldros na sua mocidade.</t>
  </si>
  <si>
    <t>T. H. D.</t>
  </si>
  <si>
    <t>Remedio para destruir as bespas e maribondos.</t>
  </si>
  <si>
    <t>M'Mahon</t>
  </si>
  <si>
    <t>Dom. Ency.</t>
  </si>
  <si>
    <t>Sessão N.º 146 do dia 11 de março de 1837.</t>
  </si>
  <si>
    <t>Sessão N.º 143 do dia 18 de fevereiro de 1837.</t>
  </si>
  <si>
    <t>Sessão N.º 144 do dia 25 de fevereiro de 1837.</t>
  </si>
  <si>
    <t>Sessão N.º 145 do dia 4 de março de 1837.</t>
  </si>
  <si>
    <t>Relatorio apresentado ao Conselho Administrativo da Sociedade Auxiliadora da Industria Nacional a respeito do Prospecto do Estabelecimento da Companhia Ingleza de Agricultura e do Assucar da India Oriental pelo Socio e Secretario Raimundo José da Cunha Mattos.</t>
  </si>
  <si>
    <t>Parecer da commissão lido na sessão n.º 145</t>
  </si>
  <si>
    <t>Casa Rustica do Secuto XIX</t>
  </si>
  <si>
    <t>Francisco Ge Acayaba de Montezuma; Francisco Cordeiro da Silva Torres; Raimundo José da Cunha Matos</t>
  </si>
  <si>
    <t>JBCU1834s1v3</t>
  </si>
  <si>
    <t xml:space="preserve">J. B. Porcelet. "Préparation du charbon de bois." Journal belge des Connaissances utiles (Bruxelles) 3 (February 1832): 35–36. </t>
  </si>
  <si>
    <t>"Description du procéde de l'autochrosie a l'aide duquel on obtient une nouvelle peinture a l'huire," Journal des connaissances usueles et practiques (Paris) 23, no. 131 (February 1836): 87–88.</t>
  </si>
  <si>
    <t xml:space="preserve">J.-B de Wulf. "Une leçon de marcottage," Préparation du charbon de bois." Journal belge des Connaissances utiles (Bruxelles) 1 (1831–1832): 97–100. </t>
  </si>
  <si>
    <t>Memoria sobre o estado actual da industria na cidade do Rio de Janeiro, e lugares circumvisinhos: lida, e offerecida á Sociedade Auxiliadora da Industria Nacional na sua Sessão Publica em 6 de Novembro do anno proximo passado, pelo socio effectivo o Ex.mo Senhor Conde de Gestas.</t>
  </si>
  <si>
    <t>Descrição da steatite, e do lugar em que se acha, feita e apresentada á Sociedade Auxiliadora da Industria Nacional pelo seu socio o Sr. José Silvestre Rebello.</t>
  </si>
  <si>
    <t>"De la castration des poulains dans le jeune age. Par M. de Lastic-Saint-Jal." Journal des connaissances usueles et practiques (Paris) 23, no. 131 (February 1836): 73–76.</t>
  </si>
  <si>
    <t>"Observation pratiques sur la pousse des chevaux." Journal des connaissances usueles et practiques (Paris) 23, no. 131 (February 1836): 76.</t>
  </si>
  <si>
    <t>MR1836v3</t>
  </si>
  <si>
    <t>"Note sur les préparations employées pour teindre les cheveux, par le docteur Gendrin." Journal des connaissances usueles et practiques (Paris) 24, no. 131 (February 1836): 46–48.</t>
  </si>
  <si>
    <t>"Savon pour noircir les cheveux, les sourcils et les favoris." Journal des connaissances usueles et practiques (Paris) 23, no. 130 (January 1836): 41.</t>
  </si>
  <si>
    <t>Memoria sobre o programma sorteado — qual he o methodo, que se deve empregar para se obter a melhor manteiga —, offerecida ao Conselho Administrativo da Sociedade Auxiliadora da Industria Nacional, pelo seu autor socio e membro do Conselho, o Ill.mo Sr. Conego Januario da Cunha Barboza, e lida na Sessão de 25 de Fevereiro proximo passado.</t>
  </si>
  <si>
    <t>Jornal do Commercio da New-York do 3.º de Fevereiro de 1855</t>
  </si>
  <si>
    <t>Entomologia</t>
  </si>
  <si>
    <t>Horticultura. Huma lição de Mergulhia.</t>
  </si>
  <si>
    <t>Sessão N.º 138 do dia 10 de Dezembro de 1836.</t>
  </si>
  <si>
    <t>Conselho Administrativo da Sociedade Auxiliadora da Industria Nacional</t>
  </si>
  <si>
    <t>Sessão N.º 147 do dia 18 de março de 1837.</t>
  </si>
  <si>
    <t>Sessão N.º 148 do dia 1.º de abril de 1837.</t>
  </si>
  <si>
    <t>Sessão N.º 149 do dia 8 de abril de 1837.</t>
  </si>
  <si>
    <t>Sessão N.º 150 do dia 15 de abril de 1837.</t>
  </si>
  <si>
    <t>Parecer da commissão lido na sessão n.º 149 do Conselho Administrativo da Sociedade Auxiliadora da Industria Nacional.</t>
  </si>
  <si>
    <t>Sessão N.º 153 do dia 6 de maio de 1837.</t>
  </si>
  <si>
    <t>Sessão N.º 157 do dia 17 de junho de 1857.</t>
  </si>
  <si>
    <t>Sessão N.º 154 do dia 13 de maio de 1857.</t>
  </si>
  <si>
    <t>Sessão N.º 155 do dia 27 de maio de 1857.</t>
  </si>
  <si>
    <t>Sessão N.º 156 do dia 10 de junho de 1857.</t>
  </si>
  <si>
    <t>Sessão N.º 160 do dia 13 de julho de 1837.</t>
  </si>
  <si>
    <t>Sessão N.º 159 do dia 7 de julho de 1837.</t>
  </si>
  <si>
    <t>Sessão N.º 158 do dia 27 de junho de 1837.</t>
  </si>
  <si>
    <t>Sessão N.º 161 do dia 21 de julho de 1837.</t>
  </si>
  <si>
    <t>Sessão N.º 162 do dia 27 de julho de 1837.</t>
  </si>
  <si>
    <t>Sessão N.º 163 do dia 3 de agosto de 1837.</t>
  </si>
  <si>
    <t>Sessão N.º 164 do dia 10 de agosto de 1837.</t>
  </si>
  <si>
    <t>Sessão N.º 165 do dia 17 de agosto de 1837.</t>
  </si>
  <si>
    <t>Sessão N.º 166 do dia 26 de agosto de 1837.</t>
  </si>
  <si>
    <t>Sessão N.º 167 do dia 2 de setembro de 1837.</t>
  </si>
  <si>
    <t>Sessão N.º 171 do dia 7 de outubro de 1837</t>
  </si>
  <si>
    <t>Sessão N.º 172 do dia 21 de outubro de 1837</t>
  </si>
  <si>
    <t>Sessão N.º 168 do dia 13 de setembro de 1837.</t>
  </si>
  <si>
    <t>Sessão N.º 169 do dia 23 de setembro de 1837.</t>
  </si>
  <si>
    <t>Sessão N.º 170 do dia 30 de setembro de 1837.</t>
  </si>
  <si>
    <t>Artigos mandados pelo Sr. Doutor Schuch, de que trata a acta da sessão n. 171. Novo processo para extrahir outro.</t>
  </si>
  <si>
    <t>Gazeta Commercial de 13 de Junho de 1837</t>
  </si>
  <si>
    <t>J. Belga dos C. Uteis</t>
  </si>
  <si>
    <t>Applicação do Acido Pyrolignoso as madeiras de construção, e a outras materias.</t>
  </si>
  <si>
    <t>"Maniere d'elever et d'engraisser les volailles." Journal des connaissances usueles et practiques (Paris) 20, no. 113 (August 1834): 67–69.</t>
  </si>
  <si>
    <t>JCUP1834s1v20</t>
  </si>
  <si>
    <t>Larry</t>
  </si>
  <si>
    <t>Agronomo de Janeiro de 1835</t>
  </si>
  <si>
    <t>Agronomo de Fevereiro de 1835</t>
  </si>
  <si>
    <t>Jornal dos Conhecimentos Usuaes n.º 58</t>
  </si>
  <si>
    <t>J. das Sciencias Phys. &amp;c.</t>
  </si>
  <si>
    <t>Discurso recitado pelo Presidente na Sessão publica do 12 de Julho d’este ano.</t>
  </si>
  <si>
    <t>Outro meio por L. G.</t>
  </si>
  <si>
    <t>Continuação da Memoria sobre o Carvão, de M. Chevallier.</t>
  </si>
  <si>
    <t>Extracto do artigo do J. dos Conh. Usuaes N.º 60, de Março de 1830, de que faz menção a correspondencia anterior.</t>
  </si>
  <si>
    <t>Al. G. de G.</t>
  </si>
  <si>
    <t>J. do Havre, citado no Memorial Encycl. Prog.</t>
  </si>
  <si>
    <t>J. dos Conh. usuaes</t>
  </si>
  <si>
    <t>Maneira de engordar as aves domesticas com batatas.</t>
  </si>
  <si>
    <t>Jornal das Sciencias physicas</t>
  </si>
  <si>
    <t>Journal des Connaissances usuelles</t>
  </si>
  <si>
    <t>"Manière de durcir le suif et les graisses pour enfaire une chandelle solide de belle qualité et qui ne coule pas." Journal des connaissances usuelles et pratiques (Paris) 14, no. 80 (November 1831): 223.</t>
  </si>
  <si>
    <t>Sessão N.º 173 do dia 4 de novembro de 1837.</t>
  </si>
  <si>
    <t>Sessão N.º 174 do dia 18 de novembro de 1837.</t>
  </si>
  <si>
    <t>Sessão N.º 181 do dia 17 de fevereiro de 1838</t>
  </si>
  <si>
    <t>Sessão N.º 182 do dia 3 de março de 1838</t>
  </si>
  <si>
    <t>Sessão N.º 183 do dia 3 de março de 1838</t>
  </si>
  <si>
    <t>Sessão N.º 186 do dia 12 de maio de 1838.</t>
  </si>
  <si>
    <t>Sessão N.º 185 do dia 31 de março de 1838.</t>
  </si>
  <si>
    <t>Sessão N.º 187 do dia 26 de maio de 1838.</t>
  </si>
  <si>
    <t>Sessão N.º 188 do dia 2 de junho de 1838.</t>
  </si>
  <si>
    <t>Sessão N.º 189 do dia 23 de junho de 1838.</t>
  </si>
  <si>
    <t>Sessão N.º 199 do dia 28 de setembro de 1838</t>
  </si>
  <si>
    <t>Sessão N.º 200 do dia 28 de setembro de 1838</t>
  </si>
  <si>
    <t>Sessão N.º 201 do dia 28 de setembro de 1838</t>
  </si>
  <si>
    <t>Sessão N.º 196 do dia 25 de agosto de 1838</t>
  </si>
  <si>
    <t>Sessão N.º 197 do dia 15 de setembro de 1838</t>
  </si>
  <si>
    <t>Sessão N.º 198 do dia 15 de setembro de 1838</t>
  </si>
  <si>
    <t>Sessão N.º 193 do dia 4 de agosto de 1838</t>
  </si>
  <si>
    <t>Sessão N.º 194 do dia 11 de agosto de 1838</t>
  </si>
  <si>
    <t>Sessão N.º 195 do dia 18 de agosto de 1838</t>
  </si>
  <si>
    <t>Sessão N.º 190 do dia 30 de junho de 1838</t>
  </si>
  <si>
    <t>Sessão N.º 191 do dia 21 de julho de 1838</t>
  </si>
  <si>
    <t>Sessão N.º 192 do dia 28 de julho de 1838</t>
  </si>
  <si>
    <t>Sessão N.º 202 do dia 27 de outubro de 1838</t>
  </si>
  <si>
    <t>Sessão N.º 203 do dia 3 de novembro de 1838</t>
  </si>
  <si>
    <t>Sessão N.º 204 do dia 3 de novembro de 1838</t>
  </si>
  <si>
    <t>Sessão N.º 205 do dia 3 de novembro de 1838</t>
  </si>
  <si>
    <t>Sessão N.º 206 da Sociedade do dia 24 de novembro de 1838</t>
  </si>
  <si>
    <t>Sessão N.º 207 do dia 7 de dezembro de 1838</t>
  </si>
  <si>
    <t>Sessão N.º 227 do dia 18 de janeiro de 1840</t>
  </si>
  <si>
    <t>Sessão N.º 228 do dia 1 de fevereiro de 1840</t>
  </si>
  <si>
    <t>Sessão N.º 230 do dia 19 de fevereiro de 1840.</t>
  </si>
  <si>
    <t>Sessão N.º 229 do dia 15 de fevereiro de 1840.</t>
  </si>
  <si>
    <t>Sessão N.º 231 do dia 29 de fevereiro de 1840.</t>
  </si>
  <si>
    <t>Sessão N.º 232 do dia 14 de março de 1840.</t>
  </si>
  <si>
    <t>Copia da carta do Exm. Sr. Bernardo Jacintho da Veiga, de que trata a sessão n.º 232.</t>
  </si>
  <si>
    <t>Sessão N.º 233 do dia 11 de abril de 1840.</t>
  </si>
  <si>
    <t>Sessão N.º 234 do dia 2 de maio de 1840.</t>
  </si>
  <si>
    <t>Sessão N.º 235 do dia 16 de maio de 1840.</t>
  </si>
  <si>
    <t>Sessão N.º 236 do dia 12 de junho de 1840.</t>
  </si>
  <si>
    <t>Memoria sobre a criação e céva dos porcos.</t>
  </si>
  <si>
    <t>Sessão N.º 237 do dia 11 de julho de 1840.</t>
  </si>
  <si>
    <t>Sessão N.º 238 do dia 8 de agosto de 1840.</t>
  </si>
  <si>
    <t>Sessão N.º 239 do dia 22 de agosto de 1840.</t>
  </si>
  <si>
    <t>Sessão N.º 241 do dia 12 de setembro de 1840.</t>
  </si>
  <si>
    <t>Sessão N.º 242 do dia 24 de outubro de 1840.</t>
  </si>
  <si>
    <t>Sessão N.º 243 do dia 7 de novembro de 1840.</t>
  </si>
  <si>
    <t>Sessão N.º 244 do dia 22 de novembro de 1840.</t>
  </si>
  <si>
    <t>Revista Encyclopedica, Janeiro de 1824.</t>
  </si>
  <si>
    <t>Jorn. dos Conh. Usuaes e praticos</t>
  </si>
  <si>
    <t>Journ. dos Conh. Usuaes</t>
  </si>
  <si>
    <t>JGMCP1825s2v29-30</t>
  </si>
  <si>
    <t>JMG1825s1v4</t>
  </si>
  <si>
    <t>AGM1825s1v8</t>
  </si>
  <si>
    <t>"Formulaire pratique des hôpitaux civils de Paris ; par M. Ratier, D. M. ( II . Édition revue et considérablement augmentée. 1825. Chez Baillière.)" Journal Général de Médecine, de Chirurgie et de Pharmacie (Paris) 30 (April 1825): 280–282.</t>
  </si>
  <si>
    <t>Burguet. "Observations sur les maladies des organes génito-urinaires; par M. F. Lallemand, prof. de clinique chirurgicale à la Faculté de med. de Montpellier. Premérie Partie : Des rétrécissemens de l'urètre. — Un vol. in-8°. de iij-22o pag. Paris, 1825 (i)." Journal médical de la Gironde (Bordeaux) 4 (1825): 255–264.</t>
  </si>
  <si>
    <t>Harry Laeke Gibbs, "Anévrysme de l'artère axillaire guéri par la ligature de la sous-clavière." Archives générales de médecine (Paris) 8 (August 1825): 595–600.</t>
  </si>
  <si>
    <t>JMG1825s1v3</t>
  </si>
  <si>
    <t>"Préparations de lichen d'Islande." Journal médical de la Gironde (Bordeaux) 3 (1825): 340–342.</t>
  </si>
  <si>
    <t>E. L. Pereyra. "Observations sur l'inflammation de la membrane muqueuse qui tapisse les sinusfrontaux." Journal médical de la Gironde (Bordeaux) 3 (1825): 454–457.</t>
  </si>
  <si>
    <t>Processo economico para fazer o acido prussico, ou hydro-cyanico.</t>
  </si>
  <si>
    <t>JMG1824s1v1</t>
  </si>
  <si>
    <t>"Moyen defaire de la glace artificielle." Journal médical de la Gironde (Bordeaux) 4 (1825): 451.</t>
  </si>
  <si>
    <t>“Nouvelle formule de teinture de digitale.” Journal de pharmacie et des sciences accessoires (Paris) 10 (1824): 178.</t>
  </si>
  <si>
    <t>Jéromel. “Acétate d’ammoniaque liquide.” Journal de pharmacie et des sciences accessoires (Paris) 10 (1824): 69.</t>
  </si>
  <si>
    <t>JPSA1824s1v10</t>
  </si>
  <si>
    <t>["O novo Tractado de Pharmacia publicado em francez pelos Professores N. E. Henry…"]</t>
  </si>
  <si>
    <t>Tractado Elementar de diagnostico &amp;c. do Pr. Rostan</t>
  </si>
  <si>
    <t>Journal des progrès des Sciences et Institutions médicales, en Europe, en Amerique etc. 1827</t>
  </si>
  <si>
    <t>"Esquisses médicales sur Londres." Journal medical de la Gironde (Bordeaux) 3 (1825): 421–426.</t>
  </si>
  <si>
    <t>Considerações sobre o modo de acção do acetato, e do sulfato de morphina, pelo Dr. J. Strambio.</t>
  </si>
  <si>
    <t>REAR1827s1v33</t>
  </si>
  <si>
    <t>AMP1825s1v7</t>
  </si>
  <si>
    <t>Revista medica de Paris</t>
  </si>
  <si>
    <t>MARM1833s1v2</t>
  </si>
  <si>
    <t>["No anno de 1827 sahio à luz o Manual de Pharmacia publicado pelo Sr. F. Foy…"]</t>
  </si>
  <si>
    <t>FMMP1826</t>
  </si>
  <si>
    <t>RMFE1825s1v4</t>
  </si>
  <si>
    <t>Francisco Cordeira da Silva Torres</t>
  </si>
  <si>
    <t>Journal du Commerce de 22 de Fevereiro de 1835</t>
  </si>
  <si>
    <t>Magasin universel, por F. Freire Allemão</t>
  </si>
  <si>
    <t>Disé. "Encre indêlébile alcaline, ou de sureté, propre a la conservation des plumes métalliques," ournal des connaissances usuelles et pratiques (Paris) 23, no. 135 (June 1836): 274–275.</t>
  </si>
  <si>
    <t>"Moyen de perfectionner la fabrication des tuiles et des briques," Journal des connaissances usuelles et pratiques (Paris) 23, no. 135 (June 1836): 273–274.</t>
  </si>
  <si>
    <t>Pimont. "Procéde propre a rendre la laine teinte ou non teinte apte a étre filée sans y ajouter de l'huile." Journal des connaissances usuelles et pratiques (Paris) 23, no. 135 (June 1836): 272.</t>
  </si>
  <si>
    <t>Lascombe. "Procédé pour obtenir la composition d'un vernis noir applé vernis noir naval." Journal des connaissances usuelles et pratiques (Paris) 23, no. 135 (June 1836): 271.</t>
  </si>
  <si>
    <t>"Procédé pneumatique pour teindre la soie, la laine, les étoffes de laine, le camelot, la pelleterie, etc.," Journal des connaissances usuelles et pratiques (Paris) 24, no. 140 (November 1836): 233–234.</t>
  </si>
  <si>
    <t>"Préparation du feu blanc indien employé par les astronomes," Journal des connaissances usuelles et pratiques (Paris) 24, no. 140 (November 1836): 229–230.</t>
  </si>
  <si>
    <t>Nota sobre alguns processos de fabricação do ferro.</t>
  </si>
  <si>
    <t>Phenomenos que apresenta a combustão dos gazes, que sahem das fornalhas altas estando acesas.</t>
  </si>
  <si>
    <t>Processo para depurar o ferro, que quebra em frio e em quente.</t>
  </si>
  <si>
    <t xml:space="preserve">Brotero, Félix de Avelar. Historia natural da orzella. Lisbon: Impressão Régia, 1824. </t>
  </si>
  <si>
    <t>Bibliotheque Physique, pag. 265. tomo 2., 1792</t>
  </si>
  <si>
    <t>["Sr. Redactor. No tomo IV do Auxiliador…"]</t>
  </si>
  <si>
    <t>Extracto I. Methodo de engordar ganços em muitos logares, por M. Gallet</t>
  </si>
  <si>
    <t>Gallet</t>
  </si>
  <si>
    <t>Extracto II. Methodo de criar os patos de Guiné, por M. Schrank.</t>
  </si>
  <si>
    <t>Schrank</t>
  </si>
  <si>
    <t>Bibliotheque Physique, pag. 265. tomo 2., 1792.</t>
  </si>
  <si>
    <t>Extracto III. Da criação dos patos.</t>
  </si>
  <si>
    <t>Bibliotheque Phisico-economique, anno 1795, pag. 199.</t>
  </si>
  <si>
    <t>Journal de la Societè des Sci. phys. Et chimiques pelo Dr. Maia. De Fevriver de 1834</t>
  </si>
  <si>
    <t>AIN1833.1.1.1-2</t>
  </si>
  <si>
    <t>AIN1833.1.1.1-3</t>
  </si>
  <si>
    <t>AIN1833.1.1.1-4</t>
  </si>
  <si>
    <t>AIN1833.1.1.1-5</t>
  </si>
  <si>
    <t>AIN1833.1.1.1-6</t>
  </si>
  <si>
    <t>AIN1833.1.1.1-7</t>
  </si>
  <si>
    <t>AIN1833.1.1.2-8</t>
  </si>
  <si>
    <t>AIN1833.1.1.2-9</t>
  </si>
  <si>
    <t>AIN1833.1.1.2-10</t>
  </si>
  <si>
    <t>AIN1833.1.1.2-11</t>
  </si>
  <si>
    <t>AIN1833.1.1.2-12</t>
  </si>
  <si>
    <t>AIN1833.1.1.2-13</t>
  </si>
  <si>
    <t>AIN1833.1.1.2-14</t>
  </si>
  <si>
    <t>AIN1833.1.1.2-15</t>
  </si>
  <si>
    <t>AIN1833.1.1.2-16</t>
  </si>
  <si>
    <t>AIN1833.1.1.3-17</t>
  </si>
  <si>
    <t>AIN1833.1.1.3-18</t>
  </si>
  <si>
    <t>AIN1833.1.1.3-19</t>
  </si>
  <si>
    <t>AIN1833.1.1.3-20</t>
  </si>
  <si>
    <t>AIN1833.1.1.3-21</t>
  </si>
  <si>
    <t>AIN1833.1.1.3-22</t>
  </si>
  <si>
    <t>AIN1833.1.1.3-23</t>
  </si>
  <si>
    <t>AIN1833.1.1.3-24</t>
  </si>
  <si>
    <t>AIN1833.1.1.3-25</t>
  </si>
  <si>
    <t>AIN1833.1.1.4-26</t>
  </si>
  <si>
    <t>AIN1833.1.1.4-27</t>
  </si>
  <si>
    <t>AIN1833.1.1.4-28</t>
  </si>
  <si>
    <t>AIN1833.1.1.4-29</t>
  </si>
  <si>
    <t>AIN1833.1.1.4-30</t>
  </si>
  <si>
    <t>AIN1833.1.1.4-31</t>
  </si>
  <si>
    <t>AIN1833.1.1.4-32</t>
  </si>
  <si>
    <t>AIN1833.1.1.4-33</t>
  </si>
  <si>
    <t>AIN1833.1.1.4-34</t>
  </si>
  <si>
    <t>AIN1833.1.1.4-35</t>
  </si>
  <si>
    <t>AIN1833.1.1.4-36</t>
  </si>
  <si>
    <t>AIN1833.1.1.4-37</t>
  </si>
  <si>
    <t>AIN1833.1.1.4-38</t>
  </si>
  <si>
    <t>AIN1833.1.1.4-39</t>
  </si>
  <si>
    <t>AIN1833.1.1.5-40</t>
  </si>
  <si>
    <t>AIN1833.1.1.5-41</t>
  </si>
  <si>
    <t>AIN1833.1.1.5-42</t>
  </si>
  <si>
    <t>AIN1833.1.1.5-43</t>
  </si>
  <si>
    <t>AIN1833.1.1.5-44</t>
  </si>
  <si>
    <t>AIN1833.1.1.5-45</t>
  </si>
  <si>
    <t>AIN1833.1.1.5-46</t>
  </si>
  <si>
    <t>AIN1833.1.1.5-47</t>
  </si>
  <si>
    <t>AIN1833.1.1.5-48</t>
  </si>
  <si>
    <t>AIN1833.1.1.6-49</t>
  </si>
  <si>
    <t>AIN1833.1.1.6-50</t>
  </si>
  <si>
    <t>AIN1833.1.1.6-51</t>
  </si>
  <si>
    <t>AIN1833.1.1.6-52</t>
  </si>
  <si>
    <t>AIN1833.1.1.6-53</t>
  </si>
  <si>
    <t>AIN1833.1.1.7-54</t>
  </si>
  <si>
    <t>AIN1833.1.1.7-55</t>
  </si>
  <si>
    <t>AIN1833.1.1.7-56</t>
  </si>
  <si>
    <t>AIN1833.1.1.7-57</t>
  </si>
  <si>
    <t>AIN1833.1.1.7-58</t>
  </si>
  <si>
    <t>AIN1833.1.1.8-59</t>
  </si>
  <si>
    <t>AIN1833.1.1.8-60</t>
  </si>
  <si>
    <t>AIN1833.1.1.8-61</t>
  </si>
  <si>
    <t>AIN1833.1.1.8-62</t>
  </si>
  <si>
    <t>AIN1833.1.1.8-63</t>
  </si>
  <si>
    <t>AIN1833.1.1.8-64</t>
  </si>
  <si>
    <t>AIN1833.1.1.9-65</t>
  </si>
  <si>
    <t>AIN1833.1.1.9-66</t>
  </si>
  <si>
    <t>AIN1833.1.1.9-67</t>
  </si>
  <si>
    <t>AIN1833.1.1.9-68</t>
  </si>
  <si>
    <t>AIN1833.1.1.9-69</t>
  </si>
  <si>
    <t>AIN1833.1.1.9-70</t>
  </si>
  <si>
    <t>AIN1833.1.1.9-71</t>
  </si>
  <si>
    <t>AIN1833.1.1.9-72</t>
  </si>
  <si>
    <t>AIN1833.1.1.9-73</t>
  </si>
  <si>
    <t>AIN1833.1.1.9-74</t>
  </si>
  <si>
    <t>AIN1833.1.1.10-76</t>
  </si>
  <si>
    <t>AIN1833.1.1.10-77</t>
  </si>
  <si>
    <t>AIN1833.1.1.10-78</t>
  </si>
  <si>
    <t>AIN1833.1.1.10-79</t>
  </si>
  <si>
    <t>AIN1833.1.1.11-81</t>
  </si>
  <si>
    <t>AIN1833.1.1.11-82</t>
  </si>
  <si>
    <t>AIN1833.1.1.11-83</t>
  </si>
  <si>
    <t>AIN1833.1.1.11-84</t>
  </si>
  <si>
    <t>AIN1833.1.1.11-85</t>
  </si>
  <si>
    <t>AIN1833.1.1.11-86</t>
  </si>
  <si>
    <t>AIN1833.1.1.12-88</t>
  </si>
  <si>
    <t>AIN1833.1.1.12-89</t>
  </si>
  <si>
    <t>AIN1833.1.1.12-90</t>
  </si>
  <si>
    <t>AIN1833.1.1.12-91</t>
  </si>
  <si>
    <t>AIN1833.1.1.12-92</t>
  </si>
  <si>
    <t>AIN1833.1.1.12-93</t>
  </si>
  <si>
    <t>AIN1833.1.1.12-94</t>
  </si>
  <si>
    <t>AIN1833.1.1.12-95</t>
  </si>
  <si>
    <t>AIN1833.1.1.12-96</t>
  </si>
  <si>
    <t>AIN1833.1.1.12-97</t>
  </si>
  <si>
    <t>AIN1834.1.2.1-99</t>
  </si>
  <si>
    <t>AIN1834.1.2.1-100</t>
  </si>
  <si>
    <t>AIN1834.1.2.1-101</t>
  </si>
  <si>
    <t>AIN1834.1.2.1-102</t>
  </si>
  <si>
    <t>AIN1834.1.2.1-103</t>
  </si>
  <si>
    <t>AIN1834.1.2.1-104</t>
  </si>
  <si>
    <t>AIN1834.1.2.1-105</t>
  </si>
  <si>
    <t>AIN1834.1.2.1-106</t>
  </si>
  <si>
    <t>AIN1834.1.2.2-108</t>
  </si>
  <si>
    <t>AIN1834.1.2.2-109</t>
  </si>
  <si>
    <t>AIN1834.1.2.2-110</t>
  </si>
  <si>
    <t>AIN1834.1.2.2-111</t>
  </si>
  <si>
    <t>AIN1834.1.2.2-112</t>
  </si>
  <si>
    <t>AIN1834.1.2.2-113</t>
  </si>
  <si>
    <t>AIN1834.1.2.2-114</t>
  </si>
  <si>
    <t>AIN1834.1.2.2-115</t>
  </si>
  <si>
    <t>AIN1834.1.2.3-117</t>
  </si>
  <si>
    <t>AIN1834.1.2.3-119</t>
  </si>
  <si>
    <t>AIN1834.1.2.3-120</t>
  </si>
  <si>
    <t>AIN1834.1.2.3-121</t>
  </si>
  <si>
    <t>AIN1834.1.2.3-122</t>
  </si>
  <si>
    <t>AIN1834.1.2.3-123</t>
  </si>
  <si>
    <t>AIN1834.1.2.4-124</t>
  </si>
  <si>
    <t>AIN1834.1.2.4-125</t>
  </si>
  <si>
    <t>AIN1834.1.2.4-126</t>
  </si>
  <si>
    <t>AIN1834.1.2.4-127</t>
  </si>
  <si>
    <t>AIN1834.1.2.4-128</t>
  </si>
  <si>
    <t>AIN1834.1.2.4-129</t>
  </si>
  <si>
    <t>AIN1834.1.2.4-130</t>
  </si>
  <si>
    <t>AIN1834.1.2.4-131</t>
  </si>
  <si>
    <t>AIN1834.1.2.4-132</t>
  </si>
  <si>
    <t>AIN1834.1.2.4-133</t>
  </si>
  <si>
    <t>AIN1834.1.2.4-134</t>
  </si>
  <si>
    <t>AIN1834.1.2.4-135</t>
  </si>
  <si>
    <t>AIN1834.1.2.4-136</t>
  </si>
  <si>
    <t>AIN1834.1.2.4-137</t>
  </si>
  <si>
    <t>AIN1834.1.2.4-138</t>
  </si>
  <si>
    <t>AIN1834.1.2.4-139</t>
  </si>
  <si>
    <t>AIN1834.1.2.5-140</t>
  </si>
  <si>
    <t>AIN1834.1.2.5-141</t>
  </si>
  <si>
    <t>AIN1834.1.2.5-142</t>
  </si>
  <si>
    <t>AIN1834.1.2.5-143</t>
  </si>
  <si>
    <t>AIN1834.1.2.5-144</t>
  </si>
  <si>
    <t>AIN1834.1.2.5-145</t>
  </si>
  <si>
    <t>AIN1834.1.2.5-146</t>
  </si>
  <si>
    <t>AIN1834.1.2.5-147</t>
  </si>
  <si>
    <t>AIN1834.1.2.5-148</t>
  </si>
  <si>
    <t>AIN1834.1.2.5-149</t>
  </si>
  <si>
    <t>AIN1834.1.2.5-150</t>
  </si>
  <si>
    <t>AIN1834.1.2.6-151</t>
  </si>
  <si>
    <t>AIN1834.1.2.6-152</t>
  </si>
  <si>
    <t>AIN1834.1.2.6-153</t>
  </si>
  <si>
    <t>AIN1834.1.2.6-154</t>
  </si>
  <si>
    <t>AIN1834.1.2.6-155</t>
  </si>
  <si>
    <t>AIN1834.1.2.6-156</t>
  </si>
  <si>
    <t>AIN1834.1.2.6-157</t>
  </si>
  <si>
    <t>AIN1834.1.2.6-158</t>
  </si>
  <si>
    <t>AIN1834.1.2.6-159</t>
  </si>
  <si>
    <t>AIN1834.1.2.6-160</t>
  </si>
  <si>
    <t>AIN1834.1.2.6-161</t>
  </si>
  <si>
    <t>AIN1834.1.2.6-162</t>
  </si>
  <si>
    <t>AIN1834.1.2.6-163</t>
  </si>
  <si>
    <t>AIN1834.1.2.6-164</t>
  </si>
  <si>
    <t>AIN1834.1.2.6-165</t>
  </si>
  <si>
    <t>AIN1834.1.2.7-166</t>
  </si>
  <si>
    <t>AIN1834.1.2.7-167</t>
  </si>
  <si>
    <t>AIN1834.1.2.7-168</t>
  </si>
  <si>
    <t>AIN1834.1.2.7-169</t>
  </si>
  <si>
    <t>AIN1834.1.2.7-170</t>
  </si>
  <si>
    <t>AIN1834.1.2.7-171</t>
  </si>
  <si>
    <t>AIN1834.1.2.7-172</t>
  </si>
  <si>
    <t>AIN1834.1.2.7-173</t>
  </si>
  <si>
    <t>AIN1834.1.2.8-174</t>
  </si>
  <si>
    <t>AIN1834.1.2.8-175</t>
  </si>
  <si>
    <t>AIN1834.1.2.8-176</t>
  </si>
  <si>
    <t>AIN1834.1.2.8-177</t>
  </si>
  <si>
    <t>AIN1834.1.2.8-178</t>
  </si>
  <si>
    <t>AIN1834.1.2.8-179</t>
  </si>
  <si>
    <t>AIN1834.1.2.8-180</t>
  </si>
  <si>
    <t>AIN1834.1.2.8-181</t>
  </si>
  <si>
    <t>AIN1834.1.2.8-182</t>
  </si>
  <si>
    <t>AIN1834.1.2.8-183</t>
  </si>
  <si>
    <t>AIN1834.1.2.8-184</t>
  </si>
  <si>
    <t>AIN1834.1.2.8-185</t>
  </si>
  <si>
    <t>AIN1834.1.2.9-186</t>
  </si>
  <si>
    <t>AIN1834.1.2.9-187</t>
  </si>
  <si>
    <t>AIN1834.1.2.9-188</t>
  </si>
  <si>
    <t>AIN1834.1.2.10-189</t>
  </si>
  <si>
    <t>AIN1834.1.2.10-190</t>
  </si>
  <si>
    <t>AIN1834.1.2.10-191</t>
  </si>
  <si>
    <t>AIN1834.1.2.11-192</t>
  </si>
  <si>
    <t>AIN1834.1.2.11-193</t>
  </si>
  <si>
    <t>AIN1834.1.2.11-194</t>
  </si>
  <si>
    <t>AIN1834.1.2.11-195</t>
  </si>
  <si>
    <t>AIN1834.1.2.12-196</t>
  </si>
  <si>
    <t>AIN1834.1.2.12-197</t>
  </si>
  <si>
    <t>AIN1834.1.2.12-198</t>
  </si>
  <si>
    <t>AIN1834.1.2.12-199</t>
  </si>
  <si>
    <t>AIN1834.1.2.12-200</t>
  </si>
  <si>
    <t>AIN1834.1.2.12-201</t>
  </si>
  <si>
    <t>AIN1834.1.2.12-202</t>
  </si>
  <si>
    <t>AIN1834.1.2.12-203</t>
  </si>
  <si>
    <t>AIN1834.1.2.12-204</t>
  </si>
  <si>
    <t>AIN1835.1.3.1-205</t>
  </si>
  <si>
    <t>AIN1835.1.3.1-206</t>
  </si>
  <si>
    <t>AIN1835.1.3.1-207</t>
  </si>
  <si>
    <t>AIN1835.1.3.2-208</t>
  </si>
  <si>
    <t>AIN1835.1.3.2-209</t>
  </si>
  <si>
    <t>AIN1835.1.3.2-210</t>
  </si>
  <si>
    <t>AIN1835.1.3.2-211</t>
  </si>
  <si>
    <t>AIN1835.1.3.2-212</t>
  </si>
  <si>
    <t>AIN1835.1.3.2-213</t>
  </si>
  <si>
    <t>AIN1835.1.3.3-214</t>
  </si>
  <si>
    <t>AIN1835.1.3.3-215</t>
  </si>
  <si>
    <t>AIN1835.1.3.3-216</t>
  </si>
  <si>
    <t>AIN1835.1.3.3-217</t>
  </si>
  <si>
    <t>AIN1835.1.3.3-218</t>
  </si>
  <si>
    <t>AIN1835.1.3.3-219</t>
  </si>
  <si>
    <t>AIN1835.1.3.3-220</t>
  </si>
  <si>
    <t>AIN1835.1.3.3-221</t>
  </si>
  <si>
    <t>AIN1835.1.3.3-222</t>
  </si>
  <si>
    <t>AIN1835.1.3.3-223</t>
  </si>
  <si>
    <t>AIN1835.1.3.4-224</t>
  </si>
  <si>
    <t>AIN1835.1.3.4-225</t>
  </si>
  <si>
    <t>AIN1835.1.3.4-226</t>
  </si>
  <si>
    <t>AIN1835.1.3.4-227</t>
  </si>
  <si>
    <t>AIN1835.1.3.4-228</t>
  </si>
  <si>
    <t>AIN1835.1.3.4-229</t>
  </si>
  <si>
    <t>AIN1835.1.3.4-230</t>
  </si>
  <si>
    <t>AIN1835.1.3.4-231</t>
  </si>
  <si>
    <t>AIN1835.1.3.4-232</t>
  </si>
  <si>
    <t>AIN1835.1.3.5-233</t>
  </si>
  <si>
    <t>AIN1835.1.3.5-234</t>
  </si>
  <si>
    <t>AIN1835.1.3.5-235</t>
  </si>
  <si>
    <t>AIN1835.1.3.5-236</t>
  </si>
  <si>
    <t>AIN1835.1.3.5-237</t>
  </si>
  <si>
    <t>AIN1835.1.3.5-238</t>
  </si>
  <si>
    <t>AIN1835.1.3.5-239</t>
  </si>
  <si>
    <t>AIN1835.1.3.5-240</t>
  </si>
  <si>
    <t>AIN1835.1.3.5-241</t>
  </si>
  <si>
    <t>AIN1835.1.3.5-242</t>
  </si>
  <si>
    <t>AIN1835.1.3.5-243</t>
  </si>
  <si>
    <t>AIN1835.1.3.5-244</t>
  </si>
  <si>
    <t>AIN1835.1.3.5-245</t>
  </si>
  <si>
    <t>AIN1835.1.3.5-246</t>
  </si>
  <si>
    <t>AIN1835.1.3.5-247</t>
  </si>
  <si>
    <t>AIN1835.1.3.5-248</t>
  </si>
  <si>
    <t>AIN1835.1.3.5-249</t>
  </si>
  <si>
    <t>AIN1835.1.3.5-250</t>
  </si>
  <si>
    <t>AIN1835.1.3.5-251</t>
  </si>
  <si>
    <t>AIN1835.1.3.5-252</t>
  </si>
  <si>
    <t>AIN1835.1.3.5-253</t>
  </si>
  <si>
    <t>AIN1835.1.3.6-254</t>
  </si>
  <si>
    <t>AIN1835.1.3.6-255</t>
  </si>
  <si>
    <t>AIN1835.1.3.6-256</t>
  </si>
  <si>
    <t>AIN1835.1.3.6-257</t>
  </si>
  <si>
    <t>AIN1835.1.3.6-258</t>
  </si>
  <si>
    <t>AIN1835.1.3.6-259</t>
  </si>
  <si>
    <t>AIN1835.1.3.6-260</t>
  </si>
  <si>
    <t>AIN1835.1.3.6-261</t>
  </si>
  <si>
    <t>AIN1835.1.3.6-262</t>
  </si>
  <si>
    <t>AIN1835.1.3.7-263</t>
  </si>
  <si>
    <t>AIN1835.1.3.7-264</t>
  </si>
  <si>
    <t>AIN1835.1.3.7-265</t>
  </si>
  <si>
    <t>AIN1835.1.3.7-266</t>
  </si>
  <si>
    <t>AIN1835.1.3.7-267</t>
  </si>
  <si>
    <t>AIN1835.1.3.7-268</t>
  </si>
  <si>
    <t>AIN1835.1.3.7-269</t>
  </si>
  <si>
    <t>AIN1835.1.3.7-270</t>
  </si>
  <si>
    <t>AIN1835.1.3.7-271</t>
  </si>
  <si>
    <t>AIN1835.1.3.7-272</t>
  </si>
  <si>
    <t>AIN1835.1.3.7-273</t>
  </si>
  <si>
    <t>AIN1835.1.3.7-274</t>
  </si>
  <si>
    <t>AIN1835.1.3.7-275</t>
  </si>
  <si>
    <t>AIN1835.1.3.7-276</t>
  </si>
  <si>
    <t>AIN1835.1.3.7-277</t>
  </si>
  <si>
    <t>AIN1835.1.3.7-278</t>
  </si>
  <si>
    <t>AIN1835.1.3.7-279</t>
  </si>
  <si>
    <t>AIN1835.1.3.8-280</t>
  </si>
  <si>
    <t>AIN1835.1.3.8-281</t>
  </si>
  <si>
    <t>AIN1835.1.3.8-282</t>
  </si>
  <si>
    <t>AIN1835.1.3.8-283</t>
  </si>
  <si>
    <t>AIN1835.1.3.8-284</t>
  </si>
  <si>
    <t>AIN1835.1.3.8-285</t>
  </si>
  <si>
    <t>AIN1835.1.3.8-286</t>
  </si>
  <si>
    <t>AIN1835.1.3.9-287</t>
  </si>
  <si>
    <t>AIN1835.1.3.9-288</t>
  </si>
  <si>
    <t>AIN1835.1.3.9-289</t>
  </si>
  <si>
    <t>AIN1835.1.3.9-290</t>
  </si>
  <si>
    <t>AIN1835.1.3.9-291</t>
  </si>
  <si>
    <t>AIN1835.1.3.9-292</t>
  </si>
  <si>
    <t>AIN1835.1.3.9-293</t>
  </si>
  <si>
    <t>AIN1835.1.3.9-294</t>
  </si>
  <si>
    <t>AIN1835.1.3.9-295</t>
  </si>
  <si>
    <t>AIN1835.1.3.9-296</t>
  </si>
  <si>
    <t>AIN1835.1.3.9-297</t>
  </si>
  <si>
    <t>AIN1835.1.3.9-298</t>
  </si>
  <si>
    <t>AIN1835.1.3.9-299</t>
  </si>
  <si>
    <t>AIN1835.1.3.9-300</t>
  </si>
  <si>
    <t>AIN1835.1.3.10-301</t>
  </si>
  <si>
    <t>AIN1835.1.3.10-302</t>
  </si>
  <si>
    <t>AIN1835.1.3.10-303</t>
  </si>
  <si>
    <t>AIN1835.1.3.10-304</t>
  </si>
  <si>
    <t>AIN1835.1.3.10-305</t>
  </si>
  <si>
    <t>AIN1835.1.3.10-306</t>
  </si>
  <si>
    <t>AIN1835.1.3.10-307</t>
  </si>
  <si>
    <t>AIN1835.1.3.10-308</t>
  </si>
  <si>
    <t>AIN1835.1.3.10-309</t>
  </si>
  <si>
    <t>AIN1835.1.3.10-310</t>
  </si>
  <si>
    <t>AIN1835.1.3.10-311</t>
  </si>
  <si>
    <t>AIN1835.1.3.10-312</t>
  </si>
  <si>
    <t>AIN1835.1.3.10-313</t>
  </si>
  <si>
    <t>AIN1835.1.3.10-314</t>
  </si>
  <si>
    <t>AIN1835.1.3.11-315</t>
  </si>
  <si>
    <t>AIN1835.1.3.11-316</t>
  </si>
  <si>
    <t>AIN1835.1.3.11-317</t>
  </si>
  <si>
    <t>AIN1835.1.3.11-318</t>
  </si>
  <si>
    <t>AIN1835.1.3.11-319</t>
  </si>
  <si>
    <t>AIN1835.1.3.11-320</t>
  </si>
  <si>
    <t>AIN1835.1.3.11-321</t>
  </si>
  <si>
    <t>AIN1835.1.3.11-322</t>
  </si>
  <si>
    <t>AIN1835.1.3.11-323</t>
  </si>
  <si>
    <t>AIN1835.1.3.11-324</t>
  </si>
  <si>
    <t>AIN1835.1.3.12-325</t>
  </si>
  <si>
    <t>AIN1835.1.3.12-326</t>
  </si>
  <si>
    <t>AIN1835.1.3.12-327</t>
  </si>
  <si>
    <t>AIN1835.1.3.12-328</t>
  </si>
  <si>
    <t>AIN1835.1.3.12-329</t>
  </si>
  <si>
    <t>AIN1835.1.3.12-330</t>
  </si>
  <si>
    <t>AIN1835.1.3.12-331</t>
  </si>
  <si>
    <t>AIN1835.1.3.12-332</t>
  </si>
  <si>
    <t>AIN1835.1.3.12-333</t>
  </si>
  <si>
    <t>AIN1836.1.4.1-334</t>
  </si>
  <si>
    <t>AIN1836.1.4.1-335</t>
  </si>
  <si>
    <t>AIN1836.1.4.1-336</t>
  </si>
  <si>
    <t>AIN1836.1.4.1-337</t>
  </si>
  <si>
    <t>AIN1836.1.4.1-338</t>
  </si>
  <si>
    <t>AIN1836.1.4.1-339</t>
  </si>
  <si>
    <t>AIN1836.1.4.1-340</t>
  </si>
  <si>
    <t>AIN1836.1.4.2-341</t>
  </si>
  <si>
    <t>AIN1836.1.4.2-342</t>
  </si>
  <si>
    <t>AIN1836.1.4.2-343</t>
  </si>
  <si>
    <t>AIN1836.1.4.2-344</t>
  </si>
  <si>
    <t>AIN1836.1.4.2-345</t>
  </si>
  <si>
    <t>AIN1836.1.4.2-346</t>
  </si>
  <si>
    <t>AIN1836.1.4.2-347</t>
  </si>
  <si>
    <t>AIN1836.1.4.2-348</t>
  </si>
  <si>
    <t>AIN1836.1.4.2-349</t>
  </si>
  <si>
    <t>AIN1836.1.4.2-350</t>
  </si>
  <si>
    <t>AIN1836.1.4.2-351</t>
  </si>
  <si>
    <t>AIN1836.1.4.2-352</t>
  </si>
  <si>
    <t>AIN1836.1.4.2-353</t>
  </si>
  <si>
    <t>AIN1836.1.4.2-354</t>
  </si>
  <si>
    <t>AIN1836.1.4.3-355</t>
  </si>
  <si>
    <t>AIN1836.1.4.3-356</t>
  </si>
  <si>
    <t>AIN1836.1.4.3-357</t>
  </si>
  <si>
    <t>AIN1836.1.4.3-358</t>
  </si>
  <si>
    <t>AIN1836.1.4.3-359</t>
  </si>
  <si>
    <t>AIN1836.1.4.3-360</t>
  </si>
  <si>
    <t>AIN1836.1.4.3-361</t>
  </si>
  <si>
    <t>AIN1836.1.4.4-362</t>
  </si>
  <si>
    <t>AIN1836.1.4.4-363</t>
  </si>
  <si>
    <t>AIN1836.1.4.4-364</t>
  </si>
  <si>
    <t>AIN1836.1.4.4-365</t>
  </si>
  <si>
    <t>AIN1836.1.4.4-366</t>
  </si>
  <si>
    <t>AIN1836.1.4.4-367</t>
  </si>
  <si>
    <t>AIN1836.1.4.4-368</t>
  </si>
  <si>
    <t>AIN1836.1.4.4-369</t>
  </si>
  <si>
    <t>AIN1836.1.4.4-370</t>
  </si>
  <si>
    <t>AIN1836.1.4.4-371</t>
  </si>
  <si>
    <t>AIN1836.1.4.4-372</t>
  </si>
  <si>
    <t>AIN1836.1.4.5-373</t>
  </si>
  <si>
    <t>AIN1836.1.4.5-374</t>
  </si>
  <si>
    <t>AIN1836.1.4.5-375</t>
  </si>
  <si>
    <t>AIN1836.1.4.5-376</t>
  </si>
  <si>
    <t>AIN1836.1.4.5-377</t>
  </si>
  <si>
    <t>AIN1836.1.4.5-378</t>
  </si>
  <si>
    <t>AIN1836.1.4.6-379</t>
  </si>
  <si>
    <t>AIN1836.1.4.6-380</t>
  </si>
  <si>
    <t>AIN1836.1.4.6-381</t>
  </si>
  <si>
    <t>AIN1836.1.4.6-382</t>
  </si>
  <si>
    <t>AIN1836.1.4.6-383</t>
  </si>
  <si>
    <t>AIN1836.1.4.6-384</t>
  </si>
  <si>
    <t>AIN1836.1.4.6-385</t>
  </si>
  <si>
    <t>AIN1836.1.4.7-386</t>
  </si>
  <si>
    <t>AIN1836.1.4.7-387</t>
  </si>
  <si>
    <t>AIN1836.1.4.7-388</t>
  </si>
  <si>
    <t>AIN1836.1.4.7-389</t>
  </si>
  <si>
    <t>AIN1836.1.4.7-390</t>
  </si>
  <si>
    <t>AIN1836.1.4.7-391</t>
  </si>
  <si>
    <t>AIN1836.1.4.7-392</t>
  </si>
  <si>
    <t>AIN1836.1.4.7-393</t>
  </si>
  <si>
    <t>AIN1836.1.4.7-394</t>
  </si>
  <si>
    <t>AIN1836.1.4.7-395</t>
  </si>
  <si>
    <t>AIN1836.1.4.8-396</t>
  </si>
  <si>
    <t>AIN1836.1.4.8-397</t>
  </si>
  <si>
    <t>AIN1836.1.4.8-398</t>
  </si>
  <si>
    <t>AIN1836.1.4.8-399</t>
  </si>
  <si>
    <t>AIN1836.1.4.8-400</t>
  </si>
  <si>
    <t>AIN1836.1.4.8-401</t>
  </si>
  <si>
    <t>AIN1836.1.4.9-402</t>
  </si>
  <si>
    <t>AIN1836.1.4.9-403</t>
  </si>
  <si>
    <t>AIN1836.1.4.9-404</t>
  </si>
  <si>
    <t>AIN1836.1.4.9-405</t>
  </si>
  <si>
    <t>AIN1836.1.4.9-406</t>
  </si>
  <si>
    <t>AIN1836.1.4.9-407</t>
  </si>
  <si>
    <t>AIN1836.1.4.10-408</t>
  </si>
  <si>
    <t>AIN1836.1.4.10-409</t>
  </si>
  <si>
    <t>AIN1836.1.4.10-410</t>
  </si>
  <si>
    <t>AIN1836.1.4.10-411</t>
  </si>
  <si>
    <t>AIN1836.1.4.10-412</t>
  </si>
  <si>
    <t>AIN1836.1.4.10-413</t>
  </si>
  <si>
    <t>AIN1836.1.4.10-414</t>
  </si>
  <si>
    <t>AIN1836.1.4.11-415</t>
  </si>
  <si>
    <t>AIN1836.1.4.11-416</t>
  </si>
  <si>
    <t>AIN1836.1.4.11-417</t>
  </si>
  <si>
    <t>AIN1836.1.4.11-418</t>
  </si>
  <si>
    <t>AIN1836.1.4.11-419</t>
  </si>
  <si>
    <t>AIN1836.1.4.11-420</t>
  </si>
  <si>
    <t>AIN1836.1.4.11-421</t>
  </si>
  <si>
    <t>AIN1836.1.4.11-422</t>
  </si>
  <si>
    <t>AIN1836.1.4.11-423</t>
  </si>
  <si>
    <t>AIN1837.1.5.1-428</t>
  </si>
  <si>
    <t>AIN1837.1.5.1-429</t>
  </si>
  <si>
    <t>AIN1837.1.5.1-430</t>
  </si>
  <si>
    <t>AIN1837.1.5.1-431</t>
  </si>
  <si>
    <t>AIN1837.1.5.1-432</t>
  </si>
  <si>
    <t>AIN1837.1.5.2-435</t>
  </si>
  <si>
    <t>AIN1837.1.5.2-436</t>
  </si>
  <si>
    <t>AIN1837.1.5.2-437</t>
  </si>
  <si>
    <t>AIN1837.1.5.2-438</t>
  </si>
  <si>
    <t>AIN1837.1.5.2-439</t>
  </si>
  <si>
    <t>AIN1837.1.5.3-442</t>
  </si>
  <si>
    <t>AIN1837.1.5.3-443</t>
  </si>
  <si>
    <t>AIN1837.1.5.3-444</t>
  </si>
  <si>
    <t>AIN1837.1.5.3-445</t>
  </si>
  <si>
    <t>AIN1837.1.5.3-446</t>
  </si>
  <si>
    <t>AIN1837.1.5.3-447</t>
  </si>
  <si>
    <t>AIN1837.1.5.3-448</t>
  </si>
  <si>
    <t>AIN1837.1.5.3-449</t>
  </si>
  <si>
    <t>AIN1837.1.5.3-450</t>
  </si>
  <si>
    <t>AIN1837.1.5.3-451</t>
  </si>
  <si>
    <t>AIN1837.1.5.4-454</t>
  </si>
  <si>
    <t>AIN1837.1.5.4-455</t>
  </si>
  <si>
    <t>AIN1837.1.5.4-456</t>
  </si>
  <si>
    <t>AIN1837.1.5.4-457</t>
  </si>
  <si>
    <t>AIN1837.1.5.4-458</t>
  </si>
  <si>
    <t>AIN1837.1.5.4-459</t>
  </si>
  <si>
    <t>AIN1837.1.5.5-462</t>
  </si>
  <si>
    <t>AIN1837.1.5.5-463</t>
  </si>
  <si>
    <t>AIN1837.1.5.5-464</t>
  </si>
  <si>
    <t>AIN1837.1.5.5-465</t>
  </si>
  <si>
    <t>AIN1837.1.5.5-466</t>
  </si>
  <si>
    <t>AIN1837.1.5.5-467</t>
  </si>
  <si>
    <t>AIN1837.1.5.5-468</t>
  </si>
  <si>
    <t>AIN1837.1.5.6-471</t>
  </si>
  <si>
    <t>AIN1837.1.5.6-472</t>
  </si>
  <si>
    <t>AIN1837.1.5.6-473</t>
  </si>
  <si>
    <t>AIN1837.1.5.6-474</t>
  </si>
  <si>
    <t>AIN1837.1.5.6-475</t>
  </si>
  <si>
    <t>AIN1837.1.5.6-476</t>
  </si>
  <si>
    <t>AIN1837.1.5.6-477</t>
  </si>
  <si>
    <t>AIN1837.1.5.6-478</t>
  </si>
  <si>
    <t>AIN1837.1.5.7-481</t>
  </si>
  <si>
    <t>AIN1837.1.5.7-482</t>
  </si>
  <si>
    <t>AIN1837.1.5.7-483</t>
  </si>
  <si>
    <t>AIN1837.1.5.7-484</t>
  </si>
  <si>
    <t>AIN1837.1.5.7-485</t>
  </si>
  <si>
    <t>AIN1837.1.5.7-486</t>
  </si>
  <si>
    <t>AIN1837.1.5.7-487</t>
  </si>
  <si>
    <t>AIN1837.1.5.7-488</t>
  </si>
  <si>
    <t>AIN1837.1.5.7-489</t>
  </si>
  <si>
    <t>AIN1837.1.5.7-490</t>
  </si>
  <si>
    <t>AIN1837.1.5.7-491</t>
  </si>
  <si>
    <t>AIN1837.1.5.8-494</t>
  </si>
  <si>
    <t>AIN1837.1.5.8-495</t>
  </si>
  <si>
    <t>AIN1837.1.5.8-496</t>
  </si>
  <si>
    <t>AIN1837.1.5.8-497</t>
  </si>
  <si>
    <t>AIN1837.1.5.8-498</t>
  </si>
  <si>
    <t>AIN1837.1.5.8-499</t>
  </si>
  <si>
    <t>AIN1837.1.5.8-500</t>
  </si>
  <si>
    <t>AIN1837.1.5.8-501</t>
  </si>
  <si>
    <t>AIN1837.1.5.9-504</t>
  </si>
  <si>
    <t>AIN1837.1.5.9-505</t>
  </si>
  <si>
    <t>AIN1837.1.5.9-506</t>
  </si>
  <si>
    <t>AIN1837.1.5.9-507</t>
  </si>
  <si>
    <t>AIN1837.1.5.9-508</t>
  </si>
  <si>
    <t>AIN1837.1.5.9-509</t>
  </si>
  <si>
    <t>AIN1837.1.5.9-510</t>
  </si>
  <si>
    <t>AIN1837.1.5.9-511</t>
  </si>
  <si>
    <t>AIN1837.1.5.9-512</t>
  </si>
  <si>
    <t>AIN1837.1.5.9-513</t>
  </si>
  <si>
    <t>AIN1837.1.5.9-514</t>
  </si>
  <si>
    <t>AIN1837.1.5.9-515</t>
  </si>
  <si>
    <t>AIN1837.1.5.9-516</t>
  </si>
  <si>
    <t>AIN1837.1.5.10-519</t>
  </si>
  <si>
    <t>AIN1837.1.5.10-520</t>
  </si>
  <si>
    <t>AIN1837.1.5.10-521</t>
  </si>
  <si>
    <t>AIN1837.1.5.10-522</t>
  </si>
  <si>
    <t>AIN1837.1.5.10-523</t>
  </si>
  <si>
    <t>AIN1837.1.5.10-524</t>
  </si>
  <si>
    <t>AIN1837.1.5.10-525</t>
  </si>
  <si>
    <t>AIN1837.1.5.10-526</t>
  </si>
  <si>
    <t>AIN1837.1.5.10-527</t>
  </si>
  <si>
    <t>AIN1837.1.5.10-528</t>
  </si>
  <si>
    <t>AIN1837.1.5.10-529</t>
  </si>
  <si>
    <t>AIN1837.1.5.10-530</t>
  </si>
  <si>
    <t>AIN1837.1.5.11-533</t>
  </si>
  <si>
    <t>AIN1837.1.5.11-534</t>
  </si>
  <si>
    <t>AIN1837.1.5.11-535</t>
  </si>
  <si>
    <t>AIN1837.1.5.11-536</t>
  </si>
  <si>
    <t>AIN1837.1.5.11-537</t>
  </si>
  <si>
    <t>AIN1837.1.5.11-538</t>
  </si>
  <si>
    <t>AIN1837.1.5.11-539</t>
  </si>
  <si>
    <t>AIN1837.1.5.11-540</t>
  </si>
  <si>
    <t>AIN1837.1.5.11-541</t>
  </si>
  <si>
    <t>AIN1837.1.5.11-542</t>
  </si>
  <si>
    <t>AIN1837.1.5.11-543</t>
  </si>
  <si>
    <t>AIN1837.1.5.12-546</t>
  </si>
  <si>
    <t>AIN1837.1.5.12-547</t>
  </si>
  <si>
    <t>AIN1837.1.5.12-548</t>
  </si>
  <si>
    <t>AIN1837.1.5.12-549</t>
  </si>
  <si>
    <t>AIN1837.1.5.12-550</t>
  </si>
  <si>
    <t>AIN1837.1.5.12-551</t>
  </si>
  <si>
    <t>AIN1837.1.5.12-552</t>
  </si>
  <si>
    <t>AIN1837.1.5.12-553</t>
  </si>
  <si>
    <t>AIN1837.1.5.12-554</t>
  </si>
  <si>
    <t>AIN1837.1.5.12-555</t>
  </si>
  <si>
    <t>AIN1838.1.6.1-558</t>
  </si>
  <si>
    <t>AIN1838.1.6.1-559</t>
  </si>
  <si>
    <t>AIN1838.1.6.1-560</t>
  </si>
  <si>
    <t>AIN1838.1.6.1-561</t>
  </si>
  <si>
    <t>AIN1838.1.6.1-562</t>
  </si>
  <si>
    <t>AIN1838.1.6.1-563</t>
  </si>
  <si>
    <t>AIN1838.1.6.1-564</t>
  </si>
  <si>
    <t>AIN1838.1.6.1-565</t>
  </si>
  <si>
    <t>AIN1838.1.6.2-568</t>
  </si>
  <si>
    <t>AIN1838.1.6.2-569</t>
  </si>
  <si>
    <t>AIN1838.1.6.2-570</t>
  </si>
  <si>
    <t>AIN1838.1.6.2-571</t>
  </si>
  <si>
    <t>AIN1838.1.6.3-574</t>
  </si>
  <si>
    <t>AIN1838.1.6.3-575</t>
  </si>
  <si>
    <t>AIN1838.1.6.3-576</t>
  </si>
  <si>
    <t>AIN1838.1.6.3-577</t>
  </si>
  <si>
    <t>AIN1838.1.6.3-578</t>
  </si>
  <si>
    <t>AIN1838.1.6.3-579</t>
  </si>
  <si>
    <t>AIN1838.1.6.4-582</t>
  </si>
  <si>
    <t>AIN1838.1.6.4-583</t>
  </si>
  <si>
    <t>AIN1838.1.6.4-584</t>
  </si>
  <si>
    <t>AIN1838.1.6.4-585</t>
  </si>
  <si>
    <t>AIN1838.1.6.4-586</t>
  </si>
  <si>
    <t>AIN1838.1.6.4-587</t>
  </si>
  <si>
    <t>AIN1838.1.6.5-590</t>
  </si>
  <si>
    <t>AIN1838.1.6.5-591</t>
  </si>
  <si>
    <t>AIN1838.1.6.5-592</t>
  </si>
  <si>
    <t>AIN1838.1.6.5-593</t>
  </si>
  <si>
    <t>AIN1838.1.6.5-594</t>
  </si>
  <si>
    <t>AIN1838.1.6.6-597</t>
  </si>
  <si>
    <t>AIN1838.1.6.6-598</t>
  </si>
  <si>
    <t>AIN1838.1.6.6-599</t>
  </si>
  <si>
    <t>AIN1838.1.6.6-600</t>
  </si>
  <si>
    <t>AIN1838.1.6.7-603</t>
  </si>
  <si>
    <t>AIN1838.1.6.7-604</t>
  </si>
  <si>
    <t>AIN1838.1.6.7-605</t>
  </si>
  <si>
    <t>AIN1838.1.6.7-606</t>
  </si>
  <si>
    <t>AIN1838.1.6.7-607</t>
  </si>
  <si>
    <t>AIN1838.1.6.8-610</t>
  </si>
  <si>
    <t>AIN1838.1.6.8-611</t>
  </si>
  <si>
    <t>AIN1838.1.6.8-612</t>
  </si>
  <si>
    <t>AIN1838.1.6.8-613</t>
  </si>
  <si>
    <t>AIN1838.1.6.8-614</t>
  </si>
  <si>
    <t>AIN1838.1.6.8-615</t>
  </si>
  <si>
    <t>AIN1838.1.6.9-618</t>
  </si>
  <si>
    <t>AIN1838.1.6.9-619</t>
  </si>
  <si>
    <t>AIN1838.1.6.9-620</t>
  </si>
  <si>
    <t>AIN1838.1.6.9-621</t>
  </si>
  <si>
    <t>AIN1838.1.6.9-622</t>
  </si>
  <si>
    <t>AIN1838.1.6.9-623</t>
  </si>
  <si>
    <t>AIN1838.1.6.10-626</t>
  </si>
  <si>
    <t>AIN1838.1.6.10-627</t>
  </si>
  <si>
    <t>AIN1838.1.6.10-628</t>
  </si>
  <si>
    <t>AIN1838.1.6.10-629</t>
  </si>
  <si>
    <t>AIN1838.1.6.10-630</t>
  </si>
  <si>
    <t>AIN1838.1.6.10-631</t>
  </si>
  <si>
    <t>AIN1838.1.6.11-634</t>
  </si>
  <si>
    <t>AIN1838.1.6.11-635</t>
  </si>
  <si>
    <t>AIN1838.1.6.11-636</t>
  </si>
  <si>
    <t>AIN1838.1.6.11-637</t>
  </si>
  <si>
    <t>AIN1838.1.6.11-638</t>
  </si>
  <si>
    <t>AIN1838.1.6.11-639</t>
  </si>
  <si>
    <t>AIN1838.1.6.12-642</t>
  </si>
  <si>
    <t>AIN1838.1.6.12-643</t>
  </si>
  <si>
    <t>AIN1838.1.6.12-644</t>
  </si>
  <si>
    <t>AIN1838.1.6.12-645</t>
  </si>
  <si>
    <t>AIN1838.1.6.12-646</t>
  </si>
  <si>
    <t>AIN1838.1.6.12-647</t>
  </si>
  <si>
    <t>AIN1838.1.6.12-648</t>
  </si>
  <si>
    <t>AIN1839.1.7.1-651</t>
  </si>
  <si>
    <t>AIN1839.1.7.1-652</t>
  </si>
  <si>
    <t>AIN1839.1.7.1-653</t>
  </si>
  <si>
    <t>AIN1839.1.7.1-654</t>
  </si>
  <si>
    <t>AIN1839.1.7.1-655</t>
  </si>
  <si>
    <t>AIN1839.1.7.1-656</t>
  </si>
  <si>
    <t>AIN1839.1.7.2-659</t>
  </si>
  <si>
    <t>AIN1839.1.7.2-660</t>
  </si>
  <si>
    <t>AIN1839.1.7.2-661</t>
  </si>
  <si>
    <t>AIN1839.1.7.2-662</t>
  </si>
  <si>
    <t>AIN1839.1.7.2-663</t>
  </si>
  <si>
    <t>AIN1839.1.7.2-664</t>
  </si>
  <si>
    <t>AIN1839.1.7.2-665</t>
  </si>
  <si>
    <t>AIN1839.1.7.2-666</t>
  </si>
  <si>
    <t>AIN1839.1.7.2-667</t>
  </si>
  <si>
    <t>AIN1839.1.7.2-668</t>
  </si>
  <si>
    <t>AIN1839.1.7.2-669</t>
  </si>
  <si>
    <t>AIN1839.1.7.2-670</t>
  </si>
  <si>
    <t>AIN1839.1.7.2-671</t>
  </si>
  <si>
    <t>AIN1839.1.7.2-672</t>
  </si>
  <si>
    <t>AIN1839.1.7.3-675</t>
  </si>
  <si>
    <t>AIN1839.1.7.3-676</t>
  </si>
  <si>
    <t>AIN1839.1.7.3-677</t>
  </si>
  <si>
    <t>AIN1839.1.7.4-680</t>
  </si>
  <si>
    <t>AIN1839.1.7.4-681</t>
  </si>
  <si>
    <t>AIN1839.1.7.4-682</t>
  </si>
  <si>
    <t>AIN1839.1.7.4-683</t>
  </si>
  <si>
    <t>AIN1839.1.7.4-684</t>
  </si>
  <si>
    <t>AIN1839.1.7.4-685</t>
  </si>
  <si>
    <t>AIN1839.1.7.4-686</t>
  </si>
  <si>
    <t>AIN1839.1.7.4-687</t>
  </si>
  <si>
    <t>AIN1839.1.7.4-688</t>
  </si>
  <si>
    <t>AIN1839.1.7.4-689</t>
  </si>
  <si>
    <t>AIN1839.1.7.5-692</t>
  </si>
  <si>
    <t>AIN1839.1.7.5-693</t>
  </si>
  <si>
    <t>AIN1839.1.7.5-694</t>
  </si>
  <si>
    <t>AIN1839.1.7.5-695</t>
  </si>
  <si>
    <t>AIN1839.1.7.6-698</t>
  </si>
  <si>
    <t>AIN1839.1.7.6-699</t>
  </si>
  <si>
    <t>AIN1839.1.7.6-700</t>
  </si>
  <si>
    <t>AIN1839.1.7.6-701</t>
  </si>
  <si>
    <t>AIN1839.1.7.6-702</t>
  </si>
  <si>
    <t>AIN1839.1.7.7-705</t>
  </si>
  <si>
    <t>AIN1839.1.7.7-706</t>
  </si>
  <si>
    <t>AIN1839.1.7.7-707</t>
  </si>
  <si>
    <t>AIN1839.1.7.7-708</t>
  </si>
  <si>
    <t>AIN1839.1.7.7-709</t>
  </si>
  <si>
    <t>AIN1839.1.7.8-712</t>
  </si>
  <si>
    <t>AIN1839.1.7.8-713</t>
  </si>
  <si>
    <t>AIN1839.1.7.8-714</t>
  </si>
  <si>
    <t>AIN1839.1.7.8-715</t>
  </si>
  <si>
    <t>AIN1839.1.7.8-716</t>
  </si>
  <si>
    <t>AIN1839.1.7.8-717</t>
  </si>
  <si>
    <t>AIN1839.1.7.8-718</t>
  </si>
  <si>
    <t>AIN1839.1.7.8-719</t>
  </si>
  <si>
    <t>AIN1839.1.7.8-720</t>
  </si>
  <si>
    <t>AIN1839.1.7.8-721</t>
  </si>
  <si>
    <t>AIN1839.1.7.8-722</t>
  </si>
  <si>
    <t>AIN1839.1.7.8-723</t>
  </si>
  <si>
    <t>AIN1839.1.7.8-724</t>
  </si>
  <si>
    <t>AIN1839.1.7.8-725</t>
  </si>
  <si>
    <t>AIN1839.1.7.8-726</t>
  </si>
  <si>
    <t>AIN1839.1.7.8-727</t>
  </si>
  <si>
    <t>AIN1839.1.7.8-728</t>
  </si>
  <si>
    <t>AIN1839.1.7.8-729</t>
  </si>
  <si>
    <t>AIN1839.1.7.9-732</t>
  </si>
  <si>
    <t>AIN1839.1.7.9-733</t>
  </si>
  <si>
    <t>AIN1839.1.7.9-734</t>
  </si>
  <si>
    <t>AIN1839.1.7.9-735</t>
  </si>
  <si>
    <t>AIN1839.1.7.9-736</t>
  </si>
  <si>
    <t>AIN1839.1.7.9-737</t>
  </si>
  <si>
    <t>AIN1839.1.7.9-738</t>
  </si>
  <si>
    <t>AIN1839.1.7.10-741</t>
  </si>
  <si>
    <t>AIN1839.1.7.10-742</t>
  </si>
  <si>
    <t>AIN1839.1.7.10-743</t>
  </si>
  <si>
    <t>AIN1839.1.7.10-744</t>
  </si>
  <si>
    <t>AIN1839.1.7.10-745</t>
  </si>
  <si>
    <t>AIN1839.1.7.10-746</t>
  </si>
  <si>
    <t>AIN1839.1.7.10-747</t>
  </si>
  <si>
    <t>AIN1839.1.7.10-748</t>
  </si>
  <si>
    <t>AIN1839.1.7.11-751</t>
  </si>
  <si>
    <t>AIN1839.1.7.11-752</t>
  </si>
  <si>
    <t>AIN1839.1.7.11-753</t>
  </si>
  <si>
    <t>AIN1839.1.7.11-754</t>
  </si>
  <si>
    <t>AIN1839.1.7.11-755</t>
  </si>
  <si>
    <t>AIN1839.1.7.11-756</t>
  </si>
  <si>
    <t>AIN1839.1.7.12-759</t>
  </si>
  <si>
    <t>AIN1839.1.7.12-760</t>
  </si>
  <si>
    <t>AIN1839.1.7.12-761</t>
  </si>
  <si>
    <t>AIN1839.1.7.12-762</t>
  </si>
  <si>
    <t>AIN1839.1.7.12-763</t>
  </si>
  <si>
    <t>AIN1839.1.7.12-764</t>
  </si>
  <si>
    <t>AIN1839.1.7.12-765</t>
  </si>
  <si>
    <t>AIN1839.1.7.12-766</t>
  </si>
  <si>
    <t>AIN1839.1.7.12-767</t>
  </si>
  <si>
    <t>AIN1839.1.7.12-768</t>
  </si>
  <si>
    <t>AIN1839.1.7.12-769</t>
  </si>
  <si>
    <t>AIN1839.1.7.12-770</t>
  </si>
  <si>
    <t>AIN1839.1.7.12-771</t>
  </si>
  <si>
    <t>AIN1839.1.7.12-772</t>
  </si>
  <si>
    <t>AIN1840.1.8.1-775</t>
  </si>
  <si>
    <t>AIN1840.1.8.1-776</t>
  </si>
  <si>
    <t>AIN1840.1.8.1-777</t>
  </si>
  <si>
    <t>AIN1840.1.8.1-778</t>
  </si>
  <si>
    <t>AIN1840.1.8.2-781</t>
  </si>
  <si>
    <t>AIN1840.1.8.2-782</t>
  </si>
  <si>
    <t>AIN1840.1.8.2-783</t>
  </si>
  <si>
    <t>AIN1840.1.8.2-784</t>
  </si>
  <si>
    <t>AIN1840.1.8.2-785</t>
  </si>
  <si>
    <t>AIN1840.1.8.2-786</t>
  </si>
  <si>
    <t>AIN1840.1.8.2-787</t>
  </si>
  <si>
    <t>AIN1840.1.8.3-790</t>
  </si>
  <si>
    <t>AIN1840.1.8.3-791</t>
  </si>
  <si>
    <t>AIN1840.1.8.3-792</t>
  </si>
  <si>
    <t>AIN1840.1.8.3-793</t>
  </si>
  <si>
    <t>AIN1840.1.8.3-794</t>
  </si>
  <si>
    <t>AIN1840.1.8.3-795</t>
  </si>
  <si>
    <t>AIN1840.1.8.3-796</t>
  </si>
  <si>
    <t>AIN1840.1.8.3-797</t>
  </si>
  <si>
    <t>AIN1840.1.8.4-801</t>
  </si>
  <si>
    <t>AIN1840.1.8.4-802</t>
  </si>
  <si>
    <t>AIN1840.1.8.4-803</t>
  </si>
  <si>
    <t>AIN1840.1.8.4-804</t>
  </si>
  <si>
    <t>AIN1840.1.8.4-805</t>
  </si>
  <si>
    <t>AIN1840.1.8.4-806</t>
  </si>
  <si>
    <t>AIN1840.1.8.4-807</t>
  </si>
  <si>
    <t>AIN1840.1.8.4-808</t>
  </si>
  <si>
    <t>AIN1840.1.8.4-809</t>
  </si>
  <si>
    <t>AIN1840.1.8.4-810</t>
  </si>
  <si>
    <t>AIN1840.1.8.4-811</t>
  </si>
  <si>
    <t>AIN1840.1.8.5-815</t>
  </si>
  <si>
    <t>AIN1840.1.8.5-816</t>
  </si>
  <si>
    <t>AIN1840.1.8.5-817</t>
  </si>
  <si>
    <t>AIN1840.1.8.6-821</t>
  </si>
  <si>
    <t>AIN1840.1.8.6-822</t>
  </si>
  <si>
    <t>BSM1827s1v12</t>
  </si>
  <si>
    <t>AMP1827s1v12</t>
  </si>
  <si>
    <t>"De la thridace." Journal medical de la Gironde (Bordeaux) 3 (1825): 156–160.</t>
  </si>
  <si>
    <t>Memoria do D. Martini.</t>
  </si>
  <si>
    <t>"Préparations des chlorures alcalins." Journal de pharmacie et des sciences accessoires (Paris) 13, no. 7 (July 1827): 332–337.</t>
  </si>
  <si>
    <t>BSEIN1825s1v24</t>
  </si>
  <si>
    <t>Sapateiros. Graxa para o calçado, por Mr. de Braconnot.</t>
  </si>
  <si>
    <t>Fabricantes de seda e fitas. Methodo de pratear fitas de seda.</t>
  </si>
  <si>
    <t>Trabalho Scientifico</t>
  </si>
  <si>
    <t>Trabalho Industrial</t>
  </si>
  <si>
    <t>Industria Fabril — Artes e Officios. Fabricantes de tinta. Methodo para impedir que a tinta se cubra de mofo</t>
  </si>
  <si>
    <t>PCU1836.1.1.8-7</t>
  </si>
  <si>
    <t>PCU1836.1.1.8-8</t>
  </si>
  <si>
    <t>Braconnot, Henri. “Noir pour les chaussures.” Bulletin de la Société d’encouragement pour l’industrie nationale 24 (1825): 81</t>
  </si>
  <si>
    <t>BSM1826s1v7</t>
  </si>
  <si>
    <t>JCU1834s1v4</t>
  </si>
  <si>
    <t>"Fabricans d'encre. Moyen d'empecher l'encre de se couvrir de moisisures." Journal des connaissances utiles (Paris) 4, no. 2 (1834): 48-49.</t>
  </si>
  <si>
    <t>"Fabricans de soieries et rubans." Journal des connaissances utiles (Paris) 4, no. 2 (1834): 48-49.</t>
  </si>
  <si>
    <t>"Séance du 15 décembre 1826." Journal de pharmacie et des sciences accessoires (Paris) 12, no. 12 (December 1826): 649–648.</t>
  </si>
  <si>
    <t>JCMP1827s1v3</t>
  </si>
  <si>
    <t>"Académie Royale de Médecine," Journal de chimie médicale, de pharmacie et de toxicologie (Paris) 3 (1827): 315–316.</t>
  </si>
  <si>
    <t>Trousseau, A. “Du traitement de la fissure à l’anus par la ratanhia.” Journal des connaissances médico-chirurgicales (Paris) 8 (August 1840): 47–52.</t>
  </si>
  <si>
    <t>Animaes domesticos: medicina veterinaria. (Continuação dos numeros antecedentes).</t>
  </si>
  <si>
    <t>La maison reistique du siecle XIX</t>
  </si>
  <si>
    <t>Da arte de formar Nitreiras artificiaes, e da sua utilidade.</t>
  </si>
  <si>
    <t>Importancia das pequenas industrias.</t>
  </si>
  <si>
    <t>Franca Industrial</t>
  </si>
  <si>
    <t>Melhoramento do solo. (Continuação do numero antecedente).</t>
  </si>
  <si>
    <t>Casa Rus — do seculo XIX</t>
  </si>
  <si>
    <t>Estado d'Agricultura na Europa. (Continuação do numero antecedente).</t>
  </si>
  <si>
    <t>Do leite e dos seus productos (Continuação do numero 8 de 15 de Agosto).</t>
  </si>
  <si>
    <t>Melhoramentos do solo. (Continuação dos numeros antecedentes).</t>
  </si>
  <si>
    <t>Maison Rustique du siecle XIX</t>
  </si>
  <si>
    <t>Maison Rustique</t>
  </si>
  <si>
    <t>Do leite e dos seus productos. (Continuação do numero antecedente).</t>
  </si>
  <si>
    <t>França Industrial</t>
  </si>
  <si>
    <t>Carta apresentada pelo Sr. Cunha Barbosa na sessão n.º 203.</t>
  </si>
  <si>
    <t>Meio de apreciar as qualidades dos solos.</t>
  </si>
  <si>
    <t>A. Payen, “Section VIII.—Moyens d’apprécier les qualités des sols,” in La Maison rustique du XIXe siècle: Encyclopédie d’agriculture pratique, ed. C. Bailly de Merlieux, tome 1, Agriculture proprement dite (Paris: Au Bureau, quai aux Fleurs, no. 15, 1835), 55–57.</t>
  </si>
  <si>
    <t>Antoine de Roville, “Section V.—Du Topinambour,” in La Maison rustique du XIXe siècle: Encyclopédie d’agriculture pratique, ed. C. Bailly de Merlieux, tome 1, Agriculture proprement dite (Paris: Au Bureau, quai aux Fleurs, no. 15, 1835), 451–454.</t>
  </si>
  <si>
    <t>Vicissitudes e progressos da industria na França.</t>
  </si>
  <si>
    <t>J. Randoing. "Vicissitudes et progrés de l'industrie en France." La France Industrielle (Paris) 1, no. 2 (May 1834): 53–56.</t>
  </si>
  <si>
    <t>“Chapitre I.—Du lait et de ses emplois,” in La Maison rustique du XIXe siècle: Encyclopédie d’agriculture pratique, sous la direction de M. Malepeyre aîné, tome 3, Arts agricoles (Paris: Au Bureau, quai aux Fleurs, no. 15, 1836), 13–18.</t>
  </si>
  <si>
    <t>Historia da seda, sua antiguidade e seu commercio.</t>
  </si>
  <si>
    <t>Sessão N.º 180 do dia 10 de fevereiro de 1838.</t>
  </si>
  <si>
    <t>Sessão N.º 179 do dia 3 de fevereiro de 1838.</t>
  </si>
  <si>
    <t>Sessão N.º 178 do dia 25 de janeiro de 1838.</t>
  </si>
  <si>
    <t>Sessão N.º 177 do dia 13 de janeiro de 1838.</t>
  </si>
  <si>
    <t>Lista dos Membros da Sociedade Auxiliadora da Industria Nacional em Janeiro deste anno.</t>
  </si>
  <si>
    <t>Processo para tornar inoxidaveis todos os objectos de ferro empregados na construcção.</t>
  </si>
  <si>
    <t>Penny Magazine de Abril de 1838</t>
  </si>
  <si>
    <t>Museo Universal de Sciencias e Artes</t>
  </si>
  <si>
    <t>Virey, J.-J. “Remarques sur la lueur des scolopendres, insectes aptères.” Journal de Pharmacie et des Sciences Accessoires (Paris) 12 (1826): 365.</t>
  </si>
  <si>
    <t>Hospital de La Charité.</t>
  </si>
  <si>
    <t>RMFE1825s1v2</t>
  </si>
  <si>
    <t>E. H. Desportes. "Notice historique sur M. Béclard." Revue médicale française et étrangère (Paris) 2 (1825): 491–504.</t>
  </si>
  <si>
    <t>"Extrait d'un Mémoire lu par M. Laugier , à l'assemblée générale de l'Académie de Médecine , le 26 mars 1825." Journal de physiologie expérimentale et pathologique (Paris) 6 (1826): 365–366.</t>
  </si>
  <si>
    <t>JPSIM1827s1v1</t>
  </si>
  <si>
    <t>Jornal do Havre, de Dezembro de 1833</t>
  </si>
  <si>
    <t>Revista Medica da França, de Setembro de 1834</t>
  </si>
  <si>
    <t>"Bile (Usage de la). Expériences tendant à constater les effets de ligatura du canal cholédoque, par M. le docteur Herbert-Mayo." Journal des progrès des sciences et institutions médicales (Paris) 1 (1827): 243–244.</t>
  </si>
  <si>
    <t>"Liquide cérébro-spinal. Memóire tur par M. Magendie de l'Academie des sciences, les 4 et 18 décembre 1826." Journal des progrès des sciences et institutions médicales (Paris) 1 (1827): 266–268.</t>
  </si>
  <si>
    <t>“Analyse d’une poudre vendue sous le nom de poudre aromatique de Leayson.” Journal de pharmacie et des sciences accessoires (Paris) 12 (1826): 46.</t>
  </si>
  <si>
    <t>Bordeu.</t>
  </si>
  <si>
    <t>A. Bonnet. "Des virus." Journal médical de la Gironde (Bordeaux) 4 (1825): 5-30.</t>
  </si>
  <si>
    <t>Hospital de la Pitie.</t>
  </si>
  <si>
    <t>Hotel-Dieu.</t>
  </si>
  <si>
    <t>Gemeos (caso raro).</t>
  </si>
  <si>
    <t>Repertorio de med. etc. Torino, maggio 1826</t>
  </si>
  <si>
    <t>"Accouchement. Moyen d'extraire le placenta de l'utérus, en cas d'hemorragie grave après l'accouchement." Journal des progrès des sciences et institutions médicales (Paris) 1 (1827): 240.</t>
  </si>
  <si>
    <t>"Amputation dans l'articulation du genou." Journal des progrès des sciences et institutions médicales (Paris) 1 (1827): 240.</t>
  </si>
  <si>
    <t>"Jumeaux (cas rare)." Journal des progrès des sciences et institutions médicales (Paris) 1 (1827): 265.</t>
  </si>
  <si>
    <t>Antologia de Firenze, Septembro, 1825.</t>
  </si>
  <si>
    <t>"Asthme (Moyen contre L'), par le docteur Francesco Chirenti." Journal des progrès des sciences et institutions médicales (Paris) 1 (1827): 241.</t>
  </si>
  <si>
    <t>"Belladone (Emploi de la) dans la fièvre intermittente." Journal des progrès des sciences et institutions médicales (Paris) 1 (1827): 241.</t>
  </si>
  <si>
    <t>"Speculum urétro-cistique." Journal des progrès des sciences et institutions médicales (Paris) 1 (1827): 269–270.</t>
  </si>
  <si>
    <t xml:space="preserve">“Hôpital de la charité.” In Formulaire pratique des hôpitaux civils de Paris: ou Recueil des prescriptions médicamenteuses employées par les médecins et chirurgiens de ces établissements, 26-30. Paris: J.-B. Baillière, 1825. </t>
  </si>
  <si>
    <t>"Mémoire sur les plaies du canal intestinal, par A. Jobert (de Lamballe), aide d’anatomie de la faculté de médecine de Paris, ex-interne de première classe des hôpitaux civils. In-8º de 46 pages, avec planches. Prix : 2 francs, chez Villeret, libraire, rue de l’Ecole-de-Médecine, n° 13; et chez mademoiselle Delaunay, libraire, place et en face de l’École de médecine." Journal des progrès des sciences et institutions médicales (Paris) 1 (1827): 295–296.</t>
  </si>
  <si>
    <t>BSM1826s1v9</t>
  </si>
  <si>
    <t>AMP1824s1v5</t>
  </si>
  <si>
    <t>RBB1825s1v1</t>
  </si>
  <si>
    <t>"Observation d'une plaie de tête avecfracture de la voûte et de la base du crâne, 'et déchirement de la substance du foie ; par M. Bouyer, officier de santé de la marine, à Rochefort." Journal médical de la Gironde (Bordeaux) 4 (1825): 391–401.</t>
  </si>
  <si>
    <t>Bibliographia Medica.</t>
  </si>
  <si>
    <t>Sessão de 24 de Janeiro da Academia Real de Medicina de Paris.</t>
  </si>
  <si>
    <t>RMFE1824s1v2</t>
  </si>
  <si>
    <t>GS1822s1v49</t>
  </si>
  <si>
    <t>"Récapitulation des préparations de quinine." Gazette de santé (Paris) 49, no. 20  (5 July 1822): 158-159</t>
  </si>
  <si>
    <t>"Section de Pharmacie. - Séance du 17 avril." Bulletin des sciences médicales (Paris) 1 (1824): 283–285.</t>
  </si>
  <si>
    <t>BSM1824s1v2</t>
  </si>
  <si>
    <t>Plantas empregadas como chá nos differentes paizes.</t>
  </si>
  <si>
    <t>Meios para conservar as collecções zoologicas.</t>
  </si>
  <si>
    <t>RBB1826s1v1</t>
  </si>
  <si>
    <t>Antoine-Laurent-Jessé Bayle. “Nouvelle doctrine des maladies mentales.” Revue médicale française et étrangère (Paris) 1 (1825): 169–215.</t>
  </si>
  <si>
    <t>"I° Mémoires et clinique des hôpitaux. Deux observations sur le même sujet; par L. Rouzet. — pp. 103–107." Revue médicale française et étrangère (Paris) 2 (1824): 103–107.</t>
  </si>
  <si>
    <t>AGM1826s1v10</t>
  </si>
  <si>
    <t>"Académie royale de Médecine. (Janvier 1826.). Séance du 24 janvier." Archives générales de médecine (Paris) 10 (1826): 310–314.</t>
  </si>
  <si>
    <t>AGM1824s1v5</t>
  </si>
  <si>
    <t>Observações sobre o emprego do óleo de croton (croton tiglium) ou semente de tilli, no tratamento de muitas molestias.</t>
  </si>
  <si>
    <t>RMFE1826s1v1</t>
  </si>
  <si>
    <t>"Séance générale extraordinaire du 20 septembre." Revue médicale française et étrangère (Paris) 4 (1825): 168–174.</t>
  </si>
  <si>
    <t>"Ligature de l’artère humérale pour un anévrysme consécutif." Revue médicale française et étrangère (Paris) 1 (1826): 325.</t>
  </si>
  <si>
    <t>"Operation du phimosis." Revue médicale française et étrangère (Paris) 1 (1826): 325.</t>
  </si>
  <si>
    <t>"Fistule lacrymale." Revue médicale française et étrangère (Paris) 1 (1826): 325.</t>
  </si>
  <si>
    <t>"Amputation du col de la matrice." Revue médicale française et étrangère (Paris) 1 (1826): 325–326.</t>
  </si>
  <si>
    <t>"Séance du 29 décembre. Urétrotome." Revue médicale française et étrangère (Paris) 1 (1826): 325–326.</t>
  </si>
  <si>
    <t>Explicação da Estampa.</t>
  </si>
  <si>
    <t>JCMP1825s1v1</t>
  </si>
  <si>
    <t>“Académie royale de médecine — Séance de médecine (13 décembre): Ventouses sur les plaies empoisonnées.” Revue médicale française et étrangère (Paris) 2 (February 1826): 167–184.</t>
  </si>
  <si>
    <t>JPSA1823s1v9</t>
  </si>
  <si>
    <t>Memoria economica sobre a cultura do chá.</t>
  </si>
  <si>
    <t>The article summarizes the Broussais–Granville controversy by contrasting a French critique of English medicine with Granville’s defense of British practice as fact-based and clinically effective.</t>
  </si>
  <si>
    <t>"Case of Compound Fracture of the Tibia." The Lancet (London) 10 (1826): 188–189.</t>
  </si>
  <si>
    <t>"Magnétisme animal." Archives générales de médecine (Paris) 10 (1826): 306.</t>
  </si>
  <si>
    <t>"Analyse d'une écorce apportée du Brésil, désignée sous le nom de Fédégoso." Journal de pharmacie et des sciences accessoires (Paris) 10 (1824): 217–223.</t>
  </si>
  <si>
    <t>GHCM1834s1v8</t>
  </si>
  <si>
    <t>LMU1833-1834s1v1</t>
  </si>
  <si>
    <t>Vegetaes que servem para o uso caseiro dos habitantes desta Província de Pernambuco.</t>
  </si>
  <si>
    <t>RMFE1834s1v4</t>
  </si>
  <si>
    <t>El Universal de Monte-Vidèo</t>
  </si>
  <si>
    <t>JCMC1834-5s1v2</t>
  </si>
  <si>
    <t>"Séance du 13 octobre. Composition de l'atmosphère." Journal des Connaissances Medico-Chirurgicales (Paris) 2, no. 6 (February 1835): 197.</t>
  </si>
  <si>
    <t>"De quelques maladies qu’on ne doit pas guérir ; mémoire lu à l’Académie médico-chirurgicale de Naples ; par Gennaro Galbiati." Journal des Connaissances Medico-Chirurgicales (Paris) 1, no. 8 (April 1834): 251–252.</t>
  </si>
  <si>
    <t>"Usages médicaux de la violette ovale (viola ovata , viola primulifolia Pursh.) ; par le docteur Stephen W. Williams , de Deerfield , Massachussetts ; traduit et analysé par G. Trevet ( de Caen )." Revue médicale française et étrangère (Paris) 4 (1834): 413–415.</t>
  </si>
  <si>
    <t>"Maladie nerveuse." Revue médicale française et étrangère (Paris) 4 (1834): 405–408.</t>
  </si>
  <si>
    <t>"Le sphygmometre, instrument qui traduit à l’œil toute l’action des artères ; utilité de cet instrument dans l’étude de toutes les maladies ; recherches sur les affections du cœur, et les moyens de les distinguer entre elles. — Mémoire présenté à l’Institut, par le docteur J. Hérisson. Paris, 1834." Revue médicale française et étrangère (Paris) 4 (1834): 308–309.</t>
  </si>
  <si>
    <t>RMFE1834s1v3</t>
  </si>
  <si>
    <t>JMCP1835s1v6</t>
  </si>
  <si>
    <t>Jornal Hebdomadario</t>
  </si>
  <si>
    <t>Bulletim geral de Therapeutica</t>
  </si>
  <si>
    <t>Payen, Anselme. “De l’application des os de baleine à la fabrication du noir animal et au traitement des sucres bruts.” Annales de l’industrie nationale et étrangère (Paris) 6 (1822): 28–29.</t>
  </si>
  <si>
    <t>AINE1822s1v6</t>
  </si>
  <si>
    <t>Do emprego da steatite e de seus diversos usos.</t>
  </si>
  <si>
    <t>"De l'emploi de la stéatite et de ses divers usages." Journal des connaissances usuelles et pratiques (Paris) 25 (1837): 84–186</t>
  </si>
  <si>
    <t>Historia dos progressos, da constituição e dos beneficios das caixas de economia e de previdencia.</t>
  </si>
  <si>
    <t>LMU1835-1836s1v3</t>
  </si>
  <si>
    <t>"Instruments tranchants des anciens." Le magasin universel (Paris) 3, no. 28 (April 1836): 223–224.</t>
  </si>
  <si>
    <t>Botanica. Communicado.</t>
  </si>
  <si>
    <t>Parecer.</t>
  </si>
  <si>
    <t>["Senhor Redactor. Acaba o Diario do Governo publicar os Quesitos feitos pelo Exc..."]</t>
  </si>
  <si>
    <t>["Querendo a Camara Municipal desta Cidade tomar medidas de prevenção capases de..."]</t>
  </si>
  <si>
    <t>["Tendo o Collegio Medico-Cirurgico recebido o Officio…"]</t>
  </si>
  <si>
    <t>["As cauzas da população de uma Nação se duvida..."]</t>
  </si>
  <si>
    <t>["Vindo-nos ter às mãos um Periodico da França..."]</t>
  </si>
  <si>
    <t xml:space="preserve">Hipólito José da Costa. Diário da minha viagem para Filadélfia (1798–1799) and Copiador e registro das cartas de ofício. Manuscripts, Biblioteca e Arquivo Público de Évora (Évora, Portugal), Caixa VI, docs. 1–12. </t>
  </si>
  <si>
    <t>["Chegado da America Septemtrional, onde viagei para executar a Commisão…"] Viagem aos Estados Unidos da America, por Hyppolito José da Costa Pereira.</t>
  </si>
  <si>
    <t>"Moyen de rendre les arbres a fruits plus constamment fertiles." Journal des connaissances usuelles et pratiques (Paris) 23, no. 130 (January 1836): 25–27.</t>
  </si>
  <si>
    <t>"Memóire sur l'éléve et l'engrais des cochons." Journal des connaissances usuelles et pratiques (Paris) 24, no. 141 (December 1836): 273–278.</t>
  </si>
  <si>
    <t>RBP1837s4v10</t>
  </si>
  <si>
    <t>Housset. "Composition d'une proudre saline propre a l'engrais des terres." Journal des connaissances usuelles et pratiques (Paris) 26, no. 151 (October 1837): 156–157.</t>
  </si>
  <si>
    <t>"De la destruction des plantes parasites dans les terres labourables." Journal des connaissances usuelles et pratiques (Paris) 25, no. 145 (April 1837): 155–156.</t>
  </si>
  <si>
    <t>Scharank. "Éducation des Canards." Bibliothèque physico-économique (Paris) 14 (1795): 199–222.</t>
  </si>
  <si>
    <t>Schrank. "Manière les canards de Guinée." Bibliothèque physico-économique (Paris) 11 (1792): 268–272.</t>
  </si>
  <si>
    <t>Gallet. "Manière d'engraiffer les oies dans plufieurs cantons." Bibliothèque physico-économique (Paris) 11 (1792): 265–268.</t>
  </si>
  <si>
    <t xml:space="preserve">Duarte Ribeiro de Macedo. “Observações sobre a transplantação dos fructos da Índia ao Brazil.” In Obras inéditas de Duarte Ribeiro de Macedo, 103–133. Lisbon: Impressão Régia, 1817. </t>
  </si>
  <si>
    <t>“Chapitre XVIII.—Des plantes à fourrages,” in La Maison rustique du XIXe siècle: Encyclopédie d’agriculture pratique, ed. C. Bailly de Merlieux, tome 1, Agriculture proprement dite (Paris: Au Bureau, quai aux Fleurs, no. 15, 1835), 460–469.</t>
  </si>
  <si>
    <t>"Mémoire sur l’art d’élever les vers à soie en Chine, dans lequel on enseigne la manière d’élever et de nourrir les vers pour avoir la soie meilleure et plus abondante. Extrait de l’Histoire de l’empire de la Chine et de la Tartarie, par le Père Duhalde, missionnaire." Journal des connaissances usuelles et pratiques (Paris) 23, no. 134 (May 1836): 225–231.</t>
  </si>
  <si>
    <t>Meios de conservar as plantas e as sementes.</t>
  </si>
  <si>
    <t>Origem do carvão de pedra.</t>
  </si>
  <si>
    <t>Origem da Bussola.</t>
  </si>
  <si>
    <t>Importancia da cultura da cenoura.</t>
  </si>
  <si>
    <t>Casa Rustica do seculo XIX</t>
  </si>
  <si>
    <t>Das plantas leguminosas com sementes farinaccas — Favas.</t>
  </si>
  <si>
    <t>Das plantas leguminosas com sementes farinaccas — Feijões.</t>
  </si>
  <si>
    <t>JCUP1827s1v5</t>
  </si>
  <si>
    <t>"Du fer, de ses propriétés et de ses usages." Journal des connaissances usuelles et pratiques (Paris) 5, no. 2 (1827): 28–38.</t>
  </si>
  <si>
    <t>Causas do desenvolvimento da industria manufactureira na Gram-Bretanha.</t>
  </si>
  <si>
    <t>RBB1835s3v2</t>
  </si>
  <si>
    <t>Charles O. "Origine du verre." La France industrielle (Paris) 2, no. 23 (February 1836): 310-313.</t>
  </si>
  <si>
    <t>RDM1836s4v6</t>
  </si>
  <si>
    <t>Do leite e dos seus productos. (Continuação dos numeros antecedente).</t>
  </si>
  <si>
    <t>Das plantas leguminosas com sementes farinaceas. — Ervilhas.</t>
  </si>
  <si>
    <t>Do leite e dos seus productos. (Continuação dos numeros antecedentes)</t>
  </si>
  <si>
    <t>Meios de apreciar as qualidades dos solos. (Continuação do numero antecedente).</t>
  </si>
  <si>
    <t>Da propagação dos vegetaes.</t>
  </si>
  <si>
    <t>Dos cereaes e da sua cultura especial — Do arroz.</t>
  </si>
  <si>
    <t>"Assainissement des habitations humides."  Journal des connaissances utiles (Paris) 2, no. 7 (1832): 204.</t>
  </si>
  <si>
    <t>"145. Préservatifs contre la moisissure." Journal belge des connaissances utiles (Bruxelles) 1 (1832): 250.</t>
  </si>
  <si>
    <t>Meio de conservar as carnes pelo emprego de ferrugem das chaminés.</t>
  </si>
  <si>
    <t>"146. Préservatifs contre la moisissure." Journal belge des connaissances utiles (Bruxelles) 1 (1832): 250.</t>
  </si>
  <si>
    <t>JCUP1830s1v6</t>
  </si>
  <si>
    <t>JCUP1830s1v11</t>
  </si>
  <si>
    <t>"Correspondence." Journal des connaissances usueles et practiques (Paris) 6, no. 64 (July  1830): 46–47.</t>
  </si>
  <si>
    <t>"Moyen de guérir les bestiaux attaqués de météorisation." Journal des connaissances usueles et practiques (Paris) 6, no. 60 (March 1830): 104–105.</t>
  </si>
  <si>
    <t>"Mémoire sur le charbon et sur son emploi dans l'assainissement des eaux et dans divers usages économiques ; par A. Chevalier, pharmacien-chimiste." Journal des connaissances usueles et practiques (Paris) 6, no. 63 (June 1830): 242–257.</t>
  </si>
  <si>
    <t>"Observation générales sur l'acquisition et le choix des races d'animaux domestiques dans une propriété rurale." Journal des connaissances usueles et practiques (Paris) 17, no. 94 (February 1833): 67–70.</t>
  </si>
  <si>
    <t>JCUP1832s1v10</t>
  </si>
  <si>
    <t>"Utilité des cocons de vers a soie lorsqu'ils sont percés." Journal des connaissances usueles et practiques (Paris) 18, no. 100 (July  1833): 60–61.</t>
  </si>
  <si>
    <t>"Moyen de fairz périr la chrysalide du ver a soie dans sa coque, sans que la soie soit endommagée." Journal des connaissances usueles et practiques (Paris) 18, no. 100 (July  1833): 60.</t>
  </si>
  <si>
    <t>Bicho da Seda. Meio de suffocar as chrysalidas sem danificar os casulos.</t>
  </si>
  <si>
    <t>Artigo composto pelo M. Al. Donné.</t>
  </si>
  <si>
    <t>"Etat de l'agriculture en Europe." Journal de Agriculture Pratique (Paris) 1, no. 1 (1837): 7–12.</t>
  </si>
  <si>
    <t>"Etat de l'agriculture en Europe." Journal de Agriculture Pratique (Paris) 1, no. 1 (1837): 12–16.</t>
  </si>
  <si>
    <t>"Etat de l'agriculture en Europe." Journal de Agriculture Pratique (Paris) 1, no. 1 (1837): 16–21.</t>
  </si>
  <si>
    <t>J. des Con.-Mec.Chir.Mai.1835 pag. 335</t>
  </si>
  <si>
    <t>PM1838s1v7</t>
  </si>
  <si>
    <t>"Substitution for Silk." The Penny Magazine (London) 7, no. 387 (14 April 1838): 143–144.</t>
  </si>
  <si>
    <t>MUCA1825s1v1</t>
  </si>
  <si>
    <t>"Puentes colgados." Museo Universal de Ciencias y Artes (London) 1 (1825): 41–46.</t>
  </si>
  <si>
    <t>Memoria sobre a Cultura da Cana, e Elaboração do Assucar, lida na Sessão de Quinta feira 24 de Maio de 1832, da Sociedade Auxiliadora da Industria Nacional, por José Silvestre Rebello, Socio effectivo da mesma Sociedade.</t>
  </si>
  <si>
    <t>Remedio que nunca faltou para curar as mordeduras de todos os animais danados, usado na Polonia pelo povo, que não consulta medico.</t>
  </si>
  <si>
    <t>Barca de Vapor.</t>
  </si>
  <si>
    <t>ACU1838s1v1</t>
  </si>
  <si>
    <t>Extractos dos Elementos de Chimica concernente a Agricultura, etc. etc. por Sir Humphrey Davy.</t>
  </si>
  <si>
    <t>Diario da Bahia</t>
  </si>
  <si>
    <t>Francisco de Mello Franco, Elementos de hygiene, ou dictames theoreticos, e practicos para conservar a saude, e prolongar a vida (Lisbon: Typographia da Academia, 1823).</t>
  </si>
  <si>
    <t>Da Raiva.</t>
  </si>
  <si>
    <t>Methodo de fazer excellente graxa.</t>
  </si>
  <si>
    <t>RAMA1815s2v27</t>
  </si>
  <si>
    <t>ASAL1821s1v14</t>
  </si>
  <si>
    <t>"Medecina." Annaes das sciencias, das artes, e das letras (Paris) 14 (1821): 171–174.</t>
  </si>
  <si>
    <t>Pierre-Joseph Macquer, “Vinaigre,” in Dictionnaire de chymie, contenant la théorie et la pratique de cette science, son application à la physique, à l’histoire naturelle, à la médecine, &amp; aux arts dépendans de la chimie, 2nd ed., vol. 4 (Paris: Théophile Barrois le jeune, 1778), 233.</t>
  </si>
  <si>
    <t>An extract of a Portuguese pamphlet composed in London in 1831.</t>
  </si>
  <si>
    <t>Notticia sobre o Arracachi, planta comestivel da America do Sul.</t>
  </si>
  <si>
    <t>Nota do Redactor Francez.</t>
  </si>
  <si>
    <t>RBB1833s3v2</t>
  </si>
  <si>
    <t>JCU1831s1v1</t>
  </si>
  <si>
    <t>Meios de destruir o musgo e o pulgão das arvores.</t>
  </si>
  <si>
    <t>["Depois de lida, ouvidas as opiniões dos Membros do Conselho Administrativo…"]</t>
  </si>
  <si>
    <t>OC1827s1v1-2</t>
  </si>
  <si>
    <t>Nova machina de vapor contra os incendios.</t>
  </si>
  <si>
    <t>Conde Français, de Nantes</t>
  </si>
  <si>
    <t>Graxa impenetravel a' agua.</t>
  </si>
  <si>
    <t>JCUP1832s1v1</t>
  </si>
  <si>
    <t>Betume resistente a' agua.</t>
  </si>
  <si>
    <t xml:space="preserve">"Procédé pour empêcher les effets de la rouille sur les métaux." Journal des connaissances usuelles et pratiques (Paris) 1, no. 6 (September 1825): 270. </t>
  </si>
  <si>
    <t>MUCA1826s1v2</t>
  </si>
  <si>
    <t>Composta por hum Bacharel em Phylosophia pela Universidade de Coimbra, e impressa em Lisboa.</t>
  </si>
  <si>
    <t>Methodo para fazer manteiga no Rio de Janeiro.</t>
  </si>
  <si>
    <t>SARRA1836s1v9</t>
  </si>
  <si>
    <t>SARRA1837s1v10</t>
  </si>
  <si>
    <t>Noticia sobre a cultura da planta do anil na Hespanha, e da fabrico do anil por meio de huma maceração fria.</t>
  </si>
  <si>
    <t>Preparação para alimpar os cabellos.</t>
  </si>
  <si>
    <t>Branqueamento da seda.</t>
  </si>
  <si>
    <t>Maneira de se obtererem tintas de sympathia.</t>
  </si>
  <si>
    <t>Quadro que representa alternadamente o inverno e o estio.</t>
  </si>
  <si>
    <t>Estrumes produzidos especialmente pelas sementes e pelos fructos. (Continuado do numero antecedente.)</t>
  </si>
  <si>
    <t>JCUP1835s1v21</t>
  </si>
  <si>
    <t>JCU1835s1v5</t>
  </si>
  <si>
    <t>JCUP1835s1v22</t>
  </si>
  <si>
    <t>JCMP1834s1v10</t>
  </si>
  <si>
    <t>Remedio contra as dores de dente.</t>
  </si>
  <si>
    <t>Remedio contra as tosses pertinazes, e ardores do peito</t>
  </si>
  <si>
    <t>Dos Estrumes. (Continuado do Numero antecedente.)</t>
  </si>
  <si>
    <t xml:space="preserve">“Remède contre la chlorose (Jaunisse).” Journal belge des Connaissances utiles (Bruxelles) 1, no. 13 (1831): 101–102. </t>
  </si>
  <si>
    <t>“Remèdes contre les toux opiniâtres et contre les ardeurs ou épuisemens de poitrine..” Journal belge des Connaissances utiles (Bruxelles) 1, no. 13 (1831): 102.</t>
  </si>
  <si>
    <t>Observação sobre o bicho, que pelo dizer dos cultivadores ataca o trigo na primavera, e o faz perecer.</t>
  </si>
  <si>
    <t>BSAE1829s1v11</t>
  </si>
  <si>
    <t>LA1835s1v3</t>
  </si>
  <si>
    <t>Novo Systema de estradas.</t>
  </si>
  <si>
    <t>"Remedy against Ants and Spiders." The Southern Agriculturist and Register of Rural Affairs (Charleston) 9 (September 1836): 502.</t>
  </si>
  <si>
    <t>"Destroy Wasps." The Southern Agriculturist and Register of Rural Affairs (Charleston) 9 (October 1836): 558.</t>
  </si>
  <si>
    <t>"Save Your Soap Suds." The Southern Agriculturist and Register of Rural Affairs (Charleston) 9 (October 1836): 501.</t>
  </si>
  <si>
    <t>"To Destroy Worms ou Trees." The Southern Agriculturist and Register of Rural Affairs (Charleston) 9 (October 1836): 501.</t>
  </si>
  <si>
    <t>"To fatten Fowls or Chickens in four or five days." The Southern Agriculturist and Register of Rural Affairs (Charleston) 9 (October 1836): 501.</t>
  </si>
  <si>
    <t>Economia do Gado.</t>
  </si>
  <si>
    <t>"Manière trés-simple de faire de la liqueur de rhum." Journal des connaissances usuelles et pratiques (Paris) 17 (1833): 303.</t>
  </si>
  <si>
    <t>"Caminos." Museo Universal de Ciencias y Artes (London) 1 (1825): 18–22.</t>
  </si>
  <si>
    <t>"Maneira de converter o vinho do Porto novo em vinho velho." O Chronista (Lisbon) 2 (1827): 187.</t>
  </si>
  <si>
    <t>Dos Estrumes.</t>
  </si>
  <si>
    <t>Dos Estrumes (Continuação dos Numeros anteriores.)</t>
  </si>
  <si>
    <t xml:space="preserve">“Instruction pour les habitans des campagnes sur l'éducation et la cultura des jeunes arbres fruitiers de semence.” Journal des connaissances usuelles et pratiques (Paris) 24 (1836): 152–154. </t>
  </si>
  <si>
    <t>D. L. Rodet. "Les colonies a sucre et la production indigène. Histoire du sucre." Revue des Deux Mondes (Paris) 6 (1836): 177–201.</t>
  </si>
  <si>
    <t>"De la guérison de la phthisie pulmonaire par le chlore gaseus. (2e article.)" Journal des connaissances usueles et practiques (Paris) 6, no. 60 (March  1830): 109–115.</t>
  </si>
  <si>
    <t>"Recette pour paire de l'hau de seltz artificielle." Journal des connaissances usueles et practiques (Paris) 22, no. 127 (October 1835): 179–180.</t>
  </si>
  <si>
    <t>"Liqueur désaltérante a l'usage des personnes qui sont dans la nécessité de faire de longues courses a pied." Journal des connaissances usueles et practiques (Paris) 19, no. 106 (January 1834): 52.</t>
  </si>
  <si>
    <t>"Moyen de guérir les chiens empoisonnés a l'aide de la noix vomique, par M. Pistorius, pharmacien." Journal des connaissances usueles et practiques (Paris) 20, no. 115 (October 1834): 214.</t>
  </si>
  <si>
    <t>Noticia sobre o Caoutchouc, ou gomma elastica. (Este Artigo he o de Julho de 1850, euja leitura se recomenda na Nota do Ártigo do numero antecedente.)</t>
  </si>
  <si>
    <t>JCUP1832s1v15</t>
  </si>
  <si>
    <t>Alexandre Bixio and François Malepeyre. “Des pâturages.” In La Maison rustique du XIXe siècle: Encyclopédie d’agriculture pratique, edited by Charles-François Bailly de Merlieux, Alexandre Bixio, and François Malepeyre, vol. 1, 454–528. Paris: Au Bureau du Journal de l’Agriculture, 1835.</t>
  </si>
  <si>
    <t xml:space="preserve">Alexandre Bixio and François Malepeyre. “Des pâturages.” In La Maison rustique du XIXe siècle: encyclopédie d’agriculture pratique, edited by Charles-François Bailly de Merlieux, Alexandre Bixio, and François Malepeyre, vol. 1, 454–528. Paris: Au Bureau du Journal de l’Agriculture, 1835. </t>
  </si>
  <si>
    <t>Bernardino António Gomes. Observações botânico-médicas sobre algumas plantas do Brasil: escritas em Latim e Português, oferecidas à Academia Real das Ciências. Lisbon: Na Typografia da Academia Real das Sciencias, 1803.</t>
  </si>
  <si>
    <t>A. G.</t>
  </si>
  <si>
    <t>Remedio eficaz, e por muito tempo experimento contra as Caimbras</t>
  </si>
  <si>
    <t>Historia da cultura, da manufactura, do e uso do Cha'.</t>
  </si>
  <si>
    <t>Conselho aos Cultivadores. Hygiene e remedios familiares para conservar a saude de nossos animaes domesticos.</t>
  </si>
  <si>
    <t>Meio mui facil e mui breve de limpar as golas das casacas</t>
  </si>
  <si>
    <t>BSAE1829s1v12</t>
  </si>
  <si>
    <t>JCUP1832s1v5</t>
  </si>
  <si>
    <t>LM1833-1834s1v1</t>
  </si>
  <si>
    <t>JCUP1832s1v4</t>
  </si>
  <si>
    <t>A. Chevalier</t>
  </si>
  <si>
    <t>Amanhos geraes que se devem dar-se a terra. (Continuação do nosso numero 8.)</t>
  </si>
  <si>
    <t>Mudanças de caracter e de costumes excitadas na população pela exntesão da manufactura do algodão.</t>
  </si>
  <si>
    <t>"On Agricultural Chemistry. Extracted from Sir Humphry Davy's Lectures." The Repertory of Arts, Manufactures, and Agriculture (London) 27, no. 157 (June 1815): 16–36.</t>
  </si>
  <si>
    <t>"Cause dus effets pernicieux du serein." Journal des connaissances utiles (Paris) 2, no. 8 (August 1832): 235.</t>
  </si>
  <si>
    <t>"Eau deutérée à nettoyer les tissus de coton, de laine et de soie." Journal des connaissances utiles (Paris) 2, no. 5-6 (May-June 1832): 179.</t>
  </si>
  <si>
    <t>"Fumigation." Journal des connaissances utiles (Paris) 2, no. 5-6 (May-June 1832): 179.</t>
  </si>
  <si>
    <t>"Notice sur l'arracha, plante légumineuse de l'Amérique du Sud." Revue Britannique (Bruxelles) 1 (1826): 310–312.</t>
  </si>
  <si>
    <t xml:space="preserve"> Vicente Coelho de Seabra. “Memoria em que se dá noticia de diversas especies de abelhas, que dão mel, proprias do Brazil, e desconhecidas na Europa.” Memorias de Mathematica e Physica da Academia Real das Sciencias de Lisboa (Lisbon) 2 (1799): 99–104.</t>
  </si>
  <si>
    <t>"Économie rurale." Journal des connaissances utiles (Paris) 2, no. 5-6 (May-June 1832): 162–164.</t>
  </si>
  <si>
    <t>"Moyen contre la gale des moutons." Journal des connaissances usuelles et pratiques (Paris) 13, no. 74 (May 1831): 216.</t>
  </si>
  <si>
    <t>"Tablettes propres à détacher les étoffes de soie qui sont altérées par la graisse et l'huile." Journal des connaissances usuelles et pratiques (Paris) 13, no. 71 (February 1831): 88-89.</t>
  </si>
  <si>
    <t xml:space="preserve">"Manière de vieillir l'eau-de-vie en un instant." Journal belge des Connaissances utiles (Bruxelles) 1, no. 55 (1831–1832): 279. </t>
  </si>
  <si>
    <t>"Conservation de fruits entiers." Journal des connaissances utiles (Paris) 3, no. 1 (January 1833): 15.</t>
  </si>
  <si>
    <t xml:space="preserve">"Manière de reconnaître si les vernis des poteries ne sont pas nuisibles." Journal des connaissances usuelles et pratiques (Paris) 13, no. 72 (March 1831): 145. </t>
  </si>
  <si>
    <t xml:space="preserve">"De la nécessité et de l'utilité de la chimie pour arriver à un bon mode de cultura par l'analyse des terres." Journal des connaissances usuelles et pratiques (Paris) 13, no. 72 (March 1831): 99–102. </t>
  </si>
  <si>
    <t xml:space="preserve">"Note du Rédacteur." "De la nécessité et de l'utilité de la chimie pour arriver à un bon mode de cultura par l'analyse des terres." Journal des connaissances usuelles et pratiques (Paris) 13, no. 72 (March 1831): 102–103. </t>
  </si>
  <si>
    <t>"Conservations des pommes de terre." Journal des connaissances utiles (Paris) 2, no. 1-2 (January-February 1832): 39.</t>
  </si>
  <si>
    <t>"De l'importance des petites industries." La France industrielle (Paris) 1, no.  13 (June 1835): 41–43.</t>
  </si>
  <si>
    <t>"De l'art de former des nitrières artificielles et de leur utilité." Journal des connaissances usuelles et pratiques (Paris) 17, no. 96 (March 1833): 147–150.</t>
  </si>
  <si>
    <t>Duplan. "Physiologie végétale." La France industrielle (Paris) 4, no. 5 (4 May 1837): 35–37.</t>
  </si>
  <si>
    <t>"De l'agriculture et de l'industrie aux États-Unis." La France industrielle (Paris) 4, no. 2 (13 April 1837): 35–37.</t>
  </si>
  <si>
    <t>Charles Malo. "Chronique industrielle et commerciale." La France industrielle (Paris) 4, no. 7 (18 May 1837): 55–56.</t>
  </si>
  <si>
    <t>"Mémoire sur la tourbe, son origine, son exploitation, sa carbonisation, ses usages industriels et économiques." Journal des connaissances usuelles et pratiques (Paris) 17, no. 94 (January 1833): 26–33.</t>
  </si>
  <si>
    <t>Aristide Vincent. "Des parafoudres et paragrêles." Journal des connaissances usuelles et pratiques (Paris) 19, no. 111 (June 1834): 281–291.</t>
  </si>
  <si>
    <t>"Procédé pour rendre inoxidables tous les objets en fer employés dans les constructions." La France industrielle (Paris) 4, no. 18 (3 August 1837): 142–145.</t>
  </si>
  <si>
    <t>"Transplatations des arbres." Journal des connaissances utiles (Paris) 4, no. 4 (April 1834): 100-101.</t>
  </si>
  <si>
    <t>"Rage ou hydrophobie," Journal des connaissances utiles (Paris) 5, no. 8 (August 1835): 221.</t>
  </si>
  <si>
    <t>"Tableau qui représente alternativamemt l'hiver et l'eté."  Journal des connaissances usueles et practiques (Paris) 21, no. 119 (February 1835): 72.</t>
  </si>
  <si>
    <t>"Maniére d'btenir les encres de sympathie."  Journal des connaissances usueles et practiques (Paris) 21, no. 119 (February 1835): 70–72.</t>
  </si>
  <si>
    <t>"Nouvelles couches a melons."  Journal des connaissances usueles et practiques (Paris) 20, no. 113 (August 1834): 70–71.</t>
  </si>
  <si>
    <t>"Notice sur la culture de l'indigotier en espagne et sur la fabrication de l'indigo, au moyen d'une macération a froid."  Journal des connaissances usueles et practiques (Paris) 22, no. 125 (August 1835): 66–72.</t>
  </si>
  <si>
    <t>"Blanchiment instantané et sans feu, du sel marin gris, a l'usage domestique."  Journal des connaissances usueles et practiques (Paris) 19, no. 108 (March 1834): 163–164.</t>
  </si>
  <si>
    <t>"Moyen de nettoyer les vernis d'appartemens, et spécialement la partie antérieure des portes."  Journal des connaissances usueles et practiques (Paris) 20, no. 115 (October 1834): 215.</t>
  </si>
  <si>
    <t>"Su Tabac : De son influence sur la santé." Journal des connaissances utiles (Paris) 5, no. 12 (December 1835): 303-304.</t>
  </si>
  <si>
    <t>"De la composition du béton, son usage et son emploi dans les constructions ordinaires," Journal des connaissances usueles et practiques (Paris) 20, no. 116 (November 1834): 238–242.</t>
  </si>
  <si>
    <t>Elisabeth Celnart. "Moyen de changer en souliers noirs complétement neufs les souliers de maroquin écorchés ou salis," Journal des connaissances usueles et practiques (Paris) 21, no. 122 (May 1835): 242.</t>
  </si>
  <si>
    <t xml:space="preserve">J. B. Poncelet. "Houille. – Houillèrs." Journal belge des Connaissances utiles (Bruxelles) 3 (March 1834): 65–69. </t>
  </si>
  <si>
    <t>"Moyen de faire dans les ménages une bonne chandelle," Journal des connaissances usueles et practiques (Paris) 19, no. 108 (March 1834): 165–166.</t>
  </si>
  <si>
    <t>"De l’activité et de la richesse du sol; des moyens de les placer et de les maintenir dans une harmonie convenable." L'Agronome (Paris) 3 (1835): 233–239.</t>
  </si>
  <si>
    <t>"Sur les phénoménes que présente la combustion des gaz qui s'échappent des hauts founeaux de combustion," Journal des connaissances usuelles et pratiques (Paris) 24, no. 142 (January 1837): 24–25.</t>
  </si>
  <si>
    <t>Théodore Vielet, "De la fabrication du fer l'aide du bois," Journal des connaissances usuelles et pratiques (Paris) 24, no. 142 (January 1837): 22–24.</t>
  </si>
  <si>
    <t>"Procédé pneumatique pour teindre la soie, la laine, les étoffes de laine, le camelot, la pelleterie, etc.," Journal des connaissances usuelles et pratiques (Paris) 24, no. 142(January 1837): 21–22.</t>
  </si>
  <si>
    <t>"Procédé pour épurer les fers cassant a froid et a chaud," Journal des connaissances usuelles et pratiques (Paris) 24, no. 142 (Janaury 1837): 25–26.</t>
  </si>
  <si>
    <t>"Procédé de M. Dixon pour détruire toute possibilité d'explosion des chaudiéres a vapeur," Journal des connaissances usuelles et pratiques (Paris) 24, no. 142 (January 1837): 43–44.</t>
  </si>
  <si>
    <t>"Nouveau moyen d'améliorer le fer," Journal des connaissances usuelles et pratiques (Paris) 24, no. 142 (January 1837): 26–27.</t>
  </si>
  <si>
    <t>"Recette pour paire de l'hau de seltz artificielle." Journal des connaissances usueles et practiques (Paris) 21, no. 121 (April 1835): 195–197.</t>
  </si>
  <si>
    <t>A. Chevalier. "Sur les emplois des chlorures et du chlore." Journal des connaissances usueles et practiques (Paris) 6, no. 65 (August 1830): 51–66.</t>
  </si>
  <si>
    <t>Do emprego da flor d'enxofre contra os insectos, que atacão as arvores.</t>
  </si>
  <si>
    <t>"De l’emploi de la fleur de soufre contre les insectes qui attaquent les arbres." Journal des connaissances usueles et practiques (Paris) 19, no. 109 (April 1834): 186.</t>
  </si>
  <si>
    <t>"De la destruction du puceron lanigére." Journal des connaissances usueles et practiques (Paris) 19, no. 109 (April 1834): 186.</t>
  </si>
  <si>
    <t>"Moyens économiques pour détruire la mousse et le pucer [qui] font périr le pommier à cidre." Journal des connaissances usueles et practiques (Paris) 19, no. 109 (April 1834): 185.</t>
  </si>
  <si>
    <t>Methodo d'enxugar os terrenos paludosos.</t>
  </si>
  <si>
    <t>"Moyens d'empècher l'encre de se moisir." Journal des connaissances usueles et practiques (Paris) 19, no. 108 (March 1834): 164–165.</t>
  </si>
  <si>
    <t>"Manière toute particulière d'engraisser les cochons." Recueil industriel, manufacturier, agricole et commercial (Paris) 8 (1834): 74–75.</t>
  </si>
  <si>
    <t>"Remède pour guérir les moutons empoisonné." Recueil industriel, manufacturier, agricole et commercial (Paris) 8 (1834): 75–76.</t>
  </si>
  <si>
    <t>"Manière d'engraisser la volaille avec des pommes de terre." Recueil industriel, manufacturier, agricole et commercial (Paris) 8 (1834): 144.</t>
  </si>
  <si>
    <t>"Sur la nourriture a donner aux pulains." Journal des connaissances usueles et practiques (Paris) 20, no. 114 (September 1834): 105–108.</t>
  </si>
  <si>
    <t xml:space="preserve">"Notice sur les bêtes a cornes, didactyles bovines." Journal belge des Connaissances utiles (Bruxelles) 3 (May 1834): 133–137. </t>
  </si>
  <si>
    <t>"Procédés pour travailler le Caoutchouc." Journal des connaissances usueles et practiques (Paris) 15, no. 82 (January 1832): 28–32.</t>
  </si>
  <si>
    <t>Boutigny. "Du danger de l’usage des vases en cuivre dans l’économie domestique, et de la nécessité de les remplacer par des vases de fer. Ustensiles de cuisine en fonte épurée, de la fonderie de Dreux-Foulonval (Eure-et-Loir)." Journal des connaissances usueles et practiques (Paris) 19, no. 106 (January 1834): 47–49.</t>
  </si>
  <si>
    <t>"Del vinagre." Museo Universal de Ciencias y Artes (London) 1 (1825): 300–302.</t>
  </si>
  <si>
    <t>"De la fabrication du papier chinois." Journal des connaissances usueles et practiques (Paris) 4, no. 20 (November 1832): 64–73.</t>
  </si>
  <si>
    <t>"Sur le maguey, plante employée dans la fabrication du papier au Mexique." Journal des connaissances usueles et practiques (Paris) 10, no. 55 (October 1829): 155.</t>
  </si>
  <si>
    <t>A. G. "Quelques considérations sur les assolemens." Journal des connaissances usueles et practiques (Paris) 22, no. 124 (July 1835): 8–12.</t>
  </si>
  <si>
    <t>J. D. "Remède simple pour les tranchées et les coliques des chevaux et des bêtes à cornes." Journal des connaissances usueles et practiques (Paris) 15, no. 85 (April 1832): 164–165.</t>
  </si>
  <si>
    <t xml:space="preserve">"Observations générales sur les assolemens. Principes sur l'amélioration des races dans les animaux domestiques." Journal belge des Connaissances utiles (Bruxelles) 3 (August 1834): 246–253. </t>
  </si>
  <si>
    <t xml:space="preserve">"Principes généraux sur l'améliorationdes races des animaux domestiques." Journal belge des Connaissances utiles (Bruxelles) 3 (August 1834): 250–253. </t>
  </si>
  <si>
    <t>"Avantage de la vaccine démontrée par les faits." Journal belge des connaissances utiles (Bruxelles) 1 (1832): 43–44.</t>
  </si>
  <si>
    <t>"Simple méthode de lecture et d'ortographe." Journal des connaissances utiles (Paris) 1 (1832): 139–140.</t>
  </si>
  <si>
    <t>E. Boutmy. "Ensignement par soi-même." Journal des connaissances utiles (Paris) 2 (1832): 32–34.</t>
  </si>
  <si>
    <t>"Procédé protecteur contre l’oxidiation du cuivre." Journal belge des connaissances utiles (Bruxelles) 3 (1834): 174–175.</t>
  </si>
  <si>
    <t>"Eau de coings" Journal des connaissances usueles et practiques (Paris) 10, no. 54 (September  1829): 121.</t>
  </si>
  <si>
    <t>"Mémoire sur le charbon et sur son emploi dans l'assainissement des eaux et dans divers usages économiques ; par A. Chevalier, pharmacien-chimiste." Journal des connaissances usueles et practiques (Paris) 11, no. 62 (May  1830): 193–207.</t>
  </si>
  <si>
    <t>"Nouvelle théorie sur le mode d’action des engrais et sur leur emploi." Journal des connaissances usueles et practiques (Paris) 17, no. 94 (February  1833): 74–76.</t>
  </si>
  <si>
    <t>"Manière la plus utile d’employer les engrais." Journal des connaissances usueles et practiques (Paris) 17, no. 94 (February  1833): 76.</t>
  </si>
  <si>
    <t xml:space="preserve">Leandro do Sacramento. Memoria economica sobre a plantação, cultura, e preparação do chá. Rio de Janeiro: Na Typographia Nacional, 1825. </t>
  </si>
  <si>
    <t>Gérardy. "Notice sur le Caoutchouc ou gomme élastique." Journal des connaissances usueles et practiques (Paris) 12, no. 64 (July 1830): 29–34.</t>
  </si>
  <si>
    <t>"De la castration sur la vache, et de ses effets sur les facultés lactifères." Journal des connaissances utiles (Paris) 4 (1834): 71–73.</t>
  </si>
  <si>
    <t>Émile de Giradin. "Écoles rurales d'enfans pauvres." Journal des connaissances utiles (Paris) 2 (1834): 214–215.</t>
  </si>
  <si>
    <t>J. Bujault de Melle. "Opinions et préceptes de Jacques Bujault, cultivateur près de Melle (Deux-Sèvres)." Journal belge des connaissances utiles (Bruxelles) 1 (1832): 126–129.</t>
  </si>
  <si>
    <t>"Sur la semence de pommes-de-terre, par M. Laugier aîné, propriétaire à Ougles (Basses-Alpes)." L'Agronome (Paris) 3, no. 2 (February 1835): 59.</t>
  </si>
  <si>
    <t>"Nouveau systéme de route." L'Agronome (Paris) 3, no. 1 (January 1835): 28.</t>
  </si>
  <si>
    <t>"Barniz para dar color p, lustre a las canastillas ÿ otros utensilios de mimbre." Museo Universal de Ciencias y Artes (London) 2 (1826): 135.</t>
  </si>
  <si>
    <t>"207. Notice sur les moyens de se procurer de la glace en tous lieux et en toutes saisons, sans le secours des glacières, par M. Du Meilet, ancien député (Journ. d’agric., de médec., etc., de l’Eure; juill. 1827, p. 231)." Bulletin des sciences agricoles et economiques (Paris) 11 (1829): 279–281.</t>
  </si>
  <si>
    <t>Péligot. "Nouveau procédé pour enlever les taches de moure sur les étoffes de diverses natures." Journal des connaissances usueles et practiques (Paris) 20, no. 113 (August 1834): 98.</t>
  </si>
  <si>
    <t>"Excellente recette d'eau de coing." Journal des connaissances usueles et practiques (Paris) 20, no. 113 (August 1834): 102.</t>
  </si>
  <si>
    <t>"Méthode pour connaître le poids de viande nette des bestiaux." Journal des connaissances usueles et practiques (Paris) 11, no. 58 (January  1830): 13–15.</t>
  </si>
  <si>
    <t>"Note sur le ver, qui, au dire des cultivateurs, attaque le blé au printemps, et le fait périr." Journal des connaissances usueles et practiques (Paris) 20, no. 114 (September  1834): 115–116.</t>
  </si>
  <si>
    <t>Trillaud. "Moyen de rendre la barbe plus douce sous le tranchant des rasoirs." Journal des connaissances usueles et practiques (Paris) 18, no. 100 (July 1833): 64.</t>
  </si>
  <si>
    <t>"Cidre de bergopzoom." Journal des connaissances utiles (Paris) 3 (1833): 176.</t>
  </si>
  <si>
    <t>L. S. "Remède efficace et long-temps éprouvé contre les crampes." Journal des connaissances usueles et practiques (Paris) 15, no. 87 (June 1832): 309–310.</t>
  </si>
  <si>
    <t>"Manière de diriger un poulailler pour en tirer le plus grand profit." Journal des connaissances usueles et practiques (Paris) 20, no. 113 (August 1834): 64–67.</t>
  </si>
  <si>
    <t>"124. Efficacité du vinaigre contre la tympanite gastrique des animaux; par M. Dutrochet. Mémoire lu à la séance du 13 oct. 1828, de l’Académie des Sciences." Bulletin des sciences agricoles et economiques (Paris) 11 (1829): 153–155.</t>
  </si>
  <si>
    <t>"Manière de préparer en Espagne les raisins secs dits communément raisins de passe." Journal des connaissances usueles et practiques (Paris) 21, no. 123 (July 1835): 294–295.</t>
  </si>
  <si>
    <t>Elisabeth Celnart. "Moyen d’enlever les taches graisseuses sur les étoffes de soie sans qu’il en reste nulle trace." "Manière de préparer en Espagne les raisins secs dits communément raisins de passe." Journal des connaissances usueles et practiques (Paris) 21, no. 123 (July 1835): 295–296.</t>
  </si>
  <si>
    <t>"Le pin." La Mosaïque (Paris) 1, no. 7 (1833): 51-52.</t>
  </si>
  <si>
    <t>"Découverte pour conserver les pommes de terre." La Mosaïque (Paris) 1, no. 1 (1833): 8.</t>
  </si>
  <si>
    <t>"Lepommier expérimental de Gællnitz ; par le pasteur Agricola." Bulletin des sciences agricoles et economiques (Paris) 11 (1829): 202–203.</t>
  </si>
  <si>
    <t>"Procédé nouveau pour garantir les arbres fruitiers des ravages des insectes." La Mosaïque (Paris) 1, no. 16 (1833): 127–128.</t>
  </si>
  <si>
    <t xml:space="preserve">V. Dutoict. "Conseils aux cultivateurs. Hygiène et remèdes familiers pour entretenir la santé de nos animaux domestiques." Journal belge des Connaissances utiles (Bruxelles) 3 (May 1834): 137–141. </t>
  </si>
  <si>
    <t>"De l’écobuage, ou de la combustion du sol fréquemment réitérée, comme un puissant moyen de fertiliser la terre et de remplacer les engrais." Journal des connaissances usueles et practiques (Paris) 5, no. 25 (April 1832): 5–15.</t>
  </si>
  <si>
    <t>L. S. "Moyen infaillible et à la portée de tout le monde pour faire couper les rasoirs." Journal des connaissances usueles et practiques (Paris) 19, no. 106 (January 1834): 50–51.</t>
  </si>
  <si>
    <t xml:space="preserve"> "Des moyens de prévenir les incendies dans les théâtres et autres lieux publics exposés aux mêmes dangers." Journal des connaissances usueles et practiques (Paris) 21, no. 120 (March 1835): 125–127.</t>
  </si>
  <si>
    <t xml:space="preserve"> "Des différentes espèces de chaux et de leur usage dans l’économie rurale et industrielle." Journal des connaissances usueles et practiques (Paris) 21, no. 116 (January 1835): 34–38.</t>
  </si>
  <si>
    <t xml:space="preserve">"Histoire de la culture, de la manufacture et de l’usage du thé." Journal belge des Connaissances utiles (Bruxelles) 13 (March 1834): 71–73. </t>
  </si>
  <si>
    <t xml:space="preserve">"L’acide pyroligneux appliqué à la conservation des bois de construction et autres matières." Journal belge des Connaissances utiles (Bruxelles) 3 (August 1834): 234–235. </t>
  </si>
  <si>
    <t>"77. De l’influence comparative du male et de la femelle des animaux domestiques sur leur progéniture. Essais de MM. John Boswell, H. Berry, Christian et Dallas. (Quarterly Journ. of agric.; n° 1, part. II. Prize Essays and Transact. of the Highland Soc. of Scotland, p. 17.)" Bulletin des sciences agricoles et economiques (Paris) 12 (1829): 125–129.</t>
  </si>
  <si>
    <t>Maneira de obter muitas colheitas satisfactorias de trigo, sem alqueive anterior, e sem a cultura das plantas sachadas; por Edw. Burroughs.</t>
  </si>
  <si>
    <t>Precaução que se deve tomar para facilitar a vegetação das arvores.</t>
  </si>
  <si>
    <t>Aracacha'.</t>
  </si>
  <si>
    <t>Methodo para se obter tres differentes fructas unidas em huma só.</t>
  </si>
  <si>
    <t>Utilidade da Batata, por M. J. B. Mollerat.</t>
  </si>
  <si>
    <t>Instrucção para se fazer em casa o sabão que se emprega no serviço usual: por MM. D’Arcet, Pelletier, e Lelievre.</t>
  </si>
  <si>
    <t>Maneira de preparar em qualquer tempo, em qualquer lugar, e à pouco custo, licores de sabão, proprios para a lavagem.</t>
  </si>
  <si>
    <t>Noticia sobre as diversas preparações da carne de porco.</t>
  </si>
  <si>
    <t>Agricultura – Instrucção sobre o emprego dos estrumes liquidos, redigida pelo professor Decandolle.</t>
  </si>
  <si>
    <t>Do enxugamento das terras, e dos differentes modos de o executar; ext. do Experienced Farmer de R. Parkinson.</t>
  </si>
  <si>
    <t>Arboricultura. Caneleira.</t>
  </si>
  <si>
    <t>Maneira de obter ameixeiras e pessegueiros mui baixinhos.</t>
  </si>
  <si>
    <t>Cha' preto.</t>
  </si>
  <si>
    <t>Sobre a conservação dos tomates, ou pomos de amor.</t>
  </si>
  <si>
    <t>JCUP1830s1v4</t>
  </si>
  <si>
    <t>JCUP1832s1v16</t>
  </si>
  <si>
    <t>QJA1836-1837s1v7</t>
  </si>
  <si>
    <t>"Mulhouse. — Société Industrielle." La France industrielle (Paris) 1, no. 5 (August 1834): 162.</t>
  </si>
  <si>
    <t>JCUP1831s1v9</t>
  </si>
  <si>
    <t>Sciencias Medicas. O que he a homeopathia?</t>
  </si>
  <si>
    <t xml:space="preserve">“Fromage de pommes de terre.” [reprint attributed to “Affiches de Limoges”], 1 October 1782, p. 187. Digitized facsimile in Luxemburgensia (Bibliothèque nationale du Luxembourg). </t>
  </si>
  <si>
    <t>A cobra de cascavel.</t>
  </si>
  <si>
    <t>Aviso.</t>
  </si>
  <si>
    <t>O Proprietario</t>
  </si>
  <si>
    <t>MS1835.1.1.3-16</t>
  </si>
  <si>
    <t>A' futura prosperidade do Brasil. Soneto. Improvisado no Rio de Janeiro no Anno de 1812.</t>
  </si>
  <si>
    <t>Fábula</t>
  </si>
  <si>
    <t>Sentenças, e maximas.</t>
  </si>
  <si>
    <t>Viagens. Viagem à roda do mundo pelos Russos.</t>
  </si>
  <si>
    <t>JSEL1826.1.1.1-15</t>
  </si>
  <si>
    <t>JSEL1826.1.1.1-16</t>
  </si>
  <si>
    <t>JSEL1826.1.1.2-32</t>
  </si>
  <si>
    <t>JSEL1826.1.1.2-33</t>
  </si>
  <si>
    <t>JSEL1826.1.1.3-46</t>
  </si>
  <si>
    <t>JSEL1826.1.1.3-47</t>
  </si>
  <si>
    <t>JSACI1836.1.0.2-43</t>
  </si>
  <si>
    <t>["do, Senhores Commisarios, encarregados da instalação dos Ramos…"]</t>
  </si>
  <si>
    <t>Subscrição.</t>
  </si>
  <si>
    <t>VII. Carta de Americus.</t>
  </si>
  <si>
    <t>O rhinoceronte.</t>
  </si>
  <si>
    <t>Sessão N.º 175 do dia 9 de dezembro de 1837.</t>
  </si>
  <si>
    <t>Sessão N.º 176 do dia 23 de dezembro de 1837.</t>
  </si>
  <si>
    <t>JSACI1832.1.1.4-3</t>
  </si>
  <si>
    <t>JSACI1832.1.1.13-4</t>
  </si>
  <si>
    <t>JSACI1832.1.2.18-7</t>
  </si>
  <si>
    <t>JSACI1832.1.2.18-8</t>
  </si>
  <si>
    <t>JSACI1833.1.3.3-13</t>
  </si>
  <si>
    <t>JSACI1833.1.3.3-14</t>
  </si>
  <si>
    <t>JSACI1833.1.3.16-22</t>
  </si>
  <si>
    <t>JSACI1833.1.3.16-23</t>
  </si>
  <si>
    <t>JSACI1835.1.5.35-25</t>
  </si>
  <si>
    <t>JSACI1835.1.5.35-26</t>
  </si>
  <si>
    <t>JSACI1835.1.10.36-31</t>
  </si>
  <si>
    <t>JSACI1835.1.10.36-32</t>
  </si>
  <si>
    <t>JSACI1835.1.11.38-38</t>
  </si>
  <si>
    <t>JSACI1835.1.11.38-39</t>
  </si>
  <si>
    <t>JSACI1836.1.0.2-44</t>
  </si>
  <si>
    <t>JSACI1836.1.0.2-45</t>
  </si>
  <si>
    <t>Artigo Official.</t>
  </si>
  <si>
    <t>J. Beugnot, “Chapitre V. - Pathologie,” in Maison rustique du XIXe siècle: Encyclopédie d’agriculture pratique, ed. Alexandre Bixio, tome 2, Cultures industrielles et animaux domestiques (Paris: Au bureau, quai aux fleurs, no. 15, 1837), 368–373.</t>
  </si>
  <si>
    <t>“Chapitre III. — Des amendemens,” in Maison rustique du XIXe siècle: Encyclopédie d’agriculture pratique, sous la direction de C. Bailly de Merlieux, tome 1, Agriculture proprement dite (Paris: Au Bureau, quai aux Fleurs, no. 15, 1835), 66–71.</t>
  </si>
  <si>
    <t>“Chapitre III. — Des amendemens,” in Maison rustique du XIXe siècle: Encyclopédie d’agriculture pratique, sous la direction de C. Bailly de Merlieux, tome 1, Agriculture proprement dite (Paris: Au Bureau, quai aux Fleurs, no. 15, 1835), 71–77.</t>
  </si>
  <si>
    <t>Marked as a translation by the editor</t>
  </si>
  <si>
    <t>ASAL1820s1v9</t>
  </si>
  <si>
    <t>Estatistica. Communicado.</t>
  </si>
  <si>
    <t>Colonisação.</t>
  </si>
  <si>
    <t xml:space="preserve">Humphry Davy, Elements of Agricultural Chemistry, in a Course of Lectures for the Board of Agriculture, 2nd ed. (London: Longman, Hurst, Rees, Orme, and Brown; and A. Constable and Co., 1814), 4–9. </t>
  </si>
  <si>
    <t>AIN1833.1.1.9-75</t>
  </si>
  <si>
    <t>AIN1833.1.1.10-80</t>
  </si>
  <si>
    <t>AIN1833.1.1.11-87</t>
  </si>
  <si>
    <t>AIN1833.1.1.12-98</t>
  </si>
  <si>
    <t>AIN1834.1.2.1-107</t>
  </si>
  <si>
    <t>AIN1834.1.2.2-116</t>
  </si>
  <si>
    <t>AIN1834.1.2.3-118</t>
  </si>
  <si>
    <t>AIN1836.1.4.11-424</t>
  </si>
  <si>
    <t>AIN1836.1.4.11-425</t>
  </si>
  <si>
    <t>AIN1836.1.4.12-426</t>
  </si>
  <si>
    <t>AIN1836.1.4.12-427</t>
  </si>
  <si>
    <t>AIN1837.1.5.1-433</t>
  </si>
  <si>
    <t>AIN1837.1.5.1-434</t>
  </si>
  <si>
    <t>AIN1837.1.5.2-440</t>
  </si>
  <si>
    <t>AIN1837.1.5.2-441</t>
  </si>
  <si>
    <t>AIN1837.1.5.3-452</t>
  </si>
  <si>
    <t>AIN1837.1.5.3-453</t>
  </si>
  <si>
    <t>AIN1837.1.5.4-460</t>
  </si>
  <si>
    <t>AIN1837.1.5.4-461</t>
  </si>
  <si>
    <t>AIN1837.1.5.5-469</t>
  </si>
  <si>
    <t>AIN1837.1.5.5-470</t>
  </si>
  <si>
    <t>AIN1837.1.5.6-479</t>
  </si>
  <si>
    <t>AIN1837.1.5.6-480</t>
  </si>
  <si>
    <t>AIN1837.1.5.7-492</t>
  </si>
  <si>
    <t>AIN1837.1.5.7-493</t>
  </si>
  <si>
    <t>AIN1837.1.5.8-502</t>
  </si>
  <si>
    <t>AIN1837.1.5.8-503</t>
  </si>
  <si>
    <t>AIN1837.1.5.9-517</t>
  </si>
  <si>
    <t>AIN1837.1.5.9-518</t>
  </si>
  <si>
    <t>AIN1837.1.5.10-531</t>
  </si>
  <si>
    <t>AIN1837.1.5.10-532</t>
  </si>
  <si>
    <t>AIN1837.1.5.11-544</t>
  </si>
  <si>
    <t>AIN1837.1.5.11-545</t>
  </si>
  <si>
    <t>AIN1837.1.5.12-556</t>
  </si>
  <si>
    <t>AIN1837.1.5.12-557</t>
  </si>
  <si>
    <t>AIN1838.1.6.1-566</t>
  </si>
  <si>
    <t>AIN1838.1.6.1-567</t>
  </si>
  <si>
    <t>AIN1838.1.6.2-572</t>
  </si>
  <si>
    <t>AIN1838.1.6.2-573</t>
  </si>
  <si>
    <t>AIN1838.1.6.3-580</t>
  </si>
  <si>
    <t>AIN1838.1.6.3-581</t>
  </si>
  <si>
    <t>AIN1838.1.6.4-588</t>
  </si>
  <si>
    <t>AIN1838.1.6.4-589</t>
  </si>
  <si>
    <t>AIN1838.1.6.5-595</t>
  </si>
  <si>
    <t>AIN1838.1.6.5-596</t>
  </si>
  <si>
    <t>AIN1838.1.6.6-601</t>
  </si>
  <si>
    <t>AIN1838.1.6.6-602</t>
  </si>
  <si>
    <t>AIN1838.1.6.7-608</t>
  </si>
  <si>
    <t>AIN1838.1.6.7-609</t>
  </si>
  <si>
    <t>AIN1838.1.6.8-616</t>
  </si>
  <si>
    <t>AIN1838.1.6.8-617</t>
  </si>
  <si>
    <t>AIN1838.1.6.9-624</t>
  </si>
  <si>
    <t>AIN1838.1.6.9-625</t>
  </si>
  <si>
    <t>AIN1838.1.6.10-632</t>
  </si>
  <si>
    <t>AIN1838.1.6.10-633</t>
  </si>
  <si>
    <t>AIN1838.1.6.11-640</t>
  </si>
  <si>
    <t>AIN1838.1.6.11-641</t>
  </si>
  <si>
    <t>AIN1838.1.6.12-649</t>
  </si>
  <si>
    <t>AIN1838.1.6.12-650</t>
  </si>
  <si>
    <t>AIN1839.1.7.1-657</t>
  </si>
  <si>
    <t>AIN1839.1.7.1-658</t>
  </si>
  <si>
    <t>AIN1839.1.7.2-673</t>
  </si>
  <si>
    <t>AIN1839.1.7.2-674</t>
  </si>
  <si>
    <t>AIN1839.1.7.3-678</t>
  </si>
  <si>
    <t>AIN1839.1.7.3-679</t>
  </si>
  <si>
    <t>AIN1839.1.7.4-690</t>
  </si>
  <si>
    <t>AIN1839.1.7.4-691</t>
  </si>
  <si>
    <t>AIN1839.1.7.5-696</t>
  </si>
  <si>
    <t>AIN1839.1.7.5-697</t>
  </si>
  <si>
    <t>AIN1839.1.7.6-703</t>
  </si>
  <si>
    <t>AIN1839.1.7.6-704</t>
  </si>
  <si>
    <t>AIN1839.1.7.7-710</t>
  </si>
  <si>
    <t>AIN1839.1.7.7-711</t>
  </si>
  <si>
    <t>AIN1839.1.7.8-730</t>
  </si>
  <si>
    <t>AIN1839.1.7.8-731</t>
  </si>
  <si>
    <t>AIN1839.1.7.9-739</t>
  </si>
  <si>
    <t>AIN1839.1.7.9-740</t>
  </si>
  <si>
    <t>AIN1839.1.7.10-749</t>
  </si>
  <si>
    <t>AIN1839.1.7.10-750</t>
  </si>
  <si>
    <t>AIN1839.1.7.11-757</t>
  </si>
  <si>
    <t>AIN1839.1.7.11-758</t>
  </si>
  <si>
    <t>AIN1839.1.7.12-773</t>
  </si>
  <si>
    <t>AIN1839.1.7.12-774</t>
  </si>
  <si>
    <t>AIN1840.1.8.1-779</t>
  </si>
  <si>
    <t>AIN1840.1.8.1-780</t>
  </si>
  <si>
    <t>AIN1840.1.8.2-788</t>
  </si>
  <si>
    <t>AIN1840.1.8.2-789</t>
  </si>
  <si>
    <t>AIN1840.1.8.3-798</t>
  </si>
  <si>
    <t>AIN1840.1.8.3-799</t>
  </si>
  <si>
    <t>AIN1840.1.8.4-812</t>
  </si>
  <si>
    <t>AIN1840.1.8.4-813</t>
  </si>
  <si>
    <t>AIN1840.1.8.5-818</t>
  </si>
  <si>
    <t>AIN1840.1.8.5-819</t>
  </si>
  <si>
    <t>AIN1840.1.8.6-823</t>
  </si>
  <si>
    <t>AIN1840.1.8.6-824</t>
  </si>
  <si>
    <t>AIN1840.1.8.7-826</t>
  </si>
  <si>
    <t>AIN1840.1.8.7-827</t>
  </si>
  <si>
    <t>AIN1840.1.8.7-828</t>
  </si>
  <si>
    <t>AIN1840.1.8.7-829</t>
  </si>
  <si>
    <t>AIN1840.1.8.7-830</t>
  </si>
  <si>
    <t>AIN1840.1.8.7-831</t>
  </si>
  <si>
    <t>AIN1840.1.8.7-832</t>
  </si>
  <si>
    <t>AIN1840.1.8.7-833</t>
  </si>
  <si>
    <t>AIN1840.1.8.7-834</t>
  </si>
  <si>
    <t>AIN1840.1.8.7-835</t>
  </si>
  <si>
    <t>AIN1840.1.8.7-836</t>
  </si>
  <si>
    <t>AIN1840.1.8.7-837</t>
  </si>
  <si>
    <t>AIN1840.1.8.7-838</t>
  </si>
  <si>
    <t>AIN1840.1.8.7-839</t>
  </si>
  <si>
    <t>AIN1840.1.8.7-840</t>
  </si>
  <si>
    <t>AIN1840.1.8.7-841</t>
  </si>
  <si>
    <t>AIN1840.1.8.7-842</t>
  </si>
  <si>
    <t>AIN1840.1.8.7-843</t>
  </si>
  <si>
    <t>AIN1840.1.8.7-844</t>
  </si>
  <si>
    <t>AIN1840.1.8.7-845</t>
  </si>
  <si>
    <t>AIN1840.1.8.7-846</t>
  </si>
  <si>
    <t>AIN1840.1.8.7-847</t>
  </si>
  <si>
    <t>AIN1840.1.8.7-848</t>
  </si>
  <si>
    <t>AIN1840.1.8.7-849</t>
  </si>
  <si>
    <t>AIN1840.1.8.11-851</t>
  </si>
  <si>
    <t>AIN1840.1.8.11-852</t>
  </si>
  <si>
    <t>AIN1840.1.8.11-853</t>
  </si>
  <si>
    <t>AIN1840.1.8.11-854</t>
  </si>
  <si>
    <t>AIN1840.1.8.11-855</t>
  </si>
  <si>
    <t>AIN1840.1.8.11-856</t>
  </si>
  <si>
    <t xml:space="preserve">"Manière de faire de l'eau de rose en Asie." Journal des connaissances usuelles et pratiques (Paris) 9, no. 49 (April 1832): 152. </t>
  </si>
  <si>
    <t>Anonymous. O filósofo solitário. 3 vols. Lisbon: Regia Officina Typografica, 1786–1787.</t>
  </si>
  <si>
    <t>Utilidade da incisão anular para as arvores, por M. Regnault.</t>
  </si>
  <si>
    <t>Aperfeiçoamento do enxerto de três peças, ou enxerto muzat, chamado enxerto fodocephalo, por M. Pierre Neriière, de Nantes.</t>
  </si>
  <si>
    <t>"Travail scientifique. Sciences physiques." Journal des connaissances utiles (Paris) 5 (1835): 40–41.</t>
  </si>
  <si>
    <t>A. Chevalier. "Eau pour la destrction des insectes." Journal des connaissances utiles (Paris) 3 (1833): 268.</t>
  </si>
  <si>
    <t>"Observations sur la culture et les usages du soleil ou grand tournesol." Journal des connaissances usueles et practiques (Paris) 14, no. 80 (November 1831): 193–196.</t>
  </si>
  <si>
    <t xml:space="preserve">It is very likely that the Portuguese note reuses a French technical notice about Malbec’s “extrait de lait”, but without locating the exact French original for sentence-level alignment, we cannot prove direct translation. </t>
  </si>
  <si>
    <t>La Sétifére do Doutor, Antonio Pituro</t>
  </si>
  <si>
    <t>LMP1833s1v1</t>
  </si>
  <si>
    <t>Ideas geraes – Afolhamento.</t>
  </si>
  <si>
    <t>BSAE1826s1v6</t>
  </si>
  <si>
    <t>"23. Manière simple de reconnaître la qualité et la variété des sols." Journal des connaissances utiles (Paris) 3, no. 2 (February 1833): 50.</t>
  </si>
  <si>
    <t>"Assolemens." Journal des connaissances utiles (Paris) 2, no. 8 (August 1832): 221–122.</t>
  </si>
  <si>
    <t>Le Comte Français de Nantes, Pair de France</t>
  </si>
  <si>
    <t>"Avis adressé aux propriétaires de terres qui se livrent à des innovations hasardeuses." Journal des connaissances utiles (Paris) 2, no. 3 (March 1832): 83–85.</t>
  </si>
  <si>
    <t>"M. Babbage et ses étonnantes inventions." Recueil industriel, manufacturier, agricole et commercial (Paris) 8 (1834): 81–83.</t>
  </si>
  <si>
    <t>"Manière de détruire les pucerons qui attaquent les arbres fruitiers, par M. de Thosse." Journal des connaissances usueles et practiques (Paris) 14, no. 80 (November 1831): 206–210.</t>
  </si>
  <si>
    <t>"Observations sur les vers du terreau et les moyens de les détruire." Journal des connaissances usueles et practiques (Paris) 14, no. 80 (November 1831): 210–211.</t>
  </si>
  <si>
    <t>Pierre Neriière. "Perfectionnement de la greffe à trois pièces, ou greffe-muzat, dite greffe fodocephale, par M. Pierre Neriière, de Nantes." Journal des connaissances usueles et practiques (Paris) 18, no. 105 (December 1833): 306–308.</t>
  </si>
  <si>
    <t>"Greffes nouvelles ou peu connues." Journal des connaissances usueles et practiques (Paris) 6, no. 64 (July 1830): 25–27</t>
  </si>
  <si>
    <t>Likely a reused/translated recipe from a foreign (probably French) technical source, but we could not prove a direct original printed matching it word-for-word</t>
  </si>
  <si>
    <t>James Dickson. "On crossing breeds of cattle. By Mr James Dickson, cattle-dealer, Edinburgh." The Quarterly Journal of Agriculture (Edinburgh) 7 (1837) 247–255.</t>
  </si>
  <si>
    <t>"Extrait d'un Mémoire de M. PAYEN, sur les engrais." Journal de chimie médicale, de pharmacie et de toxicologie (Paris) 10 (1834): 84–87.</t>
  </si>
  <si>
    <t>J. D. "Manière de dégraisser la laine, et d'utiliser le suint qu'elle contient." Journal des connaissances usueles et practiques (Paris) 15, no. 84 (March 1832): 147.</t>
  </si>
  <si>
    <t>"Moyen d'empêcher la degénérescence des graines , procede confirmé par une expérience de 30 années ." Journal des connaissances usueles et practiques (Paris) 15, no. 84 (March 1832): 103.</t>
  </si>
  <si>
    <t>"De la conservation des tomates ou pommes d’amour." Journal des connaissances usueles et practiques (Paris) 16, no. 91 (October 1832): 212–213.</t>
  </si>
  <si>
    <t>"Moyen de préserver les étoffes de laine des attaques de la Teigne." Journal des connaissances usueles et practiques (Paris) 5, no. 28 (July 1827): 161–163.</t>
  </si>
  <si>
    <t>"Art. XLVI. Dissertation on the Mixture of Soils." The Southern Agriculturist and Register of Rural Affairs (Charleston) 5 (August 1832): 428–432.</t>
  </si>
  <si>
    <t>"Manière de nettoyer les gants de couleur claire." Journal des connaissances usueles et practiques (Paris) 20, no. 114 (September 1834): 103–104.</t>
  </si>
  <si>
    <t>L. B. "Procédé pour extraire la résine des pins que pratiquent les habitans de la Caroline." Journal des connaissances usueles et practiques (Paris) 20, no. 114 (September 1834): 137–138.</t>
  </si>
  <si>
    <t>"Notice sur les diverses préparations de la chair du cochon." Journal des connaissances usueles et practiques (Paris) 20, no. 114 (September 1834): 145–146.</t>
  </si>
  <si>
    <t>"Manière de faire le veau façon de thon." Journal des connaissances usueles et practiques (Paris) 20, no. 114 (September 1834): 102.</t>
  </si>
  <si>
    <t>"Notice sur les diverses préparations de la chair du cochon." Manière d’obtenir des pruniers et des pêchers très-nains (Paris) 20, no. 114 (September 1834): 123–124.</t>
  </si>
  <si>
    <t>Os três Guarda-Raios.</t>
  </si>
  <si>
    <t>"Différentes recettes pour enlever toutes sortes de taches sur les étoffes et sur le papier." Journal des connaissances usueles et practiques (Paris) 14, no. 74 (July 1831): 37–39.</t>
  </si>
  <si>
    <t>"'112. Instruction sur l’emploi des engrais liquides, rédigée par le prof. Decandolle, et approuvée par le Comité d’agric. de la Soc. des arts de Genève. (Bulletin dudit Comité; 3e ann., no 28.)" Bulletin des sciences agricoles et economiques (Paris) 11 (1829): 130–136.</t>
  </si>
  <si>
    <t>"'239.Du dessèchement de la terre et des différents manières de l’exécuter; ext. de l’Experienced Farmer de Richard Parkinson; par J. A. Cavoleau. (Annul. de l’agricult. franc.; Tom. 37e, 2e série, p. 380.)" Bulletin des sciences agricoles et economiques (Paris) 11 (1829): 325–327.</t>
  </si>
  <si>
    <t>"'10. Manière d’obtenir plusieurs récoltes satisfaisantes de froment, sans jachère antérieure et sans la culture des plantes sarclées; par Edw. Burroughs. (Essays on practical Husbandry; 3e Essai. — Farmer’s Magaz.; n° CIII, p. 286.)" Bulletin des sciences agricoles et economiques (Paris) 11 (1829): 21–22.</t>
  </si>
  <si>
    <t>"Précaution à prendre pour faciliter la végétation des arbres." Journal des connaissances usueles et practiques (Paris) 20, no. 21 (December 1826): 99–100.</t>
  </si>
  <si>
    <t>"Manière économique de nourrir les veaux." Journal des connaissances usueles et practiques (Paris) 20, no. 21 (December 1826): 98–99.</t>
  </si>
  <si>
    <t>"Utilité de la pomme de terre ( 1 ) , par M. J. B. Mollerat , de la Cote-d' Or." Journal des connaissances usueles et practiques (Paris) 13, no. 75 (June 1831): 270–274.</t>
  </si>
  <si>
    <t>L. S. "Procédé pour conserver, pendant plusieurs années , la pulpe de la pomme de terre , et lafaire servir avantageusement à lafabrication dupain." Journal des connaissances usueles et practiques (Paris) 12, no. 69 (December 1830): 281–285.</t>
  </si>
  <si>
    <t>"Ciment de pommes de terre avec le platre ou l'argile , propre aux ornemens , etc." Journal des connaissances usueles et practiques (Paris) 4, no. 20 (November 1826): 69.</t>
  </si>
  <si>
    <t>"Moyen de préserver les bois ouvrés de l’action destructive de l’air et de l’eau, et de leur donner durée et solidité." Journal belge des connaissances utiles (Bruxelles) 3 (1834): 198–199.</t>
  </si>
  <si>
    <t>L. B. "Instruction pour faire, dans les ménages, le savon qu’on y emploie; par MM. D’Arcet, Pelletier et Lelièvre." Journal des connaissances usueles et practiques (Paris) 16, no. 89 (August 1832): 92–94.</t>
  </si>
  <si>
    <t>"De la manière de préparer en tout temps, partout et à peu de frais, des liqueurs savonneuses propres à blanchir." Journal des connaissances usueles et practiques (Paris) 16, no. 89 (August 1832): 94–96.</t>
  </si>
  <si>
    <t>"Des rapports qui existent entre la couleur et le parfum d'un grand nombre de fleurs." Revue britannique (Paris) 10 (1837): 371–374.</t>
  </si>
  <si>
    <t>DS1835.1.1.53-377</t>
  </si>
  <si>
    <t>Aviso aos Srs. Subscriptores.</t>
  </si>
  <si>
    <t>GMP1835s2v3</t>
  </si>
  <si>
    <t>GHCM1835s1v9</t>
  </si>
  <si>
    <t>ESM1835s1v29-31</t>
  </si>
  <si>
    <t>GMP1836s2v4</t>
  </si>
  <si>
    <t>CPL1835</t>
  </si>
  <si>
    <t>ASAL1822s1v16</t>
  </si>
  <si>
    <t>Rezende, J. J. Vianna de. “Descripção cranologica do assassino Fieschi (dito Gerard), feita sobre o retrato mais exacto.” Jornal médico-cirúrgico e pharmaceutico de Lisboa (Lisbon) 5 (1835).</t>
  </si>
  <si>
    <t>ESM1834s1v23-25</t>
  </si>
  <si>
    <t>["Não contente com ter tanto Escripto contra o Sr. Dr. De-Simoni…"]</t>
  </si>
  <si>
    <t>["He na Revista Medica Fluminense, n'este e não em outro jornal…"]</t>
  </si>
  <si>
    <t>Observação de chymica hygienica, feita pelo Sr. F. M. C. Leal Junior.</t>
  </si>
  <si>
    <t>Foreign letter.</t>
  </si>
  <si>
    <t>RMFE1830s1v4</t>
  </si>
  <si>
    <t>["Como o sabio auctor de hum artigo inserto no Jornal do Commercio…"]</t>
  </si>
  <si>
    <t>Hygiene Publica.</t>
  </si>
  <si>
    <t>SSP1831.1.1.1-6</t>
  </si>
  <si>
    <t>SSP1831.1.1.2-8</t>
  </si>
  <si>
    <t>SSP1831.1.1.3-12</t>
  </si>
  <si>
    <t>SSP1831.1.1.4-29</t>
  </si>
  <si>
    <t>SSP1831.1.1.5-31</t>
  </si>
  <si>
    <t>SSP1831.1.1.6-43</t>
  </si>
  <si>
    <t>SSP1831.1.1.7-50</t>
  </si>
  <si>
    <t>JPSA1835s1v21</t>
  </si>
  <si>
    <t>"Mancanza della Cistìfelea. ( Revue méd. Aprile. 2831. )" Bullettino delle scienze mediche (Bologna) 4 (1831): 3.</t>
  </si>
  <si>
    <t>"Precesso per preparare V Acido Idrociamco medicina¬ le di M. T. Clark (Journal de Chini. Medie otc. : Sept. 1831.)" Bullettino delle scienze mediche (Bologna) 4 (1831): 305.</t>
  </si>
  <si>
    <t>GMP1832s1v3</t>
  </si>
  <si>
    <t>AGM1831s1v27</t>
  </si>
  <si>
    <t>["A Commissão de Satubridade geral da Sociedade…"]</t>
  </si>
  <si>
    <t>Joaquim José da Silva, José Martins da Cruz Jobim, Claudio Luiz da Costa, José Mariano da Silva, Christovão José dos Santos.</t>
  </si>
  <si>
    <t>["Roga-se aos Snrs. Assignantes deste Semanario de Saude…"]</t>
  </si>
  <si>
    <t>SSP1831.1.1.8-63</t>
  </si>
  <si>
    <t>SSP1831.1.1.9-67</t>
  </si>
  <si>
    <t>SSP1831.1.1.10-72</t>
  </si>
  <si>
    <t>SSP1831.1.1.11-75</t>
  </si>
  <si>
    <t>SSP1831.1.1.12-80</t>
  </si>
  <si>
    <t>SSP1831.1.1.12-81</t>
  </si>
  <si>
    <t>SSP1831.1.1.13-84</t>
  </si>
  <si>
    <t>SSP1831.1.1.13-85</t>
  </si>
  <si>
    <t>SSP1831.1.1.14-89</t>
  </si>
  <si>
    <t>SSP1831.1.1.14-90</t>
  </si>
  <si>
    <t>SSP1831.1.1.15-95</t>
  </si>
  <si>
    <t>SSP1831.1.1.15-96</t>
  </si>
  <si>
    <t>SSP1831.1.1.16-101</t>
  </si>
  <si>
    <t>SSP1831.1.1.16-102</t>
  </si>
  <si>
    <t>SSP1831.1.1.17-107</t>
  </si>
  <si>
    <t>SSP1831.1.1.17-108</t>
  </si>
  <si>
    <t>SSP1831.1.1.18-115</t>
  </si>
  <si>
    <t>SSP1831.1.1.18-116</t>
  </si>
  <si>
    <t>SSP1831.1.1.19-121</t>
  </si>
  <si>
    <t>SSP1831.1.1.19-122</t>
  </si>
  <si>
    <t>SSP1831.1.1.21-131</t>
  </si>
  <si>
    <t>SSP1831.1.1.21-132</t>
  </si>
  <si>
    <t>SSP1831.1.1.22-136</t>
  </si>
  <si>
    <t>SSP1831.1.1.22-137</t>
  </si>
  <si>
    <t>SSP1831.1.1.24-144</t>
  </si>
  <si>
    <t>SSP1831.1.1.24-145</t>
  </si>
  <si>
    <t>SSP1831.1.1.25-148</t>
  </si>
  <si>
    <t>SSP1831.1.1.26-154</t>
  </si>
  <si>
    <t>SSP1831.1.1.26-155</t>
  </si>
  <si>
    <t>SSP1831.1.1.28-159</t>
  </si>
  <si>
    <t>SSP1831.1.1.28-160</t>
  </si>
  <si>
    <t>SSP1831.1.1.29-163</t>
  </si>
  <si>
    <t>SSP1831.1.1.30-166</t>
  </si>
  <si>
    <t>SSP1831.1.1.30-167</t>
  </si>
  <si>
    <t>SSP1831.1.1.31-171</t>
  </si>
  <si>
    <t>SSP1831.1.1.31-172</t>
  </si>
  <si>
    <t>SSP1831.1.1.32-176</t>
  </si>
  <si>
    <t>SSP1831.1.1.32-177</t>
  </si>
  <si>
    <t>SSP1831.1.1.33-180</t>
  </si>
  <si>
    <t>SSP1831.1.1.33-181</t>
  </si>
  <si>
    <t>SSP1831.1.1.34-189</t>
  </si>
  <si>
    <t>SSP1831.1.1.34-190</t>
  </si>
  <si>
    <t>SSP1831.1.1.36-199</t>
  </si>
  <si>
    <t>SSP1831.1.1.36-200</t>
  </si>
  <si>
    <t>SSP1831.1.1.36-201</t>
  </si>
  <si>
    <t>SSP1831.1.1.37-204</t>
  </si>
  <si>
    <t>SSP1831.1.1.38-209</t>
  </si>
  <si>
    <t>SSP1831.1.1.38-210</t>
  </si>
  <si>
    <t>SSP1831.1.1.38-211</t>
  </si>
  <si>
    <t>SSP1831.1.1.38-212</t>
  </si>
  <si>
    <t>SSP1831.1.1.39-215</t>
  </si>
  <si>
    <t>SSP1831.1.1.39-216</t>
  </si>
  <si>
    <t>SSP1831.1.1.39-217</t>
  </si>
  <si>
    <t>SSP1831.1.1.40-220</t>
  </si>
  <si>
    <t>SSP1831.1.1.40-221</t>
  </si>
  <si>
    <t>SSP1831.1.1.40-222</t>
  </si>
  <si>
    <t>SSP1831.1.1.41-225</t>
  </si>
  <si>
    <t>SSP1831.1.1.41-226</t>
  </si>
  <si>
    <t>SSP1831.1.1.41-227</t>
  </si>
  <si>
    <t>SSP1831.1.1.42-230</t>
  </si>
  <si>
    <t>SSP1831.1.1.42-231</t>
  </si>
  <si>
    <t>SSP1831.1.1.43-234</t>
  </si>
  <si>
    <t>SSP1831.1.1.43-235</t>
  </si>
  <si>
    <t>SSP1831.1.1.43-236</t>
  </si>
  <si>
    <t>SSP1831.1.1.43-237</t>
  </si>
  <si>
    <t>SSP1831.1.1.44-240</t>
  </si>
  <si>
    <t>SSP1831.1.1.44-241</t>
  </si>
  <si>
    <t>SSP1831.1.1.45-244</t>
  </si>
  <si>
    <t>SSP1831.1.1.46-247</t>
  </si>
  <si>
    <t>SSP1831.1.1.47-250</t>
  </si>
  <si>
    <t>SSP1831.1.1.47-251</t>
  </si>
  <si>
    <t>SSP1831.1.1.47-252</t>
  </si>
  <si>
    <t>SSP1831.1.1.48-255</t>
  </si>
  <si>
    <t>SSP1831.1.1.48-256</t>
  </si>
  <si>
    <t>SSP1831.1.1.49-259</t>
  </si>
  <si>
    <t>SSP1831.1.1.51-264</t>
  </si>
  <si>
    <t>SSP1831.1.1.51-265</t>
  </si>
  <si>
    <t>SSP1831.1.1.52-268</t>
  </si>
  <si>
    <t>SSP1831.1.1.52-269</t>
  </si>
  <si>
    <t>SSP1831.1.1.53-272</t>
  </si>
  <si>
    <t>SSP1832.1.1.54-275</t>
  </si>
  <si>
    <t>SSP1832.1.1.55-278</t>
  </si>
  <si>
    <t>SSP1832.1.1.55-279</t>
  </si>
  <si>
    <t>SSP1832.1.1.55-280</t>
  </si>
  <si>
    <t>SSP1832.1.1.56-283</t>
  </si>
  <si>
    <t>SSP1832.1.1.56-284</t>
  </si>
  <si>
    <t>SSP1832.1.1.57-287</t>
  </si>
  <si>
    <t>SSP1832.1.1.58-290</t>
  </si>
  <si>
    <t>SSP1832.1.1.58-291</t>
  </si>
  <si>
    <t>SSP1832.1.1.60-296</t>
  </si>
  <si>
    <t>SSP1832.1.1.60-297</t>
  </si>
  <si>
    <t>SSP1832.1.1.60-298</t>
  </si>
  <si>
    <t>SSP1832.1.1.60-299</t>
  </si>
  <si>
    <t>SSP1832.1.1.66-310</t>
  </si>
  <si>
    <t>SSP1832.1.1.66-311</t>
  </si>
  <si>
    <t>SSP1832.1.1.67-314</t>
  </si>
  <si>
    <t>SSP1832.1.1.67-315</t>
  </si>
  <si>
    <t>SSP1832.1.1.68-318</t>
  </si>
  <si>
    <t>SSP1832.1.1.69-321</t>
  </si>
  <si>
    <t>SSP1832.1.1.69-322</t>
  </si>
  <si>
    <t>SSP1832.1.1.69-323</t>
  </si>
  <si>
    <t>SSP1832.1.1.69-324</t>
  </si>
  <si>
    <t>SSP1832.1.1.70-327</t>
  </si>
  <si>
    <t>SSP1832.1.1.70-328</t>
  </si>
  <si>
    <t>SSP1832.1.1.70-329</t>
  </si>
  <si>
    <t>SSP1832.1.1.70-330</t>
  </si>
  <si>
    <t>SSP1832.1.1.75-341</t>
  </si>
  <si>
    <t>SSP1832.1.1.75-342</t>
  </si>
  <si>
    <t>SSP1832.1.1.79-351</t>
  </si>
  <si>
    <t>SSP1832.1.1.81-357</t>
  </si>
  <si>
    <t>SSP1832.1.1.82-361</t>
  </si>
  <si>
    <t>SSP1832.1.1.82-362</t>
  </si>
  <si>
    <t>SSP1832.1.1.83-366</t>
  </si>
  <si>
    <t>SSP1832.1.1.83-367</t>
  </si>
  <si>
    <t>SSP1832.1.1.90-385</t>
  </si>
  <si>
    <t>SSP1832.1.1.90-386</t>
  </si>
  <si>
    <t>SSP1832.1.1.90-387</t>
  </si>
  <si>
    <t>SSP1832.1.1.98-409</t>
  </si>
  <si>
    <t>SSP1832.1.1.98-410</t>
  </si>
  <si>
    <t>SSP1832.1.1.98-411</t>
  </si>
  <si>
    <t>SSP1832.1.1.98-412</t>
  </si>
  <si>
    <t>SSP1832.1.1.100-423</t>
  </si>
  <si>
    <t>Efficacia do Guaco contra o Cholera-Morbus.</t>
  </si>
  <si>
    <t>Anatomia. Falta de Cistifellea.</t>
  </si>
  <si>
    <t>Noticias Medico-litterarias.</t>
  </si>
  <si>
    <t>JMCP1830s1v1</t>
  </si>
  <si>
    <t>AGM1830s1v23</t>
  </si>
  <si>
    <t>JPSA1830s1v16</t>
  </si>
  <si>
    <t xml:space="preserve">Instruction sanitaire contre le choléra-morbus, par le Dr. Roth, offrant le résultat de ses expériences en Hongrie (Paris: Firmin Didot frères, 1832). </t>
  </si>
  <si>
    <t>SSP1831.1.1.12-82</t>
  </si>
  <si>
    <t>SSP1831.1.1.13-86</t>
  </si>
  <si>
    <t>SSP1831.1.1.14-91</t>
  </si>
  <si>
    <t>SSP1831.1.1.15-97</t>
  </si>
  <si>
    <t>SSP1831.1.1.16-103</t>
  </si>
  <si>
    <t>SSP1831.1.1.17-109</t>
  </si>
  <si>
    <t>SSP1831.1.1.18-117</t>
  </si>
  <si>
    <t>SSP1831.1.1.19-123</t>
  </si>
  <si>
    <t>SSP1831.1.1.20-125</t>
  </si>
  <si>
    <t>SSP1831.1.1.21-133</t>
  </si>
  <si>
    <t>SSP1831.1.1.22-138</t>
  </si>
  <si>
    <t>SSP1831.1.1.23-140</t>
  </si>
  <si>
    <t>SSP1831.1.1.24-146</t>
  </si>
  <si>
    <t>SSP1831.1.1.25-149</t>
  </si>
  <si>
    <t>SSP1831.1.1.26-156</t>
  </si>
  <si>
    <t>SSP1831.1.1.28-161</t>
  </si>
  <si>
    <t>SSP1831.1.1.29-164</t>
  </si>
  <si>
    <t>SSP1831.1.1.30-168</t>
  </si>
  <si>
    <t>SSP1831.1.1.31-173</t>
  </si>
  <si>
    <t>SSP1831.1.1.32-178</t>
  </si>
  <si>
    <t>SSP1831.1.1.33-182</t>
  </si>
  <si>
    <t>SSP1831.1.1.34-191</t>
  </si>
  <si>
    <t>SSP1831.1.1.35-193</t>
  </si>
  <si>
    <t>SSP1831.1.1.36-202</t>
  </si>
  <si>
    <t>SSP1831.1.1.37-205</t>
  </si>
  <si>
    <t>SSP1831.1.1.38-213</t>
  </si>
  <si>
    <t>SSP1831.1.1.39-218</t>
  </si>
  <si>
    <t>SSP1831.1.1.40-223</t>
  </si>
  <si>
    <t>SSP1831.1.1.41-228</t>
  </si>
  <si>
    <t>SSP1831.1.1.42-232</t>
  </si>
  <si>
    <t>SSP1831.1.1.43-238</t>
  </si>
  <si>
    <t>SSP1831.1.1.44-242</t>
  </si>
  <si>
    <t>SSP1831.1.1.45-245</t>
  </si>
  <si>
    <t>SSP1831.1.1.46-248</t>
  </si>
  <si>
    <t>SSP1831.1.1.47-253</t>
  </si>
  <si>
    <t>SSP1831.1.1.48-257</t>
  </si>
  <si>
    <t>SSP1831.1.1.49-260</t>
  </si>
  <si>
    <t>SSP1831.1.1.50-262</t>
  </si>
  <si>
    <t>SSP1831.1.1.51-266</t>
  </si>
  <si>
    <t>SSP1831.1.1.52-270</t>
  </si>
  <si>
    <t>SSP1831.1.1.53-273</t>
  </si>
  <si>
    <t>SSP1832.1.1.54-276</t>
  </si>
  <si>
    <t>SSP1832.1.1.55-281</t>
  </si>
  <si>
    <t>SSP1832.1.1.56-285</t>
  </si>
  <si>
    <t>SSP1832.1.1.57-288</t>
  </si>
  <si>
    <t>SSP1832.1.1.58-292</t>
  </si>
  <si>
    <t>SSP1832.1.1.59-294</t>
  </si>
  <si>
    <t>SSP1832.1.1.60-300</t>
  </si>
  <si>
    <t>SSP1832.1.1.61-302</t>
  </si>
  <si>
    <t>SSP1832.1.1.64-306</t>
  </si>
  <si>
    <t>SSP1832.1.1.65-308</t>
  </si>
  <si>
    <t>SSP1832.1.1.66-312</t>
  </si>
  <si>
    <t>SSP1832.1.1.67-316</t>
  </si>
  <si>
    <t>SSP1832.1.1.68-319</t>
  </si>
  <si>
    <t>SSP1832.1.1.69-325</t>
  </si>
  <si>
    <t>SSP1832.1.1.70-331</t>
  </si>
  <si>
    <t>SSP1832.1.1.71-333</t>
  </si>
  <si>
    <t>SSP1832.1.1.72-335</t>
  </si>
  <si>
    <t>SSP1832.1.1.73-337</t>
  </si>
  <si>
    <t>SSP1832.1.1.74-339</t>
  </si>
  <si>
    <t>SSP1832.1.1.75-343</t>
  </si>
  <si>
    <t>SSP1832.1.1.76-345</t>
  </si>
  <si>
    <t>SSP1832.1.1.77-347</t>
  </si>
  <si>
    <t>SSP1832.1.1.78-349</t>
  </si>
  <si>
    <t>SSP1832.1.1.79-352</t>
  </si>
  <si>
    <t>SSP1832.1.1.81-358</t>
  </si>
  <si>
    <t>SSP1832.1.1.82-363</t>
  </si>
  <si>
    <t>SSP1832.1.1.83-368</t>
  </si>
  <si>
    <t>SSP1832.1.1.84-371</t>
  </si>
  <si>
    <t>SSP1832.1.1.87-377</t>
  </si>
  <si>
    <t>SSP1832.1.1.88-380</t>
  </si>
  <si>
    <t>SSP1832.1.1.90-388</t>
  </si>
  <si>
    <t>SSP1832.1.1.98-413</t>
  </si>
  <si>
    <t>SSP1832.1.1.99-418</t>
  </si>
  <si>
    <t>SSP1832.1.1.100-424</t>
  </si>
  <si>
    <t>"Travaux academiques. Acadèmie des sciences. Séance du 4 octobre 1830." Gazette médicale de Paris (Paris) 1, no. 41 (9 October 1830): 375.</t>
  </si>
  <si>
    <t>RMFE1831s1v1</t>
  </si>
  <si>
    <t>Januário da Cunha Barbosa; James Dickson</t>
  </si>
  <si>
    <t>NJM1822s1v13</t>
  </si>
  <si>
    <t>"IV. La sabine , moyen très-puissant contre les métrorrhagies chroniques passives." Revue médicale française et étrangère (Paris) 4 (1830): 132–133.</t>
  </si>
  <si>
    <t>AGM1829s1v20</t>
  </si>
  <si>
    <t>RBB1830s2v2</t>
  </si>
  <si>
    <t>JPSIM1828s1v8</t>
  </si>
  <si>
    <t>JCMP1829s1v5</t>
  </si>
  <si>
    <t>Saude publica.</t>
  </si>
  <si>
    <t>RMFE1839s1v2</t>
  </si>
  <si>
    <t>Medicina Pratica. Anasarca, e Ascite sobrevindo a huma affecção escrophulosa, e curados pelas preparações de ouro por Mr. Sizaire.</t>
  </si>
  <si>
    <t>GS1826s1v53</t>
  </si>
  <si>
    <t xml:space="preserve">Dupuytren, Guillaume. “Rapport sur le fœtus trouvé dans le ventre du jeune Bissieu, de Verneuil (département de l’Eure).” Archives générales de médecine (Paris) 4 (1824): 93–98. </t>
  </si>
  <si>
    <t>AGM1824s1v4</t>
  </si>
  <si>
    <t>RMFE1831s1v2</t>
  </si>
  <si>
    <t>Pathologia.</t>
  </si>
  <si>
    <t>Pathologia. Deslocação do coração por violencia exterior: Observação de M. Stokes.</t>
  </si>
  <si>
    <t>London medical and physical Journal: November 1831</t>
  </si>
  <si>
    <t>SSP1832.1.1.91-391</t>
  </si>
  <si>
    <t>SSP1832.1.1.93-396</t>
  </si>
  <si>
    <t>SSP1832.1.1.94-399</t>
  </si>
  <si>
    <t>SSP1832.1.1.95-402</t>
  </si>
  <si>
    <t>SSP1832.1.1.98-414</t>
  </si>
  <si>
    <t>SSP1832.1.1.98-415</t>
  </si>
  <si>
    <t>SSP1832.1.1.99-419</t>
  </si>
  <si>
    <t>SSP1832.1.1.99-420</t>
  </si>
  <si>
    <t>SSP1832.1.1.100-425</t>
  </si>
  <si>
    <t>SSP1832.1.1.100-426</t>
  </si>
  <si>
    <t>SSP1832.1.1.101-429</t>
  </si>
  <si>
    <t>SSP1832.1.1.102-432</t>
  </si>
  <si>
    <t>SSP1832.1.1.102-433</t>
  </si>
  <si>
    <t>SSP1833.1.1.115-462</t>
  </si>
  <si>
    <t>SSP1833.1.1.117-471</t>
  </si>
  <si>
    <t>SSP1833.1.1.117-472</t>
  </si>
  <si>
    <t>RMFE1831s1v4</t>
  </si>
  <si>
    <t>JCSEDS1831s1v1</t>
  </si>
  <si>
    <t>Bibliographia. Traité de l’Auscultation Mediate, et des Maladies des Poumons, et du coeur. Par R. T. H. Laennec. Troisieme edition augmentée par Meriadec Laennec. 3 vol. in-8.º. Paris 1831, en casa de Chaudé libraire-editeur, rue de la Harpe.</t>
  </si>
  <si>
    <t>Da phthisica pulmonar.</t>
  </si>
  <si>
    <t>Considerações sobre a fistula lagrimal, e tratamento que se deve empregar para evitar a operação.</t>
  </si>
  <si>
    <t>Ferida da face com secção do canal de Sténon, produzida pela dentada de hum cavallo.</t>
  </si>
  <si>
    <t>Laqueação das arterias iliacas.</t>
  </si>
  <si>
    <t>Archivos de Medicina</t>
  </si>
  <si>
    <t>Descripção das febres insidiosas e typhoides tratadas no Hospital da Marinha desta Côrte, por F. F. Pereira da Costa.</t>
  </si>
  <si>
    <t>Observações e considerações praticas, que estabelecem a possibilidade de revivencia, em casos de asphyxia, e de submersão prolongada, com apparencia de morte; por René Bourgois, D. M. P., medico residente na Casa Real da Legião d'Honra de S. Diniz, e Cavalheiro da Legião d'Honra.</t>
  </si>
  <si>
    <t>DS1835.1.1.39-302</t>
  </si>
  <si>
    <t>DS1835.1.1.41-313</t>
  </si>
  <si>
    <t>DS1835.1.1.46-342</t>
  </si>
  <si>
    <t>DS1835.1.1.53-378</t>
  </si>
  <si>
    <t>["Nas molestias agudas he vantajoso que o ventre…"]</t>
  </si>
  <si>
    <t>["Sabbado 26 do corrente mez de Janeiro teve logar…"]</t>
  </si>
  <si>
    <t>Remedio util para os que dessecão.</t>
  </si>
  <si>
    <t>Parto de 5 crianças.</t>
  </si>
  <si>
    <t>Transfusão do sangue.</t>
  </si>
  <si>
    <t>Journal de Savoie</t>
  </si>
  <si>
    <t>Advertencia ás pessoas que se pretendem curar a si propria.</t>
  </si>
  <si>
    <t>Gamsal</t>
  </si>
  <si>
    <t>["Como fallassemos no concurso, no numero passado…"]</t>
  </si>
  <si>
    <t>Da alteração do virus vaccinico, e do opportunidade das revaccinações; pelo Sr. Gauttier de Claubry. Memoria dirigida á Academia de Medicina de Paris, e impressa em separado pelo author; traduzida do Francez pelo Sr. J. M. do Rosario.</t>
  </si>
  <si>
    <t>Noticia sobre a conservação das materias animaes e sobre os embalsamentos; extrahida de huma lição de Mr. Dumas. Artigo traduzido do Recueil de la Societé polytechnique. Setembro 1839.</t>
  </si>
  <si>
    <t>Do senteio respigado na metrorrhagia. Artigo traduzido do Journal des connaissances medico-chirurgicales, Março 1840, pelo Sr. J. M. do Rozario.</t>
  </si>
  <si>
    <t>Morfetico mordido pela cobra cascavel.</t>
  </si>
  <si>
    <t>["A Academia de medicina de Paris dirigio ultimamente a seguinte resposta…"]</t>
  </si>
  <si>
    <t>Novo Formulario dos Hospitaes, pelos Srs. Milne Edwards, e Vavasseur, D.D.-M,M. pag. 76. Edição de 1854.</t>
  </si>
  <si>
    <t>Innoculação da peste.</t>
  </si>
  <si>
    <t>Correspondência Escripta do Egypto sobre a peste, por Clot-Bey.</t>
  </si>
  <si>
    <t>DS1835.1.1.39-303</t>
  </si>
  <si>
    <t>DS1835.1.1.41-314</t>
  </si>
  <si>
    <t>DS1835.1.1.46-343</t>
  </si>
  <si>
    <t>DS1835.1.1.53-379</t>
  </si>
  <si>
    <t>Caso de huma bexiga dobrada, pelo doutor Zechler.</t>
  </si>
  <si>
    <t>ANU1824s1v29</t>
  </si>
  <si>
    <t>"Caso di morte subitanea , in cui si trovò un'idatide nella sostanza del cuore ; di DAVID PRICE, Esq." Annali universali di medicina (Milan) 29 (1824): 158–159.</t>
  </si>
  <si>
    <t>Sobre os Effeitos Imediatos dos Despedaçamentos do Diafragma, por E. Gaultier de Claubry, D. M. P.</t>
  </si>
  <si>
    <t>Do uso do chlorureto de cal.</t>
  </si>
  <si>
    <t>Medicina Pratica. Tratamento do Cholera Morbus que foi mui bem succedido, e he adoptado actualmente na maioria dos Medicos de Paris.</t>
  </si>
  <si>
    <t>GMP1831s1v2</t>
  </si>
  <si>
    <t>RMFE1831s1v3</t>
  </si>
  <si>
    <t>"Rammollimento dei lobi anteriori del Cervello ; Perdita della memoria . ( Arch. Gén. de Méd. Octobre 1831. )" Bullettino delle scienze mediche (Bologna) 5 (1832): 187–188.</t>
  </si>
  <si>
    <t>"Nouvelle méthode pour détruire la pierre dans la vessie sans opération sanglante ; précédée d'un examen historique et pratique de tous les procédésde lithotritie employés jusqu'à ce jour ; par S. TANCHOU , docteur en médecine de la Faculté de Paris , membre de La Légion-d'honneur , etc. Paris , Crochard. 1830. In-8.º de xiv- 387 pp. , avec planches ." Archives générales de médecine (Paris) 25 (1831): 591–593.</t>
  </si>
  <si>
    <t>ANU1831s1v58</t>
  </si>
  <si>
    <t xml:space="preserve">Percy, Pierre-François. “Mémoire sur la polyphagie.” Journal de médecine, chirurgie, pharmacie, etc. 9 (An XIII [1805]): 87–110. </t>
  </si>
  <si>
    <t>"Académie royale de médecine. (Fin Juillet et Août 1831.)  Rapport sur le choléra-morbus. — Huile de Cajeput. — Remèdes secrets. — Traitement du squirrhe de l’estomac par l’aconit et la belladone. — Mort volontaire par inanition. — Ceinture préservative du choléra." Revue médicale française et étrangère (Paris) 3 (1831): 503–516.</t>
  </si>
  <si>
    <t>GHCM1831-1832s1v5</t>
  </si>
  <si>
    <t>RMFE1830s1v3</t>
  </si>
  <si>
    <t>Scipion Pinel</t>
  </si>
  <si>
    <t>A translated medical correspondence (letter-report) from Scipion Pinel to the Warsaw Medical Board</t>
  </si>
  <si>
    <t>Sessão da Academia das Sciencias de Paris em 2 de maio 1831</t>
  </si>
  <si>
    <t>AMP1831s1v19</t>
  </si>
  <si>
    <t>“Cystotomie sus-pubienne. Lithotritie. Destruction dans une seule séance d’un calcul dans une vessie séparée en deux cavités; par M. Tanchou.” Archives générales de médecine (Paris) 25 (1831): 512–517.</t>
  </si>
  <si>
    <t xml:space="preserve">Bérard, F. “Application de l’analyse à la médecine pratique.” In Charles-Louis Dumas, Doctrine générale des maladies chroniques, pour servir de fondement à la connaissance théorique et pratique de ces maladies. 2nd ed., published with notes by L. Rouzet, vol. 2, 448–449. Paris: Gabon et Compagnie, 1824. </t>
  </si>
  <si>
    <t>"Circulaires ministérielles relatives aux mesures sanitaires contre le choléra-morbus.." Gazette médicale de Paris (Paris) 2, no. 27 (2 July 1831): 333–334.</t>
  </si>
  <si>
    <t>Providencias do Goveno Francez contra o Cholera-Morbus.</t>
  </si>
  <si>
    <t>RMFE1830s1v2</t>
  </si>
  <si>
    <t>BDSM1834s1v9</t>
  </si>
  <si>
    <t>MARM1833s1v3</t>
  </si>
  <si>
    <t>"Reméde contre le ver solitaire. — Grenadier." Le Temps (Paris) 3, no. 1903 (8 January 1835): 2.</t>
  </si>
  <si>
    <t>NFPH1834</t>
  </si>
  <si>
    <t>RACMC1834s1v2</t>
  </si>
  <si>
    <t>JCMP1832s1v8</t>
  </si>
  <si>
    <t>JCMP1833s1v9</t>
  </si>
  <si>
    <t>MEARSL1812s1v4</t>
  </si>
  <si>
    <t>RACMC1833s1v1</t>
  </si>
  <si>
    <t>"M. Dupuytren met sous les yeux de l'académie un enfant…" Gazette médicale de Paris (Paris) 1, no. 29 (17 July 1830): 271.</t>
  </si>
  <si>
    <t>"Mémoire sur un point d'anatomie et de physiologie du système veineux . -Mécanisme de l'entrée accidentelle de l'air dans les veines . Effet de l'élasticité du poumon ; par M. Bérard ainé." Revue médicale française et étrangère (Paris) 3 (1830): 92–93.</t>
  </si>
  <si>
    <t>"Du principe actif de l'élatérium." Revue médicale française et étrangère (Paris) 4 (1831): 289–291.</t>
  </si>
  <si>
    <t>"Des effets du muriate de morphine." Revue médicale française et étrangère (Paris) 4 (1831): 287–289.</t>
  </si>
  <si>
    <t>"II. Efficacité de l'hydrocyanate de zinc contre l'hémicranie périodique." Revue médicale française et étrangère (Paris) 4 (1830): 130–131.</t>
  </si>
  <si>
    <t>Henri Goraud. "Examen de l'Examen des doctrines médicales." Revue médicale française et étrangère (Paris) 3 (1831): 147–162.</t>
  </si>
  <si>
    <t>"Blessés des 27 , 28 , 29 juillet." Revue médicale française et étrangère (Paris) 1 (1830): 135–137.</t>
  </si>
  <si>
    <t>"Fiévre intermittente." Journal des progrès des sciences et institutions médicales () 8 (1828): 251-252.</t>
  </si>
  <si>
    <t>"Séance du 13 octobre 1830." Journal de pharmacie et des sciences accessoires (Paris) 16 (1830): 692.</t>
  </si>
  <si>
    <t>Journ. de la Sect. de Med. de Méd. l'Acad. de Nantes</t>
  </si>
  <si>
    <t>"Procès-verbal de l’autopsie du cadavre d’un homme trouvé mort sur la grande route. — Mort subite causée par la rupture de la veine cave inférieure; par M. le docteur Boucher de La Ville-Jossy, de Nantes." Journal de la Section de médecine de la Société académique du département de la Loire-Inférieure (Nantes) 6 (1830): 77–80.</t>
  </si>
  <si>
    <t>Therapeutica. Hydroferro-cyanato de potassa contra a paraplegia.</t>
  </si>
  <si>
    <t>Methodo curativo do croup.</t>
  </si>
  <si>
    <t>Soccorros dados aos affogados e aos asphyxiados.</t>
  </si>
  <si>
    <t>Cura da cataracta sem operação.</t>
  </si>
  <si>
    <t>Noz vomica na queda do recto.</t>
  </si>
  <si>
    <t>Cauterio potencial no hydrocephalo agudo.</t>
  </si>
  <si>
    <t>Digital purpurea no delirium tremens.</t>
  </si>
  <si>
    <t>J. de Hufeland, 1834.</t>
  </si>
  <si>
    <t>Constitutionnel, septembre 1835.</t>
  </si>
  <si>
    <t>Chronique de Paris, septembre 1855</t>
  </si>
  <si>
    <t xml:space="preserve">Mediscinisches correspondentz-Blatt. J., de la Societé des Sciences Physiques, Chimiques, etc. — do setembro de 1835. trad. F. C. Valdetaro, </t>
  </si>
  <si>
    <t>"Sur l'invitation de M. le ministre de l'intérieur…" Gazette médicale de Paris (Paris) 3, no. 59 (17 July 1832) 420.</t>
  </si>
  <si>
    <t>DS1835.1.1.39-304</t>
  </si>
  <si>
    <t>DS1835.1.1.39-305</t>
  </si>
  <si>
    <t>DS1835.1.1.39-306</t>
  </si>
  <si>
    <t>DS1835.1.1.39-307</t>
  </si>
  <si>
    <t>DS1835.1.1.40-310</t>
  </si>
  <si>
    <t>DS1835.1.1.41-315</t>
  </si>
  <si>
    <t>DS1835.1.1.41-316</t>
  </si>
  <si>
    <t>DS1835.1.1.41-317</t>
  </si>
  <si>
    <t>DS1835.1.1.41-318</t>
  </si>
  <si>
    <t>DS1835.1.1.42-321</t>
  </si>
  <si>
    <t>DS1835.1.1.42-322</t>
  </si>
  <si>
    <t>DS1835.1.1.42-323</t>
  </si>
  <si>
    <t>DS1835.1.1.43-326</t>
  </si>
  <si>
    <t>DS1835.1.1.43-327</t>
  </si>
  <si>
    <t>DS1835.1.1.44-330</t>
  </si>
  <si>
    <t>DS1835.1.1.44-331</t>
  </si>
  <si>
    <t>DS1835.1.1.45-334</t>
  </si>
  <si>
    <t>DS1835.1.1.45-335</t>
  </si>
  <si>
    <t>DS1835.1.1.45-336</t>
  </si>
  <si>
    <t>DS1835.1.1.46-344</t>
  </si>
  <si>
    <t>DS1835.1.1.46-345</t>
  </si>
  <si>
    <t>DS1835.1.1.46-346</t>
  </si>
  <si>
    <t>DS1835.1.1.46-347</t>
  </si>
  <si>
    <t>DS1835.1.1.47-350</t>
  </si>
  <si>
    <t>DS1835.1.1.47-351</t>
  </si>
  <si>
    <t>DS1835.1.1.47-352</t>
  </si>
  <si>
    <t>DS1835.1.1.47-353</t>
  </si>
  <si>
    <t>DS1835.1.1.48-356</t>
  </si>
  <si>
    <t>DS1835.1.1.48-357</t>
  </si>
  <si>
    <t>DS1835.1.1.49-360</t>
  </si>
  <si>
    <t>DS1835.1.1.50-363</t>
  </si>
  <si>
    <t>DS1835.1.1.50-364</t>
  </si>
  <si>
    <t>DS1835.1.1.50-365</t>
  </si>
  <si>
    <t>DS1835.1.1.50-366</t>
  </si>
  <si>
    <t>DS1835.1.1.51-368</t>
  </si>
  <si>
    <t>DS1835.1.1.51-369</t>
  </si>
  <si>
    <t>DS1835.1.1.52-372</t>
  </si>
  <si>
    <t>DS1835.1.1.52-373</t>
  </si>
  <si>
    <t>DS1835.1.1.53-380</t>
  </si>
  <si>
    <t>DS1835.1.1.53-381</t>
  </si>
  <si>
    <t>DS1835.1.1.53-382</t>
  </si>
  <si>
    <t>DS1835.1.1.53-383</t>
  </si>
  <si>
    <t>DS1835.1.1.53-384</t>
  </si>
  <si>
    <t>Lesão do appendice ileo-cecal.</t>
  </si>
  <si>
    <t>BGTM1834s1v6</t>
  </si>
  <si>
    <t>JCMP1835s2v1</t>
  </si>
  <si>
    <t>RBP1834s3v10</t>
  </si>
  <si>
    <t>RBP1834s3v11</t>
  </si>
  <si>
    <t>RBP1834s3v9</t>
  </si>
  <si>
    <t>J. de Con. Méd.-chir de 1834.</t>
  </si>
  <si>
    <t>RMFE1834s1v2</t>
  </si>
  <si>
    <t>GCMA1830s1v13</t>
  </si>
  <si>
    <t>B. Mojon. "Di un nuovo metodo di applicare le sanguisughe ; Brano di Lettera del sig. prof. MOJON al dott. Gio. STRAMBIO ." Giornale critico di medicina analitica (Milan) 13 (1830): 71–73.</t>
  </si>
  <si>
    <t>National de 1834 — 25 de março de 1835</t>
  </si>
  <si>
    <t>Academia das Sciencias de Paris, sessão de 3 de março de 1835. — Memorias do Sr. Velpeau, 1.º sobre as doenças agudas da garganta, e particularmente sobre a angina tonsillar; 2.º sobre a inflammação da boca causada pelo beliscamento das gengivas entre os dentes do sizo; 3.º sobre a queimadura; 4.º Extracto de maior trabalho sobre as molestias dos vasos lymphaticos. — Anályse de trez memorias do Sr. Leroy d’Etiolle, 1.º sobre a lithotricia urethral; 2.º sobre o novo methodo de compressão para determinar a obliteração das arterias dos membros no aneurisma; 3.º sobre intrumentos novos para cura das molestias da prostata, e retenções de ourina que ellas produzem. L. e S.</t>
  </si>
  <si>
    <t>IPI1811s1v3</t>
  </si>
  <si>
    <t>Presagios tirados do estado das gengivas (Percy).</t>
  </si>
  <si>
    <t>"Electuaire d'écorce de racine de grenadier contre le tænia." Journal de Chimie Medicale, de Pharmacie et de Toxicologie (Paris) 9 (1833): 683–684.</t>
  </si>
  <si>
    <t>Julia-Fontenelle. "Préparation du cyanure de mercure contre la syphilis." Journal de Chimie Medicale, de Pharmacie et de Toxicologie (Paris) 8 (1832): 473–475.</t>
  </si>
  <si>
    <t>"Compte-rendu des travaux de l’Académie pendant deux ans. (Partie chirurgicale.) Par M. Roux, professeur à la faculté de médecine, chirurgien de l’hôpital de la Charité, membre de l’Institut, etc." Mémoires de l'Academie royale de médecine (Paris) 3 (1833): 53–54.</t>
  </si>
  <si>
    <t>J.-H. Reveillé-Paris. "Considérations médico-philosophiques sur ce mot d’Aristote, « Que la plupart des hommes célèbres sont atteints de mélancolie; » Lues en séance publique le 9 juillet 1833," Mémoires de l'Academie royale de médecine (Paris) 3 (1833): 271–279.</t>
  </si>
  <si>
    <t>"Mémoire sur le diagnostic , où l'on examine les signes communs et différentiels de diverses maladies des organes contenus dans les cavités pectorale , abdominale et céphalo - rachidienne ; par M. HUGUIER , aide d'anatomie de la Faculté , etc." Revue médicale française et étrangère (Paris) 2 (1834): 110–111.</t>
  </si>
  <si>
    <t>"II. De la présence d'une substance aromatique analogue au musc dans l'urine ; par A. Chevalier." Revue médicale française et étrangère (Paris) 2 (1834): 133–134.</t>
  </si>
  <si>
    <t>"Origine du succin ; par M. Guiseppe Alessi." Revue médicale française et étrangère (Paris) 2 (1834): 136–137.</t>
  </si>
  <si>
    <t>"Séance du 10.- Perforation de l'estomac. Expériences sur le suc gastriqué et la digestion." Revue médicale française et étrangère (Paris) 2 (1834): 142–143.</t>
  </si>
  <si>
    <t>"Séance du 17." Revue médicale française et étrangère (Paris) 2 (1834): 144.</t>
  </si>
  <si>
    <t>"Séance du 24." Revue médicale française et étrangère (Paris) 2 (1834): 145.</t>
  </si>
  <si>
    <t>"OEdème cérébral." Revue médicale française et étrangère (Paris) 2 (1834): 145.</t>
  </si>
  <si>
    <t>Dos Venenos. — Preparações de Arsenico.</t>
  </si>
  <si>
    <t>Amédée Dupau. “Notice historique sur le docteur Edward Jenner, inventeur de la vaccine.” Revue Encyclopédique (Paris) 21 (January 1824): 21–34.</t>
  </si>
  <si>
    <t>REAR1824s1v21</t>
  </si>
  <si>
    <t>"Voyage en Italie fait en l’année 1820 ; par Louis VALENTIN , D.-M. 20. édition , corrigée et augmentée de nouvelles observations faites dans un second voyage en 1824. 1 vol.in - 80 .; Paris , 1826 ." Bulletin des sciences médicales (Paris) 9 (1826): 31–34.</t>
  </si>
  <si>
    <t>"Découvertes récentes du docteur Faraday dans l'étude des phénomènes électriques." Revue Britannique (Paris) 11 (1834): 359–362.</t>
  </si>
  <si>
    <t>"Nouvelle Théorie de la Combustion." Revue Britannique (Paris) 10 (1834): 160–162.</t>
  </si>
  <si>
    <t>"Note sur un nouveau principe nommé sub-rubrine, découvert dans le sang humain et dans celui de plusieurs mammifères, par le docteur O’Shaughnessy." Journal de chimie médicale, de pharmacie et de toxicologie (Paris) 1 (1835): 254.</t>
  </si>
  <si>
    <t>Ediwin Lee. "Note sur le traitement de la fièvre typhoïde usité en Angleterre; communiquée par M. Edwin Lee."  Gazette médicale de Paris (Paris) 3 (1835): 254.</t>
  </si>
  <si>
    <t>J. F. "Analyse de la farine de bled précédée d’un essai sur le gluten et la substance amylacée." Journal de chimie médicale, de pharmacie et de toxicologie (Paris) 1 (1835): 253.</t>
  </si>
  <si>
    <t>Revue Britannique —Abril de 1833.</t>
  </si>
  <si>
    <t>"Recherches sur la durée moyenne de la vie chez les médecins."  Revue Britannique (Paris) 9 (1834): 363–368.</t>
  </si>
  <si>
    <t>RBP1833s3v1</t>
  </si>
  <si>
    <t>"Ossification musculaire." Revue Britannique (Paris) 1 (1833): 364–365.</t>
  </si>
  <si>
    <t>"Art. 718. III. Considérations sur la fistule lacrymale et le traitement à employer pour éviter l'opération ."  Journal de Chimie Medicale, de Pharmacie et de Toxicologie (Paris) 4 (1833): 339–341.</t>
  </si>
  <si>
    <t>"Art. 613. Société de Médecine.- Observations et considérations sur les perforations du canal intestinal." Journal de Chimie Medicale, de Pharmacie et de Toxicologie (Paris) 4 (1833): 114–115.</t>
  </si>
  <si>
    <t>"Plaies." Repertoire annuel de clinique medico-chirurgicale (Paris) 1 (1833): 489–494.</t>
  </si>
  <si>
    <t>"Moyens hémostatiques. Ligatures des artères." Repertoire annuel de clinique medico-chirurgicale (Paris) 1 (1833): 512–514.</t>
  </si>
  <si>
    <t>"Epilepsie." Repertoire annuel de clinique medico-chirurgicale (Paris) 2 (1834): 274–275.</t>
  </si>
  <si>
    <t>Aptidão de certas cores para absorver os cheiros.</t>
  </si>
  <si>
    <t>Temps— de nov. de 1835</t>
  </si>
  <si>
    <t>"Observations sur l'emploi du sulfate de cuivre dans le croup" Revue médicale française et étrangère (Paris) 2 (1834): 280–281.</t>
  </si>
  <si>
    <t>RMFE1824s1v3</t>
  </si>
  <si>
    <t>Extracto de huma Memoria, sobre a cera vegetal do Brazil lida perante a Sociedade Real de Londres em 9 de Maio de 1811. (Por William Thomaz Brande.)</t>
  </si>
  <si>
    <t>ALA1826s1v24</t>
  </si>
  <si>
    <t>Novo processo para fazer o hydriodato de Potassa</t>
  </si>
  <si>
    <t>["Na Sessão da Academia de Medicina de 31 de Agosto de 1830…"]</t>
  </si>
  <si>
    <t>"Académie de médecine. Séance du 31 août 1830." Gazette médicale de Paris (Paris) 1 (1830): 332.</t>
  </si>
  <si>
    <t xml:space="preserve">"Sur les effets et le traitement de la morsure des serpens venimeux du Paraguay; par le docteur Rengger. — Pendant un séjour." Archives générales de médecine (Paris) 24 (1830): 120–121. </t>
  </si>
  <si>
    <t>"Sur le danger de certaines exhalaisons." Journal de chimie médicale, de pharmacie et de toxicologie (Paris) 3 (1827): 555–556.</t>
  </si>
  <si>
    <t>IPI1812s1v4</t>
  </si>
  <si>
    <t>AGM1825s1v9</t>
  </si>
  <si>
    <t xml:space="preserve">François Chaussier and Pierre-François Percy, Rapport fait à l’Académie Royale des Sciences sur le nouveau moyen du docteur Civiale, pour détruire la pierre dans la vessie sans l’opération de la taille (Paris: Imprimerie Decosson, 1824), 1–2, 8–9, 26–27, 33–44. </t>
  </si>
  <si>
    <t>Price, David. “Case of Sudden Death, in Which a Hydatid Was Found in the Substance of the Heart.” Medico-Chirurgical Transactions (London) 11, pt. 2 (1821): 274–76.</t>
  </si>
  <si>
    <t>Sobre a Strychninia.</t>
  </si>
  <si>
    <t>Sobre o emprego da essência de terementhina nas nevralgias; pelo Professor Recamier.</t>
  </si>
  <si>
    <t>Sobre o Acido Benzoico.</t>
  </si>
  <si>
    <t>Sobre o acetato de Morphina.</t>
  </si>
  <si>
    <t>Rep. fur. de Pharm. 1824</t>
  </si>
  <si>
    <t>"358. Over de bereiding van het hydriodes potasse , aan het natuur en scheidekundig Genootschap teGroningen door STRATINGH . Mémoire sur la préparation de l'hydriodatede potasse , lu par M. le Dr. STRATINGH , à la Société d'histoire naturelle et de chimie à Groningue. (Repert.für die Pharm. , vol. xv , cah . 2 , p. 288. 1823. )" Bulletin des sciences médicales (Paris) 2 (1824): 355–356.</t>
  </si>
  <si>
    <t>"Distinguer les signes de la maladie appelée fièvre cérébrale chez les enfans , de ceux que détermine la présence des vers dans les voies digestives ; établir comparativement le diagnostic de ces deux cas, par M. Gintrac, membre correspondant de l'Académie Royale de Médecine. ( Ouvrage couronné par la Société de Médecine de Caen. )" Revue médicale française et étrangère (Paris) 4 (1825) 479–483.</t>
  </si>
  <si>
    <r>
      <t xml:space="preserve">Milne Edwards and P. Vavasseur, </t>
    </r>
    <r>
      <rPr>
        <i/>
        <sz val="11"/>
        <color theme="1"/>
        <rFont val="Calibri"/>
        <family val="2"/>
        <scheme val="minor"/>
      </rPr>
      <t>Nouveau formulaire pratique des hôpitaux, ou choix de formules des hôpitaux civils et militaires de France, d’Angleterre, d’Allemagne, d’Italie, etc.</t>
    </r>
    <r>
      <rPr>
        <sz val="11"/>
        <color theme="1"/>
        <rFont val="Calibri"/>
        <family val="2"/>
        <scheme val="minor"/>
      </rPr>
      <t xml:space="preserve">, 2nd ed. (Paris: Librairie de Crochard; Just Rouvier et E. Le Bouvier, 1834), 253–54, s.v. “Oxyde rouge de mercure.” </t>
    </r>
  </si>
  <si>
    <t xml:space="preserve">Milne Edwards and P. Vavasseur, Nouveau formulaire pratique des hôpitaux, ou choix de formules des hôpitaux civils et militaires de France, d’Angleterre, d’Allemagne, d’Italie, etc., 2nd ed. (Paris: Crochard, 1834), 30, s.v. “Gargarisme alumineux (Bennati).” </t>
  </si>
  <si>
    <r>
      <t xml:space="preserve">Milne Edwards and P. Vavasseur, </t>
    </r>
    <r>
      <rPr>
        <i/>
        <sz val="11"/>
        <color theme="1"/>
        <rFont val="Calibri"/>
        <family val="2"/>
        <scheme val="minor"/>
      </rPr>
      <t>Nouveau formulaire pratique des hôpitaux, ou choix de formules des hôpitaux civils et militaires de France, d’Angleterre, d’Allemagne, d’Italie, etc.</t>
    </r>
    <r>
      <rPr>
        <sz val="11"/>
        <color theme="1"/>
        <rFont val="Calibri"/>
        <family val="2"/>
        <scheme val="minor"/>
      </rPr>
      <t xml:space="preserve">, 2nd ed. (Paris: Crochard, 1834), </t>
    </r>
    <r>
      <rPr>
        <b/>
        <sz val="11"/>
        <color theme="1"/>
        <rFont val="Calibri"/>
        <family val="2"/>
        <scheme val="minor"/>
      </rPr>
      <t>192</t>
    </r>
    <r>
      <rPr>
        <sz val="11"/>
        <color theme="1"/>
        <rFont val="Calibri"/>
        <family val="2"/>
        <scheme val="minor"/>
      </rPr>
      <t xml:space="preserve">, s.v. “Mixture pectorale de Boerhaave.” </t>
    </r>
  </si>
  <si>
    <t>GMP1834s2v2</t>
  </si>
  <si>
    <t>AMP1834s1v26</t>
  </si>
  <si>
    <t xml:space="preserve">Magendie, François. Formulaire pour la préparation et l’emploi de plusieurs nouveaux médicamens, tels que la noix vomique, les sels de morphine, l’acide prussique, la strychnine, la vératrine, les alcalis des quinquinas, l’émétine, l’iode, l’iodure de mercure, le cyanure de potassium, l’huile de croton tiglium, les sels d’or, les sels de platine, etc., etc., etc. 5th ed., rev. and expanded. Paris: Méquignon-Marvis, 1825, 45–46. </t>
  </si>
  <si>
    <t>Martinet, Louis. Mémoire sur l’emploi de l’huile de térébenthine dans la sciatique et quelques autres névralgies des membres. Paris: Chez Gabon et Compagnie, 1823, 33–36.</t>
  </si>
  <si>
    <t>TL1826s1v10</t>
  </si>
  <si>
    <t>LPO1828s1v4</t>
  </si>
  <si>
    <t>"Improvement of Candles." The London and Paris Observer (Paris) 4, no. 182 (23 November 1828): 751.</t>
  </si>
  <si>
    <t>"Séance publique de la section de médecine." Revue médicale française et étrangère (Paris) 3 (1824): 313–325.</t>
  </si>
  <si>
    <t>Depuch-Lapointe. "Mémoire sur la staphyloraphie ou la suture du voile du palais ; par P.-J. Roux , prof. à la Faculté de médecine de Paris . Broch. in-8°. , avec planches lithographiées ." Journal médical de la Gironde (Bordeaux) 3 (1825): 457–468.</t>
  </si>
  <si>
    <t>"Pastilles alcalines digestives; par M. d’Arcet." Journal de pharmacie et des sciences accessoires (Paris) 12, no. 3 (March 1826): 129–131.</t>
  </si>
  <si>
    <t>"Lithotomie." Archives générales de médecine (Paris) 9 (1825): 608-609.</t>
  </si>
  <si>
    <t>"Sur la préparation de l'acide benzoique." Journal de pharmacie et des sciences accessoires (Paris) 10 (1824): 66–68.</t>
  </si>
  <si>
    <t>"Formule pour les pilules de Plenck." Journal de pharmacie et de chimie (Paris) 10, no. 2 (February 1824): 70.</t>
  </si>
  <si>
    <t>"Revue des journaux de médecine Français." Revue médicale française et étrangère (Paris) 4 (1825): 463–475.</t>
  </si>
  <si>
    <t>"Vers lombrics (tumeur inguinale contenant des)." Journal des progrès des sciences et institutions médicales (Paris) 1 (1827): 281-282.</t>
  </si>
  <si>
    <t>"Notes sur la vaccine." Journal des connaissances utiles (Paris) 5, no. 2 (February 1835): 53.</t>
  </si>
  <si>
    <t>"Indagação sobre as mudanças induzidas no ar atmospherico pela germinação das sementes, vegetação das plantas, e respiração de animaes. Por Daniel Ellis. Edimburgo e Londres. 1811." O Investigador portuguez em Inglaterra (London) 3 (1811): 225–240; 406–419.</t>
  </si>
  <si>
    <t>Emprego da clara d’ovo na cholerina</t>
  </si>
  <si>
    <t>Carré. "Emploi de la belladone contre les contractions spasmodiques de l’utérus, celles de l’anneau inguinal et du canal de l’urètre." Journal des Connaissances Medico Chirurgicales (Paris) 2, no. 9 (May 1835): 307–308.</t>
  </si>
  <si>
    <r>
      <t xml:space="preserve">Milne Edwards and P. Vavasseur, </t>
    </r>
    <r>
      <rPr>
        <i/>
        <sz val="11"/>
        <color theme="1"/>
        <rFont val="Calibri"/>
        <family val="2"/>
        <scheme val="minor"/>
      </rPr>
      <t>Nouveau formulaire pratique des hôpitaux, ou choix de formules des hôpitaux civils et militaires de France, d’Angleterre, d’Allemagne, d’Italie, etc.</t>
    </r>
    <r>
      <rPr>
        <sz val="11"/>
        <color theme="1"/>
        <rFont val="Calibri"/>
        <family val="2"/>
        <scheme val="minor"/>
      </rPr>
      <t xml:space="preserve">, 2nd ed. (Paris: Crochard, 1834), 68–70, s.v. “Quinquina.” </t>
    </r>
  </si>
  <si>
    <t xml:space="preserve">Milne Edwards and P. Vavasseur, Nouveau formulaire pratique des hôpitaux, ou choix de formules des hôpitaux civils et militaires de France, d’Angleterre, d’Allemagne, d’Italie, etc., 2nd ed. (Paris: Librairie de Crochard; Just Rouvier et E. Le Bouvier, 1834), 262, s.v. “Solution atrophique avec la teinture de digitale . (Magendie. ).” </t>
  </si>
  <si>
    <t>"Art. 1110. Nouveau procédé pour la préparation du miel rosat."  Journal de médecine et de chirurgie pratiques (Paris) 6 (1835): 375.</t>
  </si>
  <si>
    <t>CRB1835s1v1</t>
  </si>
  <si>
    <t>I. L. Filiare Sebezio</t>
  </si>
  <si>
    <t>Novo purgante para as crianças.</t>
  </si>
  <si>
    <t>Carbonato d’ammoniaco na ourina.</t>
  </si>
  <si>
    <t>Chronica médica dos primeiros quinze dias de janeiro de 1836, no Rio de Janeiro, pelo doutor Ernesto da Riva.</t>
  </si>
  <si>
    <t>Dos effeitos nocivos dos coletes sobre os órgãos do baixo-ventre.</t>
  </si>
  <si>
    <r>
      <t xml:space="preserve">Corbin, Eus. “Des effets produits par les corsets sur les organes de l’abdomen, et en particulier sur le foie.” </t>
    </r>
    <r>
      <rPr>
        <i/>
        <sz val="11"/>
        <color theme="1"/>
        <rFont val="Calibri"/>
        <family val="2"/>
        <scheme val="minor"/>
      </rPr>
      <t>Gazette médicale de Paris</t>
    </r>
    <r>
      <rPr>
        <sz val="11"/>
        <color theme="1"/>
        <rFont val="Calibri"/>
        <family val="2"/>
        <scheme val="minor"/>
      </rPr>
      <t xml:space="preserve"> 1, no. 17 (April 24, 1830): 151–153.</t>
    </r>
  </si>
  <si>
    <t>ESM1835s1v35-37</t>
  </si>
  <si>
    <t>JPSA1834s1v20</t>
  </si>
  <si>
    <t>LMG1836s1v17</t>
  </si>
  <si>
    <t xml:space="preserve">“St. George’s Hospital. Cases, with Clinical Remarks. Articular Rheumatism—Chorea—Conversions of Disease—Balsams in Chronic Bronchitis.” The London Medical Gazette 17 (1835–1836): 236–237. </t>
  </si>
  <si>
    <t>"Variétés." Gazette médicale de Paris (Paris) 3 (1835): 224.</t>
  </si>
  <si>
    <t>Methodo de curar os Arenques.</t>
  </si>
  <si>
    <t>"Observation de rétrécissement considérable du vagin, faisant obstacle à l’accouchement, par M. Duparcque, D. M. P." Journal des Connaissances Medico Chirurgicales (Paris) 1, no. 8 (March 1834): 211.</t>
  </si>
  <si>
    <t>"Note sur la Diète et sur son abus dans le traitement des maladies , par J.-F. Caffort , chirurgien de l'hôpital de Narbonne ." Journal des Connaissances Medico Chirurgicales (Paris) 1, no. 8 (March 1834): 209–210.</t>
  </si>
  <si>
    <t>"De l'emploi des chlorures dans les affections typhoïdes , par J.-H. Réveillé-Paris ." Journal des Connaissances Medico Chirurgicales (Paris) 1, no. 8 (March 1834): 209–210.</t>
  </si>
  <si>
    <t>Bul. de therap. — jan. 1834</t>
  </si>
  <si>
    <t>Do emprego dos chlororetos alcalinos nas affecções typhoides, pelo Sr. J.-H. Reveillé-Parise.</t>
  </si>
  <si>
    <t>"Nouveau moyen très efficace pour faire avorter lepanaris." Journal des Connaissances Medico Chirurgicales (Paris) 1, no. 10 (June 1834): 308.</t>
  </si>
  <si>
    <t>Bulletin therapeutique; Gaz. Méd. — Abril de 1834</t>
  </si>
  <si>
    <t>BGTM1835s1v9</t>
  </si>
  <si>
    <t>M. "De l’emploi de la strychnine dans le traitement de l’amaurose." Bulletin général de thérapeutique médicale, chirurgicale, obstétricale et pharmaceutique (Paris) 9 (1835): 17–21.</t>
  </si>
  <si>
    <t>Observação de glossoraphia, pelo doutor Domenico Branca.</t>
  </si>
  <si>
    <t>Dublin Mail</t>
  </si>
  <si>
    <t>This piece appears to be a brief reused case-note, likely translated or paraphrased from an English newspaper extract credited to the “Dublin Mail” (probably the Dublin Evening Mail).</t>
  </si>
  <si>
    <r>
      <t xml:space="preserve">“Académie de médecine. Séance publique annuelle du mardi 2 septembre 1834. Sommaire. Compte-rendu des travaux de l’Académie pendant l’année 1833. Prix de vaccine. Sujets de prix proposés pour 1836. Eloge du baron Portal.” </t>
    </r>
    <r>
      <rPr>
        <i/>
        <sz val="11"/>
        <color theme="1"/>
        <rFont val="Calibri"/>
        <family val="2"/>
        <scheme val="minor"/>
      </rPr>
      <t>Gazette des hôpitaux civils et militaires (Lancette française)</t>
    </r>
    <r>
      <rPr>
        <sz val="11"/>
        <color theme="1"/>
        <rFont val="Calibri"/>
        <family val="2"/>
        <scheme val="minor"/>
      </rPr>
      <t xml:space="preserve"> 8 (1834): 423–424. </t>
    </r>
  </si>
  <si>
    <t>Academia de medicina: sessão annual de 2 de setembro de 1834, celebrada no grande amphitheatro da faculdade de medicina de Paris. — Relatorio dos trabalhos da academia durante o anno de 1833. — Proclamação de premios para a propagação da vaccina. — Objectos de premios para o anno de 1836. — Elogio de Portal.</t>
  </si>
  <si>
    <t>This Portuguese article is a near line-by-line translation and reuse of a French biographical “portrait” of the surgeon Guillaume Dupuytren, attributable to J.-B. Isidore Bourdon and preserved in his collected volume Illustres médecins et naturalistes des temps modernes (Paris, 1844).</t>
  </si>
  <si>
    <t>Do tratamento das molestias da garganta, e de algumas inflammacções das outras membranas mucosas, pelo sulfato de alumina e de potassa; memoria apresentada à academia das sciencias de França, a 16 de março de 1835 pelo Sr. Velpeau (Gaz. Méd.) Trad. F. C. Valdetaro</t>
  </si>
  <si>
    <t>Journal de Médecine et de Chirurgie Pratiques, etc. — de outubro de 1833.</t>
  </si>
  <si>
    <t xml:space="preserve">A short translated therapeutic notice, most likely reusing a French clinical extract on “suie de cheminée” (chimney soot) for ulcerated/cancerous lesions, traceable to Revue médicale française et étrangère (1835), “Efficacité de la suie dans les ulcérations” (associated in contemporary listings with J. Blaud). </t>
  </si>
  <si>
    <t>Annaes da Soc. Literaria Portuense</t>
  </si>
  <si>
    <t>JMCP1838s1v9</t>
  </si>
  <si>
    <t>"Sur le traitement de la fièvre typhoïde (dothinentérie) par les évacuans." Archives Générales de Médecine (Paris) 3 series, 1, no. 1 (January 1837): 19–29.</t>
  </si>
  <si>
    <t>AGM1837s2v13</t>
  </si>
  <si>
    <t>Bourgeois, René. “Observations et considérations-pratiques qui établissent la possibilité du retour à la vie dans plusieurs cas d’asphyxie.” Archives générales de médecine (Paris) 21 (October 1829): 227–238.</t>
  </si>
  <si>
    <t>JCMC1837-8s1v5</t>
  </si>
  <si>
    <t>J. de Med. e Chir. de Toulouse. Abril de 1838.</t>
  </si>
  <si>
    <t>AGM1831s1v26</t>
  </si>
  <si>
    <t>Constitucional de Paris de 13 de Julho de 1836</t>
  </si>
  <si>
    <t>JMCP1836s1v7</t>
  </si>
  <si>
    <t>Josué Cohen</t>
  </si>
  <si>
    <t>Baltimore, 4 de dezembro de 1838</t>
  </si>
  <si>
    <t>JCMC1839s1v7</t>
  </si>
  <si>
    <t>JCMC1838-9s1v6</t>
  </si>
  <si>
    <t>Journal de la Section de Medicine de la Société Royale Academique du Dep. de la Loire, in fr. Vol. XIV, pag. 147. — 1838.</t>
  </si>
  <si>
    <t>RSI1840s1v1</t>
  </si>
  <si>
    <t>ESM1834s1v20-22</t>
  </si>
  <si>
    <t>Lombald. "Note sur l’emploi de l’extrait alcoolique d’aconit-napel dans le traitement du rhumatisme articulaire aigu, par le docteur Lombard, médecin de l’hôpital civil et militaire de Genève." Gazette médicale de Paris (Paris) 2 (1834): 404–407.</t>
  </si>
  <si>
    <t>RBP1836s4v1</t>
  </si>
  <si>
    <t>JCMC1836-7s1v4</t>
  </si>
  <si>
    <t>Jornal dos conhecimentos medico-cirurgicos de março de 1840</t>
  </si>
  <si>
    <t>Journ. de Medec. et Cirurg. — Agosto 1839</t>
  </si>
  <si>
    <t>RMFE1839s1v3</t>
  </si>
  <si>
    <t>RBB1840s4v1</t>
  </si>
  <si>
    <t>RBB1840s4v2</t>
  </si>
  <si>
    <t>ESM1839s3v4-6</t>
  </si>
  <si>
    <t xml:space="preserve">"L’ozone, nouveau principe obtenu au moyen de l’électricité." Revue britannique (Bruxelles) 30, 4e série (1840): 806–807. </t>
  </si>
  <si>
    <t>"Découverte de la nature du seigle ergoté." Revue britannique (Bruxelles) 1 (June 1840): 593</t>
  </si>
  <si>
    <t>ACP1833s1v54</t>
  </si>
  <si>
    <t>Samuel Hahnemann, Organon de l’art de guérir, traduit de l’allemand par Antoine Jourdan (Paris: Imprimerie de J.-B. Baillière, 1824), pp. 13–14.</t>
  </si>
  <si>
    <t xml:space="preserve">Berton, A. “Note sur le traitement actif de la gonorrhée.” Gazette médicale de Paris (Paris) 2nd ser., 2, no. 45 (8 November 1834): 717–18. </t>
  </si>
  <si>
    <t>JMSAN1838s1v14</t>
  </si>
  <si>
    <t>GHCM1839s2v1</t>
  </si>
  <si>
    <t>JPSA1838s1v24</t>
  </si>
  <si>
    <t>ESM1839s3v1-3</t>
  </si>
  <si>
    <t>Da presença de cristaes nos intestinos do homem; por O’Brion Bellingham. Artigo traduzido dos Archives généraux de médecine — por J. M. do Rosario.</t>
  </si>
  <si>
    <t xml:space="preserve">Levacher, Michel-Gabriel. Guide médical des Antilles, ou Études sur les maladies des colonies en général, et sur celles qui sont propres à la race noire. Paris: J.-B. Baillière, 1834, 114–15. </t>
  </si>
  <si>
    <t>Orfila, Mathieu Joseph Bonaventure. “Observation d’empoisonnement par l’acétate de morphine.” Archives générales de médecine (Paris) 20 (1829): 211–220.</t>
  </si>
  <si>
    <t>Lond. Med. and Surg J.</t>
  </si>
  <si>
    <t>Gazette Medicale de Paris, Novembro 1836; Revista Estrangeira, Agosto 1837</t>
  </si>
  <si>
    <t xml:space="preserve">Pétréquin. “Expériences comparatives sur l'emploi thérapeutique de la kréosote et de l'eau de goudron dans le catarrhe pulmonaire chronique et dans la phthisie à divers degrés.” Gazette médicale de Paris (Paris) 4 (1836): 705–711. </t>
  </si>
  <si>
    <t>ESM1836s2v4-6</t>
  </si>
  <si>
    <t>GMP1839s2v7</t>
  </si>
  <si>
    <t>RSP1839s3v7</t>
  </si>
  <si>
    <t>"Notice sur la conservation des matières animales et sur les embaumemens." Recueil de la Société polytechnique (Paris) 7 (September 1839): 182–188.</t>
  </si>
  <si>
    <t>"Cas de dysphagie et d'aphonie par cause morate; par le docteur W. BLOK . " Gazette médicale de Paris (Paris) 7 (1839): 426.</t>
  </si>
  <si>
    <t>BP1812s1v4</t>
  </si>
  <si>
    <t>"De l'emploi du seigle ergoté contre les écoulements sanguins et muqueux , par le docteur Elliot de Stockholm." Journal des Connaissances Medico Chirurgicales (Paris) 5 (1837): 238–239.</t>
  </si>
  <si>
    <t>ESM1834s1v26-28</t>
  </si>
  <si>
    <t>BGTM1833s1v4</t>
  </si>
  <si>
    <t>Essai général d'éducation par Mr. Julien de Paris.</t>
  </si>
  <si>
    <t xml:space="preserve">Marc-Antoine Jullien de Paris, Essai général d’éducation physique, morale et intellectuelle: suivi d’un plan d’éducation-pratique pour l’enfance, l’adolescence et la jeunesse, ou recherches sur les principes d’une éducation perfectionnée, 2e éd., revue et très augmentée (Paris: Chez l’auteur; Mme Ve Dondey-Dupré; Béchet aîné, 1835), 202. </t>
  </si>
  <si>
    <t>Effeitos medicamentosos do iodo, pelo Dr. Hâncke.</t>
  </si>
  <si>
    <t>Descripção de hum novo instrumento para curar as fístulas vesico-vaginais e recto-vaginais, e as rachas do paladar, por Willian Beaumont.</t>
  </si>
  <si>
    <t>Hygiene dos lugares pantanosos, pelo Dr. Alexandre Augusto d’Oliveira Soares, Sócio Correspondente da Academia R. das Sciencias de Lisboa, &amp;c. &amp;c.</t>
  </si>
  <si>
    <t>Cura de antigas ulceras escrofulosas por meio do azeite de fígados de bacalhão; pelo Sr. José Pedro Marques Belmiro. Jornal da Sociedade das Sciencias Medicas de Lisboa, janeiro 1840.</t>
  </si>
  <si>
    <t>Caffort</t>
  </si>
  <si>
    <t>Bulletin de Therapeutique</t>
  </si>
  <si>
    <t xml:space="preserve">Caffort, J.-P. “Correspondance médicale. Note sur la diète et sur son abus dans le traitement des maladies.” Bulletin général de thérapeutique médicale et chirurgicale (Paris) 6, no. 6 (1834): 63–68. </t>
  </si>
  <si>
    <t>Analyse da casca do páo-pereira, pelo Dr. Behrend, Pharmaceutico Hamburguez. Extrahido dos annaes de medicina de Schmidt. Leipzig 1839, vol. 24, fol. 2.º pg. 156, pelo Dr. Lallemand.</t>
  </si>
  <si>
    <t>A short institutional Portuguese medico-society opinion on the “Sr. Nayler” case, most likely taken from the Sociedade das Ciências Médicas de Lisboa’s session record (17 Oct 1838).</t>
  </si>
  <si>
    <t>BGTM1834s1v7</t>
  </si>
  <si>
    <t>Uso do gaz acido carbonico na dysmenorrhea.</t>
  </si>
  <si>
    <t>"Observation. Hernie avec symptômes d’étranglement. (Guérie par les frictions d’extrait de belladone sur la tumeur.)" Repertoire annuel de clinique medico-chirurgicale (Paris) 1 (1833): 468–476.</t>
  </si>
  <si>
    <t>"Du traitement des maux de gorge et de quelques inflammations des autres membranes muqueuses, par le sulfate d’alumine et de potasse; mémoire présenté à l’Académie des sciences, le 16 mars 1835, par M. Velpeau." Gazette médicale de Paris (Paris) 3 (1835): 209–215.</t>
  </si>
  <si>
    <t>"Épisioraphie, ou nouvelle opération pour la cure du prolapsus de la matrice, par le docteur Frick." Gazette médicale de Paris (Paris) 3 (1835): 249.</t>
  </si>
  <si>
    <t>"Statistique des opérations de taille pratiquées dans l’automne de 1834 à l’hôpital des Incurables et à Sainte-Marie de Lorette, par M. Salvatore de Renzi." Gazette médicale de Paris (Paris) 3 (1835): 217.</t>
  </si>
  <si>
    <t>"Cas d’une vessie double, par le docteur Zechler." Gazette médicale de Paris (Paris) 3 (1835): 247–248.</t>
  </si>
  <si>
    <t>"Observation de grossesse extra-utérine, par Fr. Petrunti, professeur de clinique chirurgicale à l’université royale des Études, etc." Gazette médicale de Paris (Paris) 3 (1835): 246–247.</t>
  </si>
  <si>
    <t>"Premier rapport annuel sur l’établissement d’enseignement pratique de médecine légale à l’université royale de Berlin, depuis Pâques 1833 à 1834; par M. le professeur G. W. G. Gen." Gazette médicale de Paris (Paris) 3 (1835): 246–247.</t>
  </si>
  <si>
    <t>"Observation curieuse d’un noyé chez lequel on a trouvé du sable et des graviers dans les organes respiratoires, par le docteur Blumenradt." Gazette médicale de Paris (Paris) 3 (1835): 247.</t>
  </si>
  <si>
    <t>"Observation d’une tumeur aux lèvres survenue après une frayeur, par le docteur Diez." Gazette médicale de Paris (Paris) 3 (1835): 247.</t>
  </si>
  <si>
    <t>"Remède contre la masturbation habituelle." Gazette médicale de Paris (Paris) 3 (1835): 269–270.</t>
  </si>
  <si>
    <t>"Hémorrhagie périodique par le rectum, chez un enfant de huit ans, existant depuis sept ans. Observation communiquée par M. Jouan, chirurgien à Rochefort." Gazette médicale de Paris (Paris) 3 (1835): 307.</t>
  </si>
  <si>
    <t>Deleau jeune, "Petite pierre poussée dans la caisse du tambour, expulsée au moyen d’une injection dans la trompe d’Eustachi; par le docteur Deleau jeune." Gazette médicale de Paris (Paris) 3 (1835): 305.</t>
  </si>
  <si>
    <t xml:space="preserve">A brief Portuguese translation-digest of assorted “new formulas” excerpted from French medical journals, likely drawing (at least for the Vichy preparation) on the Pharmacopée française (Codex) 1837 entry for the pastilles de Vichy (pastilles de Darcet). </t>
  </si>
  <si>
    <t>RSI1840s1v2</t>
  </si>
  <si>
    <t>"Note sur l'emploi du nitrate d'argent dans les ophthalmies, par M. Munaret." Journal des Connaissances Medico Chirurgicales (Paris) 1, no. 10 (June 1834): 307.</t>
  </si>
  <si>
    <t>"Cas d’évolution spontanée du fœtus; par le docteur Malo." Journal des Connaissances Medico Chirurgicales (Paris) 1, no. 11 (July 1834): 345.</t>
  </si>
  <si>
    <t>"Hydropisie de l'uterus." Journal des Connaissances Medico Chirurgicales (Paris) 1, no. 11 (July 1834): 344.</t>
  </si>
  <si>
    <t>"Commentfaut- il terminer l'accouchement lorsqu'un bras de l'enfant se présente ou est déja sorti? par M. Capuron." Journal des Connaissances Medico Chirurgicales (Paris) 1, no. 11 (July 1834): 343.</t>
  </si>
  <si>
    <t>"Considérations thérapeutiques sur le rétrécissement de l'intestin rectum, par M. Rognetta." Journal des Connaissances Medico Chirurgicales (Paris) 1, no. 11 (July 1834): 342.</t>
  </si>
  <si>
    <t>"De l'emploi de P'ammoniaque pour combattre les rapports acides qui ont lieu pendant la digestion." Journal des Connaissances Medico Chirurgicales (Paris) 1, no. 11 (July 1834): 342.</t>
  </si>
  <si>
    <t>"Sur l'action qu'exerce l'ammoniaque employée contre l'ivresse; par P.-H. Boutigny, pharmacien à Evreux." Journal de chimie médicale, de pharmacie et de toxicologie (Paris) 10 (1834): 532–535.</t>
  </si>
  <si>
    <t>L'Hygie, diário publicado pelo barão Percy, e Comet, D. M.</t>
  </si>
  <si>
    <t>"Société de pharmacie. Séance du 5 mars 1834." Journal de Chimie Medicale, de Pharmacie et de Toxicologie (Paris) 9 (1833): 447–448.</t>
  </si>
  <si>
    <t>"Sur la combustion dufer par la seule action de l'air , lue à l'Académie royale des Sciences , le 23 février 1834 , par M. D'Arcet." Journal de Chimie Medicale, de Pharmacie et de Toxicologie (Paris) 9 (1833): 212–213.</t>
  </si>
  <si>
    <t>"Sur l’existence du charbon dans les poumons." Journal de Chimie Medicale, de Pharmacie et de Toxicologie (Paris) 1 (1835): 142.</t>
  </si>
  <si>
    <t>"Ligature de l'artère innominée pour un anévrysme de la sous- clavière droite; par le docteur Hall." Journal des Connaissances Medico Chirurgicales (Paris) 1, no. 10 (June 1834): 315.</t>
  </si>
  <si>
    <t>"Des différens moyens curatifs employés dans le traitement de la coqueluche et de ses complications à l'hôpital des Enfans malades de Paris , par M. Constant."  Journal des Connaissances Medico Chirurgicales (Paris) 1, no. 10 (June 1834): 308.</t>
  </si>
  <si>
    <t>AGM1839s3v5</t>
  </si>
  <si>
    <t>BGTM1837s1v13</t>
  </si>
  <si>
    <t>"Nouvelle préparation d’ipécacuanha." Bulletin général de thérapeutique médicale, chirurgicale, obstétricale et pharmaceutique (Paris) 13 (1837): 123–124.</t>
  </si>
  <si>
    <t>"Phthisie pulmonaire." Journal des Connaissances Medico Chirurgicales (Paris) 6, no. 9 (March 1839): 129.</t>
  </si>
  <si>
    <t>RBP1838s4v16</t>
  </si>
  <si>
    <t>HJP1806s1v23</t>
  </si>
  <si>
    <t xml:space="preserve">Fischer, M. “Sur l’action curative des feuilles de tabac.” Gazette médicale de Paris (Paris) 2nd ser., 6, no. 32 (11 August 1838): 508. </t>
  </si>
  <si>
    <t>CRB1838s1v6</t>
  </si>
  <si>
    <t xml:space="preserve">A short necrology/news brief (Itard, Physick, Barruel) that is very likely a direct Portuguese translation of a French medical press “Nécrologie/Nouvelles” column, given its Paris institutional framing and references like the Prix Itard and Barruel’s Paris death notice. </t>
  </si>
  <si>
    <t>GMP1838s2v6</t>
  </si>
  <si>
    <t>“Notice sur Ph. S. Physick.” Gazette médicale de Paris (Paris) 2 (1839): 549; “Legs de M. Itard.” Journal des Connaissances Medico Chirurgicales (Paris) 6 (1838): 83; "M. Barruel père , plus connu par l'importance..." Journal des Connaissances Medico Chirurgicales (Paris) 6 (1838): 175.</t>
  </si>
  <si>
    <t>"Observations pratiques sur l’incontinence d’urine, par M. Mondière, médecin à Loudun." Gazette médicale de Paris (Paris) 4 (1836): 152.</t>
  </si>
  <si>
    <t>GHCM1837s1v11</t>
  </si>
  <si>
    <t>JPSA1836s1v22</t>
  </si>
  <si>
    <t>AMI1839-1840s1v3</t>
  </si>
  <si>
    <t>"Temperature of the Vagina and Uterus during Menstruation, and of the Vagina during Pregnancy." The American Medical Intelligencer (Philadelphia) 3 (1840): 31–32.</t>
  </si>
  <si>
    <t>BMSJ1834s1v10</t>
  </si>
  <si>
    <t>"Caractères extérieurs des bonnes sangsues." Revue scientifique et industrielle (Paris) 1 (1840): 88.</t>
  </si>
  <si>
    <t>"Chaleur comparée des vêtements." Revue scientifique et industrielle (Paris) 1 (1840): 87.</t>
  </si>
  <si>
    <t>"Narcotine considérée comme un succédané de la quinine." Revue scientifique et industrielle (Paris) 1 (1840): 72–73.</t>
  </si>
  <si>
    <t>Novo signal para reconhecer na hérnia estrangulada, se o intestino está comprehendido no saco, e u qual parte do canal intestinal pertence o intestino. Por M. Laugier.</t>
  </si>
  <si>
    <t>Novas indagações a respeito da acção da ruiva dos tintureiros sobre os ossos, por M. Flourens.</t>
  </si>
  <si>
    <t>Emprego da narcotina considerada como um succedaneo da quinina.</t>
  </si>
  <si>
    <t>"Nouveau signe pour reconnaître dans la hernie étranglée si l’intestin est compris dans le sac, et à quelle partie du canal intestinal appartient l’intestin; par M. Laugier." Revue scientifique et industrielle (Paris) 1 (1840): 65–67.</t>
  </si>
  <si>
    <t>"Nouvelles recherches concernant l’action de la garance sur les os; par M. Flourens." Revue scientifique et industrielle (Paris) 1 (1840): 172–188.</t>
  </si>
  <si>
    <t>Acupunctura.</t>
  </si>
  <si>
    <t>O charlatanismo, por V. Renourd. D. M. (Continuado do n. antecedente).</t>
  </si>
  <si>
    <t>Revue Médicale Française et Étrangère – (Abril de 1839)</t>
  </si>
  <si>
    <t xml:space="preserve">Brief therapeutic news-item (likely an abridged translation/paraphrase) reporting French clinical practice in the 1830s, namely Ricord-style cauterisation of the vaginal mucosa with silver nitrate for chronic blennorrhagia, signalled by the calque “focinho da tenca” from French “museau de tanche.” </t>
  </si>
  <si>
    <t>Relação abreviada de dous casos pouco triviais de vaccinia, pelo Sr. João Paes da Cunha</t>
  </si>
  <si>
    <t>Acido lactico.</t>
  </si>
  <si>
    <t>Operação feita na Pérsia para tirar a opacidade da córnea; por Griffittes.</t>
  </si>
  <si>
    <t>Caso de dysphagia e d’aphonia por causa mortal; pelo Dr. W. Blok.</t>
  </si>
  <si>
    <t>Remedio para não ficar signaes nos lugares affectados da variola; extrahido de hum livro intitulado — Nouveaux secrets experimentés pour conserver la beauté des dames, tirés des memoires de Mr. le chevalier de Degby.</t>
  </si>
  <si>
    <t>Novo methodo de osculatação; pelo Dr. E. Hourmann.</t>
  </si>
  <si>
    <t>"Efficacité remarquable de la creosote pour la guérison du diabétès sucré ; par le professeur Berndt , à Greifswald." Journal des Connaissances Medico Chirurgicales (Paris) 1, no. 10 (June 1834): 310.</t>
  </si>
  <si>
    <t>Formulario, de cuja publicação temos fallado no n. 5. deste jornal, e que em breve sahirá á luz.</t>
  </si>
  <si>
    <t>OMP1838-1839s1v1</t>
  </si>
  <si>
    <t>"M. Ceely, chirurgien à Aylesbury, croit être parvenu à démontrer…" Journal des Connaissances Medico Chirurgicales (Paris) 7 (1839): 219.</t>
  </si>
  <si>
    <t>Novo methodo para curar a fenda do anus, pelo Sr. Jobert de Lamballe, cirurgião do hospital de S. Luiz.</t>
  </si>
  <si>
    <t>Noticia de huma nova substancia organica, obtida pela reacção do deuto-chlorrureto de iode sobre a cortiça, pelo Sr. Casasaca, professor de chimica em Havana.</t>
  </si>
  <si>
    <t>Bodington, George. “Relief of Constipation Occurring in Insane Persons.” The Lancet (London) 31, no. 797 (December 8, 1838): 402–3; "The Lancet. Moyen simple de guérir la constipation et le prolapsus ani , qui se présentent chez les personnes aliénées ; par Georges BODINGTON , chirurgien et docteur d'un établissement d'aliénés à Sutton Colefield." Encyclographie des sciences médicales (Bruxelles) 5 (1839): 110.</t>
  </si>
  <si>
    <t>Do cobre e do chumbo considerados como elementos dos órgãos do homem e dos animais. Investigações feitas por MM. Devergie e Hervy.</t>
  </si>
  <si>
    <t>Reflexões sobre a stomatite mercurial, ou sobre o emprego dos mercuriais, pelo Dr. Jardon.</t>
  </si>
  <si>
    <t>Do sulfato de quinina, empregado em pommada contra as febres intermittentes perniciosas.</t>
  </si>
  <si>
    <t>"Traitement de l'ophthalmie purulente des enfants à l'infirmerie de Glasgow , par M. Wood , chirurgien de cet établissement ." Journal des connaissances médico-chirurgicales (Paris) 6, no. 11 (May 1839): 210.</t>
  </si>
  <si>
    <t>"Du cuivre et du plomb comme éléments des organes de l’homme et des animaux." Journal des connaissances médico-chirurgicales (Paris) 6, no. 7 (January 1839): 55.</t>
  </si>
  <si>
    <t>"III. Du sulfate de quinine employé en pommade contre les fièvres intermittentes pernicieuses." Journal des connaissances médico-chirurgicales (Paris) 6, no. 4 (October 1838): 143–144.</t>
  </si>
  <si>
    <t>Do contágio do sangue menstrual, e da sua aplicação contra a amenorrhea.</t>
  </si>
  <si>
    <t>Meio seguro para curar o estrabismo.</t>
  </si>
  <si>
    <t>"Revue physiologique, médicale et pharmaceutique." Revue scientifique et industrielle (Paris) 2 (1840): 455–457.</t>
  </si>
  <si>
    <t>"De la suspension de la vie chez les batraciens par l’effet du froid. Par M. Gaimard." Revue scientifique et industrielle (Paris) 1 (1840): 453–455.</t>
  </si>
  <si>
    <t xml:space="preserve">Du Couëdic de Villeneuve, Pierre Louis. La ruche pyramidale: méthode simple et naturelle pour rendre perpétuelles toutes les peuplades d’abeilles… Paris: Mme Veuve Courcier, 1813, 112–131 (“Du miel… de la propolis”) and 132–151 (“Observation sur l’origine du miel”). </t>
  </si>
  <si>
    <t>Ensaio sobre hum novo methodo de diagnosticar de huma maneira certa as disformações da prostata consideradas como causas ordinarias de retenção e de incontinencia da urina nos velhos; pelo Sr. Augusto Mercier.</t>
  </si>
  <si>
    <t>“Note sur le traitement de la péritonite puerpérale par l’huile de croton tiglium à l’intérieur.” Gazette médicale de Paris (Paris) 2e série, 7 (1839): 487.</t>
  </si>
  <si>
    <t>"Essai sur un nouveau moyen de diagnostiquer d’une manière certaine les diverses déformations de la prostate considérées comme causes ordinaires de rétention et d’incontinence d’urine chez les vieillards; par M. Aug. Mercier." Gazette médicale de Paris (Paris) 2e série, 7 (1839): 523.</t>
  </si>
  <si>
    <t>Effeitos therapenticos do persesquinitrato de ferro; pelo Dr. Adams, de Lenawes em o Michigan.</t>
  </si>
  <si>
    <t>Nota sobre o tratamento da peritonite puerperal pelo óleo de Croton Tiglium, applicado internamente; comunicado pelo Dr. Du-Soit, de Moudon, na Suíça.</t>
  </si>
  <si>
    <t>"Des effets thérapeutiques du persexquinitrate de fer; par le docteur Adams, de Lenawee, dans le Michigan." Gazette médicale de Paris (Paris) 2e série, 7 (1839): 504.</t>
  </si>
  <si>
    <t>Descoberta de hum novo corpo simples, denominado Osono, existente no ar e na agoa, e que he a causa do cheiro phosphoroso que se desenvolve em certas acções chimicas e electricas.</t>
  </si>
  <si>
    <t>"Art. 715. De la saignée et des émollients dans les indigestions .- Observations sur l'application des ligatures aux membres dans les fièvres intermittentes . Siphilis rebelles guèries par l'opium." Journal de médecine et de chirurgie pratiques (Paris) 4 (1833): 333–337</t>
  </si>
  <si>
    <t>"Nouveau procédé pour guérir la fissure de l’anus. Par Jobert de Lamballe, chirurgien de l’hôpital Saint-Louis." Revue scientifique et industrielle (Paris) 1 (1840): 62–65.</t>
  </si>
  <si>
    <t>"Considérations pratiques sur les saignées spoliatives et les saignées dérivatives ou révulsives." Journal de médecine et de chirurgie pratiques (Paris) 9 (1838): 125–128.</t>
  </si>
  <si>
    <t>"Séances d'Académie : Epilepsie fantastique . - Efficacité de l'opium pour prévenir l'inflammation à la suite des opérations . - Nouvelle méthode de traitement de la claudication des chevaux." Journal de médecine et de chirurgie pratiques (Paris) 9 (1838): 36–38.</t>
  </si>
  <si>
    <t>"Art. 1625 . Potion avec l'huile de térébenthine contre les iritis chroniques, formule de Carmichael ." Journal de médecine et de chirurgie pratiques (Paris) 9 (1838): 136.</t>
  </si>
  <si>
    <t>Fórmula da pomada ophitálmica para o tratamento da conjunctiva escrophulosa chronica.</t>
  </si>
  <si>
    <t>"Pommade ophtalmique pour le traitement de la conjonctive scrophuleuse chronique ." Journal de pharmacie et des sciences accessoires (Paris) 21 (1835): 101.</t>
  </si>
  <si>
    <t>Fórmula de purgante para os meninos.</t>
  </si>
  <si>
    <t>"Purgatif pour les enfans." Journal de pharmacie et des sciences accessoires (Paris) 21 (1835): 102.</t>
  </si>
  <si>
    <t>"Observation d'un bras sans os." Journal des Connaissances Medico Chirurgicales (Paris) 7, no. 3 (March 1840): 118-119.</t>
  </si>
  <si>
    <t>Maneira de preparar a Veratrina, seo emprego, acção, e virtudes medicamentosas; pelo Dr. Ebel de Grunberg, no Gram-Ducado de Hesse. Continuado do n. antecedente.</t>
  </si>
  <si>
    <t>"Du seigle ergoté dans la métrorrhagie." Journal des Connaissances Medico Chirurgicales (Paris) 7, no. 3 (March 1840): 116.</t>
  </si>
  <si>
    <t>Considerações sobre a uretra, seguidas da Descrição de um uretrometro, e de uma sonda porta-cáustico destinada a esgotar a bexiga &amp;c., por J. J. Cazenave.</t>
  </si>
  <si>
    <t>"Considérations sur l’urètre, suivies de la description d’un uréthromètre et d’une sonde porte-caustique destinée à vider la vessie, etc., par J.-J. Cazenave." Journal des Connaissances Medico Chirurgicales (Paris) 7, no. 3 (March 1840): 115–116.</t>
  </si>
  <si>
    <t>Introducção de hum feijão na trachea-arteria. Observação de Mr. Laserre.</t>
  </si>
  <si>
    <t>"Introduction d'un haricot dans la trachée- artère , observation de M. Lasserre , médecin à Agen ." Journal des Connaissances Medico Chirurgicales (Paris) 7, no. 3 (March 1840): 124.</t>
  </si>
  <si>
    <t>Emprego do lactato de ferro na chlorose.</t>
  </si>
  <si>
    <t>"Lactate de fer." Journal des Connaissances Medico Chirurgicales (Paris) 7, no. 3 (March 1840): 123.</t>
  </si>
  <si>
    <t>"Recherches sur la cause des bruits anormaux des artères, et application de ces recherches à l'étude de plusieurs maladies, par M. Beau." Journal des connaissances médico-chirurgicales (Paris) 5, no. 4 (October 1837): 212–213.</t>
  </si>
  <si>
    <t>"Du seigle ergoté dans l'aménorrhée , par le D. Enriotti médecin à Biella ." "Recherches sur la cause des bruits anormaux des artères, et application de ces recherches à l'étude de plusieurs maladies, par M. Beau." Journal des connaissances médico-chirurgicales (Paris) 5, no. 8 (March 1838): 122.</t>
  </si>
  <si>
    <t>Journal des Connaissances Medico-Chirurgicales, Agosto de 1838.</t>
  </si>
  <si>
    <t>Novo apparelho chamado grande ventosa, proprio para fazer o vácuo na metade inferior do corpo; artigo acompanhado de observações; por Mr. le Dr. Junod.</t>
  </si>
  <si>
    <t>Jornal des Connaissances Medico-Chirurgicales, Julho 1838.</t>
  </si>
  <si>
    <t>Observações sobre a cachexia africana, ou chthonophagia, por J. L. Dros, médico em S. Thomaz, Índias Ocidentaes.</t>
  </si>
  <si>
    <t>"De l'hygiène des professions sédentaires , par M. Alphonse Sanson, agrégé à la Faculté de médecine de Paris , etc." Journal des connaissances médico-chirurgicales (Paris) 6, no. 1 (July 1838): 26–27.</t>
  </si>
  <si>
    <t>"Note sur un nouvel appareil dit grande ventouse, propre à faire le vide sur la moitié inférieure du corps ; suivie d'observations ; communiquée à l'Académie des sciences par M. le D. Junod." Journal des connaissances médico-chirurgicales (Paris) 6, no. 1 (July 1838): 69–70.</t>
  </si>
  <si>
    <t>"Recherches sur la cachexie africaine, ou athlonophagie, par J.-L. Don, médecin à Saint-Thomas, Indes occidentales." Journal des connaissances médico-chirurgicales (Paris) 6, no. 1 (July 1838): 29.</t>
  </si>
  <si>
    <t>"Quelquesremarques sur le pansement desplaies et des ulcères à l'hôpital de l'Université de Londres ( 1 ) ; communiquées par M. le D. Thomes Morton." Journal des Connaissances Medico Chirurgicales (Paris) 6, no. 5 (November 1838): 201–202.</t>
  </si>
  <si>
    <t>Causas das Escrófulas e particularmente da pneumonia tuberculosa. Influencia dos climas, da temperatura, das profissões e dos lugares sobre o desenvolvimento destas afecções, por Mr. Fourcault.</t>
  </si>
  <si>
    <t>"Du danger d’être enterré vivant, et des moyens de constater la mort, par M. R. Bourgeois, D. M. P." Journal des Connaissances Medico Chirurgicales (Paris) 6, no. 3 (September 1838): 125.</t>
  </si>
  <si>
    <t>Do abuso das bebidas espirituosas e das molestias dos bebedos, considerados em suas relações com a medicina legal, pelo Dr. Roesch.</t>
  </si>
  <si>
    <t>"De l'abus des boissons spiritueuses considéré sous le point de vue de la police médicale et de la médecine légale , par le D. Roesch ." Journal des Connaissances Medico Chirurgicales (Paris) 6, no. 7 (January 1838): 32–33.</t>
  </si>
  <si>
    <t>"Mémoire sur les vertus thérapeutiques de la belladone , et en particulier sur l'emploi de cette substance dans le traitement des maladies de l'oeil ; par M. Rognetta , secrétaire de la Société médicale d'Emulation de Paris." Journal des Connaissances Medico Chirurgicales (Paris) 6, no. 6 (December 1838): 215–216.</t>
  </si>
  <si>
    <t>Romain Gérardin. "Notice sur l'esquinancie et sur son traitement ." Journal des Connaissances Medico Chirurgicales (Paris) 6, no. 5 (November 1838): 177–179.</t>
  </si>
  <si>
    <t>"Nouvelle méthode d’amputer la langue près de sa base, imaginée et exécutée par le D. Giorgio Regnoli, professeur de clinique à l’hôpital de Pise. Observation rédigée par le D. Sansi." Journal des Connaissances Medico Chirurgicales (Paris) 6, no. 8 (February 1839): 81.</t>
  </si>
  <si>
    <t>"Effets médicamenteux de l’iode, par le D. Hancke." Journal des Connaissances Medico Chirurgicales (Paris) 6, no. 11 (May 1839): 214.</t>
  </si>
  <si>
    <t>"Description d'un nouvel instrument pour guérir les fistules vésico-vaginales et recto-vaginales, et les fissures du palais , par William Beaumont." Journal des Connaissances Medico Chirurgicales (Paris) 8, no. 11 (February 1839): 79.</t>
  </si>
  <si>
    <t>"Considération physiologique et pathologique sur les altérations du sang dans le scorbut par F. Games, interne àla Salpêtrière." Journal des connaissances médico-chirurgicales (Paris) 5, no. 8 (March 1838): 115–116.</t>
  </si>
  <si>
    <t>"Observation sur une luxation grave du genou, précédée de réflexions sur la nature de cette maladie et sur le mécanisme des causes qui la produisent.—Discussion." Gazette médicale de Paris (Paris) 3, no. 16 (18 April 1835): 250-253.</t>
  </si>
  <si>
    <t xml:space="preserve">Bailey, M. “Emploi de la belladone contre les névralgies faciales, etc.” Revue médicale française et étrangère (Paris) 4 (1829): 419–423. </t>
  </si>
  <si>
    <t>RMFE1829s1v4</t>
  </si>
  <si>
    <t>Journal hebdomadaire de médecine</t>
  </si>
  <si>
    <t>"De la maladie en général, considérée selon les diverses doctrines médicales; par Charles Gérard, médecin à Gray (Haute-Saône)." Encyclographie des sciences médicales (Paris) 26 (1834): 128–133. (Journal hebdomadaire de médecine, Paris)</t>
  </si>
  <si>
    <t>J. Harrison Curtis. "Employment of creosote in deafness.Employment of creosote in deafness." The Lancet (London) 1 (24 November 1838): 329–330; "The Lancet. De l'emploi de la créosote dans la surdité ; par Harrison Curtis , médecin à Londres." Encyclographie des sciences médicales (Bruxelles) 2 (1839): 49–50. (The Lancet, London)</t>
  </si>
  <si>
    <t>"Note sur la thérapeutique des érysipèles simples ; par M. Basereau." Encyclographie des sciences médicales (Bruxelles) (1834): 59–62. (Journal hebdomadaire de médecine, Paris)</t>
  </si>
  <si>
    <t>"Quelques réflexions tendant à prouver que la douleur ne doit pas être placée parmi les symptômes essentiels de l’inflammation, et que ce phénomène est le signe spécial de l’irritation de la classe des nerfs auxquels on a donné le nom de nerfs du sentiment; par A. Bouillaud." Encyclographie des sciences médicales (Bruxelles) 25 (1834): 85–88. (Journal hebdomadaire de médecine, Paris)</t>
  </si>
  <si>
    <t>BGTM1836s1v11</t>
  </si>
  <si>
    <t>Do trovão. — Thales de Miletto. — Otto de Guerike. — Experiencias de Franklin. — Relampagos. — Effeitos do raio. — Opiniões dos antigos.</t>
  </si>
  <si>
    <t>Observações e considerações sobre as perfurações do canal intestinal.</t>
  </si>
  <si>
    <t>["O uso do sulfato de quinina he tão geral na practica medica do Rio de Janeiro…"]</t>
  </si>
  <si>
    <t xml:space="preserve">Milne Edwards and P. Vavasseur, Nouveau formulaire pratique des hôpitaux, ou choix de formules des hôpitaux civils et militaires de France, d’Angleterre, d’Allemagne, d’Italie, etc., 2nd ed. (Paris: Crochard, 1834), 76–78, s.v. “Sulfate de quinine.” </t>
  </si>
  <si>
    <t>Novo cimento para o tratamento das fracturas sem constranger os doentes a estarem de cama, pelo doutor Rognetta.</t>
  </si>
  <si>
    <t>"Sur les effets immédiats des déchiremens du diaphragme. Par E. Gaultier de Claubry, D.-M.-P." Encyclographie des sciences médicales (Paris) 27 (1834): 123–124. (Journal hebdomadaire de médecine, Paris)</t>
  </si>
  <si>
    <t>"Discours prononcé à la séance annuelle de la Société phrénologique, par M. le professeur Andral, président." Encyclographie des sciences médicales (Paris) 35 (1835): 68–70. (Journal hebdomadaire de médecine, Paris)</t>
  </si>
  <si>
    <t>F. Rattier. "Primeiros soccoros em caso de ferimento." O Panorama (Lisbon) 1, no. 20 (16 September 1837): 158-160.</t>
  </si>
  <si>
    <t>"Sur le mode de préparation , l'emploi , l'action et les vertus médicinales de la vératrine ; par le Dr Ebel de Grünberg , dans le Grand-Duché de Hesse." Encyclographie des sciences médicales (Bruxelles) 1 (1839): 8–12. (C. W. Hufeland’s Journal der practischen Heilkunde, Berlin)</t>
  </si>
  <si>
    <t>"Mémoire sur les terrains des cimetières, sur l'arsenic qu'ils peuvent fournir et sur les conséquences médico - légales que l'on doit tirer de l'existence possible d'un composé arsenical dans ces terrains." Journal des Connaissances Medico Chirurgicales (Paris) 7, no. 3 (March 1840): 90.</t>
  </si>
  <si>
    <t>"De la méthode hydriatique." Revue scientifique et industrielle (Paris) 1 (1840): 67–69.</t>
  </si>
  <si>
    <t>"Nouveaux moxas de M. Graefe." Journal des connaissances médico-chirurgicales (Paris) 6, no. 11 (May 1839): 214.</t>
  </si>
  <si>
    <t>Dos bons effeitos do acetato de chumbo nos casos de hernia estrangulada; pelo Dr. Huxthausen.</t>
  </si>
  <si>
    <t>Annaes de Medicina de Schmidt. Leipzig 1839, vol. 24, fol. 2.º, pg. 156</t>
  </si>
  <si>
    <t>"Note sur un nouveau mode d’auscultation, lue à la Société de médecine de Paris, par M. Hourmann, méd. de l’hôp. Beaujon." Revue médicale française et étrangère (Paris) 3 (1839): 51-59</t>
  </si>
  <si>
    <t>"De l’emploi des fumigations d’acide carbonique pour combattre l’aménorrhée et les douleurs utérines qui précèdent l’évacuation menstruelle." Bulletin général de thérapeutique médicale, chirurgicale, obstétricale et pharmaceutique (Paris) 7 (1834): 350–351.</t>
  </si>
  <si>
    <t>"Etat actuel de la médecine en Espagne." Revue britannique (Paris) 1 (1836): 183–185.</t>
  </si>
  <si>
    <t>"Expériences avec la digitale pourprée." Archives générales de médecine (Paris) 26 (1831): 107–109.</t>
  </si>
  <si>
    <t>"Carbonate d’ammoniaque dans l’urine."  Journal de chimie médicale, de pharmacie et de toxicologie (Paris) 1 (1835): 142.</t>
  </si>
  <si>
    <t>Relaxação da Uvula, vulgarmente campainha da garganta. Observação de M. Priou.</t>
  </si>
  <si>
    <t>The Portuguese note is best read as an uncredited abridged paraphrase of a French medical news/correspondence item on Dr. Chervin’s proposed plague-contagion experiment, most plausibly derived from the Gazette médicale de Paris report on his letter to the French Minister of Commerce (7 March 1835).</t>
  </si>
  <si>
    <t>Philippe Ricord. "Emploi de la teinture d’iode pour la cure de l’hydrocèle." Journal des Connaissances Medico Chirurgicales (Paris) 1, no. 5 (January 1834): 140–141.</t>
  </si>
  <si>
    <t>"Academie des sciences de Paris. Séance du 23 mars." Le National (Paris) (25 March 1835): 1–2.</t>
  </si>
  <si>
    <t>"L’Académie de médecine vient d'adresse…" Le National (Paris) (8 April 1835): 3.</t>
  </si>
  <si>
    <t>A brief, unattributed medical miscellany note portraying Daniel O’Connell as an extreme hypochondriac, most likely translated from the French press excerpt streams that the same page otherwise cites.</t>
  </si>
  <si>
    <t xml:space="preserve">“Hoquet.” In Dictionnaire des sciences médicales, tome 21, 550–556 (esp. 553). Paris: C. L. F. Panckoucke, 1817. </t>
  </si>
  <si>
    <t>"Académie Royale de Médecine." Annales de la médecine physiologique (Paris) 26 (1834): 730–731.</t>
  </si>
  <si>
    <t>BGTM1835s1v8</t>
  </si>
  <si>
    <t>"Du traitement des fractures des membres inférieurs sans astreindre les malades à garder le lit." Bulletin général de thérapeutique médicale, chirurgicale, obstétricale et pharmaceutique (Paris) 8 (1835): 371–373.</t>
  </si>
  <si>
    <t>"Pommade ophtalmique du docteur Carron du Villards, pour le traitement de la conjonctivite scrophuleuse chronique." Bulletin général de thérapeutique médicale, chirurgicale, obstétricale et pharmaceutique (Paris) 7 (1834): 368–369.</t>
  </si>
  <si>
    <t>Instituições de Medicina Forense, por José Ferreira Borges. p. 529 a 534.</t>
  </si>
  <si>
    <t>"Recherches sur l’iodo-hydragyrate de potasse, sur sa composition chimique et ses usages thérapeutiques, par le docteur Channing, de New-York." Gazette médicale de Paris (Paris) 2 (1834): 247.</t>
  </si>
  <si>
    <t xml:space="preserve">Arago, François. “Météorologie.—Sur le climat de la côte orientale de l’Amérique du nord.” Comptes rendus hebdomadaires des séances de l’Académie des sciences (Paris) 1 (October 26, 1835): 266–268. </t>
  </si>
  <si>
    <t>Chevallier, A. “Formule des Pastilles pour la désinfection.” Journal de chimie médicale, de pharmacie et de toxicologie (Paris) 4 (1828): 29.</t>
  </si>
  <si>
    <t>JCMP1828s1v4</t>
  </si>
  <si>
    <t>"Réflexions." Archives générales de médecine (Paris) 20 (1829): 217–220.</t>
  </si>
  <si>
    <t>"Note sur les divers médicaments employés en Suisse pour combattre les tænias." Bulletin général de thérapeutique médicale, chirurgicale, obstétricale et pharmaceutique (Paris) 6 (1834): 180–183</t>
  </si>
  <si>
    <t>"Die Verhältnisse des Arztes. Vom Herausgeber."  Hufeland’s Journal der Practischen (Berlin) 23 (1806): 5–36</t>
  </si>
  <si>
    <t>Blaud. “Considérations sur la coqueluche.” Revue médicale française et étrangère (Paris) 1, no. 23 (March 1831): 333–348.</t>
  </si>
  <si>
    <t xml:space="preserve">Cruz e Silva, António Diniz da. Poesias de Antonio Diniz da Cruz e Silva na Arcadia de Lisboa Elpino Nonacriense. Tom. III: Que contém as Poesias Líricas. Lisbon: Typografia Lacerdina, 1812. </t>
  </si>
  <si>
    <t>Veloso, José Mariano da Conceição. O Fazendeiro do Brazil, ou Tratado das plantas usuais no Brasil. Tomo III, Parte II: “Bebidas alimentosas.” Lisbon: Officina de Simão Thaddeo Ferreira, 1799.</t>
  </si>
  <si>
    <t xml:space="preserve">Cruz e Silva, António Dinis da. “Leves Auras, que voando …” (Ode anacreôntica, XXXIII). In Poesias de Antonio Diniz da Cruz e Silva … Tomo III: Que contém as Poesias Líricas, 125–126. Lisbon: Typografia Lacerdina, 1812. </t>
  </si>
  <si>
    <t>Veríssimo Lusitano [Pedro José da Fonseca], Invectiva ou sátira contra os maus poetas (Lisbon: Off. da Viúva de Ignacio Nogueira Xisto, 1767).</t>
  </si>
  <si>
    <t>Pinheiro Ferreira, Silvestre. “Mémoire sur un nouveau principe de la théorie du calorique.” Journal de physique, de chimie, d’histoire naturelle et des arts (Paris) 47 (1798): 103–109.</t>
  </si>
  <si>
    <t>Veloso, José Mariano da Conceição. O Fazendeiro do Brazil, ou Tratado das plantas usuais no Brasil. Tomo III, Parte II: “Bebidas alimentosas.” Lisbon: Officina de Simão Thaddeo Ferreira, 1799; Laborie, Pierre Joseph. The Coffee Planter of Saint Domingo; or, A Treatise on the Cultivation and Manufacture of Coffee. London: T. Cadell and W. Davies, 1798.</t>
  </si>
  <si>
    <t>Castro, Joaquim de Amorim. “Memoria sobre a Cochonilha do Brasil.” Memorias Economicas da Academia Real das Sciencias de Lisboa (Lisbon)  2 (1790): 135–143.</t>
  </si>
  <si>
    <t>A maritime medical case report on scurvy aboard the Sardinian frigate Euridice, explicitly translated from Italian and signed in Rio de Janeiro (1 October 1837), so its most likely origin is an Italian shipboard report by Nicolao Franchelli transmitted via Luiz Vicente de Simoni.</t>
  </si>
  <si>
    <t xml:space="preserve">A short therapeutic notice in Portuguese on treating hydrophobia with belladonna, explicitly presented as a translation from German (Dr. Lallemant) based on Sauter’s 1838 work, and likely reprinted via a French medical-periodical intermediary. </t>
  </si>
  <si>
    <t>"Caractères extérieurs des bonnes sangsues," Journal des connaissances utiles (Paris) 2, no. 8 (August 1832): 235.</t>
  </si>
  <si>
    <t>De como a vegetação influe na temperatura da terra.</t>
  </si>
  <si>
    <t>A brief foreign medical news note, almost certainly translated via a French medical review (“Rev. Med. Franceza”), likely relaying an earlier Italian report from Naples (c. 1830s).</t>
  </si>
  <si>
    <t>"Une femme de 33 ans, mariée à l'âge de…" Journal de Savoie (Chambéry) 23 (14 July 1838): 421.</t>
  </si>
  <si>
    <t>"Deux médecins de Londres ont pratiqué…" Journal de Savoie (Chambéry) 23 (14 July 1838): 420.</t>
  </si>
  <si>
    <t>Portuguese translation/abstract of a patented quinine-sulphate process, most likely taken from the English Repertory of Patent Inventions (1833) summarising Pelletier &amp; Desprez’s British patent (25 July 1833, no. 6453).</t>
  </si>
  <si>
    <t>"Nouveau mode de traitement de l'hydrocèle testiculaire àl'aide de l'acupuncture ; par MM. Lewis, Travers et Keate." Journal des Connaissances Medico Chirurgicales (Paris) 5, no. 2 (August 1837): 67.</t>
  </si>
  <si>
    <r>
      <t xml:space="preserve">Abertura do museu </t>
    </r>
    <r>
      <rPr>
        <i/>
        <sz val="11"/>
        <color theme="1"/>
        <rFont val="Calibri"/>
        <family val="2"/>
        <scheme val="minor"/>
      </rPr>
      <t>Dupuytren</t>
    </r>
    <r>
      <rPr>
        <sz val="11"/>
        <color theme="1"/>
        <rFont val="Calibri"/>
        <family val="2"/>
        <scheme val="minor"/>
      </rPr>
      <t>.</t>
    </r>
  </si>
  <si>
    <t>Siry. "Des agents thérapeutiques dans leur action diverse sur l’économie." Bulletin général de thérapeutique médicale et chirurgicale (Paris) 4 (1833): 229–235.</t>
  </si>
  <si>
    <t>LMG1836s1v18</t>
  </si>
  <si>
    <t>J. J. Rusell. "On Coup de soleil." The London Medical Gazette (London) 18 (1836): 71–72.</t>
  </si>
  <si>
    <t>TL1835s1v2</t>
  </si>
  <si>
    <t>10/1833</t>
  </si>
  <si>
    <t>11/1833</t>
  </si>
  <si>
    <t>12/1833</t>
  </si>
  <si>
    <t>10/1834</t>
  </si>
  <si>
    <t>11/1834</t>
  </si>
  <si>
    <t>12/1834</t>
  </si>
  <si>
    <t>10/1835</t>
  </si>
  <si>
    <t>11/1835</t>
  </si>
  <si>
    <t>12/1835</t>
  </si>
  <si>
    <t>10/1836</t>
  </si>
  <si>
    <t>11/1836</t>
  </si>
  <si>
    <t>12/1836</t>
  </si>
  <si>
    <t>10/1837</t>
  </si>
  <si>
    <t>11/1837</t>
  </si>
  <si>
    <t>12/1837</t>
  </si>
  <si>
    <t>10/1838</t>
  </si>
  <si>
    <t>11/1838</t>
  </si>
  <si>
    <t>12/1838</t>
  </si>
  <si>
    <t>10/1839</t>
  </si>
  <si>
    <t>11/1839</t>
  </si>
  <si>
    <t>12/1839</t>
  </si>
  <si>
    <t>01/1833</t>
  </si>
  <si>
    <t>01/1834</t>
  </si>
  <si>
    <t>01/1835</t>
  </si>
  <si>
    <t>01/1836</t>
  </si>
  <si>
    <t>01/1837</t>
  </si>
  <si>
    <t>01/1838</t>
  </si>
  <si>
    <t>01/1839</t>
  </si>
  <si>
    <t>01/1840</t>
  </si>
  <si>
    <t>02/1833</t>
  </si>
  <si>
    <t>02/1834</t>
  </si>
  <si>
    <t>02/1835</t>
  </si>
  <si>
    <t>02/1836</t>
  </si>
  <si>
    <t>02/1837</t>
  </si>
  <si>
    <t>02/1838</t>
  </si>
  <si>
    <t>02/1839</t>
  </si>
  <si>
    <t>02/1840</t>
  </si>
  <si>
    <t>03/1833</t>
  </si>
  <si>
    <t>03/1834</t>
  </si>
  <si>
    <t>03/1835</t>
  </si>
  <si>
    <t>03/1836</t>
  </si>
  <si>
    <t>03/1837</t>
  </si>
  <si>
    <t>03/1838</t>
  </si>
  <si>
    <t>03/1839</t>
  </si>
  <si>
    <t>03/1840</t>
  </si>
  <si>
    <t>04/1833</t>
  </si>
  <si>
    <t>04/1834</t>
  </si>
  <si>
    <t>04/1835</t>
  </si>
  <si>
    <t>04/1836</t>
  </si>
  <si>
    <t>04/1837</t>
  </si>
  <si>
    <t>04/1838</t>
  </si>
  <si>
    <t>04/1839</t>
  </si>
  <si>
    <t>04/1840</t>
  </si>
  <si>
    <t>05/1833</t>
  </si>
  <si>
    <t>05/1834</t>
  </si>
  <si>
    <t>05/1835</t>
  </si>
  <si>
    <t>05/1836</t>
  </si>
  <si>
    <t>05/1837</t>
  </si>
  <si>
    <t>05/1838</t>
  </si>
  <si>
    <t>05/1839</t>
  </si>
  <si>
    <t>05/1840</t>
  </si>
  <si>
    <t>06/1833</t>
  </si>
  <si>
    <t>06/1834</t>
  </si>
  <si>
    <t>06/1835</t>
  </si>
  <si>
    <t>06/1836</t>
  </si>
  <si>
    <t>06/1837</t>
  </si>
  <si>
    <t>06/1838</t>
  </si>
  <si>
    <t>06/1839</t>
  </si>
  <si>
    <t>06/1840</t>
  </si>
  <si>
    <t>07/1833</t>
  </si>
  <si>
    <t>07/1834</t>
  </si>
  <si>
    <t>07/1835</t>
  </si>
  <si>
    <t>07/1836</t>
  </si>
  <si>
    <t>07/1837</t>
  </si>
  <si>
    <t>07/1838</t>
  </si>
  <si>
    <t>07/1839</t>
  </si>
  <si>
    <t>08/1833</t>
  </si>
  <si>
    <t>08/1834</t>
  </si>
  <si>
    <t>08/1835</t>
  </si>
  <si>
    <t>08/1836</t>
  </si>
  <si>
    <t>08/1837</t>
  </si>
  <si>
    <t>08/1838</t>
  </si>
  <si>
    <t>08/1839</t>
  </si>
  <si>
    <t>09/1833</t>
  </si>
  <si>
    <t>09/1834</t>
  </si>
  <si>
    <t>09/1835</t>
  </si>
  <si>
    <t>09/1836</t>
  </si>
  <si>
    <t>09/1837</t>
  </si>
  <si>
    <t>09/1838</t>
  </si>
  <si>
    <t>09/1839</t>
  </si>
  <si>
    <t>01/1827</t>
  </si>
  <si>
    <t>02/1827</t>
  </si>
  <si>
    <t>03/1827</t>
  </si>
  <si>
    <t>04/1827</t>
  </si>
  <si>
    <t>05/1827</t>
  </si>
  <si>
    <t>06/1827</t>
  </si>
  <si>
    <t>07/1827</t>
  </si>
  <si>
    <t>08/1827</t>
  </si>
  <si>
    <t>09/1827</t>
  </si>
  <si>
    <t>10/1827</t>
  </si>
  <si>
    <t>11/1827</t>
  </si>
  <si>
    <t>12/1827–01/1828</t>
  </si>
  <si>
    <t>LMSJ1835s2v7</t>
  </si>
  <si>
    <t>11/1840</t>
  </si>
  <si>
    <t>10/1840</t>
  </si>
  <si>
    <t>08/1840</t>
  </si>
  <si>
    <t>02/1841</t>
  </si>
  <si>
    <t>03/1841</t>
  </si>
  <si>
    <t>01/1841</t>
  </si>
  <si>
    <t>12/1840</t>
  </si>
  <si>
    <t>09/1840</t>
  </si>
  <si>
    <t>"A New Practical Formulary of Hospitals, or a Collection of Formulae of the Civil and Military Hospitals of France, Germany, Italy, Great Britain and Ireland, &amp;c., containing the Indication of the Doses in which simple Substances, magistral and officinal Preparations of the Codex are administered, the use of New Medicines, and general receipts on the art of prescribing. By M. Edwards, M. D., and P. Vavasseur, M.D., of the Hospitals of Paris.—1834. Translated and augmented by M. Ryan, M. D. &amp;c. &amp;c." The London Medical and Surgical Journal (London) 7 (1835): 50–54.</t>
  </si>
  <si>
    <t>07/1840</t>
  </si>
  <si>
    <t>MCRJMS1838s1v33</t>
  </si>
  <si>
    <t>Brazil</t>
  </si>
  <si>
    <t>Sobre a necessidade e utilidade da Chimica, para chegar-se d'hum bom modo de cultura pela analyse das terras.</t>
  </si>
  <si>
    <t>Short, news-style notice reporting Dr. Nicolas Chervin of Marseille offering the French Minister of Commerce an experiment to disprove “contagious” goods by wearing plague victim clothing shipped from the Levant in the Marseille lazaret, most likely translated from a French press or medical-bulletin snippet (exact original not yet located)</t>
  </si>
  <si>
    <t>08/08/1835</t>
  </si>
  <si>
    <t>15/08/1835</t>
  </si>
  <si>
    <t>18/04/1835</t>
  </si>
  <si>
    <t>25/04/1835</t>
  </si>
  <si>
    <t>16/04/1836</t>
  </si>
  <si>
    <t>12/03/1836</t>
  </si>
  <si>
    <t>19/03/1836</t>
  </si>
  <si>
    <t>26/03/1836</t>
  </si>
  <si>
    <t>16/05/1835</t>
  </si>
  <si>
    <t>23/05/1835</t>
  </si>
  <si>
    <t>30/05/1835</t>
  </si>
  <si>
    <t>13/06/1835</t>
  </si>
  <si>
    <t>20/06/1835</t>
  </si>
  <si>
    <t>21/06/1835</t>
  </si>
  <si>
    <t>11/07/1835</t>
  </si>
  <si>
    <t>18/07/1835</t>
  </si>
  <si>
    <t>25/07/1835</t>
  </si>
  <si>
    <t>22/08/1835</t>
  </si>
  <si>
    <t>29/08/1835</t>
  </si>
  <si>
    <t>12/09/1835</t>
  </si>
  <si>
    <t>19/09/1835</t>
  </si>
  <si>
    <t>26/09/1835</t>
  </si>
  <si>
    <t>10/10/1835</t>
  </si>
  <si>
    <t>17/10/1835</t>
  </si>
  <si>
    <t>24/10/1835</t>
  </si>
  <si>
    <t>31/10/1835</t>
  </si>
  <si>
    <t>14/11/1835</t>
  </si>
  <si>
    <t>21/11/1835</t>
  </si>
  <si>
    <t>28/11/1835</t>
  </si>
  <si>
    <t>12/12/1835</t>
  </si>
  <si>
    <t>19/12/1835</t>
  </si>
  <si>
    <t>26/12/1835</t>
  </si>
  <si>
    <t>16/01/1836</t>
  </si>
  <si>
    <t>23/01/1836</t>
  </si>
  <si>
    <t>30/01/1836</t>
  </si>
  <si>
    <t>13/02/1836</t>
  </si>
  <si>
    <t>20/02/1836</t>
  </si>
  <si>
    <t>27/02/1836</t>
  </si>
  <si>
    <t>06/02/1836</t>
  </si>
  <si>
    <t>05/03/1836</t>
  </si>
  <si>
    <t>02/05/1835</t>
  </si>
  <si>
    <t>09/05/1835</t>
  </si>
  <si>
    <t>01/08/1835</t>
  </si>
  <si>
    <t>06/06/1835</t>
  </si>
  <si>
    <t>04/07/1835</t>
  </si>
  <si>
    <t>05/09/1835</t>
  </si>
  <si>
    <t>03/10/1835</t>
  </si>
  <si>
    <t>07/11/1835</t>
  </si>
  <si>
    <t>06/12/1835</t>
  </si>
  <si>
    <t>02/01/1836</t>
  </si>
  <si>
    <t>09/01/1836</t>
  </si>
  <si>
    <t>02/04/1836</t>
  </si>
  <si>
    <t>09/04/1836</t>
  </si>
  <si>
    <t>15/02/1836</t>
  </si>
  <si>
    <t>15/10/1835</t>
  </si>
  <si>
    <t>14/08/1835</t>
  </si>
  <si>
    <t>15/11/1833</t>
  </si>
  <si>
    <t>01/04/1833</t>
  </si>
  <si>
    <t>26/01/1833</t>
  </si>
  <si>
    <t>15/12/1832</t>
  </si>
  <si>
    <t>13/10/1832</t>
  </si>
  <si>
    <t>12/02/1831</t>
  </si>
  <si>
    <t>19/02/1831</t>
  </si>
  <si>
    <t>26/02/1831</t>
  </si>
  <si>
    <t>11/02/1832</t>
  </si>
  <si>
    <t>18/02/1832</t>
  </si>
  <si>
    <t>26/02/1832</t>
  </si>
  <si>
    <t>16/02/1833</t>
  </si>
  <si>
    <t>23/02/1833</t>
  </si>
  <si>
    <t>15/01/1831</t>
  </si>
  <si>
    <t>22/01/1831</t>
  </si>
  <si>
    <t>29/01/1831</t>
  </si>
  <si>
    <t>14/01/1832</t>
  </si>
  <si>
    <t>21/01/1832</t>
  </si>
  <si>
    <t>28/01/1832</t>
  </si>
  <si>
    <t>12/01/1833</t>
  </si>
  <si>
    <t>19/01/1833</t>
  </si>
  <si>
    <t>12/11/1831</t>
  </si>
  <si>
    <t>19/11/1831</t>
  </si>
  <si>
    <t>26/11/1831</t>
  </si>
  <si>
    <t>10/11/1832</t>
  </si>
  <si>
    <t>24/11/1832</t>
  </si>
  <si>
    <t>10/12/1831</t>
  </si>
  <si>
    <t>17/12/1831</t>
  </si>
  <si>
    <t>24/12/1831</t>
  </si>
  <si>
    <t>31/12/1831</t>
  </si>
  <si>
    <t>22/12/1832</t>
  </si>
  <si>
    <t>29/12/1832</t>
  </si>
  <si>
    <t>03/01/1831</t>
  </si>
  <si>
    <t>08/01/1831</t>
  </si>
  <si>
    <t>05/02/1831</t>
  </si>
  <si>
    <t>12/03/1831</t>
  </si>
  <si>
    <t>21/03/1831</t>
  </si>
  <si>
    <t>26/03/1831</t>
  </si>
  <si>
    <t>10/03/1832</t>
  </si>
  <si>
    <t>17/03/1832</t>
  </si>
  <si>
    <t>24/03/1832</t>
  </si>
  <si>
    <t>31/03/1832</t>
  </si>
  <si>
    <t>14/03/1833</t>
  </si>
  <si>
    <t>21/03/1833</t>
  </si>
  <si>
    <t>28/03/1833</t>
  </si>
  <si>
    <t>16/04/1831</t>
  </si>
  <si>
    <t>25/04/1831</t>
  </si>
  <si>
    <t>30/04/1831</t>
  </si>
  <si>
    <t>21/04/1832</t>
  </si>
  <si>
    <t>28/04/1832</t>
  </si>
  <si>
    <t>13/04/1833</t>
  </si>
  <si>
    <t>20/04/1833</t>
  </si>
  <si>
    <t>27/04/1833</t>
  </si>
  <si>
    <t>14/05/1831</t>
  </si>
  <si>
    <t>21/05/1831</t>
  </si>
  <si>
    <t>28/05/1831</t>
  </si>
  <si>
    <t>12/05/1832</t>
  </si>
  <si>
    <t>19/05/1832</t>
  </si>
  <si>
    <t>26/05/1832</t>
  </si>
  <si>
    <t>11/05/1833</t>
  </si>
  <si>
    <t>18/05/1833</t>
  </si>
  <si>
    <t>25/05/1833</t>
  </si>
  <si>
    <t>11/06/1831</t>
  </si>
  <si>
    <t>18/06/1831</t>
  </si>
  <si>
    <t>25/06/1831</t>
  </si>
  <si>
    <t>16/06/1832</t>
  </si>
  <si>
    <t>23/06/1832</t>
  </si>
  <si>
    <t>30/06/1832</t>
  </si>
  <si>
    <t>15/06/1833</t>
  </si>
  <si>
    <t>16/07/1831</t>
  </si>
  <si>
    <t>23/07/1831</t>
  </si>
  <si>
    <t>30/07/1831</t>
  </si>
  <si>
    <t>14/07/1832</t>
  </si>
  <si>
    <t>21/07/1832</t>
  </si>
  <si>
    <t>28/07/1832</t>
  </si>
  <si>
    <t>15/08/1831</t>
  </si>
  <si>
    <t>20/08/1831</t>
  </si>
  <si>
    <t>27/08/1831</t>
  </si>
  <si>
    <t>11/08/1832</t>
  </si>
  <si>
    <t>18/08/1832</t>
  </si>
  <si>
    <t>25/08/1832</t>
  </si>
  <si>
    <t>10/09/1831</t>
  </si>
  <si>
    <t>17/09/1831</t>
  </si>
  <si>
    <t>24/09/1831</t>
  </si>
  <si>
    <t>15/09/1832</t>
  </si>
  <si>
    <t>28/09/1832</t>
  </si>
  <si>
    <t>15/10/1831</t>
  </si>
  <si>
    <t>22/10/1831</t>
  </si>
  <si>
    <t>29/10/1831</t>
  </si>
  <si>
    <t>20/10/1832</t>
  </si>
  <si>
    <t>27/10/1832</t>
  </si>
  <si>
    <t>04/05/1833</t>
  </si>
  <si>
    <t>01/06/1833</t>
  </si>
  <si>
    <t>08/06/1833</t>
  </si>
  <si>
    <t>03/03/1833</t>
  </si>
  <si>
    <t>07/03/1833</t>
  </si>
  <si>
    <t>02/02/1833</t>
  </si>
  <si>
    <t>09/02/1833</t>
  </si>
  <si>
    <t>05/01/1833</t>
  </si>
  <si>
    <t>07/05/1831</t>
  </si>
  <si>
    <t>02/04/1831</t>
  </si>
  <si>
    <t>09/04/1831</t>
  </si>
  <si>
    <t>05/03/1831</t>
  </si>
  <si>
    <t>Brief medical news anecdote on the uncertainty of the signs of death, reporting a 2-year-old presumed dead in Munich and found alive in his coffin playing with flowers, very likely a Portuguese translation of a French newspaper or medical miscellany snippet circulating within the broader 19th-century “Scheintod” and premature-burial discourse.</t>
  </si>
  <si>
    <t>“Art. 1004. Nouvelles observations sur l’efficacité de la suie dans les ulcérations diverses.” Journal de médecine et de chirurgie pratiques (Paris) 6 (1835): 109–111.</t>
  </si>
  <si>
    <t>05/1826</t>
  </si>
  <si>
    <t>06/1826</t>
  </si>
  <si>
    <t>07/1826</t>
  </si>
  <si>
    <t>07/1813</t>
  </si>
  <si>
    <t>01/1813</t>
  </si>
  <si>
    <t>02/1813</t>
  </si>
  <si>
    <t>03/1813</t>
  </si>
  <si>
    <t>04/1813</t>
  </si>
  <si>
    <t>05/1813</t>
  </si>
  <si>
    <t>06/1813</t>
  </si>
  <si>
    <t>08/1813</t>
  </si>
  <si>
    <t>09/1813</t>
  </si>
  <si>
    <t>10/1813</t>
  </si>
  <si>
    <t>11/1813</t>
  </si>
  <si>
    <t>12/1813</t>
  </si>
  <si>
    <t>01–02/1814</t>
  </si>
  <si>
    <t>03–04/1814</t>
  </si>
  <si>
    <t>05–06/1814</t>
  </si>
  <si>
    <t>07–08/1814</t>
  </si>
  <si>
    <t>09–10/1814</t>
  </si>
  <si>
    <t>11–12/1814</t>
  </si>
  <si>
    <t>United Kingdom</t>
  </si>
  <si>
    <t>Portugal</t>
  </si>
  <si>
    <t>France</t>
  </si>
  <si>
    <t>Russia</t>
  </si>
  <si>
    <t>Portuguese Macau</t>
  </si>
  <si>
    <t>Sweden</t>
  </si>
  <si>
    <t>Denmark</t>
  </si>
  <si>
    <t>Portuguese India</t>
  </si>
  <si>
    <t>Switzerland</t>
  </si>
  <si>
    <t>"Specification of the Patent granted to Louis Honoré Henry Germain Constant, of Blandford-street, Portman-square, in the Parish of Saint Mary-le-bone, and County of Middlesex; for a Method of refining Sugars. Dated February 27, 1812." The Repertory of Arts, Manufactures, and Agriculture (London) 2nd ser., 21, no. 124 (1812): 207–216.</t>
  </si>
  <si>
    <t xml:space="preserve">“Nouvel instrument de chirurgie.” Revue encyclopédique, ou Analyse raisonnée (Paris) 26 (1825): 590. </t>
  </si>
  <si>
    <t>REAR1825s1v26</t>
  </si>
  <si>
    <t>Start</t>
  </si>
  <si>
    <t>End</t>
  </si>
  <si>
    <t xml:space="preserve">Fr. Francisco de S. Luiz, Glossario das palavras e frases da lingua franceza que por descuido, ignorancia, ou necessidade se tem introduzido na locução portugueza moderna, com o juizo crítico das que são adoptaveis nella (Lisbon: Na Typografia da Academia R. das Sciencias, 1827), 15–18. </t>
  </si>
  <si>
    <t>Italian States</t>
  </si>
  <si>
    <t>Schweigger, Johann Salomo Christoph, “Extrait d’une lettre de M. Schweigger à J.-C. Delamétherie, sur un procédé pour produire le galvanisme par la chaleur,” Journal de physique, de chimie, d’histoire naturelle et des arts 73 (November 1811): 405–6; Johann Salomo Christoph Schweigger, “Seconde lettre de M. Schweigger à J.-C. Delamétherie, sur son procédé pour produire le galvanisme par le moyen du feu,” Journal de physique, de chimie, d’histoire naturelle et des arts (Paris) 73 (December 1811): 462–63.</t>
  </si>
  <si>
    <t>German States</t>
  </si>
  <si>
    <t>This is a short practical decolourising “recipe” (sugar/syrup clarification) that is most plausibly a translated extract from French applied-chemistry or pharmacy literature, because it mirrors the characteristic French technical register and vocabulary of the period around noir/charbon animal and alumina used to remove colour from sugar products, a well documented French discourse in works like Payen’s 1822 treatise on animal charcoal in sugar refining and contemporary French compilations that explicitly recommend mixtures of noir animal and alumine to whiten syrups.</t>
  </si>
  <si>
    <r>
      <t xml:space="preserve">Cuvier, Georges (Baron). “Analyse des travaux de l’Académie royale des sciences, pendant l’année 1830. Partie physique.” In </t>
    </r>
    <r>
      <rPr>
        <i/>
        <sz val="11"/>
        <color theme="1"/>
        <rFont val="Calibri"/>
        <family val="2"/>
        <scheme val="minor"/>
      </rPr>
      <t>Mémoires de l’Académie royale des sciences de l’Institut de France</t>
    </r>
    <r>
      <rPr>
        <sz val="11"/>
        <color theme="1"/>
        <rFont val="Calibri"/>
        <family val="2"/>
        <scheme val="minor"/>
      </rPr>
      <t xml:space="preserve">, Tome XVI, 52–53. Paris: Imprimerie de Firmin Didot Frères, 1838. </t>
    </r>
  </si>
  <si>
    <r>
      <t xml:space="preserve">Ernst Gottlieb Steudel, </t>
    </r>
    <r>
      <rPr>
        <i/>
        <sz val="11"/>
        <color theme="1"/>
        <rFont val="Calibri"/>
        <family val="2"/>
        <scheme val="minor"/>
      </rPr>
      <t>Darstellung einer Frieselfieber-Epidemie, welche in Eßlingen und der Umgegend zu Anfang des Jahrs 1831 herrschte, mit einer kurzen Beschreibung einiger ähnlichen Epidemieen in Würtemberg, einer Vergleichung derselben untereinander, ihrem Verhältniß zu dem Scharlachfieber und zu der ostindischen Cholera</t>
    </r>
    <r>
      <rPr>
        <sz val="11"/>
        <color theme="1"/>
        <rFont val="Calibri"/>
        <family val="2"/>
        <scheme val="minor"/>
      </rPr>
      <t xml:space="preserve"> (Eßlingen: J. M. Seeger, 1831), 26–32. </t>
    </r>
  </si>
  <si>
    <t>"Procédé économique pour faire l'acide prussique ( hydro-cyanique. )" Journal médical de la Gironde (Bordeaux) 1 (1824): 448.</t>
  </si>
  <si>
    <r>
      <t xml:space="preserve">Magendie, François. </t>
    </r>
    <r>
      <rPr>
        <i/>
        <sz val="11"/>
        <color theme="1"/>
        <rFont val="Calibri"/>
        <family val="2"/>
        <scheme val="minor"/>
      </rPr>
      <t>Formulaire pour la préparation et l’emploi de plusieurs nouveaux médicamens, tels que la noix vomique, la morphine, l’acide prussique, la strychnine, la vératrine, les alcalis des quinquinas, l’iode, etc.</t>
    </r>
    <r>
      <rPr>
        <sz val="11"/>
        <color theme="1"/>
        <rFont val="Calibri"/>
        <family val="2"/>
        <scheme val="minor"/>
      </rPr>
      <t xml:space="preserve"> 5th ed. Paris: Méquignon-Marvis, 1825, 25–26, 28–29. </t>
    </r>
  </si>
  <si>
    <r>
      <t xml:space="preserve">Carter, H. W. “Clinical Experiments regarding the Effects of Croton Oil.” </t>
    </r>
    <r>
      <rPr>
        <i/>
        <sz val="11"/>
        <color theme="1"/>
        <rFont val="Calibri"/>
        <family val="2"/>
        <scheme val="minor"/>
      </rPr>
      <t>The London Medical Repository (London)</t>
    </r>
    <r>
      <rPr>
        <sz val="11"/>
        <color theme="1"/>
        <rFont val="Calibri"/>
        <family val="2"/>
        <scheme val="minor"/>
      </rPr>
      <t xml:space="preserve"> 17 (1822): 89–94.</t>
    </r>
  </si>
  <si>
    <r>
      <t xml:space="preserve">Sherwood, Jonathan. “Case of Hydrocele, Successfully Treated without an Operation.” </t>
    </r>
    <r>
      <rPr>
        <i/>
        <sz val="11"/>
        <color theme="1"/>
        <rFont val="Calibri"/>
        <family val="2"/>
        <scheme val="minor"/>
      </rPr>
      <t>New-England Journal of Medicine and Surgery, and the Collateral Branches of Medical Science</t>
    </r>
    <r>
      <rPr>
        <sz val="11"/>
        <color theme="1"/>
        <rFont val="Calibri"/>
        <family val="2"/>
        <scheme val="minor"/>
      </rPr>
      <t xml:space="preserve"> 14, no. 1 (January 1, 1825): 39–40. </t>
    </r>
  </si>
  <si>
    <r>
      <t xml:space="preserve">“Arbres pluvieux.” </t>
    </r>
    <r>
      <rPr>
        <i/>
        <sz val="11"/>
        <color theme="1"/>
        <rFont val="Calibri"/>
        <family val="2"/>
        <scheme val="minor"/>
      </rPr>
      <t>Journal de pharmacie et des sciences accessoires (Paris)</t>
    </r>
    <r>
      <rPr>
        <sz val="11"/>
        <color theme="1"/>
        <rFont val="Calibri"/>
        <family val="2"/>
        <scheme val="minor"/>
      </rPr>
      <t xml:space="preserve"> 12 (1826): 145.</t>
    </r>
  </si>
  <si>
    <r>
      <t xml:space="preserve">Magendie, François. “Note sur deux nouvelles espèces de gravelle.” </t>
    </r>
    <r>
      <rPr>
        <i/>
        <sz val="11"/>
        <color theme="1"/>
        <rFont val="Calibri"/>
        <family val="2"/>
        <scheme val="minor"/>
      </rPr>
      <t>Journal de physiologie expérimentale et pathologique (Paris)</t>
    </r>
    <r>
      <rPr>
        <sz val="11"/>
        <color theme="1"/>
        <rFont val="Calibri"/>
        <family val="2"/>
        <scheme val="minor"/>
      </rPr>
      <t xml:space="preserve"> 6 (1826): 297–302.</t>
    </r>
  </si>
  <si>
    <r>
      <t xml:space="preserve">Charles-Louis Cadet de Gassicourt, V. Bally, and F. Cadet de Gassicourt, “Eau de Bussang artificielle pour boisson,” in </t>
    </r>
    <r>
      <rPr>
        <i/>
        <sz val="11"/>
        <color theme="1"/>
        <rFont val="Calibri"/>
        <family val="2"/>
        <scheme val="minor"/>
      </rPr>
      <t>Formulaire magistral et mémorial pharmaceutique</t>
    </r>
    <r>
      <rPr>
        <sz val="11"/>
        <color theme="1"/>
        <rFont val="Calibri"/>
        <family val="2"/>
        <scheme val="minor"/>
      </rPr>
      <t>, 6e éd. (Paris: Louis Colas and Crevot, 1826), 81.</t>
    </r>
  </si>
  <si>
    <r>
      <t xml:space="preserve">Charles Louis Cadet de Gassicourt, V. Bally, e F. Cadet de Gassicourt, “Émulsion purgative d’Alibert,” in </t>
    </r>
    <r>
      <rPr>
        <i/>
        <sz val="11"/>
        <color theme="1"/>
        <rFont val="Calibri"/>
        <family val="2"/>
        <scheme val="minor"/>
      </rPr>
      <t>Formulaire magistral et mémorial pharmaceutique</t>
    </r>
    <r>
      <rPr>
        <sz val="11"/>
        <color theme="1"/>
        <rFont val="Calibri"/>
        <family val="2"/>
        <scheme val="minor"/>
      </rPr>
      <t xml:space="preserve">, 6e éd. (Paris: Louis Colas et Crevot, 1826), 129–130. </t>
    </r>
  </si>
  <si>
    <r>
      <t xml:space="preserve">Charles-Louis Cadet de Gassicourt, V. Bally, and F. Cadet de Gassicourt, “Gouttes calmantes de Magendie,” in </t>
    </r>
    <r>
      <rPr>
        <i/>
        <sz val="11"/>
        <color theme="1"/>
        <rFont val="Calibri"/>
        <family val="2"/>
        <scheme val="minor"/>
      </rPr>
      <t>Formulaire magistral et mémorial pharmaceutique</t>
    </r>
    <r>
      <rPr>
        <sz val="11"/>
        <color theme="1"/>
        <rFont val="Calibri"/>
        <family val="2"/>
        <scheme val="minor"/>
      </rPr>
      <t>, 6e éd. (Paris: Louis Colas and Crevot, 1826), 160.</t>
    </r>
  </si>
  <si>
    <r>
      <t xml:space="preserve">Charles Louis Cadet de Gassicourt, V. Bally, e F. Cadet de Gassicourt, “Mixture brésilienne contre la blennorrhée,” in </t>
    </r>
    <r>
      <rPr>
        <i/>
        <sz val="11"/>
        <color theme="1"/>
        <rFont val="Calibri"/>
        <family val="2"/>
        <scheme val="minor"/>
      </rPr>
      <t>Formulaire magistral et mémorial pharmaceutique</t>
    </r>
    <r>
      <rPr>
        <sz val="11"/>
        <color theme="1"/>
        <rFont val="Calibri"/>
        <family val="2"/>
        <scheme val="minor"/>
      </rPr>
      <t xml:space="preserve">, 6e éd. (Paris: Louis Colas et Crevot, 1826), 202. </t>
    </r>
  </si>
  <si>
    <r>
      <t xml:space="preserve">“Specification of the Patent granted to Frederick Albert Winsor...” </t>
    </r>
    <r>
      <rPr>
        <i/>
        <sz val="11"/>
        <color theme="1"/>
        <rFont val="Calibri"/>
        <family val="2"/>
        <scheme val="minor"/>
      </rPr>
      <t>The Repertory of Arts, Manufactures, and Agriculture (London)</t>
    </r>
    <r>
      <rPr>
        <sz val="11"/>
        <color theme="1"/>
        <rFont val="Calibri"/>
        <family val="2"/>
        <scheme val="minor"/>
      </rPr>
      <t xml:space="preserve"> 2nd ser., 21, no. 125 (1812): 261–262.</t>
    </r>
  </si>
  <si>
    <r>
      <t xml:space="preserve">Cruz e Silva, António Diniz da. </t>
    </r>
    <r>
      <rPr>
        <i/>
        <sz val="11"/>
        <color theme="1"/>
        <rFont val="Calibri"/>
        <family val="2"/>
        <scheme val="minor"/>
      </rPr>
      <t>Poesias de Antonio Diniz da Cruz e Silva na Arcadia de Lisboa Elpino Nonacriense. Tom. III: Que contém as Poesias Líricas</t>
    </r>
    <r>
      <rPr>
        <sz val="11"/>
        <color theme="1"/>
        <rFont val="Calibri"/>
        <family val="2"/>
        <scheme val="minor"/>
      </rPr>
      <t xml:space="preserve">. Lisbon: Typografia Lacerdina, 1812. </t>
    </r>
  </si>
  <si>
    <r>
      <t xml:space="preserve">Prado, Francisco Rodrigues do. </t>
    </r>
    <r>
      <rPr>
        <i/>
        <sz val="11"/>
        <color theme="1"/>
        <rFont val="Calibri"/>
        <family val="2"/>
        <scheme val="minor"/>
      </rPr>
      <t>História dos Índios Cavalleiros, ou da Nação Guaycurú</t>
    </r>
    <r>
      <rPr>
        <sz val="11"/>
        <color theme="1"/>
        <rFont val="Calibri"/>
        <family val="2"/>
        <scheme val="minor"/>
      </rPr>
      <t>. Manuscript. Real Presídio de Coimbra, 1795. Rio de Janeiro: Instituto Histórico e Geográfico Brasileiro, Arquivo.</t>
    </r>
  </si>
  <si>
    <r>
      <t xml:space="preserve">William Buchan, </t>
    </r>
    <r>
      <rPr>
        <i/>
        <sz val="11"/>
        <color theme="1"/>
        <rFont val="Calibri"/>
        <family val="2"/>
        <scheme val="minor"/>
      </rPr>
      <t>Médecine domestique, ou traité complet des moyens de se conserver en santé, de guérir &amp; de prévenir les maladies, par le régime &amp; les remèdes simples…</t>
    </r>
    <r>
      <rPr>
        <sz val="11"/>
        <color theme="1"/>
        <rFont val="Calibri"/>
        <family val="2"/>
        <scheme val="minor"/>
      </rPr>
      <t xml:space="preserve"> Tome quatrième, trans. Jean-Denis Duplanil, 4th ed. (Paris: chez Froullé; de l’Imprimerie de J.-Ch. Desaint, 1788), 486, 502. </t>
    </r>
  </si>
  <si>
    <r>
      <t xml:space="preserve">Une société de médecins et de chirurgiens, s.v. “Canal” (section on drainage of marshes/lakes), in </t>
    </r>
    <r>
      <rPr>
        <i/>
        <sz val="11"/>
        <color theme="1"/>
        <rFont val="Calibri"/>
        <family val="2"/>
        <scheme val="minor"/>
      </rPr>
      <t>Dictionnaire des sciences médicales</t>
    </r>
    <r>
      <rPr>
        <sz val="11"/>
        <color theme="1"/>
        <rFont val="Calibri"/>
        <family val="2"/>
        <scheme val="minor"/>
      </rPr>
      <t>, vol. 3 (Paris: C. L. F. Panckoucke, 1812).</t>
    </r>
  </si>
  <si>
    <r>
      <t xml:space="preserve">J. Stokes, </t>
    </r>
    <r>
      <rPr>
        <i/>
        <sz val="11"/>
        <color theme="1"/>
        <rFont val="Calibri"/>
        <family val="2"/>
        <scheme val="minor"/>
      </rPr>
      <t>The Complete Cabinet Maker, and Upholsterer’s Guide: Comprising the Rudiments and Principles of Cabinet-Making and Upholstery…</t>
    </r>
    <r>
      <rPr>
        <sz val="11"/>
        <color theme="1"/>
        <rFont val="Calibri"/>
        <family val="2"/>
        <scheme val="minor"/>
      </rPr>
      <t xml:space="preserve"> (London: Dean and Munday, 1829), 159.</t>
    </r>
  </si>
  <si>
    <r>
      <t xml:space="preserve">A. F. M. Willich, </t>
    </r>
    <r>
      <rPr>
        <i/>
        <sz val="11"/>
        <color theme="1"/>
        <rFont val="Calibri"/>
        <family val="2"/>
        <scheme val="minor"/>
      </rPr>
      <t>The Domestic Encyclopaedia; or, A Dictionary of Facts, and Useful Knowledge</t>
    </r>
    <r>
      <rPr>
        <sz val="11"/>
        <color theme="1"/>
        <rFont val="Calibri"/>
        <family val="2"/>
        <scheme val="minor"/>
      </rPr>
      <t xml:space="preserve"> (London: J. Adlard, 1802), 1:107. </t>
    </r>
  </si>
  <si>
    <r>
      <t xml:space="preserve">Matthieu Bonafous, </t>
    </r>
    <r>
      <rPr>
        <i/>
        <sz val="11"/>
        <color theme="1"/>
        <rFont val="Calibri"/>
        <family val="2"/>
        <scheme val="minor"/>
      </rPr>
      <t>De la culture des mûriers</t>
    </r>
    <r>
      <rPr>
        <sz val="11"/>
        <color theme="1"/>
        <rFont val="Calibri"/>
        <family val="2"/>
        <scheme val="minor"/>
      </rPr>
      <t xml:space="preserve">, 2nd ed. (Paris: Mme Huzard; Lyon: J.-M. Barret et Bohaire, 1824), 8–10, 33. </t>
    </r>
  </si>
  <si>
    <r>
      <t xml:space="preserve">Horace-Napoléon Raisson, </t>
    </r>
    <r>
      <rPr>
        <i/>
        <sz val="11"/>
        <color theme="1"/>
        <rFont val="Calibri"/>
        <family val="2"/>
        <scheme val="minor"/>
      </rPr>
      <t>Code de la toilette: manuel complet d’élégance et d’hygiène…</t>
    </r>
    <r>
      <rPr>
        <sz val="11"/>
        <color theme="1"/>
        <rFont val="Calibri"/>
        <family val="2"/>
        <scheme val="minor"/>
      </rPr>
      <t xml:space="preserve"> (Paris: J.-P. Roret; Charles Béchet, 1828), 169–70. </t>
    </r>
  </si>
  <si>
    <r>
      <t xml:space="preserve">Descourtilz, É. </t>
    </r>
    <r>
      <rPr>
        <i/>
        <sz val="11"/>
        <color theme="1"/>
        <rFont val="Calibri"/>
        <family val="2"/>
        <scheme val="minor"/>
      </rPr>
      <t>Flore pittoresque et médicale des Antilles, ou Histoire naturelle des plantes usuelles des colonies françaises, anglaises, espagnoles et portugaises: dédiée et présentée au roi</t>
    </r>
    <r>
      <rPr>
        <sz val="11"/>
        <color theme="1"/>
        <rFont val="Calibri"/>
        <family val="2"/>
        <scheme val="minor"/>
      </rPr>
      <t xml:space="preserve">. Tome huitième. Paris: Imprimerie de J. Tastu, 1829. </t>
    </r>
  </si>
  <si>
    <r>
      <t xml:space="preserve">Berryer, Pierre-Nicolas. </t>
    </r>
    <r>
      <rPr>
        <i/>
        <sz val="11"/>
        <color theme="1"/>
        <rFont val="Calibri"/>
        <family val="2"/>
        <scheme val="minor"/>
      </rPr>
      <t>Dissertation générale sur le commerce, son état actuel en France et sa législation, servant d’introduction au Traité complet du droit commercial, en souscription.</t>
    </r>
    <r>
      <rPr>
        <sz val="11"/>
        <color theme="1"/>
        <rFont val="Calibri"/>
        <family val="2"/>
        <scheme val="minor"/>
      </rPr>
      <t xml:space="preserve"> Paris, 1829. Accessed January 18, 2026. Gallica, Bibliothèque nationale de France. </t>
    </r>
  </si>
  <si>
    <r>
      <t xml:space="preserve">Pitaro, Antoine. </t>
    </r>
    <r>
      <rPr>
        <i/>
        <sz val="11"/>
        <color theme="1"/>
        <rFont val="Calibri"/>
        <family val="2"/>
        <scheme val="minor"/>
      </rPr>
      <t>La science de la sétifère…</t>
    </r>
    <r>
      <rPr>
        <sz val="11"/>
        <color theme="1"/>
        <rFont val="Calibri"/>
        <family val="2"/>
        <scheme val="minor"/>
      </rPr>
      <t xml:space="preserve"> Paris: J.-P. Roret, 1828. “Préface”; Première partie, “De la morique…,” chap. 1 (“Préliminaires”), and section 1, article 1 (“Histoire du mûrier”). </t>
    </r>
  </si>
  <si>
    <r>
      <t xml:space="preserve">Richard Guest, </t>
    </r>
    <r>
      <rPr>
        <i/>
        <sz val="11"/>
        <color theme="1"/>
        <rFont val="Calibri"/>
        <family val="2"/>
        <scheme val="minor"/>
      </rPr>
      <t>A Compendious History of the Cotton-Manufacture: With a Disproval of the Claim of Sir Richard Arkwright to the Invention of Its Ingenious Machinery</t>
    </r>
    <r>
      <rPr>
        <sz val="11"/>
        <color theme="1"/>
        <rFont val="Calibri"/>
        <family val="2"/>
        <scheme val="minor"/>
      </rPr>
      <t xml:space="preserve"> (Manchester: Printed by J. Pratt, 1823), 3–9. </t>
    </r>
  </si>
  <si>
    <r>
      <t xml:space="preserve">Richard Guest, “Change of Character and Manners, in the Population, Superinduced by the Extension of the Cotton Manufacture,” in </t>
    </r>
    <r>
      <rPr>
        <i/>
        <sz val="11"/>
        <color theme="1"/>
        <rFont val="Calibri"/>
        <family val="2"/>
        <scheme val="minor"/>
      </rPr>
      <t>A Compendious History of the Cotton-Manufacture: With a Disproval of the Claim of Sir Richard Arkwright to the Invention of Its Ingenious Machinery</t>
    </r>
    <r>
      <rPr>
        <sz val="11"/>
        <color theme="1"/>
        <rFont val="Calibri"/>
        <family val="2"/>
        <scheme val="minor"/>
      </rPr>
      <t xml:space="preserve"> (Manchester: Printed by J. Pratt, 1823), 36–40. </t>
    </r>
  </si>
  <si>
    <r>
      <t xml:space="preserve">“Chapitre IV. — Des engrais,” in </t>
    </r>
    <r>
      <rPr>
        <i/>
        <sz val="11"/>
        <color theme="1"/>
        <rFont val="Calibri"/>
        <family val="2"/>
        <scheme val="minor"/>
      </rPr>
      <t>La Maison rustique du XIXe siècle. Tome premier: Agriculture proprement dite</t>
    </r>
    <r>
      <rPr>
        <sz val="11"/>
        <color theme="1"/>
        <rFont val="Calibri"/>
        <family val="2"/>
        <scheme val="minor"/>
      </rPr>
      <t xml:space="preserve">, ed. C. Bailly de Merlieux (Paris: Au Bureau, quai aux Fleurs, no. 15, 1835), 83–85. </t>
    </r>
  </si>
  <si>
    <r>
      <t xml:space="preserve">“Chapitre IV. — Des engrais,” in </t>
    </r>
    <r>
      <rPr>
        <i/>
        <sz val="11"/>
        <color theme="1"/>
        <rFont val="Calibri"/>
        <family val="2"/>
        <scheme val="minor"/>
      </rPr>
      <t>La Maison rustique du XIXe siècle. Tome premier: Agriculture proprement dite</t>
    </r>
    <r>
      <rPr>
        <sz val="11"/>
        <color theme="1"/>
        <rFont val="Calibri"/>
        <family val="2"/>
        <scheme val="minor"/>
      </rPr>
      <t xml:space="preserve">, ed. C. Bailly de Merlieux (Paris: Au Bureau, quai aux Fleurs, no. 15, 1835), 85–91. </t>
    </r>
  </si>
  <si>
    <r>
      <t xml:space="preserve">C. Pajot des Charmes, </t>
    </r>
    <r>
      <rPr>
        <i/>
        <sz val="11"/>
        <color theme="1"/>
        <rFont val="Calibri"/>
        <family val="2"/>
        <scheme val="minor"/>
      </rPr>
      <t>L’art du blanchiment des toiles, fils et cotons de tout genre: rendu plus facile et plus général, au moyen des nouvelles découvertes […] et des découvertes faites par l’auteur dans l’art de blanchir les papiers […]</t>
    </r>
    <r>
      <rPr>
        <sz val="11"/>
        <color theme="1"/>
        <rFont val="Calibri"/>
        <family val="2"/>
        <scheme val="minor"/>
      </rPr>
      <t xml:space="preserve"> (Paris: Chez A. J. Dugour, 1799).</t>
    </r>
  </si>
  <si>
    <r>
      <t xml:space="preserve">“Chapitre IV. — Des engrais,” in </t>
    </r>
    <r>
      <rPr>
        <i/>
        <sz val="11"/>
        <color theme="1"/>
        <rFont val="Calibri"/>
        <family val="2"/>
        <scheme val="minor"/>
      </rPr>
      <t>La Maison rustique du XIXe siècle. Tome premier: Agriculture proprement dite</t>
    </r>
    <r>
      <rPr>
        <sz val="11"/>
        <color theme="1"/>
        <rFont val="Calibri"/>
        <family val="2"/>
        <scheme val="minor"/>
      </rPr>
      <t xml:space="preserve">, ed. C. Bailly de Merlieux (Paris: Au Bureau, quai aux Fleurs, no. 15, 1835), 84–109. </t>
    </r>
  </si>
  <si>
    <r>
      <t xml:space="preserve">F. M., “Chapitre VI. Conservation des viandes,” in </t>
    </r>
    <r>
      <rPr>
        <i/>
        <sz val="11"/>
        <color theme="1"/>
        <rFont val="Calibri"/>
        <family val="2"/>
        <scheme val="minor"/>
      </rPr>
      <t>Maison rustique du XIXe siècle: Encyclopédie d’agriculture pratique</t>
    </r>
    <r>
      <rPr>
        <sz val="11"/>
        <color theme="1"/>
        <rFont val="Calibri"/>
        <family val="2"/>
        <scheme val="minor"/>
      </rPr>
      <t xml:space="preserve">, ed. M. Malepeyre aîné, tome troisième, </t>
    </r>
    <r>
      <rPr>
        <i/>
        <sz val="11"/>
        <color theme="1"/>
        <rFont val="Calibri"/>
        <family val="2"/>
        <scheme val="minor"/>
      </rPr>
      <t>Arts agricoles</t>
    </r>
    <r>
      <rPr>
        <sz val="11"/>
        <color theme="1"/>
        <rFont val="Calibri"/>
        <family val="2"/>
        <scheme val="minor"/>
      </rPr>
      <t xml:space="preserve"> (Paris: Au bureau, quai aux fleurs, no. 15, 1836), 109–114.</t>
    </r>
  </si>
  <si>
    <r>
      <t xml:space="preserve">F. M., “Chapitre VI. Conservation des viandes,” in </t>
    </r>
    <r>
      <rPr>
        <i/>
        <sz val="11"/>
        <color theme="1"/>
        <rFont val="Calibri"/>
        <family val="2"/>
        <scheme val="minor"/>
      </rPr>
      <t>Maison rustique du XIXe siècle: Encyclopédie d’agriculture pratique</t>
    </r>
    <r>
      <rPr>
        <sz val="11"/>
        <color theme="1"/>
        <rFont val="Calibri"/>
        <family val="2"/>
        <scheme val="minor"/>
      </rPr>
      <t xml:space="preserve">, ed. M. Malepeyre aîné, tome troisième, </t>
    </r>
    <r>
      <rPr>
        <i/>
        <sz val="11"/>
        <color theme="1"/>
        <rFont val="Calibri"/>
        <family val="2"/>
        <scheme val="minor"/>
      </rPr>
      <t>Arts agricoles</t>
    </r>
    <r>
      <rPr>
        <sz val="11"/>
        <color theme="1"/>
        <rFont val="Calibri"/>
        <family val="2"/>
        <scheme val="minor"/>
      </rPr>
      <t xml:space="preserve"> (Paris: Au bureau, quai aux fleurs, no. 15, 1836), 114–117.</t>
    </r>
  </si>
  <si>
    <r>
      <t xml:space="preserve">F. M., “Chapitre VI. Conservation des viandes,” in </t>
    </r>
    <r>
      <rPr>
        <i/>
        <sz val="11"/>
        <color theme="1"/>
        <rFont val="Calibri"/>
        <family val="2"/>
        <scheme val="minor"/>
      </rPr>
      <t>Maison rustique du XIXe siècle: Encyclopédie d’agriculture pratique</t>
    </r>
    <r>
      <rPr>
        <sz val="11"/>
        <color theme="1"/>
        <rFont val="Calibri"/>
        <family val="2"/>
        <scheme val="minor"/>
      </rPr>
      <t xml:space="preserve">, ed. M. Malepeyre aîné, tome troisième, </t>
    </r>
    <r>
      <rPr>
        <i/>
        <sz val="11"/>
        <color theme="1"/>
        <rFont val="Calibri"/>
        <family val="2"/>
        <scheme val="minor"/>
      </rPr>
      <t>Arts agricoles</t>
    </r>
    <r>
      <rPr>
        <sz val="11"/>
        <color theme="1"/>
        <rFont val="Calibri"/>
        <family val="2"/>
        <scheme val="minor"/>
      </rPr>
      <t xml:space="preserve"> (Paris: Au bureau, quai aux fleurs, no. 15, 1836), 118–119.</t>
    </r>
  </si>
  <si>
    <r>
      <t xml:space="preserve">C. Bailly de Merlieux, “Chapitre VI. Des façons générales à donner au sol,” in </t>
    </r>
    <r>
      <rPr>
        <i/>
        <sz val="11"/>
        <color theme="1"/>
        <rFont val="Calibri"/>
        <family val="2"/>
        <scheme val="minor"/>
      </rPr>
      <t>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158–165.</t>
    </r>
  </si>
  <si>
    <r>
      <t xml:space="preserve">C. Bailly de Merlieux, “Chapitre VI. Des façons générales à donner au sol,” in </t>
    </r>
    <r>
      <rPr>
        <i/>
        <sz val="11"/>
        <color theme="1"/>
        <rFont val="Calibri"/>
        <family val="2"/>
        <scheme val="minor"/>
      </rPr>
      <t>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158–170.</t>
    </r>
  </si>
  <si>
    <r>
      <t xml:space="preserve">“Maladies des yeux,” in </t>
    </r>
    <r>
      <rPr>
        <i/>
        <sz val="11"/>
        <color theme="1"/>
        <rFont val="Calibri"/>
        <family val="2"/>
        <scheme val="minor"/>
      </rPr>
      <t>Maison rustique du XIXe siècle: Encyclopédie d’agriculture pratique</t>
    </r>
    <r>
      <rPr>
        <sz val="11"/>
        <color theme="1"/>
        <rFont val="Calibri"/>
        <family val="2"/>
        <scheme val="minor"/>
      </rPr>
      <t xml:space="preserve">, ed. Alexandre Bixio, </t>
    </r>
    <r>
      <rPr>
        <i/>
        <sz val="11"/>
        <color theme="1"/>
        <rFont val="Calibri"/>
        <family val="2"/>
        <scheme val="minor"/>
      </rPr>
      <t>Tome second: Cultures industrielles et animaux domestiques</t>
    </r>
    <r>
      <rPr>
        <sz val="11"/>
        <color theme="1"/>
        <rFont val="Calibri"/>
        <family val="2"/>
        <scheme val="minor"/>
      </rPr>
      <t xml:space="preserve"> (Paris: Au Bureau, Quai aux Fleurs, no. 15, 1837), 321–23.</t>
    </r>
  </si>
  <si>
    <r>
      <t xml:space="preserve">“Chapitre III. Des amendemens,” in </t>
    </r>
    <r>
      <rPr>
        <i/>
        <sz val="11"/>
        <color theme="1"/>
        <rFont val="Calibri"/>
        <family val="2"/>
        <scheme val="minor"/>
      </rPr>
      <t>Maison rustique du XIXe siècle: Encyclopédie d’agriculture pratique</t>
    </r>
    <r>
      <rPr>
        <sz val="11"/>
        <color theme="1"/>
        <rFont val="Calibri"/>
        <family val="2"/>
        <scheme val="minor"/>
      </rPr>
      <t xml:space="preserve">, sous la direction de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59–66.</t>
    </r>
  </si>
  <si>
    <r>
      <t xml:space="preserve">“Chapitre II. — Du lait et de ses emplois,” in </t>
    </r>
    <r>
      <rPr>
        <i/>
        <sz val="11"/>
        <color theme="1"/>
        <rFont val="Calibri"/>
        <family val="2"/>
        <scheme val="minor"/>
      </rPr>
      <t>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1–7.</t>
    </r>
  </si>
  <si>
    <r>
      <t xml:space="preserve">C. Bailly de Merlieux, “Art. III.—Des substances salines,” in </t>
    </r>
    <r>
      <rPr>
        <i/>
        <sz val="11"/>
        <color theme="1"/>
        <rFont val="Calibri"/>
        <family val="2"/>
        <scheme val="minor"/>
      </rPr>
      <t>La Maison rustique du XIXe siècle. Tome premier: Agriculture proprement dite</t>
    </r>
    <r>
      <rPr>
        <sz val="11"/>
        <color theme="1"/>
        <rFont val="Calibri"/>
        <family val="2"/>
        <scheme val="minor"/>
      </rPr>
      <t xml:space="preserve">, ed. C. Bailly de Merlieux (Paris: Au Bureau, quai aux Fleurs, no. 15, 1835), 77–82. </t>
    </r>
  </si>
  <si>
    <r>
      <t xml:space="preserve">“Chapitre I.—Du lait et de ses emplois,” in </t>
    </r>
    <r>
      <rPr>
        <i/>
        <sz val="11"/>
        <color theme="1"/>
        <rFont val="Calibri"/>
        <family val="2"/>
        <scheme val="minor"/>
      </rPr>
      <t>La 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6–13.</t>
    </r>
  </si>
  <si>
    <r>
      <t xml:space="preserve">“Chapitre second. Du sol, de ses propriétés et de la nature diverse des terres,” in </t>
    </r>
    <r>
      <rPr>
        <i/>
        <sz val="11"/>
        <color theme="1"/>
        <rFont val="Calibri"/>
        <family val="2"/>
        <scheme val="minor"/>
      </rPr>
      <t>La 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70–72.</t>
    </r>
  </si>
  <si>
    <r>
      <t xml:space="preserve">“Chapitre II.—Du lait et de ses emplois,” in </t>
    </r>
    <r>
      <rPr>
        <i/>
        <sz val="11"/>
        <color theme="1"/>
        <rFont val="Calibri"/>
        <family val="2"/>
        <scheme val="minor"/>
      </rPr>
      <t>La 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18–35.</t>
    </r>
  </si>
  <si>
    <r>
      <t xml:space="preserve">“Chapitre II.—Du lait et de ses emplois,” in </t>
    </r>
    <r>
      <rPr>
        <i/>
        <sz val="11"/>
        <color theme="1"/>
        <rFont val="Calibri"/>
        <family val="2"/>
        <scheme val="minor"/>
      </rPr>
      <t>La 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24–30.</t>
    </r>
  </si>
  <si>
    <r>
      <t xml:space="preserve">“Chapitre II.—Du lait et de ses emplois,” in </t>
    </r>
    <r>
      <rPr>
        <i/>
        <sz val="11"/>
        <color theme="1"/>
        <rFont val="Calibri"/>
        <family val="2"/>
        <scheme val="minor"/>
      </rPr>
      <t>La 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30–35.</t>
    </r>
  </si>
  <si>
    <r>
      <t xml:space="preserve">“Chapitre II.—Du lait et de ses emplois,” in </t>
    </r>
    <r>
      <rPr>
        <i/>
        <sz val="11"/>
        <color theme="1"/>
        <rFont val="Calibri"/>
        <family val="2"/>
        <scheme val="minor"/>
      </rPr>
      <t>La Maison rustique du XIXe siècle: Encyclopédie d’agriculture pratique</t>
    </r>
    <r>
      <rPr>
        <sz val="11"/>
        <color theme="1"/>
        <rFont val="Calibri"/>
        <family val="2"/>
        <scheme val="minor"/>
      </rPr>
      <t xml:space="preserve">, sous la direction de M. Malepeyre aîné, tome troisième: </t>
    </r>
    <r>
      <rPr>
        <i/>
        <sz val="11"/>
        <color theme="1"/>
        <rFont val="Calibri"/>
        <family val="2"/>
        <scheme val="minor"/>
      </rPr>
      <t>Arts agricoles</t>
    </r>
    <r>
      <rPr>
        <sz val="11"/>
        <color theme="1"/>
        <rFont val="Calibri"/>
        <family val="2"/>
        <scheme val="minor"/>
      </rPr>
      <t xml:space="preserve"> (Paris: Au Bureau, quai aux Fleurs, no. 15, 1836), 35–57.</t>
    </r>
  </si>
  <si>
    <r>
      <t xml:space="preserve">“Chapitre XV.—Des céréales et de leur culture spéciale,” in </t>
    </r>
    <r>
      <rPr>
        <i/>
        <sz val="11"/>
        <color theme="1"/>
        <rFont val="Calibri"/>
        <family val="2"/>
        <scheme val="minor"/>
      </rPr>
      <t>La Maison rustique du XIXe siècle: Encyclopédie d’agriculture pratique</t>
    </r>
    <r>
      <rPr>
        <sz val="11"/>
        <color theme="1"/>
        <rFont val="Calibri"/>
        <family val="2"/>
        <scheme val="minor"/>
      </rPr>
      <t xml:space="preserve">, ed. C. Bailly de Merlieux, tome premier: </t>
    </r>
    <r>
      <rPr>
        <i/>
        <sz val="11"/>
        <color theme="1"/>
        <rFont val="Calibri"/>
        <family val="2"/>
        <scheme val="minor"/>
      </rPr>
      <t>Agriculture proprement dite</t>
    </r>
    <r>
      <rPr>
        <sz val="11"/>
        <color theme="1"/>
        <rFont val="Calibri"/>
        <family val="2"/>
        <scheme val="minor"/>
      </rPr>
      <t xml:space="preserve"> (Paris: Au Bureau, quai aux Fleurs, no. 15, 1835), 396–403.</t>
    </r>
  </si>
  <si>
    <r>
      <t xml:space="preserve">Oscar Leclerc-Thouin. “Chapitre XVI. — Des légumineuses à semences farineuses,” in </t>
    </r>
    <r>
      <rPr>
        <i/>
        <sz val="11"/>
        <color theme="1"/>
        <rFont val="Calibri"/>
        <family val="2"/>
        <scheme val="minor"/>
      </rPr>
      <t>La 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410–414.</t>
    </r>
  </si>
  <si>
    <r>
      <t xml:space="preserve">Oscar Leclerc-Thouin. “Chapitre XVI. — Des légumineuses à semences farineuses,” in </t>
    </r>
    <r>
      <rPr>
        <i/>
        <sz val="11"/>
        <color theme="1"/>
        <rFont val="Calibri"/>
        <family val="2"/>
        <scheme val="minor"/>
      </rPr>
      <t>La 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414–419.</t>
    </r>
  </si>
  <si>
    <r>
      <t xml:space="preserve">Oscar Leclerc-Thouin. “Chapitre XVI. — Des légumineuses à semences farineuses,” in </t>
    </r>
    <r>
      <rPr>
        <i/>
        <sz val="11"/>
        <color theme="1"/>
        <rFont val="Calibri"/>
        <family val="2"/>
        <scheme val="minor"/>
      </rPr>
      <t>La Maison rustique du XIXe siècle: Encyclopédie d’agriculture pratique</t>
    </r>
    <r>
      <rPr>
        <sz val="11"/>
        <color theme="1"/>
        <rFont val="Calibri"/>
        <family val="2"/>
        <scheme val="minor"/>
      </rPr>
      <t xml:space="preserve">, ed. C. Bailly de Merlieux, tome 1, </t>
    </r>
    <r>
      <rPr>
        <i/>
        <sz val="11"/>
        <color theme="1"/>
        <rFont val="Calibri"/>
        <family val="2"/>
        <scheme val="minor"/>
      </rPr>
      <t>Agriculture proprement dite</t>
    </r>
    <r>
      <rPr>
        <sz val="11"/>
        <color theme="1"/>
        <rFont val="Calibri"/>
        <family val="2"/>
        <scheme val="minor"/>
      </rPr>
      <t xml:space="preserve"> (Paris: Au Bureau, quai aux Fleurs, no. 15, 1835), 419–426.</t>
    </r>
  </si>
  <si>
    <r>
      <t xml:space="preserve">Charles Dupin, </t>
    </r>
    <r>
      <rPr>
        <i/>
        <sz val="11"/>
        <color theme="1"/>
        <rFont val="Calibri"/>
        <family val="2"/>
        <scheme val="minor"/>
      </rPr>
      <t>La Caisse d’épargne et les ouvriers: leçon donnée au Conservatoire royal des arts et manufactures, le 22 mars 1837</t>
    </r>
    <r>
      <rPr>
        <sz val="11"/>
        <color theme="1"/>
        <rFont val="Calibri"/>
        <family val="2"/>
        <scheme val="minor"/>
      </rPr>
      <t xml:space="preserve"> (Paris: Impr. de Firmin-Didot, 1837). </t>
    </r>
  </si>
  <si>
    <r>
      <t xml:space="preserve">Léon Faucher, “Jacquard,” </t>
    </r>
    <r>
      <rPr>
        <i/>
        <sz val="11"/>
        <color theme="1"/>
        <rFont val="Calibri"/>
        <family val="2"/>
        <scheme val="minor"/>
      </rPr>
      <t>Revue du Lyonnais: recueil historique et littéraire</t>
    </r>
    <r>
      <rPr>
        <sz val="11"/>
        <color theme="1"/>
        <rFont val="Calibri"/>
        <family val="2"/>
        <scheme val="minor"/>
      </rPr>
      <t xml:space="preserve"> 1 (1835): 52–57. </t>
    </r>
  </si>
  <si>
    <r>
      <t xml:space="preserve">José Mariano da Conceição Velloso, “Sobre o azeite feito das sementes de girasol, e do algodão,” in </t>
    </r>
    <r>
      <rPr>
        <i/>
        <sz val="11"/>
        <color theme="1"/>
        <rFont val="Calibri"/>
        <family val="2"/>
        <scheme val="minor"/>
      </rPr>
      <t>Extractos práticos, e uteis á economia rural portugueza, assim no Reino, como nas Colonias, ou Gazeta do Campo</t>
    </r>
    <r>
      <rPr>
        <sz val="11"/>
        <color theme="1"/>
        <rFont val="Calibri"/>
        <family val="2"/>
        <scheme val="minor"/>
      </rPr>
      <t>, no. 1 (Lisbon: Impressão Régia, 1804–1806), 1–16.</t>
    </r>
  </si>
  <si>
    <t>"De l’emploi du charbon animal dans les engorgements glandulaires; par M. le docteur Kuhn." Gazette médicale de Paris (Paris) 1, no. 8 (20 February 1830): 69–70.</t>
  </si>
  <si>
    <t>Argentina</t>
  </si>
  <si>
    <t>Belgium</t>
  </si>
  <si>
    <t>"Observation sur un empoisonnement par le tartre émétique; par le docteur SAUVETON , associé national à Lyon." Journal Général de Médecine, de Chirurgie et de Pharmacie (Paris) 30 (1825): 145–149.</t>
  </si>
  <si>
    <t>Bull. des Scienc. Med. — Archiv. Méd.</t>
  </si>
  <si>
    <t>Uso do Chloro contra a Hydrophobia.</t>
  </si>
  <si>
    <t xml:space="preserve">Emprego da Morphina como correctivo do Iodio. </t>
  </si>
  <si>
    <t>Journ. Compl. &amp;c.</t>
  </si>
  <si>
    <t>Efficacia do Iodio contra a tísica. Obs. pelo Sr. Berton.</t>
  </si>
  <si>
    <t>Journal Complémentaire du Diction. des Sciences. Med.</t>
  </si>
  <si>
    <t>Uso do Chloro na tísica pulmonar. Observação do Sr. Gannal.</t>
  </si>
  <si>
    <t>Medicina Practica. Rotura da vêa cava inferior; seguida de morte repentina: Observação do Dr. Boucher de la Ville-Jassy.</t>
  </si>
  <si>
    <t>French</t>
  </si>
  <si>
    <t>AMP1834s1v25</t>
  </si>
  <si>
    <t>AMP1833s1v23</t>
  </si>
  <si>
    <t>AMP1833s1v24</t>
  </si>
  <si>
    <t>AMP1832s1v22</t>
  </si>
  <si>
    <t>AMP1832s1v21</t>
  </si>
  <si>
    <t>AMP1830s1v18</t>
  </si>
  <si>
    <t>AMP1829s1v15</t>
  </si>
  <si>
    <t>AMP1828s1v14</t>
  </si>
  <si>
    <t>AMP1828s1v13</t>
  </si>
  <si>
    <t>AMP1824s1v6</t>
  </si>
  <si>
    <t>AMP1823s1v4</t>
  </si>
  <si>
    <t>AMP1823s1v3</t>
  </si>
  <si>
    <t>AMP1822s1v2</t>
  </si>
  <si>
    <t>AMP1822s1v1</t>
  </si>
  <si>
    <t>AHPML1829s1v1</t>
  </si>
  <si>
    <t>Annales d'hygiène publique et de médecine légale</t>
  </si>
  <si>
    <t>AHPML1829s1v2</t>
  </si>
  <si>
    <t>AHPML1830s1v3</t>
  </si>
  <si>
    <t>AHPML1830s1v4</t>
  </si>
  <si>
    <t>AHPML1831s1v5</t>
  </si>
  <si>
    <t>AHPML1832s1v7</t>
  </si>
  <si>
    <t>AHPML1832s1v8</t>
  </si>
  <si>
    <t>AHPML1833s1v9</t>
  </si>
  <si>
    <t>AHPML1833s1v10</t>
  </si>
  <si>
    <t>AHPML1834s1v11</t>
  </si>
  <si>
    <t>AHPML1834s1v12</t>
  </si>
  <si>
    <t>AHPML1835s1v13</t>
  </si>
  <si>
    <t>AHPML1835s1v14</t>
  </si>
  <si>
    <t>AHPML1836s1v15</t>
  </si>
  <si>
    <t>AHPML1836s1v16</t>
  </si>
  <si>
    <t>AHPML1837s1v17</t>
  </si>
  <si>
    <t>AGM1823s1v1</t>
  </si>
  <si>
    <t>Archives générales de médecine</t>
  </si>
  <si>
    <t>AGM1823s1v2</t>
  </si>
  <si>
    <t>AGM1823s1v3</t>
  </si>
  <si>
    <t>AGM1824s1v6</t>
  </si>
  <si>
    <t>AGM1825s1v7</t>
  </si>
  <si>
    <t>AGM1826s1v11</t>
  </si>
  <si>
    <t>AGM1826s1v12</t>
  </si>
  <si>
    <t>AGM1827s1v13</t>
  </si>
  <si>
    <t>AGM1827s1v14</t>
  </si>
  <si>
    <t>AGM1827s1v15</t>
  </si>
  <si>
    <t>AGM1828s1v16</t>
  </si>
  <si>
    <t>AGM1828s1v17</t>
  </si>
  <si>
    <t>AGM1828s1v18</t>
  </si>
  <si>
    <t>AGM1829s1v19</t>
  </si>
  <si>
    <t>AGM1830s1v22</t>
  </si>
  <si>
    <t>AGM1832s1v28</t>
  </si>
  <si>
    <t>AGM1832s1v29</t>
  </si>
  <si>
    <t>AGM1832s1v30</t>
  </si>
  <si>
    <t>AGM1833s2v1</t>
  </si>
  <si>
    <t>AGM1833s2v2</t>
  </si>
  <si>
    <t>AGM1833s2v3</t>
  </si>
  <si>
    <t>AGM1834s2v4</t>
  </si>
  <si>
    <t>AGM1834s2v5</t>
  </si>
  <si>
    <t>AGM1834s2v6</t>
  </si>
  <si>
    <t>AGM1835s2v7</t>
  </si>
  <si>
    <t>AGM1835s2v8</t>
  </si>
  <si>
    <t>AGM1835s2v9</t>
  </si>
  <si>
    <t>AGM1836s2v10</t>
  </si>
  <si>
    <t>AGM1836s2v11</t>
  </si>
  <si>
    <t>AGM1836s2v12</t>
  </si>
  <si>
    <t>AGM1837s2v14</t>
  </si>
  <si>
    <t>AGM1837s2v15</t>
  </si>
  <si>
    <t>AGM1837s3v1</t>
  </si>
  <si>
    <t>AGM1837s3v2</t>
  </si>
  <si>
    <t>AGM1837s3v3</t>
  </si>
  <si>
    <t>AGM1838s3v1</t>
  </si>
  <si>
    <t>AGM1838s3v2</t>
  </si>
  <si>
    <t>AGM1838s3v3</t>
  </si>
  <si>
    <t>AGM1839s3v4</t>
  </si>
  <si>
    <t>AGM1839s3v6</t>
  </si>
  <si>
    <t>AGM1840s3v7</t>
  </si>
  <si>
    <t>AGM1840s3v8</t>
  </si>
  <si>
    <t>AGM1840s3v9</t>
  </si>
  <si>
    <t>BSM1824s1v1</t>
  </si>
  <si>
    <t>Bulletin des sciences médicales</t>
  </si>
  <si>
    <t>BSM1824s1v3</t>
  </si>
  <si>
    <t>BSM1825s1v4</t>
  </si>
  <si>
    <t>BSM1825s1v5</t>
  </si>
  <si>
    <t>BSM1825s1v6</t>
  </si>
  <si>
    <t>BSM1826s1v8</t>
  </si>
  <si>
    <t>BSM1826s1v10</t>
  </si>
  <si>
    <t>BSM1827s1v11</t>
  </si>
  <si>
    <t>Italian</t>
  </si>
  <si>
    <t>Bullettino delle scienze mediche</t>
  </si>
  <si>
    <t>BDSM1830s1v2</t>
  </si>
  <si>
    <t>BDSM1832s1v6</t>
  </si>
  <si>
    <t>BDSM1833s1v7</t>
  </si>
  <si>
    <t>BDSM1833s1v8</t>
  </si>
  <si>
    <t>BDSM1834s1v10</t>
  </si>
  <si>
    <t>BDSM1835s1v11</t>
  </si>
  <si>
    <t>BDSM1836s2v1</t>
  </si>
  <si>
    <t>BDSM1836s2v2</t>
  </si>
  <si>
    <t>BDSM1837s2v3</t>
  </si>
  <si>
    <t>Gazette médicale de Paris</t>
  </si>
  <si>
    <t>GMP1831s1v3</t>
  </si>
  <si>
    <t>GMP1833s2v1</t>
  </si>
  <si>
    <t>GMP1837s2v5</t>
  </si>
  <si>
    <t>GMP1840s2v8</t>
  </si>
  <si>
    <t>Gazette de santé</t>
  </si>
  <si>
    <t>GS1823s1v50</t>
  </si>
  <si>
    <t>GS1827s1v54</t>
  </si>
  <si>
    <t>GS1828s1v55</t>
  </si>
  <si>
    <t>GS1829s1v56</t>
  </si>
  <si>
    <t>Journal de médecine et de chirurgie pratiques</t>
  </si>
  <si>
    <t>JMCP1831s1v2</t>
  </si>
  <si>
    <t>JMCP1832s1v3</t>
  </si>
  <si>
    <t>JMCP1834s1v5</t>
  </si>
  <si>
    <t>JMCP1837s1v8</t>
  </si>
  <si>
    <t>JMCP1839s1v10</t>
  </si>
  <si>
    <t>JMCP1840s1v11</t>
  </si>
  <si>
    <t>Journal de chimie médicale, de pharmacie et de toxicologie</t>
  </si>
  <si>
    <t>JCMP1826s1v2</t>
  </si>
  <si>
    <t>JCMP1830s1v6</t>
  </si>
  <si>
    <t>JCMP1831s1v7</t>
  </si>
  <si>
    <t>JCMP1836s2v2</t>
  </si>
  <si>
    <t>JCMP1837s2v3</t>
  </si>
  <si>
    <t>JCMP1838s2v4</t>
  </si>
  <si>
    <t>JCMP1839s2v5</t>
  </si>
  <si>
    <t>JCMP1840s2v6</t>
  </si>
  <si>
    <t>Journal des Connaissances Medico Chirurgicales</t>
  </si>
  <si>
    <t>1833-4</t>
  </si>
  <si>
    <t>1834-5</t>
  </si>
  <si>
    <t>JCMC1835-6s1v3</t>
  </si>
  <si>
    <t>1835-6</t>
  </si>
  <si>
    <t>1836-7</t>
  </si>
  <si>
    <t>1837-8</t>
  </si>
  <si>
    <t>1838-9</t>
  </si>
  <si>
    <t>JCMC1840s1v8</t>
  </si>
  <si>
    <t>JPSA1815s1v1</t>
  </si>
  <si>
    <t>JPSA1816s1v2</t>
  </si>
  <si>
    <t>JPSA1817s1v3</t>
  </si>
  <si>
    <t>JPSA1818s1v4</t>
  </si>
  <si>
    <t>JPSA1819s1v5</t>
  </si>
  <si>
    <t>JPSA1820s1v6</t>
  </si>
  <si>
    <t>JPSA1821s1v7</t>
  </si>
  <si>
    <t>JPSA1822s1v8</t>
  </si>
  <si>
    <t>JPSA1825s1v11</t>
  </si>
  <si>
    <t>JPSA1829s1v15</t>
  </si>
  <si>
    <t>JPSA1831s1v17</t>
  </si>
  <si>
    <t>JPSA1832s1v18</t>
  </si>
  <si>
    <t>JPSA1833s1v19</t>
  </si>
  <si>
    <t>JPSA1837s1v23</t>
  </si>
  <si>
    <t>JPSA1839s1v25</t>
  </si>
  <si>
    <t>JPSA1840s1v26</t>
  </si>
  <si>
    <t>MF1834s1v1</t>
  </si>
  <si>
    <t>Musée des familles</t>
  </si>
  <si>
    <t>MF1835s1v2</t>
  </si>
  <si>
    <t>MF1836s1v3</t>
  </si>
  <si>
    <t>MF1836-1837s1v4</t>
  </si>
  <si>
    <t>1836-1837</t>
  </si>
  <si>
    <t>MF1837-1838s1v5</t>
  </si>
  <si>
    <t>Le Magasin Universel</t>
  </si>
  <si>
    <t>1833-1834</t>
  </si>
  <si>
    <t>LMU1834-1835s1v2</t>
  </si>
  <si>
    <t>1834-1835</t>
  </si>
  <si>
    <t>1835-1836</t>
  </si>
  <si>
    <t>LMU1836-1837s1v4</t>
  </si>
  <si>
    <t>LMU1837-1838s1v5</t>
  </si>
  <si>
    <t>LMU1838-1839s1v6</t>
  </si>
  <si>
    <t>LMU1839-1840s1v7</t>
  </si>
  <si>
    <t>English</t>
  </si>
  <si>
    <t>The Saturday Magazine</t>
  </si>
  <si>
    <t>TSM1833s1v3</t>
  </si>
  <si>
    <t>TSM1834s1v4</t>
  </si>
  <si>
    <t>TSM1834s1v5</t>
  </si>
  <si>
    <t>TSM1835s1v7</t>
  </si>
  <si>
    <t>TSM1836s1v8</t>
  </si>
  <si>
    <t>TSM1836s1v9</t>
  </si>
  <si>
    <t>TSM1837s1v10</t>
  </si>
  <si>
    <t>TSM1837s1v11</t>
  </si>
  <si>
    <t>The Penny Magazine</t>
  </si>
  <si>
    <t>PM1833s1v2</t>
  </si>
  <si>
    <t>PM1834s1v3</t>
  </si>
  <si>
    <t>PM1835s1v4</t>
  </si>
  <si>
    <t>PM1836s1v5</t>
  </si>
  <si>
    <t>PM1837s1v6</t>
  </si>
  <si>
    <t>PM1839s1v8</t>
  </si>
  <si>
    <t>PM1840s1v9</t>
  </si>
  <si>
    <t>RMFE1824s1v1</t>
  </si>
  <si>
    <t>Revue médicale française et étrangère</t>
  </si>
  <si>
    <t>RMFE1824s1v4</t>
  </si>
  <si>
    <t>RMFE1825s1v3</t>
  </si>
  <si>
    <t>RMFE1826s1v3</t>
  </si>
  <si>
    <t>RMFE1826s1v4</t>
  </si>
  <si>
    <t>RMFE1827s1v1</t>
  </si>
  <si>
    <t>RMFE1827s1v2</t>
  </si>
  <si>
    <t>RMFE1827s1v3</t>
  </si>
  <si>
    <t>RMFE1827s1v4</t>
  </si>
  <si>
    <t>RMFE1828s1v1</t>
  </si>
  <si>
    <t>RMFE1828s1v2</t>
  </si>
  <si>
    <t>RMFE1828s1v3</t>
  </si>
  <si>
    <t>RMFE1828s1v4</t>
  </si>
  <si>
    <t>RMFE1829s1v1</t>
  </si>
  <si>
    <t>RMFE1829s1v2</t>
  </si>
  <si>
    <t>RMFE1829s1v3</t>
  </si>
  <si>
    <t>RMFE1830s1v1</t>
  </si>
  <si>
    <t>RMFE1832s1v1</t>
  </si>
  <si>
    <t>RMFE1832s1v2</t>
  </si>
  <si>
    <t>RMFE1832s1v3</t>
  </si>
  <si>
    <t>RMFE1832s1v4</t>
  </si>
  <si>
    <t>RMFE1833s1v1</t>
  </si>
  <si>
    <t>RMFE1833s1v2</t>
  </si>
  <si>
    <t>RMFE1833s1v3</t>
  </si>
  <si>
    <t>RMFE1834s1v1</t>
  </si>
  <si>
    <t>RMFE1835s1v1</t>
  </si>
  <si>
    <t>RMFE1835s1v2</t>
  </si>
  <si>
    <t>RMFE1835s1v3</t>
  </si>
  <si>
    <t>RMFE1835s1v4</t>
  </si>
  <si>
    <t>RMFE1836s1v1</t>
  </si>
  <si>
    <t>RMFE1836s1v2</t>
  </si>
  <si>
    <t>RMFE1836s1v3</t>
  </si>
  <si>
    <t>RMFE1837s1v1</t>
  </si>
  <si>
    <t>RMFE1837s1v2</t>
  </si>
  <si>
    <t>RMFE1837s1v3</t>
  </si>
  <si>
    <t>RMFE1837s1v4</t>
  </si>
  <si>
    <t>RMFE1838s1v1</t>
  </si>
  <si>
    <t>RMFE1838s1v2</t>
  </si>
  <si>
    <t>RMFE1838s1v3</t>
  </si>
  <si>
    <t>RMFE1838s1v4</t>
  </si>
  <si>
    <t>RMFE1839s1v1</t>
  </si>
  <si>
    <t>RMFE1839s1v4</t>
  </si>
  <si>
    <t>RMFE1840s1v1</t>
  </si>
  <si>
    <t>RMFE1840s1v2</t>
  </si>
  <si>
    <t>RMFE1840s1v3</t>
  </si>
  <si>
    <t>RMFE1840s1v4</t>
  </si>
  <si>
    <t>Le magasin pittoresque</t>
  </si>
  <si>
    <t>LMP1834s1v2</t>
  </si>
  <si>
    <t>LMP1835s1v3</t>
  </si>
  <si>
    <t>LMP1836s1v4</t>
  </si>
  <si>
    <t>LMP1837s1v5</t>
  </si>
  <si>
    <t>LMP1838s1v6</t>
  </si>
  <si>
    <t>LMP1839s1v7</t>
  </si>
  <si>
    <t>LMP1840s1v8</t>
  </si>
  <si>
    <t>RAMA1794s1v1</t>
  </si>
  <si>
    <t>The Repertory of Arts, Manufactures, and Agriculture</t>
  </si>
  <si>
    <t>RAMA1795s1v2</t>
  </si>
  <si>
    <t>RAMA1795s1v3</t>
  </si>
  <si>
    <t>RAMA1796s1v4</t>
  </si>
  <si>
    <t>RAMA1796s1v5</t>
  </si>
  <si>
    <t>RAMA1797s1v6</t>
  </si>
  <si>
    <t>RAMA1797s1v7</t>
  </si>
  <si>
    <t>RAMA1798s1v8</t>
  </si>
  <si>
    <t>RAMA1798s1v9</t>
  </si>
  <si>
    <t>RAMA1799s1v10</t>
  </si>
  <si>
    <t>RAMA1799s1v11</t>
  </si>
  <si>
    <t>RAMA1800s1v12</t>
  </si>
  <si>
    <t>RAMA1800s1v13</t>
  </si>
  <si>
    <t>RAMA1801s1v14</t>
  </si>
  <si>
    <t>RAMA1801s1v15</t>
  </si>
  <si>
    <t>RAMA1802s1v16</t>
  </si>
  <si>
    <t>RAMA1802s2v1</t>
  </si>
  <si>
    <t>RAMA1803s2v2</t>
  </si>
  <si>
    <t>RAMA1803s2v3</t>
  </si>
  <si>
    <t>RAMA1804s2v4</t>
  </si>
  <si>
    <t>RAMA1804s2v5</t>
  </si>
  <si>
    <t>RAMA1805s2v6</t>
  </si>
  <si>
    <t>RAMA1805s2v7</t>
  </si>
  <si>
    <t>RAMA1806s2v8</t>
  </si>
  <si>
    <t>RAMA1806s2v9</t>
  </si>
  <si>
    <t>RAMA1807s2v10</t>
  </si>
  <si>
    <t>RAMA1807s2v11</t>
  </si>
  <si>
    <t>RAMA1808s2v12</t>
  </si>
  <si>
    <t>RAMA1808s2v13</t>
  </si>
  <si>
    <t>RAMA1809s2v14</t>
  </si>
  <si>
    <t>RAMA1809s2v15</t>
  </si>
  <si>
    <t>RAMA1810s2v16</t>
  </si>
  <si>
    <t>RAMA1810s2v17</t>
  </si>
  <si>
    <t>RAMA1811s2v18</t>
  </si>
  <si>
    <t>RAMA1811s2v19</t>
  </si>
  <si>
    <t>RAMA1813s2v22</t>
  </si>
  <si>
    <t>RAMA1813s2v23</t>
  </si>
  <si>
    <t>RAMA1814s2v24</t>
  </si>
  <si>
    <t>RAMA1814s2v25</t>
  </si>
  <si>
    <t>RAMA1815s2v26</t>
  </si>
  <si>
    <t>RAMA1816s2v28</t>
  </si>
  <si>
    <t>RAMA1816s2v29</t>
  </si>
  <si>
    <t>RAMA1817s2v30</t>
  </si>
  <si>
    <t>RAMA1817s2v31</t>
  </si>
  <si>
    <t>RAMA1818s2v32</t>
  </si>
  <si>
    <t>RAMA1818s2v33</t>
  </si>
  <si>
    <t>RAMA1819s2v34</t>
  </si>
  <si>
    <t>RAMA1819s2v35</t>
  </si>
  <si>
    <t>RAMA1820s2v36</t>
  </si>
  <si>
    <t>RAMA1820s2v37</t>
  </si>
  <si>
    <t>RAMA1821s2v38</t>
  </si>
  <si>
    <t>RAMA1821s2v39</t>
  </si>
  <si>
    <t>RAMA1822s2v40</t>
  </si>
  <si>
    <t>RAMA1822s2v41</t>
  </si>
  <si>
    <t>RAMA1823s2v42</t>
  </si>
  <si>
    <t>RAMA1823s2v43</t>
  </si>
  <si>
    <t>RAMA1824s2v44</t>
  </si>
  <si>
    <t>RAMA1824s2v45</t>
  </si>
  <si>
    <t>RAMA1825s2v46</t>
  </si>
  <si>
    <t>RPI1825s1v1</t>
  </si>
  <si>
    <t>The Report of Patent Inventions</t>
  </si>
  <si>
    <t>RPI1826s1v2</t>
  </si>
  <si>
    <t>RPI1827s1v3</t>
  </si>
  <si>
    <t>RPI1827s1v4</t>
  </si>
  <si>
    <t>RPI1828s1v5</t>
  </si>
  <si>
    <t>RPI1828s1v6</t>
  </si>
  <si>
    <t>RPI1829s1v7</t>
  </si>
  <si>
    <t>RPI1830s1v8</t>
  </si>
  <si>
    <t>RPI1830s1v9</t>
  </si>
  <si>
    <t>RPI1830s1v10</t>
  </si>
  <si>
    <t>RPI1831s1v11</t>
  </si>
  <si>
    <t>RPI1831s1v12</t>
  </si>
  <si>
    <t>RPI1832s1v13</t>
  </si>
  <si>
    <t>RPI1833s1v14</t>
  </si>
  <si>
    <t>RPI1833s1v15</t>
  </si>
  <si>
    <t>RPI1833s1v16</t>
  </si>
  <si>
    <t>RPI1834s2v1</t>
  </si>
  <si>
    <t>RPI1834s2v2</t>
  </si>
  <si>
    <t>RPI1835s2v3</t>
  </si>
  <si>
    <t>RPI1835s2v4</t>
  </si>
  <si>
    <t>RPI1836s2v5</t>
  </si>
  <si>
    <t>RPI1836s2v6</t>
  </si>
  <si>
    <t>RPI1837s2v7</t>
  </si>
  <si>
    <t>RPI1838s2v8</t>
  </si>
  <si>
    <t>RPI1838s2v9</t>
  </si>
  <si>
    <t>RPI1838s2v10</t>
  </si>
  <si>
    <t>RPI1839s2v11</t>
  </si>
  <si>
    <t>RPI1839s2v12</t>
  </si>
  <si>
    <t>RPI1840s2v13</t>
  </si>
  <si>
    <t>RPI1840s2v14</t>
  </si>
  <si>
    <t>TGK1832-1833s1v1</t>
  </si>
  <si>
    <t>The Guide to Knowledge</t>
  </si>
  <si>
    <t>1832-1833</t>
  </si>
  <si>
    <t>1-2</t>
  </si>
  <si>
    <t>TGK1835s1v3</t>
  </si>
  <si>
    <t>TGK1836s1v4</t>
  </si>
  <si>
    <t>TGK1837s2v1</t>
  </si>
  <si>
    <t>TAF1821s1v1</t>
  </si>
  <si>
    <t>The American Farmer</t>
  </si>
  <si>
    <t>TAF1821s1v2</t>
  </si>
  <si>
    <t>TAF1822s1v3</t>
  </si>
  <si>
    <t>TAF1823s1v4</t>
  </si>
  <si>
    <t>TAF1823s1v5</t>
  </si>
  <si>
    <t>TAF1824s1v6</t>
  </si>
  <si>
    <t>TAF1825s1v7</t>
  </si>
  <si>
    <t>TAF1826s1v8</t>
  </si>
  <si>
    <t>TAF1827s1v9</t>
  </si>
  <si>
    <t>TAF1828s1v10</t>
  </si>
  <si>
    <t>TAF1830s1v12</t>
  </si>
  <si>
    <t>TAF1834s1v15</t>
  </si>
  <si>
    <t>SARRA1828s1v1</t>
  </si>
  <si>
    <t>The Southern Agriculturist and Register of Rural Affairs</t>
  </si>
  <si>
    <t>SARRA1829s1v2</t>
  </si>
  <si>
    <t>SARRA1830s1v3</t>
  </si>
  <si>
    <t>SARRA1831s1v4</t>
  </si>
  <si>
    <t>SARRA1834s1v7</t>
  </si>
  <si>
    <t>SARRA1835s1v8</t>
  </si>
  <si>
    <t>SARRA1838s1v11</t>
  </si>
  <si>
    <t>SARRA1839s1v12</t>
  </si>
  <si>
    <t>ASAL1818s1v1</t>
  </si>
  <si>
    <t>Portuguese</t>
  </si>
  <si>
    <t>Annaes das sciencias, das artes, e das letras</t>
  </si>
  <si>
    <t>ASAL1818s1v2</t>
  </si>
  <si>
    <t>ASAL1819s1v6</t>
  </si>
  <si>
    <t>ASAL1820s1v7</t>
  </si>
  <si>
    <t>ASAL1820s1v8</t>
  </si>
  <si>
    <t>ASAL1820s1v10</t>
  </si>
  <si>
    <t>ASAL1821s1v11</t>
  </si>
  <si>
    <t>ASAL1821s1v12</t>
  </si>
  <si>
    <t>ASAL1821s1v13</t>
  </si>
  <si>
    <t>ASAL1822s1v15</t>
  </si>
  <si>
    <t>Armazem de Conhecimentos Uteis</t>
  </si>
  <si>
    <t>AP1837s1v1</t>
  </si>
  <si>
    <t>O Archivo Popular</t>
  </si>
  <si>
    <t>AP1838s1v2</t>
  </si>
  <si>
    <t>AP1839s1v3</t>
  </si>
  <si>
    <t>AP1840s1v4</t>
  </si>
  <si>
    <t>OR1835s1v1</t>
  </si>
  <si>
    <t>O Recreio</t>
  </si>
  <si>
    <t>OR1837s1v3</t>
  </si>
  <si>
    <t>OR1838s1v4</t>
  </si>
  <si>
    <t>OR1839s1v5</t>
  </si>
  <si>
    <t>OR1840s1v6</t>
  </si>
  <si>
    <t>O Museu Portuense</t>
  </si>
  <si>
    <t>BFR1835s1v2</t>
  </si>
  <si>
    <t>Bibliotheca Familiar e Recreativa</t>
  </si>
  <si>
    <t>BFR1836s1v3</t>
  </si>
  <si>
    <t>BFR1836s1v4</t>
  </si>
  <si>
    <t>Memorias Economicas da Academia Real das Sciencias de Lisboa Academia Real das Sciencias</t>
  </si>
  <si>
    <t>MEARSL1791s1v3</t>
  </si>
  <si>
    <t>Annaes da Sociedade Promotora da Indústria Nacional</t>
  </si>
  <si>
    <t>ASPIN1826s1v2</t>
  </si>
  <si>
    <t>ASPIN1827s1v3</t>
  </si>
  <si>
    <t>ASPIN1835s1v4</t>
  </si>
  <si>
    <t>RE1838s2v1</t>
  </si>
  <si>
    <t>BGTM1831s1v1</t>
  </si>
  <si>
    <t>Bulletin général de thérapeutique médicale, chirurgicale, obstétricale et pharmaceutique</t>
  </si>
  <si>
    <t>BGTM1832s1v2</t>
  </si>
  <si>
    <t>BGTM1832s1v3</t>
  </si>
  <si>
    <t>BGTM1833s1v5</t>
  </si>
  <si>
    <t>BGTM1836s1v10</t>
  </si>
  <si>
    <t>BGTM1837s1v12</t>
  </si>
  <si>
    <t>BGTM1838s1v14</t>
  </si>
  <si>
    <t>BGTM1838s1v15</t>
  </si>
  <si>
    <t>BGTM1839s1v16</t>
  </si>
  <si>
    <t>BGTM1839s1v17</t>
  </si>
  <si>
    <t>BGTM1840s1v18</t>
  </si>
  <si>
    <t>BGTM1840s1v19</t>
  </si>
  <si>
    <t>La Mosaïque</t>
  </si>
  <si>
    <t>LM1834s1v2</t>
  </si>
  <si>
    <t>LM1835-1836s1v3</t>
  </si>
  <si>
    <t>LM1839s2v1</t>
  </si>
  <si>
    <t>Journal des connaissances usuelles et pratiques</t>
  </si>
  <si>
    <t>JCUP1827s1v6</t>
  </si>
  <si>
    <t>JCUP1830s1v1</t>
  </si>
  <si>
    <t>JCUP1830s1v2</t>
  </si>
  <si>
    <t>JCUP1830s1v3</t>
  </si>
  <si>
    <t>JCUP1830s1v5</t>
  </si>
  <si>
    <t>JCUP1831s1v7</t>
  </si>
  <si>
    <t>JCUP1831s1v8</t>
  </si>
  <si>
    <t>JCUP1831s1v10</t>
  </si>
  <si>
    <t>JCUP1832s1v2</t>
  </si>
  <si>
    <t>JCUP1832s1v3</t>
  </si>
  <si>
    <t>JCUP1832s1v6</t>
  </si>
  <si>
    <t>JCUP1832s1v7</t>
  </si>
  <si>
    <t>JCUP1832s1v8</t>
  </si>
  <si>
    <t>Journal des connaissances utiles</t>
  </si>
  <si>
    <t>JCU1836s2v1</t>
  </si>
  <si>
    <t>JCU1838s2v8</t>
  </si>
  <si>
    <t>Journal Belge des connaissances utiles</t>
  </si>
  <si>
    <t>1831-1832</t>
  </si>
  <si>
    <t>JMSAN1825s1v1</t>
  </si>
  <si>
    <t>Journal de la Section de Medecine de la Societé Academique de Nantes</t>
  </si>
  <si>
    <t>JMSAN1826s1v2</t>
  </si>
  <si>
    <t>JMSAN1827s1v3</t>
  </si>
  <si>
    <t>JMSAN1828s1v4</t>
  </si>
  <si>
    <t>JMSAN1829s1v5</t>
  </si>
  <si>
    <t>JMSAN1833s1v9</t>
  </si>
  <si>
    <t>JMSAN1834s1v10</t>
  </si>
  <si>
    <t>JMSAN1835s1v11</t>
  </si>
  <si>
    <t>JMSAN1836s1v12</t>
  </si>
  <si>
    <t>JMSAN1837s1v13</t>
  </si>
  <si>
    <t>JMSAN1839s1v15</t>
  </si>
  <si>
    <t>JMSAN1840s1v16</t>
  </si>
  <si>
    <t>Journal médical de la Gironde</t>
  </si>
  <si>
    <t>JMG1824s1v2</t>
  </si>
  <si>
    <t>JMG1826s1v5</t>
  </si>
  <si>
    <t>JMG1826s1v6</t>
  </si>
  <si>
    <t>JAP1838-1839s1v2</t>
  </si>
  <si>
    <t>AIFE1828s1v1</t>
  </si>
  <si>
    <t>Annales de l’industrie française et étrangère</t>
  </si>
  <si>
    <t>AIFE1828s1v2</t>
  </si>
  <si>
    <t>AIFE1829s1v4</t>
  </si>
  <si>
    <t>AIFE1830s1v5</t>
  </si>
  <si>
    <t>AIFE1830s1v6</t>
  </si>
  <si>
    <t>ADIN1809s1v1</t>
  </si>
  <si>
    <t>Archives des découvertes et des inventions nouvelles faites dans les sciences</t>
  </si>
  <si>
    <t>ADIN1810s1v2</t>
  </si>
  <si>
    <t>ADIN1811s1v3</t>
  </si>
  <si>
    <t>ADIN1812s1v4</t>
  </si>
  <si>
    <t>ADIN1813s1v5</t>
  </si>
  <si>
    <t>ADIN1814s1v6</t>
  </si>
  <si>
    <t>ADIN1815s1v7</t>
  </si>
  <si>
    <t>ADIN1816s1v8</t>
  </si>
  <si>
    <t>ADIN1817s1v9</t>
  </si>
  <si>
    <t>ADIN1818s1v10</t>
  </si>
  <si>
    <t>ADIN1819s1v11</t>
  </si>
  <si>
    <t>ADIN1820s1v12</t>
  </si>
  <si>
    <t>ADIN1821s1v13</t>
  </si>
  <si>
    <t>ADIN1822s1v14</t>
  </si>
  <si>
    <t>ADIN1823s1v15</t>
  </si>
  <si>
    <t>ADIN1824s1v16</t>
  </si>
  <si>
    <t>ADIN1825s1v17</t>
  </si>
  <si>
    <t>ADIN1826s1v18</t>
  </si>
  <si>
    <t>ADIN1827s1v19</t>
  </si>
  <si>
    <t>ADIN1828s1v20</t>
  </si>
  <si>
    <t>ADIN1829s1v21</t>
  </si>
  <si>
    <t>ADIN1830s1v22</t>
  </si>
  <si>
    <t>Moniteur de la propriété et de l'agriculture</t>
  </si>
  <si>
    <t>MPA1838s1v2</t>
  </si>
  <si>
    <t>MPA1839s1v3</t>
  </si>
  <si>
    <t>MPA1840s1v4</t>
  </si>
  <si>
    <t>BSAE1824s1v1</t>
  </si>
  <si>
    <t>Bulletin des sciences agricoles et economiques</t>
  </si>
  <si>
    <t>BSAE1824s1v2</t>
  </si>
  <si>
    <t>BSAE1825s1v3</t>
  </si>
  <si>
    <t>BSAE1825s1v4</t>
  </si>
  <si>
    <t>BSAE1826s1v5</t>
  </si>
  <si>
    <t>BSAE1827s1v8</t>
  </si>
  <si>
    <t>BSAE1828s1v9</t>
  </si>
  <si>
    <t>BSAE1828s1v10</t>
  </si>
  <si>
    <t>BSAE1829s1v13</t>
  </si>
  <si>
    <t>BSAE1830s1v14</t>
  </si>
  <si>
    <t>BSAE1830s1v15</t>
  </si>
  <si>
    <t>BSAE1830s1v16</t>
  </si>
  <si>
    <t>BSAE1831s1v17</t>
  </si>
  <si>
    <t>BSAE1831s1v18</t>
  </si>
  <si>
    <t>BSAE1831s1v19</t>
  </si>
  <si>
    <t>La France industrielle</t>
  </si>
  <si>
    <t>FI1838s1v5</t>
  </si>
  <si>
    <t>FI1839s1v5-6</t>
  </si>
  <si>
    <t>5-6</t>
  </si>
  <si>
    <t>Revue scientifique et industrielle</t>
  </si>
  <si>
    <t>RSI1840s1v3</t>
  </si>
  <si>
    <t>LMG1828s1v1</t>
  </si>
  <si>
    <t>LMG1828s1v2</t>
  </si>
  <si>
    <t>LMG1829s1v3</t>
  </si>
  <si>
    <t>LMG1829s1v4</t>
  </si>
  <si>
    <t>LMG1830s1v5</t>
  </si>
  <si>
    <t>LMG1830s1v6</t>
  </si>
  <si>
    <t>LMG1831s1v7</t>
  </si>
  <si>
    <t>LMG1831s1v8</t>
  </si>
  <si>
    <t>LMG1832s1v9</t>
  </si>
  <si>
    <t>LMG1832s1v10</t>
  </si>
  <si>
    <t>LMG1833s1v11</t>
  </si>
  <si>
    <t>LMG1833s1v12</t>
  </si>
  <si>
    <t>LMG1834s1v13</t>
  </si>
  <si>
    <t>LMG1834s1v14</t>
  </si>
  <si>
    <t>LMG1835s1v15</t>
  </si>
  <si>
    <t>LMG1835s1v16</t>
  </si>
  <si>
    <t>LMG1837s1v19</t>
  </si>
  <si>
    <t>LMG1837s1v20</t>
  </si>
  <si>
    <t>LMG1838s1v21</t>
  </si>
  <si>
    <t>LMG1838s1v22</t>
  </si>
  <si>
    <t>LMG1839s1v23</t>
  </si>
  <si>
    <t>LMG1839s1v24</t>
  </si>
  <si>
    <t>LMG1840s1v25</t>
  </si>
  <si>
    <t>LMG1840s1v26</t>
  </si>
  <si>
    <t>ESM1833s1v1-4</t>
  </si>
  <si>
    <t>Encyclographie des sciences médicales</t>
  </si>
  <si>
    <t>1-4</t>
  </si>
  <si>
    <t>ESM1833s1v6-8</t>
  </si>
  <si>
    <t>6-8</t>
  </si>
  <si>
    <t>ESM1833s1v9-15</t>
  </si>
  <si>
    <t>9-15</t>
  </si>
  <si>
    <t>ESM1833s1v11-13</t>
  </si>
  <si>
    <t>11-13</t>
  </si>
  <si>
    <t>ESM1834s1v3</t>
  </si>
  <si>
    <t>ESM1834s1v4</t>
  </si>
  <si>
    <t>ESM1834s1v5-6</t>
  </si>
  <si>
    <t>20-22</t>
  </si>
  <si>
    <t>23-25</t>
  </si>
  <si>
    <t>26-28</t>
  </si>
  <si>
    <t>ESM1835s1v7-8</t>
  </si>
  <si>
    <t>7-8</t>
  </si>
  <si>
    <t>29-31</t>
  </si>
  <si>
    <t>ESM1835s1v32-34</t>
  </si>
  <si>
    <t>32-34</t>
  </si>
  <si>
    <t>35-37</t>
  </si>
  <si>
    <t>ESM1835s1v38-40</t>
  </si>
  <si>
    <t>38-40</t>
  </si>
  <si>
    <t>ESM1836s2v1-3</t>
  </si>
  <si>
    <t>1-3</t>
  </si>
  <si>
    <t>4-6</t>
  </si>
  <si>
    <t>ESM1836s2v7-9</t>
  </si>
  <si>
    <t>7-9</t>
  </si>
  <si>
    <t>ESM1836s2v10-12</t>
  </si>
  <si>
    <t>10-12</t>
  </si>
  <si>
    <t>ESM1837s2v13-15</t>
  </si>
  <si>
    <t>13-15</t>
  </si>
  <si>
    <t>ESM1837s2v16-18</t>
  </si>
  <si>
    <t>16-18</t>
  </si>
  <si>
    <t>ESM1837s2v19-21</t>
  </si>
  <si>
    <t>19-21</t>
  </si>
  <si>
    <t>ESM1837s2v22-24</t>
  </si>
  <si>
    <t>22-24</t>
  </si>
  <si>
    <t>ESM1838s2v25-27</t>
  </si>
  <si>
    <t>25-27</t>
  </si>
  <si>
    <t>ESM1838s2v28-30</t>
  </si>
  <si>
    <t>28-30</t>
  </si>
  <si>
    <t>ESM1838s2v31-33</t>
  </si>
  <si>
    <t>31-33</t>
  </si>
  <si>
    <t>ESM1838s2v33-36</t>
  </si>
  <si>
    <t>33-36</t>
  </si>
  <si>
    <t>ESM1839s3v7-9</t>
  </si>
  <si>
    <t>ESM1839s3v10-12</t>
  </si>
  <si>
    <t>ESM1840s4v13-15</t>
  </si>
  <si>
    <t>ESM1840s4v16-18</t>
  </si>
  <si>
    <t>ESM1840s4v19-21</t>
  </si>
  <si>
    <t>ESM1840s4v22-24</t>
  </si>
  <si>
    <t>IPI1811s1v1</t>
  </si>
  <si>
    <t>O Investigador Portuguez em Inglaterra</t>
  </si>
  <si>
    <t>IPI1811s1v2</t>
  </si>
  <si>
    <t>IPI1812s1v5</t>
  </si>
  <si>
    <t>IPI1812s1v6</t>
  </si>
  <si>
    <t>IPI1813s1v7</t>
  </si>
  <si>
    <t>IPI1813s1v8</t>
  </si>
  <si>
    <t>IPI1814s1v9</t>
  </si>
  <si>
    <t>IPI1814s1v10</t>
  </si>
  <si>
    <t>IPI1814s1v11</t>
  </si>
  <si>
    <t>IPI1815s1v13</t>
  </si>
  <si>
    <t>IPI1815s1v14</t>
  </si>
  <si>
    <t>IPI1816s1v15</t>
  </si>
  <si>
    <t>IPI1816s1v16</t>
  </si>
  <si>
    <t>IPI1816s1v17</t>
  </si>
  <si>
    <t>IPI1817s1v18</t>
  </si>
  <si>
    <t>IPI1817s1v19</t>
  </si>
  <si>
    <t>IPI1817s1v20</t>
  </si>
  <si>
    <t>IPI1818s1v21</t>
  </si>
  <si>
    <t>IPI1818s1v22</t>
  </si>
  <si>
    <t>IPI1818s1v23</t>
  </si>
  <si>
    <t>TL1824s1v1</t>
  </si>
  <si>
    <t>TL1824s1v2</t>
  </si>
  <si>
    <t>TL1824s1v3</t>
  </si>
  <si>
    <t>TL1824s1v4</t>
  </si>
  <si>
    <t>TL1825s1v6</t>
  </si>
  <si>
    <t>TL1825s1v7</t>
  </si>
  <si>
    <t>TL1825s1v8</t>
  </si>
  <si>
    <t>TL1826s1v9</t>
  </si>
  <si>
    <t>TL1827s1v11</t>
  </si>
  <si>
    <t>TL1827s1v12</t>
  </si>
  <si>
    <t>TL1828s1v1</t>
  </si>
  <si>
    <t>TL1828s1v2</t>
  </si>
  <si>
    <t>TL1829s1v1</t>
  </si>
  <si>
    <t>TL1829s1v2</t>
  </si>
  <si>
    <t>TL1830s1v1</t>
  </si>
  <si>
    <t>TL1830s1v2</t>
  </si>
  <si>
    <t>TL1831s1v1</t>
  </si>
  <si>
    <t>TL1831s1v2</t>
  </si>
  <si>
    <t>TL1832s1v1</t>
  </si>
  <si>
    <t>TL1832s1v2</t>
  </si>
  <si>
    <t>TL1833s1v1</t>
  </si>
  <si>
    <t>TL1833s1v2</t>
  </si>
  <si>
    <t>TL1834s1v1</t>
  </si>
  <si>
    <t>TL1834s1v2</t>
  </si>
  <si>
    <t>TL1835s1v1</t>
  </si>
  <si>
    <t>TL1836s1v1</t>
  </si>
  <si>
    <t>TL1836s1v2</t>
  </si>
  <si>
    <t>TL1837s1v1</t>
  </si>
  <si>
    <t>TL1837s1v2</t>
  </si>
  <si>
    <t>TL1838s1v1</t>
  </si>
  <si>
    <t>TL1838s1v2</t>
  </si>
  <si>
    <t>TL1839s1v1</t>
  </si>
  <si>
    <t>TL1839s1v2</t>
  </si>
  <si>
    <t>TL1840s1v1</t>
  </si>
  <si>
    <t>TL1840s1v2</t>
  </si>
  <si>
    <t>RBP1825s1v3</t>
  </si>
  <si>
    <t>Revue britannique (Paris)</t>
  </si>
  <si>
    <t>RBP1826s1v4</t>
  </si>
  <si>
    <t>RBP1827s1v13</t>
  </si>
  <si>
    <t>RBP1828s1v20</t>
  </si>
  <si>
    <t>RBP1828s1v21</t>
  </si>
  <si>
    <t>RBP1829s1v22</t>
  </si>
  <si>
    <t>RBP1829s1v27</t>
  </si>
  <si>
    <t>RBP1830s2v1</t>
  </si>
  <si>
    <t>RBP1830s2v2</t>
  </si>
  <si>
    <t>RBP1830s2v3</t>
  </si>
  <si>
    <t>RBP1831s2v4</t>
  </si>
  <si>
    <t>RBP1831s2v5</t>
  </si>
  <si>
    <t>RBP1831s2v6</t>
  </si>
  <si>
    <t>RBP1831s2v7</t>
  </si>
  <si>
    <t>RBP1831s2v8</t>
  </si>
  <si>
    <t>RBP1831s2v9</t>
  </si>
  <si>
    <t>RBP1832s2v11</t>
  </si>
  <si>
    <t>RBP1832s2v12</t>
  </si>
  <si>
    <t>RBP1833s3v3</t>
  </si>
  <si>
    <t>RBP1833s3v4</t>
  </si>
  <si>
    <t>RBP1833s3v5</t>
  </si>
  <si>
    <t>RBP1833s3v6</t>
  </si>
  <si>
    <t>RBP1834s3v7</t>
  </si>
  <si>
    <t>RBP1834s3v8</t>
  </si>
  <si>
    <t>RBP1834s3v12</t>
  </si>
  <si>
    <t>RBP1835s3v13</t>
  </si>
  <si>
    <t>RBP1835s3v14</t>
  </si>
  <si>
    <t>RBP1835s3v15</t>
  </si>
  <si>
    <t>RBP1835s3v16</t>
  </si>
  <si>
    <t>RBP1835s3v17</t>
  </si>
  <si>
    <t>RBP1835s3v18</t>
  </si>
  <si>
    <t>RBP1836s4v2</t>
  </si>
  <si>
    <t>RBP1836s4v3</t>
  </si>
  <si>
    <t>RBP1836s4v4</t>
  </si>
  <si>
    <t>RBP1836s4v5</t>
  </si>
  <si>
    <t>RBP1836s4v6</t>
  </si>
  <si>
    <t>RBP1837s4v7</t>
  </si>
  <si>
    <t>RBP1837s4v8</t>
  </si>
  <si>
    <t>RBP1837s4v9</t>
  </si>
  <si>
    <t>RBP1837s4v11</t>
  </si>
  <si>
    <t>RBP1838s4v13</t>
  </si>
  <si>
    <t>RBP1838s4v15</t>
  </si>
  <si>
    <t>RBP1838s4v17</t>
  </si>
  <si>
    <t>RBP1838s4v18</t>
  </si>
  <si>
    <t>RBP1839s4v19</t>
  </si>
  <si>
    <t>RBP1839s4v20</t>
  </si>
  <si>
    <t>RBP1839s4v21</t>
  </si>
  <si>
    <t>RBP1839s4v22</t>
  </si>
  <si>
    <t>RBP1839s4v23</t>
  </si>
  <si>
    <t>RBP1839s4v24</t>
  </si>
  <si>
    <t>RBP1840s4v25</t>
  </si>
  <si>
    <t>RBP1840s4v26</t>
  </si>
  <si>
    <t>RBP1840s4v27</t>
  </si>
  <si>
    <t>RBP1840s4v28</t>
  </si>
  <si>
    <t>RBP1840s4v29</t>
  </si>
  <si>
    <t>RBP1840s4v30</t>
  </si>
  <si>
    <t>Revue britannique (Bruxelles)</t>
  </si>
  <si>
    <t>RBB1826s1v2</t>
  </si>
  <si>
    <t>RBB1827s1v1</t>
  </si>
  <si>
    <t>RBB1827s1v2</t>
  </si>
  <si>
    <t>RBB1828s1v1</t>
  </si>
  <si>
    <t>RBB1828s1v2</t>
  </si>
  <si>
    <t>RBB1829s1v1</t>
  </si>
  <si>
    <t>RBB1829s1v2</t>
  </si>
  <si>
    <t>RBB1830s2v1</t>
  </si>
  <si>
    <t>RBB1831s2v4</t>
  </si>
  <si>
    <t>RBB1832s2v5</t>
  </si>
  <si>
    <t>RBB1833s3v1</t>
  </si>
  <si>
    <t>RBB1834s3v2</t>
  </si>
  <si>
    <t>RBB1836s4v1</t>
  </si>
  <si>
    <t>RBB1837s4v2</t>
  </si>
  <si>
    <t>RBB1838s4v1</t>
  </si>
  <si>
    <t>RBB1838s4v2</t>
  </si>
  <si>
    <t>RBB1839s1v1</t>
  </si>
  <si>
    <t>RBB1839s1v2</t>
  </si>
  <si>
    <t>ANU1817s1v1</t>
  </si>
  <si>
    <t>Annali universali di medicina</t>
  </si>
  <si>
    <t>ANU1817s1v2</t>
  </si>
  <si>
    <t>ANU1817s1v3</t>
  </si>
  <si>
    <t>ANU1817s1v4</t>
  </si>
  <si>
    <t>ANU1818s1v5</t>
  </si>
  <si>
    <t>ANU1818s1v6</t>
  </si>
  <si>
    <t>ANU1818s1v7</t>
  </si>
  <si>
    <t>ANU1818s1v8</t>
  </si>
  <si>
    <t>ANU1819s1v9</t>
  </si>
  <si>
    <t>ANU1819s1v10</t>
  </si>
  <si>
    <t>ANU1819s1v11</t>
  </si>
  <si>
    <t>ANU1819s1v12</t>
  </si>
  <si>
    <t>ANU1820s1v13</t>
  </si>
  <si>
    <t>ANU1820s1v14</t>
  </si>
  <si>
    <t>ANU1820s1v15</t>
  </si>
  <si>
    <t>ANU1820s1v16</t>
  </si>
  <si>
    <t>ANU1821s1v17</t>
  </si>
  <si>
    <t>ANU1821s1v18</t>
  </si>
  <si>
    <t>ANU1821s1v19</t>
  </si>
  <si>
    <t>ANU1821s1v20</t>
  </si>
  <si>
    <t>ANU1822s1v21</t>
  </si>
  <si>
    <t>ANU1822s1v22</t>
  </si>
  <si>
    <t>ANU1822s1v23</t>
  </si>
  <si>
    <t>ANU1822s1v24</t>
  </si>
  <si>
    <t>ANU1823s1v25</t>
  </si>
  <si>
    <t>ANU1823s1v26</t>
  </si>
  <si>
    <t>ANU1823s1v27</t>
  </si>
  <si>
    <t>ANU1823s1v28</t>
  </si>
  <si>
    <t>ANU1824s1v30</t>
  </si>
  <si>
    <t>ANU1824s1v31</t>
  </si>
  <si>
    <t>ANU1824s1v32</t>
  </si>
  <si>
    <t>ANU1825s1v33</t>
  </si>
  <si>
    <t>ANU1825s1v34</t>
  </si>
  <si>
    <t>ANU1825s1v35</t>
  </si>
  <si>
    <t>ANU1825s1v36</t>
  </si>
  <si>
    <t>ANU1826s1v37</t>
  </si>
  <si>
    <t>ANU1826s1v38</t>
  </si>
  <si>
    <t>ANU1826s1v39</t>
  </si>
  <si>
    <t>ANU1826s1v40</t>
  </si>
  <si>
    <t>ANU1827s1v41</t>
  </si>
  <si>
    <t>ANU1827s1v42</t>
  </si>
  <si>
    <t>ANU1827s1v43</t>
  </si>
  <si>
    <t>ANU1827s1v44</t>
  </si>
  <si>
    <t>ANU1828s1v45</t>
  </si>
  <si>
    <t>ANU1828s1v46</t>
  </si>
  <si>
    <t>ANU1828s1v47</t>
  </si>
  <si>
    <t>ANU1828s1v48</t>
  </si>
  <si>
    <t>ANU1829s1v49</t>
  </si>
  <si>
    <t>ANU1829s1v50</t>
  </si>
  <si>
    <t>ANU1829s1v51</t>
  </si>
  <si>
    <t>ANU1830s1v53</t>
  </si>
  <si>
    <t>ANU1830s1v54</t>
  </si>
  <si>
    <t>ANU1830s1v55</t>
  </si>
  <si>
    <t>ANU1830s1v56</t>
  </si>
  <si>
    <t>ANU1831s1v57</t>
  </si>
  <si>
    <t>ANU1831s1v59</t>
  </si>
  <si>
    <t>ANU1831s1v60</t>
  </si>
  <si>
    <t>ANU1832s1v62</t>
  </si>
  <si>
    <t>ANU1832s1v63</t>
  </si>
  <si>
    <t>ANU1832s1v64</t>
  </si>
  <si>
    <t>ANU1833s1v65</t>
  </si>
  <si>
    <t>ANU1833s1v66</t>
  </si>
  <si>
    <t>ANU1833s1v67</t>
  </si>
  <si>
    <t>ANU1833s1v68</t>
  </si>
  <si>
    <t>ANU1834s1v69</t>
  </si>
  <si>
    <t>ANU1834s1v70</t>
  </si>
  <si>
    <t>ANU1834s1v71</t>
  </si>
  <si>
    <t>ANU1834s1v72</t>
  </si>
  <si>
    <t>ANU1835s1v73</t>
  </si>
  <si>
    <t>ANU1835s1v74</t>
  </si>
  <si>
    <t>ANU1835s1v75</t>
  </si>
  <si>
    <t>ANU1835s1v76</t>
  </si>
  <si>
    <t>ANU1836s1v77</t>
  </si>
  <si>
    <t>ANU1836s1v78</t>
  </si>
  <si>
    <t>ANU1836s1v79</t>
  </si>
  <si>
    <t>ANU1836s1v80</t>
  </si>
  <si>
    <t>ANU1837s1v81</t>
  </si>
  <si>
    <t>ANU1837s1v82</t>
  </si>
  <si>
    <t>ANU1837s1v83</t>
  </si>
  <si>
    <t>ANU1837s1v84</t>
  </si>
  <si>
    <t>ANU1838s1v85</t>
  </si>
  <si>
    <t>ANU1838s1v86</t>
  </si>
  <si>
    <t>ANU1838s1v87</t>
  </si>
  <si>
    <t>ANU1838s1v88</t>
  </si>
  <si>
    <t>ANU1839s1v89</t>
  </si>
  <si>
    <t>ANU1839s1v90</t>
  </si>
  <si>
    <t>ANU1839s1v91</t>
  </si>
  <si>
    <t>ANU1839s1v92</t>
  </si>
  <si>
    <t>ANU1840s1v93</t>
  </si>
  <si>
    <t>ANU1840s1v94</t>
  </si>
  <si>
    <t>ANU1840s1v95</t>
  </si>
  <si>
    <t>ANU1840s1v96</t>
  </si>
  <si>
    <t>OM1839s1v1-3</t>
  </si>
  <si>
    <t>O Mosaico</t>
  </si>
  <si>
    <t>RDM1831s1v1</t>
  </si>
  <si>
    <t>Revue des deux mondes</t>
  </si>
  <si>
    <t>RDM1831s1v2</t>
  </si>
  <si>
    <t>RDM1831s1v3</t>
  </si>
  <si>
    <t>RDM1831s1v4</t>
  </si>
  <si>
    <t>RDM1832s1v5</t>
  </si>
  <si>
    <t>RDM1832s1v6</t>
  </si>
  <si>
    <t>RDM1832s1v7</t>
  </si>
  <si>
    <t>RDM1832s1v8</t>
  </si>
  <si>
    <t>RDM1833s2v1</t>
  </si>
  <si>
    <t>RDM1833s2v2</t>
  </si>
  <si>
    <t>RDM1833s2v3</t>
  </si>
  <si>
    <t>RDM1833s2v4</t>
  </si>
  <si>
    <t>RDM1834s3v1</t>
  </si>
  <si>
    <t>RDM1834s3v2</t>
  </si>
  <si>
    <t>RDM1834s3v3</t>
  </si>
  <si>
    <t>RDM1834s3v4</t>
  </si>
  <si>
    <t>RDM1835s4v1</t>
  </si>
  <si>
    <t>RDM1835s4v2</t>
  </si>
  <si>
    <t>RDM1835s4v3</t>
  </si>
  <si>
    <t>RDM1835s4v4</t>
  </si>
  <si>
    <t>RDM1836s4v5</t>
  </si>
  <si>
    <t>RDM1836s4v7</t>
  </si>
  <si>
    <t>RDM1836s4v8</t>
  </si>
  <si>
    <t>RDM1837s4v9</t>
  </si>
  <si>
    <t>RDM1837s4v10</t>
  </si>
  <si>
    <t>RDM1837s4v11</t>
  </si>
  <si>
    <t>RDM1837s4v12</t>
  </si>
  <si>
    <t>RDM1838s4v13</t>
  </si>
  <si>
    <t>RDM1838s4v14</t>
  </si>
  <si>
    <t>RDM1838s4v15</t>
  </si>
  <si>
    <t>RDM1838s4v16</t>
  </si>
  <si>
    <t>RDM1839s4v17</t>
  </si>
  <si>
    <t>RDM1839s4v18</t>
  </si>
  <si>
    <t>RDM1839s4v19</t>
  </si>
  <si>
    <t>RDM1839s4v20</t>
  </si>
  <si>
    <t>RDM1840s4v21</t>
  </si>
  <si>
    <t>RDM1840s4v22</t>
  </si>
  <si>
    <t>RDM1840s4v23</t>
  </si>
  <si>
    <t>RDM1840s4v24</t>
  </si>
  <si>
    <t>MM1823s1v1</t>
  </si>
  <si>
    <t>Mechanic's Magazine</t>
  </si>
  <si>
    <t>MM1824s1v2</t>
  </si>
  <si>
    <t>MM1825s1v3</t>
  </si>
  <si>
    <t>MM1825s1v4</t>
  </si>
  <si>
    <t>MM1826s1v5</t>
  </si>
  <si>
    <t>MM1827s1v6</t>
  </si>
  <si>
    <t>MM1827s1v7</t>
  </si>
  <si>
    <t>MM1828s1v8</t>
  </si>
  <si>
    <t>MM1828s1v9</t>
  </si>
  <si>
    <t>MM1829s1v10</t>
  </si>
  <si>
    <t>MM1829s1v11</t>
  </si>
  <si>
    <t>MM1830s1v12</t>
  </si>
  <si>
    <t>MM1830s1v13</t>
  </si>
  <si>
    <t>MM1831s1v14</t>
  </si>
  <si>
    <t>MM1831s1v15</t>
  </si>
  <si>
    <t>MM1832s1v16</t>
  </si>
  <si>
    <t>MM1832s1v17</t>
  </si>
  <si>
    <t>MM1833s1v18</t>
  </si>
  <si>
    <t>MM1833s1v19</t>
  </si>
  <si>
    <t>MM1834s1v20</t>
  </si>
  <si>
    <t>MM1834s1v21</t>
  </si>
  <si>
    <t>MM1835s1v22</t>
  </si>
  <si>
    <t>MM1835s1v23</t>
  </si>
  <si>
    <t>MM1836s1v24</t>
  </si>
  <si>
    <t>MM1836s1v25</t>
  </si>
  <si>
    <t>MM1837s1v26</t>
  </si>
  <si>
    <t>MM1837s1v27</t>
  </si>
  <si>
    <t>MM1838s1v28</t>
  </si>
  <si>
    <t>MM1838s1v29</t>
  </si>
  <si>
    <t>MM1839s1v30</t>
  </si>
  <si>
    <t>MM1839s1v31</t>
  </si>
  <si>
    <t>MM1840s1v32</t>
  </si>
  <si>
    <t>MM1840s1v33</t>
  </si>
  <si>
    <t>TER1803s1v1</t>
  </si>
  <si>
    <t>The Edinburgh Review</t>
  </si>
  <si>
    <t>TER1803s1v2</t>
  </si>
  <si>
    <t>TER1804s1v3</t>
  </si>
  <si>
    <t>TER1804s1v4</t>
  </si>
  <si>
    <t>TER1805s1v5</t>
  </si>
  <si>
    <t>TER1805s1v6</t>
  </si>
  <si>
    <t>TER1806s1v7</t>
  </si>
  <si>
    <t>TER1806s1v8</t>
  </si>
  <si>
    <t>TER1807s1v9</t>
  </si>
  <si>
    <t>TER1807s1v10</t>
  </si>
  <si>
    <t>TER1808s1v11</t>
  </si>
  <si>
    <t>TER1808s1v12</t>
  </si>
  <si>
    <t>TER1809s1v13</t>
  </si>
  <si>
    <t>TER1809s1v14</t>
  </si>
  <si>
    <t>TER1810s1v15</t>
  </si>
  <si>
    <t>TER1810s1v16</t>
  </si>
  <si>
    <t>TER1810s1v17</t>
  </si>
  <si>
    <t>TER1811s1v18</t>
  </si>
  <si>
    <t>TER1811s1v19</t>
  </si>
  <si>
    <t>TER1812s1v20</t>
  </si>
  <si>
    <t>TER1813s1v21</t>
  </si>
  <si>
    <t>TER1813s1v22</t>
  </si>
  <si>
    <t>TER1814s1v23</t>
  </si>
  <si>
    <t>TER1814s1v24</t>
  </si>
  <si>
    <t>TER1815s1v25</t>
  </si>
  <si>
    <t>TER1816s1v26</t>
  </si>
  <si>
    <t>TER1816s1v27</t>
  </si>
  <si>
    <t>TER1817s1v28</t>
  </si>
  <si>
    <t>TER1817s1v29</t>
  </si>
  <si>
    <t>TER1818s1v30</t>
  </si>
  <si>
    <t>TER1819s1v31</t>
  </si>
  <si>
    <t>TER1819s1v32</t>
  </si>
  <si>
    <t>TER1820s1v33</t>
  </si>
  <si>
    <t>TER1820s1v34</t>
  </si>
  <si>
    <t>TER1821s1v35</t>
  </si>
  <si>
    <t>TER1822s1v36</t>
  </si>
  <si>
    <t>TER1822s1v37</t>
  </si>
  <si>
    <t>TER1823s1v38</t>
  </si>
  <si>
    <t>TER1823s1v39</t>
  </si>
  <si>
    <t>TER1824s1v40</t>
  </si>
  <si>
    <t>TER1825s1v41</t>
  </si>
  <si>
    <t>TER1825s1v42</t>
  </si>
  <si>
    <t>TER1826s1v43</t>
  </si>
  <si>
    <t>TER1826s1v44</t>
  </si>
  <si>
    <t>TER1827s1v45</t>
  </si>
  <si>
    <t>TER1827s1v46</t>
  </si>
  <si>
    <t>TER1828s1v47</t>
  </si>
  <si>
    <t>TER1828s1v48</t>
  </si>
  <si>
    <t>TER1829s1v49</t>
  </si>
  <si>
    <t>TER1830s1v50</t>
  </si>
  <si>
    <t>TER1830s1v51</t>
  </si>
  <si>
    <t>TER1831s1v52</t>
  </si>
  <si>
    <t>TER1831s1v53</t>
  </si>
  <si>
    <t>TER1831s1v54</t>
  </si>
  <si>
    <t>TER1832s1v55</t>
  </si>
  <si>
    <t>TER1833s1v56</t>
  </si>
  <si>
    <t>TER1833s1v57</t>
  </si>
  <si>
    <t>TER1834s1v58</t>
  </si>
  <si>
    <t>TER1834s1v59</t>
  </si>
  <si>
    <t>TER1835s1v60</t>
  </si>
  <si>
    <t>TER1835s1v61</t>
  </si>
  <si>
    <t>TER1836s1v62</t>
  </si>
  <si>
    <t>TER1836s1v63</t>
  </si>
  <si>
    <t>TER1837s1v64</t>
  </si>
  <si>
    <t>TER1837s1v65</t>
  </si>
  <si>
    <t>TER1838s1v66</t>
  </si>
  <si>
    <t>TER1838s1v67</t>
  </si>
  <si>
    <t>TER1839s1v68</t>
  </si>
  <si>
    <t>TER1839s1v69</t>
  </si>
  <si>
    <t>TER1840s1v70</t>
  </si>
  <si>
    <t>TER1840s1v71</t>
  </si>
  <si>
    <t>QJA1828-1829s1v1</t>
  </si>
  <si>
    <t>The Quarterly Journal of Agriculture</t>
  </si>
  <si>
    <t>1828-1829</t>
  </si>
  <si>
    <t>QJA1829-1831s1v2</t>
  </si>
  <si>
    <t>1829-1831</t>
  </si>
  <si>
    <t>QJA1831-1832s1v3</t>
  </si>
  <si>
    <t>QJA1832-1834s1v4</t>
  </si>
  <si>
    <t>1832-1834</t>
  </si>
  <si>
    <t>QJA1834-1835s1v5</t>
  </si>
  <si>
    <t>QJA1835-1836s1v6</t>
  </si>
  <si>
    <t>QJA1837-1838s1v8</t>
  </si>
  <si>
    <t>QJA1838-1839s1v9</t>
  </si>
  <si>
    <t>QJA1839-1840s1v10</t>
  </si>
  <si>
    <t>JSSAA1824s1v1</t>
  </si>
  <si>
    <t>Journal de la Société des Sciences Physiques, Chimiques, et Arts Agricoles et Industriel</t>
  </si>
  <si>
    <t>JSSAA1825s1v2</t>
  </si>
  <si>
    <t>JSSAA1826s1v3</t>
  </si>
  <si>
    <t>JSSAA1827s1v4</t>
  </si>
  <si>
    <t>JSSAA1828s1v5</t>
  </si>
  <si>
    <t>JPEP1821s1v1</t>
  </si>
  <si>
    <t>Journal de physiologie expérimentale et pathologique</t>
  </si>
  <si>
    <t>JPEP1822s1v2</t>
  </si>
  <si>
    <t>JPEP1823s1v3</t>
  </si>
  <si>
    <t>JPEP1824s1v4</t>
  </si>
  <si>
    <t>JPEP1825s1v5</t>
  </si>
  <si>
    <t>JPEP1827s1v7</t>
  </si>
  <si>
    <t>JPEP1828s1v8</t>
  </si>
  <si>
    <t>JPEP1829s1v9</t>
  </si>
  <si>
    <t>JPEP1830s1v10</t>
  </si>
  <si>
    <t>JPEP1831s1v11</t>
  </si>
  <si>
    <t>AINE1820s1v1</t>
  </si>
  <si>
    <t>Annales de l'industrie nationale et étrangère</t>
  </si>
  <si>
    <t>AINE1820s1v2</t>
  </si>
  <si>
    <t>AINE1821s1v3</t>
  </si>
  <si>
    <t>AINE1821s1v4</t>
  </si>
  <si>
    <t>AINE1822s1v5</t>
  </si>
  <si>
    <t>AINE1822s1v7</t>
  </si>
  <si>
    <t>AINE1822s1v8</t>
  </si>
  <si>
    <t>AINE1823s1v9</t>
  </si>
  <si>
    <t>AINE1823s1v10</t>
  </si>
  <si>
    <t>AINE1823s1v11</t>
  </si>
  <si>
    <t>AINE1823s1v12</t>
  </si>
  <si>
    <t>AINE1824s1v13</t>
  </si>
  <si>
    <t>AINE1824s1v14</t>
  </si>
  <si>
    <t>AINE1824s1v15</t>
  </si>
  <si>
    <t>AINE1824s1v16</t>
  </si>
  <si>
    <t>AINE1825s1v17</t>
  </si>
  <si>
    <t>AINE1825s1v18</t>
  </si>
  <si>
    <t>AINE1825s1v19</t>
  </si>
  <si>
    <t>AINE1825s1v20</t>
  </si>
  <si>
    <t>AINE1826s1v21</t>
  </si>
  <si>
    <t>AINE1826s1v22</t>
  </si>
  <si>
    <t>AINE1826s1v23</t>
  </si>
  <si>
    <t>AINE1827s1v24</t>
  </si>
  <si>
    <t>JCSM1818s1v1</t>
  </si>
  <si>
    <t>JCSM1818s1v2</t>
  </si>
  <si>
    <t>JCSM1819s1v3</t>
  </si>
  <si>
    <t>JCSM1819s1v4</t>
  </si>
  <si>
    <t>JCSM1819s1v5</t>
  </si>
  <si>
    <t>JCSM1820s1v6</t>
  </si>
  <si>
    <t>JCSM1820s1v7</t>
  </si>
  <si>
    <t>JCSM1820s1v8</t>
  </si>
  <si>
    <t>JCSM1821s1v9</t>
  </si>
  <si>
    <t>JCSM1821s1v10</t>
  </si>
  <si>
    <t>JCSM1821s1v11</t>
  </si>
  <si>
    <t>JCSM1822s1v12</t>
  </si>
  <si>
    <t>JCSM1822s1v13</t>
  </si>
  <si>
    <t>JCSM1822s1v14</t>
  </si>
  <si>
    <t>JCSM1823s1v15</t>
  </si>
  <si>
    <t>JCSM1823s1v16</t>
  </si>
  <si>
    <t>JCSM1823s1v17</t>
  </si>
  <si>
    <t>JCSM1824s1v18</t>
  </si>
  <si>
    <t>JCSM1824s1v19</t>
  </si>
  <si>
    <t>JCSM1824s1v20</t>
  </si>
  <si>
    <t>JCSM1825s1v21</t>
  </si>
  <si>
    <t>JCSM1825s1v22</t>
  </si>
  <si>
    <t>JCSM1825s1v23</t>
  </si>
  <si>
    <t>JCSM1826s1v24</t>
  </si>
  <si>
    <t>JCSM1826s1v25</t>
  </si>
  <si>
    <t>JCSM1826s1v26</t>
  </si>
  <si>
    <t>JCSM1827s1v27</t>
  </si>
  <si>
    <t>JCSM1827s1v28</t>
  </si>
  <si>
    <t>JCSM1827s1v29</t>
  </si>
  <si>
    <t>JCSM1828s1v30</t>
  </si>
  <si>
    <t>JCSM1828s1v31</t>
  </si>
  <si>
    <t>JCSM1828s1v32</t>
  </si>
  <si>
    <t>JCSM1829s1v33</t>
  </si>
  <si>
    <t>JCSM1829s1v34</t>
  </si>
  <si>
    <t>JCSM1830s1v35</t>
  </si>
  <si>
    <t>JCSM1830s1v36</t>
  </si>
  <si>
    <t>JCSM1830s1v37</t>
  </si>
  <si>
    <t>JCSM1830s1v38</t>
  </si>
  <si>
    <t>JCSM1831s1v39</t>
  </si>
  <si>
    <t>JCSM1831s1v40</t>
  </si>
  <si>
    <t>JCSM1831s1v41</t>
  </si>
  <si>
    <t>JCSM1832s1v42</t>
  </si>
  <si>
    <t>JCSM1832s1v43</t>
  </si>
  <si>
    <t>JCSM1832s1v44</t>
  </si>
  <si>
    <t>AMZ1831s1v1</t>
  </si>
  <si>
    <t>German</t>
  </si>
  <si>
    <t>Allgemeine medizinische Zeitung</t>
  </si>
  <si>
    <t>AMZ1832s1v2</t>
  </si>
  <si>
    <t>AMZ1833s1v3</t>
  </si>
  <si>
    <t>AMZ1834s1v4</t>
  </si>
  <si>
    <t>AMZ1835s1v5</t>
  </si>
  <si>
    <t>AMZ1836s1v6</t>
  </si>
  <si>
    <t>AMZ1837s1v7</t>
  </si>
  <si>
    <t>AMZ1838s1v8</t>
  </si>
  <si>
    <t>AJMS1827s1v1</t>
  </si>
  <si>
    <t>The American Journal of Medical Sciences</t>
  </si>
  <si>
    <t>AJMS1828s1v2</t>
  </si>
  <si>
    <t>AJMS1828s1v3</t>
  </si>
  <si>
    <t>AJMS1829s1v4</t>
  </si>
  <si>
    <t>AJMS1829s1v5</t>
  </si>
  <si>
    <t>AJMS1830s1v6</t>
  </si>
  <si>
    <t>AJMS1830s1v7</t>
  </si>
  <si>
    <t>AJMS1831s1v8</t>
  </si>
  <si>
    <t>AJMS1831s1v9</t>
  </si>
  <si>
    <t>AJMS1832s1v10</t>
  </si>
  <si>
    <t>AJMS1832s1v11</t>
  </si>
  <si>
    <t>AJMS1833s1v12</t>
  </si>
  <si>
    <t>AJMS1833s1v13</t>
  </si>
  <si>
    <t>AJMS1834s1v14</t>
  </si>
  <si>
    <t>AJMS1834s1v15</t>
  </si>
  <si>
    <t>AJMS1835s1v16</t>
  </si>
  <si>
    <t>AJMS1835s1v17</t>
  </si>
  <si>
    <t>AJMS1836s1v18</t>
  </si>
  <si>
    <t>AJMS1836s1v19</t>
  </si>
  <si>
    <t>AJMS1837s1v20</t>
  </si>
  <si>
    <t>AJMS1837s1v21</t>
  </si>
  <si>
    <t>AJMS1838s1v22</t>
  </si>
  <si>
    <t>AJMS1838s1v23</t>
  </si>
  <si>
    <t>AJMS1839s1v24</t>
  </si>
  <si>
    <t>AJMS1839s1v25</t>
  </si>
  <si>
    <t>AJMS1839s1v26</t>
  </si>
  <si>
    <t>Spanish</t>
  </si>
  <si>
    <t>Museo Universal de Ciencias y Artes</t>
  </si>
  <si>
    <t>SAA1797s1v1</t>
  </si>
  <si>
    <t>SAA1797s1v2</t>
  </si>
  <si>
    <t>SAA1798s1v3</t>
  </si>
  <si>
    <t>SAA1798s1v4</t>
  </si>
  <si>
    <t>SAA1799s1v5</t>
  </si>
  <si>
    <t>SAA1799s1v6</t>
  </si>
  <si>
    <t>SAA1800s1v7</t>
  </si>
  <si>
    <t>SAA1800s1v8</t>
  </si>
  <si>
    <t>SAA1801s1v9</t>
  </si>
  <si>
    <t>SAA1801s1v10</t>
  </si>
  <si>
    <t>SAA1802s1v11</t>
  </si>
  <si>
    <t>SAA1802s1v12</t>
  </si>
  <si>
    <t>SAA1803s1v8</t>
  </si>
  <si>
    <t>SAA1803s1v14</t>
  </si>
  <si>
    <t>SAA1804s1v15</t>
  </si>
  <si>
    <t>SAA1804s1v16</t>
  </si>
  <si>
    <t>SAA1805s1v17</t>
  </si>
  <si>
    <t>SAA1805s1v18</t>
  </si>
  <si>
    <t>SAA1806s1v19</t>
  </si>
  <si>
    <t>SAA1806s1v20</t>
  </si>
  <si>
    <t>SAA1807s1v21</t>
  </si>
  <si>
    <t>SAA1807s1v22</t>
  </si>
  <si>
    <t>SAA1808s1v23</t>
  </si>
  <si>
    <t>SAA1829-1831s1v1</t>
  </si>
  <si>
    <t>Codigo pharmaceutico lusitano</t>
  </si>
  <si>
    <t>NAMSJ1826s1v1</t>
  </si>
  <si>
    <t>The North American Medical and Surgical Journal</t>
  </si>
  <si>
    <t>NAMSJ1826s1v2</t>
  </si>
  <si>
    <t>NAMSJ1827s1v3</t>
  </si>
  <si>
    <t>NAMSJ1827s1v4</t>
  </si>
  <si>
    <t>NAMSJ1828s1v5</t>
  </si>
  <si>
    <t>NAMSJ1828s1v6</t>
  </si>
  <si>
    <t>NAMSJ1829s1v7</t>
  </si>
  <si>
    <t>NAMSJ1829s1v8</t>
  </si>
  <si>
    <t>NAMSJ1831s1v11</t>
  </si>
  <si>
    <t>NAMSJ1831s1v12</t>
  </si>
  <si>
    <t>AJSA1818s1v1</t>
  </si>
  <si>
    <t>The American Journal of Science and Arts</t>
  </si>
  <si>
    <t>AJSA1820s1v2</t>
  </si>
  <si>
    <t>AJSA1821s1v3</t>
  </si>
  <si>
    <t>AJSA1822s1v4</t>
  </si>
  <si>
    <t>AJSA1822s1v5</t>
  </si>
  <si>
    <t>AJSA1823s1v6</t>
  </si>
  <si>
    <t>AJSA1824s1v7</t>
  </si>
  <si>
    <t>AJSA1824s1v8</t>
  </si>
  <si>
    <t>AJSA1825s1v9</t>
  </si>
  <si>
    <t>AJSA1826s1v10</t>
  </si>
  <si>
    <t>AJSA1826s1v11</t>
  </si>
  <si>
    <t>AJSA1827s1v12</t>
  </si>
  <si>
    <t>AJSA1828s1v13</t>
  </si>
  <si>
    <t>AJSA1828s1v14</t>
  </si>
  <si>
    <t>AJSA1829s1v15</t>
  </si>
  <si>
    <t>AJSA1829s1v16</t>
  </si>
  <si>
    <t>AJSA1830s1v17</t>
  </si>
  <si>
    <t>AJSA1831s1v19</t>
  </si>
  <si>
    <t>AJSA1831s1v20</t>
  </si>
  <si>
    <t>AJSA1832s1v21</t>
  </si>
  <si>
    <t>AJSA1832s1v22</t>
  </si>
  <si>
    <t>AJSA1833s1v23</t>
  </si>
  <si>
    <t>AJSA1833s1v24</t>
  </si>
  <si>
    <t>AJSA1834s1v25</t>
  </si>
  <si>
    <t>AJSA1834s1v26</t>
  </si>
  <si>
    <t>AJSA1835s1v27</t>
  </si>
  <si>
    <t>AJSA1835s1v28</t>
  </si>
  <si>
    <t>AJSA1836s1v29</t>
  </si>
  <si>
    <t>AJSA1836s1v30</t>
  </si>
  <si>
    <t>AJSA1837s1v31</t>
  </si>
  <si>
    <t>AJSA1837s1v32</t>
  </si>
  <si>
    <t>AJSA1838s1v33</t>
  </si>
  <si>
    <t>AJSA1838s1v34</t>
  </si>
  <si>
    <t>AJSA1839s1v35</t>
  </si>
  <si>
    <t>AJSA1839s1v36</t>
  </si>
  <si>
    <t>AJSA1839s1v37</t>
  </si>
  <si>
    <t>AJSA1840s1v38</t>
  </si>
  <si>
    <t>AJSA1840s1v39</t>
  </si>
  <si>
    <t>EMSJ1805s1v1</t>
  </si>
  <si>
    <t>Edinburgh Medical and Surgical Journal</t>
  </si>
  <si>
    <t>EMSJ1806s1v2</t>
  </si>
  <si>
    <t>EMSJ1807s1v3</t>
  </si>
  <si>
    <t>EMSJ1808s1v4</t>
  </si>
  <si>
    <t>EMSJ1809s1v5</t>
  </si>
  <si>
    <t>EMSJ1810s1v6</t>
  </si>
  <si>
    <t>EMSJ1811s1v7</t>
  </si>
  <si>
    <t>EMSJ1812s1v8</t>
  </si>
  <si>
    <t>EMSJ1813s1v9</t>
  </si>
  <si>
    <t>EMSJ1814s1v10</t>
  </si>
  <si>
    <t>EMSJ1815s1v11</t>
  </si>
  <si>
    <t>EMSJ1816s1v12</t>
  </si>
  <si>
    <t>EMSJ1817s1v13</t>
  </si>
  <si>
    <t>EMSJ1818s1v14</t>
  </si>
  <si>
    <t>EMSJ1819s1v15</t>
  </si>
  <si>
    <t>EMSJ1820s1v16</t>
  </si>
  <si>
    <t>EMSJ1821s1v17</t>
  </si>
  <si>
    <t>EMSJ1822s1v18</t>
  </si>
  <si>
    <t>EMSJ1823s1v19</t>
  </si>
  <si>
    <t>EMSJ1824s1v20</t>
  </si>
  <si>
    <t>EMSJ1824s1v21</t>
  </si>
  <si>
    <t>EMSJ1824s1v22</t>
  </si>
  <si>
    <t>EMSJ1825s1v23</t>
  </si>
  <si>
    <t>EMSJ1825s1v24</t>
  </si>
  <si>
    <t>EMSJ1826s1v25</t>
  </si>
  <si>
    <t>EMSJ1826s1v26</t>
  </si>
  <si>
    <t>EMSJ1827s1v27</t>
  </si>
  <si>
    <t>EMSJ1827s1v28</t>
  </si>
  <si>
    <t>EMSJ1828s1v29</t>
  </si>
  <si>
    <t>EMSJ1828s1v30</t>
  </si>
  <si>
    <t>EMSJ1829s1v31</t>
  </si>
  <si>
    <t>EMSJ1829s1v32</t>
  </si>
  <si>
    <t>EMSJ1830s1v33</t>
  </si>
  <si>
    <t>EMSJ1830s1v34</t>
  </si>
  <si>
    <t>EMSJ1831s1v35</t>
  </si>
  <si>
    <t>EMSJ1831s1v36</t>
  </si>
  <si>
    <t>EMSJ1832s1v37</t>
  </si>
  <si>
    <t>EMSJ1832s1v38</t>
  </si>
  <si>
    <t>EMSJ1833s1v39</t>
  </si>
  <si>
    <t>EMSJ1833s1v40</t>
  </si>
  <si>
    <t>EMSJ1834s1v41</t>
  </si>
  <si>
    <t>EMSJ1834s1v42</t>
  </si>
  <si>
    <t>EMSJ1835s1v43</t>
  </si>
  <si>
    <t>EMSJ1835s1v44</t>
  </si>
  <si>
    <t>EMSJ1836s1v45</t>
  </si>
  <si>
    <t>EMSJ1836s1v46</t>
  </si>
  <si>
    <t>EMSJ1837s1v47</t>
  </si>
  <si>
    <t>EMSJ1837s1v48</t>
  </si>
  <si>
    <t>EMSJ1838s1v49</t>
  </si>
  <si>
    <t>EMSJ1838s1v50</t>
  </si>
  <si>
    <t>EMSJ1839s1v51</t>
  </si>
  <si>
    <t>EMSJ1839s1v52</t>
  </si>
  <si>
    <t>EMSJ1840s1v53</t>
  </si>
  <si>
    <t>EMSJ1840s1v54</t>
  </si>
  <si>
    <t>MCRJMS1821s1v1</t>
  </si>
  <si>
    <t>The Medico-Chirurgical Review and Journal of Medical Science</t>
  </si>
  <si>
    <t>MCRJMS1822s1v2</t>
  </si>
  <si>
    <t>MCRJMS1823s1v3</t>
  </si>
  <si>
    <t>MCRJMS1824s1v4</t>
  </si>
  <si>
    <t>MCRJMS1824s1v5</t>
  </si>
  <si>
    <t>MCRJMS1825s1v6</t>
  </si>
  <si>
    <t>MCRJMS1825s1v7</t>
  </si>
  <si>
    <t>MCRJMS1826s1v8</t>
  </si>
  <si>
    <t>MCRJMS1826s1v9</t>
  </si>
  <si>
    <t>MCRJMS1827s1v10</t>
  </si>
  <si>
    <t>MCRJMS1827s1v11</t>
  </si>
  <si>
    <t>MCRJMS1828s1v12</t>
  </si>
  <si>
    <t>MCRJMS1828s1v13</t>
  </si>
  <si>
    <t>MCRJMS1829s1v14</t>
  </si>
  <si>
    <t>MCRJMS1829s1v15</t>
  </si>
  <si>
    <t>MCRJMS1830s1v16</t>
  </si>
  <si>
    <t>MCRJMS1830s1v17</t>
  </si>
  <si>
    <t>MCRJMS1831s1v18</t>
  </si>
  <si>
    <t>MCRJMS1831s1v19</t>
  </si>
  <si>
    <t>MCRJMS1832s1v20</t>
  </si>
  <si>
    <t>MCRJMS1832s1v21</t>
  </si>
  <si>
    <t>MCRJMS1833s1v22</t>
  </si>
  <si>
    <t>MCRJMS1833s1v23</t>
  </si>
  <si>
    <t>MCRJMS1834s1v24</t>
  </si>
  <si>
    <t>MCRJMS1834s1v25</t>
  </si>
  <si>
    <t>MCRJMS1835s1v26</t>
  </si>
  <si>
    <t>MCRJMS1835s1v27</t>
  </si>
  <si>
    <t>MCRJMS1836s1v28</t>
  </si>
  <si>
    <t>MCRJMS1836s1v29</t>
  </si>
  <si>
    <t>MCRJMS1837s1v30</t>
  </si>
  <si>
    <t>MCRJMS1837s1v31</t>
  </si>
  <si>
    <t>MCRJMS1838s1v32</t>
  </si>
  <si>
    <t>MCRJMS1839s1v34</t>
  </si>
  <si>
    <t>MCRJMS1839s1v35</t>
  </si>
  <si>
    <t>MCRJMS1840s1v36</t>
  </si>
  <si>
    <t>MCRJMS1840s1v37</t>
  </si>
  <si>
    <t>Journal des progrès des sciences et institutions médicales</t>
  </si>
  <si>
    <t>JPSIM1827s1v2</t>
  </si>
  <si>
    <t>JPSIM1827s1v3</t>
  </si>
  <si>
    <t>JPSIM1827s1v4</t>
  </si>
  <si>
    <t>JPSIM1827s1v5</t>
  </si>
  <si>
    <t>JPSIM1827s1v6</t>
  </si>
  <si>
    <t>JPSIM1828s1v7</t>
  </si>
  <si>
    <t>JPSIM1828s1v9</t>
  </si>
  <si>
    <t>JPSIM1828s1v10</t>
  </si>
  <si>
    <t>JPSIM1828s1v11</t>
  </si>
  <si>
    <t>JPSIM1828s1v12</t>
  </si>
  <si>
    <t>JPSIM1829s1v13</t>
  </si>
  <si>
    <t>JPSIM1829s1v14</t>
  </si>
  <si>
    <t>JPSIM1829s1v15</t>
  </si>
  <si>
    <t>JPSIM1829s1v16</t>
  </si>
  <si>
    <t>JPSIM1829s1v17</t>
  </si>
  <si>
    <t>JPSIM1829s1v18</t>
  </si>
  <si>
    <t>JPSIM1830s2v1</t>
  </si>
  <si>
    <t>JPSIM1830s2v2</t>
  </si>
  <si>
    <t>JPSIM1830s2v3</t>
  </si>
  <si>
    <t>JGMCP1804s1v19</t>
  </si>
  <si>
    <t>JGMCP1804s1v20</t>
  </si>
  <si>
    <t>JGMCP1804s1v21</t>
  </si>
  <si>
    <t>JGMCP1805s1v22</t>
  </si>
  <si>
    <t>JGMCP1805s1v23</t>
  </si>
  <si>
    <t>JGMCP1805s1v24</t>
  </si>
  <si>
    <t>JGMCP1806s1v25</t>
  </si>
  <si>
    <t>JGMCP1806s1v26</t>
  </si>
  <si>
    <t>JGMCP1806s1v27</t>
  </si>
  <si>
    <t>JGMCP1807s1v28</t>
  </si>
  <si>
    <t>JGMCP1807s1v29</t>
  </si>
  <si>
    <t>JGMCP1807s1v30</t>
  </si>
  <si>
    <t>JGMCP1808s1v31</t>
  </si>
  <si>
    <t>JGMCP1808s1v32</t>
  </si>
  <si>
    <t>JGMCP1808s1v33</t>
  </si>
  <si>
    <t>JGMCP1809s1v34</t>
  </si>
  <si>
    <t>JGMCP1809s1v35</t>
  </si>
  <si>
    <t>JGMCP1809s1v36</t>
  </si>
  <si>
    <t>JGMCP1810s1v37</t>
  </si>
  <si>
    <t>JGMCP1810s1v38</t>
  </si>
  <si>
    <t>JGMCP1810s1v39</t>
  </si>
  <si>
    <t>JGMCP1811s1v40</t>
  </si>
  <si>
    <t>JGMCP1811s1v41</t>
  </si>
  <si>
    <t>JGMCP1811s1v42</t>
  </si>
  <si>
    <t>JGMCP1812s1v43</t>
  </si>
  <si>
    <t>JGMCP1812s1v44</t>
  </si>
  <si>
    <t>JGMCP1812s1v45</t>
  </si>
  <si>
    <t>JGMCP1813s1v46</t>
  </si>
  <si>
    <t>JGMCP1813s1v47</t>
  </si>
  <si>
    <t>JGMCP1813s1v48</t>
  </si>
  <si>
    <t>JGMCP1814s1v49</t>
  </si>
  <si>
    <t>JGMCP1814s1v50</t>
  </si>
  <si>
    <t>JGMCP1814s1v51</t>
  </si>
  <si>
    <t>JGMCP1815s1v52</t>
  </si>
  <si>
    <t>JGMCP1815s1v53</t>
  </si>
  <si>
    <t>JGMCP1815s1v54</t>
  </si>
  <si>
    <t>JGMCP1816s1v55</t>
  </si>
  <si>
    <t>JGMCP1816s1v56</t>
  </si>
  <si>
    <t>JGMCP1816s1v57</t>
  </si>
  <si>
    <t>JGMCP1816s1v58</t>
  </si>
  <si>
    <t>JGMCP1817s1v59</t>
  </si>
  <si>
    <t>JGMCP1817s1v60</t>
  </si>
  <si>
    <t>JGMCP1817s1v61</t>
  </si>
  <si>
    <t>JGMCP1818s2v1</t>
  </si>
  <si>
    <t>JGMCP1818s2v2</t>
  </si>
  <si>
    <t>JGMCP1818s2v3</t>
  </si>
  <si>
    <t>JGMCP1818s2v4</t>
  </si>
  <si>
    <t>JGMCP1819s2v5</t>
  </si>
  <si>
    <t>JGMCP1819s2v6</t>
  </si>
  <si>
    <t>JGMCP1819s2v7</t>
  </si>
  <si>
    <t>JGMCP1819s2v8</t>
  </si>
  <si>
    <t>JGMCP1820s2v9</t>
  </si>
  <si>
    <t>JGMCP1820s2v10</t>
  </si>
  <si>
    <t>JGMCP1820s2v11</t>
  </si>
  <si>
    <t>JGMCP1820s2v12</t>
  </si>
  <si>
    <t>JGMCP1821s2v13</t>
  </si>
  <si>
    <t>JGMCP1821s2v14</t>
  </si>
  <si>
    <t>JGMCP1821s2v15</t>
  </si>
  <si>
    <t>JGMCP1821s2v16</t>
  </si>
  <si>
    <t>JGMCP1822s2v17</t>
  </si>
  <si>
    <t>JGMCP1822s2v18</t>
  </si>
  <si>
    <t>JGMCP1822s2v19</t>
  </si>
  <si>
    <t>JGMCP1822s2v20</t>
  </si>
  <si>
    <t>JGMCP1823s2v21</t>
  </si>
  <si>
    <t>JGMCP1823s2v22</t>
  </si>
  <si>
    <t>JGMCP1823s2v23</t>
  </si>
  <si>
    <t>JGMCP1823s2v24</t>
  </si>
  <si>
    <t>JGMCP1824s1v26</t>
  </si>
  <si>
    <t>JGMCP1824s2v25</t>
  </si>
  <si>
    <t>JGMCP1824s2v27</t>
  </si>
  <si>
    <t>JGMCP1824s2v28</t>
  </si>
  <si>
    <t>29-30</t>
  </si>
  <si>
    <t>JGMCP1825s2v31-32</t>
  </si>
  <si>
    <t>31-32</t>
  </si>
  <si>
    <t>JGMCP1826s2v33-34</t>
  </si>
  <si>
    <t>33-34</t>
  </si>
  <si>
    <t>JGMCP1826s2v35-36</t>
  </si>
  <si>
    <t>35-36</t>
  </si>
  <si>
    <t>JGMCP1827s2v37-38</t>
  </si>
  <si>
    <t>37-38</t>
  </si>
  <si>
    <t>JGMCP1828s2v41</t>
  </si>
  <si>
    <t>JGMCP1828s3v6</t>
  </si>
  <si>
    <t>JGMCP1828s3v7-8</t>
  </si>
  <si>
    <t>JGMCP1829s3v9-10</t>
  </si>
  <si>
    <t>9-10</t>
  </si>
  <si>
    <t>JGMCP1829s3v11-12</t>
  </si>
  <si>
    <t>11-12</t>
  </si>
  <si>
    <t>JGMCP1830s3v13-14</t>
  </si>
  <si>
    <t>13-14</t>
  </si>
  <si>
    <t>JAMSA1824s1v1</t>
  </si>
  <si>
    <t>Journal d'agriculture, de médecine et des sciences accessiores</t>
  </si>
  <si>
    <t>JAMSA1825s1v2</t>
  </si>
  <si>
    <t>JAMSA1826s1v3</t>
  </si>
  <si>
    <t>JAMSA1827s1v4</t>
  </si>
  <si>
    <t>JAMSA1828s1v5</t>
  </si>
  <si>
    <t>JAMSA1829s1v6</t>
  </si>
  <si>
    <t>LMSJ1828s1v1</t>
  </si>
  <si>
    <t>The London Medical and Surgical Journal</t>
  </si>
  <si>
    <t>LMSJ1829s1v2</t>
  </si>
  <si>
    <t>LMSJ1829s1v3</t>
  </si>
  <si>
    <t>LMSJ1830s1v4</t>
  </si>
  <si>
    <t>LMSJ1830s1v5</t>
  </si>
  <si>
    <t>LMSJ1831s1v6</t>
  </si>
  <si>
    <t>LMSJ1831s1v7</t>
  </si>
  <si>
    <t>LMSJ1832s2v1</t>
  </si>
  <si>
    <t>LMSJ1833s2v2</t>
  </si>
  <si>
    <t>LMSJ1833s2v3</t>
  </si>
  <si>
    <t>LMSJ1834s2v4</t>
  </si>
  <si>
    <t>LMSJ1834s2v5</t>
  </si>
  <si>
    <t>LMSJ1835s2v6</t>
  </si>
  <si>
    <t>LMSJ1836s2v8</t>
  </si>
  <si>
    <t>AMI1837-1838s1v1</t>
  </si>
  <si>
    <t>The American Medical Intelligencer</t>
  </si>
  <si>
    <t>AMI1838-1839s1v2</t>
  </si>
  <si>
    <t>1839-1839</t>
  </si>
  <si>
    <t>DHR1818s1v1</t>
  </si>
  <si>
    <t>The Dublin Hospital Reports</t>
  </si>
  <si>
    <t>DHR1818s1v2</t>
  </si>
  <si>
    <t>DHR1822s1v3</t>
  </si>
  <si>
    <t>DHR1827s1v4</t>
  </si>
  <si>
    <t>DHR1830s1v5</t>
  </si>
  <si>
    <t>LMPJ1815s1v33</t>
  </si>
  <si>
    <t>The London Medical and Physical Journal</t>
  </si>
  <si>
    <t>LMPJ1815s1v34</t>
  </si>
  <si>
    <t>LMPJ1816s1v35</t>
  </si>
  <si>
    <t>LMPJ1816s1v36</t>
  </si>
  <si>
    <t>LMPJ1817s1v37</t>
  </si>
  <si>
    <t>LMPJ1817s1v38</t>
  </si>
  <si>
    <t>LMPJ1818s1v39</t>
  </si>
  <si>
    <t>LMPJ1818s1v40</t>
  </si>
  <si>
    <t>LMPJ1819s1v41</t>
  </si>
  <si>
    <t>LMPJ1819s1v42</t>
  </si>
  <si>
    <t>LMPJ1820s1v43</t>
  </si>
  <si>
    <t>LMPJ1820s1v44</t>
  </si>
  <si>
    <t>LMPJ1821s1v45</t>
  </si>
  <si>
    <t>LMPJ1821s1v46</t>
  </si>
  <si>
    <t>LMPJ1822s1v47</t>
  </si>
  <si>
    <t>LMPJ1822s1v48</t>
  </si>
  <si>
    <t>LMPJ1823s1v49</t>
  </si>
  <si>
    <t>LMPJ1823s1v50</t>
  </si>
  <si>
    <t>LMPJ1824s1v51</t>
  </si>
  <si>
    <t>LMPJ1824s1v52</t>
  </si>
  <si>
    <t>LMPJ1825s1v54</t>
  </si>
  <si>
    <t>LMPJ1826s1v55</t>
  </si>
  <si>
    <t>LMPJ1826s1v56</t>
  </si>
  <si>
    <t>LMPJ1827s1v57</t>
  </si>
  <si>
    <t>LMPJ1827s1v58</t>
  </si>
  <si>
    <t>LMPJ1828s1v59</t>
  </si>
  <si>
    <t>LMPJ1829s1v62</t>
  </si>
  <si>
    <t>LMPJ1830s1v64</t>
  </si>
  <si>
    <t>LMPJ1831s1v66</t>
  </si>
  <si>
    <t>ACP1816s1v1</t>
  </si>
  <si>
    <t>Annales de chimie et de physique</t>
  </si>
  <si>
    <t>ACP1816s1v2</t>
  </si>
  <si>
    <t>ACP1816s1v3</t>
  </si>
  <si>
    <t>ACP1817s1v4</t>
  </si>
  <si>
    <t>ACP1817s1v5</t>
  </si>
  <si>
    <t>ACP1817s1v6</t>
  </si>
  <si>
    <t>ACP1817s1v7</t>
  </si>
  <si>
    <t>ACP1818s1v8</t>
  </si>
  <si>
    <t>ACP1818s1v9</t>
  </si>
  <si>
    <t>ACP1819s1v10</t>
  </si>
  <si>
    <t>ACP1819s1v11</t>
  </si>
  <si>
    <t>ACP1819s1v12</t>
  </si>
  <si>
    <t>ACP1820s1v13</t>
  </si>
  <si>
    <t>ACP1820s1v14</t>
  </si>
  <si>
    <t>ACP1820s1v15</t>
  </si>
  <si>
    <t>ACP1821s1v16</t>
  </si>
  <si>
    <t>ACP1821s1v17</t>
  </si>
  <si>
    <t>ACP1821s1v18</t>
  </si>
  <si>
    <t>ACP1821s1v19</t>
  </si>
  <si>
    <t>ACP1822s1v20</t>
  </si>
  <si>
    <t>ACP1822s1v21</t>
  </si>
  <si>
    <t>ACP1823s1v22</t>
  </si>
  <si>
    <t>ACP1823s1v23</t>
  </si>
  <si>
    <t>ACP1823s1v24</t>
  </si>
  <si>
    <t>ACP1824s1v25</t>
  </si>
  <si>
    <t>ACP1824s1v26</t>
  </si>
  <si>
    <t>ACP1824s1v27</t>
  </si>
  <si>
    <t>ACP1825s1v28</t>
  </si>
  <si>
    <t>ACP1825s1v29</t>
  </si>
  <si>
    <t>ACP1825s1v30</t>
  </si>
  <si>
    <t>ACP1826s1v31</t>
  </si>
  <si>
    <t>ACP1826s1v32</t>
  </si>
  <si>
    <t>ACP1826s1v33</t>
  </si>
  <si>
    <t>ACP1827s1v34</t>
  </si>
  <si>
    <t>ACP1827s1v35</t>
  </si>
  <si>
    <t>ACP1827s1v36</t>
  </si>
  <si>
    <t>ACP1828s1v37</t>
  </si>
  <si>
    <t>ACP1828s1v38</t>
  </si>
  <si>
    <t>ACP1828s1v39</t>
  </si>
  <si>
    <t>ACP1829s1v40</t>
  </si>
  <si>
    <t>ACP1829s1v41</t>
  </si>
  <si>
    <t>ACP1829s1v42</t>
  </si>
  <si>
    <t>ACP1830s1v43</t>
  </si>
  <si>
    <t>ACP1830s1v44</t>
  </si>
  <si>
    <t>ACP1830s1v45</t>
  </si>
  <si>
    <t>ACP1831s1v46</t>
  </si>
  <si>
    <t>ACP1831s1v47</t>
  </si>
  <si>
    <t>ACP1831s1v48</t>
  </si>
  <si>
    <t>ACP1832s1v49</t>
  </si>
  <si>
    <t>ACP1832s1v50</t>
  </si>
  <si>
    <t>ACP1832s1v51</t>
  </si>
  <si>
    <t>ACP1833s1v52</t>
  </si>
  <si>
    <t>ACP1833s1v53</t>
  </si>
  <si>
    <t>ACP1833s1v55</t>
  </si>
  <si>
    <t>ACP1834s1v56</t>
  </si>
  <si>
    <t>ACP1834s1v57</t>
  </si>
  <si>
    <t>ACP1835s1v58</t>
  </si>
  <si>
    <t>ACP1835s1v59</t>
  </si>
  <si>
    <t>ACP1835s1v60</t>
  </si>
  <si>
    <t>ACP1836s1v61</t>
  </si>
  <si>
    <t>ACP1836s1v62</t>
  </si>
  <si>
    <t>ACP1836s1v63</t>
  </si>
  <si>
    <t>ACP1837s1v64</t>
  </si>
  <si>
    <t>ACP1837s1v65</t>
  </si>
  <si>
    <t>ACP1837s1v66</t>
  </si>
  <si>
    <t>ACP1838s1v67</t>
  </si>
  <si>
    <t>ACP1838s1v68</t>
  </si>
  <si>
    <t>ACP1838s1v69</t>
  </si>
  <si>
    <t>ACP1839s1v70</t>
  </si>
  <si>
    <t>ACP1839s1v71</t>
  </si>
  <si>
    <t>ACP1839s1v72</t>
  </si>
  <si>
    <t>ACP1840s1v73</t>
  </si>
  <si>
    <t>ACP1840s1v74</t>
  </si>
  <si>
    <t>ACP1840s1v75</t>
  </si>
  <si>
    <t>BSEIN1802s1v1</t>
  </si>
  <si>
    <t>Bulletin de la Société d’encouragement pour l’industrie nationale</t>
  </si>
  <si>
    <t>BSEIN1803s1v2</t>
  </si>
  <si>
    <t>BSEIN1804s1v3</t>
  </si>
  <si>
    <t>BSEIN1805s1v4</t>
  </si>
  <si>
    <t>BSEIN1806s1v5</t>
  </si>
  <si>
    <t>BSEIN1807s1v6</t>
  </si>
  <si>
    <t>BSEIN1808s1v7</t>
  </si>
  <si>
    <t>BSEIN1809s1v8</t>
  </si>
  <si>
    <t>BSEIN1810s1v9</t>
  </si>
  <si>
    <t>BSEIN1811s1v10</t>
  </si>
  <si>
    <t>BSEIN1812s1v11</t>
  </si>
  <si>
    <t>BSEIN1813s1v12</t>
  </si>
  <si>
    <t>BSEIN1814s1v13</t>
  </si>
  <si>
    <t>BSEIN1815s1v14</t>
  </si>
  <si>
    <t>BSEIN1816s1v15</t>
  </si>
  <si>
    <t>BSEIN1817s1v16</t>
  </si>
  <si>
    <t>BSEIN1818s1v17</t>
  </si>
  <si>
    <t>BSEIN1819s1v18</t>
  </si>
  <si>
    <t>BSEIN1820s1v19</t>
  </si>
  <si>
    <t>BSEIN1821s1v20</t>
  </si>
  <si>
    <t>BSEIN1822s1v21</t>
  </si>
  <si>
    <t>BSEIN1823s1v22</t>
  </si>
  <si>
    <t>BSEIN1824s1v23</t>
  </si>
  <si>
    <t>BSEIN1826s1v25</t>
  </si>
  <si>
    <t>BSEIN1827s1v26</t>
  </si>
  <si>
    <t>BSEIN1828s1v27</t>
  </si>
  <si>
    <t>BSEIN1829s1v28</t>
  </si>
  <si>
    <t>BSEIN1830s1v29</t>
  </si>
  <si>
    <t>BSEIN1831s1v30</t>
  </si>
  <si>
    <t>BSEIN1832s1v31</t>
  </si>
  <si>
    <t>BSEIN1833s1v32</t>
  </si>
  <si>
    <t>BSEIN1834s1v33</t>
  </si>
  <si>
    <t>BSEIN1835s1v34</t>
  </si>
  <si>
    <t>BSEIN1836s1v35</t>
  </si>
  <si>
    <t>BSEIN1837s1v36</t>
  </si>
  <si>
    <t>BSEIN1838s1v37</t>
  </si>
  <si>
    <t>BSEIN1839s1v38</t>
  </si>
  <si>
    <t>BSEIN1840s1v39</t>
  </si>
  <si>
    <t>AC1789s1v1</t>
  </si>
  <si>
    <t>Annales de chimie</t>
  </si>
  <si>
    <t>AC1789s1v2</t>
  </si>
  <si>
    <t>AC1789s1v3</t>
  </si>
  <si>
    <t>AC1790s1v4</t>
  </si>
  <si>
    <t>AC1790s1v5</t>
  </si>
  <si>
    <t>AC1790s1v6</t>
  </si>
  <si>
    <t>AC1790s1v7</t>
  </si>
  <si>
    <t>AC1791s1v8</t>
  </si>
  <si>
    <t>AC1791s1v9</t>
  </si>
  <si>
    <t>AC1791s1v10</t>
  </si>
  <si>
    <t>AC1791s1v11-12</t>
  </si>
  <si>
    <t>AC1792s1v13-14</t>
  </si>
  <si>
    <t>AC1792s1v15</t>
  </si>
  <si>
    <t>AC1793s1v16</t>
  </si>
  <si>
    <t>AC1793s1v17-18</t>
  </si>
  <si>
    <t>17-18</t>
  </si>
  <si>
    <t>AC1797s1v19-20</t>
  </si>
  <si>
    <t>19-20</t>
  </si>
  <si>
    <t>AC1797s1v21-22</t>
  </si>
  <si>
    <t>21-22</t>
  </si>
  <si>
    <t>AC1797s1v23-24</t>
  </si>
  <si>
    <t>23-24</t>
  </si>
  <si>
    <t>AC1798s1v25-26</t>
  </si>
  <si>
    <t>25-26</t>
  </si>
  <si>
    <t>AC1798s1v27</t>
  </si>
  <si>
    <t>AC1799s1v28</t>
  </si>
  <si>
    <t>AC1799s1v29-30</t>
  </si>
  <si>
    <t>AC1800s1v31-32</t>
  </si>
  <si>
    <t>AC1800s1v33-34</t>
  </si>
  <si>
    <t>AC1800s1v35-36</t>
  </si>
  <si>
    <t>AC1801s1v37</t>
  </si>
  <si>
    <t>AC1801s1v38</t>
  </si>
  <si>
    <t>AC1801s1v39</t>
  </si>
  <si>
    <t>AC1801s1v40</t>
  </si>
  <si>
    <t>AC1801s1v41</t>
  </si>
  <si>
    <t>AC1802s1v42</t>
  </si>
  <si>
    <t>AC1802s1v43</t>
  </si>
  <si>
    <t>AC1802s1v44</t>
  </si>
  <si>
    <t>AC1802s1v45</t>
  </si>
  <si>
    <t>AC1803s1v46</t>
  </si>
  <si>
    <t>AC1803s1v47</t>
  </si>
  <si>
    <t>AC1803s1v48</t>
  </si>
  <si>
    <t>AC1803s1v49-50</t>
  </si>
  <si>
    <t>49-50</t>
  </si>
  <si>
    <t>AC1803s1v51-52</t>
  </si>
  <si>
    <t>51-52</t>
  </si>
  <si>
    <t>AC1804s1v53-54</t>
  </si>
  <si>
    <t>53-54</t>
  </si>
  <si>
    <t>AC1804s1v55-56</t>
  </si>
  <si>
    <t>55-56</t>
  </si>
  <si>
    <t>AC1806s1v57-58</t>
  </si>
  <si>
    <t>57-58</t>
  </si>
  <si>
    <t>AC1806s1v59-60</t>
  </si>
  <si>
    <t>59-60</t>
  </si>
  <si>
    <t>AC1807s1v61-62</t>
  </si>
  <si>
    <t>61-62</t>
  </si>
  <si>
    <t>AC1807s1v63-64</t>
  </si>
  <si>
    <t>63-64</t>
  </si>
  <si>
    <t>AC1808s1v65-66</t>
  </si>
  <si>
    <t>65-66</t>
  </si>
  <si>
    <t>AC1808s1v67-68</t>
  </si>
  <si>
    <t>67-68</t>
  </si>
  <si>
    <t>AC1809s1v69-70</t>
  </si>
  <si>
    <t>69-70</t>
  </si>
  <si>
    <t>AC1809s1v71-72</t>
  </si>
  <si>
    <t>71-72</t>
  </si>
  <si>
    <t>AC1810s1v73-74</t>
  </si>
  <si>
    <t>73-74</t>
  </si>
  <si>
    <t>AC1810s1v75-76</t>
  </si>
  <si>
    <t>75-76</t>
  </si>
  <si>
    <t>AC1811s1v77-78</t>
  </si>
  <si>
    <t>77-78</t>
  </si>
  <si>
    <t>AC1811s1v79-80</t>
  </si>
  <si>
    <t>79-80</t>
  </si>
  <si>
    <t>AC1812s1v81-82</t>
  </si>
  <si>
    <t>81-82</t>
  </si>
  <si>
    <t>AC1812s1v83-84</t>
  </si>
  <si>
    <t>83-84</t>
  </si>
  <si>
    <t>AC1813s1v85-86</t>
  </si>
  <si>
    <t>85-86</t>
  </si>
  <si>
    <t>AC1813s1v87-88</t>
  </si>
  <si>
    <t>87-88</t>
  </si>
  <si>
    <t>AC1814s1v89-90</t>
  </si>
  <si>
    <t>89-90</t>
  </si>
  <si>
    <t>AC1814s1v91-92</t>
  </si>
  <si>
    <t>91-92</t>
  </si>
  <si>
    <t>AC1815s1v93-94</t>
  </si>
  <si>
    <t>93-94</t>
  </si>
  <si>
    <t>AC1815s1v95-96</t>
  </si>
  <si>
    <t>95-96</t>
  </si>
  <si>
    <t>JPCHNA1773s1v1</t>
  </si>
  <si>
    <t>Journal de physique, de chimie, d’histoire naturelle et des arts</t>
  </si>
  <si>
    <t>JPCHNA1773s1v2</t>
  </si>
  <si>
    <t>JPCHNA1774s1v3</t>
  </si>
  <si>
    <t>JPCHNA1774s1v4</t>
  </si>
  <si>
    <t>JPCHNA1775s1v5</t>
  </si>
  <si>
    <t>JPCHNA1775s1v6</t>
  </si>
  <si>
    <t>JPCHNA1776s1v7</t>
  </si>
  <si>
    <t>JPCHNA1776s1v8</t>
  </si>
  <si>
    <t>JPCHNA1777s1v9</t>
  </si>
  <si>
    <t>JPCHNA1777s1v10</t>
  </si>
  <si>
    <t>JPCHNA1778s1v11</t>
  </si>
  <si>
    <t>JPCHNA1778s1v12</t>
  </si>
  <si>
    <t>JPCHNA1778s1v13</t>
  </si>
  <si>
    <t>JPCHNA1779s1v13</t>
  </si>
  <si>
    <t>JPCHNA1779s1v14</t>
  </si>
  <si>
    <t>JPCHNA1780s1v15</t>
  </si>
  <si>
    <t>JPCHNA1780s1v16</t>
  </si>
  <si>
    <t>JPCHNA1781s1v17</t>
  </si>
  <si>
    <t>JPCHNA1781s1v18</t>
  </si>
  <si>
    <t>JPCHNA1782s1v19</t>
  </si>
  <si>
    <t>JPCHNA1782s1v20</t>
  </si>
  <si>
    <t>JPCHNA1782s1v21</t>
  </si>
  <si>
    <t>JPCHNA1783s1v22</t>
  </si>
  <si>
    <t>JPCHNA1783s1v23</t>
  </si>
  <si>
    <t>JPCHNA1784s1v24</t>
  </si>
  <si>
    <t>JPCHNA1784s1v25</t>
  </si>
  <si>
    <t>JPCHNA1785s1v26</t>
  </si>
  <si>
    <t>JPCHNA1785s1v27</t>
  </si>
  <si>
    <t>JPCHNA1786s1v28</t>
  </si>
  <si>
    <t>JPCHNA1786s1v29</t>
  </si>
  <si>
    <t>JPCHNA1787s1v30</t>
  </si>
  <si>
    <t>JPCHNA1787s1v31</t>
  </si>
  <si>
    <t>JPCHNA1788s1v32</t>
  </si>
  <si>
    <t>JPCHNA1788s1v33</t>
  </si>
  <si>
    <t>JPCHNA1789s1v34</t>
  </si>
  <si>
    <t>JPCHNA1789s1v35</t>
  </si>
  <si>
    <t>JPCHNA1790s1v36</t>
  </si>
  <si>
    <t>JPCHNA1790s1v37</t>
  </si>
  <si>
    <t>JPCHNA1791s1v38</t>
  </si>
  <si>
    <t>JPCHNA1791s1v39</t>
  </si>
  <si>
    <t>JPCHNA1792s1v40</t>
  </si>
  <si>
    <t>JPCHNA1792s1v41</t>
  </si>
  <si>
    <t>JPCHNA1793s1v42</t>
  </si>
  <si>
    <t>JPCHNA1793s1v43</t>
  </si>
  <si>
    <t>JPCHNA1794s1v44</t>
  </si>
  <si>
    <t>JPCHNA1794s1v45</t>
  </si>
  <si>
    <t>JPCHNA1798s1v46</t>
  </si>
  <si>
    <t>JPCHNA1798s1v47</t>
  </si>
  <si>
    <t>JPCHNA1799s1v48</t>
  </si>
  <si>
    <t>JPCHNA1799s1v49</t>
  </si>
  <si>
    <t>JPCHNA1800s1v50</t>
  </si>
  <si>
    <t>JPCHNA1800s1v51</t>
  </si>
  <si>
    <t>JPCHNA1801s1v52</t>
  </si>
  <si>
    <t>JPCHNA1801s1v53</t>
  </si>
  <si>
    <t>JPCHNA1802s1v54</t>
  </si>
  <si>
    <t>JPCHNA1802s1v55</t>
  </si>
  <si>
    <t>JPCHNA1803s1v56</t>
  </si>
  <si>
    <t>JPCHNA1803s1v57</t>
  </si>
  <si>
    <t>JPCHNA1804s1v58</t>
  </si>
  <si>
    <t>JPCHNA1804s1v59</t>
  </si>
  <si>
    <t>JPCHNA1805s1v60</t>
  </si>
  <si>
    <t>JPCHNA1805s1v61</t>
  </si>
  <si>
    <t>JPCHNA1806s1v62</t>
  </si>
  <si>
    <t>JPCHNA1806s1v63</t>
  </si>
  <si>
    <t>JPCHNA1807s1v64</t>
  </si>
  <si>
    <t>JPCHNA1807s1v65</t>
  </si>
  <si>
    <t>JPCHNA1808s1v66</t>
  </si>
  <si>
    <t>JPCHNA1808s1v67</t>
  </si>
  <si>
    <t>JPCHNA1809s1v68</t>
  </si>
  <si>
    <t>JPCHNA1809s1v69</t>
  </si>
  <si>
    <t>JPCHNA1810s1v70</t>
  </si>
  <si>
    <t>JPCHNA1810s1v71</t>
  </si>
  <si>
    <t>JPCHNA1811s1v73</t>
  </si>
  <si>
    <t>JPCHNA1812s1v74</t>
  </si>
  <si>
    <t>JPCHNA1812s1v75</t>
  </si>
  <si>
    <t>JPCHNA1813s1v76</t>
  </si>
  <si>
    <t>JPCHNA1813s1v77</t>
  </si>
  <si>
    <t>JPCHNA1814s1v78</t>
  </si>
  <si>
    <t>JPCHNA1814s1v79</t>
  </si>
  <si>
    <t>JPCHNA1815s1v80</t>
  </si>
  <si>
    <t>JPCHNA1815s1v81</t>
  </si>
  <si>
    <t>JPCHNA1816s1v82</t>
  </si>
  <si>
    <t>JPCHNA1816s1v83</t>
  </si>
  <si>
    <t>JPCHNA1817s1v84</t>
  </si>
  <si>
    <t>JPCHNA1817s1v85</t>
  </si>
  <si>
    <t>JPCHNA1818s1v86</t>
  </si>
  <si>
    <t>JPCHNA1818s1v87</t>
  </si>
  <si>
    <t>JPCHNA1819s1v88</t>
  </si>
  <si>
    <t>JPCHNA1819s1v89</t>
  </si>
  <si>
    <t>JPCHNA1820s1v90</t>
  </si>
  <si>
    <t>JPCHNA1820s1v91</t>
  </si>
  <si>
    <t>JPCHNA1821s1v92</t>
  </si>
  <si>
    <t>JPCHNA1821s1v93</t>
  </si>
  <si>
    <t>JPCHNA1822s1v94</t>
  </si>
  <si>
    <t>JPCHNA1822s1v95</t>
  </si>
  <si>
    <t>JPCHNA1823s1v96</t>
  </si>
  <si>
    <t>NJM1818s1v1</t>
  </si>
  <si>
    <t>NJM1818s1v3</t>
  </si>
  <si>
    <t>NJM1819s1v4</t>
  </si>
  <si>
    <t>NJM1819s1v5</t>
  </si>
  <si>
    <t>NJM1819s1v6</t>
  </si>
  <si>
    <t>NJM1820s1v7</t>
  </si>
  <si>
    <t>NJM1820s1v8</t>
  </si>
  <si>
    <t>NJM1820s1v9</t>
  </si>
  <si>
    <t>NJM1821s1v10</t>
  </si>
  <si>
    <t>NJM1821s1v11</t>
  </si>
  <si>
    <t>NJM1821s1v12</t>
  </si>
  <si>
    <t>NJM1822s1v14</t>
  </si>
  <si>
    <t>NJM1822s1v15</t>
  </si>
  <si>
    <t>Repertoire annuel de clinique medico-chirurgicale</t>
  </si>
  <si>
    <t>RACMC1836s1v4</t>
  </si>
  <si>
    <t>BMSJ1829s1v1</t>
  </si>
  <si>
    <t>BMSJ1829s1v2</t>
  </si>
  <si>
    <t>BMSJ1831s1v3</t>
  </si>
  <si>
    <t>BMSJ1831s1v4</t>
  </si>
  <si>
    <t>BMSJ1831s1v5</t>
  </si>
  <si>
    <t>BMSJ1832s1v6</t>
  </si>
  <si>
    <t>BMSJ1832s1v7</t>
  </si>
  <si>
    <t>BMSJ1833s1v8</t>
  </si>
  <si>
    <t>BMSJ1834s1v9</t>
  </si>
  <si>
    <t>BMSJ1835s1v11</t>
  </si>
  <si>
    <t>BMSJ1835s1v12</t>
  </si>
  <si>
    <t>BMSJ1836s1v13</t>
  </si>
  <si>
    <t>BMSJ1836s1v14</t>
  </si>
  <si>
    <t>BMSJ1837s1v15</t>
  </si>
  <si>
    <t>BMSJ1837s1v16</t>
  </si>
  <si>
    <t>BMSJ1838s1v17</t>
  </si>
  <si>
    <t>BMSJ1838s1v18</t>
  </si>
  <si>
    <t>BMSJ1839s1v19</t>
  </si>
  <si>
    <t>BMSJ1839s1v20</t>
  </si>
  <si>
    <t>BMSJ1840s1v21</t>
  </si>
  <si>
    <t>BMSJ1840s1v22</t>
  </si>
  <si>
    <t>REAR1819s1v1</t>
  </si>
  <si>
    <t>Revue encyclopédique, ou Analyse raisonnée</t>
  </si>
  <si>
    <t>REAR1819s1v2</t>
  </si>
  <si>
    <t>REAR1819s1v3</t>
  </si>
  <si>
    <t>REAR1819s1v4</t>
  </si>
  <si>
    <t>REAR1820s1v5</t>
  </si>
  <si>
    <t>REAR1820s1v6</t>
  </si>
  <si>
    <t>REAR1820s1v7</t>
  </si>
  <si>
    <t>REAR1820s1v8</t>
  </si>
  <si>
    <t>REAR1821s1v9</t>
  </si>
  <si>
    <t>REAR1821s1v10</t>
  </si>
  <si>
    <t>REAR1821s1v11</t>
  </si>
  <si>
    <t>REAR1821s1v12</t>
  </si>
  <si>
    <t>REAR1822s1v13</t>
  </si>
  <si>
    <t>REAR1822s1v14</t>
  </si>
  <si>
    <t>REAR1822s1v15</t>
  </si>
  <si>
    <t>REAR1822s1v16</t>
  </si>
  <si>
    <t>REAR1823s1v17</t>
  </si>
  <si>
    <t>REAR1823s1v18</t>
  </si>
  <si>
    <t>REAR1823s1v19</t>
  </si>
  <si>
    <t>REAR1823s1v20</t>
  </si>
  <si>
    <t>REAR1824s1v22</t>
  </si>
  <si>
    <t>REAR1824s1v23</t>
  </si>
  <si>
    <t>REAR1824s1v24</t>
  </si>
  <si>
    <t>REAR1825s1v25</t>
  </si>
  <si>
    <t>REAR1825s1v27</t>
  </si>
  <si>
    <t>REAR1825s1v28</t>
  </si>
  <si>
    <t>REAR1826s1v29</t>
  </si>
  <si>
    <t>REAR1826s1v30</t>
  </si>
  <si>
    <t>REAR1826s1v31</t>
  </si>
  <si>
    <t>REAR1826s1v32</t>
  </si>
  <si>
    <t>REAR1827s1v34</t>
  </si>
  <si>
    <t>REAR1827s1v35</t>
  </si>
  <si>
    <t>REAR1827s1v36</t>
  </si>
  <si>
    <t>REAR1828s1v37</t>
  </si>
  <si>
    <t>REAR1828s1v38</t>
  </si>
  <si>
    <t>REAR1828s1v39</t>
  </si>
  <si>
    <t>REAR1828s1v40</t>
  </si>
  <si>
    <t>REAR1829s1v41</t>
  </si>
  <si>
    <t>REAR1829s1v42</t>
  </si>
  <si>
    <t>REAR1829s1v43</t>
  </si>
  <si>
    <t>REAR1829s1v44</t>
  </si>
  <si>
    <t>REAR1830s1v45</t>
  </si>
  <si>
    <t>REAR1830s1v46</t>
  </si>
  <si>
    <t>REAR1830s1v47</t>
  </si>
  <si>
    <t>REAR1830s1v48</t>
  </si>
  <si>
    <t>REAR1831s1v49</t>
  </si>
  <si>
    <t>REAR1831s1v50</t>
  </si>
  <si>
    <t>REAR1831s1v51</t>
  </si>
  <si>
    <t>REAR1831s1v52</t>
  </si>
  <si>
    <t>REAR1832s1v53</t>
  </si>
  <si>
    <t>REAR1832s1v54</t>
  </si>
  <si>
    <t>REAR1832s1v55</t>
  </si>
  <si>
    <t>REAR1832s1v56</t>
  </si>
  <si>
    <t>REAR1833s1v57</t>
  </si>
  <si>
    <t>REAR1833s1v58</t>
  </si>
  <si>
    <t>REAR1833s1v59</t>
  </si>
  <si>
    <t>REAR1833s1v60</t>
  </si>
  <si>
    <t>HJP1795s1v1</t>
  </si>
  <si>
    <t>Hufeland’s Journal der Practischen</t>
  </si>
  <si>
    <t>HJP1796s1v2</t>
  </si>
  <si>
    <t>HJP1797s1v3</t>
  </si>
  <si>
    <t>HJP1797s1v4</t>
  </si>
  <si>
    <t>HJP1797s1v5</t>
  </si>
  <si>
    <t>HJP1798s1v6</t>
  </si>
  <si>
    <t>HJP1799s1v7</t>
  </si>
  <si>
    <t>HJP1799s1v8</t>
  </si>
  <si>
    <t>HJP1800s1v9</t>
  </si>
  <si>
    <t>HJP1800s1v10</t>
  </si>
  <si>
    <t>HJP1800s1v11</t>
  </si>
  <si>
    <t>HJP1801s1v12</t>
  </si>
  <si>
    <t>HJP1801s1v13</t>
  </si>
  <si>
    <t>HJP1802s1v14</t>
  </si>
  <si>
    <t>HJP1802s1v15</t>
  </si>
  <si>
    <t>HJP1803s1v16</t>
  </si>
  <si>
    <t>HJP1804s1v17</t>
  </si>
  <si>
    <t>HJP1804s1v18</t>
  </si>
  <si>
    <t>HJP1804s1v19</t>
  </si>
  <si>
    <t>HJP1804s1v20</t>
  </si>
  <si>
    <t>HJP1805s1v21</t>
  </si>
  <si>
    <t>HJP1805s1v22</t>
  </si>
  <si>
    <t>HJP1806s1v24</t>
  </si>
  <si>
    <t>HJP1806s1v25</t>
  </si>
  <si>
    <t>HJP1807s1v26</t>
  </si>
  <si>
    <t>HJP1808s1v27</t>
  </si>
  <si>
    <t>HJP1809s1v28</t>
  </si>
  <si>
    <t>HJP1809s1v29</t>
  </si>
  <si>
    <t>HJP1810s1v30</t>
  </si>
  <si>
    <t>HJP1810s1v31</t>
  </si>
  <si>
    <t>HJP1811s1v32</t>
  </si>
  <si>
    <t>HJP1811s1v33</t>
  </si>
  <si>
    <t>HJP1812s1v34</t>
  </si>
  <si>
    <t>HJP1812s1v35</t>
  </si>
  <si>
    <t>HJP1813s1v36</t>
  </si>
  <si>
    <t>HJP1813s1v37</t>
  </si>
  <si>
    <t>HJP1814s1v38</t>
  </si>
  <si>
    <t>HJP1814s1v39</t>
  </si>
  <si>
    <t>HJP1815s1v40</t>
  </si>
  <si>
    <t>HJP1815s1v41</t>
  </si>
  <si>
    <t>HJP1816s1v42</t>
  </si>
  <si>
    <t>HJP1816s1v43</t>
  </si>
  <si>
    <t>HJP1817s1v44</t>
  </si>
  <si>
    <t>HJP1817s1v45</t>
  </si>
  <si>
    <t>HJP1818s1v46</t>
  </si>
  <si>
    <t>HJP1818s1v47</t>
  </si>
  <si>
    <t>HJP1819s1v48</t>
  </si>
  <si>
    <t>HJP1819s1v49</t>
  </si>
  <si>
    <t>HJP1820s1v50</t>
  </si>
  <si>
    <t>HJP1820s1v51</t>
  </si>
  <si>
    <t>HJP1821s1v52</t>
  </si>
  <si>
    <t>HJP1821s1v53</t>
  </si>
  <si>
    <t>HJP1822s1v54</t>
  </si>
  <si>
    <t>HJP1822s1v55</t>
  </si>
  <si>
    <t>HJP1823s1v56</t>
  </si>
  <si>
    <t>HJP1823s1v57</t>
  </si>
  <si>
    <t>HJP1824s1v58</t>
  </si>
  <si>
    <t>HJP1825s1v60</t>
  </si>
  <si>
    <t>HJP1825s1v61</t>
  </si>
  <si>
    <t>HJP1826s1v62</t>
  </si>
  <si>
    <t>HJP1826s1v63</t>
  </si>
  <si>
    <t>HJP1827s1v64</t>
  </si>
  <si>
    <t>HJP1827s1v65</t>
  </si>
  <si>
    <t>HJP1828s1v66</t>
  </si>
  <si>
    <t>HJP1828s1v67</t>
  </si>
  <si>
    <t>HJP1829s1v68</t>
  </si>
  <si>
    <t>HJP1829s1v69</t>
  </si>
  <si>
    <t>HJP1830s1v70</t>
  </si>
  <si>
    <t>HJP1830s1v71</t>
  </si>
  <si>
    <t>HJP1831s1v72</t>
  </si>
  <si>
    <t>HJP1831s1v73</t>
  </si>
  <si>
    <t>HJP1832s1v74</t>
  </si>
  <si>
    <t>HJP1832s1v75</t>
  </si>
  <si>
    <t>HJP1833s1v76</t>
  </si>
  <si>
    <t>HJP1833s1v77</t>
  </si>
  <si>
    <t>HJP1834s1v78</t>
  </si>
  <si>
    <t>HJP1834s1v79</t>
  </si>
  <si>
    <t>HJP1835s1v80</t>
  </si>
  <si>
    <t>HJP1835s1v81</t>
  </si>
  <si>
    <t>HJP1836s1v82</t>
  </si>
  <si>
    <t>HJP1836s1v83</t>
  </si>
  <si>
    <t>HJP1837s1v84</t>
  </si>
  <si>
    <t>HJP1837s1v85</t>
  </si>
  <si>
    <t>HJP1838s1v86</t>
  </si>
  <si>
    <t>HJP1838s1v87</t>
  </si>
  <si>
    <t>HJP1839s1v88</t>
  </si>
  <si>
    <t>HJP1840s1v89</t>
  </si>
  <si>
    <t>HJP1840s1v90</t>
  </si>
  <si>
    <t>HJP1840s1v91</t>
  </si>
  <si>
    <t>MCT1809s1v1</t>
  </si>
  <si>
    <t>Medico-Chirurgical Transactions</t>
  </si>
  <si>
    <t>MCT1811s1v2</t>
  </si>
  <si>
    <t>MCT1812s1v3</t>
  </si>
  <si>
    <t>MCT1813s1v4</t>
  </si>
  <si>
    <t>MCT1814s1v5</t>
  </si>
  <si>
    <t>MCT1815s1v6</t>
  </si>
  <si>
    <t>MCT1816s1v7</t>
  </si>
  <si>
    <t>MCT1817s1v8</t>
  </si>
  <si>
    <t>MCT1818s1v9</t>
  </si>
  <si>
    <t>MCT1819s1v10</t>
  </si>
  <si>
    <t>MCT1820s1v11</t>
  </si>
  <si>
    <t>MCT1823s1v12</t>
  </si>
  <si>
    <t>MCT1825s1v13</t>
  </si>
  <si>
    <t>MCT1828s1v14</t>
  </si>
  <si>
    <t>MCT1829s1v15</t>
  </si>
  <si>
    <t>MCT1830s1v16</t>
  </si>
  <si>
    <t>MCT1832s1v17</t>
  </si>
  <si>
    <t>MCT1833s1v18</t>
  </si>
  <si>
    <t>MCT1835s1v19</t>
  </si>
  <si>
    <t>MCT1837s1v20</t>
  </si>
  <si>
    <t>MCT1838s1v21</t>
  </si>
  <si>
    <t>MCT1839s1v22</t>
  </si>
  <si>
    <t>MCT1840s1v23</t>
  </si>
  <si>
    <t>LMP1814s1v1</t>
  </si>
  <si>
    <t>The London Medical Repository</t>
  </si>
  <si>
    <t>LMP1814s1v2</t>
  </si>
  <si>
    <t>LMP1815s1v3</t>
  </si>
  <si>
    <t>LMP1815s1v4</t>
  </si>
  <si>
    <t>LMP1816s1v5</t>
  </si>
  <si>
    <t>LMP1816s1v6</t>
  </si>
  <si>
    <t>LMP1817s1v7</t>
  </si>
  <si>
    <t>LMP1817s1v8</t>
  </si>
  <si>
    <t>LMP1818s1v9</t>
  </si>
  <si>
    <t>LMP1818s1v10</t>
  </si>
  <si>
    <t>LMP1819s1v11</t>
  </si>
  <si>
    <t>LMP1819s1v12</t>
  </si>
  <si>
    <t>LMP1820s1v13</t>
  </si>
  <si>
    <t>LMP1820s1v14</t>
  </si>
  <si>
    <t>LMP1821s1v15</t>
  </si>
  <si>
    <t>LMP1821s1v16</t>
  </si>
  <si>
    <t>LMP1822s1v17</t>
  </si>
  <si>
    <t>LMP1822s1v18</t>
  </si>
  <si>
    <t>LMP1823s1v19</t>
  </si>
  <si>
    <t>LMP1823s1v20</t>
  </si>
  <si>
    <t>LMP1824s2v2</t>
  </si>
  <si>
    <t>LMP1825s2v1</t>
  </si>
  <si>
    <t>LMP1825s2v3</t>
  </si>
  <si>
    <t>LMP1826s2v2</t>
  </si>
  <si>
    <t>MARM1828s1v1</t>
  </si>
  <si>
    <t>Mémoires de l'Academie royale de médecine</t>
  </si>
  <si>
    <t>MARM1836s1v4</t>
  </si>
  <si>
    <t>MARM1836s1v5</t>
  </si>
  <si>
    <t>MARM1837s1v6</t>
  </si>
  <si>
    <t>MARM1838s1v7</t>
  </si>
  <si>
    <t>MARM1840s1v8</t>
  </si>
  <si>
    <t>BP1809s1v1</t>
  </si>
  <si>
    <t>BP1810s1v2</t>
  </si>
  <si>
    <t>BP1811s1v3</t>
  </si>
  <si>
    <t>BP1813s1v5</t>
  </si>
  <si>
    <t>BP1814s1v6</t>
  </si>
  <si>
    <t>Comptes rendus hebdomadaires des séances de l'Académie des sciences</t>
  </si>
  <si>
    <t>CRB1836s1v2</t>
  </si>
  <si>
    <t>CRB1836s1v3</t>
  </si>
  <si>
    <t>CRB1837s1v4</t>
  </si>
  <si>
    <t>CRB1837s1v5</t>
  </si>
  <si>
    <t>CRB1838s1v7</t>
  </si>
  <si>
    <t>CRB1839s1v8</t>
  </si>
  <si>
    <t>CRB1839s1v9</t>
  </si>
  <si>
    <t>CRB1840s1v10</t>
  </si>
  <si>
    <t>Formulaire Magistral et Mémorial Pharmaceutique</t>
  </si>
  <si>
    <t>Nouveau formulaire pratique des hôpitaux</t>
  </si>
  <si>
    <t>LA1833s1v1</t>
  </si>
  <si>
    <t>L'Agronome</t>
  </si>
  <si>
    <t>LA1834s1v2</t>
  </si>
  <si>
    <t>MR1836v4</t>
  </si>
  <si>
    <t>GHCM1828-1829s1v1</t>
  </si>
  <si>
    <t>Gazette des hôpitaux civils et militaires</t>
  </si>
  <si>
    <t>GHCM1829-1830s1v2</t>
  </si>
  <si>
    <t>1829-1830</t>
  </si>
  <si>
    <t>GHCM1830-1830s1v3</t>
  </si>
  <si>
    <t>1830-1830</t>
  </si>
  <si>
    <t>GHCM1830-1831s1v4</t>
  </si>
  <si>
    <t>GHCM1832-1832s1v6</t>
  </si>
  <si>
    <t>1832-1832</t>
  </si>
  <si>
    <t>GHCM1833s1v7</t>
  </si>
  <si>
    <t>GHCM1836s1v10</t>
  </si>
  <si>
    <t>GHCM1838s1v12</t>
  </si>
  <si>
    <t>GHCM1840s2v2</t>
  </si>
  <si>
    <t>LPO1825s1v1</t>
  </si>
  <si>
    <t>The London and Paris Observer</t>
  </si>
  <si>
    <t>LPO1826s1v2</t>
  </si>
  <si>
    <t>LPO1827s1v3</t>
  </si>
  <si>
    <t>LPO1829s1v5</t>
  </si>
  <si>
    <t>LPO1830s1v6</t>
  </si>
  <si>
    <t>LPO1831s1v7</t>
  </si>
  <si>
    <t>LPO1832s1v8</t>
  </si>
  <si>
    <t>LPO1833s1v9</t>
  </si>
  <si>
    <t>LPO1834s1v10</t>
  </si>
  <si>
    <t>LPO1835s1v11</t>
  </si>
  <si>
    <t>LPO1836s1v12</t>
  </si>
  <si>
    <t>LPO1837s1v13</t>
  </si>
  <si>
    <t>LPO1838s1v14</t>
  </si>
  <si>
    <t>LPO1839s1v15</t>
  </si>
  <si>
    <t>A brief Portuguese compilation of medical and longevity curiosities excerpted from various European newspapers, so best treated as a translated digest rather than a single direct translation.</t>
  </si>
  <si>
    <t>"De l’emploi de l’indigo dans le traitement de l’épilepsie." Bulletin général de thérapeutique médicale, chirurgicale, obstétricale et pharmaceutique (Paris) 11 (1836): 81–87.</t>
  </si>
  <si>
    <t>"Mineral and Vegetable Materia Medica. Remarks by Lord Stanhope." The London Medical Gazette (London) 28 (1836): 495–496.</t>
  </si>
  <si>
    <t>"Expulsion de l'utérus avec ses appendices peu après l'accouchement ; observation communiquée par J. С. Соок." Journal des Connaissances Medico Chirurgicales (Paris) 4, no. 4 (October 1836): 163–164.</t>
  </si>
  <si>
    <t>"Popular Poison." The Penny Magazine (London) 1, no. 8 (19 May 1832): 72.</t>
  </si>
  <si>
    <t>"Observation de cyanopathie, par M. Mareschal." Journal de la Section de médecine de la Société académique du département de la Loire-Inférieure (Nantes) 14 (1838): 147–152.</t>
  </si>
  <si>
    <t>Journal de la Section de médecine de la Société académique du département de la Loire-Inférieure</t>
  </si>
  <si>
    <t>"Opacité de la cornée (opération pratiquée en Perse pour remédier à l’), par M. Griffiths." Archives générales de médecine (Paris) 4 (1839): 100.</t>
  </si>
  <si>
    <t>Gannal. "Simple avis aux personnes qui se médicamentent elles-mêmes." Journal des Connaissances Utiles (Paris) 3, no. 10 (October 1833): 266.</t>
  </si>
  <si>
    <t>Henry Searle. "On the Agency of the Atmosphere in the Production of Disease. By Henry Searle, Esq., Surgeon, Kennington." The Lancet (London) 2 (1835): 110–114.</t>
  </si>
  <si>
    <r>
      <t xml:space="preserve">Levacher, Michel-Gabriel. </t>
    </r>
    <r>
      <rPr>
        <i/>
        <sz val="11"/>
        <color theme="1"/>
        <rFont val="Calibri"/>
        <family val="2"/>
        <scheme val="minor"/>
      </rPr>
      <t>Guide médical des Antilles, ou Études sur les maladies des colonies en général, et sur celles qui sont propres à la race noire</t>
    </r>
    <r>
      <rPr>
        <sz val="11"/>
        <color theme="1"/>
        <rFont val="Calibri"/>
        <family val="2"/>
        <scheme val="minor"/>
      </rPr>
      <t>. Paris: J.-B. Baillière, 1834.</t>
    </r>
  </si>
  <si>
    <r>
      <t xml:space="preserve">Marianini, E. “Mémoire sur quelques cas de paralysie traités au moyen de l’électricité produite par des appareils voltaïques.” </t>
    </r>
    <r>
      <rPr>
        <i/>
        <sz val="11"/>
        <color theme="1"/>
        <rFont val="Calibri"/>
        <family val="2"/>
        <scheme val="minor"/>
      </rPr>
      <t xml:space="preserve">Annales de chimie et de physique </t>
    </r>
    <r>
      <rPr>
        <sz val="11"/>
        <color theme="1"/>
        <rFont val="Calibri"/>
        <family val="2"/>
        <scheme val="minor"/>
      </rPr>
      <t xml:space="preserve">(Paris) 2, no. 54 (1833): 366–379. </t>
    </r>
  </si>
  <si>
    <r>
      <t xml:space="preserve">A. Jullien de Paris, </t>
    </r>
    <r>
      <rPr>
        <i/>
        <sz val="11"/>
        <color theme="1"/>
        <rFont val="Calibri"/>
        <family val="2"/>
        <scheme val="minor"/>
      </rPr>
      <t>Essai général d’éducation physique, morale et intellectuelle…</t>
    </r>
    <r>
      <rPr>
        <sz val="11"/>
        <color theme="1"/>
        <rFont val="Calibri"/>
        <family val="2"/>
        <scheme val="minor"/>
      </rPr>
      <t xml:space="preserve"> 2nd ed. (Paris: Chez l’Auteur; Mme Dondèy-Dupré; Béchet aîné, 1835), 155–158. </t>
    </r>
  </si>
  <si>
    <r>
      <t xml:space="preserve">“Correspondance.” </t>
    </r>
    <r>
      <rPr>
        <i/>
        <sz val="11"/>
        <color theme="1"/>
        <rFont val="Calibri"/>
        <family val="2"/>
        <scheme val="minor"/>
      </rPr>
      <t>Bulletin de Pharmacie (Paris)</t>
    </r>
    <r>
      <rPr>
        <sz val="11"/>
        <color theme="1"/>
        <rFont val="Calibri"/>
        <family val="2"/>
        <scheme val="minor"/>
      </rPr>
      <t xml:space="preserve"> 4 (1812): 424–425. </t>
    </r>
  </si>
  <si>
    <r>
      <t xml:space="preserve">“Principe odorant du vin.” </t>
    </r>
    <r>
      <rPr>
        <i/>
        <sz val="11"/>
        <color theme="1"/>
        <rFont val="Calibri"/>
        <family val="2"/>
        <scheme val="minor"/>
      </rPr>
      <t xml:space="preserve">Gazette médicale de Paris (Paris) </t>
    </r>
    <r>
      <rPr>
        <sz val="11"/>
        <color theme="1"/>
        <rFont val="Calibri"/>
        <family val="2"/>
        <scheme val="minor"/>
      </rPr>
      <t xml:space="preserve">, 2e série, tome 4 (1836): 652. </t>
    </r>
  </si>
  <si>
    <r>
      <t xml:space="preserve">Serre d’Alais. “Sur le bégaiement.” </t>
    </r>
    <r>
      <rPr>
        <i/>
        <sz val="11"/>
        <color theme="1"/>
        <rFont val="Calibri"/>
        <family val="2"/>
        <scheme val="minor"/>
      </rPr>
      <t>Gazette médicale de Paris (Paris)</t>
    </r>
    <r>
      <rPr>
        <sz val="11"/>
        <color theme="1"/>
        <rFont val="Calibri"/>
        <family val="2"/>
        <scheme val="minor"/>
      </rPr>
      <t xml:space="preserve"> (2e série) 6 (6 janvier 1838): 13. </t>
    </r>
  </si>
  <si>
    <r>
      <t xml:space="preserve">“Instances of Menstruation Occurring in Old Age.” </t>
    </r>
    <r>
      <rPr>
        <i/>
        <sz val="11"/>
        <color theme="1"/>
        <rFont val="Calibri"/>
        <family val="2"/>
        <scheme val="minor"/>
      </rPr>
      <t>American Journal of the Medical Sciences</t>
    </r>
    <r>
      <rPr>
        <sz val="11"/>
        <color theme="1"/>
        <rFont val="Calibri"/>
        <family val="2"/>
        <scheme val="minor"/>
      </rPr>
      <t xml:space="preserve"> 22 (January 1838): 256; "Art. 1648 . Observations curieuses de superfétation." Journal de médecine et de chirurgie pratiques (Paris) 9 (1838): 202–203; "Société de médecine pratique. Présidence de M. Fouquier. Séance du 4 janvier 1838."  Gazette des hôpitaux civils et militaires (Bordeaux) 12 (1838): 135–136.</t>
    </r>
  </si>
  <si>
    <r>
      <t xml:space="preserve">“Provincial Medical Association.” </t>
    </r>
    <r>
      <rPr>
        <i/>
        <sz val="11"/>
        <color theme="1"/>
        <rFont val="Calibri"/>
        <family val="2"/>
        <scheme val="minor"/>
      </rPr>
      <t xml:space="preserve">The British and Foreign Medical Review </t>
    </r>
    <r>
      <rPr>
        <sz val="11"/>
        <color theme="1"/>
        <rFont val="Calibri"/>
        <family val="2"/>
        <scheme val="minor"/>
      </rPr>
      <t xml:space="preserve">(London) 8, no. 16 (October 1839): 603–616. </t>
    </r>
  </si>
  <si>
    <r>
      <t>Schmidt’s Jahrbücher der in- und ausländischen gesammten Medicin (Leipzig)</t>
    </r>
    <r>
      <rPr>
        <sz val="11"/>
        <color theme="1"/>
        <rFont val="Calibri"/>
        <family val="2"/>
        <scheme val="minor"/>
      </rPr>
      <t xml:space="preserve"> 24, no. 2 (1839): 156. </t>
    </r>
  </si>
  <si>
    <r>
      <t xml:space="preserve">Hudson, Alfred. “Observations on the Use of Nitrate of Silver in Some Affections of the Mucous Membranes.” </t>
    </r>
    <r>
      <rPr>
        <i/>
        <sz val="11"/>
        <color theme="1"/>
        <rFont val="Calibri"/>
        <family val="2"/>
        <scheme val="minor"/>
      </rPr>
      <t>The Dublin Journal of Medical Science (Dublin)</t>
    </r>
    <r>
      <rPr>
        <sz val="11"/>
        <color theme="1"/>
        <rFont val="Calibri"/>
        <family val="2"/>
        <scheme val="minor"/>
      </rPr>
      <t xml:space="preserve"> 17, no. 2 (May 1840): 234–243. </t>
    </r>
  </si>
  <si>
    <t>Constâncio, Francisco Solano. “Noticia sobre o Rima ou Arvore de pão.” Annaes das sciencias, das artes, e das letras (Paris) 9 (1820): 68–75.</t>
  </si>
  <si>
    <t>José Diogo Mascarenhas Neto, "Cathecismo de Agricultura. Capítulo V. Dos alimentos das plantas. Lição L" Annaes das sciencias, das artes, e das letras (Paris) 3 (April 1819): 55–80.</t>
  </si>
  <si>
    <t>José Diogo Mascarenhas Neto, "Cathecismo de Agricultura. Capítulo IV. Dos agentes da germinação e da vegetação. Lição XLI" Annaes das sciencias, das artes, e das letras (Paris) 3 (April 1819): 47–55.</t>
  </si>
  <si>
    <t>José Diogo Mascarenhas Neto, "Sobre a caria; (ustilago dos Botanicos)" Annaes das sciencias, das artes, e das letras (Paris) 4 (April 1819): 53–65.</t>
  </si>
  <si>
    <t>"Cathecismo de Agricultura," Annaes das sciencias, das artes, e das letras (Paris) 3 (1819): 7–18.</t>
  </si>
  <si>
    <t>"Cathecismo de Agricultura," Annaes das sciencias, das artes, e das letras (Paris) 3 (1819):19–35.</t>
  </si>
  <si>
    <t>"Cathecismo de Agricultura," Annaes das sciencias, das artes, e das letras (Paris) 3 (1819):35–47.</t>
  </si>
  <si>
    <t>"Rapport verbal sur les OOEuvres d'histoire naturelle de GOETHE , traduites par M. le docteur Martins ." Comptes rendus hebdomadaires des séances de l'Académie des sciences (Paris) 6 (1838): 320–331.</t>
  </si>
  <si>
    <t>Allix, J. A. F. Théorie de l’univers, ou, De la cause primitive du mouvement, et de ses principaux effets. 2nd ed. Paris: Mme Veuve Courcier, 1818.</t>
  </si>
  <si>
    <t>Memoria, ou Exposição do Methodo de plantar, e colher no Brazil a Mandioca, e fabricar a sua farinha; e dos mais productos, e usos desta raiz com a applicação do mesmo methodo no fabrico da farinha das batatas.</t>
  </si>
  <si>
    <t>06/10/1832</t>
  </si>
  <si>
    <t>03/11/1832</t>
  </si>
  <si>
    <t>Marked as a translation by the editor. Likely an English-to-Portuguese press translation (c. 1832) of a letter signed “A Merchant of Brazil,” first printed in London’s The Atlas (29 April) and then reprinted via the Correio Official.</t>
  </si>
  <si>
    <t>Livingston, Edward. Report Made to the General Assembly of the State of Louisiana, on the Plan of a Penal Code for the Said State. New-Orleans: Printed by Benjamin Levy &amp; Co., 1822, 3–4 (“An Act Relative to the Criminal Laws of this State”) and 111–115 (“Book Second. Preliminary Chapter. Preamble… fundamental truths”).</t>
  </si>
  <si>
    <t>"Die malerische Reise in Brasilien (Voyage pittoresque dans le Brésil), par Maurice Rugendas.” Revue trimestrielle (Paris) 2 (April 1828): 366–403.</t>
  </si>
  <si>
    <t>BUSI1824s1v2</t>
  </si>
  <si>
    <t>Annales de la littérature et des arts</t>
  </si>
  <si>
    <t>Bulletin de pharmacie</t>
  </si>
  <si>
    <t>Bulletin universel des sciences et de l'industrie</t>
  </si>
  <si>
    <t>It is a short Portuguese digest or loose translation of an Anglo-American therapeutic notice from the early 1830s about “chloric ether” as a new antispasmodic for spasmodic asthma, giving dose and preparation.</t>
  </si>
  <si>
    <t xml:space="preserve">Léo, Dr. “Traitement du choléra.” In Notices et documens sur le choléra: extraits de communications particulières et de journaux étrangers, traduit et publié par Charles Peschier, 37–38. 2e éd. Genève: Imprimerie de Henri Schmiedt, 1831. </t>
  </si>
  <si>
    <t>Uruguay</t>
  </si>
  <si>
    <t>"Académie des sciences. Séance du 9 février. Fœtus humain vomi par un enfant de trois ans." Journal des Connaissances Medico Chirurgicales (Paris) 2, no. 8 (April 1835): 335.</t>
  </si>
  <si>
    <t xml:space="preserve">“Tabac” (section: “Culture et préparation du tabac en Virginie”). In Nouveau dictionnaire d’histoire naturelle, appliquée aux arts, principalement à l’agriculture et à l’économie rurale et domestique, tome 21, 530–558. Paris: Chez Deterville, An XII (1803). </t>
  </si>
  <si>
    <t>Agoa de Marmelos.</t>
  </si>
  <si>
    <t>Spain</t>
  </si>
  <si>
    <t>Armstrong, J. D. “Steam-Boats on the St. Lawrence: Method of Steering—Engines, &amp;c.” The Nautical Magazine (London) 3, no. 25 (January 1834): 37–41.</t>
  </si>
  <si>
    <t>Mexico</t>
  </si>
  <si>
    <t xml:space="preserve">Bailly, C. Manuel complet théorique et pratique du jardinier, ou, L’art de cultiver et de composer toutes sortes de jardins. Seconde partie: Les jardins fleuristes et d’agrément. 2nd ed., revue, corrigée et considérablement augmentée, précédée de l’Annuaire des travaux du jardinier pour 1825. Paris: Roret, 1825, 32–35. </t>
  </si>
  <si>
    <t>A terse practical “receipt” for repairing glass and ceramics with linseed oil and green sealing wax, likely lifted from the period’s European “practical receipts” and pharmacy–arts compendium tradition (English and French handbooks routinely circulate the same materials and short-form recipes).</t>
  </si>
  <si>
    <t xml:space="preserve">A short practical “receipt” for a natural glue taken from the gelatinous bladder of large vineyard snails to cement porcelain and glass, most likely translated from French popular practical-science/household recipe literature that was later recycled into English recipe compendia. </t>
  </si>
  <si>
    <t xml:space="preserve">A very short household “receipt” for long storage, likely lifted from widely circulated domestic economy manuals where lime water preservation is a standard tip. </t>
  </si>
  <si>
    <t>A practical kitchen technique framed as thrift and efficiency, consistent with older culinary advice that treats pounding as a form of mechanical tenderisation rather than a local Brazilian report.</t>
  </si>
  <si>
    <t>A generic filtration note that reads like an excerpt from European receipt-book culture, where flannel cloth and paper filters are routine for clearing cordials and infused spirits.</t>
  </si>
  <si>
    <t>A workshop style sharpening hint that swaps oil for a water based lubricant and careful cleaning, matching the broader logic found in tool care guidance rather than an original article.</t>
  </si>
  <si>
    <t>Marked as a translation by the editor. This Portuguese piece is best read as a near-verbatim translation/compilation of the French pharmacological entry “Acide lactique” from François Magendie’s Formulaire pour la préparation et l’emploi de plusieurs nouveaux médicaments (8th ed., Paris: Méquignon-Marvis, 1835), a section first introduced in the 1835 edition.</t>
  </si>
  <si>
    <t>Tratado de Alliança concluido a 24 de Fevereiro entre S. M. o Rei de German States e S. M. o Imperador dos Francezes, Rei de Italia, etc., e ratificado em Berlim a 5 de Março de 1812.</t>
  </si>
  <si>
    <t xml:space="preserve">Foreign diplomatic correspondence (German Statesn envoy Krusemarck) rendered in Portuguese for readers in Brazil. </t>
  </si>
  <si>
    <t>Allemanha. Tratado de Alliança entre S. M. o Imperador de Austria, Rei de Hungria e Bohemia, S. M. o Imperador de todas as Russias, S. M. o Rei dos Reinos Unidos da Gran-Bretanha e Irlanda, e S. M. o Rei de German States: assignado em Chaumont a 2 de Março de 1814.</t>
  </si>
  <si>
    <t>Formula do Dr. Knod, medico na German States, para suspender a salivação copioso.</t>
  </si>
  <si>
    <t>This is a short therapeutic “formula” notice attributed to Dr. Knod (German States) and presented as already circulating in European medical journals.</t>
  </si>
  <si>
    <t>First printed in Saint Petersburg’s Kommercheskaia gazeta (Коммерческая газета), the report was translated and reprinted in Britain’s Mining Journal and then relayed through official correspondence to Rio de Janeiro for publication.</t>
  </si>
  <si>
    <t>United States of America</t>
  </si>
  <si>
    <t>Mercurio delle Scienze Mediche</t>
  </si>
  <si>
    <t>Giornale critico di medicina analitica</t>
  </si>
  <si>
    <t>MSM1824s1v2</t>
  </si>
  <si>
    <t>MSM1825s1v4</t>
  </si>
  <si>
    <t>MSM1826s1v5</t>
  </si>
  <si>
    <t>MSM1826s1v6</t>
  </si>
  <si>
    <t>MSM1827s1v7</t>
  </si>
  <si>
    <t>MSM1827s1v8</t>
  </si>
  <si>
    <t>MSM1828s1v10</t>
  </si>
  <si>
    <t>NMSM1829s1v1</t>
  </si>
  <si>
    <t>NMSM1829s1v2</t>
  </si>
  <si>
    <t>NMSM1829s1v3</t>
  </si>
  <si>
    <t>NMSM1829s1v4</t>
  </si>
  <si>
    <t>NMSM1830s2v1</t>
  </si>
  <si>
    <t>NMSM1830s2v2</t>
  </si>
  <si>
    <t>GCMA1826s1v1</t>
  </si>
  <si>
    <t>GCMA1826s1v2</t>
  </si>
  <si>
    <t>GCMA1826s1v3</t>
  </si>
  <si>
    <t>GCMA1826s1v4</t>
  </si>
  <si>
    <t>GCMA1827s1v5</t>
  </si>
  <si>
    <t>GCMA1827s1v6</t>
  </si>
  <si>
    <t>GCMA1827s1v7</t>
  </si>
  <si>
    <t>GCMA1827s1v8</t>
  </si>
  <si>
    <t>GCMA1828s1v9</t>
  </si>
  <si>
    <t>GCMA1828s1v10</t>
  </si>
  <si>
    <t>GCMA1829s1v11</t>
  </si>
  <si>
    <t>GCMA1829s1v12</t>
  </si>
  <si>
    <t>GCMA1830s1v14</t>
  </si>
  <si>
    <t>GCMA1831s1v15</t>
  </si>
  <si>
    <t>BUSI1824s1v1</t>
  </si>
  <si>
    <t>BUSI1824s1v3</t>
  </si>
  <si>
    <t>BUSI1825s1v4</t>
  </si>
  <si>
    <t>BUSI1825s1v5</t>
  </si>
  <si>
    <t>BUSI1825s1v6</t>
  </si>
  <si>
    <t>BUSI1825s1v7</t>
  </si>
  <si>
    <t>BUSI1826s1v8</t>
  </si>
  <si>
    <t>BUSI1826s1v9</t>
  </si>
  <si>
    <t>BUSI1827s1v11</t>
  </si>
  <si>
    <t>BUSI1827s1v12</t>
  </si>
  <si>
    <t>BUSI1828s1v10</t>
  </si>
  <si>
    <t>BUSI1828s1v14</t>
  </si>
  <si>
    <t>BUSI1828s1v15</t>
  </si>
  <si>
    <t>BUSI1829s1v16</t>
  </si>
  <si>
    <t>BUSI1829s1v17</t>
  </si>
  <si>
    <t>BUSI1829s1v18</t>
  </si>
  <si>
    <t>BUSI1829s1v19</t>
  </si>
  <si>
    <t>BUSI1830s1v13</t>
  </si>
  <si>
    <t>BUSI1830s1v20</t>
  </si>
  <si>
    <t>BUSI1830s1v21</t>
  </si>
  <si>
    <t>BUSI1830s1v22</t>
  </si>
  <si>
    <t>BUSI1830s1v23</t>
  </si>
  <si>
    <t>BUSI1831s1v24</t>
  </si>
  <si>
    <t>BUSI1831s1v25</t>
  </si>
  <si>
    <t>BUSI1831s1v26</t>
  </si>
  <si>
    <t>BUSI1831s1v27</t>
  </si>
  <si>
    <t>ALA1820s1v1</t>
  </si>
  <si>
    <t>ALA1821s1v2</t>
  </si>
  <si>
    <t>ALA1821s1v4</t>
  </si>
  <si>
    <t>ALA1821s1v5</t>
  </si>
  <si>
    <t>ALA1821s1v6</t>
  </si>
  <si>
    <t>ALA1822s1v8</t>
  </si>
  <si>
    <t>ALA1823s1v10</t>
  </si>
  <si>
    <t>ALA1823s1v11</t>
  </si>
  <si>
    <t>ALA1823s1v12</t>
  </si>
  <si>
    <t>ALA1823s1v13</t>
  </si>
  <si>
    <t>ALA1824s1v14</t>
  </si>
  <si>
    <t>ALA1824s1v15</t>
  </si>
  <si>
    <t>ALA1824s1v16</t>
  </si>
  <si>
    <t>ALA1824s1v17</t>
  </si>
  <si>
    <t>ALA1825s1v18</t>
  </si>
  <si>
    <t>ALA1825s1v19</t>
  </si>
  <si>
    <t>ALA1825s1v20</t>
  </si>
  <si>
    <t>ALA1825s1v21</t>
  </si>
  <si>
    <t>ALA1826s1v22</t>
  </si>
  <si>
    <t>ALA1826s1v23</t>
  </si>
  <si>
    <t>ALA1827s1v26</t>
  </si>
  <si>
    <t>ALA1827s1v27</t>
  </si>
  <si>
    <t>ALA1827s1v28</t>
  </si>
  <si>
    <t>ALA1827s1v29</t>
  </si>
  <si>
    <t>ALA1828s1v30</t>
  </si>
  <si>
    <t>ALA1828s1v31</t>
  </si>
  <si>
    <t>ALA1828s1v32</t>
  </si>
  <si>
    <t>ALA1828s1v33</t>
  </si>
  <si>
    <t>ALA1829s1v34</t>
  </si>
  <si>
    <t>Reuse (Reprint)</t>
  </si>
  <si>
    <t>"Tritoxide de fer, antidote de l'acide arsenieux." Revue médicale française et étrangère (Paris) 4 (1834): 244–245.</t>
  </si>
  <si>
    <t>Framed as private correspondence</t>
  </si>
  <si>
    <t>It is explicitly marked as “Remettido de Lisboa."</t>
  </si>
  <si>
    <t>An original, locally authored occasional sonnet, celebrating the Conde de Palma’s appointment, with Lusophone intertextuality to Os Lusíadas.</t>
  </si>
  <si>
    <t>“Extrahido dos Registros” of France’s Senate.</t>
  </si>
  <si>
    <t>"Instruction sur la vaccine ; rédigée par M. le docteur EMERY , au nom de la commission de vaccine, et adoptée par l'académie royale de médecine. " Gazette médicale de Paris (Paris) 1, no. 28 (10 July 1830): 265.</t>
  </si>
  <si>
    <t>04/08/1832</t>
  </si>
  <si>
    <t>02/06/1832</t>
  </si>
  <si>
    <t>09/06/1832</t>
  </si>
  <si>
    <t>01/09/1832</t>
  </si>
  <si>
    <t>08/09/1832</t>
  </si>
  <si>
    <t>01/10/1831</t>
  </si>
  <si>
    <t>08/10/1831</t>
  </si>
  <si>
    <t>01/12/1832</t>
  </si>
  <si>
    <t>08/12/1832</t>
  </si>
  <si>
    <t>07/01/1832</t>
  </si>
  <si>
    <t>04/02/1832</t>
  </si>
  <si>
    <t>03/12/1831</t>
  </si>
  <si>
    <t>05/05/1832</t>
  </si>
  <si>
    <t>07/04/1832</t>
  </si>
  <si>
    <t>03/03/1832</t>
  </si>
  <si>
    <t>05/11/1831</t>
  </si>
  <si>
    <t>03/09/1831</t>
  </si>
  <si>
    <t>06/08/1831</t>
  </si>
  <si>
    <t>02/07/1831</t>
  </si>
  <si>
    <t>09/07/1831</t>
  </si>
  <si>
    <t>04/06/1831</t>
  </si>
  <si>
    <t>Memoria sobre a cultura dos algodoeiros, por Manoel Arruda da Câmara, Doutor em Medicina pela Universidade de Montpellier, da Academia das Sciencias da mesma Cidade, Correspondente da Sociedade de Agricultura de Pariz, e da Academia Real das Sciencias de Lisboa, e Naturalista empregado no Serviço de S. M. Fidelissima na Capitania de Pernambuco.  Anno de 1797. Capítulo I. Da antiguidade do uso do algodão, e da vantagem, que tem resultado a Portugal, e a Pernambuco, da sua cultura.</t>
  </si>
  <si>
    <t>Preparações do Musgo Islandico.</t>
  </si>
  <si>
    <t>Primeira memoria sobre as allucinações dos sentidos; por M. Bayle.</t>
  </si>
  <si>
    <t>Language</t>
  </si>
  <si>
    <t>Matches</t>
  </si>
  <si>
    <t>"Académie gymnastique." Archives générales de médecine (Paris) 27 (1831): 555–556.</t>
  </si>
  <si>
    <t>"Séance du 13. – Choléra-morbus." Revue médicale française et étrangère (Paris) 4, no, 7 (October 1831): 163–167.</t>
  </si>
  <si>
    <t>"Circulaires ministérielles relatives aux mesures sanitaires contre le choléra-morbus." Gazette médicale de Paris (Paris) 2, no. 27 (2 July 1831): 333–334.</t>
  </si>
  <si>
    <t>"M. Sécullas lit une ntoe sur l'emploi…" Gazette médicale de Paris (Paris) 2, no. 18 (30 April 1831): 158.</t>
  </si>
  <si>
    <t>Medicina. Notícias sobre o Choléra Morbus. Artigos extraídos de huma nova Carta de Mr. Legallois e Mr. Brière de Boismont Escripta de Varsovia á Academia de Paris.</t>
  </si>
  <si>
    <t>Journal des commissions sanitaires établies dans le département de la Seine</t>
  </si>
  <si>
    <t>Recueil industriel, manufacturier, agricole et commercial</t>
  </si>
  <si>
    <t>RIMAC1827s1v3</t>
  </si>
  <si>
    <t>RIMAC1827s1v4</t>
  </si>
  <si>
    <t>RIMAC1828s1v5</t>
  </si>
  <si>
    <t>RIMAC1828s1v6</t>
  </si>
  <si>
    <t>RIMAC1828s1v7</t>
  </si>
  <si>
    <t>RIMAC1828s1v8</t>
  </si>
  <si>
    <t>RIMAC1829s1v9</t>
  </si>
  <si>
    <t>RIMAC1829s1v11</t>
  </si>
  <si>
    <t>RIMAC1830s1v13</t>
  </si>
  <si>
    <t>RIMAC1830s1v15</t>
  </si>
  <si>
    <t>RIMAC1830s1v16</t>
  </si>
  <si>
    <t>RIMAC1831s1v5</t>
  </si>
  <si>
    <t>RIMAC1831s1v17</t>
  </si>
  <si>
    <t>RIMAC1831s1v18</t>
  </si>
  <si>
    <t>RIMAC1832s1v6</t>
  </si>
  <si>
    <t>RIMAC1833s1v7.2</t>
  </si>
  <si>
    <t>RIMAC1833s1v7</t>
  </si>
  <si>
    <t>RIMAC1834s2v8</t>
  </si>
  <si>
    <t>RIMAC1835s2v9</t>
  </si>
  <si>
    <t>RIMAC1836s2v10</t>
  </si>
  <si>
    <t>RIMAC1837s2v11</t>
  </si>
  <si>
    <t>Recueil de la Société polytechnique</t>
  </si>
  <si>
    <t>RSP1839s3v5</t>
  </si>
  <si>
    <t>RSP1839s3v6</t>
  </si>
  <si>
    <t>RSP1839s3v8</t>
  </si>
  <si>
    <t>RSP1840s3v9</t>
  </si>
  <si>
    <t>RSP1840s3v10</t>
  </si>
  <si>
    <t>RSP1840s3v11</t>
  </si>
  <si>
    <t>Journal universal des sciences médicales</t>
  </si>
  <si>
    <t>JUSM1816s1v1-2</t>
  </si>
  <si>
    <t>JUSM1816s1v19</t>
  </si>
  <si>
    <t>JUSM1819s1v14</t>
  </si>
  <si>
    <t>JUSM1819s1v15</t>
  </si>
  <si>
    <t>JUSM1819s1v16</t>
  </si>
  <si>
    <t>JUSM1820s1v17</t>
  </si>
  <si>
    <t>JUSM1820s1v18</t>
  </si>
  <si>
    <t>JUSM1820s1v19</t>
  </si>
  <si>
    <t>JUSM1820s1v20</t>
  </si>
  <si>
    <t>JUSM1821s1v21</t>
  </si>
  <si>
    <t>JUSM1821s1v22</t>
  </si>
  <si>
    <t>JUSM1821s1v23</t>
  </si>
  <si>
    <t>JUSM1821s1v24</t>
  </si>
  <si>
    <t>JUSM1822s1v25</t>
  </si>
  <si>
    <t>JUSM1822s1v26</t>
  </si>
  <si>
    <t>JUSM1822s1v27</t>
  </si>
  <si>
    <t>JUSM1822s1v28</t>
  </si>
  <si>
    <t>JUSM1823s1v29</t>
  </si>
  <si>
    <t>JUSM1823s1v30</t>
  </si>
  <si>
    <t>JUSM1823s1v31</t>
  </si>
  <si>
    <t>JUSM1823s1v32</t>
  </si>
  <si>
    <t>JUSM1824s1v33</t>
  </si>
  <si>
    <t>JUSM1824s1v34</t>
  </si>
  <si>
    <t>JUSM1824s1v35</t>
  </si>
  <si>
    <t>JUSM1824s1v36</t>
  </si>
  <si>
    <t>JUSM1825s1v37</t>
  </si>
  <si>
    <t>JUSM1825s1v38</t>
  </si>
  <si>
    <t>JUSM1825s1v39</t>
  </si>
  <si>
    <t>JUSM1825s1v40</t>
  </si>
  <si>
    <t>JUSM1826s1v41</t>
  </si>
  <si>
    <t>JUSM1826s1v42</t>
  </si>
  <si>
    <t>JUSM1826s1v43</t>
  </si>
  <si>
    <t>JUSM1826s1v44</t>
  </si>
  <si>
    <t>JUSM1827s1v45</t>
  </si>
  <si>
    <t>JUSM1827s1v46</t>
  </si>
  <si>
    <t>JUSM1827s1v47</t>
  </si>
  <si>
    <t>JUSM1827s1v48</t>
  </si>
  <si>
    <t>JUSM1828s1v49</t>
  </si>
  <si>
    <t>JUSM1828s1v50</t>
  </si>
  <si>
    <t>JUSM1828s1v51</t>
  </si>
  <si>
    <t>JUSM1828s1v52</t>
  </si>
  <si>
    <t>JUSM1829s1v53</t>
  </si>
  <si>
    <t>JUSM1829s1v54</t>
  </si>
  <si>
    <t>JUSM1829s1v55</t>
  </si>
  <si>
    <t>JUSM1829s1v56</t>
  </si>
  <si>
    <t>JUSM1830s1v57</t>
  </si>
  <si>
    <t>JUSM1830s1v58</t>
  </si>
  <si>
    <t>JCAH1820s1v1</t>
  </si>
  <si>
    <t>JCAH1822s1v3</t>
  </si>
  <si>
    <t>JCAH1825s1v7</t>
  </si>
  <si>
    <t>JCAH1825s1v8</t>
  </si>
  <si>
    <t>JCAH1826s1v9</t>
  </si>
  <si>
    <t>JCAH1828s1v12</t>
  </si>
  <si>
    <t>JCAH1829s1v13</t>
  </si>
  <si>
    <t>JCAH1830s1v14</t>
  </si>
  <si>
    <t>JCAH1831s1v15</t>
  </si>
  <si>
    <t>JCAH1831s1v16</t>
  </si>
  <si>
    <t>JCAH1832s1v18</t>
  </si>
  <si>
    <t>JCAH1834s1v20</t>
  </si>
  <si>
    <t>MEARSL1815s1v5</t>
  </si>
  <si>
    <t>Anales de Ciencias Naturales</t>
  </si>
  <si>
    <t>ACN1801s1v3</t>
  </si>
  <si>
    <t>ACN1801s1v4</t>
  </si>
  <si>
    <t>ACN1802s1v5</t>
  </si>
  <si>
    <t>ACN1803s1v6</t>
  </si>
  <si>
    <t>ACN1804s1v7</t>
  </si>
  <si>
    <t>Anales de Historia Natural</t>
  </si>
  <si>
    <t>AHN1799s1v1</t>
  </si>
  <si>
    <t>AHN1800s1v2</t>
  </si>
  <si>
    <t>Variedades de Ciencias, Literatura y Artes</t>
  </si>
  <si>
    <t>VCLA1803s1v1</t>
  </si>
  <si>
    <t>VCLA1804s1v2</t>
  </si>
  <si>
    <t>VCLA1804s1v3</t>
  </si>
  <si>
    <t>VCLA1804s1v4</t>
  </si>
  <si>
    <t>VCLA1805s2v1</t>
  </si>
  <si>
    <t>VCLA1805s2v2</t>
  </si>
  <si>
    <t>VCLA1805s2v3</t>
  </si>
  <si>
    <t>VCLA1805s2v4</t>
  </si>
  <si>
    <t>Diario de Saúde</t>
  </si>
  <si>
    <t xml:space="preserve">“Pomada que obsta à caida dos cabellos.” O Panorama (Lisbon) 2, no. 60 (23 June 1838): 200. </t>
  </si>
  <si>
    <t>J. B. Say. “Economia Politica. — Preceitos geraes.” O Panorama (Lisbon) 1, no. 9 (1 July 1837): 70.</t>
  </si>
  <si>
    <t xml:space="preserve">“Receitas para tirar nodoas do fato.” O Panorama (Lisbon) 2, no. 56 (26 May 1838): 168. </t>
  </si>
  <si>
    <t xml:space="preserve">“Observações curiosas sobre os ovos.” O Panorama (Lisbon) 4, no. 180 (10 October 1840): 328. </t>
  </si>
  <si>
    <t xml:space="preserve">“Pedras fiadas e tecidas.” O Panorama (Lisbon) 4, no. 168 (18 July 1840): 231–232. </t>
  </si>
  <si>
    <t xml:space="preserve">“O povo e o trabalho.” O Panorama (Lisbon) 2, no. 68 (18 August 1838): 258–259. </t>
  </si>
  <si>
    <t xml:space="preserve">“Receita para envelhecer os vinhos.” O Panorama (Lisbon) 2, no. 59 (16 June 1838): 192. </t>
  </si>
  <si>
    <t xml:space="preserve">“Formula d'um remedio contra as dores de garganta.” O Panorama (Lisbon) 2, no. 62 (7 July 1838): 216. </t>
  </si>
  <si>
    <t xml:space="preserve">“Receita para que o leite não azede.” O Panorama (Lisbon) 2, no. 76 (13 October 1838): 328. </t>
  </si>
  <si>
    <t xml:space="preserve">“Meio de conservar a agua nos toneis das embarcações, e nas cisternas.” O Panorama (Lisbon) 2, no. 30 (7 July 1838): 216. </t>
  </si>
  <si>
    <t xml:space="preserve">“Como se lava a flanella, conservando-lhe a alvura.” O Panorama (Lisbon) 2, no. 72 (15 September 1838): 294. </t>
  </si>
  <si>
    <t xml:space="preserve">“Meio de se conseguir que a tinta não alastre.” O Panorama (Lisbon) 2, no. 60 (23 June 1838): 200. </t>
  </si>
  <si>
    <t>Bourdon, Jean Baptiste Isidore. Illustres médecins et naturalistes des temps mod on apprécie les travaux de Cuvier [et al.] Paris: Comptoir des Imprimeurs-Unis, 1844. “Dupuytren,” pp. 407–434. Earlier prints were made, but couldn't be found avaliable in digitzed format.</t>
  </si>
  <si>
    <t>José Ferreira Borges, Instituições de medicina forense (Lisbon: Na Typog. da Sociedade Propagadora dos Conhecimentos Uteis, 1832).</t>
  </si>
  <si>
    <t>"Végétations de la membrane interne des artères qui naissent de la courbure de l'aorte; par John Yelloly , D.-M." Archives générales de médecine (Paris) 8 (1825): 600–601.</t>
  </si>
  <si>
    <t>"Emploi de la belladone dans les névralgies ; par G. Todd." Archives générales de médecine (Paris) 8 (1825): 272–273.</t>
  </si>
  <si>
    <t>"De l'humorisme rationnel ; par C. Forget." Encyclographie des sciences médicales (Bruxelles) 22 (1834): 18–23. (Journal hebdomadaire de médecine, Paris)</t>
  </si>
  <si>
    <t>"Free Hospital for the Cure of Malignant Disease; Greville-Street, Hatton Garden. Malignant Cholera." The London Medical and Surgical Journal (London) 1, no. 26 (28 July 1832): 830–831.</t>
  </si>
  <si>
    <t>"Phosphorescence du corps de l'homme après la mort." Revue britannique (Paris) 16 (1838): 160–165.</t>
  </si>
  <si>
    <t>"Sur le mécanisme de l’excrétion de la bile, par M. A. Judas, D.-M. P., médecin-adjoint de l’hôpital civil d’Aix." Gazette médicale de Paris (Paris) 2e série, 3, no. 16 (18 April 1835): 241–243.</t>
  </si>
  <si>
    <t>"Note sur un nouveau purgatif chez les enfants, et sur ses applications dans différentes affections, par M. Constant." Gazette médicale de Paris (Paris) 2e série, 3, no. 18 (2 May 1835): 281–282.</t>
  </si>
  <si>
    <t>Dupau, Amédée. "Discours prononcé par M. Broussais sur la tombe da docteur Gall." Revue encyclopédique, ou Analyse raisonnée (Paris) 39, no. 33 (August 1827): 526–534.</t>
  </si>
  <si>
    <t>“Manière simple de reconnaître la qualité et la variété des sols.” Journal des connaissances utiles (Paris) 3, no. 2 (February 1833): 50–51.</t>
  </si>
  <si>
    <t>"Séance du 15 décembre"  Journal de médecine et de chirurgie pratiques (Paris) 1 (1835): 93–94.</t>
  </si>
  <si>
    <t>"Du carragaheen et formules de plusieurs composés dont il est la base médicamenteuse; par M. Béral." Journal de médecine et de chirurgie pratiques (Paris) 1 (1835): 185.</t>
  </si>
  <si>
    <t>Saissy, Jean-Antoine. “Remède contre la surdité.” Archives des découvertes et des inventions nouvelles (Paris) 3 (1834): 129.</t>
  </si>
  <si>
    <t>Notícia sobre A. Volta extrahida do Elogio lido por M. Arago na Sessão Publica de 4 de Julho de 1831 da Academia das Sciencias de Paris.</t>
  </si>
  <si>
    <t>Jean-Antoine Chaptal, “Vin,” in Cours complet d’agriculture, théorique, pratique, économique, et de médecine rurale et vétérinaire; ou Dictionnaire universel d’agriculture, tome 10 (Paris: À la Librairie d’Éducation et des Sciences et Arts, 1800), 284–377.</t>
  </si>
  <si>
    <t>"De l'Arachide ou pistache de terre." Journal des connaissances usuelles et pratiques (Paris) 14, no. 74 (May 1831): 211–213; François Rozier, “Arachide (Arachis hypogœa L.),” in Cours complet d’agriculture, théorique, pratique, économique, et de médecine rurale et vétérinaire; ou Dictionnaire universel d’agriculture, tome 11 (Paris: Marchant, 1805), 157–161.</t>
  </si>
  <si>
    <t>Thorel, “Mouton, Bélier, Brebis,” in Cours complet d’agriculture, théorique, pratique, économique, et de médecine rurale et vétérinaire; ou Dictionnaire universel d’agriculture, tome 6 (Paris: Rue et Hôtel Serpente, 1785), 678–729.</t>
  </si>
  <si>
    <t>François Rozier, “Citerne,” in Cours complet d’agriculture, théorique, pratique, économique, et de médecine rurale et vétérinaire; ou Dictionnaire universel d’agriculture, tome 3 (Paris: Rue et Hôtel Serpente, 1783), 366–373, esp. 372–373.</t>
  </si>
  <si>
    <t>François Rozier and Mongez, “Vinaigre,” in Cours complet d’agriculture, théorique, pratique, économique, et de médecine rurale et vétérinaire; ou Dictionnaire universel d’agriculture, tome 10 (Paris: À la Librairie d’Éducation et des Sciences et Arts, 1800), 377–403.</t>
  </si>
  <si>
    <t>François Rozier, “Café,” in Cours complet d’agriculture, théorique, pratique, économique, et de médecine rurale et vétérinaire; ou Dictionnaire universel d’agriculture, tome 2 (Paris: Rue et Hôtel Serpente, 1782), 516–530.</t>
  </si>
  <si>
    <t>François Rozier, “Girofle, Giroflier,” in Cours complet d’agriculture, théorique, pratique, économique, et de médecine rurale et vétérinaire; ou Dictionnaire universel d’agriculture, tome 5 (Paris: Rue et Hôtel Serpente, 1784), 289–292.</t>
  </si>
  <si>
    <t>André Thouin, “Canne à sucre d’Otaïti (ou de Cayenne),” in Cours complet d’agriculture, théorique, pratique, économique, et de médecine rurale et vétérinaire; ou Dictionnaire universel d’agriculture, tome 11 (Paris: Marchant, 1805), 324–326, s.v. “Canne à sucre.”</t>
  </si>
  <si>
    <t>François Rozier and Mongez, “Huile,” in Cours complet d’agriculture, théorique, pratique, économique, et de médecine rurale et vétérinaire; ou Dictionnaire universel d’agriculture, tome 5 (Paris: Rue et Hôtel Serpente, 1784), 521–583.</t>
  </si>
  <si>
    <t>François Rago. “Éloge historique d’Alexandre Volta.” In Mémoires de l’Académie des sciences de l’Institut de France, Tome 12, LVII–CIV. Paris: Firmin Didot, 1833. The text was initially presented in 26 July 1830.</t>
  </si>
  <si>
    <t xml:space="preserve">Lisfranc de Saint Martin, “Mémoire sur la rhynoplastie, ou l’art de refaire le nez,” in Mémoires de l’Académie royale de médecine (Paris) 2 (1833): 145–158. </t>
  </si>
  <si>
    <t>This item is a compiled translation-digest of French institutional notes (Lisfranc’s rhinoplasty case of “Eval” and Savart on “vibrações normaes”), likely drawn from French academy reporting, and its rhinoplasty core was later published as Lisfranc de Saint-Martin’s in Mémoires de l’Académie royale de médecine.</t>
  </si>
  <si>
    <t>A short derived translated compilation of sudden-death case vignettes with a high level of reuse, followed by a brief local add-on case.</t>
  </si>
  <si>
    <t>AJMS1838s1v22;JMCP1838s1v9;GHCM1838s1v12</t>
  </si>
  <si>
    <t>GMP1838s2v6;JCMC1838-9s1v6</t>
  </si>
  <si>
    <t>Propriedades do assucar.</t>
  </si>
  <si>
    <t>Homens uteis — Parmentier.</t>
  </si>
  <si>
    <r>
      <t xml:space="preserve">A. Maignet and H. Boulet, “Chapitre VII. — Économie du bétail,” in </t>
    </r>
    <r>
      <rPr>
        <i/>
        <sz val="11"/>
        <color theme="1"/>
        <rFont val="Calibri"/>
        <family val="2"/>
        <scheme val="minor"/>
      </rPr>
      <t>Maison rustique du XIXe siècle: Encyclopédie d’agriculture pratique</t>
    </r>
    <r>
      <rPr>
        <sz val="11"/>
        <color theme="1"/>
        <rFont val="Calibri"/>
        <family val="2"/>
        <scheme val="minor"/>
      </rPr>
      <t xml:space="preserve">, ed. Alexandre Bixio, tome 2, </t>
    </r>
    <r>
      <rPr>
        <i/>
        <sz val="11"/>
        <color theme="1"/>
        <rFont val="Calibri"/>
        <family val="2"/>
        <scheme val="minor"/>
      </rPr>
      <t>Cultures industrielles et animaux domestiques</t>
    </r>
    <r>
      <rPr>
        <sz val="11"/>
        <color theme="1"/>
        <rFont val="Calibri"/>
        <family val="2"/>
        <scheme val="minor"/>
      </rPr>
      <t xml:space="preserve"> (Paris: Au bureau, quai aux fleurs, no. 15, 1835), 373–380.</t>
    </r>
  </si>
  <si>
    <t>Full title</t>
  </si>
  <si>
    <t>Short title</t>
  </si>
  <si>
    <t>O Patriota: jornal litterario, politico, mercantil, do Rio de Janeiro</t>
  </si>
  <si>
    <t>Jornal Scientifico, Economico e Litterario, ou Collecao de varias pecas, memorias, relacoens, viagens, poesias e anedoctas. Mixto de instruccao e de recreio, accommodado a todo o genero de leitores.</t>
  </si>
  <si>
    <t>O Propagador das Sciencias Medicas, ou Annaes de Medicina, Cirurgia, e Pharmacia; para o Imperio do Brasil e naçoes estrangeiras, seguidos de hum boletim especialmente consagrado as sciencias naturaes, zoologia, botanica.</t>
  </si>
  <si>
    <t>Semanario de Saude Publica: pela Sociedade de Medicina do Rio de Janeiro.</t>
  </si>
  <si>
    <t>Semanario de Saude Publica</t>
  </si>
  <si>
    <t>Jornal da Sociedade de Agricultura, Commercio e Industria da Provincia da Bahia.</t>
  </si>
  <si>
    <t>Revista Medica Fluminense publicada pela Sociedade Medica do Rio de Janeiro.</t>
  </si>
  <si>
    <t>Diario de Saude, ou Ephemerides das Sciencias Medicas e naturaes do Brazil.</t>
  </si>
  <si>
    <t>O Auxiliador da Industria Nacional, ou Collecção de Memorias e Noticias interessantes, aos fazendeiros, fabricantes, artistas, e classes industriosas no Brazil, tanto originaes, como traduzidas das melhores obras, que neste genero se publicão, nos Estados Unidos, França, Inglaterra, &amp;c.</t>
  </si>
  <si>
    <t>RMF1837s1v3</t>
  </si>
  <si>
    <t>OP</t>
  </si>
  <si>
    <t>JSEL</t>
  </si>
  <si>
    <t>AIN</t>
  </si>
  <si>
    <t>RMF</t>
  </si>
  <si>
    <t>PSM</t>
  </si>
  <si>
    <t>SSP</t>
  </si>
  <si>
    <t>DS</t>
  </si>
  <si>
    <t>MS</t>
  </si>
  <si>
    <t>JSACI</t>
  </si>
  <si>
    <t>PCU</t>
  </si>
  <si>
    <t>Initialism</t>
  </si>
  <si>
    <t>"Séance du 13 décembre. — Fracture, coup de feu, extirpation du bras." Archives générales de médecine (Paris) 25 (1831): 279–280; "Blessure du péricarde et du cœur." Archives générales de médecine (Paris) 25 (1831): 280.</t>
  </si>
  <si>
    <t>The Lancet - Art. Clinica do Hospital de S. Thomas</t>
  </si>
  <si>
    <t>City</t>
  </si>
  <si>
    <t>Country</t>
  </si>
  <si>
    <t>Paris</t>
  </si>
  <si>
    <t>Bologna</t>
  </si>
  <si>
    <t>London</t>
  </si>
  <si>
    <t>Baltimore</t>
  </si>
  <si>
    <t>Lisbon</t>
  </si>
  <si>
    <t>Porto</t>
  </si>
  <si>
    <t>Brussels</t>
  </si>
  <si>
    <t>Nantes</t>
  </si>
  <si>
    <t>Bordeaux</t>
  </si>
  <si>
    <t>Milan</t>
  </si>
  <si>
    <t>Edinburgh</t>
  </si>
  <si>
    <t>Berlin</t>
  </si>
  <si>
    <t>Philadelphia</t>
  </si>
  <si>
    <t>Madrid</t>
  </si>
  <si>
    <t>Coimbra</t>
  </si>
  <si>
    <t>New Haven</t>
  </si>
  <si>
    <t>Dublin</t>
  </si>
  <si>
    <t>Boston</t>
  </si>
  <si>
    <t>Livorno</t>
  </si>
  <si>
    <t>Rio de Janeiro</t>
  </si>
  <si>
    <t>Composição de hum pó salino proprio para adubar as terras.</t>
  </si>
  <si>
    <t>Caso de huma epilepsia simulada.</t>
  </si>
  <si>
    <t>SSP1831.1.1.8-64</t>
  </si>
  <si>
    <t>SSP1831.1.1.9-68</t>
  </si>
  <si>
    <t>SSP1831.1.1.10-73</t>
  </si>
  <si>
    <t>SSP1831.1.1.11-76</t>
  </si>
  <si>
    <t>SSP1831.1.1.12-83</t>
  </si>
  <si>
    <t>SSP1831.1.1.13-87</t>
  </si>
  <si>
    <t>SSP1831.1.1.14-92</t>
  </si>
  <si>
    <t>SSP1831.1.1.15-98</t>
  </si>
  <si>
    <t>SSP1831.1.1.16-104</t>
  </si>
  <si>
    <t>SSP1831.1.1.17-110</t>
  </si>
  <si>
    <t>SSP1831.1.1.18-118</t>
  </si>
  <si>
    <t>SSP1831.1.1.19-124</t>
  </si>
  <si>
    <t>SSP1831.1.1.20-126</t>
  </si>
  <si>
    <t>SSP1831.1.1.21-134</t>
  </si>
  <si>
    <t>SSP1831.1.1.22-139</t>
  </si>
  <si>
    <t>SSP1831.1.1.23-141</t>
  </si>
  <si>
    <t>SSP1831.1.1.24-147</t>
  </si>
  <si>
    <t>SSP1831.1.1.25-150</t>
  </si>
  <si>
    <t>SSP1831.1.1.26-157</t>
  </si>
  <si>
    <t>SSP1831.1.1.27-158</t>
  </si>
  <si>
    <t>SSP1831.1.1.28-162</t>
  </si>
  <si>
    <t>SSP1831.1.1.29-165</t>
  </si>
  <si>
    <t>SSP1831.1.1.30-169</t>
  </si>
  <si>
    <t>SSP1831.1.1.31-174</t>
  </si>
  <si>
    <t>SSP1831.1.1.32-179</t>
  </si>
  <si>
    <t>SSP1831.1.1.33-183</t>
  </si>
  <si>
    <t>SSP1831.1.1.34-192</t>
  </si>
  <si>
    <t>SSP1831.1.1.35-194</t>
  </si>
  <si>
    <t>SSP1831.1.1.36-203</t>
  </si>
  <si>
    <t>SSP1831.1.1.37-206</t>
  </si>
  <si>
    <t>SSP1831.1.1.38-214</t>
  </si>
  <si>
    <t>SSP1831.1.1.39-219</t>
  </si>
  <si>
    <t>SSP1831.1.1.40-224</t>
  </si>
  <si>
    <t>SSP1831.1.1.41-229</t>
  </si>
  <si>
    <t>SSP1831.1.1.42-233</t>
  </si>
  <si>
    <t>SSP1831.1.1.43-239</t>
  </si>
  <si>
    <t>SSP1831.1.1.44-243</t>
  </si>
  <si>
    <t>SSP1831.1.1.45-246</t>
  </si>
  <si>
    <t>SSP1831.1.1.46-249</t>
  </si>
  <si>
    <t>SSP1831.1.1.47-254</t>
  </si>
  <si>
    <t>SSP1831.1.1.48-258</t>
  </si>
  <si>
    <t>SSP1831.1.1.49-261</t>
  </si>
  <si>
    <t>SSP1831.1.1.50-263</t>
  </si>
  <si>
    <t>SSP1831.1.1.51-267</t>
  </si>
  <si>
    <t>SSP1831.1.1.52-271</t>
  </si>
  <si>
    <t>SSP1831.1.1.53-274</t>
  </si>
  <si>
    <t>SSP1832.1.1.54-277</t>
  </si>
  <si>
    <t>SSP1832.1.1.55-282</t>
  </si>
  <si>
    <t>SSP1832.1.1.56-286</t>
  </si>
  <si>
    <t>SSP1832.1.1.57-289</t>
  </si>
  <si>
    <t>SSP1832.1.1.58-293</t>
  </si>
  <si>
    <t>SSP1832.1.1.59-295</t>
  </si>
  <si>
    <t>SSP1832.1.1.60-301</t>
  </si>
  <si>
    <t>SSP1832.1.1.61-303</t>
  </si>
  <si>
    <t>SSP1832.1.1.62-304</t>
  </si>
  <si>
    <t>SSP1832.1.1.63-305</t>
  </si>
  <si>
    <t>SSP1832.1.1.64-307</t>
  </si>
  <si>
    <t>SSP1832.1.1.65-309</t>
  </si>
  <si>
    <t>SSP1832.1.1.66-313</t>
  </si>
  <si>
    <t>SSP1832.1.1.67-317</t>
  </si>
  <si>
    <t>SSP1832.1.1.68-320</t>
  </si>
  <si>
    <t>SSP1832.1.1.69-326</t>
  </si>
  <si>
    <t>SSP1832.1.1.70-332</t>
  </si>
  <si>
    <t>SSP1832.1.1.71-334</t>
  </si>
  <si>
    <t>SSP1832.1.1.72-336</t>
  </si>
  <si>
    <t>SSP1832.1.1.73-338</t>
  </si>
  <si>
    <t>SSP1832.1.1.74-340</t>
  </si>
  <si>
    <t>SSP1832.1.1.75-344</t>
  </si>
  <si>
    <t>SSP1832.1.1.76-346</t>
  </si>
  <si>
    <t>SSP1832.1.1.77-348</t>
  </si>
  <si>
    <t>SSP1832.1.1.78-350</t>
  </si>
  <si>
    <t>SSP1832.1.1.79-353</t>
  </si>
  <si>
    <t>SSP1832.1.1.80-355</t>
  </si>
  <si>
    <t>SSP1832.1.1.81-359</t>
  </si>
  <si>
    <t>SSP1832.1.1.82-364</t>
  </si>
  <si>
    <t>SSP1832.1.1.83-369</t>
  </si>
  <si>
    <t>SSP1832.1.1.84-372</t>
  </si>
  <si>
    <t>SSP1832.1.1.85-374</t>
  </si>
  <si>
    <t>SSP1832.1.1.87-378</t>
  </si>
  <si>
    <t>SSP1832.1.1.88-381</t>
  </si>
  <si>
    <t>SSP1832.1.1.89-383</t>
  </si>
  <si>
    <t>SSP1832.1.1.90-389</t>
  </si>
  <si>
    <t>SSP1832.1.1.91-392</t>
  </si>
  <si>
    <t>SSP1832.1.1.92-394</t>
  </si>
  <si>
    <t>SSP1832.1.1.93-397</t>
  </si>
  <si>
    <t>SSP1832.1.1.94-400</t>
  </si>
  <si>
    <t>SSP1832.1.1.95-403</t>
  </si>
  <si>
    <t>SSP1832.1.1.96-405</t>
  </si>
  <si>
    <t>SSP1832.1.1.97-407</t>
  </si>
  <si>
    <t>SSP1832.1.1.98-416</t>
  </si>
  <si>
    <t>SSP1832.1.1.99-421</t>
  </si>
  <si>
    <t>SSP1832.1.1.100-427</t>
  </si>
  <si>
    <t>SSP1832.1.1.101-430</t>
  </si>
  <si>
    <t>SSP1832.1.1.102-434</t>
  </si>
  <si>
    <t>SSP1833.1.1.110-447</t>
  </si>
  <si>
    <t>SSP1833.1.1.112-453</t>
  </si>
  <si>
    <t>SSP1833.1.1.115-463</t>
  </si>
  <si>
    <t>SSP1833.1.1.116-467</t>
  </si>
  <si>
    <t>SSP1833.1.1.117-473</t>
  </si>
  <si>
    <t>SSP1833.1.1.119-479</t>
  </si>
  <si>
    <t>SSP1833.1.1.121-486</t>
  </si>
  <si>
    <t>Methodo empirico usado com proveito pelos fazendeiros, e os Indios, para curar a mordidella da cobra: communicado pelo Sr. Joaquim da Silva Campos</t>
  </si>
  <si>
    <t>Mathematica</t>
  </si>
  <si>
    <t>["Havendo promettido a Vm. o resultado das minhas observações…"</t>
  </si>
  <si>
    <t>Memoria de Mr. Julio Cloquet, sobre as fracturas por contra-pancada ou repercussão da mandíbula superior, traduzida do francez pelo Dr. Bastos.</t>
  </si>
  <si>
    <t>1.ª Sessão de 28 de fevereiro de 1834.</t>
  </si>
  <si>
    <t>"Mémoire sur les fractures par contre-coups de la mâchoire supérieure; par M. Jules Cloquet." Nouveau Journal de Médecine (Paris) 8 (1820): 197-214.</t>
  </si>
  <si>
    <t>Descripção Geografica da Capitania de Mato Grosso.</t>
  </si>
  <si>
    <t>O Duque de Bassano</t>
  </si>
  <si>
    <t>Krusemarck</t>
  </si>
  <si>
    <t>Allemanha.</t>
  </si>
  <si>
    <t>Suecia.</t>
  </si>
  <si>
    <t xml:space="preserve">["Rio de Janeiro."] Notícia de novas estradas de interior, para facilitar a comunicação das Capitais e Cortes. </t>
  </si>
  <si>
    <t>Reflexoens sobre as viagens dos mais celebres navegadores, que tem feito o giro do mundo, e a necessidade de huma nova viagem do mesmo genero, &amp;c. Por Joaquim Bento da Fonseca. Continuada do N.º 2.º pag. 13</t>
  </si>
  <si>
    <t>Memoria offerecida aos Agricultures, e Negociantes d'Assucar do Imperio do Brazil, em a qual expondo-se a damnificação que experimenta o Assucar, importado nos portos da Europa, e principalmente no de Londres, se lembrão algumas medidas e cautelas, cujo emprego para ser acertado a evitar tão grande mal.</t>
  </si>
  <si>
    <t>Estabelecimento de Aguas Minerais Artificiais e Refrigerantes Gazosas, Segundo os Processos Adoptados em Paris e em Londres, Pertencente aos Srs. R. H. Raffard e U. Jullien — Rio de Janeiro, Rua do Ouvidor n.º 71.</t>
  </si>
  <si>
    <t>DS1835.1.1.2-5</t>
  </si>
  <si>
    <t>DS1835.1.1.2-6</t>
  </si>
  <si>
    <t>DS1835.1.1.3-14</t>
  </si>
  <si>
    <t>DS1835.1.1.3-15</t>
  </si>
  <si>
    <t>DS1835.1.1.4-21</t>
  </si>
  <si>
    <t>DS1835.1.1.4-22</t>
  </si>
  <si>
    <t>DS1835.1.1.5-24</t>
  </si>
  <si>
    <t>DS1835.1.1.5-25</t>
  </si>
  <si>
    <t>DS1835.1.1.6-29</t>
  </si>
  <si>
    <t>DS1835.1.1.6-30</t>
  </si>
  <si>
    <t>DS1835.1.1.7-36</t>
  </si>
  <si>
    <t>DS1835.1.1.7-37</t>
  </si>
  <si>
    <t>DS1835.1.1.8-39</t>
  </si>
  <si>
    <t>DS1835.1.1.8-40</t>
  </si>
  <si>
    <t>DS1835.1.1.9-51</t>
  </si>
  <si>
    <t>DS1835.1.1.9-52</t>
  </si>
  <si>
    <t>DS1835.1.1.10-56</t>
  </si>
  <si>
    <t>DS1835.1.1.10-57</t>
  </si>
  <si>
    <t>DS1835.1.1.11-67</t>
  </si>
  <si>
    <t>DS1835.1.1.11-68</t>
  </si>
  <si>
    <t>DS1835.1.1.12-83</t>
  </si>
  <si>
    <t>DS1835.1.1.12-84</t>
  </si>
  <si>
    <t>DS1835.1.1.13-91</t>
  </si>
  <si>
    <t>DS1835.1.1.13-92</t>
  </si>
  <si>
    <t>DS1835.1.1.14-94</t>
  </si>
  <si>
    <t>DS1835.1.1.14-95</t>
  </si>
  <si>
    <t>DS1835.1.1.15-100</t>
  </si>
  <si>
    <t>DS1835.1.1.15-101</t>
  </si>
  <si>
    <t>DS1835.1.1.16-105</t>
  </si>
  <si>
    <t>DS1835.1.1.16-106</t>
  </si>
  <si>
    <t>DS1835.1.1.17-114</t>
  </si>
  <si>
    <t>DS1835.1.1.17-115</t>
  </si>
  <si>
    <t>DS1835.1.1.18-117</t>
  </si>
  <si>
    <t>DS1835.1.1.18-118</t>
  </si>
  <si>
    <t>DS1835.1.1.19-131</t>
  </si>
  <si>
    <t>DS1835.1.1.19-132</t>
  </si>
  <si>
    <t>DS1835.1.1.20-140</t>
  </si>
  <si>
    <t>DS1835.1.1.20-141</t>
  </si>
  <si>
    <t>DS1835.1.1.21-150</t>
  </si>
  <si>
    <t>DS1835.1.1.21-151</t>
  </si>
  <si>
    <t>DS1835.1.1.22-154</t>
  </si>
  <si>
    <t>DS1835.1.1.22-155</t>
  </si>
  <si>
    <t>DS1835.1.1.23-162</t>
  </si>
  <si>
    <t>DS1835.1.1.23-163</t>
  </si>
  <si>
    <t>DS1835.1.1.24-172</t>
  </si>
  <si>
    <t>DS1835.1.1.24-173</t>
  </si>
  <si>
    <t>DS1835.1.1.25-177</t>
  </si>
  <si>
    <t>DS1835.1.1.25-178</t>
  </si>
  <si>
    <t>DS1835.1.1.26-187</t>
  </si>
  <si>
    <t>DS1835.1.1.26-188</t>
  </si>
  <si>
    <t>DS1835.1.1.27-192</t>
  </si>
  <si>
    <t>DS1835.1.1.27-193</t>
  </si>
  <si>
    <t>DS1835.1.1.28-201</t>
  </si>
  <si>
    <t>DS1835.1.1.28-202</t>
  </si>
  <si>
    <t>DS1835.1.1.29-216</t>
  </si>
  <si>
    <t>DS1835.1.1.29-217</t>
  </si>
  <si>
    <t>DS1835.1.1.30-225</t>
  </si>
  <si>
    <t>DS1835.1.1.30-226</t>
  </si>
  <si>
    <t>DS1835.1.1.31-233</t>
  </si>
  <si>
    <t>DS1835.1.1.31-234</t>
  </si>
  <si>
    <t>DS1835.1.1.32-236</t>
  </si>
  <si>
    <t>DS1835.1.1.32-237</t>
  </si>
  <si>
    <t>DS1835.1.1.33-242</t>
  </si>
  <si>
    <t>DS1835.1.1.33-243</t>
  </si>
  <si>
    <t>DS1835.1.1.34-247</t>
  </si>
  <si>
    <t>DS1835.1.1.34-248</t>
  </si>
  <si>
    <t>DS1835.1.1.35-254</t>
  </si>
  <si>
    <t>DS1835.1.1.35-255</t>
  </si>
  <si>
    <t>DS1835.1.1.36-261</t>
  </si>
  <si>
    <t>DS1835.1.1.36-262</t>
  </si>
  <si>
    <t>DS1835.1.1.37-271</t>
  </si>
  <si>
    <t>DS1835.1.1.37-272</t>
  </si>
  <si>
    <t>DS1835.1.1.38-289</t>
  </si>
  <si>
    <t>DS1835.1.1.38-290</t>
  </si>
  <si>
    <t>DS1835.1.1.39-294</t>
  </si>
  <si>
    <t>DS1835.1.1.39-295</t>
  </si>
  <si>
    <t>DS1835.1.1.40-308</t>
  </si>
  <si>
    <t>DS1835.1.1.40-309</t>
  </si>
  <si>
    <t>DS1835.1.1.41-311</t>
  </si>
  <si>
    <t>DS1835.1.1.41-312</t>
  </si>
  <si>
    <t>DS1835.1.1.42-319</t>
  </si>
  <si>
    <t>DS1835.1.1.42-320</t>
  </si>
  <si>
    <t>DS1835.1.1.43-324</t>
  </si>
  <si>
    <t>DS1835.1.1.43-325</t>
  </si>
  <si>
    <t>DS1835.1.1.44-328</t>
  </si>
  <si>
    <t>DS1835.1.1.44-329</t>
  </si>
  <si>
    <t>DS1835.1.1.45-332</t>
  </si>
  <si>
    <t>DS1835.1.1.45-333</t>
  </si>
  <si>
    <t>DS1835.1.1.46-337</t>
  </si>
  <si>
    <t>DS1835.1.1.46-338</t>
  </si>
  <si>
    <t>DS1835.1.1.47-348</t>
  </si>
  <si>
    <t>DS1835.1.1.47-349</t>
  </si>
  <si>
    <t>DS1835.1.1.48-354</t>
  </si>
  <si>
    <t>DS1835.1.1.48-355</t>
  </si>
  <si>
    <t>DS1835.1.1.49-358</t>
  </si>
  <si>
    <t>DS1835.1.1.49-359</t>
  </si>
  <si>
    <t>DS1835.1.1.50-361</t>
  </si>
  <si>
    <t>DS1835.1.1.50-362</t>
  </si>
  <si>
    <t>DS1835.1.1.51-367</t>
  </si>
  <si>
    <t>DS1835.1.1.52-370</t>
  </si>
  <si>
    <t>DS1835.1.1.52-371</t>
  </si>
  <si>
    <t>DS1835.1.1.53-374</t>
  </si>
  <si>
    <t>Operação da cataracta.</t>
  </si>
  <si>
    <t>Nota sobre o emprego do nitrato de prata nas ophthalmias, pelo Sr. Munaret.</t>
  </si>
  <si>
    <t>Estatistica Curiosa. Indagações sobre a duração média de vida dos médicos.</t>
  </si>
  <si>
    <t>Sobre a existencia do carvão nos pulmões, pelo Sr. Graham, professor de chimica em Glascow.</t>
  </si>
  <si>
    <t>Cadeira de Historia Natural.</t>
  </si>
  <si>
    <t>Extrahido das Memorias da Academia Real das Sciencias de Lisboa</t>
  </si>
  <si>
    <t>DS1835.1.1.29-215</t>
  </si>
  <si>
    <t>Do Journal des Debats de 4 de Junho d'este anno traduzimos o seguinte Artigo.</t>
  </si>
  <si>
    <t>Memoria sobre um Alambique existente no Laborutorio do Excellentissimo Antonio de Araujo, que contém as invenções mais modernas praticadas na Escossia, e ao qual se fizerão algumas addições para a sua perfeição por G.M.</t>
  </si>
  <si>
    <t>Propagador dos Conh. Ut. numeros 3 e 4 de 1836.</t>
  </si>
  <si>
    <t>Meio de pôr-se em seguro com a boa qualidade e excellente constituição do virus vaccinico.</t>
  </si>
  <si>
    <t>"Tableau comparatif de la vraie et de fausse vaccine." Journal des connaissances utiles (Paris) 3, no. 3 (March 1833): 72.</t>
  </si>
  <si>
    <t>"Moyen de s’assurer de la bonne qualité et de l’excellente constitution du virus vaccin." Journal des connaissances utiles (Paris) 3, no. 3 (March 1833): 73.</t>
  </si>
  <si>
    <t>A. L. J. Bayle</t>
  </si>
  <si>
    <t>Sobre os venenos – 2.º artigo. Preparações de antimonio.</t>
  </si>
  <si>
    <t>PSM1827.1.3.9-158</t>
  </si>
  <si>
    <t>PSM1827.1.4.10-177</t>
  </si>
  <si>
    <t>PSM1827.1.4.10-178</t>
  </si>
  <si>
    <t>PSM1827.1.4.10-179</t>
  </si>
  <si>
    <t>PSM1827.1.4.10-180</t>
  </si>
  <si>
    <t>PSM1827.1.4.10-181</t>
  </si>
  <si>
    <t>PSM1827.1.4.10-182</t>
  </si>
  <si>
    <t>PSM1827.1.4.10-183</t>
  </si>
  <si>
    <t>PSM1827.1.4.10-184</t>
  </si>
  <si>
    <t>PSM1827.1.4.10-185</t>
  </si>
  <si>
    <t>PSM1827.1.4.10-186</t>
  </si>
  <si>
    <t>PSM1827.1.4.10-187</t>
  </si>
  <si>
    <t>PSM1827.1.4.10-188</t>
  </si>
  <si>
    <t>PSM1827.1.4.10-189</t>
  </si>
  <si>
    <t>PSM1827.1.4.10-190</t>
  </si>
  <si>
    <t>PSM1827.1.4.10-191</t>
  </si>
  <si>
    <t>PSM1827.1.4.11-192</t>
  </si>
  <si>
    <t>PSM1827.1.4.11-193</t>
  </si>
  <si>
    <t>PSM1827.1.4.11-194</t>
  </si>
  <si>
    <t>PSM1827.1.4.11-195</t>
  </si>
  <si>
    <t>PSM1827.1.4.11-196</t>
  </si>
  <si>
    <t>PSM1827.1.4.11-197</t>
  </si>
  <si>
    <t>PSM1827.1.4.12-198</t>
  </si>
  <si>
    <t>PSM1827.1.4.12-199</t>
  </si>
  <si>
    <t>PSM1827.1.4.12-200</t>
  </si>
  <si>
    <t>PSM1827.1.4.12-201</t>
  </si>
  <si>
    <t>PSM1827.1.4.12-202</t>
  </si>
  <si>
    <t>PSM1827.1.4.12-203</t>
  </si>
  <si>
    <t>PSM1827.1.4.12-204</t>
  </si>
  <si>
    <t>PSM1827.1.4.12-205</t>
  </si>
  <si>
    <t>["Seguidamente se attenderão varias opiniões dos Socios , Membros do Conselho..."]</t>
  </si>
  <si>
    <t>Branqueamento da cera, processo empregado em Limoges.</t>
  </si>
  <si>
    <t>Influencia que exercem as tempestades sorbe a maturação das fructas assucaradas.</t>
  </si>
  <si>
    <t xml:space="preserve">"Blanchissage de la cire; procédé employé à Limoges." Journal des connaissances usuelles et pratiques (Paris) 24 (1836): 232–233. </t>
  </si>
  <si>
    <t>" Causes qui peuvent occasionner une nouvelle submersion de notreglobe." Journal des connaissances usuelles et pratiques (Paris) 5 (1827): 68–68.</t>
  </si>
  <si>
    <t>AIN1840.1.8.3-800</t>
  </si>
  <si>
    <t>AIN1840.1.8.4-814</t>
  </si>
  <si>
    <t>AIN1840.1.8.5-820</t>
  </si>
  <si>
    <t>AIN1840.1.8.6-825</t>
  </si>
  <si>
    <t>AIN1840.1.8.7-850</t>
  </si>
  <si>
    <t>AIN1840.1.8.11-857</t>
  </si>
  <si>
    <t>Navarro, José Gregório de Moraes. Discurso sobre o melhoramento da economia rustica do Brazil, pela introducção do arado, refórma das fornalhas, e conservação de suas mattas, &amp;c. Publicado por Fr. José Mariano da Conceição Velloso. Lisbon: Na Officina de Simão Thaddeo Ferreira, 1799.</t>
  </si>
  <si>
    <t>7.ª Sessão em 20 de junho de 1835.</t>
  </si>
  <si>
    <t>Descripção abreviada do methodo de distillar o Rhum das Ilhas Antilhas</t>
  </si>
  <si>
    <t>James Madison</t>
  </si>
  <si>
    <t>Leroy</t>
  </si>
  <si>
    <t>"Leroy, de Montpellier, no seu tratado do pronostico"</t>
  </si>
  <si>
    <t>["Fundado em minha particular experiência, e nas numerosas historias de moléstias agudas..."]</t>
  </si>
  <si>
    <t>["Em cumprimento da Ley de 3 de Outubro de 1832…"]</t>
  </si>
  <si>
    <t>RMF1835.1.1.8-102</t>
  </si>
  <si>
    <t>RMF1835.1.1.9-112</t>
  </si>
  <si>
    <t>RMF1836.1.2.1-146</t>
  </si>
  <si>
    <t>Miscellanea.</t>
  </si>
  <si>
    <t xml:space="preserve">A short miscellany digest of translated/reprinted foreign “useful news” (notices + statistics, especially maritime), most likely lifted from an early-1810s English compilation credited as “(Panorama.)” in the text. </t>
  </si>
  <si>
    <t>Marked as a translation by the editor. Foreign letter.</t>
  </si>
  <si>
    <t>Da conservação temporanea dos cadaveres que devem servir para as dissecções. Memoria do Sr. Dr. Caetano Ambrosioni, remettida de S. João d’El-Rei, (Minas Geraes) pelo author e traduzida do italiano pelo Dr. L. V. de-Simoni.</t>
  </si>
  <si>
    <t>Caetano Ambrosioni</t>
  </si>
  <si>
    <t>38.ª Sessão geral em 25 de abril de 1839.</t>
  </si>
  <si>
    <t>J. des Connaissances Med-Chir.</t>
  </si>
  <si>
    <t>Brown e Broussais. Vida de Broussais; sua doutrina, por H. Gouraud. Traduzido do J. des Connaissances Med-Chir., por J. M. do Rosario.</t>
  </si>
  <si>
    <t>Indagações experimentaes a respeito dos oxydos de ferro julgados como antidotos do acido arsenioso, por MM. Deville, Sandras, None e Guibourt, traduzido da Gazette medicale de Paris, de agosto de 1839, pelo Sr. Ezequiel Corrêa dos Santos.</t>
  </si>
  <si>
    <t>Gazette medicale de Paris, de agosto de 1839</t>
  </si>
  <si>
    <t>Idéa succinta da Homeopathia, e do creador desta Escola, o Dr. Samuel Hahnemann, por hum distincto litterato Portuguez. Extrahido do Jornal da Sociedade das Sciencias Medicas de Lisboa, outubro de 1839.</t>
  </si>
  <si>
    <t>Jornal da Sociedade das Sciencias Medicas de Lisboa, outubro de 1839</t>
  </si>
  <si>
    <t>RMF1839s1v6</t>
  </si>
  <si>
    <t>RMF1839s1v7</t>
  </si>
  <si>
    <t>RMF1839s1v8</t>
  </si>
  <si>
    <t>RMF1839s1v9</t>
  </si>
  <si>
    <t>Relatorio das molestias reinantes, tratadas no hospital da marinha no trimestre de abril a junho de 1839.</t>
  </si>
  <si>
    <t>Materia medica brasileira. Plantas monocotyledoneas brasileiras empregadas na medicina.</t>
  </si>
  <si>
    <t>42.ª Sessão geral em 8 de agosto de 1839.</t>
  </si>
  <si>
    <t>43.ª Sessão geral em 22 de agosto de 1839.</t>
  </si>
  <si>
    <t>44.ª Sessão geral em 26 de setembro de 1839.</t>
  </si>
  <si>
    <t>45.ª Sessão geral em 12 de dezembro de 1839.</t>
  </si>
  <si>
    <t>Parecer da commissão especial da Academia Imperial de Medicina do Rio de Janeiro sobre o abatimento do morro do Castello; lido e approvado pela mesma Academia na sessão geral de 26 de setembro de 1839.</t>
  </si>
  <si>
    <t>Emilio Joaquim da Silva Maia; Lourenço da Silva Godinho; Francisco Felix Pereira da Costa</t>
  </si>
  <si>
    <t>Journal Cirurgical de Graefe e Walther, pag. 95, 1839</t>
  </si>
  <si>
    <t>Relatorio historico sobre a operação da amputação da coxa pela articulação coxo-femoral, extrahido do Journal Cirurgical de Graefe e Walther, pag. 95, 1839, pelo Dr. Lallemand, (Medico no Rio de Janeiro).</t>
  </si>
  <si>
    <t>Taffetá, ou encerado Vesicatorio.</t>
  </si>
  <si>
    <t>Gazetta eccletica. Abril 1839. Journal de Chimie Médicale. Outubro 1839</t>
  </si>
  <si>
    <t>Envenenamento pelos vapores do carvão de madeira e de pedra.</t>
  </si>
  <si>
    <t>Journal de chimie medicale. Novembro de 1839</t>
  </si>
  <si>
    <t>Envenenamentos pelo cremor de tartaro e pelo oxalato acido de potassa.</t>
  </si>
  <si>
    <t>Meio de restabelecer a traspi̇ração nos pés.</t>
  </si>
  <si>
    <t>Jornal de chimie médicale, setembro 1839</t>
  </si>
  <si>
    <t>Jornal de chimie médicale, fevereiro 1838</t>
  </si>
  <si>
    <t>"Recherches expérimentales sur les oxides de fer considérés comme contre-poisons de l'acide arsénieux; par MM. Deville, Sandras, Nonat et Guibourt." Gazette médicale de Paris (Paris) 7, no. 33 (17 August 1839): 524–525.</t>
  </si>
  <si>
    <t>"Taffetas vésicant propre à être substitué à l’emplâtre vésicatoire." Journal de chimie médicale, de pharmacie et de toxicologie (Paris) 5 (1839): 506–507.</t>
  </si>
  <si>
    <t>"Sur l’empoisonnement par les vapeurs du charbon de bois et de la houille." Journal de chimie médicale, de pharmacie et de toxicologie (Paris) 5 (1839): 565–566.</t>
  </si>
  <si>
    <t>"Empoisonnement par l’oxalate acidule de potasse." Journal de chimie médicale, de pharmacie et de toxicologie (Paris) 5 (1839): 564–565.</t>
  </si>
  <si>
    <t>"Moyen de rappeler la transpiration aux pieds." Journal de chimie médicale, de pharmacie et de toxicologie (Paris) 5 (1839): 451–452.</t>
  </si>
  <si>
    <r>
      <rPr>
        <i/>
        <sz val="11"/>
        <color theme="1"/>
        <rFont val="Calibri"/>
        <family val="2"/>
        <scheme val="minor"/>
      </rPr>
      <t>Codex medicamentarius: Pharmacopée française</t>
    </r>
    <r>
      <rPr>
        <sz val="11"/>
        <color theme="1"/>
        <rFont val="Calibri"/>
        <family val="2"/>
        <scheme val="minor"/>
      </rPr>
      <t xml:space="preserve">. 2 vols. Paris: À l’Imprimerie Royale, 1837. Entry for “Pastilles de Vichy (ou de Darcet)”, p. 420. </t>
    </r>
  </si>
  <si>
    <t>J. F. W. Nevermann, “Die Exarticulation des Oberschenkels in geschichtlicher Hinsicht dargestellt,” Journal der Chirurgie und Augenheilkunde (Berlin) 28 (1839): 95.</t>
  </si>
  <si>
    <t>Effeitos therapeuticos do chloro.</t>
  </si>
  <si>
    <t>Uso da agua na pratica cirurgica.</t>
  </si>
  <si>
    <t>Formulas apresentadas e approvadas pela secção de pharmacia, para o emplastro de achylão gommado pelo Sr. Rosario</t>
  </si>
  <si>
    <t>Queimadura</t>
  </si>
  <si>
    <t>Jornal dos conhecimentos Médicos Cirurgicos de Paris</t>
  </si>
  <si>
    <t>"De la consommation du sucre en France." Le Magasin Pittoresque (Paris) 1 (1833): 79.</t>
  </si>
  <si>
    <t>"Réflexions et observations sur quelques maladies des voies urinaires ; par M. Sandras"</t>
  </si>
  <si>
    <t>Historia</t>
  </si>
  <si>
    <t>Mappa das Plantas do Brazil, suas virtudes, e lugares em que florescem. Extrahido de officios de varios Medicos e Cirurgiões.</t>
  </si>
  <si>
    <t>Mathieu Bonafous</t>
  </si>
  <si>
    <t>Sessão N.º 226 do Conselho Administrativo do dia 7 de dezembro de 1839</t>
  </si>
  <si>
    <t>RMF1836.1.1.10-118</t>
  </si>
  <si>
    <t>RMF1836.1.1.10-119</t>
  </si>
  <si>
    <t>RMF1836.1.1.10-120</t>
  </si>
  <si>
    <t>RMF1836.1.1.10-121</t>
  </si>
  <si>
    <t>RMF1836.1.1.10-122</t>
  </si>
  <si>
    <t>RMF1836.1.1.10-123</t>
  </si>
  <si>
    <t>RMF1836.1.1.10-124</t>
  </si>
  <si>
    <t>RMF1836.1.1.10-125</t>
  </si>
  <si>
    <t>RMF1836.1.1.11-126</t>
  </si>
  <si>
    <t>RMF1836.1.1.11-127</t>
  </si>
  <si>
    <t>RMF1836.1.1.11-128</t>
  </si>
  <si>
    <t>RMF1836.1.1.11-129</t>
  </si>
  <si>
    <t>RMF1836.1.1.11-130</t>
  </si>
  <si>
    <t>RMF1836.1.1.11-131</t>
  </si>
  <si>
    <t>RMF1836.1.1.11-132</t>
  </si>
  <si>
    <t>RMF1836.1.1.11-133</t>
  </si>
  <si>
    <t>RMF1836.1.1.11-134</t>
  </si>
  <si>
    <t>RMF1836.1.1.11-135</t>
  </si>
  <si>
    <t>RMF1836.1.1.12-136</t>
  </si>
  <si>
    <t>RMF1836.1.1.12-137</t>
  </si>
  <si>
    <t>RMF1836.1.1.12-138</t>
  </si>
  <si>
    <t>RMF1836.1.1.12-139</t>
  </si>
  <si>
    <t>RMF1836.1.1.12-140</t>
  </si>
  <si>
    <t>RMF1836.1.1.12-141</t>
  </si>
  <si>
    <t>RMF1836.1.1.12-142</t>
  </si>
  <si>
    <t>RMF1836.1.1.12-143</t>
  </si>
  <si>
    <t>RMF1836.1.1.12-144</t>
  </si>
  <si>
    <t>RMF1836.1.1.12-145</t>
  </si>
  <si>
    <t>RMF1836.1.2.9-231</t>
  </si>
  <si>
    <t>RMF1836.1.2.9-230</t>
  </si>
  <si>
    <t>RMF1836.1.2.9-229</t>
  </si>
  <si>
    <t>RMF1836.1.2.9-227</t>
  </si>
  <si>
    <t>RMF1836.1.2.9-228</t>
  </si>
  <si>
    <t>RMF1836.1.2.8-226</t>
  </si>
  <si>
    <t>RMF1836.1.2.8-225</t>
  </si>
  <si>
    <t>RMF1836.1.2.8-224</t>
  </si>
  <si>
    <t>RMF1836.1.2.8-215</t>
  </si>
  <si>
    <t>RMF1836.1.2.8-216</t>
  </si>
  <si>
    <t>RMF1836.1.2.8-217</t>
  </si>
  <si>
    <t>RMF1836.1.2.8-218</t>
  </si>
  <si>
    <t>RMF1836.1.2.8-219</t>
  </si>
  <si>
    <t>RMF1836.1.2.8-220</t>
  </si>
  <si>
    <t>RMF1836.1.2.8-221</t>
  </si>
  <si>
    <t>RMF1836.1.2.8-222</t>
  </si>
  <si>
    <t>RMF1836.1.2.8-223</t>
  </si>
  <si>
    <t>RMF1836.1.2.7-211</t>
  </si>
  <si>
    <t>RMF1836.1.2.7-212</t>
  </si>
  <si>
    <t>RMF1836.1.2.7-213</t>
  </si>
  <si>
    <t>RMF1836.1.2.7-214</t>
  </si>
  <si>
    <t>RMF1836.1.2.6-210</t>
  </si>
  <si>
    <t>RMF1836.1.2.6-201</t>
  </si>
  <si>
    <t>RMF1836.1.2.6-202</t>
  </si>
  <si>
    <t>RMF1836.1.2.6-203</t>
  </si>
  <si>
    <t>RMF1836.1.2.6-204</t>
  </si>
  <si>
    <t>RMF1836.1.2.6-205</t>
  </si>
  <si>
    <t>RMF1836.1.2.6-206</t>
  </si>
  <si>
    <t>RMF1836.1.2.6-207</t>
  </si>
  <si>
    <t>RMF1836.1.2.6-208</t>
  </si>
  <si>
    <t>RMF1836.1.2.6-209</t>
  </si>
  <si>
    <t>RMF1836.1.2.5-193</t>
  </si>
  <si>
    <t>RMF1836.1.2.5-194</t>
  </si>
  <si>
    <t>RMF1836.1.2.5-195</t>
  </si>
  <si>
    <t>RMF1836.1.2.5-196</t>
  </si>
  <si>
    <t>RMF1836.1.2.5-197</t>
  </si>
  <si>
    <t>RMF1836.1.2.5-198</t>
  </si>
  <si>
    <t>RMF1836.1.2.5-199</t>
  </si>
  <si>
    <t>RMF1836.1.2.5-200</t>
  </si>
  <si>
    <t>RMF1836.1.2.4-180</t>
  </si>
  <si>
    <t>RMF1836.1.2.4-181</t>
  </si>
  <si>
    <t>RMF1836.1.2.4-182</t>
  </si>
  <si>
    <t>RMF1836.1.2.4-183</t>
  </si>
  <si>
    <t>RMF1836.1.2.4-184</t>
  </si>
  <si>
    <t>RMF1836.1.2.4-185</t>
  </si>
  <si>
    <t>RMF1836.1.2.4-186</t>
  </si>
  <si>
    <t>RMF1836.1.2.4-187</t>
  </si>
  <si>
    <t>RMF1836.1.2.4-188</t>
  </si>
  <si>
    <t>RMF1836.1.2.4-189</t>
  </si>
  <si>
    <t>RMF1836.1.2.4-190</t>
  </si>
  <si>
    <t>RMF1836.1.2.4-191</t>
  </si>
  <si>
    <t>RMF1836.1.2.4-192</t>
  </si>
  <si>
    <t>RMF1836.1.2.3-169</t>
  </si>
  <si>
    <t>RMF1836.1.2.3-170</t>
  </si>
  <si>
    <t>RMF1836.1.2.3-171</t>
  </si>
  <si>
    <t>RMF1836.1.2.3-172</t>
  </si>
  <si>
    <t>RMF1836.1.2.3-173</t>
  </si>
  <si>
    <t>RMF1836.1.2.3-174</t>
  </si>
  <si>
    <t>RMF1836.1.2.3-175</t>
  </si>
  <si>
    <t>RMF1836.1.2.3-176</t>
  </si>
  <si>
    <t>RMF1836.1.2.3-177</t>
  </si>
  <si>
    <t>RMF1836.1.2.3-178</t>
  </si>
  <si>
    <t>RMF1836.1.2.3-179</t>
  </si>
  <si>
    <t>Discurso sobre a historia da pharmacia no Brasil, pelo Sr. Esequiel Corrêa dos Santos.</t>
  </si>
  <si>
    <t>Esequiel Corrêa dos Santos</t>
  </si>
  <si>
    <t>RMF1837.1.3.4-270</t>
  </si>
  <si>
    <t>RMF1837.1.2.10-232</t>
  </si>
  <si>
    <t>RMF1837.1.2.10-233</t>
  </si>
  <si>
    <t>RMF1837.1.2.10-234</t>
  </si>
  <si>
    <t>RMF1837.1.2.10-235</t>
  </si>
  <si>
    <t>RMF1837.1.2.11-236</t>
  </si>
  <si>
    <t>RMF1837.1.2.11-237</t>
  </si>
  <si>
    <t>RMF1837.1.2.12-238</t>
  </si>
  <si>
    <t>RMF1837.1.2.12-239</t>
  </si>
  <si>
    <t>RMF1837.1.2.12-240</t>
  </si>
  <si>
    <t>RMF1837.1.2.12-241</t>
  </si>
  <si>
    <t>RMF1837.1.2.12-242</t>
  </si>
  <si>
    <t>RMF1837.1.2.12-243</t>
  </si>
  <si>
    <t>RMF1837.1.3.5-271</t>
  </si>
  <si>
    <t>RMF1837.1.3.5-272</t>
  </si>
  <si>
    <t>RMF1837.1.3.5-273</t>
  </si>
  <si>
    <t>RMF1837.1.3.5-274</t>
  </si>
  <si>
    <t>RMF1837.1.3.6-275</t>
  </si>
  <si>
    <t>RMF1837.1.3.6-276</t>
  </si>
  <si>
    <t>RMF1837.1.3.6-277</t>
  </si>
  <si>
    <t>RMF1837.1.3.6-278</t>
  </si>
  <si>
    <t>RMF1837.1.3.6-279</t>
  </si>
  <si>
    <t>RMF1837.1.3.6-280</t>
  </si>
  <si>
    <t>RMF1837.1.3.6-281</t>
  </si>
  <si>
    <t>RMF1837.1.3.6-282</t>
  </si>
  <si>
    <t>RMF1837.1.3.6-283</t>
  </si>
  <si>
    <t>RMF1837.1.3.6-284</t>
  </si>
  <si>
    <t>RMF1837.1.3.6-285</t>
  </si>
  <si>
    <t>RMF1837.1.3.6-286</t>
  </si>
  <si>
    <t>RMF1837.1.3.7-287</t>
  </si>
  <si>
    <t>RMF1837.1.3.7-288</t>
  </si>
  <si>
    <t>RMF1837.1.3.7-289</t>
  </si>
  <si>
    <t>RMF1837.1.3.7-290</t>
  </si>
  <si>
    <t>RMF1837.1.3.7-291</t>
  </si>
  <si>
    <t>RMF1837.1.3.7-292</t>
  </si>
  <si>
    <t>RMF1837.1.3.7-293</t>
  </si>
  <si>
    <t>RMF1837.1.3.7-294</t>
  </si>
  <si>
    <t>RMF1837.1.3.7-295</t>
  </si>
  <si>
    <t>RMF1837.1.3.7-296</t>
  </si>
  <si>
    <t>RMF1837.1.3.7-297</t>
  </si>
  <si>
    <t>RMF1837.1.3.7-298</t>
  </si>
  <si>
    <t>RMF1837.1.3.8-299</t>
  </si>
  <si>
    <t>RMF1837.1.3.8-300</t>
  </si>
  <si>
    <t>RMF1837.1.3.8-301</t>
  </si>
  <si>
    <t>RMF1837.1.3.8-302</t>
  </si>
  <si>
    <t>RMF1837.1.3.8-303</t>
  </si>
  <si>
    <t>RMF1837.1.3.8-304</t>
  </si>
  <si>
    <t>RMF1837.1.3.8-305</t>
  </si>
  <si>
    <t>RMF1837.1.3.8-306</t>
  </si>
  <si>
    <t>RMF1837.1.3.8-307</t>
  </si>
  <si>
    <t>RMF1837.1.3.8-308</t>
  </si>
  <si>
    <t>RMF1837.1.3.8-309</t>
  </si>
  <si>
    <t>RMF1837.1.3.8-310</t>
  </si>
  <si>
    <t>RMF1837.1.3.9-311</t>
  </si>
  <si>
    <t>RMF1837.1.3.9-312</t>
  </si>
  <si>
    <t>RMF1837.1.3.9-313</t>
  </si>
  <si>
    <t>RMF1837.1.3.9-314</t>
  </si>
  <si>
    <t>RMF1837.1.3.9-315</t>
  </si>
  <si>
    <t>RMF1837.1.3.9-316</t>
  </si>
  <si>
    <t>RMF1837.1.3.9-317</t>
  </si>
  <si>
    <t>RMF1838.1.3.10-318</t>
  </si>
  <si>
    <t>RMF1838.1.3.10-319</t>
  </si>
  <si>
    <t>RMF1838.1.3.10-320</t>
  </si>
  <si>
    <t>RMF1838.1.3.10-321</t>
  </si>
  <si>
    <t>RMF1838.1.3.10-322</t>
  </si>
  <si>
    <t>RMF1838.1.3.10-323</t>
  </si>
  <si>
    <t>RMF1838.1.3.11-324</t>
  </si>
  <si>
    <t>RMF1838.1.3.11-325</t>
  </si>
  <si>
    <t>RMF1838.1.3.11-326</t>
  </si>
  <si>
    <t>RMF1838.1.3.11-327</t>
  </si>
  <si>
    <t>RMF1838.1.3.11-328</t>
  </si>
  <si>
    <t>RMF1838.1.3.11-329</t>
  </si>
  <si>
    <t>RMF1838.1.3.11-330</t>
  </si>
  <si>
    <t>RMF1838.1.3.11-331</t>
  </si>
  <si>
    <t>RMF1838.1.3.12-332</t>
  </si>
  <si>
    <t>RMF1838.1.3.12-333</t>
  </si>
  <si>
    <t>RMF1838.1.3.12-334</t>
  </si>
  <si>
    <t>RMF1838.1.3.12-335</t>
  </si>
  <si>
    <t>RMF1838.1.3.12-336</t>
  </si>
  <si>
    <t>RMF1838.1.4.1-337</t>
  </si>
  <si>
    <t>RMF1838.1.4.1-338</t>
  </si>
  <si>
    <t>RMF1838.1.4.1-339</t>
  </si>
  <si>
    <t>RMF1838.1.4.1-340</t>
  </si>
  <si>
    <t>RMF1838.1.4.1-341</t>
  </si>
  <si>
    <t>RMF1838.1.4.1-342</t>
  </si>
  <si>
    <t>RMF1838.1.4.1-343</t>
  </si>
  <si>
    <t>RMF1838.1.4.1-344</t>
  </si>
  <si>
    <t>RMF1838.1.4.1-345</t>
  </si>
  <si>
    <t>RMF1838.1.4.1-346</t>
  </si>
  <si>
    <t>RMF1838.1.4.2-347</t>
  </si>
  <si>
    <t>RMF1838.1.4.2-348</t>
  </si>
  <si>
    <t>RMF1838.1.4.2-349</t>
  </si>
  <si>
    <t>RMF1838.1.4.2-350</t>
  </si>
  <si>
    <t>RMF1838.1.4.2-351</t>
  </si>
  <si>
    <t>RMF1838.1.4.2-352</t>
  </si>
  <si>
    <t>RMF1838.1.4.2-353</t>
  </si>
  <si>
    <t>RMF1838.1.4.2-354</t>
  </si>
  <si>
    <t>RMF1838.1.4.2-355</t>
  </si>
  <si>
    <t>RMF1838.1.4.2-356</t>
  </si>
  <si>
    <t>RMF1838.1.4.2-357</t>
  </si>
  <si>
    <t>RMF1838.1.4.2-358</t>
  </si>
  <si>
    <t>RMF1838.1.4.2-359</t>
  </si>
  <si>
    <t>RMF1838.1.4.2-360</t>
  </si>
  <si>
    <t>RMF1838.1.4.3-361</t>
  </si>
  <si>
    <t>RMF1838.1.4.3-362</t>
  </si>
  <si>
    <t>RMF1838.1.4.3-363</t>
  </si>
  <si>
    <t>RMF1838.1.4.3-364</t>
  </si>
  <si>
    <t>RMF1838.1.4.3-365</t>
  </si>
  <si>
    <t>RMF1838.1.4.3-366</t>
  </si>
  <si>
    <t>RMF1838.1.4.3-367</t>
  </si>
  <si>
    <t>RMF1838.1.4.3-368</t>
  </si>
  <si>
    <t>RMF1838.1.4.3-369</t>
  </si>
  <si>
    <t>RMF1838.1.4.3-370</t>
  </si>
  <si>
    <t>RMF1838.1.4.3-371</t>
  </si>
  <si>
    <t>RMF1838.1.4.3-372</t>
  </si>
  <si>
    <t>RMF1838.1.4.3-373</t>
  </si>
  <si>
    <t>RMF1838.1.4.4-374</t>
  </si>
  <si>
    <t>RMF1838.1.4.4-375</t>
  </si>
  <si>
    <t>RMF1838.1.4.4-376</t>
  </si>
  <si>
    <t>RMF1838.1.4.4-377</t>
  </si>
  <si>
    <t>RMF1838.1.4.4-378</t>
  </si>
  <si>
    <t>RMF1838.1.4.4-379</t>
  </si>
  <si>
    <t>RMF1838.1.4.4-380</t>
  </si>
  <si>
    <t>RMF1838.1.4.4-381</t>
  </si>
  <si>
    <t>RMF1838.1.4.4-382</t>
  </si>
  <si>
    <t>RMF1838.1.4.5-383</t>
  </si>
  <si>
    <t>RMF1838.1.4.5-384</t>
  </si>
  <si>
    <t>RMF1838.1.4.5-385</t>
  </si>
  <si>
    <t>RMF1838.1.4.5-386</t>
  </si>
  <si>
    <t>RMF1838.1.4.5-387</t>
  </si>
  <si>
    <t>RMF1838.1.4.5-388</t>
  </si>
  <si>
    <t>RMF1838.1.4.5-389</t>
  </si>
  <si>
    <t>RMF1838.1.4.5-390</t>
  </si>
  <si>
    <t>RMF1838.1.4.6-392</t>
  </si>
  <si>
    <t>RMF1838.1.4.6-393</t>
  </si>
  <si>
    <t>RMF1838.1.4.6-394</t>
  </si>
  <si>
    <t>RMF1838.1.4.6-395</t>
  </si>
  <si>
    <t>RMF1838.1.4.6-396</t>
  </si>
  <si>
    <t>RMF1838.1.4.6-397</t>
  </si>
  <si>
    <t>RMF1838.1.4.6-398</t>
  </si>
  <si>
    <t>RMF1838.1.4.6-399</t>
  </si>
  <si>
    <t>RMF1838.1.4.6-400</t>
  </si>
  <si>
    <t>RMF1838.1.4.6-401</t>
  </si>
  <si>
    <t>RMF1838.1.4.6-402</t>
  </si>
  <si>
    <t>RMF1838.1.4.7-403</t>
  </si>
  <si>
    <t>RMF1838.1.4.7-404</t>
  </si>
  <si>
    <t>RMF1838.1.4.7-405</t>
  </si>
  <si>
    <t>RMF1838.1.4.7-406</t>
  </si>
  <si>
    <t>RMF1838.1.4.7-407</t>
  </si>
  <si>
    <t>RMF1838.1.4.7-408</t>
  </si>
  <si>
    <t>RMF1838.1.4.7-409</t>
  </si>
  <si>
    <t>RMF1838.1.4.7-410</t>
  </si>
  <si>
    <t>RMF1838.1.4.7-411</t>
  </si>
  <si>
    <t>RMF1838.1.4.7-412</t>
  </si>
  <si>
    <t>RMF1838.1.4.7-413</t>
  </si>
  <si>
    <t>RMF1838.1.4.7-414</t>
  </si>
  <si>
    <t>RMF1838.1.4.8-415</t>
  </si>
  <si>
    <t>RMF1838.1.4.8-416</t>
  </si>
  <si>
    <t>RMF1838.1.4.8-417</t>
  </si>
  <si>
    <t>RMF1838.1.4.8-418</t>
  </si>
  <si>
    <t>RMF1838.1.4.8-419</t>
  </si>
  <si>
    <t>RMF1838.1.4.8-420</t>
  </si>
  <si>
    <t>RMF1838.1.4.9-421</t>
  </si>
  <si>
    <t>RMF1838.1.4.9-422</t>
  </si>
  <si>
    <t>RMF1838.1.4.9-423</t>
  </si>
  <si>
    <t>RMF1838.1.4.9-424</t>
  </si>
  <si>
    <t>RMF1838.1.4.9-425</t>
  </si>
  <si>
    <t>RMF1838.1.4.9-426</t>
  </si>
  <si>
    <t>RMF1838.1.4.9-427</t>
  </si>
  <si>
    <t>RMF1838.1.4.9-428</t>
  </si>
  <si>
    <t>RMF1838.1.4.9-429</t>
  </si>
  <si>
    <t>RMF1838.1.4.9-430</t>
  </si>
  <si>
    <t>RMF1838.1.4.9-431</t>
  </si>
  <si>
    <t>RMF1838.1.4.9-432</t>
  </si>
  <si>
    <t>RMF1838.1.4.9-433</t>
  </si>
  <si>
    <t>RMF1838.1.4.9-434</t>
  </si>
  <si>
    <t>RMF1838.1.4.9-435</t>
  </si>
  <si>
    <t>RMF1838.1.4.9-436</t>
  </si>
  <si>
    <t>RMF1838.1.4.9-437</t>
  </si>
  <si>
    <t>RMF1839.1.4.10-438</t>
  </si>
  <si>
    <t>RMF1839.1.4.10-439</t>
  </si>
  <si>
    <t>RMF1839.1.4.10-440</t>
  </si>
  <si>
    <t>RMF1839.1.4.10-441</t>
  </si>
  <si>
    <t>RMF1839.1.4.10-442</t>
  </si>
  <si>
    <t>RMF1839.1.4.10-443</t>
  </si>
  <si>
    <t>RMF1839.1.4.10-444</t>
  </si>
  <si>
    <t>RMF1839.1.4.10-445</t>
  </si>
  <si>
    <t>RMF1839.1.4.10-446</t>
  </si>
  <si>
    <t>RMF1839.1.4.11-447</t>
  </si>
  <si>
    <t>RMF1839.1.4.11-448</t>
  </si>
  <si>
    <t>RMF1839.1.4.11-449</t>
  </si>
  <si>
    <t>RMF1839.1.4.11-450</t>
  </si>
  <si>
    <t>RMF1839.1.4.11-451</t>
  </si>
  <si>
    <t>RMF1839.1.4.11-452</t>
  </si>
  <si>
    <t>RMF1839.1.4.11-453</t>
  </si>
  <si>
    <t>RMF1839.1.4.11-454</t>
  </si>
  <si>
    <t>RMF1839.1.4.11-455</t>
  </si>
  <si>
    <t>RMF1839.1.4.12-456</t>
  </si>
  <si>
    <t>RMF1839.1.4.12-457</t>
  </si>
  <si>
    <t>RMF1839.1.4.12-458</t>
  </si>
  <si>
    <t>RMF1839.1.4.12-459</t>
  </si>
  <si>
    <t>RMF1839.1.4.12-460</t>
  </si>
  <si>
    <t>RMF1839.1.4.12-461</t>
  </si>
  <si>
    <t>RMF1839.1.4.12-462</t>
  </si>
  <si>
    <t>RMF1839.1.5.1-463</t>
  </si>
  <si>
    <t>RMF1839.1.5.1-464</t>
  </si>
  <si>
    <t>RMF1839.1.5.1-465</t>
  </si>
  <si>
    <t>RMF1839.1.5.1-466</t>
  </si>
  <si>
    <t>RMF1839.1.5.1-467</t>
  </si>
  <si>
    <t>RMF1839.1.5.1-468</t>
  </si>
  <si>
    <t>RMF1839.1.5.1-469</t>
  </si>
  <si>
    <t>RMF1839.1.5.1-470</t>
  </si>
  <si>
    <t>RMF1839.1.5.1-471</t>
  </si>
  <si>
    <t>RMF1839.1.5.1-472</t>
  </si>
  <si>
    <t>RMF1839.1.5.1-473</t>
  </si>
  <si>
    <t>RMF1839.1.5.1-474</t>
  </si>
  <si>
    <t>RMF1839.1.5.1-475</t>
  </si>
  <si>
    <t>RMF1839.1.5.1-476</t>
  </si>
  <si>
    <t>RMF1839.1.5.1-477</t>
  </si>
  <si>
    <t>RMF1839.1.5.1-478</t>
  </si>
  <si>
    <t>RMF1839.1.5.1-479</t>
  </si>
  <si>
    <t>RMF1839.1.5.1-480</t>
  </si>
  <si>
    <t>RMF1839.1.5.1-481</t>
  </si>
  <si>
    <t>RMF1839.1.5.2-482</t>
  </si>
  <si>
    <t>RMF1839.1.5.2-483</t>
  </si>
  <si>
    <t>RMF1839.1.5.2-484</t>
  </si>
  <si>
    <t>RMF1839.1.5.2-485</t>
  </si>
  <si>
    <t>RMF1839.1.5.2-486</t>
  </si>
  <si>
    <t>RMF1839.1.5.2-487</t>
  </si>
  <si>
    <t>RMF1839.1.5.2-488</t>
  </si>
  <si>
    <t>RMF1839.1.5.2-489</t>
  </si>
  <si>
    <t>RMF1839.1.5.2-490</t>
  </si>
  <si>
    <t>RMF1839.1.5.2-491</t>
  </si>
  <si>
    <t>RMF1839.1.5.2-492</t>
  </si>
  <si>
    <t>RMF1839.1.5.2-493</t>
  </si>
  <si>
    <t>RMF1839.1.5.3-494</t>
  </si>
  <si>
    <t>RMF1839.1.5.3-495</t>
  </si>
  <si>
    <t>RMF1839.1.5.3-496</t>
  </si>
  <si>
    <t>RMF1839.1.5.3-497</t>
  </si>
  <si>
    <t>RMF1839.1.5.3-498</t>
  </si>
  <si>
    <t>RMF1839.1.5.3-499</t>
  </si>
  <si>
    <t>RMF1839.1.5.3-500</t>
  </si>
  <si>
    <t>RMF1839.1.5.3-501</t>
  </si>
  <si>
    <t>RMF1839.1.5.3-502</t>
  </si>
  <si>
    <t>RMF1839.1.5.3-503</t>
  </si>
  <si>
    <t>RMF1839.1.5.4-504</t>
  </si>
  <si>
    <t>RMF1839.1.5.4-505</t>
  </si>
  <si>
    <t>RMF1839.1.5.4-506</t>
  </si>
  <si>
    <t>RMF1839.1.5.4-507</t>
  </si>
  <si>
    <t>RMF1839.1.5.4-508</t>
  </si>
  <si>
    <t>RMF1839.1.5.4-509</t>
  </si>
  <si>
    <t>RMF1839.1.5.4-510</t>
  </si>
  <si>
    <t>RMF1839.1.5.4-511</t>
  </si>
  <si>
    <t>RMF1839.1.5.5-512</t>
  </si>
  <si>
    <t>RMF1839.1.5.5-513</t>
  </si>
  <si>
    <t>RMF1839.1.5.5-514</t>
  </si>
  <si>
    <t>RMF1839.1.5.5-515</t>
  </si>
  <si>
    <t>RMF1839.1.5.5-516</t>
  </si>
  <si>
    <t>RMF1839.1.5.5-517</t>
  </si>
  <si>
    <t>RMF1839.1.5.5-518</t>
  </si>
  <si>
    <t>RMF1839.1.5.5-519</t>
  </si>
  <si>
    <t>RMF1839.1.5.5-520</t>
  </si>
  <si>
    <t>RMF1839.1.5.5-521</t>
  </si>
  <si>
    <t>RMF1839.1.5.5-522</t>
  </si>
  <si>
    <t>RMF1839.1.5.5-523</t>
  </si>
  <si>
    <t>RMF1839.1.5.5-524</t>
  </si>
  <si>
    <t>RMF1839.1.5.6-525</t>
  </si>
  <si>
    <t>RMF1839.1.5.6-526</t>
  </si>
  <si>
    <t>RMF1839.1.5.6-527</t>
  </si>
  <si>
    <t>RMF1839.1.5.6-528</t>
  </si>
  <si>
    <t>RMF1839.1.5.6-529</t>
  </si>
  <si>
    <t>RMF1839.1.5.6-530</t>
  </si>
  <si>
    <t>RMF1839.1.5.6-531</t>
  </si>
  <si>
    <t>RMF1839.1.5.6-532</t>
  </si>
  <si>
    <t>RMF1839.1.5.6-533</t>
  </si>
  <si>
    <t>RMF1839.1.5.7-534</t>
  </si>
  <si>
    <t>RMF1839.1.5.7-535</t>
  </si>
  <si>
    <t>RMF1839.1.5.7-536</t>
  </si>
  <si>
    <t>RMF1839.1.5.7-537</t>
  </si>
  <si>
    <t>RMF1839.1.5.7-538</t>
  </si>
  <si>
    <t>RMF1839.1.5.7-539</t>
  </si>
  <si>
    <t>RMF1839.1.5.7-540</t>
  </si>
  <si>
    <t>RMF1839.1.5.7-541</t>
  </si>
  <si>
    <t>RMF1839.1.5.7-542</t>
  </si>
  <si>
    <t>RMF1839.1.5.7-543</t>
  </si>
  <si>
    <t>RMF1839.1.5.8-544</t>
  </si>
  <si>
    <t>RMF1839.1.5.8-545</t>
  </si>
  <si>
    <t>RMF1839.1.5.8-546</t>
  </si>
  <si>
    <t>RMF1839.1.5.8-547</t>
  </si>
  <si>
    <t>RMF1839.1.5.8-548</t>
  </si>
  <si>
    <t>RMF1839.1.5.8-549</t>
  </si>
  <si>
    <t>RMF1839.1.5.8-550</t>
  </si>
  <si>
    <t>RMF1839.1.5.8-551</t>
  </si>
  <si>
    <t>RMF1839.1.5.8-552</t>
  </si>
  <si>
    <t>RMF1839.1.5.9-553</t>
  </si>
  <si>
    <t>RMF1839.1.5.9-554</t>
  </si>
  <si>
    <t>RMF1839.1.5.9-555</t>
  </si>
  <si>
    <t>RMF1839.1.5.9-556</t>
  </si>
  <si>
    <t>RMF1839.1.5.9-557</t>
  </si>
  <si>
    <t>RMF1839.1.5.9-558</t>
  </si>
  <si>
    <t>RMF1839.1.5.9-559</t>
  </si>
  <si>
    <t>RMF1839.1.5.9-560</t>
  </si>
  <si>
    <t>RMF1839.1.5.9-561</t>
  </si>
  <si>
    <t>RMF1840.1.5.10-562</t>
  </si>
  <si>
    <t>RMF1840.1.5.10-563</t>
  </si>
  <si>
    <t>RMF1840.1.5.10-564</t>
  </si>
  <si>
    <t>RMF1840.1.5.10-565</t>
  </si>
  <si>
    <t>RMF1840.1.5.10-566</t>
  </si>
  <si>
    <t>RMF1840.1.5.11-567</t>
  </si>
  <si>
    <t>RMF1840.1.5.11-568</t>
  </si>
  <si>
    <t>RMF1840.1.5.11-569</t>
  </si>
  <si>
    <t>RMF1840.1.5.11-570</t>
  </si>
  <si>
    <t>RMF1840.1.5.11-571</t>
  </si>
  <si>
    <t>RMF1840.1.5.11-572</t>
  </si>
  <si>
    <t>RMF1840.1.5.11-573</t>
  </si>
  <si>
    <t>RMF1840.1.5.11-574</t>
  </si>
  <si>
    <t>RMF1840.1.5.11-575</t>
  </si>
  <si>
    <t>RMF1840.1.5.11-576</t>
  </si>
  <si>
    <t>RMF1840.1.5.11-577</t>
  </si>
  <si>
    <t>RMF1840.1.5.12-578</t>
  </si>
  <si>
    <t>RMF1840.1.5.12-579</t>
  </si>
  <si>
    <t>RMF1840.1.5.12-580</t>
  </si>
  <si>
    <t>RMF1840.1.5.12-581</t>
  </si>
  <si>
    <t>RMF1840.1.5.12-582</t>
  </si>
  <si>
    <t>RMF1840.1.5.12-583</t>
  </si>
  <si>
    <t>RMF1840.1.5.12-584</t>
  </si>
  <si>
    <t>RMF1840.1.5.12-585</t>
  </si>
  <si>
    <t>RMF1840.1.5.12-586</t>
  </si>
  <si>
    <t>RMF1840.1.5.12-587</t>
  </si>
  <si>
    <t>RMF1840.1.5.12-588</t>
  </si>
  <si>
    <t>RMF1840.1.5.12-589</t>
  </si>
  <si>
    <t>RMF1840.1.5.12-590</t>
  </si>
  <si>
    <t>RMF1840.1.5.12-591</t>
  </si>
  <si>
    <t>RMF1840.1.6.1-592</t>
  </si>
  <si>
    <t>RMF1840.1.6.1-593</t>
  </si>
  <si>
    <t>RMF1840.1.6.1-594</t>
  </si>
  <si>
    <t>RMF1840.1.6.1-595</t>
  </si>
  <si>
    <t>RMF1840.1.6.1-596</t>
  </si>
  <si>
    <t>RMF1840.1.6.1-597</t>
  </si>
  <si>
    <t>RMF1840.1.6.1-598</t>
  </si>
  <si>
    <t>RMF1840.1.6.1-599</t>
  </si>
  <si>
    <t>RMF1840.1.6.1-600</t>
  </si>
  <si>
    <t>RMF1840.1.6.1-601</t>
  </si>
  <si>
    <t>RMF1840.1.6.1-602</t>
  </si>
  <si>
    <t>RMF1840.1.6.1-603</t>
  </si>
  <si>
    <t>RMF1840.1.6.2-604</t>
  </si>
  <si>
    <t>RMF1840.1.6.2-605</t>
  </si>
  <si>
    <t>RMF1840.1.6.2-606</t>
  </si>
  <si>
    <t>RMF1840.1.6.2-607</t>
  </si>
  <si>
    <t>RMF1840.1.6.2-608</t>
  </si>
  <si>
    <t>RMF1840.1.6.2-609</t>
  </si>
  <si>
    <t>RMF1840.1.6.2-610</t>
  </si>
  <si>
    <t>RMF1840.1.6.2-611</t>
  </si>
  <si>
    <t>RMF1840.1.6.2-612</t>
  </si>
  <si>
    <t>RMF1840.1.6.2-613</t>
  </si>
  <si>
    <t>RMF1840.1.6.2-614</t>
  </si>
  <si>
    <t>RMF1840.1.6.3-615</t>
  </si>
  <si>
    <t>RMF1840.1.6.3-616</t>
  </si>
  <si>
    <t>RMF1840.1.6.3-617</t>
  </si>
  <si>
    <t>RMF1840.1.6.3-618</t>
  </si>
  <si>
    <t>RMF1840.1.6.3-619</t>
  </si>
  <si>
    <t>RMF1840.1.6.3-620</t>
  </si>
  <si>
    <t>RMF1840.1.6.3-621</t>
  </si>
  <si>
    <t>RMF1840.1.6.3-622</t>
  </si>
  <si>
    <t>RMF1840.1.6.3-623</t>
  </si>
  <si>
    <t>RMF1840.1.6.3-624</t>
  </si>
  <si>
    <t>RMF1840.1.6.3-625</t>
  </si>
  <si>
    <t>RMF1840.1.6.3-626</t>
  </si>
  <si>
    <t>RMF1840.1.6.3-627</t>
  </si>
  <si>
    <t>RMF1840.1.6.3-628</t>
  </si>
  <si>
    <t>RMF1840.1.6.4-629</t>
  </si>
  <si>
    <t>RMF1840.1.6.4-630</t>
  </si>
  <si>
    <t>RMF1840.1.6.4-631</t>
  </si>
  <si>
    <t>RMF1840.1.6.4-632</t>
  </si>
  <si>
    <t>RMF1840.1.6.4-633</t>
  </si>
  <si>
    <t>RMF1840.1.6.4-634</t>
  </si>
  <si>
    <t>RMF1840.1.6.4-635</t>
  </si>
  <si>
    <t>RMF1840.1.6.4-636</t>
  </si>
  <si>
    <t>RMF1840.1.6.4-637</t>
  </si>
  <si>
    <t>RMF1840.1.6.4-638</t>
  </si>
  <si>
    <t>RMF1840.1.6.4-639</t>
  </si>
  <si>
    <t>RMF1840.1.6.4-640</t>
  </si>
  <si>
    <t>RMF1840.1.6.4-641</t>
  </si>
  <si>
    <t>RMF1840.1.6.4-642</t>
  </si>
  <si>
    <t>RMF1840.1.6.5-643</t>
  </si>
  <si>
    <t>RMF1840.1.6.5-644</t>
  </si>
  <si>
    <t>RMF1840.1.6.5-645</t>
  </si>
  <si>
    <t>RMF1840.1.6.5-646</t>
  </si>
  <si>
    <t>RMF1840.1.6.5-647</t>
  </si>
  <si>
    <t>RMF1840.1.6.5-648</t>
  </si>
  <si>
    <t>RMF1840.1.6.6-649</t>
  </si>
  <si>
    <t>RMF1840.1.6.6-650</t>
  </si>
  <si>
    <t>RMF1840.1.6.6-651</t>
  </si>
  <si>
    <t>RMF1840.1.6.6-652</t>
  </si>
  <si>
    <t>RMF1840.1.6.6-653</t>
  </si>
  <si>
    <t>RMF1840.1.6.6-654</t>
  </si>
  <si>
    <t>RMF1840.1.6.6-655</t>
  </si>
  <si>
    <t>RMF1840.1.6.6-656</t>
  </si>
  <si>
    <t>RMF1840.1.6.6-657</t>
  </si>
  <si>
    <t>RMF1840.1.6.7-658</t>
  </si>
  <si>
    <t>RMF1840.1.6.7-659</t>
  </si>
  <si>
    <t>RMF1840.1.6.7-660</t>
  </si>
  <si>
    <t>RMF1840.1.6.7-661</t>
  </si>
  <si>
    <t>RMF1840.1.6.7-662</t>
  </si>
  <si>
    <t>RMF1840.1.6.7-663</t>
  </si>
  <si>
    <t>RMF1840.1.6.7-664</t>
  </si>
  <si>
    <t>RMF1840.1.6.7-665</t>
  </si>
  <si>
    <t>RMF1840.1.6.7-666</t>
  </si>
  <si>
    <t>RMF1840.1.6.8-667</t>
  </si>
  <si>
    <t>RMF1840.1.6.8-668</t>
  </si>
  <si>
    <t>RMF1840.1.6.8-669</t>
  </si>
  <si>
    <t>RMF1840.1.6.8-670</t>
  </si>
  <si>
    <t>RMF1840.1.6.8-671</t>
  </si>
  <si>
    <t>RMF1840.1.6.8-672</t>
  </si>
  <si>
    <t>RMF1840.1.6.9-673</t>
  </si>
  <si>
    <t>RMF1840.1.6.9-674</t>
  </si>
  <si>
    <t>RMF1840.1.6.9-675</t>
  </si>
  <si>
    <t>RMF1840.1.6.9-676</t>
  </si>
  <si>
    <t>RMF1840.1.6.9-677</t>
  </si>
  <si>
    <t>RMF1840.1.6.9-678</t>
  </si>
  <si>
    <t>RMF1840.1.6.9-679</t>
  </si>
  <si>
    <t>RMF1840.1.6.9-680</t>
  </si>
  <si>
    <t>RMF1840.1.6.9-681</t>
  </si>
  <si>
    <t>RMF1841.1.6.10-682</t>
  </si>
  <si>
    <t>RMF1841.1.6.10-683</t>
  </si>
  <si>
    <t>RMF1841.1.6.10-684</t>
  </si>
  <si>
    <t>RMF1841.1.6.10-685</t>
  </si>
  <si>
    <t>RMF1841.1.6.11-686</t>
  </si>
  <si>
    <t>RMF1841.1.6.11-687</t>
  </si>
  <si>
    <t>RMF1841.1.6.11-688</t>
  </si>
  <si>
    <t>RMF1841.1.6.11-689</t>
  </si>
  <si>
    <t>RMF1841.1.6.11-690</t>
  </si>
  <si>
    <t>RMF1841.1.6.11-691</t>
  </si>
  <si>
    <t>RMF1841.1.6.11-692</t>
  </si>
  <si>
    <t>RMF1841.1.6.11-693</t>
  </si>
  <si>
    <t>RMF1841.1.6.12-694</t>
  </si>
  <si>
    <t>RMF1841.1.6.12-695</t>
  </si>
  <si>
    <t>RMF1841.1.6.12-696</t>
  </si>
  <si>
    <t>RMF1841.1.6.12-697</t>
  </si>
  <si>
    <t>RMF1841.1.6.12-698</t>
  </si>
  <si>
    <t>RMF1841.1.6.12-699</t>
  </si>
  <si>
    <t>RMF1841.1.6.12-700</t>
  </si>
  <si>
    <t>RMF1841.1.6.12-701</t>
  </si>
  <si>
    <t>RMF1841.1.6.12-702</t>
  </si>
  <si>
    <t>RMF1841.1.6.12-703</t>
  </si>
  <si>
    <t>Higiene publica. Influencia da vaccina sobre a duração da vida.</t>
  </si>
  <si>
    <t>17.ª Sessão geral em 10 de março de 1838.</t>
  </si>
  <si>
    <t>18.ª Sessão geral em 31 de maio de 1838.</t>
  </si>
  <si>
    <t>Relatorio do Sr. Dr. Jordim sobre o trabalho do Sr. Rangel de Vasconcellos, relativo ao dessecamento dos pantanos da provincia do Rio de Janeiro, lido na 7.ª sessão geral em o 10. de setembro de 1836.</t>
  </si>
  <si>
    <t>Carta do Sr. Rangel ao Ministro do Imperio, sobre o dessecamento dos pantanos desta Corte.</t>
  </si>
  <si>
    <t>João Rangel de Vasconcellos</t>
  </si>
  <si>
    <t>Elogio historico do illustre José Bonifacio de Andrada e Silva, lido na sessão publica da Academia Imperial de Medicina de 30 de Junho do corrente anno, por Emilio Joaquim da Silva Maia, Dr. em Medicina pela Escola de Paris, Bacharel formado em philosophia natural pela Universidade de Coimbra, Professor de sciencias naturaes do Collegio de D. Pedro II., Membro Titular da Academia Imperial de Medicina desta Corte, da Sociedade de Sciencias naturaes de França, da Sociedade Medico-literaria do Porto, da Auxiliadora da Industria Nacional, da Litteraria, e da Amante de Instrucção do Rio de Janeiro etc.</t>
  </si>
  <si>
    <t>José Manoel do Rosário</t>
  </si>
  <si>
    <t>RMF1838.1.4.6-391</t>
  </si>
  <si>
    <t>["Tendo o Sr. Ezequiel Correa dos Santos enviado-nos ainda hum artigo…"]</t>
  </si>
  <si>
    <t>Morfético mordido pela cobra cascavel como meio therapeutico.</t>
  </si>
  <si>
    <t>Reflexões sobre esta experiencia.</t>
  </si>
  <si>
    <t>Primeiros soccorros em caso de ferimento.</t>
  </si>
  <si>
    <t>Considerações phisiologicas e pathologicas sobre a alteração do sangue no escorbuto, por F. Gomes, interno no hospital de Salpetrière em Pariz.</t>
  </si>
  <si>
    <t>Relatorio do Dr. L. V. De-Simoni sobre huma relação da molestia escorbutica, observada á bordo da fragata sarda Euridice pelo Sr. Dr. Nicolao Franchelli, cirurgião da dita fragata.</t>
  </si>
  <si>
    <t>"Queimaduras." O Panorama (Lisbon) 1, no. 19 (9 September 1837): 147–148.</t>
  </si>
  <si>
    <t>Sessão N.º 136 do dia 26 de Novembro de 1836.</t>
  </si>
  <si>
    <t>Januario da Cunha Barbosa; José Silvestre Rebello; Fructuoso Luiz da Motta</t>
  </si>
  <si>
    <t>Cirurgia brasileira. Recisão de escrotos mui volumosos, affectados de elephantiase dos arabes.</t>
  </si>
  <si>
    <t>ProximateSourceIdentification</t>
  </si>
  <si>
    <t>SourceAttribution</t>
  </si>
  <si>
    <t>AuthorhipAttribution</t>
  </si>
  <si>
    <t>ProximateSourceLocation</t>
  </si>
  <si>
    <t>O charlatanismo, por V. Renourd. D. M.</t>
  </si>
  <si>
    <t>["Agradecendo aos Senhores Assignantes deste Semanario…"]</t>
  </si>
  <si>
    <t>Lista dos Subscriptoreѕ á segunda Assignatura do Patriota.</t>
  </si>
  <si>
    <t>OP1813.1.2.6-204</t>
  </si>
  <si>
    <t>OP1814.1.3.1-223</t>
  </si>
  <si>
    <t>OP1814.1.3.2-246</t>
  </si>
  <si>
    <t>OP1814.1.3.3-263</t>
  </si>
  <si>
    <t>OP1814.1.3.4-268</t>
  </si>
  <si>
    <t>OP1814.1.3.5-278</t>
  </si>
  <si>
    <t>OP1814.1.3.6-289</t>
  </si>
  <si>
    <t>Discurso preliminar.</t>
  </si>
  <si>
    <t>Sobre o estudo da historia natural.</t>
  </si>
  <si>
    <t>Discurso lido na Sessão de 25 de Fevereiro de 1852, pelo Dr. José Francisco Sigaud, Presidente annual da Sociedade de Medicina do Rio de Janeiro.</t>
  </si>
  <si>
    <t>Continuação do Numero antecedente. Descripção do Engenho</t>
  </si>
  <si>
    <t>Pathologia Cirurgia. Emissão de hydatidas pela uretra.</t>
  </si>
  <si>
    <t>["Folgamos em annunciar que de hoje em diante poderemos..."]</t>
  </si>
  <si>
    <t>SSP1832.1.1.79-354</t>
  </si>
  <si>
    <t>SSP1832.1.1.80-356</t>
  </si>
  <si>
    <t>SSP1832.1.1.81-360</t>
  </si>
  <si>
    <t>SSP1832.1.1.82-365</t>
  </si>
  <si>
    <t>SSP1832.1.1.83-370</t>
  </si>
  <si>
    <t>SSP1832.1.1.84-373</t>
  </si>
  <si>
    <t>SSP1832.1.1.85-375</t>
  </si>
  <si>
    <t>SSP1832.1.1.86-376</t>
  </si>
  <si>
    <t>SSP1832.1.1.87-379</t>
  </si>
  <si>
    <t>SSP1832.1.1.88-382</t>
  </si>
  <si>
    <t>SSP1832.1.1.89-384</t>
  </si>
  <si>
    <t>SSP1832.1.1.90-390</t>
  </si>
  <si>
    <t>SSP1832.1.1.91-393</t>
  </si>
  <si>
    <t>SSP1832.1.1.92-395</t>
  </si>
  <si>
    <t>SSP1832.1.1.93-398</t>
  </si>
  <si>
    <t>SSP1832.1.1.94-401</t>
  </si>
  <si>
    <t>SSP1832.1.1.95-404</t>
  </si>
  <si>
    <t>SSP1832.1.1.96-406</t>
  </si>
  <si>
    <t>SSP1832.1.1.97-408</t>
  </si>
  <si>
    <t>SSP1832.1.1.98-417</t>
  </si>
  <si>
    <t>SSP1832.1.1.99-422</t>
  </si>
  <si>
    <t>SSP1832.1.1.100-428</t>
  </si>
  <si>
    <t>SSP1832.1.1.101-431</t>
  </si>
  <si>
    <t>SSP1832.1.1.102-435</t>
  </si>
  <si>
    <t>SSP1833.1.1.103-436</t>
  </si>
  <si>
    <t>SSP1833.1.1.104-437</t>
  </si>
  <si>
    <t>SSP1833.1.1.105-438</t>
  </si>
  <si>
    <t>SSP1833.1.1.106-439</t>
  </si>
  <si>
    <t>SSP1833.1.1.107-440</t>
  </si>
  <si>
    <t>SSP1833.1.1.108-442</t>
  </si>
  <si>
    <t>SSP1833.1.1.110-448</t>
  </si>
  <si>
    <t>SSP1833.1.1.112-454</t>
  </si>
  <si>
    <t>SSP1833.1.1.114-459</t>
  </si>
  <si>
    <t>SSP1833.1.1.115-464</t>
  </si>
  <si>
    <t>SSP1833.1.1.116-468</t>
  </si>
  <si>
    <t>SSP1833.1.1.117-474</t>
  </si>
  <si>
    <t>SSP1833.1.1.119-480</t>
  </si>
  <si>
    <t>SSP1833.1.1.120-483</t>
  </si>
  <si>
    <t>SSP1833.1.1.121-487</t>
  </si>
  <si>
    <t>Hygiene Publica. ["Tendo nós dado ao Publico o Parecer da Sociedade de Medicina..."]</t>
  </si>
  <si>
    <t>Discurso do Sr. Presidante Torres, na Sessão de 10 de Novembro de 1832.</t>
  </si>
  <si>
    <t>SSP1833.1.1.107-441</t>
  </si>
  <si>
    <t>SSP1833.1.1.108-443</t>
  </si>
  <si>
    <t>SSP1833.1.1.109-445</t>
  </si>
  <si>
    <t>SSP1833.1.1.110-449</t>
  </si>
  <si>
    <t>SSP1833.1.1.111-451</t>
  </si>
  <si>
    <t>SSP1833.1.1.112-455</t>
  </si>
  <si>
    <t>SSP1833.1.1.113-457</t>
  </si>
  <si>
    <t>SSP1833.1.1.114-460</t>
  </si>
  <si>
    <t>SSP1833.1.1.115-465</t>
  </si>
  <si>
    <t>SSP1833.1.1.116-469</t>
  </si>
  <si>
    <t>SSP1833.1.1.117-475</t>
  </si>
  <si>
    <t>SSP1833.1.1.118-477</t>
  </si>
  <si>
    <t>SSP1833.1.1.119-481</t>
  </si>
  <si>
    <t>SSP1833.1.1.120-484</t>
  </si>
  <si>
    <t>SSP1833.1.1.121-488</t>
  </si>
  <si>
    <t>SSP1833.1.1.125-493</t>
  </si>
  <si>
    <t>Efficacia do sulfato de quinina na mordedura da vibora. (Observação do Dr. Marchant : Giorn. d'Omodei. )</t>
  </si>
  <si>
    <t>"Solfato di chinina nell’avvelenamento della vipera; osservaz. del dott. Marchant. (Omodei. Gennajo. 1831.)" Bullettino delle scienze mediche (Bologna) 4 (1831): 17–18.</t>
  </si>
  <si>
    <t>SSP1833.1.1.108-444</t>
  </si>
  <si>
    <t>SSP1833.1.1.109-446</t>
  </si>
  <si>
    <t>SSP1833.1.1.110-450</t>
  </si>
  <si>
    <t>SSP1833.1.1.111-452</t>
  </si>
  <si>
    <t>SSP1833.1.1.112-456</t>
  </si>
  <si>
    <t>SSP1833.1.1.113-458</t>
  </si>
  <si>
    <t>SSP1833.1.1.114-461</t>
  </si>
  <si>
    <t>SSP1833.1.1.115-466</t>
  </si>
  <si>
    <t>SSP1833.1.1.116-470</t>
  </si>
  <si>
    <t>SSP1833.1.1.117-476</t>
  </si>
  <si>
    <t>SSP1833.1.1.118-478</t>
  </si>
  <si>
    <t>SSP1833.1.1.119-482</t>
  </si>
  <si>
    <t>SSP1833.1.1.120-485</t>
  </si>
  <si>
    <t>SSP1833.1.1.121-489</t>
  </si>
  <si>
    <t>SSP1833.1.1.122-490</t>
  </si>
  <si>
    <t>SSP1833.1.1.123-491</t>
  </si>
  <si>
    <t>SSP1833.1.1.124-492</t>
  </si>
  <si>
    <t>SSP1833.1.1.125-494</t>
  </si>
  <si>
    <t>Materia Medica. Efficacia do centeio respigado na paraplegia.</t>
  </si>
  <si>
    <t>Provenance, Articles
(Scientific)</t>
  </si>
  <si>
    <t>Provenance,Articles
(All)</t>
  </si>
  <si>
    <t>Provenance, Pages
(Scientific)</t>
  </si>
  <si>
    <t>Translation from Buffon’s Histoire naturelle (rhinoceros chapter), with details matching the Buffon/Goldsmith tradition; no single periodical source identified.</t>
  </si>
  <si>
    <t>Memoria sobre a possibilidade de verificar a presença dos miasmas, e sobre a presença de hum principio hydrogenado no ar; por M. Boussingault.</t>
  </si>
  <si>
    <t>"Brown et Broussais .- Vie de Broussais : sa doctrine." Journal des connaissances médico-chirurgicales (Paris) 6, no. 12 (June 1839): 227–230.</t>
  </si>
  <si>
    <t>Tratamento d’angina membranosa (croup).</t>
  </si>
  <si>
    <t>Ensaio sobre algumas propriedades fysicas de differentes madeiras. Pelo Tenente General Carlos Antonio Napion. </t>
  </si>
  <si>
    <t>TextualProvenanceClassification</t>
  </si>
  <si>
    <t xml:space="preserve">Luís Vicente De-Simoni </t>
  </si>
  <si>
    <t>José Francisco Sigaud; Luís Vicente De-Simoni</t>
  </si>
  <si>
    <t>Luís Vicente De-Simoni</t>
  </si>
  <si>
    <t>Joaquim da Silva Campos; Luís Vicente De-Simoni</t>
  </si>
  <si>
    <t>"Remèdé pour empecher lep marques de la petite-vérole." Gazette des hôpitaux civils et militaires (Lancette française) (Paris) 1 (1839): 352.</t>
  </si>
  <si>
    <t xml:space="preserve">“Histoire d’une mort apparente qui a duré vingt jours,” Gazette des hôpitaux civils et militaires (Lancette française) (Paris) 8 (1834): 319. </t>
  </si>
  <si>
    <t>"Lithoscope." Gazette des hôpitaux civils et militaires (Paris) 9, no. 114 (24 September 1835): 456</t>
  </si>
  <si>
    <t>"Epilepsie traitée par l'indigo." Gazette des hôpitaux civils et militaires (Lancette française) (Paris) 8, no. 81 (7 July 1835): 325.</t>
  </si>
  <si>
    <t>"Lèpre vulgaire traitée par la poix blanche, ou goudion, à l'intérieur." Gazette des hôpitaux civils et militaires (Lancette française) (Paris) 8, no. 81 (7 July 1835): 325.</t>
  </si>
  <si>
    <t>"Caulère potentiel dans l’hydrencéphate aigut." Gazette des hôpitaux civils et militaires (Lancette française) (Paris) 8, no. 88 (18 August 1835): 392.</t>
  </si>
  <si>
    <t>"Digitale pourprée dans le delirium tremens." Gazette des hôpitaux civils et militaires (Lancette française) (Paris) 8, no. 88 (18 August 1835): 392.</t>
  </si>
  <si>
    <t>"A'oix vomique dans la chute du rectum." Gazette des hôpitaux civils et militaires (Lancette française) (Paris) 8, no. 88 (18 August 1835): 392.</t>
  </si>
  <si>
    <t>"Pois introduit dans le conauii auditif externe; son extraction d l’aide d'une sangsue; par M. le docteur Bermond, de Bordeaux." Gazette des hôpitaux civils et militaires (Lancette française) (Paris) 8, no. 88 (19 August 1834): 392.</t>
  </si>
  <si>
    <r>
      <t xml:space="preserve">“Académie de médecine. Séances du 19 août 1834 … </t>
    </r>
    <r>
      <rPr>
        <i/>
        <sz val="11"/>
        <color theme="1"/>
        <rFont val="Calibri"/>
        <family val="2"/>
        <scheme val="minor"/>
      </rPr>
      <t>Blanc d’œuf dans la cholérine</t>
    </r>
    <r>
      <rPr>
        <sz val="11"/>
        <color theme="1"/>
        <rFont val="Calibri"/>
        <family val="2"/>
        <scheme val="minor"/>
      </rPr>
      <t xml:space="preserve">.” </t>
    </r>
    <r>
      <rPr>
        <i/>
        <sz val="11"/>
        <color theme="1"/>
        <rFont val="Calibri"/>
        <family val="2"/>
        <scheme val="minor"/>
      </rPr>
      <t>Gazette des hôpitaux civils et militaires (Lancette française) (Paris)</t>
    </r>
    <r>
      <rPr>
        <sz val="11"/>
        <color theme="1"/>
        <rFont val="Calibri"/>
        <family val="2"/>
        <scheme val="minor"/>
      </rPr>
      <t xml:space="preserve"> 8 (1834): 404. </t>
    </r>
  </si>
  <si>
    <t>Reprint-Ratio</t>
  </si>
  <si>
    <t>Adaptation</t>
  </si>
  <si>
    <t>Article condenses Veloso’s Portuguese treatment of coffee (itself based on European authorities like Sylvestre Dufour, Aublet, Rozier, and Laborie, ), following the same sequence of advice on harvest colour, avoiding early picking (incl. the Mauritius comparison), bean sorting, and not shaking branches, but the phrasing is recast; it is an Reuse (Adaptation)/summary.</t>
  </si>
  <si>
    <t>Is best read as a Portuguese translation/Adaptation of a French anti-charlatanism squib (probably by Julien-Joseph Virey), even though the exact French witness text still needs to be located for strict line-by-line confirmation.</t>
  </si>
  <si>
    <t>This article is a local Adaptation, translating and repackaging a French institutional notice reporting the 1835 elections and governing bodies of the Académie royale de médecine) for a Brazilian readership.</t>
  </si>
  <si>
    <t xml:space="preserve">This article is a Portuguese translation of Robert Christison’s discussion of medico-legal “evidence from morbid appearances” in A Treatise on Poisons (Edinburgh, 1829), reproduced through José Ferreira Borges’s Instituições de medicina forense (Paris: J. P. Aillaud, 1832, pp. 549–554), which functions as an intermediary Portuguese compilation/Adaptation of Christison’s English text. </t>
  </si>
  <si>
    <t>Portuguese summary-Adaptation of an 1835 Peruvian medical controversy reported in the Lima newspaper El Regenerador and in José Manuel Valdés’s pamphlet Al público peruano, reproducing the Protomedicato’s decree against calomel in dysentery and Archibald Smith’s rebuttal.</t>
  </si>
  <si>
    <t>Portuguese summary-Adaptation of an 1835 Peruvian dispute reported in Lima’s El Regenerador and in José Manuel Valdés’s pamphlet Al público peruano about the Lima Protomedicato’s decree restricting calomel use in dysentery and Archibald Smith’s opposition to it.</t>
  </si>
  <si>
    <t>This notice is likely a brief Brazilian Adaptation of a mid-19th-century French urological formula, extrait de noix vomique plus oxyde noir de fer, 24 pills taken three daily, circulating in works like the French chapter “De l’incontinence d’urine” on prostate diseases.</t>
  </si>
  <si>
    <t>The article is a column of medical curiosities compiled and Adaptation from multiple foreign sources (Italian, French, and Portuguese), rather than a literal translation of a single text.</t>
  </si>
  <si>
    <t>Marked as a translation by the editor. Although it appears to be an Adaptation of an article originally published in the British Lancet, the version reproduced here corresponds most closely to the abridged text printed in the Belgian compilation Encyclographie des sciences médicales.</t>
  </si>
  <si>
    <t>“Histoire de la maladie du général Foy; …” Annales de la médecine physiologique (Paris) 9 (1826): 20–41.</t>
  </si>
  <si>
    <t>"Médecine étrangère. Angleterre." Annales de la médecine physiologique (Paris) 9 (1826): 176–179.</t>
  </si>
  <si>
    <t>"Analyse de la poudre de James; par Richard Philips. (Ann. of phil., sept. 1823, p. 187)." Bulletin général et universel des annonces et des nouvelles scientifiques (Paris) 4 (1823): 94.</t>
  </si>
  <si>
    <t>Peysson, Dr. “Acide hydro-cyanique.” In Formulaire pratique des hôpitaux civils de Paris, 2e éd., édité par F.-S. Ratier, 389–390. Paris: J.-B. Baillière, 1825.</t>
  </si>
  <si>
    <t>Peysson, Dr. “Potion stibio-opiacée du docteur Peysson.” In Formulaire pratique des hôpitaux civils de Paris, 2e éd., édité par F.-S. Ratier, 375–76. Paris: J.-B. Baillière, 1825.</t>
  </si>
  <si>
    <t>"Annonces d’ouvrages nouveaux." Annales de la médecine physiologique (Paris) 11 (1827): 1–16.</t>
  </si>
  <si>
    <t>"Homme (Homo), article extrait du tome VIII du Ditionnaire classique d'histoire naturelle; par M. le colonel Bory de Saint-Vincent. In-8°. A Paris, chez Rey et Gravier, libraires-éditeurs, quai des Augustins, n° 55; et chez mademoiselle Delaunay, rue Saint-Jacques, n.° 71." Annales de la médecine physiologique (Paris) 11 (1827): 8–9.</t>
  </si>
  <si>
    <t>"Revue des journaux de médecine." Annales de la médecine physiologique (Paris) 10 (1826): 439–443.</t>
  </si>
  <si>
    <t>"Efficacité du laudanum pour la guérison des taies des yeux." Annales de la médecine physiologique (Paris) 10 (1826): 444.</t>
  </si>
  <si>
    <t>"Angleterre." Annales de la médecine physiologique (Paris) 10 (1826): 396–407.</t>
  </si>
  <si>
    <t>"Clinique médico-chirurgicale." Annales de la médecine physiologique (Paris) 5 (1824): 85–88.</t>
  </si>
  <si>
    <t>"Observations d'épilepsie , par LASSERRE ( J.-J. ), médecin à Domme." Annales de la médecine physiologique (Paris) 5 (1824): 88–100.</t>
  </si>
  <si>
    <t>"Réflexions sur les derniers travaux relatifs à la détermination des fonctions des différentes parties de l’encéphale; par Casimir Broussais, D. M. P., chirurgien aide-major de l’hôpital militaire d’instruction de Strasbourg." Annales de la médecine physiologique (Paris) 5 (1824): 257–270.</t>
  </si>
  <si>
    <t>"Annonces d'ouvrages nouveaux." Annales de la médecine physiologique (Paris) 11 (1827): 3–10.</t>
  </si>
  <si>
    <t>"Dissertation sur le mode d’action du calomel, par James Annesley; un vol. in-8°, Londres, 1825." Annales de la médecine physiologique (Paris) 10 (1826): 193–195.</t>
  </si>
  <si>
    <t>"Des effets fâcheux qui résultent de l’usage trop prolongé du suspensoir, et de ceux qui sont la suite de la mauvaise conformation de ce bandage; par M. Duguier, médecin des hospices et prisons de Coulommiers (Seine-et-Marne)." Annales de la médecine physiologique (Paris) 11 (1827): 73–78.</t>
  </si>
  <si>
    <t>“Ulcère rongeant du nez, exaspéré par les caustiques, et guéri par les antiphlogistiques.” Annales de la médecine physiologique (Paris) 8 (September 1825): 279.</t>
  </si>
  <si>
    <t>"Angleterre." Annales de la médecine physiologique (Paris) 11 (1827): 100–118.</t>
  </si>
  <si>
    <t>"Archives générales de médecine (octobre 1826)." Annales de la médecine physiologique (Paris) 11 (1827): 123–128.</t>
  </si>
  <si>
    <t>“Gangrène des membres inférieurs par obstacle au cours du sang, ossification et oblitération des vaisseaux,” Annales de la médecine physiologique (Paris) 11 (1827): 384–394.</t>
  </si>
  <si>
    <t>“Gangrène des membres inférieurs par obstacle au cours du sang, ossification et oblitération des vaisseaux,” Annales de la médecine physiologique (Paris) 11 (1827): 394–422.</t>
  </si>
  <si>
    <t xml:space="preserve">Richond des Brus, Louis-François-Régis-Adolphe. “Observations sur l’utilité de la teinture d’iode dans le traitement de l’urétrite (blennorrhagie) et des engorgemens vénériens.” Annales de la médecine physiologique (Paris) 9 (1826): 527, 595; 10 (1826): 49. </t>
  </si>
  <si>
    <t>"Italie. Saggio d'un analisi , etc. Examen analytique de la doctrine médicale des écoles modernes d'Italie , par le docteur Geronimi , inséré' dans les Annales de médecine et de pathologie physiologique , publiées à Milan par le docteur Giovanni Strambio. Première année , cahiers d'avril, mai et juin 1824 (1)." Annales de la médecine physiologique (Paris) 7 (1825): 414–430.</t>
  </si>
  <si>
    <t>“Traité des maladies de la peau, fondé sur de nouvelles recherches d’anatomie et de physiologie pathologique, par Rayer.” Annales de la médecine physiologique (Paris) 12 (1827): 228.</t>
  </si>
  <si>
    <t>Capuron, “Mémoire sur le diagnostic des affections aiguës et chroniques des organes thoraciques, couronné par la Société de médecine de Louvain, par Elie Gintrac,” Annales de la médecine physiologique (Paris) 11 (1827): 423–432.</t>
  </si>
  <si>
    <t>"Italie. Considérations sur le mode d'action de l'acétate et du sulfate de morphine ; par le docteur J. Strambio." Annales de la médecine physiologique (Paris) 12 (1827): 596–599.</t>
  </si>
  <si>
    <t>“[Notice sur les propriétés médicales du charbon animal].” Annales de la médecine physiologique (Paris) 17 (1830): 331–32.</t>
  </si>
  <si>
    <t>“[Notice sur une mémoire du Dr Compagny, relative à une maladie inflammatoire observée à Montenois (département du Doubs)],” Annales de la médecine physiologique (Paris) 16 (novembre 1829): 638–639.</t>
  </si>
  <si>
    <t>“Mémoire sur l’hydrocéphale aiguë observée chez l’adulte; par M. Dance.” Annales de la médecine physiologique (Paris) 17 (1830): 327.</t>
  </si>
  <si>
    <t>“Notice sur les principaux travaux relatifs à la médecine dans les sociétés académiques, pendant le mois de janvier 1830.” Annales de la médecine physiologique (Paris) 17 (1830): 346.</t>
  </si>
  <si>
    <t>"Journal hebdomadaire de médecine. (Janvier 1830)." Annales de la médecine physiologique (Paris) 17 (1830): 336–337.</t>
  </si>
  <si>
    <t>"L'indication, par M. Husson…" Annales de la médecine physiologique (Paris) 17 (1830): 335–336.</t>
  </si>
  <si>
    <t>"Section de médecine. - M. Louis a fait un rapport sur des observations." Annales de la médecine physiologique (Paris) 16 (1829): 777–778.</t>
  </si>
  <si>
    <t>"Questions médico-légales relatives à l'infanticide; par le docteur HENNEQUIN, médecin à Charleville." Annales de la médecine physiologique (Paris) 17 (November 1829): 86–87.</t>
  </si>
  <si>
    <t xml:space="preserve">"Observation sur une phlegmasie du fémur, etc., par M. Levrat- Pérotton." Annales de la médecine physiologique (Paris) 17 (1830): 224–225. </t>
  </si>
  <si>
    <t xml:space="preserve">"Académie royale des sciences." Annales de la médecine physiologique (Paris) 17 (1830): 114–117. </t>
  </si>
  <si>
    <t>"Considérations sur la gymnastique; par le docteur Amédée Dupau." Annales de la médecine physiologique (Paris) 17 (1830): 109.</t>
  </si>
  <si>
    <t>"Note sur l'emploi du chlore contre la hthisie pulmonaire; par M. Bayle." Annales de la médecine physiologique (Paris) 17 (1830): 109–110.</t>
  </si>
  <si>
    <t>"Observation d'une hernie de la vessie; par M. Ribelle , de Perpignan." Annales de la médecine physiologique (Paris) 17 (1830): 99.</t>
  </si>
  <si>
    <t>"Observation d'asphyxieparla vapeurde charbon, et réflexions sur le mode d'action de l'airfroidgénéralement conseillé pour combattre cet accident; par le docteur BALLOT , médecin à Gien ( Loiret )." Annales de la médecine physiologique (Paris) 17 (1830): 237–238.</t>
  </si>
  <si>
    <t>"Notice sur les principaux travaux relatifs à la médecine dans les sociétés académiques, pendant le mois de décembre 1829." Annales de la médecine physiologique (Paris) 17 (February 1830): 251.</t>
  </si>
  <si>
    <t>"Revue médicale française et étrangère. (Décembre 1829.)"  Annales de la médecine physiologique (Paris) 17 (February 1830): 239–240.</t>
  </si>
  <si>
    <t>"Capacité des poumons dans l'état de santé et de maladie;par M. HERBST, de Göttingue." Annales de la médecine physiologique (Paris) 17 (1830): 101–102.</t>
  </si>
  <si>
    <t>"The north American medical and surgical Journal; nºs 9, 10, 11, 12 (janvier, avril, juillet et octobre 1829)." Annales de la médecine physiologique (Paris) 16 (September 1829): 744-753.</t>
  </si>
  <si>
    <t>"Maïs considéré comme aliment." Archives générales de médecine (Paris) (1830) 23 (1830): 450–452.</t>
  </si>
  <si>
    <t>"Observation sur une alopécie; par M. Bourgeois." Annales de la médecine physiologique (Paris) 17 (November 1829): 91–92.</t>
  </si>
  <si>
    <t>"Recherches et réflexions sur les combustions spontanées; par le docteur Pierquin. — L'auteur." Annales de la médecine physiologique (Paris) 17 (November 1829): 111–112.</t>
  </si>
  <si>
    <t>"Recherches physiologiques sur le larynx, relativement à la laryngotomie; par le docteur ALBERS , de Bonn." Annales de la médecine physiologique (Paris) 17 (1830): 242–243.</t>
  </si>
  <si>
    <t>"Journal des progrès des sciences et institutions médicales. (Tome XVIII.) Mémoire sur le tic douloureux; lu au collége des médecins de Londres par sir Henry Halford."  Annales de la médecine physiologique (Paris) 17 (1830): 243–244.</t>
  </si>
  <si>
    <t>"Du degré de certitude de la médecine, par le docteur Deconihout." Annales de la médecine physiologique (Paris) 17 (October 1829): 761–762.</t>
  </si>
  <si>
    <t>"Journal général de médecine, de chirurgie et de pharmacie." Annales de la médecine physiologique (Paris) 17 (October 1829): 758–760.</t>
  </si>
  <si>
    <t>"Académie royale des sciences (séance du mois de mai 1831). Correspondance et communications." Annales de la médecine physiologique (Paris) 19 (1831): 795–796.</t>
  </si>
  <si>
    <t>“Résumé du cours de pathologie professé au Val-de-Grâce par M. Broussais (8e article). Terminaison de la gastro-entérite.” Annales de la médecine physiologique (Paris) 20 (1831): 240–252.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</si>
</sst>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font>
      <sz val="11"/>
      <color theme="1"/>
      <name val="Calibri"/>
      <family val="2"/>
      <scheme val="minor"/>
    </font>
    <font>
      <sz val="8"/>
      <name val="Calibri"/>
      <family val="2"/>
      <scheme val="minor"/>
    </font>
    <font>
      <i/>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sz val="10"/>
      <color theme="1"/>
      <name val="Arial Unicode MS"/>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2"/>
      </left>
      <right style="thin">
        <color theme="2"/>
      </right>
      <top style="thin">
        <color theme="2"/>
      </top>
      <bottom style="thin">
        <color theme="2"/>
      </bottom>
      <diagonal/>
    </border>
  </borders>
  <cellStyleXfs count="22">
    <xf numFmtId="0" fontId="0" fillId="0" borderId="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cellStyleXfs>
  <cellXfs count="42">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xf>
    <xf numFmtId="0" fontId="0" fillId="0" borderId="0" xfId="0" quotePrefix="1" applyAlignment="1">
      <alignment horizontal="left"/>
    </xf>
    <xf numFmtId="9" fontId="0" fillId="0" borderId="0" xfId="3" applyFont="1"/>
    <xf numFmtId="2" fontId="0" fillId="0" borderId="0" xfId="0" applyNumberFormat="1" applyAlignment="1">
      <alignment horizontal="center" vertical="center"/>
    </xf>
    <xf numFmtId="0" fontId="0" fillId="2" borderId="0" xfId="0" applyFill="1" applyAlignment="1">
      <alignment horizontal="left"/>
    </xf>
    <xf numFmtId="2" fontId="0" fillId="0" borderId="0" xfId="0" applyNumberFormat="1" applyAlignment="1">
      <alignment horizontal="center"/>
    </xf>
    <xf numFmtId="2" fontId="0" fillId="0" borderId="0" xfId="3" applyNumberFormat="1" applyFont="1"/>
    <xf numFmtId="2" fontId="0" fillId="0" borderId="0" xfId="0" applyNumberFormat="1"/>
    <xf numFmtId="2" fontId="0" fillId="0" borderId="0" xfId="1" applyNumberFormat="1" applyFont="1" applyAlignment="1">
      <alignment horizontal="center" vertical="center"/>
    </xf>
    <xf numFmtId="2" fontId="0" fillId="0" borderId="0" xfId="1" applyNumberFormat="1" applyFont="1" applyFill="1" applyAlignment="1">
      <alignment horizontal="center" vertical="center"/>
    </xf>
    <xf numFmtId="0" fontId="0" fillId="0" borderId="0" xfId="1" applyNumberFormat="1" applyFont="1" applyFill="1" applyAlignment="1">
      <alignment horizontal="left" vertical="center"/>
    </xf>
    <xf numFmtId="0" fontId="4" fillId="0" borderId="0" xfId="0" applyFont="1"/>
    <xf numFmtId="2" fontId="0" fillId="0" borderId="0" xfId="1" applyNumberFormat="1" applyFont="1" applyAlignment="1">
      <alignment horizontal="center"/>
    </xf>
    <xf numFmtId="0" fontId="6" fillId="0" borderId="0" xfId="0" applyFont="1"/>
    <xf numFmtId="10" fontId="0" fillId="0" borderId="0" xfId="1" applyNumberFormat="1" applyFont="1"/>
    <xf numFmtId="0" fontId="0" fillId="2" borderId="0" xfId="0" applyFill="1"/>
    <xf numFmtId="0" fontId="2" fillId="0" borderId="0" xfId="0" applyFont="1"/>
    <xf numFmtId="0" fontId="7" fillId="0" borderId="0" xfId="0" applyFont="1" applyAlignment="1">
      <alignment horizontal="left"/>
    </xf>
    <xf numFmtId="0" fontId="0" fillId="0" borderId="0" xfId="0" applyAlignment="1">
      <alignment horizontal="right"/>
    </xf>
    <xf numFmtId="49" fontId="0" fillId="0" borderId="0" xfId="0" applyNumberFormat="1" applyAlignment="1">
      <alignment horizontal="right"/>
    </xf>
    <xf numFmtId="0" fontId="0" fillId="0" borderId="1" xfId="0" applyBorder="1" applyAlignment="1">
      <alignment horizontal="left"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applyAlignment="1">
      <alignment horizontal="left"/>
    </xf>
    <xf numFmtId="0" fontId="0" fillId="0" borderId="1" xfId="0"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0" fillId="2" borderId="1" xfId="0" applyFill="1" applyBorder="1" applyAlignment="1">
      <alignment vertical="center"/>
    </xf>
    <xf numFmtId="0" fontId="0" fillId="2" borderId="1" xfId="0" applyFill="1" applyBorder="1"/>
    <xf numFmtId="0" fontId="0" fillId="2" borderId="1" xfId="0" applyFill="1" applyBorder="1" applyAlignment="1">
      <alignment horizontal="left" vertical="center"/>
    </xf>
    <xf numFmtId="0" fontId="0" fillId="2" borderId="1" xfId="0" applyFill="1" applyBorder="1" applyAlignment="1">
      <alignment horizontal="left"/>
    </xf>
    <xf numFmtId="0" fontId="3" fillId="0" borderId="0" xfId="0" applyFont="1"/>
    <xf numFmtId="0" fontId="4"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cellXfs>
  <cellStyles count="22">
    <cellStyle name="Comma" xfId="1" builtinId="3"/>
    <cellStyle name="Comma 2" xfId="2" xr:uid="{8AE7657F-5A2A-48E5-B538-0A4D6E7AF62D}"/>
    <cellStyle name="Comma 2 2" xfId="5" xr:uid="{B21A2F57-7EB0-48E7-BE25-318092A84B86}"/>
    <cellStyle name="Comma 2 2 2" xfId="9" xr:uid="{4D2E2341-96BB-43C4-A812-A0E08CD9DB84}"/>
    <cellStyle name="Comma 2 2 2 2" xfId="19" xr:uid="{A93E32D0-6D47-44CA-A676-ADF66BE141B6}"/>
    <cellStyle name="Comma 2 2 3" xfId="15" xr:uid="{FDF44B6C-3CFA-40D3-9234-49678ED71F73}"/>
    <cellStyle name="Comma 2 3" xfId="7" xr:uid="{0ACC9719-8AEB-40B0-81E3-87A53A88F354}"/>
    <cellStyle name="Comma 2 3 2" xfId="17" xr:uid="{A26A0B93-B570-4F7A-808B-1D42FA89C5FC}"/>
    <cellStyle name="Comma 2 4" xfId="13" xr:uid="{FEE7CE27-BD84-4512-8FD5-25C590557E13}"/>
    <cellStyle name="Comma 3" xfId="4" xr:uid="{8B053A10-F15D-4131-A62D-C8B059057481}"/>
    <cellStyle name="Comma 3 2" xfId="8" xr:uid="{FDCFCC35-60CC-4DB5-AAD2-E9F8771328B2}"/>
    <cellStyle name="Comma 3 2 2" xfId="18" xr:uid="{8C471F39-56C9-442B-93F7-04170397F478}"/>
    <cellStyle name="Comma 3 3" xfId="14" xr:uid="{B8C0AE26-95E0-4893-ABA2-466CAE6A1B60}"/>
    <cellStyle name="Comma 4" xfId="6" xr:uid="{18414684-A039-4EDA-B58B-C91FA0961977}"/>
    <cellStyle name="Comma 4 2" xfId="16" xr:uid="{18474F4B-0977-4176-984B-27D3FA9839AE}"/>
    <cellStyle name="Comma 5" xfId="10" xr:uid="{2B6E0187-D1BF-46E9-9BB0-5EA75E08670D}"/>
    <cellStyle name="Comma 5 2" xfId="20" xr:uid="{C6AC5FCE-19B3-45C1-9B46-0A5B590C03E5}"/>
    <cellStyle name="Comma 6" xfId="11" xr:uid="{8E91C97A-57B0-4FB8-BFBE-1A6A8A302B37}"/>
    <cellStyle name="Comma 6 2" xfId="21" xr:uid="{F67FFA66-4389-4FE5-89E1-4698EBC6F111}"/>
    <cellStyle name="Comma 7" xfId="12" xr:uid="{BC77B465-8DF8-4637-8BC2-734F11A32717}"/>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1BF4-5A72-4DAF-8DB8-58F97EA6E82B}">
  <dimension ref="A1:I2303"/>
  <sheetViews>
    <sheetView tabSelected="1" topLeftCell="A1404" workbookViewId="0">
      <selection activeCell="Y1512" sqref="Y1512"/>
    </sheetView>
  </sheetViews>
  <sheetFormatPr defaultColWidth="8.77734375" defaultRowHeight="14.4"/>
  <cols>
    <col min="1" max="1" width="5.77734375" customWidth="1"/>
    <col min="2" max="2" width="15.44140625" customWidth="1"/>
    <col min="3" max="4" width="5.77734375" customWidth="1"/>
    <col min="5" max="5" width="5.77734375" style="23" customWidth="1"/>
    <col min="6" max="9" width="5.77734375" customWidth="1"/>
  </cols>
  <sheetData>
    <row r="1" spans="1:9">
      <c r="A1" s="5" t="s">
        <v>3032</v>
      </c>
      <c r="B1" s="5" t="s">
        <v>4</v>
      </c>
      <c r="C1" s="5" t="s">
        <v>3033</v>
      </c>
      <c r="D1" s="5" t="s">
        <v>3034</v>
      </c>
      <c r="E1" s="5" t="s">
        <v>138</v>
      </c>
      <c r="F1" s="5" t="s">
        <v>10295</v>
      </c>
      <c r="G1" s="5" t="s">
        <v>10482</v>
      </c>
      <c r="H1" s="5" t="s">
        <v>10483</v>
      </c>
      <c r="I1" s="5" t="s">
        <v>10296</v>
      </c>
    </row>
    <row r="2" spans="1:9">
      <c r="A2" t="s">
        <v>7411</v>
      </c>
      <c r="B2" t="s">
        <v>4540</v>
      </c>
      <c r="C2">
        <v>1834</v>
      </c>
      <c r="D2">
        <v>1</v>
      </c>
      <c r="E2" s="23">
        <v>26</v>
      </c>
      <c r="F2" t="s">
        <v>8102</v>
      </c>
      <c r="G2" t="s">
        <v>10484</v>
      </c>
      <c r="H2" t="s">
        <v>8021</v>
      </c>
      <c r="I2">
        <f>_xlfn.LET(_xlpm.id,TRIM($A2),IF(_xlpm.id="","",SUM(COUNTIF('1. OP'!$M:$M,_xlpm.id),COUNTIF('2. JSEL'!$M:$M,_xlpm.id),COUNTIF('3. PSM'!$M:$M,_xlpm.id),COUNTIF('4. SSP'!$M:$M,_xlpm.id),COUNTIF('5. JSACI'!$M:$M,_xlpm.id),COUNTIF('6. AIN'!$M:$M,_xlpm.id),COUNTIF('7. MS'!$M:$M,_xlpm.id),COUNTIF('8. DS'!$M:$M,_xlpm.id),COUNTIF('9. RMF'!$M:$M,_xlpm.id),COUNTIF('10. PCU'!$M:$M,_xlpm.id))))</f>
        <v>1</v>
      </c>
    </row>
    <row r="3" spans="1:9">
      <c r="A3" t="s">
        <v>8103</v>
      </c>
      <c r="B3" t="s">
        <v>4540</v>
      </c>
      <c r="C3">
        <v>1834</v>
      </c>
      <c r="D3">
        <v>1</v>
      </c>
      <c r="E3" s="23">
        <v>25</v>
      </c>
      <c r="F3" t="s">
        <v>8102</v>
      </c>
      <c r="G3" t="s">
        <v>10484</v>
      </c>
      <c r="H3" t="s">
        <v>8021</v>
      </c>
      <c r="I3">
        <f>_xlfn.LET(_xlpm.id,TRIM($A3),IF(_xlpm.id="","",SUM(COUNTIF('1. OP'!$M:$M,_xlpm.id),COUNTIF('2. JSEL'!$M:$M,_xlpm.id),COUNTIF('3. PSM'!$M:$M,_xlpm.id),COUNTIF('4. SSP'!$M:$M,_xlpm.id),COUNTIF('5. JSACI'!$M:$M,_xlpm.id),COUNTIF('6. AIN'!$M:$M,_xlpm.id),COUNTIF('7. MS'!$M:$M,_xlpm.id),COUNTIF('8. DS'!$M:$M,_xlpm.id),COUNTIF('9. RMF'!$M:$M,_xlpm.id),COUNTIF('10. PCU'!$M:$M,_xlpm.id))))</f>
        <v>0</v>
      </c>
    </row>
    <row r="4" spans="1:9">
      <c r="A4" t="s">
        <v>8104</v>
      </c>
      <c r="B4" t="s">
        <v>4540</v>
      </c>
      <c r="C4">
        <v>1833</v>
      </c>
      <c r="D4">
        <v>1</v>
      </c>
      <c r="E4" s="23">
        <v>24</v>
      </c>
      <c r="F4" t="s">
        <v>8102</v>
      </c>
      <c r="G4" t="s">
        <v>10484</v>
      </c>
      <c r="H4" t="s">
        <v>8021</v>
      </c>
      <c r="I4">
        <f>_xlfn.LET(_xlpm.id,TRIM($A4),IF(_xlpm.id="","",SUM(COUNTIF('1. OP'!$M:$M,_xlpm.id),COUNTIF('2. JSEL'!$M:$M,_xlpm.id),COUNTIF('3. PSM'!$M:$M,_xlpm.id),COUNTIF('4. SSP'!$M:$M,_xlpm.id),COUNTIF('5. JSACI'!$M:$M,_xlpm.id),COUNTIF('6. AIN'!$M:$M,_xlpm.id),COUNTIF('7. MS'!$M:$M,_xlpm.id),COUNTIF('8. DS'!$M:$M,_xlpm.id),COUNTIF('9. RMF'!$M:$M,_xlpm.id),COUNTIF('10. PCU'!$M:$M,_xlpm.id))))</f>
        <v>0</v>
      </c>
    </row>
    <row r="5" spans="1:9">
      <c r="A5" t="s">
        <v>8105</v>
      </c>
      <c r="B5" t="s">
        <v>4540</v>
      </c>
      <c r="C5">
        <v>1833</v>
      </c>
      <c r="D5">
        <v>1</v>
      </c>
      <c r="E5" s="23">
        <v>23</v>
      </c>
      <c r="F5" t="s">
        <v>8102</v>
      </c>
      <c r="G5" t="s">
        <v>10484</v>
      </c>
      <c r="H5" t="s">
        <v>8021</v>
      </c>
      <c r="I5">
        <f>_xlfn.LET(_xlpm.id,TRIM($A5),IF(_xlpm.id="","",SUM(COUNTIF('1. OP'!$M:$M,_xlpm.id),COUNTIF('2. JSEL'!$M:$M,_xlpm.id),COUNTIF('3. PSM'!$M:$M,_xlpm.id),COUNTIF('4. SSP'!$M:$M,_xlpm.id),COUNTIF('5. JSACI'!$M:$M,_xlpm.id),COUNTIF('6. AIN'!$M:$M,_xlpm.id),COUNTIF('7. MS'!$M:$M,_xlpm.id),COUNTIF('8. DS'!$M:$M,_xlpm.id),COUNTIF('9. RMF'!$M:$M,_xlpm.id),COUNTIF('10. PCU'!$M:$M,_xlpm.id))))</f>
        <v>0</v>
      </c>
    </row>
    <row r="6" spans="1:9">
      <c r="A6" t="s">
        <v>8106</v>
      </c>
      <c r="B6" t="s">
        <v>4540</v>
      </c>
      <c r="C6">
        <v>1832</v>
      </c>
      <c r="D6">
        <v>1</v>
      </c>
      <c r="E6" s="23">
        <v>22</v>
      </c>
      <c r="F6" t="s">
        <v>8102</v>
      </c>
      <c r="G6" t="s">
        <v>10484</v>
      </c>
      <c r="H6" t="s">
        <v>8021</v>
      </c>
      <c r="I6">
        <f>_xlfn.LET(_xlpm.id,TRIM($A6),IF(_xlpm.id="","",SUM(COUNTIF('1. OP'!$M:$M,_xlpm.id),COUNTIF('2. JSEL'!$M:$M,_xlpm.id),COUNTIF('3. PSM'!$M:$M,_xlpm.id),COUNTIF('4. SSP'!$M:$M,_xlpm.id),COUNTIF('5. JSACI'!$M:$M,_xlpm.id),COUNTIF('6. AIN'!$M:$M,_xlpm.id),COUNTIF('7. MS'!$M:$M,_xlpm.id),COUNTIF('8. DS'!$M:$M,_xlpm.id),COUNTIF('9. RMF'!$M:$M,_xlpm.id),COUNTIF('10. PCU'!$M:$M,_xlpm.id))))</f>
        <v>0</v>
      </c>
    </row>
    <row r="7" spans="1:9">
      <c r="A7" t="s">
        <v>8107</v>
      </c>
      <c r="B7" t="s">
        <v>4540</v>
      </c>
      <c r="C7">
        <v>1832</v>
      </c>
      <c r="D7">
        <v>1</v>
      </c>
      <c r="E7" s="23">
        <v>21</v>
      </c>
      <c r="F7" t="s">
        <v>8102</v>
      </c>
      <c r="G7" t="s">
        <v>10484</v>
      </c>
      <c r="H7" t="s">
        <v>8021</v>
      </c>
      <c r="I7">
        <f>_xlfn.LET(_xlpm.id,TRIM($A7),IF(_xlpm.id="","",SUM(COUNTIF('1. OP'!$M:$M,_xlpm.id),COUNTIF('2. JSEL'!$M:$M,_xlpm.id),COUNTIF('3. PSM'!$M:$M,_xlpm.id),COUNTIF('4. SSP'!$M:$M,_xlpm.id),COUNTIF('5. JSACI'!$M:$M,_xlpm.id),COUNTIF('6. AIN'!$M:$M,_xlpm.id),COUNTIF('7. MS'!$M:$M,_xlpm.id),COUNTIF('8. DS'!$M:$M,_xlpm.id),COUNTIF('9. RMF'!$M:$M,_xlpm.id),COUNTIF('10. PCU'!$M:$M,_xlpm.id))))</f>
        <v>0</v>
      </c>
    </row>
    <row r="8" spans="1:9">
      <c r="A8" t="s">
        <v>5028</v>
      </c>
      <c r="B8" t="s">
        <v>4540</v>
      </c>
      <c r="C8">
        <v>1831</v>
      </c>
      <c r="D8">
        <v>1</v>
      </c>
      <c r="E8" s="23">
        <v>20</v>
      </c>
      <c r="F8" t="s">
        <v>8102</v>
      </c>
      <c r="G8" t="s">
        <v>10484</v>
      </c>
      <c r="H8" t="s">
        <v>8021</v>
      </c>
      <c r="I8">
        <f>_xlfn.LET(_xlpm.id,TRIM($A8),IF(_xlpm.id="","",SUM(COUNTIF('1. OP'!$M:$M,_xlpm.id),COUNTIF('2. JSEL'!$M:$M,_xlpm.id),COUNTIF('3. PSM'!$M:$M,_xlpm.id),COUNTIF('4. SSP'!$M:$M,_xlpm.id),COUNTIF('5. JSACI'!$M:$M,_xlpm.id),COUNTIF('6. AIN'!$M:$M,_xlpm.id),COUNTIF('7. MS'!$M:$M,_xlpm.id),COUNTIF('8. DS'!$M:$M,_xlpm.id),COUNTIF('9. RMF'!$M:$M,_xlpm.id),COUNTIF('10. PCU'!$M:$M,_xlpm.id))))</f>
        <v>1</v>
      </c>
    </row>
    <row r="9" spans="1:9">
      <c r="A9" t="s">
        <v>7261</v>
      </c>
      <c r="B9" t="s">
        <v>4540</v>
      </c>
      <c r="C9">
        <v>1831</v>
      </c>
      <c r="D9">
        <v>1</v>
      </c>
      <c r="E9" s="23">
        <v>19</v>
      </c>
      <c r="F9" t="s">
        <v>8102</v>
      </c>
      <c r="G9" t="s">
        <v>10484</v>
      </c>
      <c r="H9" t="s">
        <v>8021</v>
      </c>
      <c r="I9">
        <f>_xlfn.LET(_xlpm.id,TRIM($A9),IF(_xlpm.id="","",SUM(COUNTIF('1. OP'!$M:$M,_xlpm.id),COUNTIF('2. JSEL'!$M:$M,_xlpm.id),COUNTIF('3. PSM'!$M:$M,_xlpm.id),COUNTIF('4. SSP'!$M:$M,_xlpm.id),COUNTIF('5. JSACI'!$M:$M,_xlpm.id),COUNTIF('6. AIN'!$M:$M,_xlpm.id),COUNTIF('7. MS'!$M:$M,_xlpm.id),COUNTIF('8. DS'!$M:$M,_xlpm.id),COUNTIF('9. RMF'!$M:$M,_xlpm.id),COUNTIF('10. PCU'!$M:$M,_xlpm.id))))</f>
        <v>1</v>
      </c>
    </row>
    <row r="10" spans="1:9">
      <c r="A10" t="s">
        <v>8108</v>
      </c>
      <c r="B10" t="s">
        <v>4540</v>
      </c>
      <c r="C10">
        <v>1830</v>
      </c>
      <c r="D10">
        <v>1</v>
      </c>
      <c r="E10" s="23">
        <v>18</v>
      </c>
      <c r="F10" t="s">
        <v>8102</v>
      </c>
      <c r="G10" t="s">
        <v>10484</v>
      </c>
      <c r="H10" t="s">
        <v>8021</v>
      </c>
      <c r="I10">
        <f>_xlfn.LET(_xlpm.id,TRIM($A10),IF(_xlpm.id="","",SUM(COUNTIF('1. OP'!$M:$M,_xlpm.id),COUNTIF('2. JSEL'!$M:$M,_xlpm.id),COUNTIF('3. PSM'!$M:$M,_xlpm.id),COUNTIF('4. SSP'!$M:$M,_xlpm.id),COUNTIF('5. JSACI'!$M:$M,_xlpm.id),COUNTIF('6. AIN'!$M:$M,_xlpm.id),COUNTIF('7. MS'!$M:$M,_xlpm.id),COUNTIF('8. DS'!$M:$M,_xlpm.id),COUNTIF('9. RMF'!$M:$M,_xlpm.id),COUNTIF('10. PCU'!$M:$M,_xlpm.id))))</f>
        <v>0</v>
      </c>
    </row>
    <row r="11" spans="1:9">
      <c r="A11" t="s">
        <v>5011</v>
      </c>
      <c r="B11" t="s">
        <v>4540</v>
      </c>
      <c r="C11">
        <v>1830</v>
      </c>
      <c r="D11">
        <v>1</v>
      </c>
      <c r="E11" s="23">
        <v>17</v>
      </c>
      <c r="F11" t="s">
        <v>8102</v>
      </c>
      <c r="G11" t="s">
        <v>10484</v>
      </c>
      <c r="H11" t="s">
        <v>8021</v>
      </c>
      <c r="I11">
        <f>_xlfn.LET(_xlpm.id,TRIM($A11),IF(_xlpm.id="","",SUM(COUNTIF('1. OP'!$M:$M,_xlpm.id),COUNTIF('2. JSEL'!$M:$M,_xlpm.id),COUNTIF('3. PSM'!$M:$M,_xlpm.id),COUNTIF('4. SSP'!$M:$M,_xlpm.id),COUNTIF('5. JSACI'!$M:$M,_xlpm.id),COUNTIF('6. AIN'!$M:$M,_xlpm.id),COUNTIF('7. MS'!$M:$M,_xlpm.id),COUNTIF('8. DS'!$M:$M,_xlpm.id),COUNTIF('9. RMF'!$M:$M,_xlpm.id),COUNTIF('10. PCU'!$M:$M,_xlpm.id))))</f>
        <v>19</v>
      </c>
    </row>
    <row r="12" spans="1:9">
      <c r="A12" t="s">
        <v>5052</v>
      </c>
      <c r="B12" t="s">
        <v>4540</v>
      </c>
      <c r="C12">
        <v>1829</v>
      </c>
      <c r="D12">
        <v>1</v>
      </c>
      <c r="E12" s="23">
        <v>16</v>
      </c>
      <c r="F12" t="s">
        <v>8102</v>
      </c>
      <c r="G12" t="s">
        <v>10484</v>
      </c>
      <c r="H12" t="s">
        <v>8021</v>
      </c>
      <c r="I12">
        <f>_xlfn.LET(_xlpm.id,TRIM($A12),IF(_xlpm.id="","",SUM(COUNTIF('1. OP'!$M:$M,_xlpm.id),COUNTIF('2. JSEL'!$M:$M,_xlpm.id),COUNTIF('3. PSM'!$M:$M,_xlpm.id),COUNTIF('4. SSP'!$M:$M,_xlpm.id),COUNTIF('5. JSACI'!$M:$M,_xlpm.id),COUNTIF('6. AIN'!$M:$M,_xlpm.id),COUNTIF('7. MS'!$M:$M,_xlpm.id),COUNTIF('8. DS'!$M:$M,_xlpm.id),COUNTIF('9. RMF'!$M:$M,_xlpm.id),COUNTIF('10. PCU'!$M:$M,_xlpm.id))))</f>
        <v>6</v>
      </c>
    </row>
    <row r="13" spans="1:9">
      <c r="A13" t="s">
        <v>8109</v>
      </c>
      <c r="B13" t="s">
        <v>4540</v>
      </c>
      <c r="C13">
        <v>1829</v>
      </c>
      <c r="D13">
        <v>1</v>
      </c>
      <c r="E13" s="23">
        <v>15</v>
      </c>
      <c r="F13" t="s">
        <v>8102</v>
      </c>
      <c r="G13" t="s">
        <v>10484</v>
      </c>
      <c r="H13" t="s">
        <v>8021</v>
      </c>
      <c r="I13">
        <f>_xlfn.LET(_xlpm.id,TRIM($A13),IF(_xlpm.id="","",SUM(COUNTIF('1. OP'!$M:$M,_xlpm.id),COUNTIF('2. JSEL'!$M:$M,_xlpm.id),COUNTIF('3. PSM'!$M:$M,_xlpm.id),COUNTIF('4. SSP'!$M:$M,_xlpm.id),COUNTIF('5. JSACI'!$M:$M,_xlpm.id),COUNTIF('6. AIN'!$M:$M,_xlpm.id),COUNTIF('7. MS'!$M:$M,_xlpm.id),COUNTIF('8. DS'!$M:$M,_xlpm.id),COUNTIF('9. RMF'!$M:$M,_xlpm.id),COUNTIF('10. PCU'!$M:$M,_xlpm.id))))</f>
        <v>0</v>
      </c>
    </row>
    <row r="14" spans="1:9">
      <c r="A14" t="s">
        <v>8110</v>
      </c>
      <c r="B14" t="s">
        <v>4540</v>
      </c>
      <c r="C14">
        <v>1828</v>
      </c>
      <c r="D14">
        <v>1</v>
      </c>
      <c r="E14" s="23">
        <v>14</v>
      </c>
      <c r="F14" t="s">
        <v>8102</v>
      </c>
      <c r="G14" t="s">
        <v>10484</v>
      </c>
      <c r="H14" t="s">
        <v>8021</v>
      </c>
      <c r="I14">
        <f>_xlfn.LET(_xlpm.id,TRIM($A14),IF(_xlpm.id="","",SUM(COUNTIF('1. OP'!$M:$M,_xlpm.id),COUNTIF('2. JSEL'!$M:$M,_xlpm.id),COUNTIF('3. PSM'!$M:$M,_xlpm.id),COUNTIF('4. SSP'!$M:$M,_xlpm.id),COUNTIF('5. JSACI'!$M:$M,_xlpm.id),COUNTIF('6. AIN'!$M:$M,_xlpm.id),COUNTIF('7. MS'!$M:$M,_xlpm.id),COUNTIF('8. DS'!$M:$M,_xlpm.id),COUNTIF('9. RMF'!$M:$M,_xlpm.id),COUNTIF('10. PCU'!$M:$M,_xlpm.id))))</f>
        <v>0</v>
      </c>
    </row>
    <row r="15" spans="1:9">
      <c r="A15" t="s">
        <v>8111</v>
      </c>
      <c r="B15" t="s">
        <v>4540</v>
      </c>
      <c r="C15">
        <v>1828</v>
      </c>
      <c r="D15">
        <v>1</v>
      </c>
      <c r="E15" s="23">
        <v>13</v>
      </c>
      <c r="F15" t="s">
        <v>8102</v>
      </c>
      <c r="G15" t="s">
        <v>10484</v>
      </c>
      <c r="H15" t="s">
        <v>8021</v>
      </c>
      <c r="I15">
        <f>_xlfn.LET(_xlpm.id,TRIM($A15),IF(_xlpm.id="","",SUM(COUNTIF('1. OP'!$M:$M,_xlpm.id),COUNTIF('2. JSEL'!$M:$M,_xlpm.id),COUNTIF('3. PSM'!$M:$M,_xlpm.id),COUNTIF('4. SSP'!$M:$M,_xlpm.id),COUNTIF('5. JSACI'!$M:$M,_xlpm.id),COUNTIF('6. AIN'!$M:$M,_xlpm.id),COUNTIF('7. MS'!$M:$M,_xlpm.id),COUNTIF('8. DS'!$M:$M,_xlpm.id),COUNTIF('9. RMF'!$M:$M,_xlpm.id),COUNTIF('10. PCU'!$M:$M,_xlpm.id))))</f>
        <v>0</v>
      </c>
    </row>
    <row r="16" spans="1:9">
      <c r="A16" t="s">
        <v>6310</v>
      </c>
      <c r="B16" t="s">
        <v>4540</v>
      </c>
      <c r="C16">
        <v>1827</v>
      </c>
      <c r="D16">
        <v>1</v>
      </c>
      <c r="E16" s="23">
        <v>12</v>
      </c>
      <c r="F16" t="s">
        <v>8102</v>
      </c>
      <c r="G16" t="s">
        <v>10484</v>
      </c>
      <c r="H16" t="s">
        <v>8021</v>
      </c>
      <c r="I16">
        <f>_xlfn.LET(_xlpm.id,TRIM($A16),IF(_xlpm.id="","",SUM(COUNTIF('1. OP'!$M:$M,_xlpm.id),COUNTIF('2. JSEL'!$M:$M,_xlpm.id),COUNTIF('3. PSM'!$M:$M,_xlpm.id),COUNTIF('4. SSP'!$M:$M,_xlpm.id),COUNTIF('5. JSACI'!$M:$M,_xlpm.id),COUNTIF('6. AIN'!$M:$M,_xlpm.id),COUNTIF('7. MS'!$M:$M,_xlpm.id),COUNTIF('8. DS'!$M:$M,_xlpm.id),COUNTIF('9. RMF'!$M:$M,_xlpm.id),COUNTIF('10. PCU'!$M:$M,_xlpm.id))))</f>
        <v>2</v>
      </c>
    </row>
    <row r="17" spans="1:9">
      <c r="A17" t="s">
        <v>5020</v>
      </c>
      <c r="B17" t="s">
        <v>4540</v>
      </c>
      <c r="C17">
        <v>1827</v>
      </c>
      <c r="D17">
        <v>1</v>
      </c>
      <c r="E17" s="23">
        <v>11</v>
      </c>
      <c r="F17" t="s">
        <v>8102</v>
      </c>
      <c r="G17" t="s">
        <v>10484</v>
      </c>
      <c r="H17" t="s">
        <v>8021</v>
      </c>
      <c r="I17">
        <f>_xlfn.LET(_xlpm.id,TRIM($A17),IF(_xlpm.id="","",SUM(COUNTIF('1. OP'!$M:$M,_xlpm.id),COUNTIF('2. JSEL'!$M:$M,_xlpm.id),COUNTIF('3. PSM'!$M:$M,_xlpm.id),COUNTIF('4. SSP'!$M:$M,_xlpm.id),COUNTIF('5. JSACI'!$M:$M,_xlpm.id),COUNTIF('6. AIN'!$M:$M,_xlpm.id),COUNTIF('7. MS'!$M:$M,_xlpm.id),COUNTIF('8. DS'!$M:$M,_xlpm.id),COUNTIF('9. RMF'!$M:$M,_xlpm.id),COUNTIF('10. PCU'!$M:$M,_xlpm.id))))</f>
        <v>10</v>
      </c>
    </row>
    <row r="18" spans="1:9">
      <c r="A18" t="s">
        <v>5065</v>
      </c>
      <c r="B18" t="s">
        <v>4540</v>
      </c>
      <c r="C18">
        <v>1826</v>
      </c>
      <c r="D18">
        <v>1</v>
      </c>
      <c r="E18" s="23">
        <v>10</v>
      </c>
      <c r="F18" t="s">
        <v>8102</v>
      </c>
      <c r="G18" t="s">
        <v>10484</v>
      </c>
      <c r="H18" t="s">
        <v>8021</v>
      </c>
      <c r="I18">
        <f>_xlfn.LET(_xlpm.id,TRIM($A18),IF(_xlpm.id="","",SUM(COUNTIF('1. OP'!$M:$M,_xlpm.id),COUNTIF('2. JSEL'!$M:$M,_xlpm.id),COUNTIF('3. PSM'!$M:$M,_xlpm.id),COUNTIF('4. SSP'!$M:$M,_xlpm.id),COUNTIF('5. JSACI'!$M:$M,_xlpm.id),COUNTIF('6. AIN'!$M:$M,_xlpm.id),COUNTIF('7. MS'!$M:$M,_xlpm.id),COUNTIF('8. DS'!$M:$M,_xlpm.id),COUNTIF('9. RMF'!$M:$M,_xlpm.id),COUNTIF('10. PCU'!$M:$M,_xlpm.id))))</f>
        <v>2</v>
      </c>
    </row>
    <row r="19" spans="1:9">
      <c r="A19" t="s">
        <v>5010</v>
      </c>
      <c r="B19" t="s">
        <v>4540</v>
      </c>
      <c r="C19">
        <v>1826</v>
      </c>
      <c r="D19">
        <v>1</v>
      </c>
      <c r="E19" s="23">
        <v>9</v>
      </c>
      <c r="F19" t="s">
        <v>8102</v>
      </c>
      <c r="G19" t="s">
        <v>10484</v>
      </c>
      <c r="H19" t="s">
        <v>8021</v>
      </c>
      <c r="I19">
        <f>_xlfn.LET(_xlpm.id,TRIM($A19),IF(_xlpm.id="","",SUM(COUNTIF('1. OP'!$M:$M,_xlpm.id),COUNTIF('2. JSEL'!$M:$M,_xlpm.id),COUNTIF('3. PSM'!$M:$M,_xlpm.id),COUNTIF('4. SSP'!$M:$M,_xlpm.id),COUNTIF('5. JSACI'!$M:$M,_xlpm.id),COUNTIF('6. AIN'!$M:$M,_xlpm.id),COUNTIF('7. MS'!$M:$M,_xlpm.id),COUNTIF('8. DS'!$M:$M,_xlpm.id),COUNTIF('9. RMF'!$M:$M,_xlpm.id),COUNTIF('10. PCU'!$M:$M,_xlpm.id))))</f>
        <v>2</v>
      </c>
    </row>
    <row r="20" spans="1:9">
      <c r="A20" t="s">
        <v>5064</v>
      </c>
      <c r="B20" t="s">
        <v>4540</v>
      </c>
      <c r="C20">
        <v>1825</v>
      </c>
      <c r="D20">
        <v>1</v>
      </c>
      <c r="E20" s="23">
        <v>8</v>
      </c>
      <c r="F20" t="s">
        <v>8102</v>
      </c>
      <c r="G20" t="s">
        <v>10484</v>
      </c>
      <c r="H20" t="s">
        <v>8021</v>
      </c>
      <c r="I20">
        <f>_xlfn.LET(_xlpm.id,TRIM($A20),IF(_xlpm.id="","",SUM(COUNTIF('1. OP'!$M:$M,_xlpm.id),COUNTIF('2. JSEL'!$M:$M,_xlpm.id),COUNTIF('3. PSM'!$M:$M,_xlpm.id),COUNTIF('4. SSP'!$M:$M,_xlpm.id),COUNTIF('5. JSACI'!$M:$M,_xlpm.id),COUNTIF('6. AIN'!$M:$M,_xlpm.id),COUNTIF('7. MS'!$M:$M,_xlpm.id),COUNTIF('8. DS'!$M:$M,_xlpm.id),COUNTIF('9. RMF'!$M:$M,_xlpm.id),COUNTIF('10. PCU'!$M:$M,_xlpm.id))))</f>
        <v>1</v>
      </c>
    </row>
    <row r="21" spans="1:9">
      <c r="A21" t="s">
        <v>5555</v>
      </c>
      <c r="B21" t="s">
        <v>4540</v>
      </c>
      <c r="C21">
        <v>1825</v>
      </c>
      <c r="D21">
        <v>1</v>
      </c>
      <c r="E21" s="23">
        <v>7</v>
      </c>
      <c r="F21" t="s">
        <v>8102</v>
      </c>
      <c r="G21" t="s">
        <v>10484</v>
      </c>
      <c r="H21" t="s">
        <v>8021</v>
      </c>
      <c r="I21">
        <f>_xlfn.LET(_xlpm.id,TRIM($A21),IF(_xlpm.id="","",SUM(COUNTIF('1. OP'!$M:$M,_xlpm.id),COUNTIF('2. JSEL'!$M:$M,_xlpm.id),COUNTIF('3. PSM'!$M:$M,_xlpm.id),COUNTIF('4. SSP'!$M:$M,_xlpm.id),COUNTIF('5. JSACI'!$M:$M,_xlpm.id),COUNTIF('6. AIN'!$M:$M,_xlpm.id),COUNTIF('7. MS'!$M:$M,_xlpm.id),COUNTIF('8. DS'!$M:$M,_xlpm.id),COUNTIF('9. RMF'!$M:$M,_xlpm.id),COUNTIF('10. PCU'!$M:$M,_xlpm.id))))</f>
        <v>1</v>
      </c>
    </row>
    <row r="22" spans="1:9">
      <c r="A22" t="s">
        <v>8112</v>
      </c>
      <c r="B22" t="s">
        <v>4540</v>
      </c>
      <c r="C22">
        <v>1824</v>
      </c>
      <c r="D22">
        <v>1</v>
      </c>
      <c r="E22" s="23">
        <v>6</v>
      </c>
      <c r="F22" t="s">
        <v>8102</v>
      </c>
      <c r="G22" t="s">
        <v>10484</v>
      </c>
      <c r="H22" t="s">
        <v>8021</v>
      </c>
      <c r="I22">
        <f>_xlfn.LET(_xlpm.id,TRIM($A22),IF(_xlpm.id="","",SUM(COUNTIF('1. OP'!$M:$M,_xlpm.id),COUNTIF('2. JSEL'!$M:$M,_xlpm.id),COUNTIF('3. PSM'!$M:$M,_xlpm.id),COUNTIF('4. SSP'!$M:$M,_xlpm.id),COUNTIF('5. JSACI'!$M:$M,_xlpm.id),COUNTIF('6. AIN'!$M:$M,_xlpm.id),COUNTIF('7. MS'!$M:$M,_xlpm.id),COUNTIF('8. DS'!$M:$M,_xlpm.id),COUNTIF('9. RMF'!$M:$M,_xlpm.id),COUNTIF('10. PCU'!$M:$M,_xlpm.id))))</f>
        <v>0</v>
      </c>
    </row>
    <row r="23" spans="1:9">
      <c r="A23" t="s">
        <v>6388</v>
      </c>
      <c r="B23" t="s">
        <v>4540</v>
      </c>
      <c r="C23">
        <v>1824</v>
      </c>
      <c r="D23">
        <v>1</v>
      </c>
      <c r="E23" s="23">
        <v>5</v>
      </c>
      <c r="F23" t="s">
        <v>8102</v>
      </c>
      <c r="G23" t="s">
        <v>10484</v>
      </c>
      <c r="H23" t="s">
        <v>8021</v>
      </c>
      <c r="I23">
        <f>_xlfn.LET(_xlpm.id,TRIM($A23),IF(_xlpm.id="","",SUM(COUNTIF('1. OP'!$M:$M,_xlpm.id),COUNTIF('2. JSEL'!$M:$M,_xlpm.id),COUNTIF('3. PSM'!$M:$M,_xlpm.id),COUNTIF('4. SSP'!$M:$M,_xlpm.id),COUNTIF('5. JSACI'!$M:$M,_xlpm.id),COUNTIF('6. AIN'!$M:$M,_xlpm.id),COUNTIF('7. MS'!$M:$M,_xlpm.id),COUNTIF('8. DS'!$M:$M,_xlpm.id),COUNTIF('9. RMF'!$M:$M,_xlpm.id),COUNTIF('10. PCU'!$M:$M,_xlpm.id))))</f>
        <v>3</v>
      </c>
    </row>
    <row r="24" spans="1:9">
      <c r="A24" t="s">
        <v>8113</v>
      </c>
      <c r="B24" t="s">
        <v>4540</v>
      </c>
      <c r="C24">
        <v>1823</v>
      </c>
      <c r="D24">
        <v>1</v>
      </c>
      <c r="E24" s="23">
        <v>4</v>
      </c>
      <c r="F24" t="s">
        <v>8102</v>
      </c>
      <c r="G24" t="s">
        <v>10484</v>
      </c>
      <c r="H24" t="s">
        <v>8021</v>
      </c>
      <c r="I24">
        <f>_xlfn.LET(_xlpm.id,TRIM($A24),IF(_xlpm.id="","",SUM(COUNTIF('1. OP'!$M:$M,_xlpm.id),COUNTIF('2. JSEL'!$M:$M,_xlpm.id),COUNTIF('3. PSM'!$M:$M,_xlpm.id),COUNTIF('4. SSP'!$M:$M,_xlpm.id),COUNTIF('5. JSACI'!$M:$M,_xlpm.id),COUNTIF('6. AIN'!$M:$M,_xlpm.id),COUNTIF('7. MS'!$M:$M,_xlpm.id),COUNTIF('8. DS'!$M:$M,_xlpm.id),COUNTIF('9. RMF'!$M:$M,_xlpm.id),COUNTIF('10. PCU'!$M:$M,_xlpm.id))))</f>
        <v>0</v>
      </c>
    </row>
    <row r="25" spans="1:9">
      <c r="A25" t="s">
        <v>8114</v>
      </c>
      <c r="B25" t="s">
        <v>4540</v>
      </c>
      <c r="C25">
        <v>1823</v>
      </c>
      <c r="D25">
        <v>1</v>
      </c>
      <c r="E25" s="23">
        <v>3</v>
      </c>
      <c r="F25" t="s">
        <v>8102</v>
      </c>
      <c r="G25" t="s">
        <v>10484</v>
      </c>
      <c r="H25" t="s">
        <v>8021</v>
      </c>
      <c r="I25">
        <f>_xlfn.LET(_xlpm.id,TRIM($A25),IF(_xlpm.id="","",SUM(COUNTIF('1. OP'!$M:$M,_xlpm.id),COUNTIF('2. JSEL'!$M:$M,_xlpm.id),COUNTIF('3. PSM'!$M:$M,_xlpm.id),COUNTIF('4. SSP'!$M:$M,_xlpm.id),COUNTIF('5. JSACI'!$M:$M,_xlpm.id),COUNTIF('6. AIN'!$M:$M,_xlpm.id),COUNTIF('7. MS'!$M:$M,_xlpm.id),COUNTIF('8. DS'!$M:$M,_xlpm.id),COUNTIF('9. RMF'!$M:$M,_xlpm.id),COUNTIF('10. PCU'!$M:$M,_xlpm.id))))</f>
        <v>0</v>
      </c>
    </row>
    <row r="26" spans="1:9">
      <c r="A26" t="s">
        <v>8115</v>
      </c>
      <c r="B26" t="s">
        <v>4540</v>
      </c>
      <c r="C26">
        <v>1822</v>
      </c>
      <c r="D26">
        <v>1</v>
      </c>
      <c r="E26" s="23">
        <v>2</v>
      </c>
      <c r="F26" t="s">
        <v>8102</v>
      </c>
      <c r="G26" t="s">
        <v>10484</v>
      </c>
      <c r="H26" t="s">
        <v>8021</v>
      </c>
      <c r="I26">
        <f>_xlfn.LET(_xlpm.id,TRIM($A26),IF(_xlpm.id="","",SUM(COUNTIF('1. OP'!$M:$M,_xlpm.id),COUNTIF('2. JSEL'!$M:$M,_xlpm.id),COUNTIF('3. PSM'!$M:$M,_xlpm.id),COUNTIF('4. SSP'!$M:$M,_xlpm.id),COUNTIF('5. JSACI'!$M:$M,_xlpm.id),COUNTIF('6. AIN'!$M:$M,_xlpm.id),COUNTIF('7. MS'!$M:$M,_xlpm.id),COUNTIF('8. DS'!$M:$M,_xlpm.id),COUNTIF('9. RMF'!$M:$M,_xlpm.id),COUNTIF('10. PCU'!$M:$M,_xlpm.id))))</f>
        <v>0</v>
      </c>
    </row>
    <row r="27" spans="1:9">
      <c r="A27" t="s">
        <v>8116</v>
      </c>
      <c r="B27" t="s">
        <v>4540</v>
      </c>
      <c r="C27">
        <v>1822</v>
      </c>
      <c r="D27">
        <v>1</v>
      </c>
      <c r="E27" s="23">
        <v>1</v>
      </c>
      <c r="F27" t="s">
        <v>8102</v>
      </c>
      <c r="G27" t="s">
        <v>10484</v>
      </c>
      <c r="H27" t="s">
        <v>8021</v>
      </c>
      <c r="I27">
        <f>_xlfn.LET(_xlpm.id,TRIM($A27),IF(_xlpm.id="","",SUM(COUNTIF('1. OP'!$M:$M,_xlpm.id),COUNTIF('2. JSEL'!$M:$M,_xlpm.id),COUNTIF('3. PSM'!$M:$M,_xlpm.id),COUNTIF('4. SSP'!$M:$M,_xlpm.id),COUNTIF('5. JSACI'!$M:$M,_xlpm.id),COUNTIF('6. AIN'!$M:$M,_xlpm.id),COUNTIF('7. MS'!$M:$M,_xlpm.id),COUNTIF('8. DS'!$M:$M,_xlpm.id),COUNTIF('9. RMF'!$M:$M,_xlpm.id),COUNTIF('10. PCU'!$M:$M,_xlpm.id))))</f>
        <v>0</v>
      </c>
    </row>
    <row r="28" spans="1:9">
      <c r="A28" t="s">
        <v>8117</v>
      </c>
      <c r="B28" t="s">
        <v>8118</v>
      </c>
      <c r="C28">
        <v>1829</v>
      </c>
      <c r="D28">
        <v>1</v>
      </c>
      <c r="E28" s="23">
        <v>1</v>
      </c>
      <c r="F28" t="s">
        <v>8102</v>
      </c>
      <c r="G28" t="s">
        <v>10484</v>
      </c>
      <c r="H28" t="s">
        <v>8021</v>
      </c>
      <c r="I28">
        <f>_xlfn.LET(_xlpm.id,TRIM($A28),IF(_xlpm.id="","",SUM(COUNTIF('1. OP'!$M:$M,_xlpm.id),COUNTIF('2. JSEL'!$M:$M,_xlpm.id),COUNTIF('3. PSM'!$M:$M,_xlpm.id),COUNTIF('4. SSP'!$M:$M,_xlpm.id),COUNTIF('5. JSACI'!$M:$M,_xlpm.id),COUNTIF('6. AIN'!$M:$M,_xlpm.id),COUNTIF('7. MS'!$M:$M,_xlpm.id),COUNTIF('8. DS'!$M:$M,_xlpm.id),COUNTIF('9. RMF'!$M:$M,_xlpm.id),COUNTIF('10. PCU'!$M:$M,_xlpm.id))))</f>
        <v>0</v>
      </c>
    </row>
    <row r="29" spans="1:9">
      <c r="A29" t="s">
        <v>8119</v>
      </c>
      <c r="B29" t="s">
        <v>8118</v>
      </c>
      <c r="C29">
        <v>1829</v>
      </c>
      <c r="D29">
        <v>1</v>
      </c>
      <c r="E29" s="23">
        <v>2</v>
      </c>
      <c r="F29" t="s">
        <v>8102</v>
      </c>
      <c r="G29" t="s">
        <v>10484</v>
      </c>
      <c r="H29" t="s">
        <v>8021</v>
      </c>
      <c r="I29">
        <f>_xlfn.LET(_xlpm.id,TRIM($A29),IF(_xlpm.id="","",SUM(COUNTIF('1. OP'!$M:$M,_xlpm.id),COUNTIF('2. JSEL'!$M:$M,_xlpm.id),COUNTIF('3. PSM'!$M:$M,_xlpm.id),COUNTIF('4. SSP'!$M:$M,_xlpm.id),COUNTIF('5. JSACI'!$M:$M,_xlpm.id),COUNTIF('6. AIN'!$M:$M,_xlpm.id),COUNTIF('7. MS'!$M:$M,_xlpm.id),COUNTIF('8. DS'!$M:$M,_xlpm.id),COUNTIF('9. RMF'!$M:$M,_xlpm.id),COUNTIF('10. PCU'!$M:$M,_xlpm.id))))</f>
        <v>0</v>
      </c>
    </row>
    <row r="30" spans="1:9">
      <c r="A30" t="s">
        <v>8120</v>
      </c>
      <c r="B30" t="s">
        <v>8118</v>
      </c>
      <c r="C30">
        <v>1830</v>
      </c>
      <c r="D30">
        <v>1</v>
      </c>
      <c r="E30" s="23">
        <v>3</v>
      </c>
      <c r="F30" t="s">
        <v>8102</v>
      </c>
      <c r="G30" t="s">
        <v>10484</v>
      </c>
      <c r="H30" t="s">
        <v>8021</v>
      </c>
      <c r="I30">
        <f>_xlfn.LET(_xlpm.id,TRIM($A30),IF(_xlpm.id="","",SUM(COUNTIF('1. OP'!$M:$M,_xlpm.id),COUNTIF('2. JSEL'!$M:$M,_xlpm.id),COUNTIF('3. PSM'!$M:$M,_xlpm.id),COUNTIF('4. SSP'!$M:$M,_xlpm.id),COUNTIF('5. JSACI'!$M:$M,_xlpm.id),COUNTIF('6. AIN'!$M:$M,_xlpm.id),COUNTIF('7. MS'!$M:$M,_xlpm.id),COUNTIF('8. DS'!$M:$M,_xlpm.id),COUNTIF('9. RMF'!$M:$M,_xlpm.id),COUNTIF('10. PCU'!$M:$M,_xlpm.id))))</f>
        <v>0</v>
      </c>
    </row>
    <row r="31" spans="1:9">
      <c r="A31" t="s">
        <v>8121</v>
      </c>
      <c r="B31" t="s">
        <v>8118</v>
      </c>
      <c r="C31">
        <v>1830</v>
      </c>
      <c r="D31">
        <v>1</v>
      </c>
      <c r="E31" s="23">
        <v>4</v>
      </c>
      <c r="F31" t="s">
        <v>8102</v>
      </c>
      <c r="G31" t="s">
        <v>10484</v>
      </c>
      <c r="H31" t="s">
        <v>8021</v>
      </c>
      <c r="I31">
        <f>_xlfn.LET(_xlpm.id,TRIM($A31),IF(_xlpm.id="","",SUM(COUNTIF('1. OP'!$M:$M,_xlpm.id),COUNTIF('2. JSEL'!$M:$M,_xlpm.id),COUNTIF('3. PSM'!$M:$M,_xlpm.id),COUNTIF('4. SSP'!$M:$M,_xlpm.id),COUNTIF('5. JSACI'!$M:$M,_xlpm.id),COUNTIF('6. AIN'!$M:$M,_xlpm.id),COUNTIF('7. MS'!$M:$M,_xlpm.id),COUNTIF('8. DS'!$M:$M,_xlpm.id),COUNTIF('9. RMF'!$M:$M,_xlpm.id),COUNTIF('10. PCU'!$M:$M,_xlpm.id))))</f>
        <v>0</v>
      </c>
    </row>
    <row r="32" spans="1:9">
      <c r="A32" t="s">
        <v>8122</v>
      </c>
      <c r="B32" t="s">
        <v>8118</v>
      </c>
      <c r="C32">
        <v>1831</v>
      </c>
      <c r="D32">
        <v>1</v>
      </c>
      <c r="E32" s="23">
        <v>5</v>
      </c>
      <c r="F32" t="s">
        <v>8102</v>
      </c>
      <c r="G32" t="s">
        <v>10484</v>
      </c>
      <c r="H32" t="s">
        <v>8021</v>
      </c>
      <c r="I32">
        <f>_xlfn.LET(_xlpm.id,TRIM($A32),IF(_xlpm.id="","",SUM(COUNTIF('1. OP'!$M:$M,_xlpm.id),COUNTIF('2. JSEL'!$M:$M,_xlpm.id),COUNTIF('3. PSM'!$M:$M,_xlpm.id),COUNTIF('4. SSP'!$M:$M,_xlpm.id),COUNTIF('5. JSACI'!$M:$M,_xlpm.id),COUNTIF('6. AIN'!$M:$M,_xlpm.id),COUNTIF('7. MS'!$M:$M,_xlpm.id),COUNTIF('8. DS'!$M:$M,_xlpm.id),COUNTIF('9. RMF'!$M:$M,_xlpm.id),COUNTIF('10. PCU'!$M:$M,_xlpm.id))))</f>
        <v>0</v>
      </c>
    </row>
    <row r="33" spans="1:9">
      <c r="A33" t="s">
        <v>5026</v>
      </c>
      <c r="B33" t="s">
        <v>8118</v>
      </c>
      <c r="C33">
        <v>1831</v>
      </c>
      <c r="D33">
        <v>1</v>
      </c>
      <c r="E33" s="23">
        <v>6</v>
      </c>
      <c r="F33" t="s">
        <v>8102</v>
      </c>
      <c r="G33" t="s">
        <v>10484</v>
      </c>
      <c r="H33" t="s">
        <v>8021</v>
      </c>
      <c r="I33">
        <f>_xlfn.LET(_xlpm.id,TRIM($A33),IF(_xlpm.id="","",SUM(COUNTIF('1. OP'!$M:$M,_xlpm.id),COUNTIF('2. JSEL'!$M:$M,_xlpm.id),COUNTIF('3. PSM'!$M:$M,_xlpm.id),COUNTIF('4. SSP'!$M:$M,_xlpm.id),COUNTIF('5. JSACI'!$M:$M,_xlpm.id),COUNTIF('6. AIN'!$M:$M,_xlpm.id),COUNTIF('7. MS'!$M:$M,_xlpm.id),COUNTIF('8. DS'!$M:$M,_xlpm.id),COUNTIF('9. RMF'!$M:$M,_xlpm.id),COUNTIF('10. PCU'!$M:$M,_xlpm.id))))</f>
        <v>1</v>
      </c>
    </row>
    <row r="34" spans="1:9">
      <c r="A34" t="s">
        <v>8123</v>
      </c>
      <c r="B34" t="s">
        <v>8118</v>
      </c>
      <c r="C34">
        <v>1832</v>
      </c>
      <c r="D34">
        <v>1</v>
      </c>
      <c r="E34" s="23">
        <v>7</v>
      </c>
      <c r="F34" t="s">
        <v>8102</v>
      </c>
      <c r="G34" t="s">
        <v>10484</v>
      </c>
      <c r="H34" t="s">
        <v>8021</v>
      </c>
      <c r="I34">
        <f>_xlfn.LET(_xlpm.id,TRIM($A34),IF(_xlpm.id="","",SUM(COUNTIF('1. OP'!$M:$M,_xlpm.id),COUNTIF('2. JSEL'!$M:$M,_xlpm.id),COUNTIF('3. PSM'!$M:$M,_xlpm.id),COUNTIF('4. SSP'!$M:$M,_xlpm.id),COUNTIF('5. JSACI'!$M:$M,_xlpm.id),COUNTIF('6. AIN'!$M:$M,_xlpm.id),COUNTIF('7. MS'!$M:$M,_xlpm.id),COUNTIF('8. DS'!$M:$M,_xlpm.id),COUNTIF('9. RMF'!$M:$M,_xlpm.id),COUNTIF('10. PCU'!$M:$M,_xlpm.id))))</f>
        <v>0</v>
      </c>
    </row>
    <row r="35" spans="1:9">
      <c r="A35" t="s">
        <v>8124</v>
      </c>
      <c r="B35" t="s">
        <v>8118</v>
      </c>
      <c r="C35">
        <v>1832</v>
      </c>
      <c r="D35">
        <v>1</v>
      </c>
      <c r="E35" s="23">
        <v>8</v>
      </c>
      <c r="F35" t="s">
        <v>8102</v>
      </c>
      <c r="G35" t="s">
        <v>10484</v>
      </c>
      <c r="H35" t="s">
        <v>8021</v>
      </c>
      <c r="I35">
        <f>_xlfn.LET(_xlpm.id,TRIM($A35),IF(_xlpm.id="","",SUM(COUNTIF('1. OP'!$M:$M,_xlpm.id),COUNTIF('2. JSEL'!$M:$M,_xlpm.id),COUNTIF('3. PSM'!$M:$M,_xlpm.id),COUNTIF('4. SSP'!$M:$M,_xlpm.id),COUNTIF('5. JSACI'!$M:$M,_xlpm.id),COUNTIF('6. AIN'!$M:$M,_xlpm.id),COUNTIF('7. MS'!$M:$M,_xlpm.id),COUNTIF('8. DS'!$M:$M,_xlpm.id),COUNTIF('9. RMF'!$M:$M,_xlpm.id),COUNTIF('10. PCU'!$M:$M,_xlpm.id))))</f>
        <v>0</v>
      </c>
    </row>
    <row r="36" spans="1:9">
      <c r="A36" t="s">
        <v>8125</v>
      </c>
      <c r="B36" t="s">
        <v>8118</v>
      </c>
      <c r="C36">
        <v>1833</v>
      </c>
      <c r="D36">
        <v>1</v>
      </c>
      <c r="E36" s="23">
        <v>9</v>
      </c>
      <c r="F36" t="s">
        <v>8102</v>
      </c>
      <c r="G36" t="s">
        <v>10484</v>
      </c>
      <c r="H36" t="s">
        <v>8021</v>
      </c>
      <c r="I36">
        <f>_xlfn.LET(_xlpm.id,TRIM($A36),IF(_xlpm.id="","",SUM(COUNTIF('1. OP'!$M:$M,_xlpm.id),COUNTIF('2. JSEL'!$M:$M,_xlpm.id),COUNTIF('3. PSM'!$M:$M,_xlpm.id),COUNTIF('4. SSP'!$M:$M,_xlpm.id),COUNTIF('5. JSACI'!$M:$M,_xlpm.id),COUNTIF('6. AIN'!$M:$M,_xlpm.id),COUNTIF('7. MS'!$M:$M,_xlpm.id),COUNTIF('8. DS'!$M:$M,_xlpm.id),COUNTIF('9. RMF'!$M:$M,_xlpm.id),COUNTIF('10. PCU'!$M:$M,_xlpm.id))))</f>
        <v>0</v>
      </c>
    </row>
    <row r="37" spans="1:9">
      <c r="A37" t="s">
        <v>8126</v>
      </c>
      <c r="B37" t="s">
        <v>8118</v>
      </c>
      <c r="C37">
        <v>1833</v>
      </c>
      <c r="D37">
        <v>1</v>
      </c>
      <c r="E37" s="23">
        <v>10</v>
      </c>
      <c r="F37" t="s">
        <v>8102</v>
      </c>
      <c r="G37" t="s">
        <v>10484</v>
      </c>
      <c r="H37" t="s">
        <v>8021</v>
      </c>
      <c r="I37">
        <f>_xlfn.LET(_xlpm.id,TRIM($A37),IF(_xlpm.id="","",SUM(COUNTIF('1. OP'!$M:$M,_xlpm.id),COUNTIF('2. JSEL'!$M:$M,_xlpm.id),COUNTIF('3. PSM'!$M:$M,_xlpm.id),COUNTIF('4. SSP'!$M:$M,_xlpm.id),COUNTIF('5. JSACI'!$M:$M,_xlpm.id),COUNTIF('6. AIN'!$M:$M,_xlpm.id),COUNTIF('7. MS'!$M:$M,_xlpm.id),COUNTIF('8. DS'!$M:$M,_xlpm.id),COUNTIF('9. RMF'!$M:$M,_xlpm.id),COUNTIF('10. PCU'!$M:$M,_xlpm.id))))</f>
        <v>0</v>
      </c>
    </row>
    <row r="38" spans="1:9">
      <c r="A38" t="s">
        <v>8127</v>
      </c>
      <c r="B38" t="s">
        <v>8118</v>
      </c>
      <c r="C38">
        <v>1834</v>
      </c>
      <c r="D38">
        <v>1</v>
      </c>
      <c r="E38" s="23">
        <v>11</v>
      </c>
      <c r="F38" t="s">
        <v>8102</v>
      </c>
      <c r="G38" t="s">
        <v>10484</v>
      </c>
      <c r="H38" t="s">
        <v>8021</v>
      </c>
      <c r="I38">
        <f>_xlfn.LET(_xlpm.id,TRIM($A38),IF(_xlpm.id="","",SUM(COUNTIF('1. OP'!$M:$M,_xlpm.id),COUNTIF('2. JSEL'!$M:$M,_xlpm.id),COUNTIF('3. PSM'!$M:$M,_xlpm.id),COUNTIF('4. SSP'!$M:$M,_xlpm.id),COUNTIF('5. JSACI'!$M:$M,_xlpm.id),COUNTIF('6. AIN'!$M:$M,_xlpm.id),COUNTIF('7. MS'!$M:$M,_xlpm.id),COUNTIF('8. DS'!$M:$M,_xlpm.id),COUNTIF('9. RMF'!$M:$M,_xlpm.id),COUNTIF('10. PCU'!$M:$M,_xlpm.id))))</f>
        <v>0</v>
      </c>
    </row>
    <row r="39" spans="1:9">
      <c r="A39" t="s">
        <v>8128</v>
      </c>
      <c r="B39" t="s">
        <v>8118</v>
      </c>
      <c r="C39">
        <v>1834</v>
      </c>
      <c r="D39">
        <v>1</v>
      </c>
      <c r="E39" s="23">
        <v>12</v>
      </c>
      <c r="F39" t="s">
        <v>8102</v>
      </c>
      <c r="G39" t="s">
        <v>10484</v>
      </c>
      <c r="H39" t="s">
        <v>8021</v>
      </c>
      <c r="I39">
        <f>_xlfn.LET(_xlpm.id,TRIM($A39),IF(_xlpm.id="","",SUM(COUNTIF('1. OP'!$M:$M,_xlpm.id),COUNTIF('2. JSEL'!$M:$M,_xlpm.id),COUNTIF('3. PSM'!$M:$M,_xlpm.id),COUNTIF('4. SSP'!$M:$M,_xlpm.id),COUNTIF('5. JSACI'!$M:$M,_xlpm.id),COUNTIF('6. AIN'!$M:$M,_xlpm.id),COUNTIF('7. MS'!$M:$M,_xlpm.id),COUNTIF('8. DS'!$M:$M,_xlpm.id),COUNTIF('9. RMF'!$M:$M,_xlpm.id),COUNTIF('10. PCU'!$M:$M,_xlpm.id))))</f>
        <v>0</v>
      </c>
    </row>
    <row r="40" spans="1:9">
      <c r="A40" t="s">
        <v>8129</v>
      </c>
      <c r="B40" t="s">
        <v>8118</v>
      </c>
      <c r="C40">
        <v>1835</v>
      </c>
      <c r="D40">
        <v>1</v>
      </c>
      <c r="E40" s="23">
        <v>13</v>
      </c>
      <c r="F40" t="s">
        <v>8102</v>
      </c>
      <c r="G40" t="s">
        <v>10484</v>
      </c>
      <c r="H40" t="s">
        <v>8021</v>
      </c>
      <c r="I40">
        <f>_xlfn.LET(_xlpm.id,TRIM($A40),IF(_xlpm.id="","",SUM(COUNTIF('1. OP'!$M:$M,_xlpm.id),COUNTIF('2. JSEL'!$M:$M,_xlpm.id),COUNTIF('3. PSM'!$M:$M,_xlpm.id),COUNTIF('4. SSP'!$M:$M,_xlpm.id),COUNTIF('5. JSACI'!$M:$M,_xlpm.id),COUNTIF('6. AIN'!$M:$M,_xlpm.id),COUNTIF('7. MS'!$M:$M,_xlpm.id),COUNTIF('8. DS'!$M:$M,_xlpm.id),COUNTIF('9. RMF'!$M:$M,_xlpm.id),COUNTIF('10. PCU'!$M:$M,_xlpm.id))))</f>
        <v>0</v>
      </c>
    </row>
    <row r="41" spans="1:9">
      <c r="A41" t="s">
        <v>8130</v>
      </c>
      <c r="B41" t="s">
        <v>8118</v>
      </c>
      <c r="C41">
        <v>1835</v>
      </c>
      <c r="D41">
        <v>1</v>
      </c>
      <c r="E41" s="23">
        <v>14</v>
      </c>
      <c r="F41" t="s">
        <v>8102</v>
      </c>
      <c r="G41" t="s">
        <v>10484</v>
      </c>
      <c r="H41" t="s">
        <v>8021</v>
      </c>
      <c r="I41">
        <f>_xlfn.LET(_xlpm.id,TRIM($A41),IF(_xlpm.id="","",SUM(COUNTIF('1. OP'!$M:$M,_xlpm.id),COUNTIF('2. JSEL'!$M:$M,_xlpm.id),COUNTIF('3. PSM'!$M:$M,_xlpm.id),COUNTIF('4. SSP'!$M:$M,_xlpm.id),COUNTIF('5. JSACI'!$M:$M,_xlpm.id),COUNTIF('6. AIN'!$M:$M,_xlpm.id),COUNTIF('7. MS'!$M:$M,_xlpm.id),COUNTIF('8. DS'!$M:$M,_xlpm.id),COUNTIF('9. RMF'!$M:$M,_xlpm.id),COUNTIF('10. PCU'!$M:$M,_xlpm.id))))</f>
        <v>0</v>
      </c>
    </row>
    <row r="42" spans="1:9">
      <c r="A42" t="s">
        <v>8131</v>
      </c>
      <c r="B42" t="s">
        <v>8118</v>
      </c>
      <c r="C42">
        <v>1836</v>
      </c>
      <c r="D42">
        <v>1</v>
      </c>
      <c r="E42" s="23">
        <v>15</v>
      </c>
      <c r="F42" t="s">
        <v>8102</v>
      </c>
      <c r="G42" t="s">
        <v>10484</v>
      </c>
      <c r="H42" t="s">
        <v>8021</v>
      </c>
      <c r="I42">
        <f>_xlfn.LET(_xlpm.id,TRIM($A42),IF(_xlpm.id="","",SUM(COUNTIF('1. OP'!$M:$M,_xlpm.id),COUNTIF('2. JSEL'!$M:$M,_xlpm.id),COUNTIF('3. PSM'!$M:$M,_xlpm.id),COUNTIF('4. SSP'!$M:$M,_xlpm.id),COUNTIF('5. JSACI'!$M:$M,_xlpm.id),COUNTIF('6. AIN'!$M:$M,_xlpm.id),COUNTIF('7. MS'!$M:$M,_xlpm.id),COUNTIF('8. DS'!$M:$M,_xlpm.id),COUNTIF('9. RMF'!$M:$M,_xlpm.id),COUNTIF('10. PCU'!$M:$M,_xlpm.id))))</f>
        <v>0</v>
      </c>
    </row>
    <row r="43" spans="1:9">
      <c r="A43" t="s">
        <v>8132</v>
      </c>
      <c r="B43" t="s">
        <v>8118</v>
      </c>
      <c r="C43">
        <v>1836</v>
      </c>
      <c r="D43">
        <v>1</v>
      </c>
      <c r="E43" s="23">
        <v>16</v>
      </c>
      <c r="F43" t="s">
        <v>8102</v>
      </c>
      <c r="G43" t="s">
        <v>10484</v>
      </c>
      <c r="H43" t="s">
        <v>8021</v>
      </c>
      <c r="I43">
        <f>_xlfn.LET(_xlpm.id,TRIM($A43),IF(_xlpm.id="","",SUM(COUNTIF('1. OP'!$M:$M,_xlpm.id),COUNTIF('2. JSEL'!$M:$M,_xlpm.id),COUNTIF('3. PSM'!$M:$M,_xlpm.id),COUNTIF('4. SSP'!$M:$M,_xlpm.id),COUNTIF('5. JSACI'!$M:$M,_xlpm.id),COUNTIF('6. AIN'!$M:$M,_xlpm.id),COUNTIF('7. MS'!$M:$M,_xlpm.id),COUNTIF('8. DS'!$M:$M,_xlpm.id),COUNTIF('9. RMF'!$M:$M,_xlpm.id),COUNTIF('10. PCU'!$M:$M,_xlpm.id))))</f>
        <v>0</v>
      </c>
    </row>
    <row r="44" spans="1:9">
      <c r="A44" t="s">
        <v>8133</v>
      </c>
      <c r="B44" t="s">
        <v>8118</v>
      </c>
      <c r="C44">
        <v>1837</v>
      </c>
      <c r="D44">
        <v>1</v>
      </c>
      <c r="E44" s="23">
        <v>17</v>
      </c>
      <c r="F44" t="s">
        <v>8102</v>
      </c>
      <c r="G44" t="s">
        <v>10484</v>
      </c>
      <c r="H44" t="s">
        <v>8021</v>
      </c>
      <c r="I44">
        <f>_xlfn.LET(_xlpm.id,TRIM($A44),IF(_xlpm.id="","",SUM(COUNTIF('1. OP'!$M:$M,_xlpm.id),COUNTIF('2. JSEL'!$M:$M,_xlpm.id),COUNTIF('3. PSM'!$M:$M,_xlpm.id),COUNTIF('4. SSP'!$M:$M,_xlpm.id),COUNTIF('5. JSACI'!$M:$M,_xlpm.id),COUNTIF('6. AIN'!$M:$M,_xlpm.id),COUNTIF('7. MS'!$M:$M,_xlpm.id),COUNTIF('8. DS'!$M:$M,_xlpm.id),COUNTIF('9. RMF'!$M:$M,_xlpm.id),COUNTIF('10. PCU'!$M:$M,_xlpm.id))))</f>
        <v>0</v>
      </c>
    </row>
    <row r="45" spans="1:9">
      <c r="A45" t="s">
        <v>8134</v>
      </c>
      <c r="B45" t="s">
        <v>8135</v>
      </c>
      <c r="C45">
        <v>1823</v>
      </c>
      <c r="D45">
        <v>1</v>
      </c>
      <c r="E45" s="23">
        <v>1</v>
      </c>
      <c r="F45" t="s">
        <v>8102</v>
      </c>
      <c r="G45" t="s">
        <v>10484</v>
      </c>
      <c r="H45" t="s">
        <v>8021</v>
      </c>
      <c r="I45">
        <f>_xlfn.LET(_xlpm.id,TRIM($A45),IF(_xlpm.id="","",SUM(COUNTIF('1. OP'!$M:$M,_xlpm.id),COUNTIF('2. JSEL'!$M:$M,_xlpm.id),COUNTIF('3. PSM'!$M:$M,_xlpm.id),COUNTIF('4. SSP'!$M:$M,_xlpm.id),COUNTIF('5. JSACI'!$M:$M,_xlpm.id),COUNTIF('6. AIN'!$M:$M,_xlpm.id),COUNTIF('7. MS'!$M:$M,_xlpm.id),COUNTIF('8. DS'!$M:$M,_xlpm.id),COUNTIF('9. RMF'!$M:$M,_xlpm.id),COUNTIF('10. PCU'!$M:$M,_xlpm.id))))</f>
        <v>0</v>
      </c>
    </row>
    <row r="46" spans="1:9">
      <c r="A46" t="s">
        <v>8136</v>
      </c>
      <c r="B46" t="s">
        <v>8135</v>
      </c>
      <c r="C46">
        <v>1823</v>
      </c>
      <c r="D46">
        <v>1</v>
      </c>
      <c r="E46" s="23">
        <v>2</v>
      </c>
      <c r="F46" t="s">
        <v>8102</v>
      </c>
      <c r="G46" t="s">
        <v>10484</v>
      </c>
      <c r="H46" t="s">
        <v>8021</v>
      </c>
      <c r="I46">
        <f>_xlfn.LET(_xlpm.id,TRIM($A46),IF(_xlpm.id="","",SUM(COUNTIF('1. OP'!$M:$M,_xlpm.id),COUNTIF('2. JSEL'!$M:$M,_xlpm.id),COUNTIF('3. PSM'!$M:$M,_xlpm.id),COUNTIF('4. SSP'!$M:$M,_xlpm.id),COUNTIF('5. JSACI'!$M:$M,_xlpm.id),COUNTIF('6. AIN'!$M:$M,_xlpm.id),COUNTIF('7. MS'!$M:$M,_xlpm.id),COUNTIF('8. DS'!$M:$M,_xlpm.id),COUNTIF('9. RMF'!$M:$M,_xlpm.id),COUNTIF('10. PCU'!$M:$M,_xlpm.id))))</f>
        <v>0</v>
      </c>
    </row>
    <row r="47" spans="1:9">
      <c r="A47" t="s">
        <v>8137</v>
      </c>
      <c r="B47" t="s">
        <v>8135</v>
      </c>
      <c r="C47">
        <v>1823</v>
      </c>
      <c r="D47">
        <v>1</v>
      </c>
      <c r="E47" s="23">
        <v>3</v>
      </c>
      <c r="F47" t="s">
        <v>8102</v>
      </c>
      <c r="G47" t="s">
        <v>10484</v>
      </c>
      <c r="H47" t="s">
        <v>8021</v>
      </c>
      <c r="I47">
        <f>_xlfn.LET(_xlpm.id,TRIM($A47),IF(_xlpm.id="","",SUM(COUNTIF('1. OP'!$M:$M,_xlpm.id),COUNTIF('2. JSEL'!$M:$M,_xlpm.id),COUNTIF('3. PSM'!$M:$M,_xlpm.id),COUNTIF('4. SSP'!$M:$M,_xlpm.id),COUNTIF('5. JSACI'!$M:$M,_xlpm.id),COUNTIF('6. AIN'!$M:$M,_xlpm.id),COUNTIF('7. MS'!$M:$M,_xlpm.id),COUNTIF('8. DS'!$M:$M,_xlpm.id),COUNTIF('9. RMF'!$M:$M,_xlpm.id),COUNTIF('10. PCU'!$M:$M,_xlpm.id))))</f>
        <v>0</v>
      </c>
    </row>
    <row r="48" spans="1:9">
      <c r="A48" t="s">
        <v>7187</v>
      </c>
      <c r="B48" t="s">
        <v>8135</v>
      </c>
      <c r="C48">
        <v>1824</v>
      </c>
      <c r="D48">
        <v>1</v>
      </c>
      <c r="E48" s="23">
        <v>4</v>
      </c>
      <c r="F48" t="s">
        <v>8102</v>
      </c>
      <c r="G48" t="s">
        <v>10484</v>
      </c>
      <c r="H48" t="s">
        <v>8021</v>
      </c>
      <c r="I48">
        <f>_xlfn.LET(_xlpm.id,TRIM($A48),IF(_xlpm.id="","",SUM(COUNTIF('1. OP'!$M:$M,_xlpm.id),COUNTIF('2. JSEL'!$M:$M,_xlpm.id),COUNTIF('3. PSM'!$M:$M,_xlpm.id),COUNTIF('4. SSP'!$M:$M,_xlpm.id),COUNTIF('5. JSACI'!$M:$M,_xlpm.id),COUNTIF('6. AIN'!$M:$M,_xlpm.id),COUNTIF('7. MS'!$M:$M,_xlpm.id),COUNTIF('8. DS'!$M:$M,_xlpm.id),COUNTIF('9. RMF'!$M:$M,_xlpm.id),COUNTIF('10. PCU'!$M:$M,_xlpm.id))))</f>
        <v>1</v>
      </c>
    </row>
    <row r="49" spans="1:9">
      <c r="A49" t="s">
        <v>6405</v>
      </c>
      <c r="B49" t="s">
        <v>8135</v>
      </c>
      <c r="C49">
        <v>1824</v>
      </c>
      <c r="D49">
        <v>1</v>
      </c>
      <c r="E49" s="23">
        <v>5</v>
      </c>
      <c r="F49" t="s">
        <v>8102</v>
      </c>
      <c r="G49" t="s">
        <v>10484</v>
      </c>
      <c r="H49" t="s">
        <v>8021</v>
      </c>
      <c r="I49">
        <f>_xlfn.LET(_xlpm.id,TRIM($A49),IF(_xlpm.id="","",SUM(COUNTIF('1. OP'!$M:$M,_xlpm.id),COUNTIF('2. JSEL'!$M:$M,_xlpm.id),COUNTIF('3. PSM'!$M:$M,_xlpm.id),COUNTIF('4. SSP'!$M:$M,_xlpm.id),COUNTIF('5. JSACI'!$M:$M,_xlpm.id),COUNTIF('6. AIN'!$M:$M,_xlpm.id),COUNTIF('7. MS'!$M:$M,_xlpm.id),COUNTIF('8. DS'!$M:$M,_xlpm.id),COUNTIF('9. RMF'!$M:$M,_xlpm.id),COUNTIF('10. PCU'!$M:$M,_xlpm.id))))</f>
        <v>1</v>
      </c>
    </row>
    <row r="50" spans="1:9">
      <c r="A50" t="s">
        <v>8138</v>
      </c>
      <c r="B50" t="s">
        <v>8135</v>
      </c>
      <c r="C50">
        <v>1824</v>
      </c>
      <c r="D50">
        <v>1</v>
      </c>
      <c r="E50" s="23">
        <v>6</v>
      </c>
      <c r="F50" t="s">
        <v>8102</v>
      </c>
      <c r="G50" t="s">
        <v>10484</v>
      </c>
      <c r="H50" t="s">
        <v>8021</v>
      </c>
      <c r="I50">
        <f>_xlfn.LET(_xlpm.id,TRIM($A50),IF(_xlpm.id="","",SUM(COUNTIF('1. OP'!$M:$M,_xlpm.id),COUNTIF('2. JSEL'!$M:$M,_xlpm.id),COUNTIF('3. PSM'!$M:$M,_xlpm.id),COUNTIF('4. SSP'!$M:$M,_xlpm.id),COUNTIF('5. JSACI'!$M:$M,_xlpm.id),COUNTIF('6. AIN'!$M:$M,_xlpm.id),COUNTIF('7. MS'!$M:$M,_xlpm.id),COUNTIF('8. DS'!$M:$M,_xlpm.id),COUNTIF('9. RMF'!$M:$M,_xlpm.id),COUNTIF('10. PCU'!$M:$M,_xlpm.id))))</f>
        <v>0</v>
      </c>
    </row>
    <row r="51" spans="1:9">
      <c r="A51" t="s">
        <v>8139</v>
      </c>
      <c r="B51" t="s">
        <v>8135</v>
      </c>
      <c r="C51">
        <v>1825</v>
      </c>
      <c r="D51">
        <v>1</v>
      </c>
      <c r="E51" s="23">
        <v>7</v>
      </c>
      <c r="F51" t="s">
        <v>8102</v>
      </c>
      <c r="G51" t="s">
        <v>10484</v>
      </c>
      <c r="H51" t="s">
        <v>8021</v>
      </c>
      <c r="I51">
        <f>_xlfn.LET(_xlpm.id,TRIM($A51),IF(_xlpm.id="","",SUM(COUNTIF('1. OP'!$M:$M,_xlpm.id),COUNTIF('2. JSEL'!$M:$M,_xlpm.id),COUNTIF('3. PSM'!$M:$M,_xlpm.id),COUNTIF('4. SSP'!$M:$M,_xlpm.id),COUNTIF('5. JSACI'!$M:$M,_xlpm.id),COUNTIF('6. AIN'!$M:$M,_xlpm.id),COUNTIF('7. MS'!$M:$M,_xlpm.id),COUNTIF('8. DS'!$M:$M,_xlpm.id),COUNTIF('9. RMF'!$M:$M,_xlpm.id),COUNTIF('10. PCU'!$M:$M,_xlpm.id))))</f>
        <v>0</v>
      </c>
    </row>
    <row r="52" spans="1:9">
      <c r="A52" t="s">
        <v>5536</v>
      </c>
      <c r="B52" t="s">
        <v>8135</v>
      </c>
      <c r="C52">
        <v>1825</v>
      </c>
      <c r="D52">
        <v>1</v>
      </c>
      <c r="E52" s="23">
        <v>8</v>
      </c>
      <c r="F52" t="s">
        <v>8102</v>
      </c>
      <c r="G52" t="s">
        <v>10484</v>
      </c>
      <c r="H52" t="s">
        <v>8021</v>
      </c>
      <c r="I52">
        <f>_xlfn.LET(_xlpm.id,TRIM($A52),IF(_xlpm.id="","",SUM(COUNTIF('1. OP'!$M:$M,_xlpm.id),COUNTIF('2. JSEL'!$M:$M,_xlpm.id),COUNTIF('3. PSM'!$M:$M,_xlpm.id),COUNTIF('4. SSP'!$M:$M,_xlpm.id),COUNTIF('5. JSACI'!$M:$M,_xlpm.id),COUNTIF('6. AIN'!$M:$M,_xlpm.id),COUNTIF('7. MS'!$M:$M,_xlpm.id),COUNTIF('8. DS'!$M:$M,_xlpm.id),COUNTIF('9. RMF'!$M:$M,_xlpm.id),COUNTIF('10. PCU'!$M:$M,_xlpm.id))))</f>
        <v>3</v>
      </c>
    </row>
    <row r="53" spans="1:9">
      <c r="A53" t="s">
        <v>7397</v>
      </c>
      <c r="B53" t="s">
        <v>8135</v>
      </c>
      <c r="C53">
        <v>1825</v>
      </c>
      <c r="D53">
        <v>1</v>
      </c>
      <c r="E53" s="23">
        <v>9</v>
      </c>
      <c r="F53" t="s">
        <v>8102</v>
      </c>
      <c r="G53" t="s">
        <v>10484</v>
      </c>
      <c r="H53" t="s">
        <v>8021</v>
      </c>
      <c r="I53">
        <f>_xlfn.LET(_xlpm.id,TRIM($A53),IF(_xlpm.id="","",SUM(COUNTIF('1. OP'!$M:$M,_xlpm.id),COUNTIF('2. JSEL'!$M:$M,_xlpm.id),COUNTIF('3. PSM'!$M:$M,_xlpm.id),COUNTIF('4. SSP'!$M:$M,_xlpm.id),COUNTIF('5. JSACI'!$M:$M,_xlpm.id),COUNTIF('6. AIN'!$M:$M,_xlpm.id),COUNTIF('7. MS'!$M:$M,_xlpm.id),COUNTIF('8. DS'!$M:$M,_xlpm.id),COUNTIF('9. RMF'!$M:$M,_xlpm.id),COUNTIF('10. PCU'!$M:$M,_xlpm.id))))</f>
        <v>1</v>
      </c>
    </row>
    <row r="54" spans="1:9">
      <c r="A54" t="s">
        <v>6403</v>
      </c>
      <c r="B54" t="s">
        <v>8135</v>
      </c>
      <c r="C54">
        <v>1826</v>
      </c>
      <c r="D54">
        <v>1</v>
      </c>
      <c r="E54" s="23">
        <v>10</v>
      </c>
      <c r="F54" t="s">
        <v>8102</v>
      </c>
      <c r="G54" t="s">
        <v>10484</v>
      </c>
      <c r="H54" t="s">
        <v>8021</v>
      </c>
      <c r="I54">
        <f>_xlfn.LET(_xlpm.id,TRIM($A54),IF(_xlpm.id="","",SUM(COUNTIF('1. OP'!$M:$M,_xlpm.id),COUNTIF('2. JSEL'!$M:$M,_xlpm.id),COUNTIF('3. PSM'!$M:$M,_xlpm.id),COUNTIF('4. SSP'!$M:$M,_xlpm.id),COUNTIF('5. JSACI'!$M:$M,_xlpm.id),COUNTIF('6. AIN'!$M:$M,_xlpm.id),COUNTIF('7. MS'!$M:$M,_xlpm.id),COUNTIF('8. DS'!$M:$M,_xlpm.id),COUNTIF('9. RMF'!$M:$M,_xlpm.id),COUNTIF('10. PCU'!$M:$M,_xlpm.id))))</f>
        <v>4</v>
      </c>
    </row>
    <row r="55" spans="1:9">
      <c r="A55" t="s">
        <v>8140</v>
      </c>
      <c r="B55" t="s">
        <v>8135</v>
      </c>
      <c r="C55">
        <v>1826</v>
      </c>
      <c r="D55">
        <v>1</v>
      </c>
      <c r="E55" s="23">
        <v>11</v>
      </c>
      <c r="F55" t="s">
        <v>8102</v>
      </c>
      <c r="G55" t="s">
        <v>10484</v>
      </c>
      <c r="H55" t="s">
        <v>8021</v>
      </c>
      <c r="I55">
        <f>_xlfn.LET(_xlpm.id,TRIM($A55),IF(_xlpm.id="","",SUM(COUNTIF('1. OP'!$M:$M,_xlpm.id),COUNTIF('2. JSEL'!$M:$M,_xlpm.id),COUNTIF('3. PSM'!$M:$M,_xlpm.id),COUNTIF('4. SSP'!$M:$M,_xlpm.id),COUNTIF('5. JSACI'!$M:$M,_xlpm.id),COUNTIF('6. AIN'!$M:$M,_xlpm.id),COUNTIF('7. MS'!$M:$M,_xlpm.id),COUNTIF('8. DS'!$M:$M,_xlpm.id),COUNTIF('9. RMF'!$M:$M,_xlpm.id),COUNTIF('10. PCU'!$M:$M,_xlpm.id))))</f>
        <v>0</v>
      </c>
    </row>
    <row r="56" spans="1:9">
      <c r="A56" t="s">
        <v>8141</v>
      </c>
      <c r="B56" t="s">
        <v>8135</v>
      </c>
      <c r="C56">
        <v>1826</v>
      </c>
      <c r="D56">
        <v>1</v>
      </c>
      <c r="E56" s="23">
        <v>12</v>
      </c>
      <c r="F56" t="s">
        <v>8102</v>
      </c>
      <c r="G56" t="s">
        <v>10484</v>
      </c>
      <c r="H56" t="s">
        <v>8021</v>
      </c>
      <c r="I56">
        <f>_xlfn.LET(_xlpm.id,TRIM($A56),IF(_xlpm.id="","",SUM(COUNTIF('1. OP'!$M:$M,_xlpm.id),COUNTIF('2. JSEL'!$M:$M,_xlpm.id),COUNTIF('3. PSM'!$M:$M,_xlpm.id),COUNTIF('4. SSP'!$M:$M,_xlpm.id),COUNTIF('5. JSACI'!$M:$M,_xlpm.id),COUNTIF('6. AIN'!$M:$M,_xlpm.id),COUNTIF('7. MS'!$M:$M,_xlpm.id),COUNTIF('8. DS'!$M:$M,_xlpm.id),COUNTIF('9. RMF'!$M:$M,_xlpm.id),COUNTIF('10. PCU'!$M:$M,_xlpm.id))))</f>
        <v>0</v>
      </c>
    </row>
    <row r="57" spans="1:9">
      <c r="A57" t="s">
        <v>8142</v>
      </c>
      <c r="B57" t="s">
        <v>8135</v>
      </c>
      <c r="C57">
        <v>1827</v>
      </c>
      <c r="D57">
        <v>1</v>
      </c>
      <c r="E57" s="23">
        <v>13</v>
      </c>
      <c r="F57" t="s">
        <v>8102</v>
      </c>
      <c r="G57" t="s">
        <v>10484</v>
      </c>
      <c r="H57" t="s">
        <v>8021</v>
      </c>
      <c r="I57">
        <f>_xlfn.LET(_xlpm.id,TRIM($A57),IF(_xlpm.id="","",SUM(COUNTIF('1. OP'!$M:$M,_xlpm.id),COUNTIF('2. JSEL'!$M:$M,_xlpm.id),COUNTIF('3. PSM'!$M:$M,_xlpm.id),COUNTIF('4. SSP'!$M:$M,_xlpm.id),COUNTIF('5. JSACI'!$M:$M,_xlpm.id),COUNTIF('6. AIN'!$M:$M,_xlpm.id),COUNTIF('7. MS'!$M:$M,_xlpm.id),COUNTIF('8. DS'!$M:$M,_xlpm.id),COUNTIF('9. RMF'!$M:$M,_xlpm.id),COUNTIF('10. PCU'!$M:$M,_xlpm.id))))</f>
        <v>0</v>
      </c>
    </row>
    <row r="58" spans="1:9">
      <c r="A58" t="s">
        <v>8143</v>
      </c>
      <c r="B58" t="s">
        <v>8135</v>
      </c>
      <c r="C58">
        <v>1827</v>
      </c>
      <c r="D58">
        <v>1</v>
      </c>
      <c r="E58" s="23">
        <v>14</v>
      </c>
      <c r="F58" t="s">
        <v>8102</v>
      </c>
      <c r="G58" t="s">
        <v>10484</v>
      </c>
      <c r="H58" t="s">
        <v>8021</v>
      </c>
      <c r="I58">
        <f>_xlfn.LET(_xlpm.id,TRIM($A58),IF(_xlpm.id="","",SUM(COUNTIF('1. OP'!$M:$M,_xlpm.id),COUNTIF('2. JSEL'!$M:$M,_xlpm.id),COUNTIF('3. PSM'!$M:$M,_xlpm.id),COUNTIF('4. SSP'!$M:$M,_xlpm.id),COUNTIF('5. JSACI'!$M:$M,_xlpm.id),COUNTIF('6. AIN'!$M:$M,_xlpm.id),COUNTIF('7. MS'!$M:$M,_xlpm.id),COUNTIF('8. DS'!$M:$M,_xlpm.id),COUNTIF('9. RMF'!$M:$M,_xlpm.id),COUNTIF('10. PCU'!$M:$M,_xlpm.id))))</f>
        <v>0</v>
      </c>
    </row>
    <row r="59" spans="1:9">
      <c r="A59" t="s">
        <v>8144</v>
      </c>
      <c r="B59" t="s">
        <v>8135</v>
      </c>
      <c r="C59">
        <v>1827</v>
      </c>
      <c r="D59">
        <v>1</v>
      </c>
      <c r="E59" s="23">
        <v>15</v>
      </c>
      <c r="F59" t="s">
        <v>8102</v>
      </c>
      <c r="G59" t="s">
        <v>10484</v>
      </c>
      <c r="H59" t="s">
        <v>8021</v>
      </c>
      <c r="I59">
        <f>_xlfn.LET(_xlpm.id,TRIM($A59),IF(_xlpm.id="","",SUM(COUNTIF('1. OP'!$M:$M,_xlpm.id),COUNTIF('2. JSEL'!$M:$M,_xlpm.id),COUNTIF('3. PSM'!$M:$M,_xlpm.id),COUNTIF('4. SSP'!$M:$M,_xlpm.id),COUNTIF('5. JSACI'!$M:$M,_xlpm.id),COUNTIF('6. AIN'!$M:$M,_xlpm.id),COUNTIF('7. MS'!$M:$M,_xlpm.id),COUNTIF('8. DS'!$M:$M,_xlpm.id),COUNTIF('9. RMF'!$M:$M,_xlpm.id),COUNTIF('10. PCU'!$M:$M,_xlpm.id))))</f>
        <v>0</v>
      </c>
    </row>
    <row r="60" spans="1:9">
      <c r="A60" t="s">
        <v>8145</v>
      </c>
      <c r="B60" t="s">
        <v>8135</v>
      </c>
      <c r="C60">
        <v>1828</v>
      </c>
      <c r="D60">
        <v>1</v>
      </c>
      <c r="E60" s="23">
        <v>16</v>
      </c>
      <c r="F60" t="s">
        <v>8102</v>
      </c>
      <c r="G60" t="s">
        <v>10484</v>
      </c>
      <c r="H60" t="s">
        <v>8021</v>
      </c>
      <c r="I60">
        <f>_xlfn.LET(_xlpm.id,TRIM($A60),IF(_xlpm.id="","",SUM(COUNTIF('1. OP'!$M:$M,_xlpm.id),COUNTIF('2. JSEL'!$M:$M,_xlpm.id),COUNTIF('3. PSM'!$M:$M,_xlpm.id),COUNTIF('4. SSP'!$M:$M,_xlpm.id),COUNTIF('5. JSACI'!$M:$M,_xlpm.id),COUNTIF('6. AIN'!$M:$M,_xlpm.id),COUNTIF('7. MS'!$M:$M,_xlpm.id),COUNTIF('8. DS'!$M:$M,_xlpm.id),COUNTIF('9. RMF'!$M:$M,_xlpm.id),COUNTIF('10. PCU'!$M:$M,_xlpm.id))))</f>
        <v>0</v>
      </c>
    </row>
    <row r="61" spans="1:9">
      <c r="A61" t="s">
        <v>8146</v>
      </c>
      <c r="B61" t="s">
        <v>8135</v>
      </c>
      <c r="C61">
        <v>1828</v>
      </c>
      <c r="D61">
        <v>1</v>
      </c>
      <c r="E61" s="23">
        <v>17</v>
      </c>
      <c r="F61" t="s">
        <v>8102</v>
      </c>
      <c r="G61" t="s">
        <v>10484</v>
      </c>
      <c r="H61" t="s">
        <v>8021</v>
      </c>
      <c r="I61">
        <f>_xlfn.LET(_xlpm.id,TRIM($A61),IF(_xlpm.id="","",SUM(COUNTIF('1. OP'!$M:$M,_xlpm.id),COUNTIF('2. JSEL'!$M:$M,_xlpm.id),COUNTIF('3. PSM'!$M:$M,_xlpm.id),COUNTIF('4. SSP'!$M:$M,_xlpm.id),COUNTIF('5. JSACI'!$M:$M,_xlpm.id),COUNTIF('6. AIN'!$M:$M,_xlpm.id),COUNTIF('7. MS'!$M:$M,_xlpm.id),COUNTIF('8. DS'!$M:$M,_xlpm.id),COUNTIF('9. RMF'!$M:$M,_xlpm.id),COUNTIF('10. PCU'!$M:$M,_xlpm.id))))</f>
        <v>0</v>
      </c>
    </row>
    <row r="62" spans="1:9">
      <c r="A62" t="s">
        <v>8147</v>
      </c>
      <c r="B62" t="s">
        <v>8135</v>
      </c>
      <c r="C62">
        <v>1828</v>
      </c>
      <c r="D62">
        <v>1</v>
      </c>
      <c r="E62" s="23">
        <v>18</v>
      </c>
      <c r="F62" t="s">
        <v>8102</v>
      </c>
      <c r="G62" t="s">
        <v>10484</v>
      </c>
      <c r="H62" t="s">
        <v>8021</v>
      </c>
      <c r="I62">
        <f>_xlfn.LET(_xlpm.id,TRIM($A62),IF(_xlpm.id="","",SUM(COUNTIF('1. OP'!$M:$M,_xlpm.id),COUNTIF('2. JSEL'!$M:$M,_xlpm.id),COUNTIF('3. PSM'!$M:$M,_xlpm.id),COUNTIF('4. SSP'!$M:$M,_xlpm.id),COUNTIF('5. JSACI'!$M:$M,_xlpm.id),COUNTIF('6. AIN'!$M:$M,_xlpm.id),COUNTIF('7. MS'!$M:$M,_xlpm.id),COUNTIF('8. DS'!$M:$M,_xlpm.id),COUNTIF('9. RMF'!$M:$M,_xlpm.id),COUNTIF('10. PCU'!$M:$M,_xlpm.id))))</f>
        <v>0</v>
      </c>
    </row>
    <row r="63" spans="1:9">
      <c r="A63" t="s">
        <v>8148</v>
      </c>
      <c r="B63" t="s">
        <v>8135</v>
      </c>
      <c r="C63">
        <v>1829</v>
      </c>
      <c r="D63">
        <v>1</v>
      </c>
      <c r="E63" s="23">
        <v>19</v>
      </c>
      <c r="F63" t="s">
        <v>8102</v>
      </c>
      <c r="G63" t="s">
        <v>10484</v>
      </c>
      <c r="H63" t="s">
        <v>8021</v>
      </c>
      <c r="I63">
        <f>_xlfn.LET(_xlpm.id,TRIM($A63),IF(_xlpm.id="","",SUM(COUNTIF('1. OP'!$M:$M,_xlpm.id),COUNTIF('2. JSEL'!$M:$M,_xlpm.id),COUNTIF('3. PSM'!$M:$M,_xlpm.id),COUNTIF('4. SSP'!$M:$M,_xlpm.id),COUNTIF('5. JSACI'!$M:$M,_xlpm.id),COUNTIF('6. AIN'!$M:$M,_xlpm.id),COUNTIF('7. MS'!$M:$M,_xlpm.id),COUNTIF('8. DS'!$M:$M,_xlpm.id),COUNTIF('9. RMF'!$M:$M,_xlpm.id),COUNTIF('10. PCU'!$M:$M,_xlpm.id))))</f>
        <v>0</v>
      </c>
    </row>
    <row r="64" spans="1:9">
      <c r="A64" t="s">
        <v>7178</v>
      </c>
      <c r="B64" t="s">
        <v>8135</v>
      </c>
      <c r="C64">
        <v>1829</v>
      </c>
      <c r="D64">
        <v>1</v>
      </c>
      <c r="E64" s="23">
        <v>20</v>
      </c>
      <c r="F64" t="s">
        <v>8102</v>
      </c>
      <c r="G64" t="s">
        <v>10484</v>
      </c>
      <c r="H64" t="s">
        <v>8021</v>
      </c>
      <c r="I64">
        <f>_xlfn.LET(_xlpm.id,TRIM($A64),IF(_xlpm.id="","",SUM(COUNTIF('1. OP'!$M:$M,_xlpm.id),COUNTIF('2. JSEL'!$M:$M,_xlpm.id),COUNTIF('3. PSM'!$M:$M,_xlpm.id),COUNTIF('4. SSP'!$M:$M,_xlpm.id),COUNTIF('5. JSACI'!$M:$M,_xlpm.id),COUNTIF('6. AIN'!$M:$M,_xlpm.id),COUNTIF('7. MS'!$M:$M,_xlpm.id),COUNTIF('8. DS'!$M:$M,_xlpm.id),COUNTIF('9. RMF'!$M:$M,_xlpm.id),COUNTIF('10. PCU'!$M:$M,_xlpm.id))))</f>
        <v>4</v>
      </c>
    </row>
    <row r="65" spans="1:9">
      <c r="A65" t="s">
        <v>5049</v>
      </c>
      <c r="B65" t="s">
        <v>8135</v>
      </c>
      <c r="C65">
        <v>1829</v>
      </c>
      <c r="D65">
        <v>1</v>
      </c>
      <c r="E65" s="23">
        <v>21</v>
      </c>
      <c r="F65" t="s">
        <v>8102</v>
      </c>
      <c r="G65" t="s">
        <v>10484</v>
      </c>
      <c r="H65" t="s">
        <v>8021</v>
      </c>
      <c r="I65">
        <f>_xlfn.LET(_xlpm.id,TRIM($A65),IF(_xlpm.id="","",SUM(COUNTIF('1. OP'!$M:$M,_xlpm.id),COUNTIF('2. JSEL'!$M:$M,_xlpm.id),COUNTIF('3. PSM'!$M:$M,_xlpm.id),COUNTIF('4. SSP'!$M:$M,_xlpm.id),COUNTIF('5. JSACI'!$M:$M,_xlpm.id),COUNTIF('6. AIN'!$M:$M,_xlpm.id),COUNTIF('7. MS'!$M:$M,_xlpm.id),COUNTIF('8. DS'!$M:$M,_xlpm.id),COUNTIF('9. RMF'!$M:$M,_xlpm.id),COUNTIF('10. PCU'!$M:$M,_xlpm.id))))</f>
        <v>1</v>
      </c>
    </row>
    <row r="66" spans="1:9">
      <c r="A66" t="s">
        <v>8149</v>
      </c>
      <c r="B66" t="s">
        <v>8135</v>
      </c>
      <c r="C66">
        <v>1830</v>
      </c>
      <c r="D66">
        <v>1</v>
      </c>
      <c r="E66" s="23">
        <v>22</v>
      </c>
      <c r="F66" t="s">
        <v>8102</v>
      </c>
      <c r="G66" t="s">
        <v>10484</v>
      </c>
      <c r="H66" t="s">
        <v>8021</v>
      </c>
      <c r="I66">
        <f>_xlfn.LET(_xlpm.id,TRIM($A66),IF(_xlpm.id="","",SUM(COUNTIF('1. OP'!$M:$M,_xlpm.id),COUNTIF('2. JSEL'!$M:$M,_xlpm.id),COUNTIF('3. PSM'!$M:$M,_xlpm.id),COUNTIF('4. SSP'!$M:$M,_xlpm.id),COUNTIF('5. JSACI'!$M:$M,_xlpm.id),COUNTIF('6. AIN'!$M:$M,_xlpm.id),COUNTIF('7. MS'!$M:$M,_xlpm.id),COUNTIF('8. DS'!$M:$M,_xlpm.id),COUNTIF('9. RMF'!$M:$M,_xlpm.id),COUNTIF('10. PCU'!$M:$M,_xlpm.id))))</f>
        <v>0</v>
      </c>
    </row>
    <row r="67" spans="1:9">
      <c r="A67" t="s">
        <v>7095</v>
      </c>
      <c r="B67" t="s">
        <v>8135</v>
      </c>
      <c r="C67">
        <v>1830</v>
      </c>
      <c r="D67">
        <v>1</v>
      </c>
      <c r="E67" s="23">
        <v>23</v>
      </c>
      <c r="F67" t="s">
        <v>8102</v>
      </c>
      <c r="G67" t="s">
        <v>10484</v>
      </c>
      <c r="H67" t="s">
        <v>8021</v>
      </c>
      <c r="I67">
        <f>_xlfn.LET(_xlpm.id,TRIM($A67),IF(_xlpm.id="","",SUM(COUNTIF('1. OP'!$M:$M,_xlpm.id),COUNTIF('2. JSEL'!$M:$M,_xlpm.id),COUNTIF('3. PSM'!$M:$M,_xlpm.id),COUNTIF('4. SSP'!$M:$M,_xlpm.id),COUNTIF('5. JSACI'!$M:$M,_xlpm.id),COUNTIF('6. AIN'!$M:$M,_xlpm.id),COUNTIF('7. MS'!$M:$M,_xlpm.id),COUNTIF('8. DS'!$M:$M,_xlpm.id),COUNTIF('9. RMF'!$M:$M,_xlpm.id),COUNTIF('10. PCU'!$M:$M,_xlpm.id))))</f>
        <v>1</v>
      </c>
    </row>
    <row r="68" spans="1:9">
      <c r="A68" t="s">
        <v>5029</v>
      </c>
      <c r="B68" t="s">
        <v>8135</v>
      </c>
      <c r="C68">
        <v>1830</v>
      </c>
      <c r="D68">
        <v>1</v>
      </c>
      <c r="E68" s="23">
        <v>24</v>
      </c>
      <c r="F68" t="s">
        <v>8102</v>
      </c>
      <c r="G68" t="s">
        <v>10484</v>
      </c>
      <c r="H68" t="s">
        <v>8021</v>
      </c>
      <c r="I68">
        <f>_xlfn.LET(_xlpm.id,TRIM($A68),IF(_xlpm.id="","",SUM(COUNTIF('1. OP'!$M:$M,_xlpm.id),COUNTIF('2. JSEL'!$M:$M,_xlpm.id),COUNTIF('3. PSM'!$M:$M,_xlpm.id),COUNTIF('4. SSP'!$M:$M,_xlpm.id),COUNTIF('5. JSACI'!$M:$M,_xlpm.id),COUNTIF('6. AIN'!$M:$M,_xlpm.id),COUNTIF('7. MS'!$M:$M,_xlpm.id),COUNTIF('8. DS'!$M:$M,_xlpm.id),COUNTIF('9. RMF'!$M:$M,_xlpm.id),COUNTIF('10. PCU'!$M:$M,_xlpm.id))))</f>
        <v>2</v>
      </c>
    </row>
    <row r="69" spans="1:9">
      <c r="A69" t="s">
        <v>5024</v>
      </c>
      <c r="B69" t="s">
        <v>8135</v>
      </c>
      <c r="C69">
        <v>1831</v>
      </c>
      <c r="D69">
        <v>1</v>
      </c>
      <c r="E69" s="23">
        <v>25</v>
      </c>
      <c r="F69" t="s">
        <v>8102</v>
      </c>
      <c r="G69" t="s">
        <v>10484</v>
      </c>
      <c r="H69" t="s">
        <v>8021</v>
      </c>
      <c r="I69">
        <f>_xlfn.LET(_xlpm.id,TRIM($A69),IF(_xlpm.id="","",SUM(COUNTIF('1. OP'!$M:$M,_xlpm.id),COUNTIF('2. JSEL'!$M:$M,_xlpm.id),COUNTIF('3. PSM'!$M:$M,_xlpm.id),COUNTIF('4. SSP'!$M:$M,_xlpm.id),COUNTIF('5. JSACI'!$M:$M,_xlpm.id),COUNTIF('6. AIN'!$M:$M,_xlpm.id),COUNTIF('7. MS'!$M:$M,_xlpm.id),COUNTIF('8. DS'!$M:$M,_xlpm.id),COUNTIF('9. RMF'!$M:$M,_xlpm.id),COUNTIF('10. PCU'!$M:$M,_xlpm.id))))</f>
        <v>19</v>
      </c>
    </row>
    <row r="70" spans="1:9">
      <c r="A70" t="s">
        <v>7470</v>
      </c>
      <c r="B70" t="s">
        <v>8135</v>
      </c>
      <c r="C70">
        <v>1831</v>
      </c>
      <c r="D70">
        <v>1</v>
      </c>
      <c r="E70" s="23">
        <v>26</v>
      </c>
      <c r="F70" t="s">
        <v>8102</v>
      </c>
      <c r="G70" t="s">
        <v>10484</v>
      </c>
      <c r="H70" t="s">
        <v>8021</v>
      </c>
      <c r="I70">
        <f>_xlfn.LET(_xlpm.id,TRIM($A70),IF(_xlpm.id="","",SUM(COUNTIF('1. OP'!$M:$M,_xlpm.id),COUNTIF('2. JSEL'!$M:$M,_xlpm.id),COUNTIF('3. PSM'!$M:$M,_xlpm.id),COUNTIF('4. SSP'!$M:$M,_xlpm.id),COUNTIF('5. JSACI'!$M:$M,_xlpm.id),COUNTIF('6. AIN'!$M:$M,_xlpm.id),COUNTIF('7. MS'!$M:$M,_xlpm.id),COUNTIF('8. DS'!$M:$M,_xlpm.id),COUNTIF('9. RMF'!$M:$M,_xlpm.id),COUNTIF('10. PCU'!$M:$M,_xlpm.id))))</f>
        <v>1</v>
      </c>
    </row>
    <row r="71" spans="1:9">
      <c r="A71" t="s">
        <v>6965</v>
      </c>
      <c r="B71" t="s">
        <v>8135</v>
      </c>
      <c r="C71">
        <v>1831</v>
      </c>
      <c r="D71">
        <v>1</v>
      </c>
      <c r="E71" s="23">
        <v>27</v>
      </c>
      <c r="F71" t="s">
        <v>8102</v>
      </c>
      <c r="G71" t="s">
        <v>10484</v>
      </c>
      <c r="H71" t="s">
        <v>8021</v>
      </c>
      <c r="I71">
        <f>_xlfn.LET(_xlpm.id,TRIM($A71),IF(_xlpm.id="","",SUM(COUNTIF('1. OP'!$M:$M,_xlpm.id),COUNTIF('2. JSEL'!$M:$M,_xlpm.id),COUNTIF('3. PSM'!$M:$M,_xlpm.id),COUNTIF('4. SSP'!$M:$M,_xlpm.id),COUNTIF('5. JSACI'!$M:$M,_xlpm.id),COUNTIF('6. AIN'!$M:$M,_xlpm.id),COUNTIF('7. MS'!$M:$M,_xlpm.id),COUNTIF('8. DS'!$M:$M,_xlpm.id),COUNTIF('9. RMF'!$M:$M,_xlpm.id),COUNTIF('10. PCU'!$M:$M,_xlpm.id))))</f>
        <v>11</v>
      </c>
    </row>
    <row r="72" spans="1:9">
      <c r="A72" t="s">
        <v>8150</v>
      </c>
      <c r="B72" t="s">
        <v>8135</v>
      </c>
      <c r="C72">
        <v>1832</v>
      </c>
      <c r="D72">
        <v>1</v>
      </c>
      <c r="E72" s="23">
        <v>28</v>
      </c>
      <c r="F72" t="s">
        <v>8102</v>
      </c>
      <c r="G72" t="s">
        <v>10484</v>
      </c>
      <c r="H72" t="s">
        <v>8021</v>
      </c>
      <c r="I72">
        <f>_xlfn.LET(_xlpm.id,TRIM($A72),IF(_xlpm.id="","",SUM(COUNTIF('1. OP'!$M:$M,_xlpm.id),COUNTIF('2. JSEL'!$M:$M,_xlpm.id),COUNTIF('3. PSM'!$M:$M,_xlpm.id),COUNTIF('4. SSP'!$M:$M,_xlpm.id),COUNTIF('5. JSACI'!$M:$M,_xlpm.id),COUNTIF('6. AIN'!$M:$M,_xlpm.id),COUNTIF('7. MS'!$M:$M,_xlpm.id),COUNTIF('8. DS'!$M:$M,_xlpm.id),COUNTIF('9. RMF'!$M:$M,_xlpm.id),COUNTIF('10. PCU'!$M:$M,_xlpm.id))))</f>
        <v>0</v>
      </c>
    </row>
    <row r="73" spans="1:9">
      <c r="A73" t="s">
        <v>8151</v>
      </c>
      <c r="B73" t="s">
        <v>8135</v>
      </c>
      <c r="C73">
        <v>1832</v>
      </c>
      <c r="D73">
        <v>1</v>
      </c>
      <c r="E73" s="23">
        <v>29</v>
      </c>
      <c r="F73" t="s">
        <v>8102</v>
      </c>
      <c r="G73" t="s">
        <v>10484</v>
      </c>
      <c r="H73" t="s">
        <v>8021</v>
      </c>
      <c r="I73">
        <f>_xlfn.LET(_xlpm.id,TRIM($A73),IF(_xlpm.id="","",SUM(COUNTIF('1. OP'!$M:$M,_xlpm.id),COUNTIF('2. JSEL'!$M:$M,_xlpm.id),COUNTIF('3. PSM'!$M:$M,_xlpm.id),COUNTIF('4. SSP'!$M:$M,_xlpm.id),COUNTIF('5. JSACI'!$M:$M,_xlpm.id),COUNTIF('6. AIN'!$M:$M,_xlpm.id),COUNTIF('7. MS'!$M:$M,_xlpm.id),COUNTIF('8. DS'!$M:$M,_xlpm.id),COUNTIF('9. RMF'!$M:$M,_xlpm.id),COUNTIF('10. PCU'!$M:$M,_xlpm.id))))</f>
        <v>0</v>
      </c>
    </row>
    <row r="74" spans="1:9">
      <c r="A74" t="s">
        <v>8152</v>
      </c>
      <c r="B74" t="s">
        <v>8135</v>
      </c>
      <c r="C74">
        <v>1832</v>
      </c>
      <c r="D74">
        <v>1</v>
      </c>
      <c r="E74" s="23">
        <v>30</v>
      </c>
      <c r="F74" t="s">
        <v>8102</v>
      </c>
      <c r="G74" t="s">
        <v>10484</v>
      </c>
      <c r="H74" t="s">
        <v>8021</v>
      </c>
      <c r="I74">
        <f>_xlfn.LET(_xlpm.id,TRIM($A74),IF(_xlpm.id="","",SUM(COUNTIF('1. OP'!$M:$M,_xlpm.id),COUNTIF('2. JSEL'!$M:$M,_xlpm.id),COUNTIF('3. PSM'!$M:$M,_xlpm.id),COUNTIF('4. SSP'!$M:$M,_xlpm.id),COUNTIF('5. JSACI'!$M:$M,_xlpm.id),COUNTIF('6. AIN'!$M:$M,_xlpm.id),COUNTIF('7. MS'!$M:$M,_xlpm.id),COUNTIF('8. DS'!$M:$M,_xlpm.id),COUNTIF('9. RMF'!$M:$M,_xlpm.id),COUNTIF('10. PCU'!$M:$M,_xlpm.id))))</f>
        <v>0</v>
      </c>
    </row>
    <row r="75" spans="1:9">
      <c r="A75" t="s">
        <v>8153</v>
      </c>
      <c r="B75" t="s">
        <v>8135</v>
      </c>
      <c r="C75">
        <v>1833</v>
      </c>
      <c r="D75">
        <v>2</v>
      </c>
      <c r="E75" s="23">
        <v>1</v>
      </c>
      <c r="F75" t="s">
        <v>8102</v>
      </c>
      <c r="G75" t="s">
        <v>10484</v>
      </c>
      <c r="H75" t="s">
        <v>8021</v>
      </c>
      <c r="I75">
        <f>_xlfn.LET(_xlpm.id,TRIM($A75),IF(_xlpm.id="","",SUM(COUNTIF('1. OP'!$M:$M,_xlpm.id),COUNTIF('2. JSEL'!$M:$M,_xlpm.id),COUNTIF('3. PSM'!$M:$M,_xlpm.id),COUNTIF('4. SSP'!$M:$M,_xlpm.id),COUNTIF('5. JSACI'!$M:$M,_xlpm.id),COUNTIF('6. AIN'!$M:$M,_xlpm.id),COUNTIF('7. MS'!$M:$M,_xlpm.id),COUNTIF('8. DS'!$M:$M,_xlpm.id),COUNTIF('9. RMF'!$M:$M,_xlpm.id),COUNTIF('10. PCU'!$M:$M,_xlpm.id))))</f>
        <v>0</v>
      </c>
    </row>
    <row r="76" spans="1:9">
      <c r="A76" t="s">
        <v>8154</v>
      </c>
      <c r="B76" t="s">
        <v>8135</v>
      </c>
      <c r="C76">
        <v>1833</v>
      </c>
      <c r="D76">
        <v>2</v>
      </c>
      <c r="E76" s="23">
        <v>2</v>
      </c>
      <c r="F76" t="s">
        <v>8102</v>
      </c>
      <c r="G76" t="s">
        <v>10484</v>
      </c>
      <c r="H76" t="s">
        <v>8021</v>
      </c>
      <c r="I76">
        <f>_xlfn.LET(_xlpm.id,TRIM($A76),IF(_xlpm.id="","",SUM(COUNTIF('1. OP'!$M:$M,_xlpm.id),COUNTIF('2. JSEL'!$M:$M,_xlpm.id),COUNTIF('3. PSM'!$M:$M,_xlpm.id),COUNTIF('4. SSP'!$M:$M,_xlpm.id),COUNTIF('5. JSACI'!$M:$M,_xlpm.id),COUNTIF('6. AIN'!$M:$M,_xlpm.id),COUNTIF('7. MS'!$M:$M,_xlpm.id),COUNTIF('8. DS'!$M:$M,_xlpm.id),COUNTIF('9. RMF'!$M:$M,_xlpm.id),COUNTIF('10. PCU'!$M:$M,_xlpm.id))))</f>
        <v>0</v>
      </c>
    </row>
    <row r="77" spans="1:9">
      <c r="A77" t="s">
        <v>8155</v>
      </c>
      <c r="B77" t="s">
        <v>8135</v>
      </c>
      <c r="C77">
        <v>1833</v>
      </c>
      <c r="D77">
        <v>2</v>
      </c>
      <c r="E77" s="23">
        <v>3</v>
      </c>
      <c r="F77" t="s">
        <v>8102</v>
      </c>
      <c r="G77" t="s">
        <v>10484</v>
      </c>
      <c r="H77" t="s">
        <v>8021</v>
      </c>
      <c r="I77">
        <f>_xlfn.LET(_xlpm.id,TRIM($A77),IF(_xlpm.id="","",SUM(COUNTIF('1. OP'!$M:$M,_xlpm.id),COUNTIF('2. JSEL'!$M:$M,_xlpm.id),COUNTIF('3. PSM'!$M:$M,_xlpm.id),COUNTIF('4. SSP'!$M:$M,_xlpm.id),COUNTIF('5. JSACI'!$M:$M,_xlpm.id),COUNTIF('6. AIN'!$M:$M,_xlpm.id),COUNTIF('7. MS'!$M:$M,_xlpm.id),COUNTIF('8. DS'!$M:$M,_xlpm.id),COUNTIF('9. RMF'!$M:$M,_xlpm.id),COUNTIF('10. PCU'!$M:$M,_xlpm.id))))</f>
        <v>0</v>
      </c>
    </row>
    <row r="78" spans="1:9">
      <c r="A78" t="s">
        <v>8156</v>
      </c>
      <c r="B78" t="s">
        <v>8135</v>
      </c>
      <c r="C78">
        <v>1834</v>
      </c>
      <c r="D78">
        <v>2</v>
      </c>
      <c r="E78" s="23">
        <v>4</v>
      </c>
      <c r="F78" t="s">
        <v>8102</v>
      </c>
      <c r="G78" t="s">
        <v>10484</v>
      </c>
      <c r="H78" t="s">
        <v>8021</v>
      </c>
      <c r="I78">
        <f>_xlfn.LET(_xlpm.id,TRIM($A78),IF(_xlpm.id="","",SUM(COUNTIF('1. OP'!$M:$M,_xlpm.id),COUNTIF('2. JSEL'!$M:$M,_xlpm.id),COUNTIF('3. PSM'!$M:$M,_xlpm.id),COUNTIF('4. SSP'!$M:$M,_xlpm.id),COUNTIF('5. JSACI'!$M:$M,_xlpm.id),COUNTIF('6. AIN'!$M:$M,_xlpm.id),COUNTIF('7. MS'!$M:$M,_xlpm.id),COUNTIF('8. DS'!$M:$M,_xlpm.id),COUNTIF('9. RMF'!$M:$M,_xlpm.id),COUNTIF('10. PCU'!$M:$M,_xlpm.id))))</f>
        <v>0</v>
      </c>
    </row>
    <row r="79" spans="1:9">
      <c r="A79" t="s">
        <v>8157</v>
      </c>
      <c r="B79" t="s">
        <v>8135</v>
      </c>
      <c r="C79">
        <v>1834</v>
      </c>
      <c r="D79">
        <v>2</v>
      </c>
      <c r="E79" s="23">
        <v>5</v>
      </c>
      <c r="F79" t="s">
        <v>8102</v>
      </c>
      <c r="G79" t="s">
        <v>10484</v>
      </c>
      <c r="H79" t="s">
        <v>8021</v>
      </c>
      <c r="I79">
        <f>_xlfn.LET(_xlpm.id,TRIM($A79),IF(_xlpm.id="","",SUM(COUNTIF('1. OP'!$M:$M,_xlpm.id),COUNTIF('2. JSEL'!$M:$M,_xlpm.id),COUNTIF('3. PSM'!$M:$M,_xlpm.id),COUNTIF('4. SSP'!$M:$M,_xlpm.id),COUNTIF('5. JSACI'!$M:$M,_xlpm.id),COUNTIF('6. AIN'!$M:$M,_xlpm.id),COUNTIF('7. MS'!$M:$M,_xlpm.id),COUNTIF('8. DS'!$M:$M,_xlpm.id),COUNTIF('9. RMF'!$M:$M,_xlpm.id),COUNTIF('10. PCU'!$M:$M,_xlpm.id))))</f>
        <v>1</v>
      </c>
    </row>
    <row r="80" spans="1:9">
      <c r="A80" t="s">
        <v>8158</v>
      </c>
      <c r="B80" t="s">
        <v>8135</v>
      </c>
      <c r="C80">
        <v>1834</v>
      </c>
      <c r="D80">
        <v>2</v>
      </c>
      <c r="E80" s="23">
        <v>6</v>
      </c>
      <c r="F80" t="s">
        <v>8102</v>
      </c>
      <c r="G80" t="s">
        <v>10484</v>
      </c>
      <c r="H80" t="s">
        <v>8021</v>
      </c>
      <c r="I80">
        <f>_xlfn.LET(_xlpm.id,TRIM($A80),IF(_xlpm.id="","",SUM(COUNTIF('1. OP'!$M:$M,_xlpm.id),COUNTIF('2. JSEL'!$M:$M,_xlpm.id),COUNTIF('3. PSM'!$M:$M,_xlpm.id),COUNTIF('4. SSP'!$M:$M,_xlpm.id),COUNTIF('5. JSACI'!$M:$M,_xlpm.id),COUNTIF('6. AIN'!$M:$M,_xlpm.id),COUNTIF('7. MS'!$M:$M,_xlpm.id),COUNTIF('8. DS'!$M:$M,_xlpm.id),COUNTIF('9. RMF'!$M:$M,_xlpm.id),COUNTIF('10. PCU'!$M:$M,_xlpm.id))))</f>
        <v>0</v>
      </c>
    </row>
    <row r="81" spans="1:9">
      <c r="A81" t="s">
        <v>8159</v>
      </c>
      <c r="B81" t="s">
        <v>8135</v>
      </c>
      <c r="C81">
        <v>1835</v>
      </c>
      <c r="D81">
        <v>2</v>
      </c>
      <c r="E81" s="23">
        <v>7</v>
      </c>
      <c r="F81" t="s">
        <v>8102</v>
      </c>
      <c r="G81" t="s">
        <v>10484</v>
      </c>
      <c r="H81" t="s">
        <v>8021</v>
      </c>
      <c r="I81">
        <f>_xlfn.LET(_xlpm.id,TRIM($A81),IF(_xlpm.id="","",SUM(COUNTIF('1. OP'!$M:$M,_xlpm.id),COUNTIF('2. JSEL'!$M:$M,_xlpm.id),COUNTIF('3. PSM'!$M:$M,_xlpm.id),COUNTIF('4. SSP'!$M:$M,_xlpm.id),COUNTIF('5. JSACI'!$M:$M,_xlpm.id),COUNTIF('6. AIN'!$M:$M,_xlpm.id),COUNTIF('7. MS'!$M:$M,_xlpm.id),COUNTIF('8. DS'!$M:$M,_xlpm.id),COUNTIF('9. RMF'!$M:$M,_xlpm.id),COUNTIF('10. PCU'!$M:$M,_xlpm.id))))</f>
        <v>0</v>
      </c>
    </row>
    <row r="82" spans="1:9">
      <c r="A82" t="s">
        <v>8160</v>
      </c>
      <c r="B82" t="s">
        <v>8135</v>
      </c>
      <c r="C82">
        <v>1835</v>
      </c>
      <c r="D82">
        <v>2</v>
      </c>
      <c r="E82" s="23">
        <v>8</v>
      </c>
      <c r="F82" t="s">
        <v>8102</v>
      </c>
      <c r="G82" t="s">
        <v>10484</v>
      </c>
      <c r="H82" t="s">
        <v>8021</v>
      </c>
      <c r="I82">
        <f>_xlfn.LET(_xlpm.id,TRIM($A82),IF(_xlpm.id="","",SUM(COUNTIF('1. OP'!$M:$M,_xlpm.id),COUNTIF('2. JSEL'!$M:$M,_xlpm.id),COUNTIF('3. PSM'!$M:$M,_xlpm.id),COUNTIF('4. SSP'!$M:$M,_xlpm.id),COUNTIF('5. JSACI'!$M:$M,_xlpm.id),COUNTIF('6. AIN'!$M:$M,_xlpm.id),COUNTIF('7. MS'!$M:$M,_xlpm.id),COUNTIF('8. DS'!$M:$M,_xlpm.id),COUNTIF('9. RMF'!$M:$M,_xlpm.id),COUNTIF('10. PCU'!$M:$M,_xlpm.id))))</f>
        <v>0</v>
      </c>
    </row>
    <row r="83" spans="1:9">
      <c r="A83" t="s">
        <v>8161</v>
      </c>
      <c r="B83" t="s">
        <v>8135</v>
      </c>
      <c r="C83">
        <v>1835</v>
      </c>
      <c r="D83">
        <v>2</v>
      </c>
      <c r="E83" s="23">
        <v>9</v>
      </c>
      <c r="F83" t="s">
        <v>8102</v>
      </c>
      <c r="G83" t="s">
        <v>10484</v>
      </c>
      <c r="H83" t="s">
        <v>8021</v>
      </c>
      <c r="I83">
        <f>_xlfn.LET(_xlpm.id,TRIM($A83),IF(_xlpm.id="","",SUM(COUNTIF('1. OP'!$M:$M,_xlpm.id),COUNTIF('2. JSEL'!$M:$M,_xlpm.id),COUNTIF('3. PSM'!$M:$M,_xlpm.id),COUNTIF('4. SSP'!$M:$M,_xlpm.id),COUNTIF('5. JSACI'!$M:$M,_xlpm.id),COUNTIF('6. AIN'!$M:$M,_xlpm.id),COUNTIF('7. MS'!$M:$M,_xlpm.id),COUNTIF('8. DS'!$M:$M,_xlpm.id),COUNTIF('9. RMF'!$M:$M,_xlpm.id),COUNTIF('10. PCU'!$M:$M,_xlpm.id))))</f>
        <v>0</v>
      </c>
    </row>
    <row r="84" spans="1:9">
      <c r="A84" t="s">
        <v>8162</v>
      </c>
      <c r="B84" t="s">
        <v>8135</v>
      </c>
      <c r="C84">
        <v>1836</v>
      </c>
      <c r="D84">
        <v>2</v>
      </c>
      <c r="E84" s="23">
        <v>10</v>
      </c>
      <c r="F84" t="s">
        <v>8102</v>
      </c>
      <c r="G84" t="s">
        <v>10484</v>
      </c>
      <c r="H84" t="s">
        <v>8021</v>
      </c>
      <c r="I84">
        <f>_xlfn.LET(_xlpm.id,TRIM($A84),IF(_xlpm.id="","",SUM(COUNTIF('1. OP'!$M:$M,_xlpm.id),COUNTIF('2. JSEL'!$M:$M,_xlpm.id),COUNTIF('3. PSM'!$M:$M,_xlpm.id),COUNTIF('4. SSP'!$M:$M,_xlpm.id),COUNTIF('5. JSACI'!$M:$M,_xlpm.id),COUNTIF('6. AIN'!$M:$M,_xlpm.id),COUNTIF('7. MS'!$M:$M,_xlpm.id),COUNTIF('8. DS'!$M:$M,_xlpm.id),COUNTIF('9. RMF'!$M:$M,_xlpm.id),COUNTIF('10. PCU'!$M:$M,_xlpm.id))))</f>
        <v>0</v>
      </c>
    </row>
    <row r="85" spans="1:9">
      <c r="A85" t="s">
        <v>8163</v>
      </c>
      <c r="B85" t="s">
        <v>8135</v>
      </c>
      <c r="C85">
        <v>1836</v>
      </c>
      <c r="D85">
        <v>2</v>
      </c>
      <c r="E85" s="23">
        <v>11</v>
      </c>
      <c r="F85" t="s">
        <v>8102</v>
      </c>
      <c r="G85" t="s">
        <v>10484</v>
      </c>
      <c r="H85" t="s">
        <v>8021</v>
      </c>
      <c r="I85">
        <f>_xlfn.LET(_xlpm.id,TRIM($A85),IF(_xlpm.id="","",SUM(COUNTIF('1. OP'!$M:$M,_xlpm.id),COUNTIF('2. JSEL'!$M:$M,_xlpm.id),COUNTIF('3. PSM'!$M:$M,_xlpm.id),COUNTIF('4. SSP'!$M:$M,_xlpm.id),COUNTIF('5. JSACI'!$M:$M,_xlpm.id),COUNTIF('6. AIN'!$M:$M,_xlpm.id),COUNTIF('7. MS'!$M:$M,_xlpm.id),COUNTIF('8. DS'!$M:$M,_xlpm.id),COUNTIF('9. RMF'!$M:$M,_xlpm.id),COUNTIF('10. PCU'!$M:$M,_xlpm.id))))</f>
        <v>0</v>
      </c>
    </row>
    <row r="86" spans="1:9">
      <c r="A86" t="s">
        <v>8164</v>
      </c>
      <c r="B86" t="s">
        <v>8135</v>
      </c>
      <c r="C86">
        <v>1836</v>
      </c>
      <c r="D86">
        <v>2</v>
      </c>
      <c r="E86" s="23">
        <v>12</v>
      </c>
      <c r="F86" t="s">
        <v>8102</v>
      </c>
      <c r="G86" t="s">
        <v>10484</v>
      </c>
      <c r="H86" t="s">
        <v>8021</v>
      </c>
      <c r="I86">
        <f>_xlfn.LET(_xlpm.id,TRIM($A86),IF(_xlpm.id="","",SUM(COUNTIF('1. OP'!$M:$M,_xlpm.id),COUNTIF('2. JSEL'!$M:$M,_xlpm.id),COUNTIF('3. PSM'!$M:$M,_xlpm.id),COUNTIF('4. SSP'!$M:$M,_xlpm.id),COUNTIF('5. JSACI'!$M:$M,_xlpm.id),COUNTIF('6. AIN'!$M:$M,_xlpm.id),COUNTIF('7. MS'!$M:$M,_xlpm.id),COUNTIF('8. DS'!$M:$M,_xlpm.id),COUNTIF('9. RMF'!$M:$M,_xlpm.id),COUNTIF('10. PCU'!$M:$M,_xlpm.id))))</f>
        <v>0</v>
      </c>
    </row>
    <row r="87" spans="1:9">
      <c r="A87" t="s">
        <v>7466</v>
      </c>
      <c r="B87" t="s">
        <v>8135</v>
      </c>
      <c r="C87">
        <v>1837</v>
      </c>
      <c r="D87">
        <v>2</v>
      </c>
      <c r="E87" s="23">
        <v>13</v>
      </c>
      <c r="F87" t="s">
        <v>8102</v>
      </c>
      <c r="G87" t="s">
        <v>10484</v>
      </c>
      <c r="H87" t="s">
        <v>8021</v>
      </c>
      <c r="I87">
        <f>_xlfn.LET(_xlpm.id,TRIM($A87),IF(_xlpm.id="","",SUM(COUNTIF('1. OP'!$M:$M,_xlpm.id),COUNTIF('2. JSEL'!$M:$M,_xlpm.id),COUNTIF('3. PSM'!$M:$M,_xlpm.id),COUNTIF('4. SSP'!$M:$M,_xlpm.id),COUNTIF('5. JSACI'!$M:$M,_xlpm.id),COUNTIF('6. AIN'!$M:$M,_xlpm.id),COUNTIF('7. MS'!$M:$M,_xlpm.id),COUNTIF('8. DS'!$M:$M,_xlpm.id),COUNTIF('9. RMF'!$M:$M,_xlpm.id),COUNTIF('10. PCU'!$M:$M,_xlpm.id))))</f>
        <v>2</v>
      </c>
    </row>
    <row r="88" spans="1:9">
      <c r="A88" t="s">
        <v>8165</v>
      </c>
      <c r="B88" t="s">
        <v>8135</v>
      </c>
      <c r="C88">
        <v>1837</v>
      </c>
      <c r="D88">
        <v>2</v>
      </c>
      <c r="E88" s="23">
        <v>14</v>
      </c>
      <c r="F88" t="s">
        <v>8102</v>
      </c>
      <c r="G88" t="s">
        <v>10484</v>
      </c>
      <c r="H88" t="s">
        <v>8021</v>
      </c>
      <c r="I88">
        <f>_xlfn.LET(_xlpm.id,TRIM($A88),IF(_xlpm.id="","",SUM(COUNTIF('1. OP'!$M:$M,_xlpm.id),COUNTIF('2. JSEL'!$M:$M,_xlpm.id),COUNTIF('3. PSM'!$M:$M,_xlpm.id),COUNTIF('4. SSP'!$M:$M,_xlpm.id),COUNTIF('5. JSACI'!$M:$M,_xlpm.id),COUNTIF('6. AIN'!$M:$M,_xlpm.id),COUNTIF('7. MS'!$M:$M,_xlpm.id),COUNTIF('8. DS'!$M:$M,_xlpm.id),COUNTIF('9. RMF'!$M:$M,_xlpm.id),COUNTIF('10. PCU'!$M:$M,_xlpm.id))))</f>
        <v>0</v>
      </c>
    </row>
    <row r="89" spans="1:9">
      <c r="A89" t="s">
        <v>8166</v>
      </c>
      <c r="B89" t="s">
        <v>8135</v>
      </c>
      <c r="C89">
        <v>1837</v>
      </c>
      <c r="D89">
        <v>2</v>
      </c>
      <c r="E89" s="23">
        <v>15</v>
      </c>
      <c r="F89" t="s">
        <v>8102</v>
      </c>
      <c r="G89" t="s">
        <v>10484</v>
      </c>
      <c r="H89" t="s">
        <v>8021</v>
      </c>
      <c r="I89">
        <f>_xlfn.LET(_xlpm.id,TRIM($A89),IF(_xlpm.id="","",SUM(COUNTIF('1. OP'!$M:$M,_xlpm.id),COUNTIF('2. JSEL'!$M:$M,_xlpm.id),COUNTIF('3. PSM'!$M:$M,_xlpm.id),COUNTIF('4. SSP'!$M:$M,_xlpm.id),COUNTIF('5. JSACI'!$M:$M,_xlpm.id),COUNTIF('6. AIN'!$M:$M,_xlpm.id),COUNTIF('7. MS'!$M:$M,_xlpm.id),COUNTIF('8. DS'!$M:$M,_xlpm.id),COUNTIF('9. RMF'!$M:$M,_xlpm.id),COUNTIF('10. PCU'!$M:$M,_xlpm.id))))</f>
        <v>0</v>
      </c>
    </row>
    <row r="90" spans="1:9">
      <c r="A90" t="s">
        <v>8167</v>
      </c>
      <c r="B90" t="s">
        <v>8135</v>
      </c>
      <c r="C90">
        <v>1837</v>
      </c>
      <c r="D90">
        <v>3</v>
      </c>
      <c r="E90" s="23">
        <v>1</v>
      </c>
      <c r="F90" t="s">
        <v>8102</v>
      </c>
      <c r="G90" t="s">
        <v>10484</v>
      </c>
      <c r="H90" t="s">
        <v>8021</v>
      </c>
      <c r="I90">
        <f>_xlfn.LET(_xlpm.id,TRIM($A90),IF(_xlpm.id="","",SUM(COUNTIF('1. OP'!$M:$M,_xlpm.id),COUNTIF('2. JSEL'!$M:$M,_xlpm.id),COUNTIF('3. PSM'!$M:$M,_xlpm.id),COUNTIF('4. SSP'!$M:$M,_xlpm.id),COUNTIF('5. JSACI'!$M:$M,_xlpm.id),COUNTIF('6. AIN'!$M:$M,_xlpm.id),COUNTIF('7. MS'!$M:$M,_xlpm.id),COUNTIF('8. DS'!$M:$M,_xlpm.id),COUNTIF('9. RMF'!$M:$M,_xlpm.id),COUNTIF('10. PCU'!$M:$M,_xlpm.id))))</f>
        <v>0</v>
      </c>
    </row>
    <row r="91" spans="1:9">
      <c r="A91" t="s">
        <v>8168</v>
      </c>
      <c r="B91" t="s">
        <v>8135</v>
      </c>
      <c r="C91">
        <v>1837</v>
      </c>
      <c r="D91">
        <v>3</v>
      </c>
      <c r="E91" s="23">
        <v>2</v>
      </c>
      <c r="F91" t="s">
        <v>8102</v>
      </c>
      <c r="G91" t="s">
        <v>10484</v>
      </c>
      <c r="H91" t="s">
        <v>8021</v>
      </c>
      <c r="I91">
        <f>_xlfn.LET(_xlpm.id,TRIM($A91),IF(_xlpm.id="","",SUM(COUNTIF('1. OP'!$M:$M,_xlpm.id),COUNTIF('2. JSEL'!$M:$M,_xlpm.id),COUNTIF('3. PSM'!$M:$M,_xlpm.id),COUNTIF('4. SSP'!$M:$M,_xlpm.id),COUNTIF('5. JSACI'!$M:$M,_xlpm.id),COUNTIF('6. AIN'!$M:$M,_xlpm.id),COUNTIF('7. MS'!$M:$M,_xlpm.id),COUNTIF('8. DS'!$M:$M,_xlpm.id),COUNTIF('9. RMF'!$M:$M,_xlpm.id),COUNTIF('10. PCU'!$M:$M,_xlpm.id))))</f>
        <v>0</v>
      </c>
    </row>
    <row r="92" spans="1:9">
      <c r="A92" t="s">
        <v>8169</v>
      </c>
      <c r="B92" t="s">
        <v>8135</v>
      </c>
      <c r="C92">
        <v>1837</v>
      </c>
      <c r="D92">
        <v>3</v>
      </c>
      <c r="E92" s="23">
        <v>3</v>
      </c>
      <c r="F92" t="s">
        <v>8102</v>
      </c>
      <c r="G92" t="s">
        <v>10484</v>
      </c>
      <c r="H92" t="s">
        <v>8021</v>
      </c>
      <c r="I92">
        <f>_xlfn.LET(_xlpm.id,TRIM($A92),IF(_xlpm.id="","",SUM(COUNTIF('1. OP'!$M:$M,_xlpm.id),COUNTIF('2. JSEL'!$M:$M,_xlpm.id),COUNTIF('3. PSM'!$M:$M,_xlpm.id),COUNTIF('4. SSP'!$M:$M,_xlpm.id),COUNTIF('5. JSACI'!$M:$M,_xlpm.id),COUNTIF('6. AIN'!$M:$M,_xlpm.id),COUNTIF('7. MS'!$M:$M,_xlpm.id),COUNTIF('8. DS'!$M:$M,_xlpm.id),COUNTIF('9. RMF'!$M:$M,_xlpm.id),COUNTIF('10. PCU'!$M:$M,_xlpm.id))))</f>
        <v>0</v>
      </c>
    </row>
    <row r="93" spans="1:9">
      <c r="A93" t="s">
        <v>8170</v>
      </c>
      <c r="B93" t="s">
        <v>8135</v>
      </c>
      <c r="C93">
        <v>1838</v>
      </c>
      <c r="D93">
        <v>3</v>
      </c>
      <c r="E93" s="23">
        <v>1</v>
      </c>
      <c r="F93" t="s">
        <v>8102</v>
      </c>
      <c r="G93" t="s">
        <v>10484</v>
      </c>
      <c r="H93" t="s">
        <v>8021</v>
      </c>
      <c r="I93">
        <f>_xlfn.LET(_xlpm.id,TRIM($A93),IF(_xlpm.id="","",SUM(COUNTIF('1. OP'!$M:$M,_xlpm.id),COUNTIF('2. JSEL'!$M:$M,_xlpm.id),COUNTIF('3. PSM'!$M:$M,_xlpm.id),COUNTIF('4. SSP'!$M:$M,_xlpm.id),COUNTIF('5. JSACI'!$M:$M,_xlpm.id),COUNTIF('6. AIN'!$M:$M,_xlpm.id),COUNTIF('7. MS'!$M:$M,_xlpm.id),COUNTIF('8. DS'!$M:$M,_xlpm.id),COUNTIF('9. RMF'!$M:$M,_xlpm.id),COUNTIF('10. PCU'!$M:$M,_xlpm.id))))</f>
        <v>0</v>
      </c>
    </row>
    <row r="94" spans="1:9">
      <c r="A94" t="s">
        <v>8171</v>
      </c>
      <c r="B94" t="s">
        <v>8135</v>
      </c>
      <c r="C94">
        <v>1838</v>
      </c>
      <c r="D94">
        <v>3</v>
      </c>
      <c r="E94" s="23">
        <v>2</v>
      </c>
      <c r="F94" t="s">
        <v>8102</v>
      </c>
      <c r="G94" t="s">
        <v>10484</v>
      </c>
      <c r="H94" t="s">
        <v>8021</v>
      </c>
      <c r="I94">
        <f>_xlfn.LET(_xlpm.id,TRIM($A94),IF(_xlpm.id="","",SUM(COUNTIF('1. OP'!$M:$M,_xlpm.id),COUNTIF('2. JSEL'!$M:$M,_xlpm.id),COUNTIF('3. PSM'!$M:$M,_xlpm.id),COUNTIF('4. SSP'!$M:$M,_xlpm.id),COUNTIF('5. JSACI'!$M:$M,_xlpm.id),COUNTIF('6. AIN'!$M:$M,_xlpm.id),COUNTIF('7. MS'!$M:$M,_xlpm.id),COUNTIF('8. DS'!$M:$M,_xlpm.id),COUNTIF('9. RMF'!$M:$M,_xlpm.id),COUNTIF('10. PCU'!$M:$M,_xlpm.id))))</f>
        <v>0</v>
      </c>
    </row>
    <row r="95" spans="1:9">
      <c r="A95" t="s">
        <v>8172</v>
      </c>
      <c r="B95" t="s">
        <v>8135</v>
      </c>
      <c r="C95">
        <v>1838</v>
      </c>
      <c r="D95">
        <v>3</v>
      </c>
      <c r="E95" s="23">
        <v>3</v>
      </c>
      <c r="F95" t="s">
        <v>8102</v>
      </c>
      <c r="G95" t="s">
        <v>10484</v>
      </c>
      <c r="H95" t="s">
        <v>8021</v>
      </c>
      <c r="I95">
        <f>_xlfn.LET(_xlpm.id,TRIM($A95),IF(_xlpm.id="","",SUM(COUNTIF('1. OP'!$M:$M,_xlpm.id),COUNTIF('2. JSEL'!$M:$M,_xlpm.id),COUNTIF('3. PSM'!$M:$M,_xlpm.id),COUNTIF('4. SSP'!$M:$M,_xlpm.id),COUNTIF('5. JSACI'!$M:$M,_xlpm.id),COUNTIF('6. AIN'!$M:$M,_xlpm.id),COUNTIF('7. MS'!$M:$M,_xlpm.id),COUNTIF('8. DS'!$M:$M,_xlpm.id),COUNTIF('9. RMF'!$M:$M,_xlpm.id),COUNTIF('10. PCU'!$M:$M,_xlpm.id))))</f>
        <v>0</v>
      </c>
    </row>
    <row r="96" spans="1:9">
      <c r="A96" t="s">
        <v>8173</v>
      </c>
      <c r="B96" t="s">
        <v>8135</v>
      </c>
      <c r="C96">
        <v>1839</v>
      </c>
      <c r="D96">
        <v>3</v>
      </c>
      <c r="E96" s="23">
        <v>4</v>
      </c>
      <c r="F96" t="s">
        <v>8102</v>
      </c>
      <c r="G96" t="s">
        <v>10484</v>
      </c>
      <c r="H96" t="s">
        <v>8021</v>
      </c>
      <c r="I96">
        <f>_xlfn.LET(_xlpm.id,TRIM($A96),IF(_xlpm.id="","",SUM(COUNTIF('1. OP'!$M:$M,_xlpm.id),COUNTIF('2. JSEL'!$M:$M,_xlpm.id),COUNTIF('3. PSM'!$M:$M,_xlpm.id),COUNTIF('4. SSP'!$M:$M,_xlpm.id),COUNTIF('5. JSACI'!$M:$M,_xlpm.id),COUNTIF('6. AIN'!$M:$M,_xlpm.id),COUNTIF('7. MS'!$M:$M,_xlpm.id),COUNTIF('8. DS'!$M:$M,_xlpm.id),COUNTIF('9. RMF'!$M:$M,_xlpm.id),COUNTIF('10. PCU'!$M:$M,_xlpm.id))))</f>
        <v>1</v>
      </c>
    </row>
    <row r="97" spans="1:9">
      <c r="A97" t="s">
        <v>7553</v>
      </c>
      <c r="B97" t="s">
        <v>8135</v>
      </c>
      <c r="C97">
        <v>1839</v>
      </c>
      <c r="D97">
        <v>3</v>
      </c>
      <c r="E97" s="23">
        <v>5</v>
      </c>
      <c r="F97" t="s">
        <v>8102</v>
      </c>
      <c r="G97" t="s">
        <v>10484</v>
      </c>
      <c r="H97" t="s">
        <v>8021</v>
      </c>
      <c r="I97">
        <f>_xlfn.LET(_xlpm.id,TRIM($A97),IF(_xlpm.id="","",SUM(COUNTIF('1. OP'!$M:$M,_xlpm.id),COUNTIF('2. JSEL'!$M:$M,_xlpm.id),COUNTIF('3. PSM'!$M:$M,_xlpm.id),COUNTIF('4. SSP'!$M:$M,_xlpm.id),COUNTIF('5. JSACI'!$M:$M,_xlpm.id),COUNTIF('6. AIN'!$M:$M,_xlpm.id),COUNTIF('7. MS'!$M:$M,_xlpm.id),COUNTIF('8. DS'!$M:$M,_xlpm.id),COUNTIF('9. RMF'!$M:$M,_xlpm.id),COUNTIF('10. PCU'!$M:$M,_xlpm.id))))</f>
        <v>1</v>
      </c>
    </row>
    <row r="98" spans="1:9">
      <c r="A98" t="s">
        <v>8174</v>
      </c>
      <c r="B98" t="s">
        <v>8135</v>
      </c>
      <c r="C98">
        <v>1839</v>
      </c>
      <c r="D98">
        <v>3</v>
      </c>
      <c r="E98" s="23">
        <v>6</v>
      </c>
      <c r="F98" t="s">
        <v>8102</v>
      </c>
      <c r="G98" t="s">
        <v>10484</v>
      </c>
      <c r="H98" t="s">
        <v>8021</v>
      </c>
      <c r="I98">
        <f>_xlfn.LET(_xlpm.id,TRIM($A98),IF(_xlpm.id="","",SUM(COUNTIF('1. OP'!$M:$M,_xlpm.id),COUNTIF('2. JSEL'!$M:$M,_xlpm.id),COUNTIF('3. PSM'!$M:$M,_xlpm.id),COUNTIF('4. SSP'!$M:$M,_xlpm.id),COUNTIF('5. JSACI'!$M:$M,_xlpm.id),COUNTIF('6. AIN'!$M:$M,_xlpm.id),COUNTIF('7. MS'!$M:$M,_xlpm.id),COUNTIF('8. DS'!$M:$M,_xlpm.id),COUNTIF('9. RMF'!$M:$M,_xlpm.id),COUNTIF('10. PCU'!$M:$M,_xlpm.id))))</f>
        <v>0</v>
      </c>
    </row>
    <row r="99" spans="1:9">
      <c r="A99" t="s">
        <v>8175</v>
      </c>
      <c r="B99" t="s">
        <v>8135</v>
      </c>
      <c r="C99">
        <v>1840</v>
      </c>
      <c r="D99">
        <v>3</v>
      </c>
      <c r="E99" s="23">
        <v>7</v>
      </c>
      <c r="F99" t="s">
        <v>8102</v>
      </c>
      <c r="G99" t="s">
        <v>10484</v>
      </c>
      <c r="H99" t="s">
        <v>8021</v>
      </c>
      <c r="I99">
        <f>_xlfn.LET(_xlpm.id,TRIM($A99),IF(_xlpm.id="","",SUM(COUNTIF('1. OP'!$M:$M,_xlpm.id),COUNTIF('2. JSEL'!$M:$M,_xlpm.id),COUNTIF('3. PSM'!$M:$M,_xlpm.id),COUNTIF('4. SSP'!$M:$M,_xlpm.id),COUNTIF('5. JSACI'!$M:$M,_xlpm.id),COUNTIF('6. AIN'!$M:$M,_xlpm.id),COUNTIF('7. MS'!$M:$M,_xlpm.id),COUNTIF('8. DS'!$M:$M,_xlpm.id),COUNTIF('9. RMF'!$M:$M,_xlpm.id),COUNTIF('10. PCU'!$M:$M,_xlpm.id))))</f>
        <v>0</v>
      </c>
    </row>
    <row r="100" spans="1:9">
      <c r="A100" t="s">
        <v>8176</v>
      </c>
      <c r="B100" t="s">
        <v>8135</v>
      </c>
      <c r="C100">
        <v>1840</v>
      </c>
      <c r="D100">
        <v>3</v>
      </c>
      <c r="E100" s="23">
        <v>8</v>
      </c>
      <c r="F100" t="s">
        <v>8102</v>
      </c>
      <c r="G100" t="s">
        <v>10484</v>
      </c>
      <c r="H100" t="s">
        <v>8021</v>
      </c>
      <c r="I100">
        <f>_xlfn.LET(_xlpm.id,TRIM($A100),IF(_xlpm.id="","",SUM(COUNTIF('1. OP'!$M:$M,_xlpm.id),COUNTIF('2. JSEL'!$M:$M,_xlpm.id),COUNTIF('3. PSM'!$M:$M,_xlpm.id),COUNTIF('4. SSP'!$M:$M,_xlpm.id),COUNTIF('5. JSACI'!$M:$M,_xlpm.id),COUNTIF('6. AIN'!$M:$M,_xlpm.id),COUNTIF('7. MS'!$M:$M,_xlpm.id),COUNTIF('8. DS'!$M:$M,_xlpm.id),COUNTIF('9. RMF'!$M:$M,_xlpm.id),COUNTIF('10. PCU'!$M:$M,_xlpm.id))))</f>
        <v>0</v>
      </c>
    </row>
    <row r="101" spans="1:9">
      <c r="A101" t="s">
        <v>8177</v>
      </c>
      <c r="B101" t="s">
        <v>8135</v>
      </c>
      <c r="C101">
        <v>1840</v>
      </c>
      <c r="D101">
        <v>3</v>
      </c>
      <c r="E101" s="23">
        <v>9</v>
      </c>
      <c r="F101" t="s">
        <v>8102</v>
      </c>
      <c r="G101" t="s">
        <v>10484</v>
      </c>
      <c r="H101" t="s">
        <v>8021</v>
      </c>
      <c r="I101">
        <f>_xlfn.LET(_xlpm.id,TRIM($A101),IF(_xlpm.id="","",SUM(COUNTIF('1. OP'!$M:$M,_xlpm.id),COUNTIF('2. JSEL'!$M:$M,_xlpm.id),COUNTIF('3. PSM'!$M:$M,_xlpm.id),COUNTIF('4. SSP'!$M:$M,_xlpm.id),COUNTIF('5. JSACI'!$M:$M,_xlpm.id),COUNTIF('6. AIN'!$M:$M,_xlpm.id),COUNTIF('7. MS'!$M:$M,_xlpm.id),COUNTIF('8. DS'!$M:$M,_xlpm.id),COUNTIF('9. RMF'!$M:$M,_xlpm.id),COUNTIF('10. PCU'!$M:$M,_xlpm.id))))</f>
        <v>0</v>
      </c>
    </row>
    <row r="102" spans="1:9">
      <c r="A102" t="s">
        <v>8178</v>
      </c>
      <c r="B102" t="s">
        <v>8179</v>
      </c>
      <c r="C102">
        <v>1824</v>
      </c>
      <c r="D102">
        <v>1</v>
      </c>
      <c r="E102" s="23">
        <v>1</v>
      </c>
      <c r="F102" t="s">
        <v>8102</v>
      </c>
      <c r="G102" t="s">
        <v>10484</v>
      </c>
      <c r="H102" t="s">
        <v>8021</v>
      </c>
      <c r="I102">
        <f>_xlfn.LET(_xlpm.id,TRIM($A102),IF(_xlpm.id="","",SUM(COUNTIF('1. OP'!$M:$M,_xlpm.id),COUNTIF('2. JSEL'!$M:$M,_xlpm.id),COUNTIF('3. PSM'!$M:$M,_xlpm.id),COUNTIF('4. SSP'!$M:$M,_xlpm.id),COUNTIF('5. JSACI'!$M:$M,_xlpm.id),COUNTIF('6. AIN'!$M:$M,_xlpm.id),COUNTIF('7. MS'!$M:$M,_xlpm.id),COUNTIF('8. DS'!$M:$M,_xlpm.id),COUNTIF('9. RMF'!$M:$M,_xlpm.id),COUNTIF('10. PCU'!$M:$M,_xlpm.id))))</f>
        <v>0</v>
      </c>
    </row>
    <row r="103" spans="1:9">
      <c r="A103" t="s">
        <v>6397</v>
      </c>
      <c r="B103" t="s">
        <v>8179</v>
      </c>
      <c r="C103">
        <v>1824</v>
      </c>
      <c r="D103">
        <v>1</v>
      </c>
      <c r="E103" s="23">
        <v>2</v>
      </c>
      <c r="F103" t="s">
        <v>8102</v>
      </c>
      <c r="G103" t="s">
        <v>10484</v>
      </c>
      <c r="H103" t="s">
        <v>8021</v>
      </c>
      <c r="I103">
        <f>_xlfn.LET(_xlpm.id,TRIM($A103),IF(_xlpm.id="","",SUM(COUNTIF('1. OP'!$M:$M,_xlpm.id),COUNTIF('2. JSEL'!$M:$M,_xlpm.id),COUNTIF('3. PSM'!$M:$M,_xlpm.id),COUNTIF('4. SSP'!$M:$M,_xlpm.id),COUNTIF('5. JSACI'!$M:$M,_xlpm.id),COUNTIF('6. AIN'!$M:$M,_xlpm.id),COUNTIF('7. MS'!$M:$M,_xlpm.id),COUNTIF('8. DS'!$M:$M,_xlpm.id),COUNTIF('9. RMF'!$M:$M,_xlpm.id),COUNTIF('10. PCU'!$M:$M,_xlpm.id))))</f>
        <v>2</v>
      </c>
    </row>
    <row r="104" spans="1:9">
      <c r="A104" t="s">
        <v>8180</v>
      </c>
      <c r="B104" t="s">
        <v>8179</v>
      </c>
      <c r="C104">
        <v>1824</v>
      </c>
      <c r="D104">
        <v>1</v>
      </c>
      <c r="E104" s="23">
        <v>3</v>
      </c>
      <c r="F104" t="s">
        <v>8102</v>
      </c>
      <c r="G104" t="s">
        <v>10484</v>
      </c>
      <c r="H104" t="s">
        <v>8021</v>
      </c>
      <c r="I104">
        <f>_xlfn.LET(_xlpm.id,TRIM($A104),IF(_xlpm.id="","",SUM(COUNTIF('1. OP'!$M:$M,_xlpm.id),COUNTIF('2. JSEL'!$M:$M,_xlpm.id),COUNTIF('3. PSM'!$M:$M,_xlpm.id),COUNTIF('4. SSP'!$M:$M,_xlpm.id),COUNTIF('5. JSACI'!$M:$M,_xlpm.id),COUNTIF('6. AIN'!$M:$M,_xlpm.id),COUNTIF('7. MS'!$M:$M,_xlpm.id),COUNTIF('8. DS'!$M:$M,_xlpm.id),COUNTIF('9. RMF'!$M:$M,_xlpm.id),COUNTIF('10. PCU'!$M:$M,_xlpm.id))))</f>
        <v>0</v>
      </c>
    </row>
    <row r="105" spans="1:9">
      <c r="A105" t="s">
        <v>8181</v>
      </c>
      <c r="B105" t="s">
        <v>8179</v>
      </c>
      <c r="C105">
        <v>1825</v>
      </c>
      <c r="D105">
        <v>1</v>
      </c>
      <c r="E105" s="23">
        <v>4</v>
      </c>
      <c r="F105" t="s">
        <v>8102</v>
      </c>
      <c r="G105" t="s">
        <v>10484</v>
      </c>
      <c r="H105" t="s">
        <v>8021</v>
      </c>
      <c r="I105">
        <f>_xlfn.LET(_xlpm.id,TRIM($A105),IF(_xlpm.id="","",SUM(COUNTIF('1. OP'!$M:$M,_xlpm.id),COUNTIF('2. JSEL'!$M:$M,_xlpm.id),COUNTIF('3. PSM'!$M:$M,_xlpm.id),COUNTIF('4. SSP'!$M:$M,_xlpm.id),COUNTIF('5. JSACI'!$M:$M,_xlpm.id),COUNTIF('6. AIN'!$M:$M,_xlpm.id),COUNTIF('7. MS'!$M:$M,_xlpm.id),COUNTIF('8. DS'!$M:$M,_xlpm.id),COUNTIF('9. RMF'!$M:$M,_xlpm.id),COUNTIF('10. PCU'!$M:$M,_xlpm.id))))</f>
        <v>0</v>
      </c>
    </row>
    <row r="106" spans="1:9">
      <c r="A106" t="s">
        <v>8182</v>
      </c>
      <c r="B106" t="s">
        <v>8179</v>
      </c>
      <c r="C106">
        <v>1825</v>
      </c>
      <c r="D106">
        <v>1</v>
      </c>
      <c r="E106" s="23">
        <v>5</v>
      </c>
      <c r="F106" t="s">
        <v>8102</v>
      </c>
      <c r="G106" t="s">
        <v>10484</v>
      </c>
      <c r="H106" t="s">
        <v>8021</v>
      </c>
      <c r="I106">
        <f>_xlfn.LET(_xlpm.id,TRIM($A106),IF(_xlpm.id="","",SUM(COUNTIF('1. OP'!$M:$M,_xlpm.id),COUNTIF('2. JSEL'!$M:$M,_xlpm.id),COUNTIF('3. PSM'!$M:$M,_xlpm.id),COUNTIF('4. SSP'!$M:$M,_xlpm.id),COUNTIF('5. JSACI'!$M:$M,_xlpm.id),COUNTIF('6. AIN'!$M:$M,_xlpm.id),COUNTIF('7. MS'!$M:$M,_xlpm.id),COUNTIF('8. DS'!$M:$M,_xlpm.id),COUNTIF('9. RMF'!$M:$M,_xlpm.id),COUNTIF('10. PCU'!$M:$M,_xlpm.id))))</f>
        <v>0</v>
      </c>
    </row>
    <row r="107" spans="1:9">
      <c r="A107" t="s">
        <v>8183</v>
      </c>
      <c r="B107" t="s">
        <v>8179</v>
      </c>
      <c r="C107">
        <v>1825</v>
      </c>
      <c r="D107">
        <v>1</v>
      </c>
      <c r="E107" s="23">
        <v>6</v>
      </c>
      <c r="F107" t="s">
        <v>8102</v>
      </c>
      <c r="G107" t="s">
        <v>10484</v>
      </c>
      <c r="H107" t="s">
        <v>8021</v>
      </c>
      <c r="I107">
        <f>_xlfn.LET(_xlpm.id,TRIM($A107),IF(_xlpm.id="","",SUM(COUNTIF('1. OP'!$M:$M,_xlpm.id),COUNTIF('2. JSEL'!$M:$M,_xlpm.id),COUNTIF('3. PSM'!$M:$M,_xlpm.id),COUNTIF('4. SSP'!$M:$M,_xlpm.id),COUNTIF('5. JSACI'!$M:$M,_xlpm.id),COUNTIF('6. AIN'!$M:$M,_xlpm.id),COUNTIF('7. MS'!$M:$M,_xlpm.id),COUNTIF('8. DS'!$M:$M,_xlpm.id),COUNTIF('9. RMF'!$M:$M,_xlpm.id),COUNTIF('10. PCU'!$M:$M,_xlpm.id))))</f>
        <v>0</v>
      </c>
    </row>
    <row r="108" spans="1:9">
      <c r="A108" t="s">
        <v>6323</v>
      </c>
      <c r="B108" t="s">
        <v>8179</v>
      </c>
      <c r="C108">
        <v>1826</v>
      </c>
      <c r="D108">
        <v>1</v>
      </c>
      <c r="E108" s="23">
        <v>7</v>
      </c>
      <c r="F108" t="s">
        <v>8102</v>
      </c>
      <c r="G108" t="s">
        <v>10484</v>
      </c>
      <c r="H108" t="s">
        <v>8021</v>
      </c>
      <c r="I108">
        <f>_xlfn.LET(_xlpm.id,TRIM($A108),IF(_xlpm.id="","",SUM(COUNTIF('1. OP'!$M:$M,_xlpm.id),COUNTIF('2. JSEL'!$M:$M,_xlpm.id),COUNTIF('3. PSM'!$M:$M,_xlpm.id),COUNTIF('4. SSP'!$M:$M,_xlpm.id),COUNTIF('5. JSACI'!$M:$M,_xlpm.id),COUNTIF('6. AIN'!$M:$M,_xlpm.id),COUNTIF('7. MS'!$M:$M,_xlpm.id),COUNTIF('8. DS'!$M:$M,_xlpm.id),COUNTIF('9. RMF'!$M:$M,_xlpm.id),COUNTIF('10. PCU'!$M:$M,_xlpm.id))))</f>
        <v>1</v>
      </c>
    </row>
    <row r="109" spans="1:9">
      <c r="A109" t="s">
        <v>8184</v>
      </c>
      <c r="B109" t="s">
        <v>8179</v>
      </c>
      <c r="C109">
        <v>1826</v>
      </c>
      <c r="D109">
        <v>1</v>
      </c>
      <c r="E109" s="23">
        <v>8</v>
      </c>
      <c r="F109" t="s">
        <v>8102</v>
      </c>
      <c r="G109" t="s">
        <v>10484</v>
      </c>
      <c r="H109" t="s">
        <v>8021</v>
      </c>
      <c r="I109">
        <f>_xlfn.LET(_xlpm.id,TRIM($A109),IF(_xlpm.id="","",SUM(COUNTIF('1. OP'!$M:$M,_xlpm.id),COUNTIF('2. JSEL'!$M:$M,_xlpm.id),COUNTIF('3. PSM'!$M:$M,_xlpm.id),COUNTIF('4. SSP'!$M:$M,_xlpm.id),COUNTIF('5. JSACI'!$M:$M,_xlpm.id),COUNTIF('6. AIN'!$M:$M,_xlpm.id),COUNTIF('7. MS'!$M:$M,_xlpm.id),COUNTIF('8. DS'!$M:$M,_xlpm.id),COUNTIF('9. RMF'!$M:$M,_xlpm.id),COUNTIF('10. PCU'!$M:$M,_xlpm.id))))</f>
        <v>0</v>
      </c>
    </row>
    <row r="110" spans="1:9">
      <c r="A110" t="s">
        <v>6387</v>
      </c>
      <c r="B110" t="s">
        <v>8179</v>
      </c>
      <c r="C110">
        <v>1826</v>
      </c>
      <c r="D110">
        <v>1</v>
      </c>
      <c r="E110" s="23">
        <v>9</v>
      </c>
      <c r="F110" t="s">
        <v>8102</v>
      </c>
      <c r="G110" t="s">
        <v>10484</v>
      </c>
      <c r="H110" t="s">
        <v>8021</v>
      </c>
      <c r="I110">
        <f>_xlfn.LET(_xlpm.id,TRIM($A110),IF(_xlpm.id="","",SUM(COUNTIF('1. OP'!$M:$M,_xlpm.id),COUNTIF('2. JSEL'!$M:$M,_xlpm.id),COUNTIF('3. PSM'!$M:$M,_xlpm.id),COUNTIF('4. SSP'!$M:$M,_xlpm.id),COUNTIF('5. JSACI'!$M:$M,_xlpm.id),COUNTIF('6. AIN'!$M:$M,_xlpm.id),COUNTIF('7. MS'!$M:$M,_xlpm.id),COUNTIF('8. DS'!$M:$M,_xlpm.id),COUNTIF('9. RMF'!$M:$M,_xlpm.id),COUNTIF('10. PCU'!$M:$M,_xlpm.id))))</f>
        <v>1</v>
      </c>
    </row>
    <row r="111" spans="1:9">
      <c r="A111" t="s">
        <v>8185</v>
      </c>
      <c r="B111" t="s">
        <v>8179</v>
      </c>
      <c r="C111">
        <v>1826</v>
      </c>
      <c r="D111">
        <v>1</v>
      </c>
      <c r="E111" s="23">
        <v>10</v>
      </c>
      <c r="F111" t="s">
        <v>8102</v>
      </c>
      <c r="G111" t="s">
        <v>10484</v>
      </c>
      <c r="H111" t="s">
        <v>8021</v>
      </c>
      <c r="I111">
        <f>_xlfn.LET(_xlpm.id,TRIM($A111),IF(_xlpm.id="","",SUM(COUNTIF('1. OP'!$M:$M,_xlpm.id),COUNTIF('2. JSEL'!$M:$M,_xlpm.id),COUNTIF('3. PSM'!$M:$M,_xlpm.id),COUNTIF('4. SSP'!$M:$M,_xlpm.id),COUNTIF('5. JSACI'!$M:$M,_xlpm.id),COUNTIF('6. AIN'!$M:$M,_xlpm.id),COUNTIF('7. MS'!$M:$M,_xlpm.id),COUNTIF('8. DS'!$M:$M,_xlpm.id),COUNTIF('9. RMF'!$M:$M,_xlpm.id),COUNTIF('10. PCU'!$M:$M,_xlpm.id))))</f>
        <v>0</v>
      </c>
    </row>
    <row r="112" spans="1:9">
      <c r="A112" t="s">
        <v>8186</v>
      </c>
      <c r="B112" t="s">
        <v>8179</v>
      </c>
      <c r="C112">
        <v>1827</v>
      </c>
      <c r="D112">
        <v>1</v>
      </c>
      <c r="E112" s="23">
        <v>11</v>
      </c>
      <c r="F112" t="s">
        <v>8102</v>
      </c>
      <c r="G112" t="s">
        <v>10484</v>
      </c>
      <c r="H112" t="s">
        <v>8021</v>
      </c>
      <c r="I112">
        <f>_xlfn.LET(_xlpm.id,TRIM($A112),IF(_xlpm.id="","",SUM(COUNTIF('1. OP'!$M:$M,_xlpm.id),COUNTIF('2. JSEL'!$M:$M,_xlpm.id),COUNTIF('3. PSM'!$M:$M,_xlpm.id),COUNTIF('4. SSP'!$M:$M,_xlpm.id),COUNTIF('5. JSACI'!$M:$M,_xlpm.id),COUNTIF('6. AIN'!$M:$M,_xlpm.id),COUNTIF('7. MS'!$M:$M,_xlpm.id),COUNTIF('8. DS'!$M:$M,_xlpm.id),COUNTIF('9. RMF'!$M:$M,_xlpm.id),COUNTIF('10. PCU'!$M:$M,_xlpm.id))))</f>
        <v>0</v>
      </c>
    </row>
    <row r="113" spans="1:9">
      <c r="A113" t="s">
        <v>6309</v>
      </c>
      <c r="B113" t="s">
        <v>8179</v>
      </c>
      <c r="C113">
        <v>1827</v>
      </c>
      <c r="D113">
        <v>1</v>
      </c>
      <c r="E113" s="23">
        <v>12</v>
      </c>
      <c r="F113" t="s">
        <v>8102</v>
      </c>
      <c r="G113" t="s">
        <v>10484</v>
      </c>
      <c r="H113" t="s">
        <v>8021</v>
      </c>
      <c r="I113">
        <f>_xlfn.LET(_xlpm.id,TRIM($A113),IF(_xlpm.id="","",SUM(COUNTIF('1. OP'!$M:$M,_xlpm.id),COUNTIF('2. JSEL'!$M:$M,_xlpm.id),COUNTIF('3. PSM'!$M:$M,_xlpm.id),COUNTIF('4. SSP'!$M:$M,_xlpm.id),COUNTIF('5. JSACI'!$M:$M,_xlpm.id),COUNTIF('6. AIN'!$M:$M,_xlpm.id),COUNTIF('7. MS'!$M:$M,_xlpm.id),COUNTIF('8. DS'!$M:$M,_xlpm.id),COUNTIF('9. RMF'!$M:$M,_xlpm.id),COUNTIF('10. PCU'!$M:$M,_xlpm.id))))</f>
        <v>1</v>
      </c>
    </row>
    <row r="114" spans="1:9">
      <c r="A114" t="s">
        <v>5012</v>
      </c>
      <c r="B114" t="s">
        <v>8188</v>
      </c>
      <c r="C114">
        <v>1829</v>
      </c>
      <c r="D114">
        <v>1</v>
      </c>
      <c r="E114" s="23">
        <v>1</v>
      </c>
      <c r="F114" t="s">
        <v>8187</v>
      </c>
      <c r="G114" t="s">
        <v>10485</v>
      </c>
      <c r="H114" t="s">
        <v>8034</v>
      </c>
      <c r="I114">
        <f>_xlfn.LET(_xlpm.id,TRIM($A114),IF(_xlpm.id="","",SUM(COUNTIF('1. OP'!$M:$M,_xlpm.id),COUNTIF('2. JSEL'!$M:$M,_xlpm.id),COUNTIF('3. PSM'!$M:$M,_xlpm.id),COUNTIF('4. SSP'!$M:$M,_xlpm.id),COUNTIF('5. JSACI'!$M:$M,_xlpm.id),COUNTIF('6. AIN'!$M:$M,_xlpm.id),COUNTIF('7. MS'!$M:$M,_xlpm.id),COUNTIF('8. DS'!$M:$M,_xlpm.id),COUNTIF('9. RMF'!$M:$M,_xlpm.id),COUNTIF('10. PCU'!$M:$M,_xlpm.id))))</f>
        <v>18</v>
      </c>
    </row>
    <row r="115" spans="1:9">
      <c r="A115" t="s">
        <v>8189</v>
      </c>
      <c r="B115" t="s">
        <v>8188</v>
      </c>
      <c r="C115">
        <v>1830</v>
      </c>
      <c r="D115">
        <v>1</v>
      </c>
      <c r="E115" s="23">
        <v>2</v>
      </c>
      <c r="F115" t="s">
        <v>8187</v>
      </c>
      <c r="G115" t="s">
        <v>10485</v>
      </c>
      <c r="H115" t="s">
        <v>8034</v>
      </c>
      <c r="I115">
        <f>_xlfn.LET(_xlpm.id,TRIM($A115),IF(_xlpm.id="","",SUM(COUNTIF('1. OP'!$M:$M,_xlpm.id),COUNTIF('2. JSEL'!$M:$M,_xlpm.id),COUNTIF('3. PSM'!$M:$M,_xlpm.id),COUNTIF('4. SSP'!$M:$M,_xlpm.id),COUNTIF('5. JSACI'!$M:$M,_xlpm.id),COUNTIF('6. AIN'!$M:$M,_xlpm.id),COUNTIF('7. MS'!$M:$M,_xlpm.id),COUNTIF('8. DS'!$M:$M,_xlpm.id),COUNTIF('9. RMF'!$M:$M,_xlpm.id),COUNTIF('10. PCU'!$M:$M,_xlpm.id))))</f>
        <v>0</v>
      </c>
    </row>
    <row r="116" spans="1:9">
      <c r="A116" t="s">
        <v>5030</v>
      </c>
      <c r="B116" t="s">
        <v>8188</v>
      </c>
      <c r="C116">
        <v>1831</v>
      </c>
      <c r="D116">
        <v>1</v>
      </c>
      <c r="E116" s="23">
        <v>3</v>
      </c>
      <c r="F116" t="s">
        <v>8187</v>
      </c>
      <c r="G116" t="s">
        <v>10485</v>
      </c>
      <c r="H116" t="s">
        <v>8034</v>
      </c>
      <c r="I116">
        <f>_xlfn.LET(_xlpm.id,TRIM($A116),IF(_xlpm.id="","",SUM(COUNTIF('1. OP'!$M:$M,_xlpm.id),COUNTIF('2. JSEL'!$M:$M,_xlpm.id),COUNTIF('3. PSM'!$M:$M,_xlpm.id),COUNTIF('4. SSP'!$M:$M,_xlpm.id),COUNTIF('5. JSACI'!$M:$M,_xlpm.id),COUNTIF('6. AIN'!$M:$M,_xlpm.id),COUNTIF('7. MS'!$M:$M,_xlpm.id),COUNTIF('8. DS'!$M:$M,_xlpm.id),COUNTIF('9. RMF'!$M:$M,_xlpm.id),COUNTIF('10. PCU'!$M:$M,_xlpm.id))))</f>
        <v>21</v>
      </c>
    </row>
    <row r="117" spans="1:9">
      <c r="A117" t="s">
        <v>5055</v>
      </c>
      <c r="B117" t="s">
        <v>8188</v>
      </c>
      <c r="C117">
        <v>1831</v>
      </c>
      <c r="D117">
        <v>1</v>
      </c>
      <c r="E117" s="23">
        <v>4</v>
      </c>
      <c r="F117" t="s">
        <v>8187</v>
      </c>
      <c r="G117" t="s">
        <v>10485</v>
      </c>
      <c r="H117" t="s">
        <v>8034</v>
      </c>
      <c r="I117">
        <f>_xlfn.LET(_xlpm.id,TRIM($A117),IF(_xlpm.id="","",SUM(COUNTIF('1. OP'!$M:$M,_xlpm.id),COUNTIF('2. JSEL'!$M:$M,_xlpm.id),COUNTIF('3. PSM'!$M:$M,_xlpm.id),COUNTIF('4. SSP'!$M:$M,_xlpm.id),COUNTIF('5. JSACI'!$M:$M,_xlpm.id),COUNTIF('6. AIN'!$M:$M,_xlpm.id),COUNTIF('7. MS'!$M:$M,_xlpm.id),COUNTIF('8. DS'!$M:$M,_xlpm.id),COUNTIF('9. RMF'!$M:$M,_xlpm.id),COUNTIF('10. PCU'!$M:$M,_xlpm.id))))</f>
        <v>7</v>
      </c>
    </row>
    <row r="118" spans="1:9">
      <c r="A118" t="s">
        <v>5057</v>
      </c>
      <c r="B118" t="s">
        <v>8188</v>
      </c>
      <c r="C118">
        <v>1832</v>
      </c>
      <c r="D118">
        <v>1</v>
      </c>
      <c r="E118" s="23">
        <v>5</v>
      </c>
      <c r="F118" t="s">
        <v>8187</v>
      </c>
      <c r="G118" t="s">
        <v>10485</v>
      </c>
      <c r="H118" t="s">
        <v>8034</v>
      </c>
      <c r="I118">
        <f>_xlfn.LET(_xlpm.id,TRIM($A118),IF(_xlpm.id="","",SUM(COUNTIF('1. OP'!$M:$M,_xlpm.id),COUNTIF('2. JSEL'!$M:$M,_xlpm.id),COUNTIF('3. PSM'!$M:$M,_xlpm.id),COUNTIF('4. SSP'!$M:$M,_xlpm.id),COUNTIF('5. JSACI'!$M:$M,_xlpm.id),COUNTIF('6. AIN'!$M:$M,_xlpm.id),COUNTIF('7. MS'!$M:$M,_xlpm.id),COUNTIF('8. DS'!$M:$M,_xlpm.id),COUNTIF('9. RMF'!$M:$M,_xlpm.id),COUNTIF('10. PCU'!$M:$M,_xlpm.id))))</f>
        <v>2</v>
      </c>
    </row>
    <row r="119" spans="1:9">
      <c r="A119" t="s">
        <v>8190</v>
      </c>
      <c r="B119" t="s">
        <v>8188</v>
      </c>
      <c r="C119">
        <v>1832</v>
      </c>
      <c r="D119">
        <v>1</v>
      </c>
      <c r="E119" s="23">
        <v>6</v>
      </c>
      <c r="F119" t="s">
        <v>8187</v>
      </c>
      <c r="G119" t="s">
        <v>10485</v>
      </c>
      <c r="H119" t="s">
        <v>8034</v>
      </c>
      <c r="I119">
        <f>_xlfn.LET(_xlpm.id,TRIM($A119),IF(_xlpm.id="","",SUM(COUNTIF('1. OP'!$M:$M,_xlpm.id),COUNTIF('2. JSEL'!$M:$M,_xlpm.id),COUNTIF('3. PSM'!$M:$M,_xlpm.id),COUNTIF('4. SSP'!$M:$M,_xlpm.id),COUNTIF('5. JSACI'!$M:$M,_xlpm.id),COUNTIF('6. AIN'!$M:$M,_xlpm.id),COUNTIF('7. MS'!$M:$M,_xlpm.id),COUNTIF('8. DS'!$M:$M,_xlpm.id),COUNTIF('9. RMF'!$M:$M,_xlpm.id),COUNTIF('10. PCU'!$M:$M,_xlpm.id))))</f>
        <v>0</v>
      </c>
    </row>
    <row r="120" spans="1:9">
      <c r="A120" t="s">
        <v>8191</v>
      </c>
      <c r="B120" t="s">
        <v>8188</v>
      </c>
      <c r="C120">
        <v>1833</v>
      </c>
      <c r="D120">
        <v>1</v>
      </c>
      <c r="E120" s="23">
        <v>7</v>
      </c>
      <c r="F120" t="s">
        <v>8187</v>
      </c>
      <c r="G120" t="s">
        <v>10485</v>
      </c>
      <c r="H120" t="s">
        <v>8034</v>
      </c>
      <c r="I120">
        <f>_xlfn.LET(_xlpm.id,TRIM($A120),IF(_xlpm.id="","",SUM(COUNTIF('1. OP'!$M:$M,_xlpm.id),COUNTIF('2. JSEL'!$M:$M,_xlpm.id),COUNTIF('3. PSM'!$M:$M,_xlpm.id),COUNTIF('4. SSP'!$M:$M,_xlpm.id),COUNTIF('5. JSACI'!$M:$M,_xlpm.id),COUNTIF('6. AIN'!$M:$M,_xlpm.id),COUNTIF('7. MS'!$M:$M,_xlpm.id),COUNTIF('8. DS'!$M:$M,_xlpm.id),COUNTIF('9. RMF'!$M:$M,_xlpm.id),COUNTIF('10. PCU'!$M:$M,_xlpm.id))))</f>
        <v>0</v>
      </c>
    </row>
    <row r="121" spans="1:9">
      <c r="A121" t="s">
        <v>8192</v>
      </c>
      <c r="B121" t="s">
        <v>8188</v>
      </c>
      <c r="C121">
        <v>1833</v>
      </c>
      <c r="D121">
        <v>1</v>
      </c>
      <c r="E121" s="23">
        <v>8</v>
      </c>
      <c r="F121" t="s">
        <v>8187</v>
      </c>
      <c r="G121" t="s">
        <v>10485</v>
      </c>
      <c r="H121" t="s">
        <v>8034</v>
      </c>
      <c r="I121">
        <f>_xlfn.LET(_xlpm.id,TRIM($A121),IF(_xlpm.id="","",SUM(COUNTIF('1. OP'!$M:$M,_xlpm.id),COUNTIF('2. JSEL'!$M:$M,_xlpm.id),COUNTIF('3. PSM'!$M:$M,_xlpm.id),COUNTIF('4. SSP'!$M:$M,_xlpm.id),COUNTIF('5. JSACI'!$M:$M,_xlpm.id),COUNTIF('6. AIN'!$M:$M,_xlpm.id),COUNTIF('7. MS'!$M:$M,_xlpm.id),COUNTIF('8. DS'!$M:$M,_xlpm.id),COUNTIF('9. RMF'!$M:$M,_xlpm.id),COUNTIF('10. PCU'!$M:$M,_xlpm.id))))</f>
        <v>0</v>
      </c>
    </row>
    <row r="122" spans="1:9">
      <c r="A122" t="s">
        <v>7267</v>
      </c>
      <c r="B122" t="s">
        <v>8188</v>
      </c>
      <c r="C122">
        <v>1834</v>
      </c>
      <c r="D122">
        <v>1</v>
      </c>
      <c r="E122" s="23">
        <v>9</v>
      </c>
      <c r="F122" t="s">
        <v>8187</v>
      </c>
      <c r="G122" t="s">
        <v>10485</v>
      </c>
      <c r="H122" t="s">
        <v>8034</v>
      </c>
      <c r="I122">
        <f>_xlfn.LET(_xlpm.id,TRIM($A122),IF(_xlpm.id="","",SUM(COUNTIF('1. OP'!$M:$M,_xlpm.id),COUNTIF('2. JSEL'!$M:$M,_xlpm.id),COUNTIF('3. PSM'!$M:$M,_xlpm.id),COUNTIF('4. SSP'!$M:$M,_xlpm.id),COUNTIF('5. JSACI'!$M:$M,_xlpm.id),COUNTIF('6. AIN'!$M:$M,_xlpm.id),COUNTIF('7. MS'!$M:$M,_xlpm.id),COUNTIF('8. DS'!$M:$M,_xlpm.id),COUNTIF('9. RMF'!$M:$M,_xlpm.id),COUNTIF('10. PCU'!$M:$M,_xlpm.id))))</f>
        <v>1</v>
      </c>
    </row>
    <row r="123" spans="1:9">
      <c r="A123" t="s">
        <v>8193</v>
      </c>
      <c r="B123" t="s">
        <v>8188</v>
      </c>
      <c r="C123">
        <v>1834</v>
      </c>
      <c r="D123">
        <v>1</v>
      </c>
      <c r="E123" s="23">
        <v>10</v>
      </c>
      <c r="F123" t="s">
        <v>8187</v>
      </c>
      <c r="G123" t="s">
        <v>10485</v>
      </c>
      <c r="H123" t="s">
        <v>8034</v>
      </c>
      <c r="I123">
        <f>_xlfn.LET(_xlpm.id,TRIM($A123),IF(_xlpm.id="","",SUM(COUNTIF('1. OP'!$M:$M,_xlpm.id),COUNTIF('2. JSEL'!$M:$M,_xlpm.id),COUNTIF('3. PSM'!$M:$M,_xlpm.id),COUNTIF('4. SSP'!$M:$M,_xlpm.id),COUNTIF('5. JSACI'!$M:$M,_xlpm.id),COUNTIF('6. AIN'!$M:$M,_xlpm.id),COUNTIF('7. MS'!$M:$M,_xlpm.id),COUNTIF('8. DS'!$M:$M,_xlpm.id),COUNTIF('9. RMF'!$M:$M,_xlpm.id),COUNTIF('10. PCU'!$M:$M,_xlpm.id))))</f>
        <v>0</v>
      </c>
    </row>
    <row r="124" spans="1:9">
      <c r="A124" t="s">
        <v>8194</v>
      </c>
      <c r="B124" t="s">
        <v>8188</v>
      </c>
      <c r="C124">
        <v>1835</v>
      </c>
      <c r="D124">
        <v>1</v>
      </c>
      <c r="E124" s="23">
        <v>11</v>
      </c>
      <c r="F124" t="s">
        <v>8187</v>
      </c>
      <c r="G124" t="s">
        <v>10485</v>
      </c>
      <c r="H124" t="s">
        <v>8034</v>
      </c>
      <c r="I124">
        <f>_xlfn.LET(_xlpm.id,TRIM($A124),IF(_xlpm.id="","",SUM(COUNTIF('1. OP'!$M:$M,_xlpm.id),COUNTIF('2. JSEL'!$M:$M,_xlpm.id),COUNTIF('3. PSM'!$M:$M,_xlpm.id),COUNTIF('4. SSP'!$M:$M,_xlpm.id),COUNTIF('5. JSACI'!$M:$M,_xlpm.id),COUNTIF('6. AIN'!$M:$M,_xlpm.id),COUNTIF('7. MS'!$M:$M,_xlpm.id),COUNTIF('8. DS'!$M:$M,_xlpm.id),COUNTIF('9. RMF'!$M:$M,_xlpm.id),COUNTIF('10. PCU'!$M:$M,_xlpm.id))))</f>
        <v>0</v>
      </c>
    </row>
    <row r="125" spans="1:9">
      <c r="A125" t="s">
        <v>8195</v>
      </c>
      <c r="B125" t="s">
        <v>8188</v>
      </c>
      <c r="C125">
        <v>1836</v>
      </c>
      <c r="D125">
        <v>2</v>
      </c>
      <c r="E125" s="23">
        <v>1</v>
      </c>
      <c r="F125" t="s">
        <v>8187</v>
      </c>
      <c r="G125" t="s">
        <v>10485</v>
      </c>
      <c r="H125" t="s">
        <v>8034</v>
      </c>
      <c r="I125">
        <f>_xlfn.LET(_xlpm.id,TRIM($A125),IF(_xlpm.id="","",SUM(COUNTIF('1. OP'!$M:$M,_xlpm.id),COUNTIF('2. JSEL'!$M:$M,_xlpm.id),COUNTIF('3. PSM'!$M:$M,_xlpm.id),COUNTIF('4. SSP'!$M:$M,_xlpm.id),COUNTIF('5. JSACI'!$M:$M,_xlpm.id),COUNTIF('6. AIN'!$M:$M,_xlpm.id),COUNTIF('7. MS'!$M:$M,_xlpm.id),COUNTIF('8. DS'!$M:$M,_xlpm.id),COUNTIF('9. RMF'!$M:$M,_xlpm.id),COUNTIF('10. PCU'!$M:$M,_xlpm.id))))</f>
        <v>0</v>
      </c>
    </row>
    <row r="126" spans="1:9">
      <c r="A126" t="s">
        <v>8196</v>
      </c>
      <c r="B126" t="s">
        <v>8188</v>
      </c>
      <c r="C126">
        <v>1836</v>
      </c>
      <c r="D126">
        <v>2</v>
      </c>
      <c r="E126" s="23">
        <v>2</v>
      </c>
      <c r="F126" t="s">
        <v>8187</v>
      </c>
      <c r="G126" t="s">
        <v>10485</v>
      </c>
      <c r="H126" t="s">
        <v>8034</v>
      </c>
      <c r="I126">
        <f>_xlfn.LET(_xlpm.id,TRIM($A126),IF(_xlpm.id="","",SUM(COUNTIF('1. OP'!$M:$M,_xlpm.id),COUNTIF('2. JSEL'!$M:$M,_xlpm.id),COUNTIF('3. PSM'!$M:$M,_xlpm.id),COUNTIF('4. SSP'!$M:$M,_xlpm.id),COUNTIF('5. JSACI'!$M:$M,_xlpm.id),COUNTIF('6. AIN'!$M:$M,_xlpm.id),COUNTIF('7. MS'!$M:$M,_xlpm.id),COUNTIF('8. DS'!$M:$M,_xlpm.id),COUNTIF('9. RMF'!$M:$M,_xlpm.id),COUNTIF('10. PCU'!$M:$M,_xlpm.id))))</f>
        <v>0</v>
      </c>
    </row>
    <row r="127" spans="1:9">
      <c r="A127" t="s">
        <v>8197</v>
      </c>
      <c r="B127" t="s">
        <v>8188</v>
      </c>
      <c r="C127">
        <v>1837</v>
      </c>
      <c r="D127">
        <v>2</v>
      </c>
      <c r="E127" s="23">
        <v>3</v>
      </c>
      <c r="F127" t="s">
        <v>8187</v>
      </c>
      <c r="G127" t="s">
        <v>10485</v>
      </c>
      <c r="H127" t="s">
        <v>8034</v>
      </c>
      <c r="I127">
        <f>_xlfn.LET(_xlpm.id,TRIM($A127),IF(_xlpm.id="","",SUM(COUNTIF('1. OP'!$M:$M,_xlpm.id),COUNTIF('2. JSEL'!$M:$M,_xlpm.id),COUNTIF('3. PSM'!$M:$M,_xlpm.id),COUNTIF('4. SSP'!$M:$M,_xlpm.id),COUNTIF('5. JSACI'!$M:$M,_xlpm.id),COUNTIF('6. AIN'!$M:$M,_xlpm.id),COUNTIF('7. MS'!$M:$M,_xlpm.id),COUNTIF('8. DS'!$M:$M,_xlpm.id),COUNTIF('9. RMF'!$M:$M,_xlpm.id),COUNTIF('10. PCU'!$M:$M,_xlpm.id))))</f>
        <v>0</v>
      </c>
    </row>
    <row r="128" spans="1:9">
      <c r="A128" t="s">
        <v>5043</v>
      </c>
      <c r="B128" t="s">
        <v>8198</v>
      </c>
      <c r="C128">
        <v>1830</v>
      </c>
      <c r="D128">
        <v>1</v>
      </c>
      <c r="E128" s="23">
        <v>1</v>
      </c>
      <c r="F128" t="s">
        <v>8102</v>
      </c>
      <c r="G128" t="s">
        <v>10484</v>
      </c>
      <c r="H128" t="s">
        <v>8021</v>
      </c>
      <c r="I128">
        <f>_xlfn.LET(_xlpm.id,TRIM($A128),IF(_xlpm.id="","",SUM(COUNTIF('1. OP'!$M:$M,_xlpm.id),COUNTIF('2. JSEL'!$M:$M,_xlpm.id),COUNTIF('3. PSM'!$M:$M,_xlpm.id),COUNTIF('4. SSP'!$M:$M,_xlpm.id),COUNTIF('5. JSACI'!$M:$M,_xlpm.id),COUNTIF('6. AIN'!$M:$M,_xlpm.id),COUNTIF('7. MS'!$M:$M,_xlpm.id),COUNTIF('8. DS'!$M:$M,_xlpm.id),COUNTIF('9. RMF'!$M:$M,_xlpm.id),COUNTIF('10. PCU'!$M:$M,_xlpm.id))))</f>
        <v>8</v>
      </c>
    </row>
    <row r="129" spans="1:9">
      <c r="A129" t="s">
        <v>7249</v>
      </c>
      <c r="B129" t="s">
        <v>8198</v>
      </c>
      <c r="C129">
        <v>1831</v>
      </c>
      <c r="D129">
        <v>1</v>
      </c>
      <c r="E129" s="23">
        <v>2</v>
      </c>
      <c r="F129" t="s">
        <v>8102</v>
      </c>
      <c r="G129" t="s">
        <v>10484</v>
      </c>
      <c r="H129" t="s">
        <v>8021</v>
      </c>
      <c r="I129">
        <f>_xlfn.LET(_xlpm.id,TRIM($A129),IF(_xlpm.id="","",SUM(COUNTIF('1. OP'!$M:$M,_xlpm.id),COUNTIF('2. JSEL'!$M:$M,_xlpm.id),COUNTIF('3. PSM'!$M:$M,_xlpm.id),COUNTIF('4. SSP'!$M:$M,_xlpm.id),COUNTIF('5. JSACI'!$M:$M,_xlpm.id),COUNTIF('6. AIN'!$M:$M,_xlpm.id),COUNTIF('7. MS'!$M:$M,_xlpm.id),COUNTIF('8. DS'!$M:$M,_xlpm.id),COUNTIF('9. RMF'!$M:$M,_xlpm.id),COUNTIF('10. PCU'!$M:$M,_xlpm.id))))</f>
        <v>8</v>
      </c>
    </row>
    <row r="130" spans="1:9">
      <c r="A130" t="s">
        <v>8199</v>
      </c>
      <c r="B130" t="s">
        <v>8198</v>
      </c>
      <c r="C130">
        <v>1831</v>
      </c>
      <c r="D130">
        <v>1</v>
      </c>
      <c r="E130" s="23">
        <v>3</v>
      </c>
      <c r="F130" t="s">
        <v>8102</v>
      </c>
      <c r="G130" t="s">
        <v>10484</v>
      </c>
      <c r="H130" t="s">
        <v>8021</v>
      </c>
      <c r="I130">
        <f>_xlfn.LET(_xlpm.id,TRIM($A130),IF(_xlpm.id="","",SUM(COUNTIF('1. OP'!$M:$M,_xlpm.id),COUNTIF('2. JSEL'!$M:$M,_xlpm.id),COUNTIF('3. PSM'!$M:$M,_xlpm.id),COUNTIF('4. SSP'!$M:$M,_xlpm.id),COUNTIF('5. JSACI'!$M:$M,_xlpm.id),COUNTIF('6. AIN'!$M:$M,_xlpm.id),COUNTIF('7. MS'!$M:$M,_xlpm.id),COUNTIF('8. DS'!$M:$M,_xlpm.id),COUNTIF('9. RMF'!$M:$M,_xlpm.id),COUNTIF('10. PCU'!$M:$M,_xlpm.id))))</f>
        <v>0</v>
      </c>
    </row>
    <row r="131" spans="1:9">
      <c r="A131" t="s">
        <v>6964</v>
      </c>
      <c r="B131" t="s">
        <v>8198</v>
      </c>
      <c r="C131">
        <v>1832</v>
      </c>
      <c r="D131">
        <v>2</v>
      </c>
      <c r="E131" s="23">
        <v>3</v>
      </c>
      <c r="F131" t="s">
        <v>8102</v>
      </c>
      <c r="G131" t="s">
        <v>10484</v>
      </c>
      <c r="H131" t="s">
        <v>8021</v>
      </c>
      <c r="I131">
        <f>_xlfn.LET(_xlpm.id,TRIM($A131),IF(_xlpm.id="","",SUM(COUNTIF('1. OP'!$M:$M,_xlpm.id),COUNTIF('2. JSEL'!$M:$M,_xlpm.id),COUNTIF('3. PSM'!$M:$M,_xlpm.id),COUNTIF('4. SSP'!$M:$M,_xlpm.id),COUNTIF('5. JSACI'!$M:$M,_xlpm.id),COUNTIF('6. AIN'!$M:$M,_xlpm.id),COUNTIF('7. MS'!$M:$M,_xlpm.id),COUNTIF('8. DS'!$M:$M,_xlpm.id),COUNTIF('9. RMF'!$M:$M,_xlpm.id),COUNTIF('10. PCU'!$M:$M,_xlpm.id))))</f>
        <v>2</v>
      </c>
    </row>
    <row r="132" spans="1:9">
      <c r="A132" t="s">
        <v>8200</v>
      </c>
      <c r="B132" t="s">
        <v>8198</v>
      </c>
      <c r="C132">
        <v>1833</v>
      </c>
      <c r="D132">
        <v>2</v>
      </c>
      <c r="E132" s="23">
        <v>1</v>
      </c>
      <c r="F132" t="s">
        <v>8102</v>
      </c>
      <c r="G132" t="s">
        <v>10484</v>
      </c>
      <c r="H132" t="s">
        <v>8021</v>
      </c>
      <c r="I132">
        <f>_xlfn.LET(_xlpm.id,TRIM($A132),IF(_xlpm.id="","",SUM(COUNTIF('1. OP'!$M:$M,_xlpm.id),COUNTIF('2. JSEL'!$M:$M,_xlpm.id),COUNTIF('3. PSM'!$M:$M,_xlpm.id),COUNTIF('4. SSP'!$M:$M,_xlpm.id),COUNTIF('5. JSACI'!$M:$M,_xlpm.id),COUNTIF('6. AIN'!$M:$M,_xlpm.id),COUNTIF('7. MS'!$M:$M,_xlpm.id),COUNTIF('8. DS'!$M:$M,_xlpm.id),COUNTIF('9. RMF'!$M:$M,_xlpm.id),COUNTIF('10. PCU'!$M:$M,_xlpm.id))))</f>
        <v>0</v>
      </c>
    </row>
    <row r="133" spans="1:9">
      <c r="A133" t="s">
        <v>7410</v>
      </c>
      <c r="B133" t="s">
        <v>8198</v>
      </c>
      <c r="C133">
        <v>1834</v>
      </c>
      <c r="D133">
        <v>2</v>
      </c>
      <c r="E133" s="23">
        <v>2</v>
      </c>
      <c r="F133" t="s">
        <v>8102</v>
      </c>
      <c r="G133" t="s">
        <v>10484</v>
      </c>
      <c r="H133" t="s">
        <v>8021</v>
      </c>
      <c r="I133">
        <f>_xlfn.LET(_xlpm.id,TRIM($A133),IF(_xlpm.id="","",SUM(COUNTIF('1. OP'!$M:$M,_xlpm.id),COUNTIF('2. JSEL'!$M:$M,_xlpm.id),COUNTIF('3. PSM'!$M:$M,_xlpm.id),COUNTIF('4. SSP'!$M:$M,_xlpm.id),COUNTIF('5. JSACI'!$M:$M,_xlpm.id),COUNTIF('6. AIN'!$M:$M,_xlpm.id),COUNTIF('7. MS'!$M:$M,_xlpm.id),COUNTIF('8. DS'!$M:$M,_xlpm.id),COUNTIF('9. RMF'!$M:$M,_xlpm.id),COUNTIF('10. PCU'!$M:$M,_xlpm.id))))</f>
        <v>3</v>
      </c>
    </row>
    <row r="134" spans="1:9">
      <c r="A134" t="s">
        <v>6939</v>
      </c>
      <c r="B134" t="s">
        <v>8198</v>
      </c>
      <c r="C134">
        <v>1835</v>
      </c>
      <c r="D134">
        <v>2</v>
      </c>
      <c r="E134" s="23">
        <v>3</v>
      </c>
      <c r="F134" t="s">
        <v>8102</v>
      </c>
      <c r="G134" t="s">
        <v>10484</v>
      </c>
      <c r="H134" t="s">
        <v>8021</v>
      </c>
      <c r="I134">
        <f>_xlfn.LET(_xlpm.id,TRIM($A134),IF(_xlpm.id="","",SUM(COUNTIF('1. OP'!$M:$M,_xlpm.id),COUNTIF('2. JSEL'!$M:$M,_xlpm.id),COUNTIF('3. PSM'!$M:$M,_xlpm.id),COUNTIF('4. SSP'!$M:$M,_xlpm.id),COUNTIF('5. JSACI'!$M:$M,_xlpm.id),COUNTIF('6. AIN'!$M:$M,_xlpm.id),COUNTIF('7. MS'!$M:$M,_xlpm.id),COUNTIF('8. DS'!$M:$M,_xlpm.id),COUNTIF('9. RMF'!$M:$M,_xlpm.id),COUNTIF('10. PCU'!$M:$M,_xlpm.id))))</f>
        <v>24</v>
      </c>
    </row>
    <row r="135" spans="1:9">
      <c r="A135" t="s">
        <v>6942</v>
      </c>
      <c r="B135" t="s">
        <v>8198</v>
      </c>
      <c r="C135">
        <v>1836</v>
      </c>
      <c r="D135">
        <v>2</v>
      </c>
      <c r="E135" s="23">
        <v>4</v>
      </c>
      <c r="F135" t="s">
        <v>8102</v>
      </c>
      <c r="G135" t="s">
        <v>10484</v>
      </c>
      <c r="H135" t="s">
        <v>8021</v>
      </c>
      <c r="I135">
        <f>_xlfn.LET(_xlpm.id,TRIM($A135),IF(_xlpm.id="","",SUM(COUNTIF('1. OP'!$M:$M,_xlpm.id),COUNTIF('2. JSEL'!$M:$M,_xlpm.id),COUNTIF('3. PSM'!$M:$M,_xlpm.id),COUNTIF('4. SSP'!$M:$M,_xlpm.id),COUNTIF('5. JSACI'!$M:$M,_xlpm.id),COUNTIF('6. AIN'!$M:$M,_xlpm.id),COUNTIF('7. MS'!$M:$M,_xlpm.id),COUNTIF('8. DS'!$M:$M,_xlpm.id),COUNTIF('9. RMF'!$M:$M,_xlpm.id),COUNTIF('10. PCU'!$M:$M,_xlpm.id))))</f>
        <v>5</v>
      </c>
    </row>
    <row r="136" spans="1:9">
      <c r="A136" t="s">
        <v>8201</v>
      </c>
      <c r="B136" t="s">
        <v>8198</v>
      </c>
      <c r="C136">
        <v>1837</v>
      </c>
      <c r="D136">
        <v>2</v>
      </c>
      <c r="E136" s="23">
        <v>5</v>
      </c>
      <c r="F136" t="s">
        <v>8102</v>
      </c>
      <c r="G136" t="s">
        <v>10484</v>
      </c>
      <c r="H136" t="s">
        <v>8021</v>
      </c>
      <c r="I136">
        <f>_xlfn.LET(_xlpm.id,TRIM($A136),IF(_xlpm.id="","",SUM(COUNTIF('1. OP'!$M:$M,_xlpm.id),COUNTIF('2. JSEL'!$M:$M,_xlpm.id),COUNTIF('3. PSM'!$M:$M,_xlpm.id),COUNTIF('4. SSP'!$M:$M,_xlpm.id),COUNTIF('5. JSACI'!$M:$M,_xlpm.id),COUNTIF('6. AIN'!$M:$M,_xlpm.id),COUNTIF('7. MS'!$M:$M,_xlpm.id),COUNTIF('8. DS'!$M:$M,_xlpm.id),COUNTIF('9. RMF'!$M:$M,_xlpm.id),COUNTIF('10. PCU'!$M:$M,_xlpm.id))))</f>
        <v>0</v>
      </c>
    </row>
    <row r="137" spans="1:9">
      <c r="A137" t="s">
        <v>7562</v>
      </c>
      <c r="B137" t="s">
        <v>8198</v>
      </c>
      <c r="C137">
        <v>1838</v>
      </c>
      <c r="D137">
        <v>2</v>
      </c>
      <c r="E137" s="23">
        <v>6</v>
      </c>
      <c r="F137" t="s">
        <v>8102</v>
      </c>
      <c r="G137" t="s">
        <v>10484</v>
      </c>
      <c r="H137" t="s">
        <v>8021</v>
      </c>
      <c r="I137">
        <f>_xlfn.LET(_xlpm.id,TRIM($A137),IF(_xlpm.id="","",SUM(COUNTIF('1. OP'!$M:$M,_xlpm.id),COUNTIF('2. JSEL'!$M:$M,_xlpm.id),COUNTIF('3. PSM'!$M:$M,_xlpm.id),COUNTIF('4. SSP'!$M:$M,_xlpm.id),COUNTIF('5. JSACI'!$M:$M,_xlpm.id),COUNTIF('6. AIN'!$M:$M,_xlpm.id),COUNTIF('7. MS'!$M:$M,_xlpm.id),COUNTIF('8. DS'!$M:$M,_xlpm.id),COUNTIF('9. RMF'!$M:$M,_xlpm.id),COUNTIF('10. PCU'!$M:$M,_xlpm.id))))</f>
        <v>1</v>
      </c>
    </row>
    <row r="138" spans="1:9">
      <c r="A138" t="s">
        <v>7505</v>
      </c>
      <c r="B138" t="s">
        <v>8198</v>
      </c>
      <c r="C138">
        <v>1839</v>
      </c>
      <c r="D138">
        <v>2</v>
      </c>
      <c r="E138" s="23">
        <v>7</v>
      </c>
      <c r="F138" t="s">
        <v>8102</v>
      </c>
      <c r="G138" t="s">
        <v>10484</v>
      </c>
      <c r="H138" t="s">
        <v>8021</v>
      </c>
      <c r="I138">
        <f>_xlfn.LET(_xlpm.id,TRIM($A138),IF(_xlpm.id="","",SUM(COUNTIF('1. OP'!$M:$M,_xlpm.id),COUNTIF('2. JSEL'!$M:$M,_xlpm.id),COUNTIF('3. PSM'!$M:$M,_xlpm.id),COUNTIF('4. SSP'!$M:$M,_xlpm.id),COUNTIF('5. JSACI'!$M:$M,_xlpm.id),COUNTIF('6. AIN'!$M:$M,_xlpm.id),COUNTIF('7. MS'!$M:$M,_xlpm.id),COUNTIF('8. DS'!$M:$M,_xlpm.id),COUNTIF('9. RMF'!$M:$M,_xlpm.id),COUNTIF('10. PCU'!$M:$M,_xlpm.id))))</f>
        <v>5</v>
      </c>
    </row>
    <row r="139" spans="1:9">
      <c r="A139" t="s">
        <v>8202</v>
      </c>
      <c r="B139" t="s">
        <v>8198</v>
      </c>
      <c r="C139">
        <v>1840</v>
      </c>
      <c r="D139">
        <v>2</v>
      </c>
      <c r="E139" s="23">
        <v>8</v>
      </c>
      <c r="F139" t="s">
        <v>8102</v>
      </c>
      <c r="G139" t="s">
        <v>10484</v>
      </c>
      <c r="H139" t="s">
        <v>8021</v>
      </c>
      <c r="I139">
        <f>_xlfn.LET(_xlpm.id,TRIM($A139),IF(_xlpm.id="","",SUM(COUNTIF('1. OP'!$M:$M,_xlpm.id),COUNTIF('2. JSEL'!$M:$M,_xlpm.id),COUNTIF('3. PSM'!$M:$M,_xlpm.id),COUNTIF('4. SSP'!$M:$M,_xlpm.id),COUNTIF('5. JSACI'!$M:$M,_xlpm.id),COUNTIF('6. AIN'!$M:$M,_xlpm.id),COUNTIF('7. MS'!$M:$M,_xlpm.id),COUNTIF('8. DS'!$M:$M,_xlpm.id),COUNTIF('9. RMF'!$M:$M,_xlpm.id),COUNTIF('10. PCU'!$M:$M,_xlpm.id))))</f>
        <v>0</v>
      </c>
    </row>
    <row r="140" spans="1:9">
      <c r="A140" t="s">
        <v>6394</v>
      </c>
      <c r="B140" t="s">
        <v>8203</v>
      </c>
      <c r="C140">
        <v>1822</v>
      </c>
      <c r="D140">
        <v>1</v>
      </c>
      <c r="E140" s="23">
        <v>49</v>
      </c>
      <c r="F140" t="s">
        <v>8102</v>
      </c>
      <c r="G140" t="s">
        <v>10484</v>
      </c>
      <c r="H140" t="s">
        <v>8021</v>
      </c>
      <c r="I140">
        <f>_xlfn.LET(_xlpm.id,TRIM($A140),IF(_xlpm.id="","",SUM(COUNTIF('1. OP'!$M:$M,_xlpm.id),COUNTIF('2. JSEL'!$M:$M,_xlpm.id),COUNTIF('3. PSM'!$M:$M,_xlpm.id),COUNTIF('4. SSP'!$M:$M,_xlpm.id),COUNTIF('5. JSACI'!$M:$M,_xlpm.id),COUNTIF('6. AIN'!$M:$M,_xlpm.id),COUNTIF('7. MS'!$M:$M,_xlpm.id),COUNTIF('8. DS'!$M:$M,_xlpm.id),COUNTIF('9. RMF'!$M:$M,_xlpm.id),COUNTIF('10. PCU'!$M:$M,_xlpm.id))))</f>
        <v>1</v>
      </c>
    </row>
    <row r="141" spans="1:9">
      <c r="A141" t="s">
        <v>8204</v>
      </c>
      <c r="B141" t="s">
        <v>8203</v>
      </c>
      <c r="C141">
        <v>1823</v>
      </c>
      <c r="D141">
        <v>1</v>
      </c>
      <c r="E141" s="23">
        <v>50</v>
      </c>
      <c r="F141" t="s">
        <v>8102</v>
      </c>
      <c r="G141" t="s">
        <v>10484</v>
      </c>
      <c r="H141" t="s">
        <v>8021</v>
      </c>
      <c r="I141">
        <f>_xlfn.LET(_xlpm.id,TRIM($A141),IF(_xlpm.id="","",SUM(COUNTIF('1. OP'!$M:$M,_xlpm.id),COUNTIF('2. JSEL'!$M:$M,_xlpm.id),COUNTIF('3. PSM'!$M:$M,_xlpm.id),COUNTIF('4. SSP'!$M:$M,_xlpm.id),COUNTIF('5. JSACI'!$M:$M,_xlpm.id),COUNTIF('6. AIN'!$M:$M,_xlpm.id),COUNTIF('7. MS'!$M:$M,_xlpm.id),COUNTIF('8. DS'!$M:$M,_xlpm.id),COUNTIF('9. RMF'!$M:$M,_xlpm.id),COUNTIF('10. PCU'!$M:$M,_xlpm.id))))</f>
        <v>0</v>
      </c>
    </row>
    <row r="142" spans="1:9">
      <c r="A142" t="s">
        <v>7185</v>
      </c>
      <c r="B142" t="s">
        <v>8203</v>
      </c>
      <c r="C142">
        <v>1826</v>
      </c>
      <c r="D142">
        <v>1</v>
      </c>
      <c r="E142" s="23">
        <v>53</v>
      </c>
      <c r="F142" t="s">
        <v>8102</v>
      </c>
      <c r="G142" t="s">
        <v>10484</v>
      </c>
      <c r="H142" t="s">
        <v>8021</v>
      </c>
      <c r="I142">
        <f>_xlfn.LET(_xlpm.id,TRIM($A142),IF(_xlpm.id="","",SUM(COUNTIF('1. OP'!$M:$M,_xlpm.id),COUNTIF('2. JSEL'!$M:$M,_xlpm.id),COUNTIF('3. PSM'!$M:$M,_xlpm.id),COUNTIF('4. SSP'!$M:$M,_xlpm.id),COUNTIF('5. JSACI'!$M:$M,_xlpm.id),COUNTIF('6. AIN'!$M:$M,_xlpm.id),COUNTIF('7. MS'!$M:$M,_xlpm.id),COUNTIF('8. DS'!$M:$M,_xlpm.id),COUNTIF('9. RMF'!$M:$M,_xlpm.id),COUNTIF('10. PCU'!$M:$M,_xlpm.id))))</f>
        <v>1</v>
      </c>
    </row>
    <row r="143" spans="1:9">
      <c r="A143" t="s">
        <v>8205</v>
      </c>
      <c r="B143" t="s">
        <v>8203</v>
      </c>
      <c r="C143">
        <v>1827</v>
      </c>
      <c r="D143">
        <v>1</v>
      </c>
      <c r="E143" s="23">
        <v>54</v>
      </c>
      <c r="F143" t="s">
        <v>8102</v>
      </c>
      <c r="G143" t="s">
        <v>10484</v>
      </c>
      <c r="H143" t="s">
        <v>8021</v>
      </c>
      <c r="I143">
        <f>_xlfn.LET(_xlpm.id,TRIM($A143),IF(_xlpm.id="","",SUM(COUNTIF('1. OP'!$M:$M,_xlpm.id),COUNTIF('2. JSEL'!$M:$M,_xlpm.id),COUNTIF('3. PSM'!$M:$M,_xlpm.id),COUNTIF('4. SSP'!$M:$M,_xlpm.id),COUNTIF('5. JSACI'!$M:$M,_xlpm.id),COUNTIF('6. AIN'!$M:$M,_xlpm.id),COUNTIF('7. MS'!$M:$M,_xlpm.id),COUNTIF('8. DS'!$M:$M,_xlpm.id),COUNTIF('9. RMF'!$M:$M,_xlpm.id),COUNTIF('10. PCU'!$M:$M,_xlpm.id))))</f>
        <v>0</v>
      </c>
    </row>
    <row r="144" spans="1:9">
      <c r="A144" t="s">
        <v>8206</v>
      </c>
      <c r="B144" t="s">
        <v>8203</v>
      </c>
      <c r="C144">
        <v>1828</v>
      </c>
      <c r="D144">
        <v>1</v>
      </c>
      <c r="E144" s="23">
        <v>55</v>
      </c>
      <c r="F144" t="s">
        <v>8102</v>
      </c>
      <c r="G144" t="s">
        <v>10484</v>
      </c>
      <c r="H144" t="s">
        <v>8021</v>
      </c>
      <c r="I144">
        <f>_xlfn.LET(_xlpm.id,TRIM($A144),IF(_xlpm.id="","",SUM(COUNTIF('1. OP'!$M:$M,_xlpm.id),COUNTIF('2. JSEL'!$M:$M,_xlpm.id),COUNTIF('3. PSM'!$M:$M,_xlpm.id),COUNTIF('4. SSP'!$M:$M,_xlpm.id),COUNTIF('5. JSACI'!$M:$M,_xlpm.id),COUNTIF('6. AIN'!$M:$M,_xlpm.id),COUNTIF('7. MS'!$M:$M,_xlpm.id),COUNTIF('8. DS'!$M:$M,_xlpm.id),COUNTIF('9. RMF'!$M:$M,_xlpm.id),COUNTIF('10. PCU'!$M:$M,_xlpm.id))))</f>
        <v>0</v>
      </c>
    </row>
    <row r="145" spans="1:9">
      <c r="A145" t="s">
        <v>8207</v>
      </c>
      <c r="B145" t="s">
        <v>8203</v>
      </c>
      <c r="C145">
        <v>1829</v>
      </c>
      <c r="D145">
        <v>1</v>
      </c>
      <c r="E145" s="23">
        <v>56</v>
      </c>
      <c r="F145" t="s">
        <v>8102</v>
      </c>
      <c r="G145" t="s">
        <v>10484</v>
      </c>
      <c r="H145" t="s">
        <v>8021</v>
      </c>
      <c r="I145">
        <f>_xlfn.LET(_xlpm.id,TRIM($A145),IF(_xlpm.id="","",SUM(COUNTIF('1. OP'!$M:$M,_xlpm.id),COUNTIF('2. JSEL'!$M:$M,_xlpm.id),COUNTIF('3. PSM'!$M:$M,_xlpm.id),COUNTIF('4. SSP'!$M:$M,_xlpm.id),COUNTIF('5. JSACI'!$M:$M,_xlpm.id),COUNTIF('6. AIN'!$M:$M,_xlpm.id),COUNTIF('7. MS'!$M:$M,_xlpm.id),COUNTIF('8. DS'!$M:$M,_xlpm.id),COUNTIF('9. RMF'!$M:$M,_xlpm.id),COUNTIF('10. PCU'!$M:$M,_xlpm.id))))</f>
        <v>0</v>
      </c>
    </row>
    <row r="146" spans="1:9">
      <c r="A146" t="s">
        <v>7094</v>
      </c>
      <c r="B146" t="s">
        <v>8208</v>
      </c>
      <c r="C146">
        <v>1831</v>
      </c>
      <c r="D146">
        <v>1</v>
      </c>
      <c r="E146" s="23">
        <v>1</v>
      </c>
      <c r="F146" t="s">
        <v>8102</v>
      </c>
      <c r="G146" t="s">
        <v>10484</v>
      </c>
      <c r="H146" t="s">
        <v>8021</v>
      </c>
      <c r="I146">
        <f>_xlfn.LET(_xlpm.id,TRIM($A146),IF(_xlpm.id="","",SUM(COUNTIF('1. OP'!$M:$M,_xlpm.id),COUNTIF('2. JSEL'!$M:$M,_xlpm.id),COUNTIF('3. PSM'!$M:$M,_xlpm.id),COUNTIF('4. SSP'!$M:$M,_xlpm.id),COUNTIF('5. JSACI'!$M:$M,_xlpm.id),COUNTIF('6. AIN'!$M:$M,_xlpm.id),COUNTIF('7. MS'!$M:$M,_xlpm.id),COUNTIF('8. DS'!$M:$M,_xlpm.id),COUNTIF('9. RMF'!$M:$M,_xlpm.id),COUNTIF('10. PCU'!$M:$M,_xlpm.id))))</f>
        <v>0</v>
      </c>
    </row>
    <row r="147" spans="1:9">
      <c r="A147" t="s">
        <v>8209</v>
      </c>
      <c r="B147" t="s">
        <v>8208</v>
      </c>
      <c r="C147">
        <v>1832</v>
      </c>
      <c r="D147">
        <v>1</v>
      </c>
      <c r="E147" s="23">
        <v>2</v>
      </c>
      <c r="F147" t="s">
        <v>8102</v>
      </c>
      <c r="G147" t="s">
        <v>10484</v>
      </c>
      <c r="H147" t="s">
        <v>8021</v>
      </c>
      <c r="I147">
        <f>_xlfn.LET(_xlpm.id,TRIM($A147),IF(_xlpm.id="","",SUM(COUNTIF('1. OP'!$M:$M,_xlpm.id),COUNTIF('2. JSEL'!$M:$M,_xlpm.id),COUNTIF('3. PSM'!$M:$M,_xlpm.id),COUNTIF('4. SSP'!$M:$M,_xlpm.id),COUNTIF('5. JSACI'!$M:$M,_xlpm.id),COUNTIF('6. AIN'!$M:$M,_xlpm.id),COUNTIF('7. MS'!$M:$M,_xlpm.id),COUNTIF('8. DS'!$M:$M,_xlpm.id),COUNTIF('9. RMF'!$M:$M,_xlpm.id),COUNTIF('10. PCU'!$M:$M,_xlpm.id))))</f>
        <v>0</v>
      </c>
    </row>
    <row r="148" spans="1:9">
      <c r="A148" t="s">
        <v>8210</v>
      </c>
      <c r="B148" t="s">
        <v>8208</v>
      </c>
      <c r="C148">
        <v>1833</v>
      </c>
      <c r="D148">
        <v>1</v>
      </c>
      <c r="E148" s="23">
        <v>3</v>
      </c>
      <c r="F148" t="s">
        <v>8102</v>
      </c>
      <c r="G148" t="s">
        <v>10484</v>
      </c>
      <c r="H148" t="s">
        <v>8021</v>
      </c>
      <c r="I148">
        <f>_xlfn.LET(_xlpm.id,TRIM($A148),IF(_xlpm.id="","",SUM(COUNTIF('1. OP'!$M:$M,_xlpm.id),COUNTIF('2. JSEL'!$M:$M,_xlpm.id),COUNTIF('3. PSM'!$M:$M,_xlpm.id),COUNTIF('4. SSP'!$M:$M,_xlpm.id),COUNTIF('5. JSACI'!$M:$M,_xlpm.id),COUNTIF('6. AIN'!$M:$M,_xlpm.id),COUNTIF('7. MS'!$M:$M,_xlpm.id),COUNTIF('8. DS'!$M:$M,_xlpm.id),COUNTIF('9. RMF'!$M:$M,_xlpm.id),COUNTIF('10. PCU'!$M:$M,_xlpm.id))))</f>
        <v>0</v>
      </c>
    </row>
    <row r="149" spans="1:9">
      <c r="A149" t="s">
        <v>5044</v>
      </c>
      <c r="B149" t="s">
        <v>8208</v>
      </c>
      <c r="C149">
        <v>1834</v>
      </c>
      <c r="D149">
        <v>1</v>
      </c>
      <c r="E149" s="23">
        <v>4</v>
      </c>
      <c r="F149" t="s">
        <v>8102</v>
      </c>
      <c r="G149" t="s">
        <v>10484</v>
      </c>
      <c r="H149" t="s">
        <v>8021</v>
      </c>
      <c r="I149">
        <f>_xlfn.LET(_xlpm.id,TRIM($A149),IF(_xlpm.id="","",SUM(COUNTIF('1. OP'!$M:$M,_xlpm.id),COUNTIF('2. JSEL'!$M:$M,_xlpm.id),COUNTIF('3. PSM'!$M:$M,_xlpm.id),COUNTIF('4. SSP'!$M:$M,_xlpm.id),COUNTIF('5. JSACI'!$M:$M,_xlpm.id),COUNTIF('6. AIN'!$M:$M,_xlpm.id),COUNTIF('7. MS'!$M:$M,_xlpm.id),COUNTIF('8. DS'!$M:$M,_xlpm.id),COUNTIF('9. RMF'!$M:$M,_xlpm.id),COUNTIF('10. PCU'!$M:$M,_xlpm.id))))</f>
        <v>6</v>
      </c>
    </row>
    <row r="150" spans="1:9">
      <c r="A150" t="s">
        <v>8211</v>
      </c>
      <c r="B150" t="s">
        <v>8208</v>
      </c>
      <c r="C150">
        <v>1835</v>
      </c>
      <c r="D150">
        <v>1</v>
      </c>
      <c r="E150" s="23">
        <v>5</v>
      </c>
      <c r="F150" t="s">
        <v>8102</v>
      </c>
      <c r="G150" t="s">
        <v>10484</v>
      </c>
      <c r="H150" t="s">
        <v>8021</v>
      </c>
      <c r="I150">
        <f>_xlfn.LET(_xlpm.id,TRIM($A150),IF(_xlpm.id="","",SUM(COUNTIF('1. OP'!$M:$M,_xlpm.id),COUNTIF('2. JSEL'!$M:$M,_xlpm.id),COUNTIF('3. PSM'!$M:$M,_xlpm.id),COUNTIF('4. SSP'!$M:$M,_xlpm.id),COUNTIF('5. JSACI'!$M:$M,_xlpm.id),COUNTIF('6. AIN'!$M:$M,_xlpm.id),COUNTIF('7. MS'!$M:$M,_xlpm.id),COUNTIF('8. DS'!$M:$M,_xlpm.id),COUNTIF('9. RMF'!$M:$M,_xlpm.id),COUNTIF('10. PCU'!$M:$M,_xlpm.id))))</f>
        <v>0</v>
      </c>
    </row>
    <row r="151" spans="1:9">
      <c r="A151" t="s">
        <v>6435</v>
      </c>
      <c r="B151" t="s">
        <v>8208</v>
      </c>
      <c r="C151">
        <v>1836</v>
      </c>
      <c r="D151">
        <v>1</v>
      </c>
      <c r="E151" s="23">
        <v>6</v>
      </c>
      <c r="F151" t="s">
        <v>8102</v>
      </c>
      <c r="G151" t="s">
        <v>10484</v>
      </c>
      <c r="H151" t="s">
        <v>8021</v>
      </c>
      <c r="I151">
        <f>_xlfn.LET(_xlpm.id,TRIM($A151),IF(_xlpm.id="","",SUM(COUNTIF('1. OP'!$M:$M,_xlpm.id),COUNTIF('2. JSEL'!$M:$M,_xlpm.id),COUNTIF('3. PSM'!$M:$M,_xlpm.id),COUNTIF('4. SSP'!$M:$M,_xlpm.id),COUNTIF('5. JSACI'!$M:$M,_xlpm.id),COUNTIF('6. AIN'!$M:$M,_xlpm.id),COUNTIF('7. MS'!$M:$M,_xlpm.id),COUNTIF('8. DS'!$M:$M,_xlpm.id),COUNTIF('9. RMF'!$M:$M,_xlpm.id),COUNTIF('10. PCU'!$M:$M,_xlpm.id))))</f>
        <v>7</v>
      </c>
    </row>
    <row r="152" spans="1:9">
      <c r="A152" t="s">
        <v>7472</v>
      </c>
      <c r="B152" t="s">
        <v>8208</v>
      </c>
      <c r="C152">
        <v>1837</v>
      </c>
      <c r="D152">
        <v>1</v>
      </c>
      <c r="E152" s="23">
        <v>7</v>
      </c>
      <c r="F152" t="s">
        <v>8102</v>
      </c>
      <c r="G152" t="s">
        <v>10484</v>
      </c>
      <c r="H152" t="s">
        <v>8021</v>
      </c>
      <c r="I152">
        <f>_xlfn.LET(_xlpm.id,TRIM($A152),IF(_xlpm.id="","",SUM(COUNTIF('1. OP'!$M:$M,_xlpm.id),COUNTIF('2. JSEL'!$M:$M,_xlpm.id),COUNTIF('3. PSM'!$M:$M,_xlpm.id),COUNTIF('4. SSP'!$M:$M,_xlpm.id),COUNTIF('5. JSACI'!$M:$M,_xlpm.id),COUNTIF('6. AIN'!$M:$M,_xlpm.id),COUNTIF('7. MS'!$M:$M,_xlpm.id),COUNTIF('8. DS'!$M:$M,_xlpm.id),COUNTIF('9. RMF'!$M:$M,_xlpm.id),COUNTIF('10. PCU'!$M:$M,_xlpm.id))))</f>
        <v>3</v>
      </c>
    </row>
    <row r="153" spans="1:9">
      <c r="A153" t="s">
        <v>8212</v>
      </c>
      <c r="B153" t="s">
        <v>8208</v>
      </c>
      <c r="C153">
        <v>1838</v>
      </c>
      <c r="D153">
        <v>1</v>
      </c>
      <c r="E153" s="23">
        <v>8</v>
      </c>
      <c r="F153" t="s">
        <v>8102</v>
      </c>
      <c r="G153" t="s">
        <v>10484</v>
      </c>
      <c r="H153" t="s">
        <v>8021</v>
      </c>
      <c r="I153">
        <f>_xlfn.LET(_xlpm.id,TRIM($A153),IF(_xlpm.id="","",SUM(COUNTIF('1. OP'!$M:$M,_xlpm.id),COUNTIF('2. JSEL'!$M:$M,_xlpm.id),COUNTIF('3. PSM'!$M:$M,_xlpm.id),COUNTIF('4. SSP'!$M:$M,_xlpm.id),COUNTIF('5. JSACI'!$M:$M,_xlpm.id),COUNTIF('6. AIN'!$M:$M,_xlpm.id),COUNTIF('7. MS'!$M:$M,_xlpm.id),COUNTIF('8. DS'!$M:$M,_xlpm.id),COUNTIF('9. RMF'!$M:$M,_xlpm.id),COUNTIF('10. PCU'!$M:$M,_xlpm.id))))</f>
        <v>0</v>
      </c>
    </row>
    <row r="154" spans="1:9">
      <c r="A154" t="s">
        <v>7464</v>
      </c>
      <c r="B154" t="s">
        <v>8208</v>
      </c>
      <c r="C154">
        <v>1839</v>
      </c>
      <c r="D154">
        <v>1</v>
      </c>
      <c r="E154" s="23">
        <v>9</v>
      </c>
      <c r="F154" t="s">
        <v>8102</v>
      </c>
      <c r="G154" t="s">
        <v>10484</v>
      </c>
      <c r="H154" t="s">
        <v>8021</v>
      </c>
      <c r="I154">
        <f>_xlfn.LET(_xlpm.id,TRIM($A154),IF(_xlpm.id="","",SUM(COUNTIF('1. OP'!$M:$M,_xlpm.id),COUNTIF('2. JSEL'!$M:$M,_xlpm.id),COUNTIF('3. PSM'!$M:$M,_xlpm.id),COUNTIF('4. SSP'!$M:$M,_xlpm.id),COUNTIF('5. JSACI'!$M:$M,_xlpm.id),COUNTIF('6. AIN'!$M:$M,_xlpm.id),COUNTIF('7. MS'!$M:$M,_xlpm.id),COUNTIF('8. DS'!$M:$M,_xlpm.id),COUNTIF('9. RMF'!$M:$M,_xlpm.id),COUNTIF('10. PCU'!$M:$M,_xlpm.id))))</f>
        <v>6</v>
      </c>
    </row>
    <row r="155" spans="1:9">
      <c r="A155" t="s">
        <v>8213</v>
      </c>
      <c r="B155" t="s">
        <v>8208</v>
      </c>
      <c r="C155">
        <v>1840</v>
      </c>
      <c r="D155">
        <v>1</v>
      </c>
      <c r="E155" s="23">
        <v>10</v>
      </c>
      <c r="F155" t="s">
        <v>8102</v>
      </c>
      <c r="G155" t="s">
        <v>10484</v>
      </c>
      <c r="H155" t="s">
        <v>8021</v>
      </c>
      <c r="I155">
        <f>_xlfn.LET(_xlpm.id,TRIM($A155),IF(_xlpm.id="","",SUM(COUNTIF('1. OP'!$M:$M,_xlpm.id),COUNTIF('2. JSEL'!$M:$M,_xlpm.id),COUNTIF('3. PSM'!$M:$M,_xlpm.id),COUNTIF('4. SSP'!$M:$M,_xlpm.id),COUNTIF('5. JSACI'!$M:$M,_xlpm.id),COUNTIF('6. AIN'!$M:$M,_xlpm.id),COUNTIF('7. MS'!$M:$M,_xlpm.id),COUNTIF('8. DS'!$M:$M,_xlpm.id),COUNTIF('9. RMF'!$M:$M,_xlpm.id),COUNTIF('10. PCU'!$M:$M,_xlpm.id))))</f>
        <v>0</v>
      </c>
    </row>
    <row r="156" spans="1:9">
      <c r="A156" t="s">
        <v>8214</v>
      </c>
      <c r="B156" t="s">
        <v>8208</v>
      </c>
      <c r="C156">
        <v>1841</v>
      </c>
      <c r="D156">
        <v>1</v>
      </c>
      <c r="E156" s="23">
        <v>11</v>
      </c>
      <c r="F156" t="s">
        <v>8102</v>
      </c>
      <c r="G156" t="s">
        <v>10484</v>
      </c>
      <c r="H156" t="s">
        <v>8021</v>
      </c>
      <c r="I156">
        <f>_xlfn.LET(_xlpm.id,TRIM($A156),IF(_xlpm.id="","",SUM(COUNTIF('1. OP'!$M:$M,_xlpm.id),COUNTIF('2. JSEL'!$M:$M,_xlpm.id),COUNTIF('3. PSM'!$M:$M,_xlpm.id),COUNTIF('4. SSP'!$M:$M,_xlpm.id),COUNTIF('5. JSACI'!$M:$M,_xlpm.id),COUNTIF('6. AIN'!$M:$M,_xlpm.id),COUNTIF('7. MS'!$M:$M,_xlpm.id),COUNTIF('8. DS'!$M:$M,_xlpm.id),COUNTIF('9. RMF'!$M:$M,_xlpm.id),COUNTIF('10. PCU'!$M:$M,_xlpm.id))))</f>
        <v>0</v>
      </c>
    </row>
    <row r="157" spans="1:9">
      <c r="A157" t="s">
        <v>6415</v>
      </c>
      <c r="B157" t="s">
        <v>8215</v>
      </c>
      <c r="C157">
        <v>1825</v>
      </c>
      <c r="D157">
        <v>1</v>
      </c>
      <c r="E157" s="23">
        <v>1</v>
      </c>
      <c r="F157" t="s">
        <v>8102</v>
      </c>
      <c r="G157" t="s">
        <v>10484</v>
      </c>
      <c r="H157" t="s">
        <v>8021</v>
      </c>
      <c r="I157">
        <f>_xlfn.LET(_xlpm.id,TRIM($A157),IF(_xlpm.id="","",SUM(COUNTIF('1. OP'!$M:$M,_xlpm.id),COUNTIF('2. JSEL'!$M:$M,_xlpm.id),COUNTIF('3. PSM'!$M:$M,_xlpm.id),COUNTIF('4. SSP'!$M:$M,_xlpm.id),COUNTIF('5. JSACI'!$M:$M,_xlpm.id),COUNTIF('6. AIN'!$M:$M,_xlpm.id),COUNTIF('7. MS'!$M:$M,_xlpm.id),COUNTIF('8. DS'!$M:$M,_xlpm.id),COUNTIF('9. RMF'!$M:$M,_xlpm.id),COUNTIF('10. PCU'!$M:$M,_xlpm.id))))</f>
        <v>1</v>
      </c>
    </row>
    <row r="158" spans="1:9">
      <c r="A158" t="s">
        <v>8216</v>
      </c>
      <c r="B158" t="s">
        <v>8215</v>
      </c>
      <c r="C158">
        <v>1826</v>
      </c>
      <c r="D158">
        <v>1</v>
      </c>
      <c r="E158" s="23">
        <v>2</v>
      </c>
      <c r="F158" t="s">
        <v>8102</v>
      </c>
      <c r="G158" t="s">
        <v>10484</v>
      </c>
      <c r="H158" t="s">
        <v>8021</v>
      </c>
      <c r="I158">
        <f>_xlfn.LET(_xlpm.id,TRIM($A158),IF(_xlpm.id="","",SUM(COUNTIF('1. OP'!$M:$M,_xlpm.id),COUNTIF('2. JSEL'!$M:$M,_xlpm.id),COUNTIF('3. PSM'!$M:$M,_xlpm.id),COUNTIF('4. SSP'!$M:$M,_xlpm.id),COUNTIF('5. JSACI'!$M:$M,_xlpm.id),COUNTIF('6. AIN'!$M:$M,_xlpm.id),COUNTIF('7. MS'!$M:$M,_xlpm.id),COUNTIF('8. DS'!$M:$M,_xlpm.id),COUNTIF('9. RMF'!$M:$M,_xlpm.id),COUNTIF('10. PCU'!$M:$M,_xlpm.id))))</f>
        <v>0</v>
      </c>
    </row>
    <row r="159" spans="1:9">
      <c r="A159" t="s">
        <v>6328</v>
      </c>
      <c r="B159" t="s">
        <v>8215</v>
      </c>
      <c r="C159">
        <v>1827</v>
      </c>
      <c r="D159">
        <v>1</v>
      </c>
      <c r="E159" s="23">
        <v>3</v>
      </c>
      <c r="F159" t="s">
        <v>8102</v>
      </c>
      <c r="G159" t="s">
        <v>10484</v>
      </c>
      <c r="H159" t="s">
        <v>8021</v>
      </c>
      <c r="I159">
        <f>_xlfn.LET(_xlpm.id,TRIM($A159),IF(_xlpm.id="","",SUM(COUNTIF('1. OP'!$M:$M,_xlpm.id),COUNTIF('2. JSEL'!$M:$M,_xlpm.id),COUNTIF('3. PSM'!$M:$M,_xlpm.id),COUNTIF('4. SSP'!$M:$M,_xlpm.id),COUNTIF('5. JSACI'!$M:$M,_xlpm.id),COUNTIF('6. AIN'!$M:$M,_xlpm.id),COUNTIF('7. MS'!$M:$M,_xlpm.id),COUNTIF('8. DS'!$M:$M,_xlpm.id),COUNTIF('9. RMF'!$M:$M,_xlpm.id),COUNTIF('10. PCU'!$M:$M,_xlpm.id))))</f>
        <v>2</v>
      </c>
    </row>
    <row r="160" spans="1:9">
      <c r="A160" t="s">
        <v>7694</v>
      </c>
      <c r="B160" t="s">
        <v>8215</v>
      </c>
      <c r="C160">
        <v>1828</v>
      </c>
      <c r="D160">
        <v>1</v>
      </c>
      <c r="E160" s="23">
        <v>4</v>
      </c>
      <c r="F160" t="s">
        <v>8102</v>
      </c>
      <c r="G160" t="s">
        <v>10484</v>
      </c>
      <c r="H160" t="s">
        <v>8021</v>
      </c>
      <c r="I160">
        <f>_xlfn.LET(_xlpm.id,TRIM($A160),IF(_xlpm.id="","",SUM(COUNTIF('1. OP'!$M:$M,_xlpm.id),COUNTIF('2. JSEL'!$M:$M,_xlpm.id),COUNTIF('3. PSM'!$M:$M,_xlpm.id),COUNTIF('4. SSP'!$M:$M,_xlpm.id),COUNTIF('5. JSACI'!$M:$M,_xlpm.id),COUNTIF('6. AIN'!$M:$M,_xlpm.id),COUNTIF('7. MS'!$M:$M,_xlpm.id),COUNTIF('8. DS'!$M:$M,_xlpm.id),COUNTIF('9. RMF'!$M:$M,_xlpm.id),COUNTIF('10. PCU'!$M:$M,_xlpm.id))))</f>
        <v>1</v>
      </c>
    </row>
    <row r="161" spans="1:9">
      <c r="A161" t="s">
        <v>7181</v>
      </c>
      <c r="B161" t="s">
        <v>8215</v>
      </c>
      <c r="C161">
        <v>1829</v>
      </c>
      <c r="D161">
        <v>1</v>
      </c>
      <c r="E161" s="23">
        <v>5</v>
      </c>
      <c r="F161" t="s">
        <v>8102</v>
      </c>
      <c r="G161" t="s">
        <v>10484</v>
      </c>
      <c r="H161" t="s">
        <v>8021</v>
      </c>
      <c r="I161">
        <f>_xlfn.LET(_xlpm.id,TRIM($A161),IF(_xlpm.id="","",SUM(COUNTIF('1. OP'!$M:$M,_xlpm.id),COUNTIF('2. JSEL'!$M:$M,_xlpm.id),COUNTIF('3. PSM'!$M:$M,_xlpm.id),COUNTIF('4. SSP'!$M:$M,_xlpm.id),COUNTIF('5. JSACI'!$M:$M,_xlpm.id),COUNTIF('6. AIN'!$M:$M,_xlpm.id),COUNTIF('7. MS'!$M:$M,_xlpm.id),COUNTIF('8. DS'!$M:$M,_xlpm.id),COUNTIF('9. RMF'!$M:$M,_xlpm.id),COUNTIF('10. PCU'!$M:$M,_xlpm.id))))</f>
        <v>1</v>
      </c>
    </row>
    <row r="162" spans="1:9">
      <c r="A162" t="s">
        <v>8217</v>
      </c>
      <c r="B162" t="s">
        <v>8215</v>
      </c>
      <c r="C162">
        <v>1830</v>
      </c>
      <c r="D162">
        <v>1</v>
      </c>
      <c r="E162" s="23">
        <v>6</v>
      </c>
      <c r="F162" t="s">
        <v>8102</v>
      </c>
      <c r="G162" t="s">
        <v>10484</v>
      </c>
      <c r="H162" t="s">
        <v>8021</v>
      </c>
      <c r="I162">
        <f>_xlfn.LET(_xlpm.id,TRIM($A162),IF(_xlpm.id="","",SUM(COUNTIF('1. OP'!$M:$M,_xlpm.id),COUNTIF('2. JSEL'!$M:$M,_xlpm.id),COUNTIF('3. PSM'!$M:$M,_xlpm.id),COUNTIF('4. SSP'!$M:$M,_xlpm.id),COUNTIF('5. JSACI'!$M:$M,_xlpm.id),COUNTIF('6. AIN'!$M:$M,_xlpm.id),COUNTIF('7. MS'!$M:$M,_xlpm.id),COUNTIF('8. DS'!$M:$M,_xlpm.id),COUNTIF('9. RMF'!$M:$M,_xlpm.id),COUNTIF('10. PCU'!$M:$M,_xlpm.id))))</f>
        <v>0</v>
      </c>
    </row>
    <row r="163" spans="1:9">
      <c r="A163" t="s">
        <v>8218</v>
      </c>
      <c r="B163" t="s">
        <v>8215</v>
      </c>
      <c r="C163">
        <v>1831</v>
      </c>
      <c r="D163">
        <v>1</v>
      </c>
      <c r="E163" s="23">
        <v>7</v>
      </c>
      <c r="F163" t="s">
        <v>8102</v>
      </c>
      <c r="G163" t="s">
        <v>10484</v>
      </c>
      <c r="H163" t="s">
        <v>8021</v>
      </c>
      <c r="I163">
        <f>_xlfn.LET(_xlpm.id,TRIM($A163),IF(_xlpm.id="","",SUM(COUNTIF('1. OP'!$M:$M,_xlpm.id),COUNTIF('2. JSEL'!$M:$M,_xlpm.id),COUNTIF('3. PSM'!$M:$M,_xlpm.id),COUNTIF('4. SSP'!$M:$M,_xlpm.id),COUNTIF('5. JSACI'!$M:$M,_xlpm.id),COUNTIF('6. AIN'!$M:$M,_xlpm.id),COUNTIF('7. MS'!$M:$M,_xlpm.id),COUNTIF('8. DS'!$M:$M,_xlpm.id),COUNTIF('9. RMF'!$M:$M,_xlpm.id),COUNTIF('10. PCU'!$M:$M,_xlpm.id))))</f>
        <v>0</v>
      </c>
    </row>
    <row r="164" spans="1:9">
      <c r="A164" t="s">
        <v>7272</v>
      </c>
      <c r="B164" t="s">
        <v>8215</v>
      </c>
      <c r="C164">
        <v>1832</v>
      </c>
      <c r="D164">
        <v>1</v>
      </c>
      <c r="E164" s="23">
        <v>8</v>
      </c>
      <c r="F164" t="s">
        <v>8102</v>
      </c>
      <c r="G164" t="s">
        <v>10484</v>
      </c>
      <c r="H164" t="s">
        <v>8021</v>
      </c>
      <c r="I164">
        <f>_xlfn.LET(_xlpm.id,TRIM($A164),IF(_xlpm.id="","",SUM(COUNTIF('1. OP'!$M:$M,_xlpm.id),COUNTIF('2. JSEL'!$M:$M,_xlpm.id),COUNTIF('3. PSM'!$M:$M,_xlpm.id),COUNTIF('4. SSP'!$M:$M,_xlpm.id),COUNTIF('5. JSACI'!$M:$M,_xlpm.id),COUNTIF('6. AIN'!$M:$M,_xlpm.id),COUNTIF('7. MS'!$M:$M,_xlpm.id),COUNTIF('8. DS'!$M:$M,_xlpm.id),COUNTIF('9. RMF'!$M:$M,_xlpm.id),COUNTIF('10. PCU'!$M:$M,_xlpm.id))))</f>
        <v>1</v>
      </c>
    </row>
    <row r="165" spans="1:9">
      <c r="A165" t="s">
        <v>7273</v>
      </c>
      <c r="B165" t="s">
        <v>8215</v>
      </c>
      <c r="C165">
        <v>1833</v>
      </c>
      <c r="D165">
        <v>1</v>
      </c>
      <c r="E165" s="23">
        <v>9</v>
      </c>
      <c r="F165" t="s">
        <v>8102</v>
      </c>
      <c r="G165" t="s">
        <v>10484</v>
      </c>
      <c r="H165" t="s">
        <v>8021</v>
      </c>
      <c r="I165">
        <f>_xlfn.LET(_xlpm.id,TRIM($A165),IF(_xlpm.id="","",SUM(COUNTIF('1. OP'!$M:$M,_xlpm.id),COUNTIF('2. JSEL'!$M:$M,_xlpm.id),COUNTIF('3. PSM'!$M:$M,_xlpm.id),COUNTIF('4. SSP'!$M:$M,_xlpm.id),COUNTIF('5. JSACI'!$M:$M,_xlpm.id),COUNTIF('6. AIN'!$M:$M,_xlpm.id),COUNTIF('7. MS'!$M:$M,_xlpm.id),COUNTIF('8. DS'!$M:$M,_xlpm.id),COUNTIF('9. RMF'!$M:$M,_xlpm.id),COUNTIF('10. PCU'!$M:$M,_xlpm.id))))</f>
        <v>2</v>
      </c>
    </row>
    <row r="166" spans="1:9">
      <c r="A166" t="s">
        <v>6548</v>
      </c>
      <c r="B166" t="s">
        <v>8215</v>
      </c>
      <c r="C166">
        <v>1834</v>
      </c>
      <c r="D166">
        <v>1</v>
      </c>
      <c r="E166" s="23">
        <v>10</v>
      </c>
      <c r="F166" t="s">
        <v>8102</v>
      </c>
      <c r="G166" t="s">
        <v>10484</v>
      </c>
      <c r="H166" t="s">
        <v>8021</v>
      </c>
      <c r="I166">
        <f>_xlfn.LET(_xlpm.id,TRIM($A166),IF(_xlpm.id="","",SUM(COUNTIF('1. OP'!$M:$M,_xlpm.id),COUNTIF('2. JSEL'!$M:$M,_xlpm.id),COUNTIF('3. PSM'!$M:$M,_xlpm.id),COUNTIF('4. SSP'!$M:$M,_xlpm.id),COUNTIF('5. JSACI'!$M:$M,_xlpm.id),COUNTIF('6. AIN'!$M:$M,_xlpm.id),COUNTIF('7. MS'!$M:$M,_xlpm.id),COUNTIF('8. DS'!$M:$M,_xlpm.id),COUNTIF('9. RMF'!$M:$M,_xlpm.id),COUNTIF('10. PCU'!$M:$M,_xlpm.id))))</f>
        <v>5</v>
      </c>
    </row>
    <row r="167" spans="1:9">
      <c r="A167" t="s">
        <v>7344</v>
      </c>
      <c r="B167" t="s">
        <v>8215</v>
      </c>
      <c r="C167">
        <v>1835</v>
      </c>
      <c r="D167">
        <v>2</v>
      </c>
      <c r="E167" s="23">
        <v>1</v>
      </c>
      <c r="F167" t="s">
        <v>8102</v>
      </c>
      <c r="G167" t="s">
        <v>10484</v>
      </c>
      <c r="H167" t="s">
        <v>8021</v>
      </c>
      <c r="I167">
        <f>_xlfn.LET(_xlpm.id,TRIM($A167),IF(_xlpm.id="","",SUM(COUNTIF('1. OP'!$M:$M,_xlpm.id),COUNTIF('2. JSEL'!$M:$M,_xlpm.id),COUNTIF('3. PSM'!$M:$M,_xlpm.id),COUNTIF('4. SSP'!$M:$M,_xlpm.id),COUNTIF('5. JSACI'!$M:$M,_xlpm.id),COUNTIF('6. AIN'!$M:$M,_xlpm.id),COUNTIF('7. MS'!$M:$M,_xlpm.id),COUNTIF('8. DS'!$M:$M,_xlpm.id),COUNTIF('9. RMF'!$M:$M,_xlpm.id),COUNTIF('10. PCU'!$M:$M,_xlpm.id))))</f>
        <v>6</v>
      </c>
    </row>
    <row r="168" spans="1:9">
      <c r="A168" t="s">
        <v>8219</v>
      </c>
      <c r="B168" t="s">
        <v>8215</v>
      </c>
      <c r="C168">
        <v>1836</v>
      </c>
      <c r="D168">
        <v>2</v>
      </c>
      <c r="E168" s="23">
        <v>2</v>
      </c>
      <c r="F168" t="s">
        <v>8102</v>
      </c>
      <c r="G168" t="s">
        <v>10484</v>
      </c>
      <c r="H168" t="s">
        <v>8021</v>
      </c>
      <c r="I168">
        <f>_xlfn.LET(_xlpm.id,TRIM($A168),IF(_xlpm.id="","",SUM(COUNTIF('1. OP'!$M:$M,_xlpm.id),COUNTIF('2. JSEL'!$M:$M,_xlpm.id),COUNTIF('3. PSM'!$M:$M,_xlpm.id),COUNTIF('4. SSP'!$M:$M,_xlpm.id),COUNTIF('5. JSACI'!$M:$M,_xlpm.id),COUNTIF('6. AIN'!$M:$M,_xlpm.id),COUNTIF('7. MS'!$M:$M,_xlpm.id),COUNTIF('8. DS'!$M:$M,_xlpm.id),COUNTIF('9. RMF'!$M:$M,_xlpm.id),COUNTIF('10. PCU'!$M:$M,_xlpm.id))))</f>
        <v>0</v>
      </c>
    </row>
    <row r="169" spans="1:9">
      <c r="A169" t="s">
        <v>8220</v>
      </c>
      <c r="B169" t="s">
        <v>8215</v>
      </c>
      <c r="C169">
        <v>1837</v>
      </c>
      <c r="D169">
        <v>2</v>
      </c>
      <c r="E169" s="23">
        <v>3</v>
      </c>
      <c r="F169" t="s">
        <v>8102</v>
      </c>
      <c r="G169" t="s">
        <v>10484</v>
      </c>
      <c r="H169" t="s">
        <v>8021</v>
      </c>
      <c r="I169">
        <f>_xlfn.LET(_xlpm.id,TRIM($A169),IF(_xlpm.id="","",SUM(COUNTIF('1. OP'!$M:$M,_xlpm.id),COUNTIF('2. JSEL'!$M:$M,_xlpm.id),COUNTIF('3. PSM'!$M:$M,_xlpm.id),COUNTIF('4. SSP'!$M:$M,_xlpm.id),COUNTIF('5. JSACI'!$M:$M,_xlpm.id),COUNTIF('6. AIN'!$M:$M,_xlpm.id),COUNTIF('7. MS'!$M:$M,_xlpm.id),COUNTIF('8. DS'!$M:$M,_xlpm.id),COUNTIF('9. RMF'!$M:$M,_xlpm.id),COUNTIF('10. PCU'!$M:$M,_xlpm.id))))</f>
        <v>0</v>
      </c>
    </row>
    <row r="170" spans="1:9">
      <c r="A170" t="s">
        <v>8221</v>
      </c>
      <c r="B170" t="s">
        <v>8215</v>
      </c>
      <c r="C170">
        <v>1838</v>
      </c>
      <c r="D170">
        <v>2</v>
      </c>
      <c r="E170" s="23">
        <v>4</v>
      </c>
      <c r="F170" t="s">
        <v>8102</v>
      </c>
      <c r="G170" t="s">
        <v>10484</v>
      </c>
      <c r="H170" t="s">
        <v>8021</v>
      </c>
      <c r="I170">
        <f>_xlfn.LET(_xlpm.id,TRIM($A170),IF(_xlpm.id="","",SUM(COUNTIF('1. OP'!$M:$M,_xlpm.id),COUNTIF('2. JSEL'!$M:$M,_xlpm.id),COUNTIF('3. PSM'!$M:$M,_xlpm.id),COUNTIF('4. SSP'!$M:$M,_xlpm.id),COUNTIF('5. JSACI'!$M:$M,_xlpm.id),COUNTIF('6. AIN'!$M:$M,_xlpm.id),COUNTIF('7. MS'!$M:$M,_xlpm.id),COUNTIF('8. DS'!$M:$M,_xlpm.id),COUNTIF('9. RMF'!$M:$M,_xlpm.id),COUNTIF('10. PCU'!$M:$M,_xlpm.id))))</f>
        <v>0</v>
      </c>
    </row>
    <row r="171" spans="1:9">
      <c r="A171" t="s">
        <v>8222</v>
      </c>
      <c r="B171" t="s">
        <v>8215</v>
      </c>
      <c r="C171">
        <v>1839</v>
      </c>
      <c r="D171">
        <v>2</v>
      </c>
      <c r="E171" s="23">
        <v>5</v>
      </c>
      <c r="F171" t="s">
        <v>8102</v>
      </c>
      <c r="G171" t="s">
        <v>10484</v>
      </c>
      <c r="H171" t="s">
        <v>8021</v>
      </c>
      <c r="I171">
        <f>_xlfn.LET(_xlpm.id,TRIM($A171),IF(_xlpm.id="","",SUM(COUNTIF('1. OP'!$M:$M,_xlpm.id),COUNTIF('2. JSEL'!$M:$M,_xlpm.id),COUNTIF('3. PSM'!$M:$M,_xlpm.id),COUNTIF('4. SSP'!$M:$M,_xlpm.id),COUNTIF('5. JSACI'!$M:$M,_xlpm.id),COUNTIF('6. AIN'!$M:$M,_xlpm.id),COUNTIF('7. MS'!$M:$M,_xlpm.id),COUNTIF('8. DS'!$M:$M,_xlpm.id),COUNTIF('9. RMF'!$M:$M,_xlpm.id),COUNTIF('10. PCU'!$M:$M,_xlpm.id))))</f>
        <v>4</v>
      </c>
    </row>
    <row r="172" spans="1:9">
      <c r="A172" t="s">
        <v>8223</v>
      </c>
      <c r="B172" t="s">
        <v>8215</v>
      </c>
      <c r="C172">
        <v>1840</v>
      </c>
      <c r="D172">
        <v>2</v>
      </c>
      <c r="E172" s="23">
        <v>6</v>
      </c>
      <c r="F172" t="s">
        <v>8102</v>
      </c>
      <c r="G172" t="s">
        <v>10484</v>
      </c>
      <c r="H172" t="s">
        <v>8021</v>
      </c>
      <c r="I172">
        <f>_xlfn.LET(_xlpm.id,TRIM($A172),IF(_xlpm.id="","",SUM(COUNTIF('1. OP'!$M:$M,_xlpm.id),COUNTIF('2. JSEL'!$M:$M,_xlpm.id),COUNTIF('3. PSM'!$M:$M,_xlpm.id),COUNTIF('4. SSP'!$M:$M,_xlpm.id),COUNTIF('5. JSACI'!$M:$M,_xlpm.id),COUNTIF('6. AIN'!$M:$M,_xlpm.id),COUNTIF('7. MS'!$M:$M,_xlpm.id),COUNTIF('8. DS'!$M:$M,_xlpm.id),COUNTIF('9. RMF'!$M:$M,_xlpm.id),COUNTIF('10. PCU'!$M:$M,_xlpm.id))))</f>
        <v>0</v>
      </c>
    </row>
    <row r="173" spans="1:9">
      <c r="A173" t="s">
        <v>5017</v>
      </c>
      <c r="B173" t="s">
        <v>8224</v>
      </c>
      <c r="C173" t="s">
        <v>8225</v>
      </c>
      <c r="D173">
        <v>1</v>
      </c>
      <c r="E173" s="23">
        <v>1</v>
      </c>
      <c r="F173" t="s">
        <v>8102</v>
      </c>
      <c r="G173" t="s">
        <v>10484</v>
      </c>
      <c r="H173" t="s">
        <v>8021</v>
      </c>
      <c r="I173">
        <f>_xlfn.LET(_xlpm.id,TRIM($A173),IF(_xlpm.id="","",SUM(COUNTIF('1. OP'!$M:$M,_xlpm.id),COUNTIF('2. JSEL'!$M:$M,_xlpm.id),COUNTIF('3. PSM'!$M:$M,_xlpm.id),COUNTIF('4. SSP'!$M:$M,_xlpm.id),COUNTIF('5. JSACI'!$M:$M,_xlpm.id),COUNTIF('6. AIN'!$M:$M,_xlpm.id),COUNTIF('7. MS'!$M:$M,_xlpm.id),COUNTIF('8. DS'!$M:$M,_xlpm.id),COUNTIF('9. RMF'!$M:$M,_xlpm.id),COUNTIF('10. PCU'!$M:$M,_xlpm.id))))</f>
        <v>20</v>
      </c>
    </row>
    <row r="174" spans="1:9">
      <c r="A174" t="s">
        <v>6428</v>
      </c>
      <c r="B174" t="s">
        <v>8224</v>
      </c>
      <c r="C174" t="s">
        <v>8226</v>
      </c>
      <c r="D174">
        <v>1</v>
      </c>
      <c r="E174" s="23">
        <v>2</v>
      </c>
      <c r="F174" t="s">
        <v>8102</v>
      </c>
      <c r="G174" t="s">
        <v>10484</v>
      </c>
      <c r="H174" t="s">
        <v>8021</v>
      </c>
      <c r="I174">
        <f>_xlfn.LET(_xlpm.id,TRIM($A174),IF(_xlpm.id="","",SUM(COUNTIF('1. OP'!$M:$M,_xlpm.id),COUNTIF('2. JSEL'!$M:$M,_xlpm.id),COUNTIF('3. PSM'!$M:$M,_xlpm.id),COUNTIF('4. SSP'!$M:$M,_xlpm.id),COUNTIF('5. JSACI'!$M:$M,_xlpm.id),COUNTIF('6. AIN'!$M:$M,_xlpm.id),COUNTIF('7. MS'!$M:$M,_xlpm.id),COUNTIF('8. DS'!$M:$M,_xlpm.id),COUNTIF('9. RMF'!$M:$M,_xlpm.id),COUNTIF('10. PCU'!$M:$M,_xlpm.id))))</f>
        <v>12</v>
      </c>
    </row>
    <row r="175" spans="1:9">
      <c r="A175" t="s">
        <v>8227</v>
      </c>
      <c r="B175" t="s">
        <v>8224</v>
      </c>
      <c r="C175" t="s">
        <v>8228</v>
      </c>
      <c r="D175">
        <v>1</v>
      </c>
      <c r="E175" s="23">
        <v>3</v>
      </c>
      <c r="F175" t="s">
        <v>8102</v>
      </c>
      <c r="G175" t="s">
        <v>10484</v>
      </c>
      <c r="H175" t="s">
        <v>8021</v>
      </c>
      <c r="I175">
        <f>_xlfn.LET(_xlpm.id,TRIM($A175),IF(_xlpm.id="","",SUM(COUNTIF('1. OP'!$M:$M,_xlpm.id),COUNTIF('2. JSEL'!$M:$M,_xlpm.id),COUNTIF('3. PSM'!$M:$M,_xlpm.id),COUNTIF('4. SSP'!$M:$M,_xlpm.id),COUNTIF('5. JSACI'!$M:$M,_xlpm.id),COUNTIF('6. AIN'!$M:$M,_xlpm.id),COUNTIF('7. MS'!$M:$M,_xlpm.id),COUNTIF('8. DS'!$M:$M,_xlpm.id),COUNTIF('9. RMF'!$M:$M,_xlpm.id),COUNTIF('10. PCU'!$M:$M,_xlpm.id))))</f>
        <v>0</v>
      </c>
    </row>
    <row r="176" spans="1:9">
      <c r="A176" t="s">
        <v>7482</v>
      </c>
      <c r="B176" t="s">
        <v>8224</v>
      </c>
      <c r="C176" t="s">
        <v>8229</v>
      </c>
      <c r="D176">
        <v>1</v>
      </c>
      <c r="E176" s="23">
        <v>4</v>
      </c>
      <c r="F176" t="s">
        <v>8102</v>
      </c>
      <c r="G176" t="s">
        <v>10484</v>
      </c>
      <c r="H176" t="s">
        <v>8021</v>
      </c>
      <c r="I176">
        <f>_xlfn.LET(_xlpm.id,TRIM($A176),IF(_xlpm.id="","",SUM(COUNTIF('1. OP'!$M:$M,_xlpm.id),COUNTIF('2. JSEL'!$M:$M,_xlpm.id),COUNTIF('3. PSM'!$M:$M,_xlpm.id),COUNTIF('4. SSP'!$M:$M,_xlpm.id),COUNTIF('5. JSACI'!$M:$M,_xlpm.id),COUNTIF('6. AIN'!$M:$M,_xlpm.id),COUNTIF('7. MS'!$M:$M,_xlpm.id),COUNTIF('8. DS'!$M:$M,_xlpm.id),COUNTIF('9. RMF'!$M:$M,_xlpm.id),COUNTIF('10. PCU'!$M:$M,_xlpm.id))))</f>
        <v>5</v>
      </c>
    </row>
    <row r="177" spans="1:9">
      <c r="A177" t="s">
        <v>7468</v>
      </c>
      <c r="B177" t="s">
        <v>8224</v>
      </c>
      <c r="C177" t="s">
        <v>8230</v>
      </c>
      <c r="D177">
        <v>1</v>
      </c>
      <c r="E177" s="23">
        <v>5</v>
      </c>
      <c r="F177" t="s">
        <v>8102</v>
      </c>
      <c r="G177" t="s">
        <v>10484</v>
      </c>
      <c r="H177" t="s">
        <v>8021</v>
      </c>
      <c r="I177">
        <f>_xlfn.LET(_xlpm.id,TRIM($A177),IF(_xlpm.id="","",SUM(COUNTIF('1. OP'!$M:$M,_xlpm.id),COUNTIF('2. JSEL'!$M:$M,_xlpm.id),COUNTIF('3. PSM'!$M:$M,_xlpm.id),COUNTIF('4. SSP'!$M:$M,_xlpm.id),COUNTIF('5. JSACI'!$M:$M,_xlpm.id),COUNTIF('6. AIN'!$M:$M,_xlpm.id),COUNTIF('7. MS'!$M:$M,_xlpm.id),COUNTIF('8. DS'!$M:$M,_xlpm.id),COUNTIF('9. RMF'!$M:$M,_xlpm.id),COUNTIF('10. PCU'!$M:$M,_xlpm.id))))</f>
        <v>7</v>
      </c>
    </row>
    <row r="178" spans="1:9">
      <c r="A178" t="s">
        <v>7476</v>
      </c>
      <c r="B178" t="s">
        <v>8224</v>
      </c>
      <c r="C178" t="s">
        <v>8231</v>
      </c>
      <c r="D178">
        <v>1</v>
      </c>
      <c r="E178" s="23">
        <v>6</v>
      </c>
      <c r="F178" t="s">
        <v>8102</v>
      </c>
      <c r="G178" t="s">
        <v>10484</v>
      </c>
      <c r="H178" t="s">
        <v>8021</v>
      </c>
      <c r="I178">
        <f>_xlfn.LET(_xlpm.id,TRIM($A178),IF(_xlpm.id="","",SUM(COUNTIF('1. OP'!$M:$M,_xlpm.id),COUNTIF('2. JSEL'!$M:$M,_xlpm.id),COUNTIF('3. PSM'!$M:$M,_xlpm.id),COUNTIF('4. SSP'!$M:$M,_xlpm.id),COUNTIF('5. JSACI'!$M:$M,_xlpm.id),COUNTIF('6. AIN'!$M:$M,_xlpm.id),COUNTIF('7. MS'!$M:$M,_xlpm.id),COUNTIF('8. DS'!$M:$M,_xlpm.id),COUNTIF('9. RMF'!$M:$M,_xlpm.id),COUNTIF('10. PCU'!$M:$M,_xlpm.id))))</f>
        <v>17</v>
      </c>
    </row>
    <row r="179" spans="1:9">
      <c r="A179" t="s">
        <v>7475</v>
      </c>
      <c r="B179" t="s">
        <v>8224</v>
      </c>
      <c r="C179">
        <v>1839</v>
      </c>
      <c r="D179">
        <v>1</v>
      </c>
      <c r="E179" s="23">
        <v>7</v>
      </c>
      <c r="F179" t="s">
        <v>8102</v>
      </c>
      <c r="G179" t="s">
        <v>10484</v>
      </c>
      <c r="H179" t="s">
        <v>8021</v>
      </c>
      <c r="I179">
        <f>_xlfn.LET(_xlpm.id,TRIM($A179),IF(_xlpm.id="","",SUM(COUNTIF('1. OP'!$M:$M,_xlpm.id),COUNTIF('2. JSEL'!$M:$M,_xlpm.id),COUNTIF('3. PSM'!$M:$M,_xlpm.id),COUNTIF('4. SSP'!$M:$M,_xlpm.id),COUNTIF('5. JSACI'!$M:$M,_xlpm.id),COUNTIF('6. AIN'!$M:$M,_xlpm.id),COUNTIF('7. MS'!$M:$M,_xlpm.id),COUNTIF('8. DS'!$M:$M,_xlpm.id),COUNTIF('9. RMF'!$M:$M,_xlpm.id),COUNTIF('10. PCU'!$M:$M,_xlpm.id))))</f>
        <v>7</v>
      </c>
    </row>
    <row r="180" spans="1:9">
      <c r="A180" t="s">
        <v>8232</v>
      </c>
      <c r="B180" t="s">
        <v>8224</v>
      </c>
      <c r="C180">
        <v>1840</v>
      </c>
      <c r="D180">
        <v>1</v>
      </c>
      <c r="E180" s="23">
        <v>8</v>
      </c>
      <c r="F180" t="s">
        <v>8102</v>
      </c>
      <c r="G180" t="s">
        <v>10484</v>
      </c>
      <c r="H180" t="s">
        <v>8021</v>
      </c>
      <c r="I180">
        <f>_xlfn.LET(_xlpm.id,TRIM($A180),IF(_xlpm.id="","",SUM(COUNTIF('1. OP'!$M:$M,_xlpm.id),COUNTIF('2. JSEL'!$M:$M,_xlpm.id),COUNTIF('3. PSM'!$M:$M,_xlpm.id),COUNTIF('4. SSP'!$M:$M,_xlpm.id),COUNTIF('5. JSACI'!$M:$M,_xlpm.id),COUNTIF('6. AIN'!$M:$M,_xlpm.id),COUNTIF('7. MS'!$M:$M,_xlpm.id),COUNTIF('8. DS'!$M:$M,_xlpm.id),COUNTIF('9. RMF'!$M:$M,_xlpm.id),COUNTIF('10. PCU'!$M:$M,_xlpm.id))))</f>
        <v>0</v>
      </c>
    </row>
    <row r="181" spans="1:9">
      <c r="A181" t="s">
        <v>8233</v>
      </c>
      <c r="B181" t="s">
        <v>4515</v>
      </c>
      <c r="C181">
        <v>1815</v>
      </c>
      <c r="D181">
        <v>1</v>
      </c>
      <c r="E181" s="23">
        <v>1</v>
      </c>
      <c r="F181" t="s">
        <v>8102</v>
      </c>
      <c r="G181" t="s">
        <v>10484</v>
      </c>
      <c r="H181" t="s">
        <v>8021</v>
      </c>
      <c r="I181">
        <f>_xlfn.LET(_xlpm.id,TRIM($A181),IF(_xlpm.id="","",SUM(COUNTIF('1. OP'!$M:$M,_xlpm.id),COUNTIF('2. JSEL'!$M:$M,_xlpm.id),COUNTIF('3. PSM'!$M:$M,_xlpm.id),COUNTIF('4. SSP'!$M:$M,_xlpm.id),COUNTIF('5. JSACI'!$M:$M,_xlpm.id),COUNTIF('6. AIN'!$M:$M,_xlpm.id),COUNTIF('7. MS'!$M:$M,_xlpm.id),COUNTIF('8. DS'!$M:$M,_xlpm.id),COUNTIF('9. RMF'!$M:$M,_xlpm.id),COUNTIF('10. PCU'!$M:$M,_xlpm.id))))</f>
        <v>0</v>
      </c>
    </row>
    <row r="182" spans="1:9">
      <c r="A182" t="s">
        <v>8234</v>
      </c>
      <c r="B182" t="s">
        <v>4515</v>
      </c>
      <c r="C182">
        <v>1816</v>
      </c>
      <c r="D182">
        <v>1</v>
      </c>
      <c r="E182" s="23">
        <v>2</v>
      </c>
      <c r="F182" t="s">
        <v>8102</v>
      </c>
      <c r="G182" t="s">
        <v>10484</v>
      </c>
      <c r="H182" t="s">
        <v>8021</v>
      </c>
      <c r="I182">
        <f>_xlfn.LET(_xlpm.id,TRIM($A182),IF(_xlpm.id="","",SUM(COUNTIF('1. OP'!$M:$M,_xlpm.id),COUNTIF('2. JSEL'!$M:$M,_xlpm.id),COUNTIF('3. PSM'!$M:$M,_xlpm.id),COUNTIF('4. SSP'!$M:$M,_xlpm.id),COUNTIF('5. JSACI'!$M:$M,_xlpm.id),COUNTIF('6. AIN'!$M:$M,_xlpm.id),COUNTIF('7. MS'!$M:$M,_xlpm.id),COUNTIF('8. DS'!$M:$M,_xlpm.id),COUNTIF('9. RMF'!$M:$M,_xlpm.id),COUNTIF('10. PCU'!$M:$M,_xlpm.id))))</f>
        <v>0</v>
      </c>
    </row>
    <row r="183" spans="1:9">
      <c r="A183" t="s">
        <v>8235</v>
      </c>
      <c r="B183" t="s">
        <v>4515</v>
      </c>
      <c r="C183">
        <v>1817</v>
      </c>
      <c r="D183">
        <v>1</v>
      </c>
      <c r="E183" s="23">
        <v>3</v>
      </c>
      <c r="F183" t="s">
        <v>8102</v>
      </c>
      <c r="G183" t="s">
        <v>10484</v>
      </c>
      <c r="H183" t="s">
        <v>8021</v>
      </c>
      <c r="I183">
        <f>_xlfn.LET(_xlpm.id,TRIM($A183),IF(_xlpm.id="","",SUM(COUNTIF('1. OP'!$M:$M,_xlpm.id),COUNTIF('2. JSEL'!$M:$M,_xlpm.id),COUNTIF('3. PSM'!$M:$M,_xlpm.id),COUNTIF('4. SSP'!$M:$M,_xlpm.id),COUNTIF('5. JSACI'!$M:$M,_xlpm.id),COUNTIF('6. AIN'!$M:$M,_xlpm.id),COUNTIF('7. MS'!$M:$M,_xlpm.id),COUNTIF('8. DS'!$M:$M,_xlpm.id),COUNTIF('9. RMF'!$M:$M,_xlpm.id),COUNTIF('10. PCU'!$M:$M,_xlpm.id))))</f>
        <v>0</v>
      </c>
    </row>
    <row r="184" spans="1:9">
      <c r="A184" t="s">
        <v>8236</v>
      </c>
      <c r="B184" t="s">
        <v>4515</v>
      </c>
      <c r="C184">
        <v>1818</v>
      </c>
      <c r="D184">
        <v>1</v>
      </c>
      <c r="E184" s="23">
        <v>4</v>
      </c>
      <c r="F184" t="s">
        <v>8102</v>
      </c>
      <c r="G184" t="s">
        <v>10484</v>
      </c>
      <c r="H184" t="s">
        <v>8021</v>
      </c>
      <c r="I184">
        <f>_xlfn.LET(_xlpm.id,TRIM($A184),IF(_xlpm.id="","",SUM(COUNTIF('1. OP'!$M:$M,_xlpm.id),COUNTIF('2. JSEL'!$M:$M,_xlpm.id),COUNTIF('3. PSM'!$M:$M,_xlpm.id),COUNTIF('4. SSP'!$M:$M,_xlpm.id),COUNTIF('5. JSACI'!$M:$M,_xlpm.id),COUNTIF('6. AIN'!$M:$M,_xlpm.id),COUNTIF('7. MS'!$M:$M,_xlpm.id),COUNTIF('8. DS'!$M:$M,_xlpm.id),COUNTIF('9. RMF'!$M:$M,_xlpm.id),COUNTIF('10. PCU'!$M:$M,_xlpm.id))))</f>
        <v>0</v>
      </c>
    </row>
    <row r="185" spans="1:9">
      <c r="A185" t="s">
        <v>8237</v>
      </c>
      <c r="B185" t="s">
        <v>4515</v>
      </c>
      <c r="C185">
        <v>1819</v>
      </c>
      <c r="D185">
        <v>1</v>
      </c>
      <c r="E185" s="23">
        <v>5</v>
      </c>
      <c r="F185" t="s">
        <v>8102</v>
      </c>
      <c r="G185" t="s">
        <v>10484</v>
      </c>
      <c r="H185" t="s">
        <v>8021</v>
      </c>
      <c r="I185">
        <f>_xlfn.LET(_xlpm.id,TRIM($A185),IF(_xlpm.id="","",SUM(COUNTIF('1. OP'!$M:$M,_xlpm.id),COUNTIF('2. JSEL'!$M:$M,_xlpm.id),COUNTIF('3. PSM'!$M:$M,_xlpm.id),COUNTIF('4. SSP'!$M:$M,_xlpm.id),COUNTIF('5. JSACI'!$M:$M,_xlpm.id),COUNTIF('6. AIN'!$M:$M,_xlpm.id),COUNTIF('7. MS'!$M:$M,_xlpm.id),COUNTIF('8. DS'!$M:$M,_xlpm.id),COUNTIF('9. RMF'!$M:$M,_xlpm.id),COUNTIF('10. PCU'!$M:$M,_xlpm.id))))</f>
        <v>0</v>
      </c>
    </row>
    <row r="186" spans="1:9">
      <c r="A186" t="s">
        <v>8238</v>
      </c>
      <c r="B186" t="s">
        <v>4515</v>
      </c>
      <c r="C186">
        <v>1820</v>
      </c>
      <c r="D186">
        <v>1</v>
      </c>
      <c r="E186" s="23">
        <v>6</v>
      </c>
      <c r="F186" t="s">
        <v>8102</v>
      </c>
      <c r="G186" t="s">
        <v>10484</v>
      </c>
      <c r="H186" t="s">
        <v>8021</v>
      </c>
      <c r="I186">
        <f>_xlfn.LET(_xlpm.id,TRIM($A186),IF(_xlpm.id="","",SUM(COUNTIF('1. OP'!$M:$M,_xlpm.id),COUNTIF('2. JSEL'!$M:$M,_xlpm.id),COUNTIF('3. PSM'!$M:$M,_xlpm.id),COUNTIF('4. SSP'!$M:$M,_xlpm.id),COUNTIF('5. JSACI'!$M:$M,_xlpm.id),COUNTIF('6. AIN'!$M:$M,_xlpm.id),COUNTIF('7. MS'!$M:$M,_xlpm.id),COUNTIF('8. DS'!$M:$M,_xlpm.id),COUNTIF('9. RMF'!$M:$M,_xlpm.id),COUNTIF('10. PCU'!$M:$M,_xlpm.id))))</f>
        <v>0</v>
      </c>
    </row>
    <row r="187" spans="1:9">
      <c r="A187" t="s">
        <v>8239</v>
      </c>
      <c r="B187" t="s">
        <v>4515</v>
      </c>
      <c r="C187">
        <v>1821</v>
      </c>
      <c r="D187">
        <v>1</v>
      </c>
      <c r="E187" s="23">
        <v>7</v>
      </c>
      <c r="F187" t="s">
        <v>8102</v>
      </c>
      <c r="G187" t="s">
        <v>10484</v>
      </c>
      <c r="H187" t="s">
        <v>8021</v>
      </c>
      <c r="I187">
        <f>_xlfn.LET(_xlpm.id,TRIM($A187),IF(_xlpm.id="","",SUM(COUNTIF('1. OP'!$M:$M,_xlpm.id),COUNTIF('2. JSEL'!$M:$M,_xlpm.id),COUNTIF('3. PSM'!$M:$M,_xlpm.id),COUNTIF('4. SSP'!$M:$M,_xlpm.id),COUNTIF('5. JSACI'!$M:$M,_xlpm.id),COUNTIF('6. AIN'!$M:$M,_xlpm.id),COUNTIF('7. MS'!$M:$M,_xlpm.id),COUNTIF('8. DS'!$M:$M,_xlpm.id),COUNTIF('9. RMF'!$M:$M,_xlpm.id),COUNTIF('10. PCU'!$M:$M,_xlpm.id))))</f>
        <v>0</v>
      </c>
    </row>
    <row r="188" spans="1:9">
      <c r="A188" t="s">
        <v>8240</v>
      </c>
      <c r="B188" t="s">
        <v>4515</v>
      </c>
      <c r="C188">
        <v>1822</v>
      </c>
      <c r="D188">
        <v>1</v>
      </c>
      <c r="E188" s="23">
        <v>8</v>
      </c>
      <c r="F188" t="s">
        <v>8102</v>
      </c>
      <c r="G188" t="s">
        <v>10484</v>
      </c>
      <c r="H188" t="s">
        <v>8021</v>
      </c>
      <c r="I188">
        <f>_xlfn.LET(_xlpm.id,TRIM($A188),IF(_xlpm.id="","",SUM(COUNTIF('1. OP'!$M:$M,_xlpm.id),COUNTIF('2. JSEL'!$M:$M,_xlpm.id),COUNTIF('3. PSM'!$M:$M,_xlpm.id),COUNTIF('4. SSP'!$M:$M,_xlpm.id),COUNTIF('5. JSACI'!$M:$M,_xlpm.id),COUNTIF('6. AIN'!$M:$M,_xlpm.id),COUNTIF('7. MS'!$M:$M,_xlpm.id),COUNTIF('8. DS'!$M:$M,_xlpm.id),COUNTIF('9. RMF'!$M:$M,_xlpm.id),COUNTIF('10. PCU'!$M:$M,_xlpm.id))))</f>
        <v>0</v>
      </c>
    </row>
    <row r="189" spans="1:9">
      <c r="A189" t="s">
        <v>6417</v>
      </c>
      <c r="B189" t="s">
        <v>4515</v>
      </c>
      <c r="C189">
        <v>1823</v>
      </c>
      <c r="D189">
        <v>1</v>
      </c>
      <c r="E189" s="23">
        <v>9</v>
      </c>
      <c r="F189" t="s">
        <v>8102</v>
      </c>
      <c r="G189" t="s">
        <v>10484</v>
      </c>
      <c r="H189" t="s">
        <v>8021</v>
      </c>
      <c r="I189">
        <f>_xlfn.LET(_xlpm.id,TRIM($A189),IF(_xlpm.id="","",SUM(COUNTIF('1. OP'!$M:$M,_xlpm.id),COUNTIF('2. JSEL'!$M:$M,_xlpm.id),COUNTIF('3. PSM'!$M:$M,_xlpm.id),COUNTIF('4. SSP'!$M:$M,_xlpm.id),COUNTIF('5. JSACI'!$M:$M,_xlpm.id),COUNTIF('6. AIN'!$M:$M,_xlpm.id),COUNTIF('7. MS'!$M:$M,_xlpm.id),COUNTIF('8. DS'!$M:$M,_xlpm.id),COUNTIF('9. RMF'!$M:$M,_xlpm.id),COUNTIF('10. PCU'!$M:$M,_xlpm.id))))</f>
        <v>2</v>
      </c>
    </row>
    <row r="190" spans="1:9">
      <c r="A190" t="s">
        <v>5548</v>
      </c>
      <c r="B190" t="s">
        <v>4515</v>
      </c>
      <c r="C190">
        <v>1824</v>
      </c>
      <c r="D190">
        <v>1</v>
      </c>
      <c r="E190" s="23">
        <v>10</v>
      </c>
      <c r="F190" t="s">
        <v>8102</v>
      </c>
      <c r="G190" t="s">
        <v>10484</v>
      </c>
      <c r="H190" t="s">
        <v>8021</v>
      </c>
      <c r="I190">
        <f>_xlfn.LET(_xlpm.id,TRIM($A190),IF(_xlpm.id="","",SUM(COUNTIF('1. OP'!$M:$M,_xlpm.id),COUNTIF('2. JSEL'!$M:$M,_xlpm.id),COUNTIF('3. PSM'!$M:$M,_xlpm.id),COUNTIF('4. SSP'!$M:$M,_xlpm.id),COUNTIF('5. JSACI'!$M:$M,_xlpm.id),COUNTIF('6. AIN'!$M:$M,_xlpm.id),COUNTIF('7. MS'!$M:$M,_xlpm.id),COUNTIF('8. DS'!$M:$M,_xlpm.id),COUNTIF('9. RMF'!$M:$M,_xlpm.id),COUNTIF('10. PCU'!$M:$M,_xlpm.id))))</f>
        <v>5</v>
      </c>
    </row>
    <row r="191" spans="1:9">
      <c r="A191" t="s">
        <v>8241</v>
      </c>
      <c r="B191" t="s">
        <v>4515</v>
      </c>
      <c r="C191">
        <v>1825</v>
      </c>
      <c r="D191">
        <v>1</v>
      </c>
      <c r="E191" s="23">
        <v>11</v>
      </c>
      <c r="F191" t="s">
        <v>8102</v>
      </c>
      <c r="G191" t="s">
        <v>10484</v>
      </c>
      <c r="H191" t="s">
        <v>8021</v>
      </c>
      <c r="I191">
        <f>_xlfn.LET(_xlpm.id,TRIM($A191),IF(_xlpm.id="","",SUM(COUNTIF('1. OP'!$M:$M,_xlpm.id),COUNTIF('2. JSEL'!$M:$M,_xlpm.id),COUNTIF('3. PSM'!$M:$M,_xlpm.id),COUNTIF('4. SSP'!$M:$M,_xlpm.id),COUNTIF('5. JSACI'!$M:$M,_xlpm.id),COUNTIF('6. AIN'!$M:$M,_xlpm.id),COUNTIF('7. MS'!$M:$M,_xlpm.id),COUNTIF('8. DS'!$M:$M,_xlpm.id),COUNTIF('9. RMF'!$M:$M,_xlpm.id),COUNTIF('10. PCU'!$M:$M,_xlpm.id))))</f>
        <v>0</v>
      </c>
    </row>
    <row r="192" spans="1:9">
      <c r="A192" t="s">
        <v>5019</v>
      </c>
      <c r="B192" t="s">
        <v>4515</v>
      </c>
      <c r="C192">
        <v>1826</v>
      </c>
      <c r="D192">
        <v>1</v>
      </c>
      <c r="E192" s="23">
        <v>12</v>
      </c>
      <c r="F192" t="s">
        <v>8102</v>
      </c>
      <c r="G192" t="s">
        <v>10484</v>
      </c>
      <c r="H192" t="s">
        <v>8021</v>
      </c>
      <c r="I192">
        <f>_xlfn.LET(_xlpm.id,TRIM($A192),IF(_xlpm.id="","",SUM(COUNTIF('1. OP'!$M:$M,_xlpm.id),COUNTIF('2. JSEL'!$M:$M,_xlpm.id),COUNTIF('3. PSM'!$M:$M,_xlpm.id),COUNTIF('4. SSP'!$M:$M,_xlpm.id),COUNTIF('5. JSACI'!$M:$M,_xlpm.id),COUNTIF('6. AIN'!$M:$M,_xlpm.id),COUNTIF('7. MS'!$M:$M,_xlpm.id),COUNTIF('8. DS'!$M:$M,_xlpm.id),COUNTIF('9. RMF'!$M:$M,_xlpm.id),COUNTIF('10. PCU'!$M:$M,_xlpm.id))))</f>
        <v>14</v>
      </c>
    </row>
    <row r="193" spans="1:9">
      <c r="A193" t="s">
        <v>5018</v>
      </c>
      <c r="B193" t="s">
        <v>4515</v>
      </c>
      <c r="C193">
        <v>1827</v>
      </c>
      <c r="D193">
        <v>1</v>
      </c>
      <c r="E193" s="23">
        <v>13</v>
      </c>
      <c r="F193" t="s">
        <v>8102</v>
      </c>
      <c r="G193" t="s">
        <v>10484</v>
      </c>
      <c r="H193" t="s">
        <v>8021</v>
      </c>
      <c r="I193">
        <f>_xlfn.LET(_xlpm.id,TRIM($A193),IF(_xlpm.id="","",SUM(COUNTIF('1. OP'!$M:$M,_xlpm.id),COUNTIF('2. JSEL'!$M:$M,_xlpm.id),COUNTIF('3. PSM'!$M:$M,_xlpm.id),COUNTIF('4. SSP'!$M:$M,_xlpm.id),COUNTIF('5. JSACI'!$M:$M,_xlpm.id),COUNTIF('6. AIN'!$M:$M,_xlpm.id),COUNTIF('7. MS'!$M:$M,_xlpm.id),COUNTIF('8. DS'!$M:$M,_xlpm.id),COUNTIF('9. RMF'!$M:$M,_xlpm.id),COUNTIF('10. PCU'!$M:$M,_xlpm.id))))</f>
        <v>2</v>
      </c>
    </row>
    <row r="194" spans="1:9">
      <c r="A194" t="s">
        <v>5031</v>
      </c>
      <c r="B194" t="s">
        <v>4515</v>
      </c>
      <c r="C194">
        <v>1828</v>
      </c>
      <c r="D194">
        <v>1</v>
      </c>
      <c r="E194" s="23">
        <v>14</v>
      </c>
      <c r="F194" t="s">
        <v>8102</v>
      </c>
      <c r="G194" t="s">
        <v>10484</v>
      </c>
      <c r="H194" t="s">
        <v>8021</v>
      </c>
      <c r="I194">
        <f>_xlfn.LET(_xlpm.id,TRIM($A194),IF(_xlpm.id="","",SUM(COUNTIF('1. OP'!$M:$M,_xlpm.id),COUNTIF('2. JSEL'!$M:$M,_xlpm.id),COUNTIF('3. PSM'!$M:$M,_xlpm.id),COUNTIF('4. SSP'!$M:$M,_xlpm.id),COUNTIF('5. JSACI'!$M:$M,_xlpm.id),COUNTIF('6. AIN'!$M:$M,_xlpm.id),COUNTIF('7. MS'!$M:$M,_xlpm.id),COUNTIF('8. DS'!$M:$M,_xlpm.id),COUNTIF('9. RMF'!$M:$M,_xlpm.id),COUNTIF('10. PCU'!$M:$M,_xlpm.id))))</f>
        <v>1</v>
      </c>
    </row>
    <row r="195" spans="1:9">
      <c r="A195" t="s">
        <v>8242</v>
      </c>
      <c r="B195" t="s">
        <v>4515</v>
      </c>
      <c r="C195">
        <v>1829</v>
      </c>
      <c r="D195">
        <v>1</v>
      </c>
      <c r="E195" s="23">
        <v>15</v>
      </c>
      <c r="F195" t="s">
        <v>8102</v>
      </c>
      <c r="G195" t="s">
        <v>10484</v>
      </c>
      <c r="H195" t="s">
        <v>8021</v>
      </c>
      <c r="I195">
        <f>_xlfn.LET(_xlpm.id,TRIM($A195),IF(_xlpm.id="","",SUM(COUNTIF('1. OP'!$M:$M,_xlpm.id),COUNTIF('2. JSEL'!$M:$M,_xlpm.id),COUNTIF('3. PSM'!$M:$M,_xlpm.id),COUNTIF('4. SSP'!$M:$M,_xlpm.id),COUNTIF('5. JSACI'!$M:$M,_xlpm.id),COUNTIF('6. AIN'!$M:$M,_xlpm.id),COUNTIF('7. MS'!$M:$M,_xlpm.id),COUNTIF('8. DS'!$M:$M,_xlpm.id),COUNTIF('9. RMF'!$M:$M,_xlpm.id),COUNTIF('10. PCU'!$M:$M,_xlpm.id))))</f>
        <v>0</v>
      </c>
    </row>
    <row r="196" spans="1:9">
      <c r="A196" t="s">
        <v>7096</v>
      </c>
      <c r="B196" t="s">
        <v>4515</v>
      </c>
      <c r="C196">
        <v>1830</v>
      </c>
      <c r="D196">
        <v>1</v>
      </c>
      <c r="E196" s="23">
        <v>16</v>
      </c>
      <c r="F196" t="s">
        <v>8102</v>
      </c>
      <c r="G196" t="s">
        <v>10484</v>
      </c>
      <c r="H196" t="s">
        <v>8021</v>
      </c>
      <c r="I196">
        <f>_xlfn.LET(_xlpm.id,TRIM($A196),IF(_xlpm.id="","",SUM(COUNTIF('1. OP'!$M:$M,_xlpm.id),COUNTIF('2. JSEL'!$M:$M,_xlpm.id),COUNTIF('3. PSM'!$M:$M,_xlpm.id),COUNTIF('4. SSP'!$M:$M,_xlpm.id),COUNTIF('5. JSACI'!$M:$M,_xlpm.id),COUNTIF('6. AIN'!$M:$M,_xlpm.id),COUNTIF('7. MS'!$M:$M,_xlpm.id),COUNTIF('8. DS'!$M:$M,_xlpm.id),COUNTIF('9. RMF'!$M:$M,_xlpm.id),COUNTIF('10. PCU'!$M:$M,_xlpm.id))))</f>
        <v>1</v>
      </c>
    </row>
    <row r="197" spans="1:9">
      <c r="A197" t="s">
        <v>8243</v>
      </c>
      <c r="B197" t="s">
        <v>4515</v>
      </c>
      <c r="C197">
        <v>1831</v>
      </c>
      <c r="D197">
        <v>1</v>
      </c>
      <c r="E197" s="23">
        <v>17</v>
      </c>
      <c r="F197" t="s">
        <v>8102</v>
      </c>
      <c r="G197" t="s">
        <v>10484</v>
      </c>
      <c r="H197" t="s">
        <v>8021</v>
      </c>
      <c r="I197">
        <f>_xlfn.LET(_xlpm.id,TRIM($A197),IF(_xlpm.id="","",SUM(COUNTIF('1. OP'!$M:$M,_xlpm.id),COUNTIF('2. JSEL'!$M:$M,_xlpm.id),COUNTIF('3. PSM'!$M:$M,_xlpm.id),COUNTIF('4. SSP'!$M:$M,_xlpm.id),COUNTIF('5. JSACI'!$M:$M,_xlpm.id),COUNTIF('6. AIN'!$M:$M,_xlpm.id),COUNTIF('7. MS'!$M:$M,_xlpm.id),COUNTIF('8. DS'!$M:$M,_xlpm.id),COUNTIF('9. RMF'!$M:$M,_xlpm.id),COUNTIF('10. PCU'!$M:$M,_xlpm.id))))</f>
        <v>0</v>
      </c>
    </row>
    <row r="198" spans="1:9">
      <c r="A198" t="s">
        <v>8244</v>
      </c>
      <c r="B198" t="s">
        <v>4515</v>
      </c>
      <c r="C198">
        <v>1832</v>
      </c>
      <c r="D198">
        <v>1</v>
      </c>
      <c r="E198" s="23">
        <v>18</v>
      </c>
      <c r="F198" t="s">
        <v>8102</v>
      </c>
      <c r="G198" t="s">
        <v>10484</v>
      </c>
      <c r="H198" t="s">
        <v>8021</v>
      </c>
      <c r="I198">
        <f>_xlfn.LET(_xlpm.id,TRIM($A198),IF(_xlpm.id="","",SUM(COUNTIF('1. OP'!$M:$M,_xlpm.id),COUNTIF('2. JSEL'!$M:$M,_xlpm.id),COUNTIF('3. PSM'!$M:$M,_xlpm.id),COUNTIF('4. SSP'!$M:$M,_xlpm.id),COUNTIF('5. JSACI'!$M:$M,_xlpm.id),COUNTIF('6. AIN'!$M:$M,_xlpm.id),COUNTIF('7. MS'!$M:$M,_xlpm.id),COUNTIF('8. DS'!$M:$M,_xlpm.id),COUNTIF('9. RMF'!$M:$M,_xlpm.id),COUNTIF('10. PCU'!$M:$M,_xlpm.id))))</f>
        <v>0</v>
      </c>
    </row>
    <row r="199" spans="1:9">
      <c r="A199" t="s">
        <v>8245</v>
      </c>
      <c r="B199" t="s">
        <v>4515</v>
      </c>
      <c r="C199">
        <v>1833</v>
      </c>
      <c r="D199">
        <v>1</v>
      </c>
      <c r="E199" s="23">
        <v>19</v>
      </c>
      <c r="F199" t="s">
        <v>8102</v>
      </c>
      <c r="G199" t="s">
        <v>10484</v>
      </c>
      <c r="H199" t="s">
        <v>8021</v>
      </c>
      <c r="I199">
        <f>_xlfn.LET(_xlpm.id,TRIM($A199),IF(_xlpm.id="","",SUM(COUNTIF('1. OP'!$M:$M,_xlpm.id),COUNTIF('2. JSEL'!$M:$M,_xlpm.id),COUNTIF('3. PSM'!$M:$M,_xlpm.id),COUNTIF('4. SSP'!$M:$M,_xlpm.id),COUNTIF('5. JSACI'!$M:$M,_xlpm.id),COUNTIF('6. AIN'!$M:$M,_xlpm.id),COUNTIF('7. MS'!$M:$M,_xlpm.id),COUNTIF('8. DS'!$M:$M,_xlpm.id),COUNTIF('9. RMF'!$M:$M,_xlpm.id),COUNTIF('10. PCU'!$M:$M,_xlpm.id))))</f>
        <v>0</v>
      </c>
    </row>
    <row r="200" spans="1:9">
      <c r="A200" t="s">
        <v>7440</v>
      </c>
      <c r="B200" t="s">
        <v>4515</v>
      </c>
      <c r="C200">
        <v>1834</v>
      </c>
      <c r="D200">
        <v>1</v>
      </c>
      <c r="E200" s="23">
        <v>20</v>
      </c>
      <c r="F200" t="s">
        <v>8102</v>
      </c>
      <c r="G200" t="s">
        <v>10484</v>
      </c>
      <c r="H200" t="s">
        <v>8021</v>
      </c>
      <c r="I200">
        <f>_xlfn.LET(_xlpm.id,TRIM($A200),IF(_xlpm.id="","",SUM(COUNTIF('1. OP'!$M:$M,_xlpm.id),COUNTIF('2. JSEL'!$M:$M,_xlpm.id),COUNTIF('3. PSM'!$M:$M,_xlpm.id),COUNTIF('4. SSP'!$M:$M,_xlpm.id),COUNTIF('5. JSACI'!$M:$M,_xlpm.id),COUNTIF('6. AIN'!$M:$M,_xlpm.id),COUNTIF('7. MS'!$M:$M,_xlpm.id),COUNTIF('8. DS'!$M:$M,_xlpm.id),COUNTIF('9. RMF'!$M:$M,_xlpm.id),COUNTIF('10. PCU'!$M:$M,_xlpm.id))))</f>
        <v>1</v>
      </c>
    </row>
    <row r="201" spans="1:9">
      <c r="A201" t="s">
        <v>6961</v>
      </c>
      <c r="B201" t="s">
        <v>4515</v>
      </c>
      <c r="C201">
        <v>1835</v>
      </c>
      <c r="D201">
        <v>1</v>
      </c>
      <c r="E201" s="23">
        <v>21</v>
      </c>
      <c r="F201" t="s">
        <v>8102</v>
      </c>
      <c r="G201" t="s">
        <v>10484</v>
      </c>
      <c r="H201" t="s">
        <v>8021</v>
      </c>
      <c r="I201">
        <f>_xlfn.LET(_xlpm.id,TRIM($A201),IF(_xlpm.id="","",SUM(COUNTIF('1. OP'!$M:$M,_xlpm.id),COUNTIF('2. JSEL'!$M:$M,_xlpm.id),COUNTIF('3. PSM'!$M:$M,_xlpm.id),COUNTIF('4. SSP'!$M:$M,_xlpm.id),COUNTIF('5. JSACI'!$M:$M,_xlpm.id),COUNTIF('6. AIN'!$M:$M,_xlpm.id),COUNTIF('7. MS'!$M:$M,_xlpm.id),COUNTIF('8. DS'!$M:$M,_xlpm.id),COUNTIF('9. RMF'!$M:$M,_xlpm.id),COUNTIF('10. PCU'!$M:$M,_xlpm.id))))</f>
        <v>3</v>
      </c>
    </row>
    <row r="202" spans="1:9">
      <c r="A202" t="s">
        <v>7566</v>
      </c>
      <c r="B202" t="s">
        <v>4515</v>
      </c>
      <c r="C202">
        <v>1836</v>
      </c>
      <c r="D202">
        <v>1</v>
      </c>
      <c r="E202" s="23">
        <v>22</v>
      </c>
      <c r="F202" t="s">
        <v>8102</v>
      </c>
      <c r="G202" t="s">
        <v>10484</v>
      </c>
      <c r="H202" t="s">
        <v>8021</v>
      </c>
      <c r="I202">
        <f>_xlfn.LET(_xlpm.id,TRIM($A202),IF(_xlpm.id="","",SUM(COUNTIF('1. OP'!$M:$M,_xlpm.id),COUNTIF('2. JSEL'!$M:$M,_xlpm.id),COUNTIF('3. PSM'!$M:$M,_xlpm.id),COUNTIF('4. SSP'!$M:$M,_xlpm.id),COUNTIF('5. JSACI'!$M:$M,_xlpm.id),COUNTIF('6. AIN'!$M:$M,_xlpm.id),COUNTIF('7. MS'!$M:$M,_xlpm.id),COUNTIF('8. DS'!$M:$M,_xlpm.id),COUNTIF('9. RMF'!$M:$M,_xlpm.id),COUNTIF('10. PCU'!$M:$M,_xlpm.id))))</f>
        <v>2</v>
      </c>
    </row>
    <row r="203" spans="1:9">
      <c r="A203" t="s">
        <v>8246</v>
      </c>
      <c r="B203" t="s">
        <v>4515</v>
      </c>
      <c r="C203">
        <v>1837</v>
      </c>
      <c r="D203">
        <v>1</v>
      </c>
      <c r="E203" s="23">
        <v>23</v>
      </c>
      <c r="F203" t="s">
        <v>8102</v>
      </c>
      <c r="G203" t="s">
        <v>10484</v>
      </c>
      <c r="H203" t="s">
        <v>8021</v>
      </c>
      <c r="I203">
        <f>_xlfn.LET(_xlpm.id,TRIM($A203),IF(_xlpm.id="","",SUM(COUNTIF('1. OP'!$M:$M,_xlpm.id),COUNTIF('2. JSEL'!$M:$M,_xlpm.id),COUNTIF('3. PSM'!$M:$M,_xlpm.id),COUNTIF('4. SSP'!$M:$M,_xlpm.id),COUNTIF('5. JSACI'!$M:$M,_xlpm.id),COUNTIF('6. AIN'!$M:$M,_xlpm.id),COUNTIF('7. MS'!$M:$M,_xlpm.id),COUNTIF('8. DS'!$M:$M,_xlpm.id),COUNTIF('9. RMF'!$M:$M,_xlpm.id),COUNTIF('10. PCU'!$M:$M,_xlpm.id))))</f>
        <v>0</v>
      </c>
    </row>
    <row r="204" spans="1:9">
      <c r="A204" t="s">
        <v>7496</v>
      </c>
      <c r="B204" t="s">
        <v>4515</v>
      </c>
      <c r="C204">
        <v>1838</v>
      </c>
      <c r="D204">
        <v>1</v>
      </c>
      <c r="E204" s="23">
        <v>24</v>
      </c>
      <c r="F204" t="s">
        <v>8102</v>
      </c>
      <c r="G204" t="s">
        <v>10484</v>
      </c>
      <c r="H204" t="s">
        <v>8021</v>
      </c>
      <c r="I204">
        <f>_xlfn.LET(_xlpm.id,TRIM($A204),IF(_xlpm.id="","",SUM(COUNTIF('1. OP'!$M:$M,_xlpm.id),COUNTIF('2. JSEL'!$M:$M,_xlpm.id),COUNTIF('3. PSM'!$M:$M,_xlpm.id),COUNTIF('4. SSP'!$M:$M,_xlpm.id),COUNTIF('5. JSACI'!$M:$M,_xlpm.id),COUNTIF('6. AIN'!$M:$M,_xlpm.id),COUNTIF('7. MS'!$M:$M,_xlpm.id),COUNTIF('8. DS'!$M:$M,_xlpm.id),COUNTIF('9. RMF'!$M:$M,_xlpm.id),COUNTIF('10. PCU'!$M:$M,_xlpm.id))))</f>
        <v>2</v>
      </c>
    </row>
    <row r="205" spans="1:9">
      <c r="A205" t="s">
        <v>8247</v>
      </c>
      <c r="B205" t="s">
        <v>4515</v>
      </c>
      <c r="C205">
        <v>1839</v>
      </c>
      <c r="D205">
        <v>1</v>
      </c>
      <c r="E205" s="23">
        <v>25</v>
      </c>
      <c r="F205" t="s">
        <v>8102</v>
      </c>
      <c r="G205" t="s">
        <v>10484</v>
      </c>
      <c r="H205" t="s">
        <v>8021</v>
      </c>
      <c r="I205">
        <f>_xlfn.LET(_xlpm.id,TRIM($A205),IF(_xlpm.id="","",SUM(COUNTIF('1. OP'!$M:$M,_xlpm.id),COUNTIF('2. JSEL'!$M:$M,_xlpm.id),COUNTIF('3. PSM'!$M:$M,_xlpm.id),COUNTIF('4. SSP'!$M:$M,_xlpm.id),COUNTIF('5. JSACI'!$M:$M,_xlpm.id),COUNTIF('6. AIN'!$M:$M,_xlpm.id),COUNTIF('7. MS'!$M:$M,_xlpm.id),COUNTIF('8. DS'!$M:$M,_xlpm.id),COUNTIF('9. RMF'!$M:$M,_xlpm.id),COUNTIF('10. PCU'!$M:$M,_xlpm.id))))</f>
        <v>0</v>
      </c>
    </row>
    <row r="206" spans="1:9">
      <c r="A206" t="s">
        <v>8248</v>
      </c>
      <c r="B206" t="s">
        <v>4515</v>
      </c>
      <c r="C206">
        <v>1840</v>
      </c>
      <c r="D206">
        <v>1</v>
      </c>
      <c r="E206" s="23">
        <v>26</v>
      </c>
      <c r="F206" t="s">
        <v>8102</v>
      </c>
      <c r="G206" t="s">
        <v>10484</v>
      </c>
      <c r="H206" t="s">
        <v>8021</v>
      </c>
      <c r="I206">
        <f>_xlfn.LET(_xlpm.id,TRIM($A206),IF(_xlpm.id="","",SUM(COUNTIF('1. OP'!$M:$M,_xlpm.id),COUNTIF('2. JSEL'!$M:$M,_xlpm.id),COUNTIF('3. PSM'!$M:$M,_xlpm.id),COUNTIF('4. SSP'!$M:$M,_xlpm.id),COUNTIF('5. JSACI'!$M:$M,_xlpm.id),COUNTIF('6. AIN'!$M:$M,_xlpm.id),COUNTIF('7. MS'!$M:$M,_xlpm.id),COUNTIF('8. DS'!$M:$M,_xlpm.id),COUNTIF('9. RMF'!$M:$M,_xlpm.id),COUNTIF('10. PCU'!$M:$M,_xlpm.id))))</f>
        <v>0</v>
      </c>
    </row>
    <row r="207" spans="1:9">
      <c r="A207" t="s">
        <v>8249</v>
      </c>
      <c r="B207" t="s">
        <v>8250</v>
      </c>
      <c r="C207">
        <v>1834</v>
      </c>
      <c r="D207">
        <v>1</v>
      </c>
      <c r="E207" s="23">
        <v>1</v>
      </c>
      <c r="F207" t="s">
        <v>8102</v>
      </c>
      <c r="G207" t="s">
        <v>10484</v>
      </c>
      <c r="H207" t="s">
        <v>8021</v>
      </c>
      <c r="I207">
        <f>_xlfn.LET(_xlpm.id,TRIM($A207),IF(_xlpm.id="","",SUM(COUNTIF('1. OP'!$M:$M,_xlpm.id),COUNTIF('2. JSEL'!$M:$M,_xlpm.id),COUNTIF('3. PSM'!$M:$M,_xlpm.id),COUNTIF('4. SSP'!$M:$M,_xlpm.id),COUNTIF('5. JSACI'!$M:$M,_xlpm.id),COUNTIF('6. AIN'!$M:$M,_xlpm.id),COUNTIF('7. MS'!$M:$M,_xlpm.id),COUNTIF('8. DS'!$M:$M,_xlpm.id),COUNTIF('9. RMF'!$M:$M,_xlpm.id),COUNTIF('10. PCU'!$M:$M,_xlpm.id))))</f>
        <v>0</v>
      </c>
    </row>
    <row r="208" spans="1:9">
      <c r="A208" t="s">
        <v>8251</v>
      </c>
      <c r="B208" t="s">
        <v>8250</v>
      </c>
      <c r="C208">
        <v>1835</v>
      </c>
      <c r="D208">
        <v>1</v>
      </c>
      <c r="E208" s="23">
        <v>2</v>
      </c>
      <c r="F208" t="s">
        <v>8102</v>
      </c>
      <c r="G208" t="s">
        <v>10484</v>
      </c>
      <c r="H208" t="s">
        <v>8021</v>
      </c>
      <c r="I208">
        <f>_xlfn.LET(_xlpm.id,TRIM($A208),IF(_xlpm.id="","",SUM(COUNTIF('1. OP'!$M:$M,_xlpm.id),COUNTIF('2. JSEL'!$M:$M,_xlpm.id),COUNTIF('3. PSM'!$M:$M,_xlpm.id),COUNTIF('4. SSP'!$M:$M,_xlpm.id),COUNTIF('5. JSACI'!$M:$M,_xlpm.id),COUNTIF('6. AIN'!$M:$M,_xlpm.id),COUNTIF('7. MS'!$M:$M,_xlpm.id),COUNTIF('8. DS'!$M:$M,_xlpm.id),COUNTIF('9. RMF'!$M:$M,_xlpm.id),COUNTIF('10. PCU'!$M:$M,_xlpm.id))))</f>
        <v>0</v>
      </c>
    </row>
    <row r="209" spans="1:9">
      <c r="A209" t="s">
        <v>8252</v>
      </c>
      <c r="B209" t="s">
        <v>8250</v>
      </c>
      <c r="C209">
        <v>1836</v>
      </c>
      <c r="D209">
        <v>1</v>
      </c>
      <c r="E209" s="23">
        <v>3</v>
      </c>
      <c r="F209" t="s">
        <v>8102</v>
      </c>
      <c r="G209" t="s">
        <v>10484</v>
      </c>
      <c r="H209" t="s">
        <v>8021</v>
      </c>
      <c r="I209">
        <f>_xlfn.LET(_xlpm.id,TRIM($A209),IF(_xlpm.id="","",SUM(COUNTIF('1. OP'!$M:$M,_xlpm.id),COUNTIF('2. JSEL'!$M:$M,_xlpm.id),COUNTIF('3. PSM'!$M:$M,_xlpm.id),COUNTIF('4. SSP'!$M:$M,_xlpm.id),COUNTIF('5. JSACI'!$M:$M,_xlpm.id),COUNTIF('6. AIN'!$M:$M,_xlpm.id),COUNTIF('7. MS'!$M:$M,_xlpm.id),COUNTIF('8. DS'!$M:$M,_xlpm.id),COUNTIF('9. RMF'!$M:$M,_xlpm.id),COUNTIF('10. PCU'!$M:$M,_xlpm.id))))</f>
        <v>0</v>
      </c>
    </row>
    <row r="210" spans="1:9">
      <c r="A210" t="s">
        <v>8253</v>
      </c>
      <c r="B210" t="s">
        <v>8250</v>
      </c>
      <c r="C210" t="s">
        <v>8254</v>
      </c>
      <c r="D210">
        <v>1</v>
      </c>
      <c r="E210" s="23">
        <v>4</v>
      </c>
      <c r="F210" t="s">
        <v>8102</v>
      </c>
      <c r="G210" t="s">
        <v>10484</v>
      </c>
      <c r="H210" t="s">
        <v>8021</v>
      </c>
      <c r="I210">
        <f>_xlfn.LET(_xlpm.id,TRIM($A210),IF(_xlpm.id="","",SUM(COUNTIF('1. OP'!$M:$M,_xlpm.id),COUNTIF('2. JSEL'!$M:$M,_xlpm.id),COUNTIF('3. PSM'!$M:$M,_xlpm.id),COUNTIF('4. SSP'!$M:$M,_xlpm.id),COUNTIF('5. JSACI'!$M:$M,_xlpm.id),COUNTIF('6. AIN'!$M:$M,_xlpm.id),COUNTIF('7. MS'!$M:$M,_xlpm.id),COUNTIF('8. DS'!$M:$M,_xlpm.id),COUNTIF('9. RMF'!$M:$M,_xlpm.id),COUNTIF('10. PCU'!$M:$M,_xlpm.id))))</f>
        <v>0</v>
      </c>
    </row>
    <row r="211" spans="1:9">
      <c r="A211" t="s">
        <v>8255</v>
      </c>
      <c r="B211" t="s">
        <v>8250</v>
      </c>
      <c r="C211" t="s">
        <v>3040</v>
      </c>
      <c r="D211">
        <v>1</v>
      </c>
      <c r="E211" s="23">
        <v>5</v>
      </c>
      <c r="F211" t="s">
        <v>8102</v>
      </c>
      <c r="G211" t="s">
        <v>10484</v>
      </c>
      <c r="H211" t="s">
        <v>8021</v>
      </c>
      <c r="I211">
        <f>_xlfn.LET(_xlpm.id,TRIM($A211),IF(_xlpm.id="","",SUM(COUNTIF('1. OP'!$M:$M,_xlpm.id),COUNTIF('2. JSEL'!$M:$M,_xlpm.id),COUNTIF('3. PSM'!$M:$M,_xlpm.id),COUNTIF('4. SSP'!$M:$M,_xlpm.id),COUNTIF('5. JSACI'!$M:$M,_xlpm.id),COUNTIF('6. AIN'!$M:$M,_xlpm.id),COUNTIF('7. MS'!$M:$M,_xlpm.id),COUNTIF('8. DS'!$M:$M,_xlpm.id),COUNTIF('9. RMF'!$M:$M,_xlpm.id),COUNTIF('10. PCU'!$M:$M,_xlpm.id))))</f>
        <v>0</v>
      </c>
    </row>
    <row r="212" spans="1:9">
      <c r="A212" t="s">
        <v>6424</v>
      </c>
      <c r="B212" t="s">
        <v>8256</v>
      </c>
      <c r="C212" t="s">
        <v>8257</v>
      </c>
      <c r="D212">
        <v>1</v>
      </c>
      <c r="E212" s="23">
        <v>1</v>
      </c>
      <c r="F212" t="s">
        <v>8102</v>
      </c>
      <c r="G212" t="s">
        <v>10484</v>
      </c>
      <c r="H212" t="s">
        <v>8021</v>
      </c>
      <c r="I212">
        <f>_xlfn.LET(_xlpm.id,TRIM($A212),IF(_xlpm.id="","",SUM(COUNTIF('1. OP'!$M:$M,_xlpm.id),COUNTIF('2. JSEL'!$M:$M,_xlpm.id),COUNTIF('3. PSM'!$M:$M,_xlpm.id),COUNTIF('4. SSP'!$M:$M,_xlpm.id),COUNTIF('5. JSACI'!$M:$M,_xlpm.id),COUNTIF('6. AIN'!$M:$M,_xlpm.id),COUNTIF('7. MS'!$M:$M,_xlpm.id),COUNTIF('8. DS'!$M:$M,_xlpm.id),COUNTIF('9. RMF'!$M:$M,_xlpm.id),COUNTIF('10. PCU'!$M:$M,_xlpm.id))))</f>
        <v>2</v>
      </c>
    </row>
    <row r="213" spans="1:9">
      <c r="A213" t="s">
        <v>8258</v>
      </c>
      <c r="B213" t="s">
        <v>8256</v>
      </c>
      <c r="C213" t="s">
        <v>8259</v>
      </c>
      <c r="D213">
        <v>1</v>
      </c>
      <c r="E213" s="23">
        <v>2</v>
      </c>
      <c r="F213" t="s">
        <v>8102</v>
      </c>
      <c r="G213" t="s">
        <v>10484</v>
      </c>
      <c r="H213" t="s">
        <v>8021</v>
      </c>
      <c r="I213">
        <f>_xlfn.LET(_xlpm.id,TRIM($A213),IF(_xlpm.id="","",SUM(COUNTIF('1. OP'!$M:$M,_xlpm.id),COUNTIF('2. JSEL'!$M:$M,_xlpm.id),COUNTIF('3. PSM'!$M:$M,_xlpm.id),COUNTIF('4. SSP'!$M:$M,_xlpm.id),COUNTIF('5. JSACI'!$M:$M,_xlpm.id),COUNTIF('6. AIN'!$M:$M,_xlpm.id),COUNTIF('7. MS'!$M:$M,_xlpm.id),COUNTIF('8. DS'!$M:$M,_xlpm.id),COUNTIF('9. RMF'!$M:$M,_xlpm.id),COUNTIF('10. PCU'!$M:$M,_xlpm.id))))</f>
        <v>0</v>
      </c>
    </row>
    <row r="214" spans="1:9">
      <c r="A214" t="s">
        <v>6443</v>
      </c>
      <c r="B214" t="s">
        <v>8256</v>
      </c>
      <c r="C214" t="s">
        <v>8260</v>
      </c>
      <c r="D214">
        <v>1</v>
      </c>
      <c r="E214" s="23">
        <v>3</v>
      </c>
      <c r="F214" t="s">
        <v>8102</v>
      </c>
      <c r="G214" t="s">
        <v>10484</v>
      </c>
      <c r="H214" t="s">
        <v>8021</v>
      </c>
      <c r="I214">
        <f>_xlfn.LET(_xlpm.id,TRIM($A214),IF(_xlpm.id="","",SUM(COUNTIF('1. OP'!$M:$M,_xlpm.id),COUNTIF('2. JSEL'!$M:$M,_xlpm.id),COUNTIF('3. PSM'!$M:$M,_xlpm.id),COUNTIF('4. SSP'!$M:$M,_xlpm.id),COUNTIF('5. JSACI'!$M:$M,_xlpm.id),COUNTIF('6. AIN'!$M:$M,_xlpm.id),COUNTIF('7. MS'!$M:$M,_xlpm.id),COUNTIF('8. DS'!$M:$M,_xlpm.id),COUNTIF('9. RMF'!$M:$M,_xlpm.id),COUNTIF('10. PCU'!$M:$M,_xlpm.id))))</f>
        <v>1</v>
      </c>
    </row>
    <row r="215" spans="1:9">
      <c r="A215" t="s">
        <v>8261</v>
      </c>
      <c r="B215" t="s">
        <v>8256</v>
      </c>
      <c r="C215" t="s">
        <v>8254</v>
      </c>
      <c r="D215">
        <v>1</v>
      </c>
      <c r="E215" s="23">
        <v>4</v>
      </c>
      <c r="F215" t="s">
        <v>8102</v>
      </c>
      <c r="G215" t="s">
        <v>10484</v>
      </c>
      <c r="H215" t="s">
        <v>8021</v>
      </c>
      <c r="I215">
        <f>_xlfn.LET(_xlpm.id,TRIM($A215),IF(_xlpm.id="","",SUM(COUNTIF('1. OP'!$M:$M,_xlpm.id),COUNTIF('2. JSEL'!$M:$M,_xlpm.id),COUNTIF('3. PSM'!$M:$M,_xlpm.id),COUNTIF('4. SSP'!$M:$M,_xlpm.id),COUNTIF('5. JSACI'!$M:$M,_xlpm.id),COUNTIF('6. AIN'!$M:$M,_xlpm.id),COUNTIF('7. MS'!$M:$M,_xlpm.id),COUNTIF('8. DS'!$M:$M,_xlpm.id),COUNTIF('9. RMF'!$M:$M,_xlpm.id),COUNTIF('10. PCU'!$M:$M,_xlpm.id))))</f>
        <v>0</v>
      </c>
    </row>
    <row r="216" spans="1:9">
      <c r="A216" t="s">
        <v>8262</v>
      </c>
      <c r="B216" t="s">
        <v>8256</v>
      </c>
      <c r="C216" t="s">
        <v>3040</v>
      </c>
      <c r="D216">
        <v>1</v>
      </c>
      <c r="E216" s="23">
        <v>5</v>
      </c>
      <c r="F216" t="s">
        <v>8102</v>
      </c>
      <c r="G216" t="s">
        <v>10484</v>
      </c>
      <c r="H216" t="s">
        <v>8021</v>
      </c>
      <c r="I216">
        <f>_xlfn.LET(_xlpm.id,TRIM($A216),IF(_xlpm.id="","",SUM(COUNTIF('1. OP'!$M:$M,_xlpm.id),COUNTIF('2. JSEL'!$M:$M,_xlpm.id),COUNTIF('3. PSM'!$M:$M,_xlpm.id),COUNTIF('4. SSP'!$M:$M,_xlpm.id),COUNTIF('5. JSACI'!$M:$M,_xlpm.id),COUNTIF('6. AIN'!$M:$M,_xlpm.id),COUNTIF('7. MS'!$M:$M,_xlpm.id),COUNTIF('8. DS'!$M:$M,_xlpm.id),COUNTIF('9. RMF'!$M:$M,_xlpm.id),COUNTIF('10. PCU'!$M:$M,_xlpm.id))))</f>
        <v>0</v>
      </c>
    </row>
    <row r="217" spans="1:9">
      <c r="A217" t="s">
        <v>8263</v>
      </c>
      <c r="B217" t="s">
        <v>8256</v>
      </c>
      <c r="C217" t="s">
        <v>3041</v>
      </c>
      <c r="D217">
        <v>1</v>
      </c>
      <c r="E217" s="23">
        <v>6</v>
      </c>
      <c r="F217" t="s">
        <v>8102</v>
      </c>
      <c r="G217" t="s">
        <v>10484</v>
      </c>
      <c r="H217" t="s">
        <v>8021</v>
      </c>
      <c r="I217">
        <f>_xlfn.LET(_xlpm.id,TRIM($A217),IF(_xlpm.id="","",SUM(COUNTIF('1. OP'!$M:$M,_xlpm.id),COUNTIF('2. JSEL'!$M:$M,_xlpm.id),COUNTIF('3. PSM'!$M:$M,_xlpm.id),COUNTIF('4. SSP'!$M:$M,_xlpm.id),COUNTIF('5. JSACI'!$M:$M,_xlpm.id),COUNTIF('6. AIN'!$M:$M,_xlpm.id),COUNTIF('7. MS'!$M:$M,_xlpm.id),COUNTIF('8. DS'!$M:$M,_xlpm.id),COUNTIF('9. RMF'!$M:$M,_xlpm.id),COUNTIF('10. PCU'!$M:$M,_xlpm.id))))</f>
        <v>0</v>
      </c>
    </row>
    <row r="218" spans="1:9">
      <c r="A218" t="s">
        <v>8264</v>
      </c>
      <c r="B218" t="s">
        <v>8256</v>
      </c>
      <c r="C218" t="s">
        <v>3042</v>
      </c>
      <c r="D218">
        <v>1</v>
      </c>
      <c r="E218" s="23">
        <v>7</v>
      </c>
      <c r="F218" t="s">
        <v>8102</v>
      </c>
      <c r="G218" t="s">
        <v>10484</v>
      </c>
      <c r="H218" t="s">
        <v>8021</v>
      </c>
      <c r="I218">
        <f>_xlfn.LET(_xlpm.id,TRIM($A218),IF(_xlpm.id="","",SUM(COUNTIF('1. OP'!$M:$M,_xlpm.id),COUNTIF('2. JSEL'!$M:$M,_xlpm.id),COUNTIF('3. PSM'!$M:$M,_xlpm.id),COUNTIF('4. SSP'!$M:$M,_xlpm.id),COUNTIF('5. JSACI'!$M:$M,_xlpm.id),COUNTIF('6. AIN'!$M:$M,_xlpm.id),COUNTIF('7. MS'!$M:$M,_xlpm.id),COUNTIF('8. DS'!$M:$M,_xlpm.id),COUNTIF('9. RMF'!$M:$M,_xlpm.id),COUNTIF('10. PCU'!$M:$M,_xlpm.id))))</f>
        <v>0</v>
      </c>
    </row>
    <row r="219" spans="1:9">
      <c r="A219" t="s">
        <v>5037</v>
      </c>
      <c r="B219" t="s">
        <v>8266</v>
      </c>
      <c r="C219">
        <v>1832</v>
      </c>
      <c r="D219">
        <v>1</v>
      </c>
      <c r="E219" s="23">
        <v>1</v>
      </c>
      <c r="F219" t="s">
        <v>8265</v>
      </c>
      <c r="G219" t="s">
        <v>10486</v>
      </c>
      <c r="H219" t="s">
        <v>8019</v>
      </c>
      <c r="I219">
        <f>_xlfn.LET(_xlpm.id,TRIM($A219),IF(_xlpm.id="","",SUM(COUNTIF('1. OP'!$M:$M,_xlpm.id),COUNTIF('2. JSEL'!$M:$M,_xlpm.id),COUNTIF('3. PSM'!$M:$M,_xlpm.id),COUNTIF('4. SSP'!$M:$M,_xlpm.id),COUNTIF('5. JSACI'!$M:$M,_xlpm.id),COUNTIF('6. AIN'!$M:$M,_xlpm.id),COUNTIF('7. MS'!$M:$M,_xlpm.id),COUNTIF('8. DS'!$M:$M,_xlpm.id),COUNTIF('9. RMF'!$M:$M,_xlpm.id),COUNTIF('10. PCU'!$M:$M,_xlpm.id))))</f>
        <v>2</v>
      </c>
    </row>
    <row r="220" spans="1:9">
      <c r="A220" t="s">
        <v>5034</v>
      </c>
      <c r="B220" t="s">
        <v>8266</v>
      </c>
      <c r="C220">
        <v>1833</v>
      </c>
      <c r="D220">
        <v>1</v>
      </c>
      <c r="E220" s="23">
        <v>2</v>
      </c>
      <c r="F220" t="s">
        <v>8265</v>
      </c>
      <c r="G220" t="s">
        <v>10486</v>
      </c>
      <c r="H220" t="s">
        <v>8019</v>
      </c>
      <c r="I220">
        <f>_xlfn.LET(_xlpm.id,TRIM($A220),IF(_xlpm.id="","",SUM(COUNTIF('1. OP'!$M:$M,_xlpm.id),COUNTIF('2. JSEL'!$M:$M,_xlpm.id),COUNTIF('3. PSM'!$M:$M,_xlpm.id),COUNTIF('4. SSP'!$M:$M,_xlpm.id),COUNTIF('5. JSACI'!$M:$M,_xlpm.id),COUNTIF('6. AIN'!$M:$M,_xlpm.id),COUNTIF('7. MS'!$M:$M,_xlpm.id),COUNTIF('8. DS'!$M:$M,_xlpm.id),COUNTIF('9. RMF'!$M:$M,_xlpm.id),COUNTIF('10. PCU'!$M:$M,_xlpm.id))))</f>
        <v>5</v>
      </c>
    </row>
    <row r="221" spans="1:9">
      <c r="A221" t="s">
        <v>8267</v>
      </c>
      <c r="B221" t="s">
        <v>8266</v>
      </c>
      <c r="C221">
        <v>1833</v>
      </c>
      <c r="D221">
        <v>1</v>
      </c>
      <c r="E221" s="23">
        <v>3</v>
      </c>
      <c r="F221" t="s">
        <v>8265</v>
      </c>
      <c r="G221" t="s">
        <v>10486</v>
      </c>
      <c r="H221" t="s">
        <v>8019</v>
      </c>
      <c r="I221">
        <f>_xlfn.LET(_xlpm.id,TRIM($A221),IF(_xlpm.id="","",SUM(COUNTIF('1. OP'!$M:$M,_xlpm.id),COUNTIF('2. JSEL'!$M:$M,_xlpm.id),COUNTIF('3. PSM'!$M:$M,_xlpm.id),COUNTIF('4. SSP'!$M:$M,_xlpm.id),COUNTIF('5. JSACI'!$M:$M,_xlpm.id),COUNTIF('6. AIN'!$M:$M,_xlpm.id),COUNTIF('7. MS'!$M:$M,_xlpm.id),COUNTIF('8. DS'!$M:$M,_xlpm.id),COUNTIF('9. RMF'!$M:$M,_xlpm.id),COUNTIF('10. PCU'!$M:$M,_xlpm.id))))</f>
        <v>0</v>
      </c>
    </row>
    <row r="222" spans="1:9">
      <c r="A222" t="s">
        <v>8268</v>
      </c>
      <c r="B222" t="s">
        <v>8266</v>
      </c>
      <c r="C222">
        <v>1834</v>
      </c>
      <c r="D222">
        <v>1</v>
      </c>
      <c r="E222" s="23">
        <v>4</v>
      </c>
      <c r="F222" t="s">
        <v>8265</v>
      </c>
      <c r="G222" t="s">
        <v>10486</v>
      </c>
      <c r="H222" t="s">
        <v>8019</v>
      </c>
      <c r="I222">
        <f>_xlfn.LET(_xlpm.id,TRIM($A222),IF(_xlpm.id="","",SUM(COUNTIF('1. OP'!$M:$M,_xlpm.id),COUNTIF('2. JSEL'!$M:$M,_xlpm.id),COUNTIF('3. PSM'!$M:$M,_xlpm.id),COUNTIF('4. SSP'!$M:$M,_xlpm.id),COUNTIF('5. JSACI'!$M:$M,_xlpm.id),COUNTIF('6. AIN'!$M:$M,_xlpm.id),COUNTIF('7. MS'!$M:$M,_xlpm.id),COUNTIF('8. DS'!$M:$M,_xlpm.id),COUNTIF('9. RMF'!$M:$M,_xlpm.id),COUNTIF('10. PCU'!$M:$M,_xlpm.id))))</f>
        <v>0</v>
      </c>
    </row>
    <row r="223" spans="1:9">
      <c r="A223" t="s">
        <v>8269</v>
      </c>
      <c r="B223" t="s">
        <v>8266</v>
      </c>
      <c r="C223">
        <v>1834</v>
      </c>
      <c r="D223">
        <v>1</v>
      </c>
      <c r="E223" s="23">
        <v>5</v>
      </c>
      <c r="F223" t="s">
        <v>8265</v>
      </c>
      <c r="G223" t="s">
        <v>10486</v>
      </c>
      <c r="H223" t="s">
        <v>8019</v>
      </c>
      <c r="I223">
        <f>_xlfn.LET(_xlpm.id,TRIM($A223),IF(_xlpm.id="","",SUM(COUNTIF('1. OP'!$M:$M,_xlpm.id),COUNTIF('2. JSEL'!$M:$M,_xlpm.id),COUNTIF('3. PSM'!$M:$M,_xlpm.id),COUNTIF('4. SSP'!$M:$M,_xlpm.id),COUNTIF('5. JSACI'!$M:$M,_xlpm.id),COUNTIF('6. AIN'!$M:$M,_xlpm.id),COUNTIF('7. MS'!$M:$M,_xlpm.id),COUNTIF('8. DS'!$M:$M,_xlpm.id),COUNTIF('9. RMF'!$M:$M,_xlpm.id),COUNTIF('10. PCU'!$M:$M,_xlpm.id))))</f>
        <v>0</v>
      </c>
    </row>
    <row r="224" spans="1:9">
      <c r="A224" t="s">
        <v>5036</v>
      </c>
      <c r="B224" t="s">
        <v>8266</v>
      </c>
      <c r="C224">
        <v>1834</v>
      </c>
      <c r="D224">
        <v>1</v>
      </c>
      <c r="E224" s="23">
        <v>6</v>
      </c>
      <c r="F224" t="s">
        <v>8265</v>
      </c>
      <c r="G224" t="s">
        <v>10486</v>
      </c>
      <c r="H224" t="s">
        <v>8019</v>
      </c>
      <c r="I224">
        <f>_xlfn.LET(_xlpm.id,TRIM($A224),IF(_xlpm.id="","",SUM(COUNTIF('1. OP'!$M:$M,_xlpm.id),COUNTIF('2. JSEL'!$M:$M,_xlpm.id),COUNTIF('3. PSM'!$M:$M,_xlpm.id),COUNTIF('4. SSP'!$M:$M,_xlpm.id),COUNTIF('5. JSACI'!$M:$M,_xlpm.id),COUNTIF('6. AIN'!$M:$M,_xlpm.id),COUNTIF('7. MS'!$M:$M,_xlpm.id),COUNTIF('8. DS'!$M:$M,_xlpm.id),COUNTIF('9. RMF'!$M:$M,_xlpm.id),COUNTIF('10. PCU'!$M:$M,_xlpm.id))))</f>
        <v>1</v>
      </c>
    </row>
    <row r="225" spans="1:9">
      <c r="A225" t="s">
        <v>8270</v>
      </c>
      <c r="B225" t="s">
        <v>8266</v>
      </c>
      <c r="C225">
        <v>1835</v>
      </c>
      <c r="D225">
        <v>1</v>
      </c>
      <c r="E225" s="23">
        <v>7</v>
      </c>
      <c r="F225" t="s">
        <v>8265</v>
      </c>
      <c r="G225" t="s">
        <v>10486</v>
      </c>
      <c r="H225" t="s">
        <v>8019</v>
      </c>
      <c r="I225">
        <f>_xlfn.LET(_xlpm.id,TRIM($A225),IF(_xlpm.id="","",SUM(COUNTIF('1. OP'!$M:$M,_xlpm.id),COUNTIF('2. JSEL'!$M:$M,_xlpm.id),COUNTIF('3. PSM'!$M:$M,_xlpm.id),COUNTIF('4. SSP'!$M:$M,_xlpm.id),COUNTIF('5. JSACI'!$M:$M,_xlpm.id),COUNTIF('6. AIN'!$M:$M,_xlpm.id),COUNTIF('7. MS'!$M:$M,_xlpm.id),COUNTIF('8. DS'!$M:$M,_xlpm.id),COUNTIF('9. RMF'!$M:$M,_xlpm.id),COUNTIF('10. PCU'!$M:$M,_xlpm.id))))</f>
        <v>0</v>
      </c>
    </row>
    <row r="226" spans="1:9">
      <c r="A226" t="s">
        <v>8271</v>
      </c>
      <c r="B226" t="s">
        <v>8266</v>
      </c>
      <c r="C226">
        <v>1836</v>
      </c>
      <c r="D226">
        <v>1</v>
      </c>
      <c r="E226" s="23">
        <v>8</v>
      </c>
      <c r="F226" t="s">
        <v>8265</v>
      </c>
      <c r="G226" t="s">
        <v>10486</v>
      </c>
      <c r="H226" t="s">
        <v>8019</v>
      </c>
      <c r="I226">
        <f>_xlfn.LET(_xlpm.id,TRIM($A226),IF(_xlpm.id="","",SUM(COUNTIF('1. OP'!$M:$M,_xlpm.id),COUNTIF('2. JSEL'!$M:$M,_xlpm.id),COUNTIF('3. PSM'!$M:$M,_xlpm.id),COUNTIF('4. SSP'!$M:$M,_xlpm.id),COUNTIF('5. JSACI'!$M:$M,_xlpm.id),COUNTIF('6. AIN'!$M:$M,_xlpm.id),COUNTIF('7. MS'!$M:$M,_xlpm.id),COUNTIF('8. DS'!$M:$M,_xlpm.id),COUNTIF('9. RMF'!$M:$M,_xlpm.id),COUNTIF('10. PCU'!$M:$M,_xlpm.id))))</f>
        <v>0</v>
      </c>
    </row>
    <row r="227" spans="1:9">
      <c r="A227" t="s">
        <v>8272</v>
      </c>
      <c r="B227" t="s">
        <v>8266</v>
      </c>
      <c r="C227">
        <v>1836</v>
      </c>
      <c r="D227">
        <v>1</v>
      </c>
      <c r="E227" s="23">
        <v>9</v>
      </c>
      <c r="F227" t="s">
        <v>8265</v>
      </c>
      <c r="G227" t="s">
        <v>10486</v>
      </c>
      <c r="H227" t="s">
        <v>8019</v>
      </c>
      <c r="I227">
        <f>_xlfn.LET(_xlpm.id,TRIM($A227),IF(_xlpm.id="","",SUM(COUNTIF('1. OP'!$M:$M,_xlpm.id),COUNTIF('2. JSEL'!$M:$M,_xlpm.id),COUNTIF('3. PSM'!$M:$M,_xlpm.id),COUNTIF('4. SSP'!$M:$M,_xlpm.id),COUNTIF('5. JSACI'!$M:$M,_xlpm.id),COUNTIF('6. AIN'!$M:$M,_xlpm.id),COUNTIF('7. MS'!$M:$M,_xlpm.id),COUNTIF('8. DS'!$M:$M,_xlpm.id),COUNTIF('9. RMF'!$M:$M,_xlpm.id),COUNTIF('10. PCU'!$M:$M,_xlpm.id))))</f>
        <v>0</v>
      </c>
    </row>
    <row r="228" spans="1:9">
      <c r="A228" t="s">
        <v>8273</v>
      </c>
      <c r="B228" t="s">
        <v>8266</v>
      </c>
      <c r="C228">
        <v>1837</v>
      </c>
      <c r="D228">
        <v>1</v>
      </c>
      <c r="E228" s="23">
        <v>10</v>
      </c>
      <c r="F228" t="s">
        <v>8265</v>
      </c>
      <c r="G228" t="s">
        <v>10486</v>
      </c>
      <c r="H228" t="s">
        <v>8019</v>
      </c>
      <c r="I228">
        <f>_xlfn.LET(_xlpm.id,TRIM($A228),IF(_xlpm.id="","",SUM(COUNTIF('1. OP'!$M:$M,_xlpm.id),COUNTIF('2. JSEL'!$M:$M,_xlpm.id),COUNTIF('3. PSM'!$M:$M,_xlpm.id),COUNTIF('4. SSP'!$M:$M,_xlpm.id),COUNTIF('5. JSACI'!$M:$M,_xlpm.id),COUNTIF('6. AIN'!$M:$M,_xlpm.id),COUNTIF('7. MS'!$M:$M,_xlpm.id),COUNTIF('8. DS'!$M:$M,_xlpm.id),COUNTIF('9. RMF'!$M:$M,_xlpm.id),COUNTIF('10. PCU'!$M:$M,_xlpm.id))))</f>
        <v>0</v>
      </c>
    </row>
    <row r="229" spans="1:9">
      <c r="A229" t="s">
        <v>8274</v>
      </c>
      <c r="B229" t="s">
        <v>8266</v>
      </c>
      <c r="C229">
        <v>1837</v>
      </c>
      <c r="D229">
        <v>1</v>
      </c>
      <c r="E229" s="23">
        <v>11</v>
      </c>
      <c r="F229" t="s">
        <v>8265</v>
      </c>
      <c r="G229" t="s">
        <v>10486</v>
      </c>
      <c r="H229" t="s">
        <v>8019</v>
      </c>
      <c r="I229">
        <f>_xlfn.LET(_xlpm.id,TRIM($A229),IF(_xlpm.id="","",SUM(COUNTIF('1. OP'!$M:$M,_xlpm.id),COUNTIF('2. JSEL'!$M:$M,_xlpm.id),COUNTIF('3. PSM'!$M:$M,_xlpm.id),COUNTIF('4. SSP'!$M:$M,_xlpm.id),COUNTIF('5. JSACI'!$M:$M,_xlpm.id),COUNTIF('6. AIN'!$M:$M,_xlpm.id),COUNTIF('7. MS'!$M:$M,_xlpm.id),COUNTIF('8. DS'!$M:$M,_xlpm.id),COUNTIF('9. RMF'!$M:$M,_xlpm.id),COUNTIF('10. PCU'!$M:$M,_xlpm.id))))</f>
        <v>0</v>
      </c>
    </row>
    <row r="230" spans="1:9">
      <c r="A230" t="s">
        <v>5035</v>
      </c>
      <c r="B230" t="s">
        <v>8275</v>
      </c>
      <c r="C230">
        <v>1832</v>
      </c>
      <c r="D230">
        <v>1</v>
      </c>
      <c r="E230" s="23">
        <v>1</v>
      </c>
      <c r="F230" t="s">
        <v>8265</v>
      </c>
      <c r="G230" t="s">
        <v>10486</v>
      </c>
      <c r="H230" t="s">
        <v>8019</v>
      </c>
      <c r="I230">
        <f>_xlfn.LET(_xlpm.id,TRIM($A230),IF(_xlpm.id="","",SUM(COUNTIF('1. OP'!$M:$M,_xlpm.id),COUNTIF('2. JSEL'!$M:$M,_xlpm.id),COUNTIF('3. PSM'!$M:$M,_xlpm.id),COUNTIF('4. SSP'!$M:$M,_xlpm.id),COUNTIF('5. JSACI'!$M:$M,_xlpm.id),COUNTIF('6. AIN'!$M:$M,_xlpm.id),COUNTIF('7. MS'!$M:$M,_xlpm.id),COUNTIF('8. DS'!$M:$M,_xlpm.id),COUNTIF('9. RMF'!$M:$M,_xlpm.id),COUNTIF('10. PCU'!$M:$M,_xlpm.id))))</f>
        <v>3</v>
      </c>
    </row>
    <row r="231" spans="1:9">
      <c r="A231" t="s">
        <v>8276</v>
      </c>
      <c r="B231" t="s">
        <v>8275</v>
      </c>
      <c r="C231">
        <v>1833</v>
      </c>
      <c r="D231">
        <v>1</v>
      </c>
      <c r="E231" s="23">
        <v>2</v>
      </c>
      <c r="F231" t="s">
        <v>8265</v>
      </c>
      <c r="G231" t="s">
        <v>10486</v>
      </c>
      <c r="H231" t="s">
        <v>8019</v>
      </c>
      <c r="I231">
        <f>_xlfn.LET(_xlpm.id,TRIM($A231),IF(_xlpm.id="","",SUM(COUNTIF('1. OP'!$M:$M,_xlpm.id),COUNTIF('2. JSEL'!$M:$M,_xlpm.id),COUNTIF('3. PSM'!$M:$M,_xlpm.id),COUNTIF('4. SSP'!$M:$M,_xlpm.id),COUNTIF('5. JSACI'!$M:$M,_xlpm.id),COUNTIF('6. AIN'!$M:$M,_xlpm.id),COUNTIF('7. MS'!$M:$M,_xlpm.id),COUNTIF('8. DS'!$M:$M,_xlpm.id),COUNTIF('9. RMF'!$M:$M,_xlpm.id),COUNTIF('10. PCU'!$M:$M,_xlpm.id))))</f>
        <v>0</v>
      </c>
    </row>
    <row r="232" spans="1:9">
      <c r="A232" t="s">
        <v>8277</v>
      </c>
      <c r="B232" t="s">
        <v>8275</v>
      </c>
      <c r="C232">
        <v>1834</v>
      </c>
      <c r="D232">
        <v>1</v>
      </c>
      <c r="E232" s="23">
        <v>3</v>
      </c>
      <c r="F232" t="s">
        <v>8265</v>
      </c>
      <c r="G232" t="s">
        <v>10486</v>
      </c>
      <c r="H232" t="s">
        <v>8019</v>
      </c>
      <c r="I232">
        <f>_xlfn.LET(_xlpm.id,TRIM($A232),IF(_xlpm.id="","",SUM(COUNTIF('1. OP'!$M:$M,_xlpm.id),COUNTIF('2. JSEL'!$M:$M,_xlpm.id),COUNTIF('3. PSM'!$M:$M,_xlpm.id),COUNTIF('4. SSP'!$M:$M,_xlpm.id),COUNTIF('5. JSACI'!$M:$M,_xlpm.id),COUNTIF('6. AIN'!$M:$M,_xlpm.id),COUNTIF('7. MS'!$M:$M,_xlpm.id),COUNTIF('8. DS'!$M:$M,_xlpm.id),COUNTIF('9. RMF'!$M:$M,_xlpm.id),COUNTIF('10. PCU'!$M:$M,_xlpm.id))))</f>
        <v>0</v>
      </c>
    </row>
    <row r="233" spans="1:9">
      <c r="A233" t="s">
        <v>8278</v>
      </c>
      <c r="B233" t="s">
        <v>8275</v>
      </c>
      <c r="C233">
        <v>1835</v>
      </c>
      <c r="D233">
        <v>1</v>
      </c>
      <c r="E233" s="23">
        <v>4</v>
      </c>
      <c r="F233" t="s">
        <v>8265</v>
      </c>
      <c r="G233" t="s">
        <v>10486</v>
      </c>
      <c r="H233" t="s">
        <v>8019</v>
      </c>
      <c r="I233">
        <f>_xlfn.LET(_xlpm.id,TRIM($A233),IF(_xlpm.id="","",SUM(COUNTIF('1. OP'!$M:$M,_xlpm.id),COUNTIF('2. JSEL'!$M:$M,_xlpm.id),COUNTIF('3. PSM'!$M:$M,_xlpm.id),COUNTIF('4. SSP'!$M:$M,_xlpm.id),COUNTIF('5. JSACI'!$M:$M,_xlpm.id),COUNTIF('6. AIN'!$M:$M,_xlpm.id),COUNTIF('7. MS'!$M:$M,_xlpm.id),COUNTIF('8. DS'!$M:$M,_xlpm.id),COUNTIF('9. RMF'!$M:$M,_xlpm.id),COUNTIF('10. PCU'!$M:$M,_xlpm.id))))</f>
        <v>0</v>
      </c>
    </row>
    <row r="234" spans="1:9">
      <c r="A234" t="s">
        <v>8279</v>
      </c>
      <c r="B234" t="s">
        <v>8275</v>
      </c>
      <c r="C234">
        <v>1836</v>
      </c>
      <c r="D234">
        <v>1</v>
      </c>
      <c r="E234" s="23">
        <v>5</v>
      </c>
      <c r="F234" t="s">
        <v>8265</v>
      </c>
      <c r="G234" t="s">
        <v>10486</v>
      </c>
      <c r="H234" t="s">
        <v>8019</v>
      </c>
      <c r="I234">
        <f>_xlfn.LET(_xlpm.id,TRIM($A234),IF(_xlpm.id="","",SUM(COUNTIF('1. OP'!$M:$M,_xlpm.id),COUNTIF('2. JSEL'!$M:$M,_xlpm.id),COUNTIF('3. PSM'!$M:$M,_xlpm.id),COUNTIF('4. SSP'!$M:$M,_xlpm.id),COUNTIF('5. JSACI'!$M:$M,_xlpm.id),COUNTIF('6. AIN'!$M:$M,_xlpm.id),COUNTIF('7. MS'!$M:$M,_xlpm.id),COUNTIF('8. DS'!$M:$M,_xlpm.id),COUNTIF('9. RMF'!$M:$M,_xlpm.id),COUNTIF('10. PCU'!$M:$M,_xlpm.id))))</f>
        <v>0</v>
      </c>
    </row>
    <row r="235" spans="1:9">
      <c r="A235" t="s">
        <v>8280</v>
      </c>
      <c r="B235" t="s">
        <v>8275</v>
      </c>
      <c r="C235">
        <v>1837</v>
      </c>
      <c r="D235">
        <v>1</v>
      </c>
      <c r="E235" s="23">
        <v>6</v>
      </c>
      <c r="F235" t="s">
        <v>8265</v>
      </c>
      <c r="G235" t="s">
        <v>10486</v>
      </c>
      <c r="H235" t="s">
        <v>8019</v>
      </c>
      <c r="I235">
        <f>_xlfn.LET(_xlpm.id,TRIM($A235),IF(_xlpm.id="","",SUM(COUNTIF('1. OP'!$M:$M,_xlpm.id),COUNTIF('2. JSEL'!$M:$M,_xlpm.id),COUNTIF('3. PSM'!$M:$M,_xlpm.id),COUNTIF('4. SSP'!$M:$M,_xlpm.id),COUNTIF('5. JSACI'!$M:$M,_xlpm.id),COUNTIF('6. AIN'!$M:$M,_xlpm.id),COUNTIF('7. MS'!$M:$M,_xlpm.id),COUNTIF('8. DS'!$M:$M,_xlpm.id),COUNTIF('9. RMF'!$M:$M,_xlpm.id),COUNTIF('10. PCU'!$M:$M,_xlpm.id))))</f>
        <v>0</v>
      </c>
    </row>
    <row r="236" spans="1:9">
      <c r="A236" t="s">
        <v>6503</v>
      </c>
      <c r="B236" t="s">
        <v>8275</v>
      </c>
      <c r="C236">
        <v>1838</v>
      </c>
      <c r="D236">
        <v>1</v>
      </c>
      <c r="E236" s="23">
        <v>7</v>
      </c>
      <c r="F236" t="s">
        <v>8265</v>
      </c>
      <c r="G236" t="s">
        <v>10486</v>
      </c>
      <c r="H236" t="s">
        <v>8019</v>
      </c>
      <c r="I236">
        <f>_xlfn.LET(_xlpm.id,TRIM($A236),IF(_xlpm.id="","",SUM(COUNTIF('1. OP'!$M:$M,_xlpm.id),COUNTIF('2. JSEL'!$M:$M,_xlpm.id),COUNTIF('3. PSM'!$M:$M,_xlpm.id),COUNTIF('4. SSP'!$M:$M,_xlpm.id),COUNTIF('5. JSACI'!$M:$M,_xlpm.id),COUNTIF('6. AIN'!$M:$M,_xlpm.id),COUNTIF('7. MS'!$M:$M,_xlpm.id),COUNTIF('8. DS'!$M:$M,_xlpm.id),COUNTIF('9. RMF'!$M:$M,_xlpm.id),COUNTIF('10. PCU'!$M:$M,_xlpm.id))))</f>
        <v>1</v>
      </c>
    </row>
    <row r="237" spans="1:9">
      <c r="A237" t="s">
        <v>8281</v>
      </c>
      <c r="B237" t="s">
        <v>8275</v>
      </c>
      <c r="C237">
        <v>1839</v>
      </c>
      <c r="D237">
        <v>1</v>
      </c>
      <c r="E237" s="23">
        <v>8</v>
      </c>
      <c r="F237" t="s">
        <v>8265</v>
      </c>
      <c r="G237" t="s">
        <v>10486</v>
      </c>
      <c r="H237" t="s">
        <v>8019</v>
      </c>
      <c r="I237">
        <f>_xlfn.LET(_xlpm.id,TRIM($A237),IF(_xlpm.id="","",SUM(COUNTIF('1. OP'!$M:$M,_xlpm.id),COUNTIF('2. JSEL'!$M:$M,_xlpm.id),COUNTIF('3. PSM'!$M:$M,_xlpm.id),COUNTIF('4. SSP'!$M:$M,_xlpm.id),COUNTIF('5. JSACI'!$M:$M,_xlpm.id),COUNTIF('6. AIN'!$M:$M,_xlpm.id),COUNTIF('7. MS'!$M:$M,_xlpm.id),COUNTIF('8. DS'!$M:$M,_xlpm.id),COUNTIF('9. RMF'!$M:$M,_xlpm.id),COUNTIF('10. PCU'!$M:$M,_xlpm.id))))</f>
        <v>0</v>
      </c>
    </row>
    <row r="238" spans="1:9">
      <c r="A238" t="s">
        <v>8282</v>
      </c>
      <c r="B238" t="s">
        <v>8275</v>
      </c>
      <c r="C238">
        <v>1840</v>
      </c>
      <c r="D238">
        <v>1</v>
      </c>
      <c r="E238" s="23">
        <v>9</v>
      </c>
      <c r="F238" t="s">
        <v>8265</v>
      </c>
      <c r="G238" t="s">
        <v>10486</v>
      </c>
      <c r="H238" t="s">
        <v>8019</v>
      </c>
      <c r="I238">
        <f>_xlfn.LET(_xlpm.id,TRIM($A238),IF(_xlpm.id="","",SUM(COUNTIF('1. OP'!$M:$M,_xlpm.id),COUNTIF('2. JSEL'!$M:$M,_xlpm.id),COUNTIF('3. PSM'!$M:$M,_xlpm.id),COUNTIF('4. SSP'!$M:$M,_xlpm.id),COUNTIF('5. JSACI'!$M:$M,_xlpm.id),COUNTIF('6. AIN'!$M:$M,_xlpm.id),COUNTIF('7. MS'!$M:$M,_xlpm.id),COUNTIF('8. DS'!$M:$M,_xlpm.id),COUNTIF('9. RMF'!$M:$M,_xlpm.id),COUNTIF('10. PCU'!$M:$M,_xlpm.id))))</f>
        <v>0</v>
      </c>
    </row>
    <row r="239" spans="1:9">
      <c r="A239" t="s">
        <v>8283</v>
      </c>
      <c r="B239" t="s">
        <v>8284</v>
      </c>
      <c r="C239">
        <v>1824</v>
      </c>
      <c r="D239">
        <v>1</v>
      </c>
      <c r="E239" s="23">
        <v>1</v>
      </c>
      <c r="F239" t="s">
        <v>8102</v>
      </c>
      <c r="G239" t="s">
        <v>10484</v>
      </c>
      <c r="H239" t="s">
        <v>8021</v>
      </c>
      <c r="I239">
        <f>_xlfn.LET(_xlpm.id,TRIM($A239),IF(_xlpm.id="","",SUM(COUNTIF('1. OP'!$M:$M,_xlpm.id),COUNTIF('2. JSEL'!$M:$M,_xlpm.id),COUNTIF('3. PSM'!$M:$M,_xlpm.id),COUNTIF('4. SSP'!$M:$M,_xlpm.id),COUNTIF('5. JSACI'!$M:$M,_xlpm.id),COUNTIF('6. AIN'!$M:$M,_xlpm.id),COUNTIF('7. MS'!$M:$M,_xlpm.id),COUNTIF('8. DS'!$M:$M,_xlpm.id),COUNTIF('9. RMF'!$M:$M,_xlpm.id),COUNTIF('10. PCU'!$M:$M,_xlpm.id))))</f>
        <v>0</v>
      </c>
    </row>
    <row r="240" spans="1:9">
      <c r="A240" t="s">
        <v>6393</v>
      </c>
      <c r="B240" t="s">
        <v>8284</v>
      </c>
      <c r="C240">
        <v>1824</v>
      </c>
      <c r="D240">
        <v>1</v>
      </c>
      <c r="E240" s="23">
        <v>2</v>
      </c>
      <c r="F240" t="s">
        <v>8102</v>
      </c>
      <c r="G240" t="s">
        <v>10484</v>
      </c>
      <c r="H240" t="s">
        <v>8021</v>
      </c>
      <c r="I240">
        <f>_xlfn.LET(_xlpm.id,TRIM($A240),IF(_xlpm.id="","",SUM(COUNTIF('1. OP'!$M:$M,_xlpm.id),COUNTIF('2. JSEL'!$M:$M,_xlpm.id),COUNTIF('3. PSM'!$M:$M,_xlpm.id),COUNTIF('4. SSP'!$M:$M,_xlpm.id),COUNTIF('5. JSACI'!$M:$M,_xlpm.id),COUNTIF('6. AIN'!$M:$M,_xlpm.id),COUNTIF('7. MS'!$M:$M,_xlpm.id),COUNTIF('8. DS'!$M:$M,_xlpm.id),COUNTIF('9. RMF'!$M:$M,_xlpm.id),COUNTIF('10. PCU'!$M:$M,_xlpm.id))))</f>
        <v>2</v>
      </c>
    </row>
    <row r="241" spans="1:9">
      <c r="A241" t="s">
        <v>7388</v>
      </c>
      <c r="B241" t="s">
        <v>8284</v>
      </c>
      <c r="C241">
        <v>1824</v>
      </c>
      <c r="D241">
        <v>1</v>
      </c>
      <c r="E241" s="23">
        <v>3</v>
      </c>
      <c r="F241" t="s">
        <v>8102</v>
      </c>
      <c r="G241" t="s">
        <v>10484</v>
      </c>
      <c r="H241" t="s">
        <v>8021</v>
      </c>
      <c r="I241">
        <f>_xlfn.LET(_xlpm.id,TRIM($A241),IF(_xlpm.id="","",SUM(COUNTIF('1. OP'!$M:$M,_xlpm.id),COUNTIF('2. JSEL'!$M:$M,_xlpm.id),COUNTIF('3. PSM'!$M:$M,_xlpm.id),COUNTIF('4. SSP'!$M:$M,_xlpm.id),COUNTIF('5. JSACI'!$M:$M,_xlpm.id),COUNTIF('6. AIN'!$M:$M,_xlpm.id),COUNTIF('7. MS'!$M:$M,_xlpm.id),COUNTIF('8. DS'!$M:$M,_xlpm.id),COUNTIF('9. RMF'!$M:$M,_xlpm.id),COUNTIF('10. PCU'!$M:$M,_xlpm.id))))</f>
        <v>1</v>
      </c>
    </row>
    <row r="242" spans="1:9">
      <c r="A242" t="s">
        <v>8285</v>
      </c>
      <c r="B242" t="s">
        <v>8284</v>
      </c>
      <c r="C242">
        <v>1824</v>
      </c>
      <c r="D242">
        <v>1</v>
      </c>
      <c r="E242" s="23">
        <v>4</v>
      </c>
      <c r="F242" t="s">
        <v>8102</v>
      </c>
      <c r="G242" t="s">
        <v>10484</v>
      </c>
      <c r="H242" t="s">
        <v>8021</v>
      </c>
      <c r="I242">
        <f>_xlfn.LET(_xlpm.id,TRIM($A242),IF(_xlpm.id="","",SUM(COUNTIF('1. OP'!$M:$M,_xlpm.id),COUNTIF('2. JSEL'!$M:$M,_xlpm.id),COUNTIF('3. PSM'!$M:$M,_xlpm.id),COUNTIF('4. SSP'!$M:$M,_xlpm.id),COUNTIF('5. JSACI'!$M:$M,_xlpm.id),COUNTIF('6. AIN'!$M:$M,_xlpm.id),COUNTIF('7. MS'!$M:$M,_xlpm.id),COUNTIF('8. DS'!$M:$M,_xlpm.id),COUNTIF('9. RMF'!$M:$M,_xlpm.id),COUNTIF('10. PCU'!$M:$M,_xlpm.id))))</f>
        <v>0</v>
      </c>
    </row>
    <row r="243" spans="1:9">
      <c r="A243" t="s">
        <v>5009</v>
      </c>
      <c r="B243" t="s">
        <v>8284</v>
      </c>
      <c r="C243">
        <v>1825</v>
      </c>
      <c r="D243">
        <v>1</v>
      </c>
      <c r="E243" s="23">
        <v>1</v>
      </c>
      <c r="F243" t="s">
        <v>8102</v>
      </c>
      <c r="G243" t="s">
        <v>10484</v>
      </c>
      <c r="H243" t="s">
        <v>8021</v>
      </c>
      <c r="I243">
        <f>_xlfn.LET(_xlpm.id,TRIM($A243),IF(_xlpm.id="","",SUM(COUNTIF('1. OP'!$M:$M,_xlpm.id),COUNTIF('2. JSEL'!$M:$M,_xlpm.id),COUNTIF('3. PSM'!$M:$M,_xlpm.id),COUNTIF('4. SSP'!$M:$M,_xlpm.id),COUNTIF('5. JSACI'!$M:$M,_xlpm.id),COUNTIF('6. AIN'!$M:$M,_xlpm.id),COUNTIF('7. MS'!$M:$M,_xlpm.id),COUNTIF('8. DS'!$M:$M,_xlpm.id),COUNTIF('9. RMF'!$M:$M,_xlpm.id),COUNTIF('10. PCU'!$M:$M,_xlpm.id))))</f>
        <v>5</v>
      </c>
    </row>
    <row r="244" spans="1:9">
      <c r="A244" t="s">
        <v>6363</v>
      </c>
      <c r="B244" t="s">
        <v>8284</v>
      </c>
      <c r="C244">
        <v>1825</v>
      </c>
      <c r="D244">
        <v>1</v>
      </c>
      <c r="E244" s="23">
        <v>2</v>
      </c>
      <c r="F244" t="s">
        <v>8102</v>
      </c>
      <c r="G244" t="s">
        <v>10484</v>
      </c>
      <c r="H244" t="s">
        <v>8021</v>
      </c>
      <c r="I244">
        <f>_xlfn.LET(_xlpm.id,TRIM($A244),IF(_xlpm.id="","",SUM(COUNTIF('1. OP'!$M:$M,_xlpm.id),COUNTIF('2. JSEL'!$M:$M,_xlpm.id),COUNTIF('3. PSM'!$M:$M,_xlpm.id),COUNTIF('4. SSP'!$M:$M,_xlpm.id),COUNTIF('5. JSACI'!$M:$M,_xlpm.id),COUNTIF('6. AIN'!$M:$M,_xlpm.id),COUNTIF('7. MS'!$M:$M,_xlpm.id),COUNTIF('8. DS'!$M:$M,_xlpm.id),COUNTIF('9. RMF'!$M:$M,_xlpm.id),COUNTIF('10. PCU'!$M:$M,_xlpm.id))))</f>
        <v>1</v>
      </c>
    </row>
    <row r="245" spans="1:9">
      <c r="A245" t="s">
        <v>8286</v>
      </c>
      <c r="B245" t="s">
        <v>8284</v>
      </c>
      <c r="C245">
        <v>1825</v>
      </c>
      <c r="D245">
        <v>1</v>
      </c>
      <c r="E245" s="23">
        <v>3</v>
      </c>
      <c r="F245" t="s">
        <v>8102</v>
      </c>
      <c r="G245" t="s">
        <v>10484</v>
      </c>
      <c r="H245" t="s">
        <v>8021</v>
      </c>
      <c r="I245">
        <f>_xlfn.LET(_xlpm.id,TRIM($A245),IF(_xlpm.id="","",SUM(COUNTIF('1. OP'!$M:$M,_xlpm.id),COUNTIF('2. JSEL'!$M:$M,_xlpm.id),COUNTIF('3. PSM'!$M:$M,_xlpm.id),COUNTIF('4. SSP'!$M:$M,_xlpm.id),COUNTIF('5. JSACI'!$M:$M,_xlpm.id),COUNTIF('6. AIN'!$M:$M,_xlpm.id),COUNTIF('7. MS'!$M:$M,_xlpm.id),COUNTIF('8. DS'!$M:$M,_xlpm.id),COUNTIF('9. RMF'!$M:$M,_xlpm.id),COUNTIF('10. PCU'!$M:$M,_xlpm.id))))</f>
        <v>0</v>
      </c>
    </row>
    <row r="246" spans="1:9">
      <c r="A246" t="s">
        <v>5560</v>
      </c>
      <c r="B246" t="s">
        <v>8284</v>
      </c>
      <c r="C246">
        <v>1825</v>
      </c>
      <c r="D246">
        <v>1</v>
      </c>
      <c r="E246" s="23">
        <v>4</v>
      </c>
      <c r="F246" t="s">
        <v>8102</v>
      </c>
      <c r="G246" t="s">
        <v>10484</v>
      </c>
      <c r="H246" t="s">
        <v>8021</v>
      </c>
      <c r="I246">
        <f>_xlfn.LET(_xlpm.id,TRIM($A246),IF(_xlpm.id="","",SUM(COUNTIF('1. OP'!$M:$M,_xlpm.id),COUNTIF('2. JSEL'!$M:$M,_xlpm.id),COUNTIF('3. PSM'!$M:$M,_xlpm.id),COUNTIF('4. SSP'!$M:$M,_xlpm.id),COUNTIF('5. JSACI'!$M:$M,_xlpm.id),COUNTIF('6. AIN'!$M:$M,_xlpm.id),COUNTIF('7. MS'!$M:$M,_xlpm.id),COUNTIF('8. DS'!$M:$M,_xlpm.id),COUNTIF('9. RMF'!$M:$M,_xlpm.id),COUNTIF('10. PCU'!$M:$M,_xlpm.id))))</f>
        <v>6</v>
      </c>
    </row>
    <row r="247" spans="1:9">
      <c r="A247" t="s">
        <v>6407</v>
      </c>
      <c r="B247" t="s">
        <v>8284</v>
      </c>
      <c r="C247">
        <v>1826</v>
      </c>
      <c r="D247">
        <v>1</v>
      </c>
      <c r="E247" s="23">
        <v>1</v>
      </c>
      <c r="F247" t="s">
        <v>8102</v>
      </c>
      <c r="G247" t="s">
        <v>10484</v>
      </c>
      <c r="H247" t="s">
        <v>8021</v>
      </c>
      <c r="I247">
        <f>_xlfn.LET(_xlpm.id,TRIM($A247),IF(_xlpm.id="","",SUM(COUNTIF('1. OP'!$M:$M,_xlpm.id),COUNTIF('2. JSEL'!$M:$M,_xlpm.id),COUNTIF('3. PSM'!$M:$M,_xlpm.id),COUNTIF('4. SSP'!$M:$M,_xlpm.id),COUNTIF('5. JSACI'!$M:$M,_xlpm.id),COUNTIF('6. AIN'!$M:$M,_xlpm.id),COUNTIF('7. MS'!$M:$M,_xlpm.id),COUNTIF('8. DS'!$M:$M,_xlpm.id),COUNTIF('9. RMF'!$M:$M,_xlpm.id),COUNTIF('10. PCU'!$M:$M,_xlpm.id))))</f>
        <v>8</v>
      </c>
    </row>
    <row r="248" spans="1:9">
      <c r="A248" t="s">
        <v>5063</v>
      </c>
      <c r="B248" t="s">
        <v>8284</v>
      </c>
      <c r="C248">
        <v>1826</v>
      </c>
      <c r="D248">
        <v>1</v>
      </c>
      <c r="E248" s="23">
        <v>2</v>
      </c>
      <c r="F248" t="s">
        <v>8102</v>
      </c>
      <c r="G248" t="s">
        <v>10484</v>
      </c>
      <c r="H248" t="s">
        <v>8021</v>
      </c>
      <c r="I248">
        <f>_xlfn.LET(_xlpm.id,TRIM($A248),IF(_xlpm.id="","",SUM(COUNTIF('1. OP'!$M:$M,_xlpm.id),COUNTIF('2. JSEL'!$M:$M,_xlpm.id),COUNTIF('3. PSM'!$M:$M,_xlpm.id),COUNTIF('4. SSP'!$M:$M,_xlpm.id),COUNTIF('5. JSACI'!$M:$M,_xlpm.id),COUNTIF('6. AIN'!$M:$M,_xlpm.id),COUNTIF('7. MS'!$M:$M,_xlpm.id),COUNTIF('8. DS'!$M:$M,_xlpm.id),COUNTIF('9. RMF'!$M:$M,_xlpm.id),COUNTIF('10. PCU'!$M:$M,_xlpm.id))))</f>
        <v>1</v>
      </c>
    </row>
    <row r="249" spans="1:9">
      <c r="A249" t="s">
        <v>8287</v>
      </c>
      <c r="B249" t="s">
        <v>8284</v>
      </c>
      <c r="C249">
        <v>1826</v>
      </c>
      <c r="D249">
        <v>1</v>
      </c>
      <c r="E249" s="23">
        <v>3</v>
      </c>
      <c r="F249" t="s">
        <v>8102</v>
      </c>
      <c r="G249" t="s">
        <v>10484</v>
      </c>
      <c r="H249" t="s">
        <v>8021</v>
      </c>
      <c r="I249">
        <f>_xlfn.LET(_xlpm.id,TRIM($A249),IF(_xlpm.id="","",SUM(COUNTIF('1. OP'!$M:$M,_xlpm.id),COUNTIF('2. JSEL'!$M:$M,_xlpm.id),COUNTIF('3. PSM'!$M:$M,_xlpm.id),COUNTIF('4. SSP'!$M:$M,_xlpm.id),COUNTIF('5. JSACI'!$M:$M,_xlpm.id),COUNTIF('6. AIN'!$M:$M,_xlpm.id),COUNTIF('7. MS'!$M:$M,_xlpm.id),COUNTIF('8. DS'!$M:$M,_xlpm.id),COUNTIF('9. RMF'!$M:$M,_xlpm.id),COUNTIF('10. PCU'!$M:$M,_xlpm.id))))</f>
        <v>0</v>
      </c>
    </row>
    <row r="250" spans="1:9">
      <c r="A250" t="s">
        <v>8288</v>
      </c>
      <c r="B250" t="s">
        <v>8284</v>
      </c>
      <c r="C250">
        <v>1826</v>
      </c>
      <c r="D250">
        <v>1</v>
      </c>
      <c r="E250" s="23">
        <v>4</v>
      </c>
      <c r="F250" t="s">
        <v>8102</v>
      </c>
      <c r="G250" t="s">
        <v>10484</v>
      </c>
      <c r="H250" t="s">
        <v>8021</v>
      </c>
      <c r="I250">
        <f>_xlfn.LET(_xlpm.id,TRIM($A250),IF(_xlpm.id="","",SUM(COUNTIF('1. OP'!$M:$M,_xlpm.id),COUNTIF('2. JSEL'!$M:$M,_xlpm.id),COUNTIF('3. PSM'!$M:$M,_xlpm.id),COUNTIF('4. SSP'!$M:$M,_xlpm.id),COUNTIF('5. JSACI'!$M:$M,_xlpm.id),COUNTIF('6. AIN'!$M:$M,_xlpm.id),COUNTIF('7. MS'!$M:$M,_xlpm.id),COUNTIF('8. DS'!$M:$M,_xlpm.id),COUNTIF('9. RMF'!$M:$M,_xlpm.id),COUNTIF('10. PCU'!$M:$M,_xlpm.id))))</f>
        <v>0</v>
      </c>
    </row>
    <row r="251" spans="1:9">
      <c r="A251" t="s">
        <v>8289</v>
      </c>
      <c r="B251" t="s">
        <v>8284</v>
      </c>
      <c r="C251">
        <v>1827</v>
      </c>
      <c r="D251">
        <v>1</v>
      </c>
      <c r="E251" s="23">
        <v>1</v>
      </c>
      <c r="F251" t="s">
        <v>8102</v>
      </c>
      <c r="G251" t="s">
        <v>10484</v>
      </c>
      <c r="H251" t="s">
        <v>8021</v>
      </c>
      <c r="I251">
        <f>_xlfn.LET(_xlpm.id,TRIM($A251),IF(_xlpm.id="","",SUM(COUNTIF('1. OP'!$M:$M,_xlpm.id),COUNTIF('2. JSEL'!$M:$M,_xlpm.id),COUNTIF('3. PSM'!$M:$M,_xlpm.id),COUNTIF('4. SSP'!$M:$M,_xlpm.id),COUNTIF('5. JSACI'!$M:$M,_xlpm.id),COUNTIF('6. AIN'!$M:$M,_xlpm.id),COUNTIF('7. MS'!$M:$M,_xlpm.id),COUNTIF('8. DS'!$M:$M,_xlpm.id),COUNTIF('9. RMF'!$M:$M,_xlpm.id),COUNTIF('10. PCU'!$M:$M,_xlpm.id))))</f>
        <v>0</v>
      </c>
    </row>
    <row r="252" spans="1:9">
      <c r="A252" t="s">
        <v>8290</v>
      </c>
      <c r="B252" t="s">
        <v>8284</v>
      </c>
      <c r="C252">
        <v>1827</v>
      </c>
      <c r="D252">
        <v>1</v>
      </c>
      <c r="E252" s="23">
        <v>2</v>
      </c>
      <c r="F252" t="s">
        <v>8102</v>
      </c>
      <c r="G252" t="s">
        <v>10484</v>
      </c>
      <c r="H252" t="s">
        <v>8021</v>
      </c>
      <c r="I252">
        <f>_xlfn.LET(_xlpm.id,TRIM($A252),IF(_xlpm.id="","",SUM(COUNTIF('1. OP'!$M:$M,_xlpm.id),COUNTIF('2. JSEL'!$M:$M,_xlpm.id),COUNTIF('3. PSM'!$M:$M,_xlpm.id),COUNTIF('4. SSP'!$M:$M,_xlpm.id),COUNTIF('5. JSACI'!$M:$M,_xlpm.id),COUNTIF('6. AIN'!$M:$M,_xlpm.id),COUNTIF('7. MS'!$M:$M,_xlpm.id),COUNTIF('8. DS'!$M:$M,_xlpm.id),COUNTIF('9. RMF'!$M:$M,_xlpm.id),COUNTIF('10. PCU'!$M:$M,_xlpm.id))))</f>
        <v>0</v>
      </c>
    </row>
    <row r="253" spans="1:9">
      <c r="A253" t="s">
        <v>8291</v>
      </c>
      <c r="B253" t="s">
        <v>8284</v>
      </c>
      <c r="C253">
        <v>1827</v>
      </c>
      <c r="D253">
        <v>1</v>
      </c>
      <c r="E253" s="23">
        <v>3</v>
      </c>
      <c r="F253" t="s">
        <v>8102</v>
      </c>
      <c r="G253" t="s">
        <v>10484</v>
      </c>
      <c r="H253" t="s">
        <v>8021</v>
      </c>
      <c r="I253">
        <f>_xlfn.LET(_xlpm.id,TRIM($A253),IF(_xlpm.id="","",SUM(COUNTIF('1. OP'!$M:$M,_xlpm.id),COUNTIF('2. JSEL'!$M:$M,_xlpm.id),COUNTIF('3. PSM'!$M:$M,_xlpm.id),COUNTIF('4. SSP'!$M:$M,_xlpm.id),COUNTIF('5. JSACI'!$M:$M,_xlpm.id),COUNTIF('6. AIN'!$M:$M,_xlpm.id),COUNTIF('7. MS'!$M:$M,_xlpm.id),COUNTIF('8. DS'!$M:$M,_xlpm.id),COUNTIF('9. RMF'!$M:$M,_xlpm.id),COUNTIF('10. PCU'!$M:$M,_xlpm.id))))</f>
        <v>0</v>
      </c>
    </row>
    <row r="254" spans="1:9">
      <c r="A254" t="s">
        <v>8292</v>
      </c>
      <c r="B254" t="s">
        <v>8284</v>
      </c>
      <c r="C254">
        <v>1827</v>
      </c>
      <c r="D254">
        <v>1</v>
      </c>
      <c r="E254" s="23">
        <v>4</v>
      </c>
      <c r="F254" t="s">
        <v>8102</v>
      </c>
      <c r="G254" t="s">
        <v>10484</v>
      </c>
      <c r="H254" t="s">
        <v>8021</v>
      </c>
      <c r="I254">
        <f>_xlfn.LET(_xlpm.id,TRIM($A254),IF(_xlpm.id="","",SUM(COUNTIF('1. OP'!$M:$M,_xlpm.id),COUNTIF('2. JSEL'!$M:$M,_xlpm.id),COUNTIF('3. PSM'!$M:$M,_xlpm.id),COUNTIF('4. SSP'!$M:$M,_xlpm.id),COUNTIF('5. JSACI'!$M:$M,_xlpm.id),COUNTIF('6. AIN'!$M:$M,_xlpm.id),COUNTIF('7. MS'!$M:$M,_xlpm.id),COUNTIF('8. DS'!$M:$M,_xlpm.id),COUNTIF('9. RMF'!$M:$M,_xlpm.id),COUNTIF('10. PCU'!$M:$M,_xlpm.id))))</f>
        <v>0</v>
      </c>
    </row>
    <row r="255" spans="1:9">
      <c r="A255" t="s">
        <v>8293</v>
      </c>
      <c r="B255" t="s">
        <v>8284</v>
      </c>
      <c r="C255">
        <v>1828</v>
      </c>
      <c r="D255">
        <v>1</v>
      </c>
      <c r="E255" s="23">
        <v>1</v>
      </c>
      <c r="F255" t="s">
        <v>8102</v>
      </c>
      <c r="G255" t="s">
        <v>10484</v>
      </c>
      <c r="H255" t="s">
        <v>8021</v>
      </c>
      <c r="I255">
        <f>_xlfn.LET(_xlpm.id,TRIM($A255),IF(_xlpm.id="","",SUM(COUNTIF('1. OP'!$M:$M,_xlpm.id),COUNTIF('2. JSEL'!$M:$M,_xlpm.id),COUNTIF('3. PSM'!$M:$M,_xlpm.id),COUNTIF('4. SSP'!$M:$M,_xlpm.id),COUNTIF('5. JSACI'!$M:$M,_xlpm.id),COUNTIF('6. AIN'!$M:$M,_xlpm.id),COUNTIF('7. MS'!$M:$M,_xlpm.id),COUNTIF('8. DS'!$M:$M,_xlpm.id),COUNTIF('9. RMF'!$M:$M,_xlpm.id),COUNTIF('10. PCU'!$M:$M,_xlpm.id))))</f>
        <v>0</v>
      </c>
    </row>
    <row r="256" spans="1:9">
      <c r="A256" t="s">
        <v>8294</v>
      </c>
      <c r="B256" t="s">
        <v>8284</v>
      </c>
      <c r="C256">
        <v>1828</v>
      </c>
      <c r="D256">
        <v>1</v>
      </c>
      <c r="E256" s="23">
        <v>2</v>
      </c>
      <c r="F256" t="s">
        <v>8102</v>
      </c>
      <c r="G256" t="s">
        <v>10484</v>
      </c>
      <c r="H256" t="s">
        <v>8021</v>
      </c>
      <c r="I256">
        <f>_xlfn.LET(_xlpm.id,TRIM($A256),IF(_xlpm.id="","",SUM(COUNTIF('1. OP'!$M:$M,_xlpm.id),COUNTIF('2. JSEL'!$M:$M,_xlpm.id),COUNTIF('3. PSM'!$M:$M,_xlpm.id),COUNTIF('4. SSP'!$M:$M,_xlpm.id),COUNTIF('5. JSACI'!$M:$M,_xlpm.id),COUNTIF('6. AIN'!$M:$M,_xlpm.id),COUNTIF('7. MS'!$M:$M,_xlpm.id),COUNTIF('8. DS'!$M:$M,_xlpm.id),COUNTIF('9. RMF'!$M:$M,_xlpm.id),COUNTIF('10. PCU'!$M:$M,_xlpm.id))))</f>
        <v>0</v>
      </c>
    </row>
    <row r="257" spans="1:9">
      <c r="A257" t="s">
        <v>8295</v>
      </c>
      <c r="B257" t="s">
        <v>8284</v>
      </c>
      <c r="C257">
        <v>1828</v>
      </c>
      <c r="D257">
        <v>1</v>
      </c>
      <c r="E257" s="23">
        <v>3</v>
      </c>
      <c r="F257" t="s">
        <v>8102</v>
      </c>
      <c r="G257" t="s">
        <v>10484</v>
      </c>
      <c r="H257" t="s">
        <v>8021</v>
      </c>
      <c r="I257">
        <f>_xlfn.LET(_xlpm.id,TRIM($A257),IF(_xlpm.id="","",SUM(COUNTIF('1. OP'!$M:$M,_xlpm.id),COUNTIF('2. JSEL'!$M:$M,_xlpm.id),COUNTIF('3. PSM'!$M:$M,_xlpm.id),COUNTIF('4. SSP'!$M:$M,_xlpm.id),COUNTIF('5. JSACI'!$M:$M,_xlpm.id),COUNTIF('6. AIN'!$M:$M,_xlpm.id),COUNTIF('7. MS'!$M:$M,_xlpm.id),COUNTIF('8. DS'!$M:$M,_xlpm.id),COUNTIF('9. RMF'!$M:$M,_xlpm.id),COUNTIF('10. PCU'!$M:$M,_xlpm.id))))</f>
        <v>0</v>
      </c>
    </row>
    <row r="258" spans="1:9">
      <c r="A258" t="s">
        <v>8296</v>
      </c>
      <c r="B258" t="s">
        <v>8284</v>
      </c>
      <c r="C258">
        <v>1828</v>
      </c>
      <c r="D258">
        <v>1</v>
      </c>
      <c r="E258" s="23">
        <v>4</v>
      </c>
      <c r="F258" t="s">
        <v>8102</v>
      </c>
      <c r="G258" t="s">
        <v>10484</v>
      </c>
      <c r="H258" t="s">
        <v>8021</v>
      </c>
      <c r="I258">
        <f>_xlfn.LET(_xlpm.id,TRIM($A258),IF(_xlpm.id="","",SUM(COUNTIF('1. OP'!$M:$M,_xlpm.id),COUNTIF('2. JSEL'!$M:$M,_xlpm.id),COUNTIF('3. PSM'!$M:$M,_xlpm.id),COUNTIF('4. SSP'!$M:$M,_xlpm.id),COUNTIF('5. JSACI'!$M:$M,_xlpm.id),COUNTIF('6. AIN'!$M:$M,_xlpm.id),COUNTIF('7. MS'!$M:$M,_xlpm.id),COUNTIF('8. DS'!$M:$M,_xlpm.id),COUNTIF('9. RMF'!$M:$M,_xlpm.id),COUNTIF('10. PCU'!$M:$M,_xlpm.id))))</f>
        <v>0</v>
      </c>
    </row>
    <row r="259" spans="1:9">
      <c r="A259" t="s">
        <v>8297</v>
      </c>
      <c r="B259" t="s">
        <v>8284</v>
      </c>
      <c r="C259">
        <v>1829</v>
      </c>
      <c r="D259">
        <v>1</v>
      </c>
      <c r="E259" s="23">
        <v>1</v>
      </c>
      <c r="F259" t="s">
        <v>8102</v>
      </c>
      <c r="G259" t="s">
        <v>10484</v>
      </c>
      <c r="H259" t="s">
        <v>8021</v>
      </c>
      <c r="I259">
        <f>_xlfn.LET(_xlpm.id,TRIM($A259),IF(_xlpm.id="","",SUM(COUNTIF('1. OP'!$M:$M,_xlpm.id),COUNTIF('2. JSEL'!$M:$M,_xlpm.id),COUNTIF('3. PSM'!$M:$M,_xlpm.id),COUNTIF('4. SSP'!$M:$M,_xlpm.id),COUNTIF('5. JSACI'!$M:$M,_xlpm.id),COUNTIF('6. AIN'!$M:$M,_xlpm.id),COUNTIF('7. MS'!$M:$M,_xlpm.id),COUNTIF('8. DS'!$M:$M,_xlpm.id),COUNTIF('9. RMF'!$M:$M,_xlpm.id),COUNTIF('10. PCU'!$M:$M,_xlpm.id))))</f>
        <v>0</v>
      </c>
    </row>
    <row r="260" spans="1:9">
      <c r="A260" t="s">
        <v>8298</v>
      </c>
      <c r="B260" t="s">
        <v>8284</v>
      </c>
      <c r="C260">
        <v>1829</v>
      </c>
      <c r="D260">
        <v>1</v>
      </c>
      <c r="E260" s="23">
        <v>2</v>
      </c>
      <c r="F260" t="s">
        <v>8102</v>
      </c>
      <c r="G260" t="s">
        <v>10484</v>
      </c>
      <c r="H260" t="s">
        <v>8021</v>
      </c>
      <c r="I260">
        <f>_xlfn.LET(_xlpm.id,TRIM($A260),IF(_xlpm.id="","",SUM(COUNTIF('1. OP'!$M:$M,_xlpm.id),COUNTIF('2. JSEL'!$M:$M,_xlpm.id),COUNTIF('3. PSM'!$M:$M,_xlpm.id),COUNTIF('4. SSP'!$M:$M,_xlpm.id),COUNTIF('5. JSACI'!$M:$M,_xlpm.id),COUNTIF('6. AIN'!$M:$M,_xlpm.id),COUNTIF('7. MS'!$M:$M,_xlpm.id),COUNTIF('8. DS'!$M:$M,_xlpm.id),COUNTIF('9. RMF'!$M:$M,_xlpm.id),COUNTIF('10. PCU'!$M:$M,_xlpm.id))))</f>
        <v>0</v>
      </c>
    </row>
    <row r="261" spans="1:9">
      <c r="A261" t="s">
        <v>8299</v>
      </c>
      <c r="B261" t="s">
        <v>8284</v>
      </c>
      <c r="C261">
        <v>1829</v>
      </c>
      <c r="D261">
        <v>1</v>
      </c>
      <c r="E261" s="23">
        <v>3</v>
      </c>
      <c r="F261" t="s">
        <v>8102</v>
      </c>
      <c r="G261" t="s">
        <v>10484</v>
      </c>
      <c r="H261" t="s">
        <v>8021</v>
      </c>
      <c r="I261">
        <f>_xlfn.LET(_xlpm.id,TRIM($A261),IF(_xlpm.id="","",SUM(COUNTIF('1. OP'!$M:$M,_xlpm.id),COUNTIF('2. JSEL'!$M:$M,_xlpm.id),COUNTIF('3. PSM'!$M:$M,_xlpm.id),COUNTIF('4. SSP'!$M:$M,_xlpm.id),COUNTIF('5. JSACI'!$M:$M,_xlpm.id),COUNTIF('6. AIN'!$M:$M,_xlpm.id),COUNTIF('7. MS'!$M:$M,_xlpm.id),COUNTIF('8. DS'!$M:$M,_xlpm.id),COUNTIF('9. RMF'!$M:$M,_xlpm.id),COUNTIF('10. PCU'!$M:$M,_xlpm.id))))</f>
        <v>0</v>
      </c>
    </row>
    <row r="262" spans="1:9">
      <c r="A262" t="s">
        <v>7653</v>
      </c>
      <c r="B262" t="s">
        <v>8284</v>
      </c>
      <c r="C262">
        <v>1829</v>
      </c>
      <c r="D262">
        <v>1</v>
      </c>
      <c r="E262" s="23">
        <v>4</v>
      </c>
      <c r="F262" t="s">
        <v>8102</v>
      </c>
      <c r="G262" t="s">
        <v>10484</v>
      </c>
      <c r="H262" t="s">
        <v>8021</v>
      </c>
      <c r="I262">
        <f>_xlfn.LET(_xlpm.id,TRIM($A262),IF(_xlpm.id="","",SUM(COUNTIF('1. OP'!$M:$M,_xlpm.id),COUNTIF('2. JSEL'!$M:$M,_xlpm.id),COUNTIF('3. PSM'!$M:$M,_xlpm.id),COUNTIF('4. SSP'!$M:$M,_xlpm.id),COUNTIF('5. JSACI'!$M:$M,_xlpm.id),COUNTIF('6. AIN'!$M:$M,_xlpm.id),COUNTIF('7. MS'!$M:$M,_xlpm.id),COUNTIF('8. DS'!$M:$M,_xlpm.id),COUNTIF('9. RMF'!$M:$M,_xlpm.id),COUNTIF('10. PCU'!$M:$M,_xlpm.id))))</f>
        <v>1</v>
      </c>
    </row>
    <row r="263" spans="1:9">
      <c r="A263" t="s">
        <v>8300</v>
      </c>
      <c r="B263" t="s">
        <v>8284</v>
      </c>
      <c r="C263">
        <v>1830</v>
      </c>
      <c r="D263">
        <v>1</v>
      </c>
      <c r="E263" s="23">
        <v>1</v>
      </c>
      <c r="F263" t="s">
        <v>8102</v>
      </c>
      <c r="G263" t="s">
        <v>10484</v>
      </c>
      <c r="H263" t="s">
        <v>8021</v>
      </c>
      <c r="I263">
        <f>_xlfn.LET(_xlpm.id,TRIM($A263),IF(_xlpm.id="","",SUM(COUNTIF('1. OP'!$M:$M,_xlpm.id),COUNTIF('2. JSEL'!$M:$M,_xlpm.id),COUNTIF('3. PSM'!$M:$M,_xlpm.id),COUNTIF('4. SSP'!$M:$M,_xlpm.id),COUNTIF('5. JSACI'!$M:$M,_xlpm.id),COUNTIF('6. AIN'!$M:$M,_xlpm.id),COUNTIF('7. MS'!$M:$M,_xlpm.id),COUNTIF('8. DS'!$M:$M,_xlpm.id),COUNTIF('9. RMF'!$M:$M,_xlpm.id),COUNTIF('10. PCU'!$M:$M,_xlpm.id))))</f>
        <v>0</v>
      </c>
    </row>
    <row r="264" spans="1:9">
      <c r="A264" t="s">
        <v>7266</v>
      </c>
      <c r="B264" t="s">
        <v>8284</v>
      </c>
      <c r="C264">
        <v>1830</v>
      </c>
      <c r="D264">
        <v>1</v>
      </c>
      <c r="E264" s="23">
        <v>2</v>
      </c>
      <c r="F264" t="s">
        <v>8102</v>
      </c>
      <c r="G264" t="s">
        <v>10484</v>
      </c>
      <c r="H264" t="s">
        <v>8021</v>
      </c>
      <c r="I264">
        <f>_xlfn.LET(_xlpm.id,TRIM($A264),IF(_xlpm.id="","",SUM(COUNTIF('1. OP'!$M:$M,_xlpm.id),COUNTIF('2. JSEL'!$M:$M,_xlpm.id),COUNTIF('3. PSM'!$M:$M,_xlpm.id),COUNTIF('4. SSP'!$M:$M,_xlpm.id),COUNTIF('5. JSACI'!$M:$M,_xlpm.id),COUNTIF('6. AIN'!$M:$M,_xlpm.id),COUNTIF('7. MS'!$M:$M,_xlpm.id),COUNTIF('8. DS'!$M:$M,_xlpm.id),COUNTIF('9. RMF'!$M:$M,_xlpm.id),COUNTIF('10. PCU'!$M:$M,_xlpm.id))))</f>
        <v>1</v>
      </c>
    </row>
    <row r="265" spans="1:9">
      <c r="A265" t="s">
        <v>7257</v>
      </c>
      <c r="B265" t="s">
        <v>8284</v>
      </c>
      <c r="C265">
        <v>1830</v>
      </c>
      <c r="D265">
        <v>1</v>
      </c>
      <c r="E265" s="23">
        <v>3</v>
      </c>
      <c r="F265" t="s">
        <v>8102</v>
      </c>
      <c r="G265" t="s">
        <v>10484</v>
      </c>
      <c r="H265" t="s">
        <v>8021</v>
      </c>
      <c r="I265">
        <f>_xlfn.LET(_xlpm.id,TRIM($A265),IF(_xlpm.id="","",SUM(COUNTIF('1. OP'!$M:$M,_xlpm.id),COUNTIF('2. JSEL'!$M:$M,_xlpm.id),COUNTIF('3. PSM'!$M:$M,_xlpm.id),COUNTIF('4. SSP'!$M:$M,_xlpm.id),COUNTIF('5. JSACI'!$M:$M,_xlpm.id),COUNTIF('6. AIN'!$M:$M,_xlpm.id),COUNTIF('7. MS'!$M:$M,_xlpm.id),COUNTIF('8. DS'!$M:$M,_xlpm.id),COUNTIF('9. RMF'!$M:$M,_xlpm.id),COUNTIF('10. PCU'!$M:$M,_xlpm.id))))</f>
        <v>2</v>
      </c>
    </row>
    <row r="266" spans="1:9">
      <c r="A266" t="s">
        <v>6951</v>
      </c>
      <c r="B266" t="s">
        <v>8284</v>
      </c>
      <c r="C266">
        <v>1830</v>
      </c>
      <c r="D266">
        <v>1</v>
      </c>
      <c r="E266" s="23">
        <v>4</v>
      </c>
      <c r="F266" t="s">
        <v>8102</v>
      </c>
      <c r="G266" t="s">
        <v>10484</v>
      </c>
      <c r="H266" t="s">
        <v>8021</v>
      </c>
      <c r="I266">
        <f>_xlfn.LET(_xlpm.id,TRIM($A266),IF(_xlpm.id="","",SUM(COUNTIF('1. OP'!$M:$M,_xlpm.id),COUNTIF('2. JSEL'!$M:$M,_xlpm.id),COUNTIF('3. PSM'!$M:$M,_xlpm.id),COUNTIF('4. SSP'!$M:$M,_xlpm.id),COUNTIF('5. JSACI'!$M:$M,_xlpm.id),COUNTIF('6. AIN'!$M:$M,_xlpm.id),COUNTIF('7. MS'!$M:$M,_xlpm.id),COUNTIF('8. DS'!$M:$M,_xlpm.id),COUNTIF('9. RMF'!$M:$M,_xlpm.id),COUNTIF('10. PCU'!$M:$M,_xlpm.id))))</f>
        <v>10</v>
      </c>
    </row>
    <row r="267" spans="1:9">
      <c r="A267" t="s">
        <v>7174</v>
      </c>
      <c r="B267" t="s">
        <v>8284</v>
      </c>
      <c r="C267">
        <v>1831</v>
      </c>
      <c r="D267">
        <v>1</v>
      </c>
      <c r="E267" s="23">
        <v>1</v>
      </c>
      <c r="F267" t="s">
        <v>8102</v>
      </c>
      <c r="G267" t="s">
        <v>10484</v>
      </c>
      <c r="H267" t="s">
        <v>8021</v>
      </c>
      <c r="I267">
        <f>_xlfn.LET(_xlpm.id,TRIM($A267),IF(_xlpm.id="","",SUM(COUNTIF('1. OP'!$M:$M,_xlpm.id),COUNTIF('2. JSEL'!$M:$M,_xlpm.id),COUNTIF('3. PSM'!$M:$M,_xlpm.id),COUNTIF('4. SSP'!$M:$M,_xlpm.id),COUNTIF('5. JSACI'!$M:$M,_xlpm.id),COUNTIF('6. AIN'!$M:$M,_xlpm.id),COUNTIF('7. MS'!$M:$M,_xlpm.id),COUNTIF('8. DS'!$M:$M,_xlpm.id),COUNTIF('9. RMF'!$M:$M,_xlpm.id),COUNTIF('10. PCU'!$M:$M,_xlpm.id))))</f>
        <v>3</v>
      </c>
    </row>
    <row r="268" spans="1:9">
      <c r="A268" t="s">
        <v>7188</v>
      </c>
      <c r="B268" t="s">
        <v>8284</v>
      </c>
      <c r="C268">
        <v>1831</v>
      </c>
      <c r="D268">
        <v>1</v>
      </c>
      <c r="E268" s="23">
        <v>2</v>
      </c>
      <c r="F268" t="s">
        <v>8102</v>
      </c>
      <c r="G268" t="s">
        <v>10484</v>
      </c>
      <c r="H268" t="s">
        <v>8021</v>
      </c>
      <c r="I268">
        <f>_xlfn.LET(_xlpm.id,TRIM($A268),IF(_xlpm.id="","",SUM(COUNTIF('1. OP'!$M:$M,_xlpm.id),COUNTIF('2. JSEL'!$M:$M,_xlpm.id),COUNTIF('3. PSM'!$M:$M,_xlpm.id),COUNTIF('4. SSP'!$M:$M,_xlpm.id),COUNTIF('5. JSACI'!$M:$M,_xlpm.id),COUNTIF('6. AIN'!$M:$M,_xlpm.id),COUNTIF('7. MS'!$M:$M,_xlpm.id),COUNTIF('8. DS'!$M:$M,_xlpm.id),COUNTIF('9. RMF'!$M:$M,_xlpm.id),COUNTIF('10. PCU'!$M:$M,_xlpm.id))))</f>
        <v>2</v>
      </c>
    </row>
    <row r="269" spans="1:9">
      <c r="A269" t="s">
        <v>7250</v>
      </c>
      <c r="B269" t="s">
        <v>8284</v>
      </c>
      <c r="C269">
        <v>1831</v>
      </c>
      <c r="D269">
        <v>1</v>
      </c>
      <c r="E269" s="23">
        <v>3</v>
      </c>
      <c r="F269" t="s">
        <v>8102</v>
      </c>
      <c r="G269" t="s">
        <v>10484</v>
      </c>
      <c r="H269" t="s">
        <v>8021</v>
      </c>
      <c r="I269">
        <f>_xlfn.LET(_xlpm.id,TRIM($A269),IF(_xlpm.id="","",SUM(COUNTIF('1. OP'!$M:$M,_xlpm.id),COUNTIF('2. JSEL'!$M:$M,_xlpm.id),COUNTIF('3. PSM'!$M:$M,_xlpm.id),COUNTIF('4. SSP'!$M:$M,_xlpm.id),COUNTIF('5. JSACI'!$M:$M,_xlpm.id),COUNTIF('6. AIN'!$M:$M,_xlpm.id),COUNTIF('7. MS'!$M:$M,_xlpm.id),COUNTIF('8. DS'!$M:$M,_xlpm.id),COUNTIF('9. RMF'!$M:$M,_xlpm.id),COUNTIF('10. PCU'!$M:$M,_xlpm.id))))</f>
        <v>4</v>
      </c>
    </row>
    <row r="270" spans="1:9">
      <c r="A270" t="s">
        <v>7208</v>
      </c>
      <c r="B270" t="s">
        <v>8284</v>
      </c>
      <c r="C270">
        <v>1831</v>
      </c>
      <c r="D270">
        <v>1</v>
      </c>
      <c r="E270" s="23">
        <v>4</v>
      </c>
      <c r="F270" t="s">
        <v>8102</v>
      </c>
      <c r="G270" t="s">
        <v>10484</v>
      </c>
      <c r="H270" t="s">
        <v>8021</v>
      </c>
      <c r="I270">
        <f>_xlfn.LET(_xlpm.id,TRIM($A270),IF(_xlpm.id="","",SUM(COUNTIF('1. OP'!$M:$M,_xlpm.id),COUNTIF('2. JSEL'!$M:$M,_xlpm.id),COUNTIF('3. PSM'!$M:$M,_xlpm.id),COUNTIF('4. SSP'!$M:$M,_xlpm.id),COUNTIF('5. JSACI'!$M:$M,_xlpm.id),COUNTIF('6. AIN'!$M:$M,_xlpm.id),COUNTIF('7. MS'!$M:$M,_xlpm.id),COUNTIF('8. DS'!$M:$M,_xlpm.id),COUNTIF('9. RMF'!$M:$M,_xlpm.id),COUNTIF('10. PCU'!$M:$M,_xlpm.id))))</f>
        <v>8</v>
      </c>
    </row>
    <row r="271" spans="1:9">
      <c r="A271" t="s">
        <v>8301</v>
      </c>
      <c r="B271" t="s">
        <v>8284</v>
      </c>
      <c r="C271">
        <v>1832</v>
      </c>
      <c r="D271">
        <v>1</v>
      </c>
      <c r="E271" s="23">
        <v>1</v>
      </c>
      <c r="F271" t="s">
        <v>8102</v>
      </c>
      <c r="G271" t="s">
        <v>10484</v>
      </c>
      <c r="H271" t="s">
        <v>8021</v>
      </c>
      <c r="I271">
        <f>_xlfn.LET(_xlpm.id,TRIM($A271),IF(_xlpm.id="","",SUM(COUNTIF('1. OP'!$M:$M,_xlpm.id),COUNTIF('2. JSEL'!$M:$M,_xlpm.id),COUNTIF('3. PSM'!$M:$M,_xlpm.id),COUNTIF('4. SSP'!$M:$M,_xlpm.id),COUNTIF('5. JSACI'!$M:$M,_xlpm.id),COUNTIF('6. AIN'!$M:$M,_xlpm.id),COUNTIF('7. MS'!$M:$M,_xlpm.id),COUNTIF('8. DS'!$M:$M,_xlpm.id),COUNTIF('9. RMF'!$M:$M,_xlpm.id),COUNTIF('10. PCU'!$M:$M,_xlpm.id))))</f>
        <v>0</v>
      </c>
    </row>
    <row r="272" spans="1:9">
      <c r="A272" t="s">
        <v>8302</v>
      </c>
      <c r="B272" t="s">
        <v>8284</v>
      </c>
      <c r="C272">
        <v>1832</v>
      </c>
      <c r="D272">
        <v>1</v>
      </c>
      <c r="E272" s="23">
        <v>2</v>
      </c>
      <c r="F272" t="s">
        <v>8102</v>
      </c>
      <c r="G272" t="s">
        <v>10484</v>
      </c>
      <c r="H272" t="s">
        <v>8021</v>
      </c>
      <c r="I272">
        <f>_xlfn.LET(_xlpm.id,TRIM($A272),IF(_xlpm.id="","",SUM(COUNTIF('1. OP'!$M:$M,_xlpm.id),COUNTIF('2. JSEL'!$M:$M,_xlpm.id),COUNTIF('3. PSM'!$M:$M,_xlpm.id),COUNTIF('4. SSP'!$M:$M,_xlpm.id),COUNTIF('5. JSACI'!$M:$M,_xlpm.id),COUNTIF('6. AIN'!$M:$M,_xlpm.id),COUNTIF('7. MS'!$M:$M,_xlpm.id),COUNTIF('8. DS'!$M:$M,_xlpm.id),COUNTIF('9. RMF'!$M:$M,_xlpm.id),COUNTIF('10. PCU'!$M:$M,_xlpm.id))))</f>
        <v>0</v>
      </c>
    </row>
    <row r="273" spans="1:9">
      <c r="A273" t="s">
        <v>8303</v>
      </c>
      <c r="B273" t="s">
        <v>8284</v>
      </c>
      <c r="C273">
        <v>1832</v>
      </c>
      <c r="D273">
        <v>1</v>
      </c>
      <c r="E273" s="23">
        <v>3</v>
      </c>
      <c r="F273" t="s">
        <v>8102</v>
      </c>
      <c r="G273" t="s">
        <v>10484</v>
      </c>
      <c r="H273" t="s">
        <v>8021</v>
      </c>
      <c r="I273">
        <f>_xlfn.LET(_xlpm.id,TRIM($A273),IF(_xlpm.id="","",SUM(COUNTIF('1. OP'!$M:$M,_xlpm.id),COUNTIF('2. JSEL'!$M:$M,_xlpm.id),COUNTIF('3. PSM'!$M:$M,_xlpm.id),COUNTIF('4. SSP'!$M:$M,_xlpm.id),COUNTIF('5. JSACI'!$M:$M,_xlpm.id),COUNTIF('6. AIN'!$M:$M,_xlpm.id),COUNTIF('7. MS'!$M:$M,_xlpm.id),COUNTIF('8. DS'!$M:$M,_xlpm.id),COUNTIF('9. RMF'!$M:$M,_xlpm.id),COUNTIF('10. PCU'!$M:$M,_xlpm.id))))</f>
        <v>0</v>
      </c>
    </row>
    <row r="274" spans="1:9">
      <c r="A274" t="s">
        <v>8304</v>
      </c>
      <c r="B274" t="s">
        <v>8284</v>
      </c>
      <c r="C274">
        <v>1832</v>
      </c>
      <c r="D274">
        <v>1</v>
      </c>
      <c r="E274" s="23">
        <v>4</v>
      </c>
      <c r="F274" t="s">
        <v>8102</v>
      </c>
      <c r="G274" t="s">
        <v>10484</v>
      </c>
      <c r="H274" t="s">
        <v>8021</v>
      </c>
      <c r="I274">
        <f>_xlfn.LET(_xlpm.id,TRIM($A274),IF(_xlpm.id="","",SUM(COUNTIF('1. OP'!$M:$M,_xlpm.id),COUNTIF('2. JSEL'!$M:$M,_xlpm.id),COUNTIF('3. PSM'!$M:$M,_xlpm.id),COUNTIF('4. SSP'!$M:$M,_xlpm.id),COUNTIF('5. JSACI'!$M:$M,_xlpm.id),COUNTIF('6. AIN'!$M:$M,_xlpm.id),COUNTIF('7. MS'!$M:$M,_xlpm.id),COUNTIF('8. DS'!$M:$M,_xlpm.id),COUNTIF('9. RMF'!$M:$M,_xlpm.id),COUNTIF('10. PCU'!$M:$M,_xlpm.id))))</f>
        <v>0</v>
      </c>
    </row>
    <row r="275" spans="1:9">
      <c r="A275" t="s">
        <v>8305</v>
      </c>
      <c r="B275" t="s">
        <v>8284</v>
      </c>
      <c r="C275">
        <v>1833</v>
      </c>
      <c r="D275">
        <v>1</v>
      </c>
      <c r="E275" s="23">
        <v>1</v>
      </c>
      <c r="F275" t="s">
        <v>8102</v>
      </c>
      <c r="G275" t="s">
        <v>10484</v>
      </c>
      <c r="H275" t="s">
        <v>8021</v>
      </c>
      <c r="I275">
        <f>_xlfn.LET(_xlpm.id,TRIM($A275),IF(_xlpm.id="","",SUM(COUNTIF('1. OP'!$M:$M,_xlpm.id),COUNTIF('2. JSEL'!$M:$M,_xlpm.id),COUNTIF('3. PSM'!$M:$M,_xlpm.id),COUNTIF('4. SSP'!$M:$M,_xlpm.id),COUNTIF('5. JSACI'!$M:$M,_xlpm.id),COUNTIF('6. AIN'!$M:$M,_xlpm.id),COUNTIF('7. MS'!$M:$M,_xlpm.id),COUNTIF('8. DS'!$M:$M,_xlpm.id),COUNTIF('9. RMF'!$M:$M,_xlpm.id),COUNTIF('10. PCU'!$M:$M,_xlpm.id))))</f>
        <v>0</v>
      </c>
    </row>
    <row r="276" spans="1:9">
      <c r="A276" t="s">
        <v>8306</v>
      </c>
      <c r="B276" t="s">
        <v>8284</v>
      </c>
      <c r="C276">
        <v>1833</v>
      </c>
      <c r="D276">
        <v>1</v>
      </c>
      <c r="E276" s="23">
        <v>2</v>
      </c>
      <c r="F276" t="s">
        <v>8102</v>
      </c>
      <c r="G276" t="s">
        <v>10484</v>
      </c>
      <c r="H276" t="s">
        <v>8021</v>
      </c>
      <c r="I276">
        <f>_xlfn.LET(_xlpm.id,TRIM($A276),IF(_xlpm.id="","",SUM(COUNTIF('1. OP'!$M:$M,_xlpm.id),COUNTIF('2. JSEL'!$M:$M,_xlpm.id),COUNTIF('3. PSM'!$M:$M,_xlpm.id),COUNTIF('4. SSP'!$M:$M,_xlpm.id),COUNTIF('5. JSACI'!$M:$M,_xlpm.id),COUNTIF('6. AIN'!$M:$M,_xlpm.id),COUNTIF('7. MS'!$M:$M,_xlpm.id),COUNTIF('8. DS'!$M:$M,_xlpm.id),COUNTIF('9. RMF'!$M:$M,_xlpm.id),COUNTIF('10. PCU'!$M:$M,_xlpm.id))))</f>
        <v>0</v>
      </c>
    </row>
    <row r="277" spans="1:9">
      <c r="A277" t="s">
        <v>8307</v>
      </c>
      <c r="B277" t="s">
        <v>8284</v>
      </c>
      <c r="C277">
        <v>1833</v>
      </c>
      <c r="D277">
        <v>1</v>
      </c>
      <c r="E277" s="23">
        <v>3</v>
      </c>
      <c r="F277" t="s">
        <v>8102</v>
      </c>
      <c r="G277" t="s">
        <v>10484</v>
      </c>
      <c r="H277" t="s">
        <v>8021</v>
      </c>
      <c r="I277">
        <f>_xlfn.LET(_xlpm.id,TRIM($A277),IF(_xlpm.id="","",SUM(COUNTIF('1. OP'!$M:$M,_xlpm.id),COUNTIF('2. JSEL'!$M:$M,_xlpm.id),COUNTIF('3. PSM'!$M:$M,_xlpm.id),COUNTIF('4. SSP'!$M:$M,_xlpm.id),COUNTIF('5. JSACI'!$M:$M,_xlpm.id),COUNTIF('6. AIN'!$M:$M,_xlpm.id),COUNTIF('7. MS'!$M:$M,_xlpm.id),COUNTIF('8. DS'!$M:$M,_xlpm.id),COUNTIF('9. RMF'!$M:$M,_xlpm.id),COUNTIF('10. PCU'!$M:$M,_xlpm.id))))</f>
        <v>0</v>
      </c>
    </row>
    <row r="278" spans="1:9">
      <c r="A278" t="s">
        <v>8308</v>
      </c>
      <c r="B278" t="s">
        <v>8284</v>
      </c>
      <c r="C278">
        <v>1834</v>
      </c>
      <c r="D278">
        <v>1</v>
      </c>
      <c r="E278" s="23">
        <v>1</v>
      </c>
      <c r="F278" t="s">
        <v>8102</v>
      </c>
      <c r="G278" t="s">
        <v>10484</v>
      </c>
      <c r="H278" t="s">
        <v>8021</v>
      </c>
      <c r="I278">
        <f>_xlfn.LET(_xlpm.id,TRIM($A278),IF(_xlpm.id="","",SUM(COUNTIF('1. OP'!$M:$M,_xlpm.id),COUNTIF('2. JSEL'!$M:$M,_xlpm.id),COUNTIF('3. PSM'!$M:$M,_xlpm.id),COUNTIF('4. SSP'!$M:$M,_xlpm.id),COUNTIF('5. JSACI'!$M:$M,_xlpm.id),COUNTIF('6. AIN'!$M:$M,_xlpm.id),COUNTIF('7. MS'!$M:$M,_xlpm.id),COUNTIF('8. DS'!$M:$M,_xlpm.id),COUNTIF('9. RMF'!$M:$M,_xlpm.id),COUNTIF('10. PCU'!$M:$M,_xlpm.id))))</f>
        <v>0</v>
      </c>
    </row>
    <row r="279" spans="1:9">
      <c r="A279" t="s">
        <v>7349</v>
      </c>
      <c r="B279" t="s">
        <v>8284</v>
      </c>
      <c r="C279">
        <v>1834</v>
      </c>
      <c r="D279">
        <v>1</v>
      </c>
      <c r="E279" s="23">
        <v>2</v>
      </c>
      <c r="F279" t="s">
        <v>8102</v>
      </c>
      <c r="G279" t="s">
        <v>10484</v>
      </c>
      <c r="H279" t="s">
        <v>8021</v>
      </c>
      <c r="I279">
        <f>_xlfn.LET(_xlpm.id,TRIM($A279),IF(_xlpm.id="","",SUM(COUNTIF('1. OP'!$M:$M,_xlpm.id),COUNTIF('2. JSEL'!$M:$M,_xlpm.id),COUNTIF('3. PSM'!$M:$M,_xlpm.id),COUNTIF('4. SSP'!$M:$M,_xlpm.id),COUNTIF('5. JSACI'!$M:$M,_xlpm.id),COUNTIF('6. AIN'!$M:$M,_xlpm.id),COUNTIF('7. MS'!$M:$M,_xlpm.id),COUNTIF('8. DS'!$M:$M,_xlpm.id),COUNTIF('9. RMF'!$M:$M,_xlpm.id),COUNTIF('10. PCU'!$M:$M,_xlpm.id))))</f>
        <v>9</v>
      </c>
    </row>
    <row r="280" spans="1:9">
      <c r="A280" t="s">
        <v>6434</v>
      </c>
      <c r="B280" t="s">
        <v>8284</v>
      </c>
      <c r="C280">
        <v>1834</v>
      </c>
      <c r="D280">
        <v>1</v>
      </c>
      <c r="E280" s="23">
        <v>3</v>
      </c>
      <c r="F280" t="s">
        <v>8102</v>
      </c>
      <c r="G280" t="s">
        <v>10484</v>
      </c>
      <c r="H280" t="s">
        <v>8021</v>
      </c>
      <c r="I280">
        <f>_xlfn.LET(_xlpm.id,TRIM($A280),IF(_xlpm.id="","",SUM(COUNTIF('1. OP'!$M:$M,_xlpm.id),COUNTIF('2. JSEL'!$M:$M,_xlpm.id),COUNTIF('3. PSM'!$M:$M,_xlpm.id),COUNTIF('4. SSP'!$M:$M,_xlpm.id),COUNTIF('5. JSACI'!$M:$M,_xlpm.id),COUNTIF('6. AIN'!$M:$M,_xlpm.id),COUNTIF('7. MS'!$M:$M,_xlpm.id),COUNTIF('8. DS'!$M:$M,_xlpm.id),COUNTIF('9. RMF'!$M:$M,_xlpm.id),COUNTIF('10. PCU'!$M:$M,_xlpm.id))))</f>
        <v>2</v>
      </c>
    </row>
    <row r="281" spans="1:9">
      <c r="A281" t="s">
        <v>6426</v>
      </c>
      <c r="B281" t="s">
        <v>8284</v>
      </c>
      <c r="C281">
        <v>1834</v>
      </c>
      <c r="D281">
        <v>1</v>
      </c>
      <c r="E281" s="23">
        <v>4</v>
      </c>
      <c r="F281" t="s">
        <v>8102</v>
      </c>
      <c r="G281" t="s">
        <v>10484</v>
      </c>
      <c r="H281" t="s">
        <v>8021</v>
      </c>
      <c r="I281">
        <f>_xlfn.LET(_xlpm.id,TRIM($A281),IF(_xlpm.id="","",SUM(COUNTIF('1. OP'!$M:$M,_xlpm.id),COUNTIF('2. JSEL'!$M:$M,_xlpm.id),COUNTIF('3. PSM'!$M:$M,_xlpm.id),COUNTIF('4. SSP'!$M:$M,_xlpm.id),COUNTIF('5. JSACI'!$M:$M,_xlpm.id),COUNTIF('6. AIN'!$M:$M,_xlpm.id),COUNTIF('7. MS'!$M:$M,_xlpm.id),COUNTIF('8. DS'!$M:$M,_xlpm.id),COUNTIF('9. RMF'!$M:$M,_xlpm.id),COUNTIF('10. PCU'!$M:$M,_xlpm.id))))</f>
        <v>4</v>
      </c>
    </row>
    <row r="282" spans="1:9">
      <c r="A282" t="s">
        <v>8309</v>
      </c>
      <c r="B282" t="s">
        <v>8284</v>
      </c>
      <c r="C282">
        <v>1835</v>
      </c>
      <c r="D282">
        <v>1</v>
      </c>
      <c r="E282" s="23">
        <v>1</v>
      </c>
      <c r="F282" t="s">
        <v>8102</v>
      </c>
      <c r="G282" t="s">
        <v>10484</v>
      </c>
      <c r="H282" t="s">
        <v>8021</v>
      </c>
      <c r="I282">
        <f>_xlfn.LET(_xlpm.id,TRIM($A282),IF(_xlpm.id="","",SUM(COUNTIF('1. OP'!$M:$M,_xlpm.id),COUNTIF('2. JSEL'!$M:$M,_xlpm.id),COUNTIF('3. PSM'!$M:$M,_xlpm.id),COUNTIF('4. SSP'!$M:$M,_xlpm.id),COUNTIF('5. JSACI'!$M:$M,_xlpm.id),COUNTIF('6. AIN'!$M:$M,_xlpm.id),COUNTIF('7. MS'!$M:$M,_xlpm.id),COUNTIF('8. DS'!$M:$M,_xlpm.id),COUNTIF('9. RMF'!$M:$M,_xlpm.id),COUNTIF('10. PCU'!$M:$M,_xlpm.id))))</f>
        <v>0</v>
      </c>
    </row>
    <row r="283" spans="1:9">
      <c r="A283" t="s">
        <v>8310</v>
      </c>
      <c r="B283" t="s">
        <v>8284</v>
      </c>
      <c r="C283">
        <v>1835</v>
      </c>
      <c r="D283">
        <v>1</v>
      </c>
      <c r="E283" s="23">
        <v>2</v>
      </c>
      <c r="F283" t="s">
        <v>8102</v>
      </c>
      <c r="G283" t="s">
        <v>10484</v>
      </c>
      <c r="H283" t="s">
        <v>8021</v>
      </c>
      <c r="I283">
        <f>_xlfn.LET(_xlpm.id,TRIM($A283),IF(_xlpm.id="","",SUM(COUNTIF('1. OP'!$M:$M,_xlpm.id),COUNTIF('2. JSEL'!$M:$M,_xlpm.id),COUNTIF('3. PSM'!$M:$M,_xlpm.id),COUNTIF('4. SSP'!$M:$M,_xlpm.id),COUNTIF('5. JSACI'!$M:$M,_xlpm.id),COUNTIF('6. AIN'!$M:$M,_xlpm.id),COUNTIF('7. MS'!$M:$M,_xlpm.id),COUNTIF('8. DS'!$M:$M,_xlpm.id),COUNTIF('9. RMF'!$M:$M,_xlpm.id),COUNTIF('10. PCU'!$M:$M,_xlpm.id))))</f>
        <v>0</v>
      </c>
    </row>
    <row r="284" spans="1:9">
      <c r="A284" t="s">
        <v>8311</v>
      </c>
      <c r="B284" t="s">
        <v>8284</v>
      </c>
      <c r="C284">
        <v>1835</v>
      </c>
      <c r="D284">
        <v>1</v>
      </c>
      <c r="E284" s="23">
        <v>3</v>
      </c>
      <c r="F284" t="s">
        <v>8102</v>
      </c>
      <c r="G284" t="s">
        <v>10484</v>
      </c>
      <c r="H284" t="s">
        <v>8021</v>
      </c>
      <c r="I284">
        <f>_xlfn.LET(_xlpm.id,TRIM($A284),IF(_xlpm.id="","",SUM(COUNTIF('1. OP'!$M:$M,_xlpm.id),COUNTIF('2. JSEL'!$M:$M,_xlpm.id),COUNTIF('3. PSM'!$M:$M,_xlpm.id),COUNTIF('4. SSP'!$M:$M,_xlpm.id),COUNTIF('5. JSACI'!$M:$M,_xlpm.id),COUNTIF('6. AIN'!$M:$M,_xlpm.id),COUNTIF('7. MS'!$M:$M,_xlpm.id),COUNTIF('8. DS'!$M:$M,_xlpm.id),COUNTIF('9. RMF'!$M:$M,_xlpm.id),COUNTIF('10. PCU'!$M:$M,_xlpm.id))))</f>
        <v>0</v>
      </c>
    </row>
    <row r="285" spans="1:9">
      <c r="A285" t="s">
        <v>8312</v>
      </c>
      <c r="B285" t="s">
        <v>8284</v>
      </c>
      <c r="C285">
        <v>1835</v>
      </c>
      <c r="D285">
        <v>1</v>
      </c>
      <c r="E285" s="23">
        <v>4</v>
      </c>
      <c r="F285" t="s">
        <v>8102</v>
      </c>
      <c r="G285" t="s">
        <v>10484</v>
      </c>
      <c r="H285" t="s">
        <v>8021</v>
      </c>
      <c r="I285">
        <f>_xlfn.LET(_xlpm.id,TRIM($A285),IF(_xlpm.id="","",SUM(COUNTIF('1. OP'!$M:$M,_xlpm.id),COUNTIF('2. JSEL'!$M:$M,_xlpm.id),COUNTIF('3. PSM'!$M:$M,_xlpm.id),COUNTIF('4. SSP'!$M:$M,_xlpm.id),COUNTIF('5. JSACI'!$M:$M,_xlpm.id),COUNTIF('6. AIN'!$M:$M,_xlpm.id),COUNTIF('7. MS'!$M:$M,_xlpm.id),COUNTIF('8. DS'!$M:$M,_xlpm.id),COUNTIF('9. RMF'!$M:$M,_xlpm.id),COUNTIF('10. PCU'!$M:$M,_xlpm.id))))</f>
        <v>0</v>
      </c>
    </row>
    <row r="286" spans="1:9">
      <c r="A286" t="s">
        <v>8313</v>
      </c>
      <c r="B286" t="s">
        <v>8284</v>
      </c>
      <c r="C286">
        <v>1836</v>
      </c>
      <c r="D286">
        <v>1</v>
      </c>
      <c r="E286" s="23">
        <v>1</v>
      </c>
      <c r="F286" t="s">
        <v>8102</v>
      </c>
      <c r="G286" t="s">
        <v>10484</v>
      </c>
      <c r="H286" t="s">
        <v>8021</v>
      </c>
      <c r="I286">
        <f>_xlfn.LET(_xlpm.id,TRIM($A286),IF(_xlpm.id="","",SUM(COUNTIF('1. OP'!$M:$M,_xlpm.id),COUNTIF('2. JSEL'!$M:$M,_xlpm.id),COUNTIF('3. PSM'!$M:$M,_xlpm.id),COUNTIF('4. SSP'!$M:$M,_xlpm.id),COUNTIF('5. JSACI'!$M:$M,_xlpm.id),COUNTIF('6. AIN'!$M:$M,_xlpm.id),COUNTIF('7. MS'!$M:$M,_xlpm.id),COUNTIF('8. DS'!$M:$M,_xlpm.id),COUNTIF('9. RMF'!$M:$M,_xlpm.id),COUNTIF('10. PCU'!$M:$M,_xlpm.id))))</f>
        <v>0</v>
      </c>
    </row>
    <row r="287" spans="1:9">
      <c r="A287" t="s">
        <v>8314</v>
      </c>
      <c r="B287" t="s">
        <v>8284</v>
      </c>
      <c r="C287">
        <v>1836</v>
      </c>
      <c r="D287">
        <v>1</v>
      </c>
      <c r="E287" s="23">
        <v>2</v>
      </c>
      <c r="F287" t="s">
        <v>8102</v>
      </c>
      <c r="G287" t="s">
        <v>10484</v>
      </c>
      <c r="H287" t="s">
        <v>8021</v>
      </c>
      <c r="I287">
        <f>_xlfn.LET(_xlpm.id,TRIM($A287),IF(_xlpm.id="","",SUM(COUNTIF('1. OP'!$M:$M,_xlpm.id),COUNTIF('2. JSEL'!$M:$M,_xlpm.id),COUNTIF('3. PSM'!$M:$M,_xlpm.id),COUNTIF('4. SSP'!$M:$M,_xlpm.id),COUNTIF('5. JSACI'!$M:$M,_xlpm.id),COUNTIF('6. AIN'!$M:$M,_xlpm.id),COUNTIF('7. MS'!$M:$M,_xlpm.id),COUNTIF('8. DS'!$M:$M,_xlpm.id),COUNTIF('9. RMF'!$M:$M,_xlpm.id),COUNTIF('10. PCU'!$M:$M,_xlpm.id))))</f>
        <v>0</v>
      </c>
    </row>
    <row r="288" spans="1:9">
      <c r="A288" t="s">
        <v>8315</v>
      </c>
      <c r="B288" t="s">
        <v>8284</v>
      </c>
      <c r="C288">
        <v>1836</v>
      </c>
      <c r="D288">
        <v>1</v>
      </c>
      <c r="E288" s="23">
        <v>3</v>
      </c>
      <c r="F288" t="s">
        <v>8102</v>
      </c>
      <c r="G288" t="s">
        <v>10484</v>
      </c>
      <c r="H288" t="s">
        <v>8021</v>
      </c>
      <c r="I288">
        <f>_xlfn.LET(_xlpm.id,TRIM($A288),IF(_xlpm.id="","",SUM(COUNTIF('1. OP'!$M:$M,_xlpm.id),COUNTIF('2. JSEL'!$M:$M,_xlpm.id),COUNTIF('3. PSM'!$M:$M,_xlpm.id),COUNTIF('4. SSP'!$M:$M,_xlpm.id),COUNTIF('5. JSACI'!$M:$M,_xlpm.id),COUNTIF('6. AIN'!$M:$M,_xlpm.id),COUNTIF('7. MS'!$M:$M,_xlpm.id),COUNTIF('8. DS'!$M:$M,_xlpm.id),COUNTIF('9. RMF'!$M:$M,_xlpm.id),COUNTIF('10. PCU'!$M:$M,_xlpm.id))))</f>
        <v>0</v>
      </c>
    </row>
    <row r="289" spans="1:9">
      <c r="A289" t="s">
        <v>8316</v>
      </c>
      <c r="B289" t="s">
        <v>8284</v>
      </c>
      <c r="C289">
        <v>1837</v>
      </c>
      <c r="D289">
        <v>1</v>
      </c>
      <c r="E289" s="23">
        <v>1</v>
      </c>
      <c r="F289" t="s">
        <v>8102</v>
      </c>
      <c r="G289" t="s">
        <v>10484</v>
      </c>
      <c r="H289" t="s">
        <v>8021</v>
      </c>
      <c r="I289">
        <f>_xlfn.LET(_xlpm.id,TRIM($A289),IF(_xlpm.id="","",SUM(COUNTIF('1. OP'!$M:$M,_xlpm.id),COUNTIF('2. JSEL'!$M:$M,_xlpm.id),COUNTIF('3. PSM'!$M:$M,_xlpm.id),COUNTIF('4. SSP'!$M:$M,_xlpm.id),COUNTIF('5. JSACI'!$M:$M,_xlpm.id),COUNTIF('6. AIN'!$M:$M,_xlpm.id),COUNTIF('7. MS'!$M:$M,_xlpm.id),COUNTIF('8. DS'!$M:$M,_xlpm.id),COUNTIF('9. RMF'!$M:$M,_xlpm.id),COUNTIF('10. PCU'!$M:$M,_xlpm.id))))</f>
        <v>0</v>
      </c>
    </row>
    <row r="290" spans="1:9">
      <c r="A290" t="s">
        <v>8317</v>
      </c>
      <c r="B290" t="s">
        <v>8284</v>
      </c>
      <c r="C290">
        <v>1837</v>
      </c>
      <c r="D290">
        <v>1</v>
      </c>
      <c r="E290" s="23">
        <v>2</v>
      </c>
      <c r="F290" t="s">
        <v>8102</v>
      </c>
      <c r="G290" t="s">
        <v>10484</v>
      </c>
      <c r="H290" t="s">
        <v>8021</v>
      </c>
      <c r="I290">
        <f>_xlfn.LET(_xlpm.id,TRIM($A290),IF(_xlpm.id="","",SUM(COUNTIF('1. OP'!$M:$M,_xlpm.id),COUNTIF('2. JSEL'!$M:$M,_xlpm.id),COUNTIF('3. PSM'!$M:$M,_xlpm.id),COUNTIF('4. SSP'!$M:$M,_xlpm.id),COUNTIF('5. JSACI'!$M:$M,_xlpm.id),COUNTIF('6. AIN'!$M:$M,_xlpm.id),COUNTIF('7. MS'!$M:$M,_xlpm.id),COUNTIF('8. DS'!$M:$M,_xlpm.id),COUNTIF('9. RMF'!$M:$M,_xlpm.id),COUNTIF('10. PCU'!$M:$M,_xlpm.id))))</f>
        <v>0</v>
      </c>
    </row>
    <row r="291" spans="1:9">
      <c r="A291" t="s">
        <v>8318</v>
      </c>
      <c r="B291" t="s">
        <v>8284</v>
      </c>
      <c r="C291">
        <v>1837</v>
      </c>
      <c r="D291">
        <v>1</v>
      </c>
      <c r="E291" s="23">
        <v>3</v>
      </c>
      <c r="F291" t="s">
        <v>8102</v>
      </c>
      <c r="G291" t="s">
        <v>10484</v>
      </c>
      <c r="H291" t="s">
        <v>8021</v>
      </c>
      <c r="I291">
        <f>_xlfn.LET(_xlpm.id,TRIM($A291),IF(_xlpm.id="","",SUM(COUNTIF('1. OP'!$M:$M,_xlpm.id),COUNTIF('2. JSEL'!$M:$M,_xlpm.id),COUNTIF('3. PSM'!$M:$M,_xlpm.id),COUNTIF('4. SSP'!$M:$M,_xlpm.id),COUNTIF('5. JSACI'!$M:$M,_xlpm.id),COUNTIF('6. AIN'!$M:$M,_xlpm.id),COUNTIF('7. MS'!$M:$M,_xlpm.id),COUNTIF('8. DS'!$M:$M,_xlpm.id),COUNTIF('9. RMF'!$M:$M,_xlpm.id),COUNTIF('10. PCU'!$M:$M,_xlpm.id))))</f>
        <v>0</v>
      </c>
    </row>
    <row r="292" spans="1:9">
      <c r="A292" t="s">
        <v>8319</v>
      </c>
      <c r="B292" t="s">
        <v>8284</v>
      </c>
      <c r="C292">
        <v>1837</v>
      </c>
      <c r="D292">
        <v>1</v>
      </c>
      <c r="E292" s="23">
        <v>4</v>
      </c>
      <c r="F292" t="s">
        <v>8102</v>
      </c>
      <c r="G292" t="s">
        <v>10484</v>
      </c>
      <c r="H292" t="s">
        <v>8021</v>
      </c>
      <c r="I292">
        <f>_xlfn.LET(_xlpm.id,TRIM($A292),IF(_xlpm.id="","",SUM(COUNTIF('1. OP'!$M:$M,_xlpm.id),COUNTIF('2. JSEL'!$M:$M,_xlpm.id),COUNTIF('3. PSM'!$M:$M,_xlpm.id),COUNTIF('4. SSP'!$M:$M,_xlpm.id),COUNTIF('5. JSACI'!$M:$M,_xlpm.id),COUNTIF('6. AIN'!$M:$M,_xlpm.id),COUNTIF('7. MS'!$M:$M,_xlpm.id),COUNTIF('8. DS'!$M:$M,_xlpm.id),COUNTIF('9. RMF'!$M:$M,_xlpm.id),COUNTIF('10. PCU'!$M:$M,_xlpm.id))))</f>
        <v>0</v>
      </c>
    </row>
    <row r="293" spans="1:9">
      <c r="A293" t="s">
        <v>8320</v>
      </c>
      <c r="B293" t="s">
        <v>8284</v>
      </c>
      <c r="C293">
        <v>1838</v>
      </c>
      <c r="D293">
        <v>1</v>
      </c>
      <c r="E293" s="23">
        <v>1</v>
      </c>
      <c r="F293" t="s">
        <v>8102</v>
      </c>
      <c r="G293" t="s">
        <v>10484</v>
      </c>
      <c r="H293" t="s">
        <v>8021</v>
      </c>
      <c r="I293">
        <f>_xlfn.LET(_xlpm.id,TRIM($A293),IF(_xlpm.id="","",SUM(COUNTIF('1. OP'!$M:$M,_xlpm.id),COUNTIF('2. JSEL'!$M:$M,_xlpm.id),COUNTIF('3. PSM'!$M:$M,_xlpm.id),COUNTIF('4. SSP'!$M:$M,_xlpm.id),COUNTIF('5. JSACI'!$M:$M,_xlpm.id),COUNTIF('6. AIN'!$M:$M,_xlpm.id),COUNTIF('7. MS'!$M:$M,_xlpm.id),COUNTIF('8. DS'!$M:$M,_xlpm.id),COUNTIF('9. RMF'!$M:$M,_xlpm.id),COUNTIF('10. PCU'!$M:$M,_xlpm.id))))</f>
        <v>0</v>
      </c>
    </row>
    <row r="294" spans="1:9">
      <c r="A294" t="s">
        <v>8321</v>
      </c>
      <c r="B294" t="s">
        <v>8284</v>
      </c>
      <c r="C294">
        <v>1838</v>
      </c>
      <c r="D294">
        <v>1</v>
      </c>
      <c r="E294" s="23">
        <v>2</v>
      </c>
      <c r="F294" t="s">
        <v>8102</v>
      </c>
      <c r="G294" t="s">
        <v>10484</v>
      </c>
      <c r="H294" t="s">
        <v>8021</v>
      </c>
      <c r="I294">
        <f>_xlfn.LET(_xlpm.id,TRIM($A294),IF(_xlpm.id="","",SUM(COUNTIF('1. OP'!$M:$M,_xlpm.id),COUNTIF('2. JSEL'!$M:$M,_xlpm.id),COUNTIF('3. PSM'!$M:$M,_xlpm.id),COUNTIF('4. SSP'!$M:$M,_xlpm.id),COUNTIF('5. JSACI'!$M:$M,_xlpm.id),COUNTIF('6. AIN'!$M:$M,_xlpm.id),COUNTIF('7. MS'!$M:$M,_xlpm.id),COUNTIF('8. DS'!$M:$M,_xlpm.id),COUNTIF('9. RMF'!$M:$M,_xlpm.id),COUNTIF('10. PCU'!$M:$M,_xlpm.id))))</f>
        <v>0</v>
      </c>
    </row>
    <row r="295" spans="1:9">
      <c r="A295" t="s">
        <v>8322</v>
      </c>
      <c r="B295" t="s">
        <v>8284</v>
      </c>
      <c r="C295">
        <v>1838</v>
      </c>
      <c r="D295">
        <v>1</v>
      </c>
      <c r="E295" s="23">
        <v>3</v>
      </c>
      <c r="F295" t="s">
        <v>8102</v>
      </c>
      <c r="G295" t="s">
        <v>10484</v>
      </c>
      <c r="H295" t="s">
        <v>8021</v>
      </c>
      <c r="I295">
        <f>_xlfn.LET(_xlpm.id,TRIM($A295),IF(_xlpm.id="","",SUM(COUNTIF('1. OP'!$M:$M,_xlpm.id),COUNTIF('2. JSEL'!$M:$M,_xlpm.id),COUNTIF('3. PSM'!$M:$M,_xlpm.id),COUNTIF('4. SSP'!$M:$M,_xlpm.id),COUNTIF('5. JSACI'!$M:$M,_xlpm.id),COUNTIF('6. AIN'!$M:$M,_xlpm.id),COUNTIF('7. MS'!$M:$M,_xlpm.id),COUNTIF('8. DS'!$M:$M,_xlpm.id),COUNTIF('9. RMF'!$M:$M,_xlpm.id),COUNTIF('10. PCU'!$M:$M,_xlpm.id))))</f>
        <v>0</v>
      </c>
    </row>
    <row r="296" spans="1:9">
      <c r="A296" t="s">
        <v>8323</v>
      </c>
      <c r="B296" t="s">
        <v>8284</v>
      </c>
      <c r="C296">
        <v>1838</v>
      </c>
      <c r="D296">
        <v>1</v>
      </c>
      <c r="E296" s="23">
        <v>4</v>
      </c>
      <c r="F296" t="s">
        <v>8102</v>
      </c>
      <c r="G296" t="s">
        <v>10484</v>
      </c>
      <c r="H296" t="s">
        <v>8021</v>
      </c>
      <c r="I296">
        <f>_xlfn.LET(_xlpm.id,TRIM($A296),IF(_xlpm.id="","",SUM(COUNTIF('1. OP'!$M:$M,_xlpm.id),COUNTIF('2. JSEL'!$M:$M,_xlpm.id),COUNTIF('3. PSM'!$M:$M,_xlpm.id),COUNTIF('4. SSP'!$M:$M,_xlpm.id),COUNTIF('5. JSACI'!$M:$M,_xlpm.id),COUNTIF('6. AIN'!$M:$M,_xlpm.id),COUNTIF('7. MS'!$M:$M,_xlpm.id),COUNTIF('8. DS'!$M:$M,_xlpm.id),COUNTIF('9. RMF'!$M:$M,_xlpm.id),COUNTIF('10. PCU'!$M:$M,_xlpm.id))))</f>
        <v>0</v>
      </c>
    </row>
    <row r="297" spans="1:9">
      <c r="A297" t="s">
        <v>8324</v>
      </c>
      <c r="B297" t="s">
        <v>8284</v>
      </c>
      <c r="C297">
        <v>1839</v>
      </c>
      <c r="D297">
        <v>1</v>
      </c>
      <c r="E297" s="23">
        <v>1</v>
      </c>
      <c r="F297" t="s">
        <v>8102</v>
      </c>
      <c r="G297" t="s">
        <v>10484</v>
      </c>
      <c r="H297" t="s">
        <v>8021</v>
      </c>
      <c r="I297">
        <f>_xlfn.LET(_xlpm.id,TRIM($A297),IF(_xlpm.id="","",SUM(COUNTIF('1. OP'!$M:$M,_xlpm.id),COUNTIF('2. JSEL'!$M:$M,_xlpm.id),COUNTIF('3. PSM'!$M:$M,_xlpm.id),COUNTIF('4. SSP'!$M:$M,_xlpm.id),COUNTIF('5. JSACI'!$M:$M,_xlpm.id),COUNTIF('6. AIN'!$M:$M,_xlpm.id),COUNTIF('7. MS'!$M:$M,_xlpm.id),COUNTIF('8. DS'!$M:$M,_xlpm.id),COUNTIF('9. RMF'!$M:$M,_xlpm.id),COUNTIF('10. PCU'!$M:$M,_xlpm.id))))</f>
        <v>0</v>
      </c>
    </row>
    <row r="298" spans="1:9">
      <c r="A298" t="s">
        <v>7183</v>
      </c>
      <c r="B298" t="s">
        <v>8284</v>
      </c>
      <c r="C298">
        <v>1839</v>
      </c>
      <c r="D298">
        <v>1</v>
      </c>
      <c r="E298" s="23">
        <v>2</v>
      </c>
      <c r="F298" t="s">
        <v>8102</v>
      </c>
      <c r="G298" t="s">
        <v>10484</v>
      </c>
      <c r="H298" t="s">
        <v>8021</v>
      </c>
      <c r="I298">
        <f>_xlfn.LET(_xlpm.id,TRIM($A298),IF(_xlpm.id="","",SUM(COUNTIF('1. OP'!$M:$M,_xlpm.id),COUNTIF('2. JSEL'!$M:$M,_xlpm.id),COUNTIF('3. PSM'!$M:$M,_xlpm.id),COUNTIF('4. SSP'!$M:$M,_xlpm.id),COUNTIF('5. JSACI'!$M:$M,_xlpm.id),COUNTIF('6. AIN'!$M:$M,_xlpm.id),COUNTIF('7. MS'!$M:$M,_xlpm.id),COUNTIF('8. DS'!$M:$M,_xlpm.id),COUNTIF('9. RMF'!$M:$M,_xlpm.id),COUNTIF('10. PCU'!$M:$M,_xlpm.id))))</f>
        <v>2</v>
      </c>
    </row>
    <row r="299" spans="1:9">
      <c r="A299" t="s">
        <v>7485</v>
      </c>
      <c r="B299" t="s">
        <v>8284</v>
      </c>
      <c r="C299">
        <v>1839</v>
      </c>
      <c r="D299">
        <v>1</v>
      </c>
      <c r="E299" s="23">
        <v>3</v>
      </c>
      <c r="F299" t="s">
        <v>8102</v>
      </c>
      <c r="G299" t="s">
        <v>10484</v>
      </c>
      <c r="H299" t="s">
        <v>8021</v>
      </c>
      <c r="I299">
        <f>_xlfn.LET(_xlpm.id,TRIM($A299),IF(_xlpm.id="","",SUM(COUNTIF('1. OP'!$M:$M,_xlpm.id),COUNTIF('2. JSEL'!$M:$M,_xlpm.id),COUNTIF('3. PSM'!$M:$M,_xlpm.id),COUNTIF('4. SSP'!$M:$M,_xlpm.id),COUNTIF('5. JSACI'!$M:$M,_xlpm.id),COUNTIF('6. AIN'!$M:$M,_xlpm.id),COUNTIF('7. MS'!$M:$M,_xlpm.id),COUNTIF('8. DS'!$M:$M,_xlpm.id),COUNTIF('9. RMF'!$M:$M,_xlpm.id),COUNTIF('10. PCU'!$M:$M,_xlpm.id))))</f>
        <v>1</v>
      </c>
    </row>
    <row r="300" spans="1:9">
      <c r="A300" t="s">
        <v>8325</v>
      </c>
      <c r="B300" t="s">
        <v>8284</v>
      </c>
      <c r="C300">
        <v>1839</v>
      </c>
      <c r="D300">
        <v>1</v>
      </c>
      <c r="E300" s="23">
        <v>4</v>
      </c>
      <c r="F300" t="s">
        <v>8102</v>
      </c>
      <c r="G300" t="s">
        <v>10484</v>
      </c>
      <c r="H300" t="s">
        <v>8021</v>
      </c>
      <c r="I300">
        <f>_xlfn.LET(_xlpm.id,TRIM($A300),IF(_xlpm.id="","",SUM(COUNTIF('1. OP'!$M:$M,_xlpm.id),COUNTIF('2. JSEL'!$M:$M,_xlpm.id),COUNTIF('3. PSM'!$M:$M,_xlpm.id),COUNTIF('4. SSP'!$M:$M,_xlpm.id),COUNTIF('5. JSACI'!$M:$M,_xlpm.id),COUNTIF('6. AIN'!$M:$M,_xlpm.id),COUNTIF('7. MS'!$M:$M,_xlpm.id),COUNTIF('8. DS'!$M:$M,_xlpm.id),COUNTIF('9. RMF'!$M:$M,_xlpm.id),COUNTIF('10. PCU'!$M:$M,_xlpm.id))))</f>
        <v>0</v>
      </c>
    </row>
    <row r="301" spans="1:9">
      <c r="A301" t="s">
        <v>8326</v>
      </c>
      <c r="B301" t="s">
        <v>8284</v>
      </c>
      <c r="C301">
        <v>1840</v>
      </c>
      <c r="D301">
        <v>1</v>
      </c>
      <c r="E301" s="23">
        <v>1</v>
      </c>
      <c r="F301" t="s">
        <v>8102</v>
      </c>
      <c r="G301" t="s">
        <v>10484</v>
      </c>
      <c r="H301" t="s">
        <v>8021</v>
      </c>
      <c r="I301">
        <f>_xlfn.LET(_xlpm.id,TRIM($A301),IF(_xlpm.id="","",SUM(COUNTIF('1. OP'!$M:$M,_xlpm.id),COUNTIF('2. JSEL'!$M:$M,_xlpm.id),COUNTIF('3. PSM'!$M:$M,_xlpm.id),COUNTIF('4. SSP'!$M:$M,_xlpm.id),COUNTIF('5. JSACI'!$M:$M,_xlpm.id),COUNTIF('6. AIN'!$M:$M,_xlpm.id),COUNTIF('7. MS'!$M:$M,_xlpm.id),COUNTIF('8. DS'!$M:$M,_xlpm.id),COUNTIF('9. RMF'!$M:$M,_xlpm.id),COUNTIF('10. PCU'!$M:$M,_xlpm.id))))</f>
        <v>0</v>
      </c>
    </row>
    <row r="302" spans="1:9">
      <c r="A302" t="s">
        <v>8327</v>
      </c>
      <c r="B302" t="s">
        <v>8284</v>
      </c>
      <c r="C302">
        <v>1840</v>
      </c>
      <c r="D302">
        <v>1</v>
      </c>
      <c r="E302" s="23">
        <v>2</v>
      </c>
      <c r="F302" t="s">
        <v>8102</v>
      </c>
      <c r="G302" t="s">
        <v>10484</v>
      </c>
      <c r="H302" t="s">
        <v>8021</v>
      </c>
      <c r="I302">
        <f>_xlfn.LET(_xlpm.id,TRIM($A302),IF(_xlpm.id="","",SUM(COUNTIF('1. OP'!$M:$M,_xlpm.id),COUNTIF('2. JSEL'!$M:$M,_xlpm.id),COUNTIF('3. PSM'!$M:$M,_xlpm.id),COUNTIF('4. SSP'!$M:$M,_xlpm.id),COUNTIF('5. JSACI'!$M:$M,_xlpm.id),COUNTIF('6. AIN'!$M:$M,_xlpm.id),COUNTIF('7. MS'!$M:$M,_xlpm.id),COUNTIF('8. DS'!$M:$M,_xlpm.id),COUNTIF('9. RMF'!$M:$M,_xlpm.id),COUNTIF('10. PCU'!$M:$M,_xlpm.id))))</f>
        <v>0</v>
      </c>
    </row>
    <row r="303" spans="1:9">
      <c r="A303" t="s">
        <v>8328</v>
      </c>
      <c r="B303" t="s">
        <v>8284</v>
      </c>
      <c r="C303">
        <v>1840</v>
      </c>
      <c r="D303">
        <v>1</v>
      </c>
      <c r="E303" s="23">
        <v>3</v>
      </c>
      <c r="F303" t="s">
        <v>8102</v>
      </c>
      <c r="G303" t="s">
        <v>10484</v>
      </c>
      <c r="H303" t="s">
        <v>8021</v>
      </c>
      <c r="I303">
        <f>_xlfn.LET(_xlpm.id,TRIM($A303),IF(_xlpm.id="","",SUM(COUNTIF('1. OP'!$M:$M,_xlpm.id),COUNTIF('2. JSEL'!$M:$M,_xlpm.id),COUNTIF('3. PSM'!$M:$M,_xlpm.id),COUNTIF('4. SSP'!$M:$M,_xlpm.id),COUNTIF('5. JSACI'!$M:$M,_xlpm.id),COUNTIF('6. AIN'!$M:$M,_xlpm.id),COUNTIF('7. MS'!$M:$M,_xlpm.id),COUNTIF('8. DS'!$M:$M,_xlpm.id),COUNTIF('9. RMF'!$M:$M,_xlpm.id),COUNTIF('10. PCU'!$M:$M,_xlpm.id))))</f>
        <v>0</v>
      </c>
    </row>
    <row r="304" spans="1:9">
      <c r="A304" t="s">
        <v>8329</v>
      </c>
      <c r="B304" t="s">
        <v>8284</v>
      </c>
      <c r="C304">
        <v>1840</v>
      </c>
      <c r="D304">
        <v>1</v>
      </c>
      <c r="E304" s="23">
        <v>4</v>
      </c>
      <c r="F304" t="s">
        <v>8102</v>
      </c>
      <c r="G304" t="s">
        <v>10484</v>
      </c>
      <c r="H304" t="s">
        <v>8021</v>
      </c>
      <c r="I304">
        <f>_xlfn.LET(_xlpm.id,TRIM($A304),IF(_xlpm.id="","",SUM(COUNTIF('1. OP'!$M:$M,_xlpm.id),COUNTIF('2. JSEL'!$M:$M,_xlpm.id),COUNTIF('3. PSM'!$M:$M,_xlpm.id),COUNTIF('4. SSP'!$M:$M,_xlpm.id),COUNTIF('5. JSACI'!$M:$M,_xlpm.id),COUNTIF('6. AIN'!$M:$M,_xlpm.id),COUNTIF('7. MS'!$M:$M,_xlpm.id),COUNTIF('8. DS'!$M:$M,_xlpm.id),COUNTIF('9. RMF'!$M:$M,_xlpm.id),COUNTIF('10. PCU'!$M:$M,_xlpm.id))))</f>
        <v>0</v>
      </c>
    </row>
    <row r="305" spans="1:9">
      <c r="A305" t="s">
        <v>6898</v>
      </c>
      <c r="B305" t="s">
        <v>8330</v>
      </c>
      <c r="C305">
        <v>1833</v>
      </c>
      <c r="D305">
        <v>1</v>
      </c>
      <c r="E305" s="23">
        <v>1</v>
      </c>
      <c r="F305" t="s">
        <v>8102</v>
      </c>
      <c r="G305" t="s">
        <v>10484</v>
      </c>
      <c r="H305" t="s">
        <v>8021</v>
      </c>
      <c r="I305">
        <f>_xlfn.LET(_xlpm.id,TRIM($A305),IF(_xlpm.id="","",SUM(COUNTIF('1. OP'!$M:$M,_xlpm.id),COUNTIF('2. JSEL'!$M:$M,_xlpm.id),COUNTIF('3. PSM'!$M:$M,_xlpm.id),COUNTIF('4. SSP'!$M:$M,_xlpm.id),COUNTIF('5. JSACI'!$M:$M,_xlpm.id),COUNTIF('6. AIN'!$M:$M,_xlpm.id),COUNTIF('7. MS'!$M:$M,_xlpm.id),COUNTIF('8. DS'!$M:$M,_xlpm.id),COUNTIF('9. RMF'!$M:$M,_xlpm.id),COUNTIF('10. PCU'!$M:$M,_xlpm.id))))</f>
        <v>1</v>
      </c>
    </row>
    <row r="306" spans="1:9">
      <c r="A306" t="s">
        <v>8331</v>
      </c>
      <c r="B306" t="s">
        <v>8330</v>
      </c>
      <c r="C306">
        <v>1834</v>
      </c>
      <c r="D306">
        <v>1</v>
      </c>
      <c r="E306" s="23">
        <v>2</v>
      </c>
      <c r="F306" t="s">
        <v>8102</v>
      </c>
      <c r="G306" t="s">
        <v>10484</v>
      </c>
      <c r="H306" t="s">
        <v>8021</v>
      </c>
      <c r="I306">
        <f>_xlfn.LET(_xlpm.id,TRIM($A306),IF(_xlpm.id="","",SUM(COUNTIF('1. OP'!$M:$M,_xlpm.id),COUNTIF('2. JSEL'!$M:$M,_xlpm.id),COUNTIF('3. PSM'!$M:$M,_xlpm.id),COUNTIF('4. SSP'!$M:$M,_xlpm.id),COUNTIF('5. JSACI'!$M:$M,_xlpm.id),COUNTIF('6. AIN'!$M:$M,_xlpm.id),COUNTIF('7. MS'!$M:$M,_xlpm.id),COUNTIF('8. DS'!$M:$M,_xlpm.id),COUNTIF('9. RMF'!$M:$M,_xlpm.id),COUNTIF('10. PCU'!$M:$M,_xlpm.id))))</f>
        <v>0</v>
      </c>
    </row>
    <row r="307" spans="1:9">
      <c r="A307" t="s">
        <v>8332</v>
      </c>
      <c r="B307" t="s">
        <v>8330</v>
      </c>
      <c r="C307">
        <v>1835</v>
      </c>
      <c r="D307">
        <v>1</v>
      </c>
      <c r="E307" s="23">
        <v>3</v>
      </c>
      <c r="F307" t="s">
        <v>8102</v>
      </c>
      <c r="G307" t="s">
        <v>10484</v>
      </c>
      <c r="H307" t="s">
        <v>8021</v>
      </c>
      <c r="I307">
        <f>_xlfn.LET(_xlpm.id,TRIM($A307),IF(_xlpm.id="","",SUM(COUNTIF('1. OP'!$M:$M,_xlpm.id),COUNTIF('2. JSEL'!$M:$M,_xlpm.id),COUNTIF('3. PSM'!$M:$M,_xlpm.id),COUNTIF('4. SSP'!$M:$M,_xlpm.id),COUNTIF('5. JSACI'!$M:$M,_xlpm.id),COUNTIF('6. AIN'!$M:$M,_xlpm.id),COUNTIF('7. MS'!$M:$M,_xlpm.id),COUNTIF('8. DS'!$M:$M,_xlpm.id),COUNTIF('9. RMF'!$M:$M,_xlpm.id),COUNTIF('10. PCU'!$M:$M,_xlpm.id))))</f>
        <v>0</v>
      </c>
    </row>
    <row r="308" spans="1:9">
      <c r="A308" t="s">
        <v>8333</v>
      </c>
      <c r="B308" t="s">
        <v>8330</v>
      </c>
      <c r="C308">
        <v>1836</v>
      </c>
      <c r="D308">
        <v>1</v>
      </c>
      <c r="E308" s="23">
        <v>4</v>
      </c>
      <c r="F308" t="s">
        <v>8102</v>
      </c>
      <c r="G308" t="s">
        <v>10484</v>
      </c>
      <c r="H308" t="s">
        <v>8021</v>
      </c>
      <c r="I308">
        <f>_xlfn.LET(_xlpm.id,TRIM($A308),IF(_xlpm.id="","",SUM(COUNTIF('1. OP'!$M:$M,_xlpm.id),COUNTIF('2. JSEL'!$M:$M,_xlpm.id),COUNTIF('3. PSM'!$M:$M,_xlpm.id),COUNTIF('4. SSP'!$M:$M,_xlpm.id),COUNTIF('5. JSACI'!$M:$M,_xlpm.id),COUNTIF('6. AIN'!$M:$M,_xlpm.id),COUNTIF('7. MS'!$M:$M,_xlpm.id),COUNTIF('8. DS'!$M:$M,_xlpm.id),COUNTIF('9. RMF'!$M:$M,_xlpm.id),COUNTIF('10. PCU'!$M:$M,_xlpm.id))))</f>
        <v>0</v>
      </c>
    </row>
    <row r="309" spans="1:9">
      <c r="A309" t="s">
        <v>8334</v>
      </c>
      <c r="B309" t="s">
        <v>8330</v>
      </c>
      <c r="C309">
        <v>1837</v>
      </c>
      <c r="D309">
        <v>1</v>
      </c>
      <c r="E309" s="23">
        <v>5</v>
      </c>
      <c r="F309" t="s">
        <v>8102</v>
      </c>
      <c r="G309" t="s">
        <v>10484</v>
      </c>
      <c r="H309" t="s">
        <v>8021</v>
      </c>
      <c r="I309">
        <f>_xlfn.LET(_xlpm.id,TRIM($A309),IF(_xlpm.id="","",SUM(COUNTIF('1. OP'!$M:$M,_xlpm.id),COUNTIF('2. JSEL'!$M:$M,_xlpm.id),COUNTIF('3. PSM'!$M:$M,_xlpm.id),COUNTIF('4. SSP'!$M:$M,_xlpm.id),COUNTIF('5. JSACI'!$M:$M,_xlpm.id),COUNTIF('6. AIN'!$M:$M,_xlpm.id),COUNTIF('7. MS'!$M:$M,_xlpm.id),COUNTIF('8. DS'!$M:$M,_xlpm.id),COUNTIF('9. RMF'!$M:$M,_xlpm.id),COUNTIF('10. PCU'!$M:$M,_xlpm.id))))</f>
        <v>0</v>
      </c>
    </row>
    <row r="310" spans="1:9">
      <c r="A310" t="s">
        <v>8335</v>
      </c>
      <c r="B310" t="s">
        <v>8330</v>
      </c>
      <c r="C310">
        <v>1838</v>
      </c>
      <c r="D310">
        <v>1</v>
      </c>
      <c r="E310" s="23">
        <v>6</v>
      </c>
      <c r="F310" t="s">
        <v>8102</v>
      </c>
      <c r="G310" t="s">
        <v>10484</v>
      </c>
      <c r="H310" t="s">
        <v>8021</v>
      </c>
      <c r="I310">
        <f>_xlfn.LET(_xlpm.id,TRIM($A310),IF(_xlpm.id="","",SUM(COUNTIF('1. OP'!$M:$M,_xlpm.id),COUNTIF('2. JSEL'!$M:$M,_xlpm.id),COUNTIF('3. PSM'!$M:$M,_xlpm.id),COUNTIF('4. SSP'!$M:$M,_xlpm.id),COUNTIF('5. JSACI'!$M:$M,_xlpm.id),COUNTIF('6. AIN'!$M:$M,_xlpm.id),COUNTIF('7. MS'!$M:$M,_xlpm.id),COUNTIF('8. DS'!$M:$M,_xlpm.id),COUNTIF('9. RMF'!$M:$M,_xlpm.id),COUNTIF('10. PCU'!$M:$M,_xlpm.id))))</f>
        <v>0</v>
      </c>
    </row>
    <row r="311" spans="1:9">
      <c r="A311" t="s">
        <v>8336</v>
      </c>
      <c r="B311" t="s">
        <v>8330</v>
      </c>
      <c r="C311">
        <v>1839</v>
      </c>
      <c r="D311">
        <v>1</v>
      </c>
      <c r="E311" s="23">
        <v>7</v>
      </c>
      <c r="F311" t="s">
        <v>8102</v>
      </c>
      <c r="G311" t="s">
        <v>10484</v>
      </c>
      <c r="H311" t="s">
        <v>8021</v>
      </c>
      <c r="I311">
        <f>_xlfn.LET(_xlpm.id,TRIM($A311),IF(_xlpm.id="","",SUM(COUNTIF('1. OP'!$M:$M,_xlpm.id),COUNTIF('2. JSEL'!$M:$M,_xlpm.id),COUNTIF('3. PSM'!$M:$M,_xlpm.id),COUNTIF('4. SSP'!$M:$M,_xlpm.id),COUNTIF('5. JSACI'!$M:$M,_xlpm.id),COUNTIF('6. AIN'!$M:$M,_xlpm.id),COUNTIF('7. MS'!$M:$M,_xlpm.id),COUNTIF('8. DS'!$M:$M,_xlpm.id),COUNTIF('9. RMF'!$M:$M,_xlpm.id),COUNTIF('10. PCU'!$M:$M,_xlpm.id))))</f>
        <v>0</v>
      </c>
    </row>
    <row r="312" spans="1:9">
      <c r="A312" t="s">
        <v>8337</v>
      </c>
      <c r="B312" t="s">
        <v>8330</v>
      </c>
      <c r="C312">
        <v>1840</v>
      </c>
      <c r="D312">
        <v>1</v>
      </c>
      <c r="E312" s="23">
        <v>8</v>
      </c>
      <c r="F312" t="s">
        <v>8102</v>
      </c>
      <c r="G312" t="s">
        <v>10484</v>
      </c>
      <c r="H312" t="s">
        <v>8021</v>
      </c>
      <c r="I312">
        <f>_xlfn.LET(_xlpm.id,TRIM($A312),IF(_xlpm.id="","",SUM(COUNTIF('1. OP'!$M:$M,_xlpm.id),COUNTIF('2. JSEL'!$M:$M,_xlpm.id),COUNTIF('3. PSM'!$M:$M,_xlpm.id),COUNTIF('4. SSP'!$M:$M,_xlpm.id),COUNTIF('5. JSACI'!$M:$M,_xlpm.id),COUNTIF('6. AIN'!$M:$M,_xlpm.id),COUNTIF('7. MS'!$M:$M,_xlpm.id),COUNTIF('8. DS'!$M:$M,_xlpm.id),COUNTIF('9. RMF'!$M:$M,_xlpm.id),COUNTIF('10. PCU'!$M:$M,_xlpm.id))))</f>
        <v>0</v>
      </c>
    </row>
    <row r="313" spans="1:9">
      <c r="A313" t="s">
        <v>8338</v>
      </c>
      <c r="B313" t="s">
        <v>8339</v>
      </c>
      <c r="C313">
        <v>1794</v>
      </c>
      <c r="D313">
        <v>1</v>
      </c>
      <c r="E313" s="23">
        <v>1</v>
      </c>
      <c r="F313" t="s">
        <v>8265</v>
      </c>
      <c r="G313" t="s">
        <v>10486</v>
      </c>
      <c r="H313" t="s">
        <v>8019</v>
      </c>
      <c r="I313">
        <f>_xlfn.LET(_xlpm.id,TRIM($A313),IF(_xlpm.id="","",SUM(COUNTIF('1. OP'!$M:$M,_xlpm.id),COUNTIF('2. JSEL'!$M:$M,_xlpm.id),COUNTIF('3. PSM'!$M:$M,_xlpm.id),COUNTIF('4. SSP'!$M:$M,_xlpm.id),COUNTIF('5. JSACI'!$M:$M,_xlpm.id),COUNTIF('6. AIN'!$M:$M,_xlpm.id),COUNTIF('7. MS'!$M:$M,_xlpm.id),COUNTIF('8. DS'!$M:$M,_xlpm.id),COUNTIF('9. RMF'!$M:$M,_xlpm.id),COUNTIF('10. PCU'!$M:$M,_xlpm.id))))</f>
        <v>0</v>
      </c>
    </row>
    <row r="314" spans="1:9">
      <c r="A314" t="s">
        <v>8340</v>
      </c>
      <c r="B314" t="s">
        <v>8339</v>
      </c>
      <c r="C314">
        <v>1795</v>
      </c>
      <c r="D314">
        <v>1</v>
      </c>
      <c r="E314" s="23">
        <v>2</v>
      </c>
      <c r="F314" t="s">
        <v>8265</v>
      </c>
      <c r="G314" t="s">
        <v>10486</v>
      </c>
      <c r="H314" t="s">
        <v>8019</v>
      </c>
      <c r="I314">
        <f>_xlfn.LET(_xlpm.id,TRIM($A314),IF(_xlpm.id="","",SUM(COUNTIF('1. OP'!$M:$M,_xlpm.id),COUNTIF('2. JSEL'!$M:$M,_xlpm.id),COUNTIF('3. PSM'!$M:$M,_xlpm.id),COUNTIF('4. SSP'!$M:$M,_xlpm.id),COUNTIF('5. JSACI'!$M:$M,_xlpm.id),COUNTIF('6. AIN'!$M:$M,_xlpm.id),COUNTIF('7. MS'!$M:$M,_xlpm.id),COUNTIF('8. DS'!$M:$M,_xlpm.id),COUNTIF('9. RMF'!$M:$M,_xlpm.id),COUNTIF('10. PCU'!$M:$M,_xlpm.id))))</f>
        <v>0</v>
      </c>
    </row>
    <row r="315" spans="1:9">
      <c r="A315" t="s">
        <v>8341</v>
      </c>
      <c r="B315" t="s">
        <v>8339</v>
      </c>
      <c r="C315">
        <v>1795</v>
      </c>
      <c r="D315">
        <v>1</v>
      </c>
      <c r="E315" s="23">
        <v>3</v>
      </c>
      <c r="F315" t="s">
        <v>8265</v>
      </c>
      <c r="G315" t="s">
        <v>10486</v>
      </c>
      <c r="H315" t="s">
        <v>8019</v>
      </c>
      <c r="I315">
        <f>_xlfn.LET(_xlpm.id,TRIM($A315),IF(_xlpm.id="","",SUM(COUNTIF('1. OP'!$M:$M,_xlpm.id),COUNTIF('2. JSEL'!$M:$M,_xlpm.id),COUNTIF('3. PSM'!$M:$M,_xlpm.id),COUNTIF('4. SSP'!$M:$M,_xlpm.id),COUNTIF('5. JSACI'!$M:$M,_xlpm.id),COUNTIF('6. AIN'!$M:$M,_xlpm.id),COUNTIF('7. MS'!$M:$M,_xlpm.id),COUNTIF('8. DS'!$M:$M,_xlpm.id),COUNTIF('9. RMF'!$M:$M,_xlpm.id),COUNTIF('10. PCU'!$M:$M,_xlpm.id))))</f>
        <v>0</v>
      </c>
    </row>
    <row r="316" spans="1:9">
      <c r="A316" t="s">
        <v>8342</v>
      </c>
      <c r="B316" t="s">
        <v>8339</v>
      </c>
      <c r="C316">
        <v>1796</v>
      </c>
      <c r="D316">
        <v>1</v>
      </c>
      <c r="E316" s="23">
        <v>4</v>
      </c>
      <c r="F316" t="s">
        <v>8265</v>
      </c>
      <c r="G316" t="s">
        <v>10486</v>
      </c>
      <c r="H316" t="s">
        <v>8019</v>
      </c>
      <c r="I316">
        <f>_xlfn.LET(_xlpm.id,TRIM($A316),IF(_xlpm.id="","",SUM(COUNTIF('1. OP'!$M:$M,_xlpm.id),COUNTIF('2. JSEL'!$M:$M,_xlpm.id),COUNTIF('3. PSM'!$M:$M,_xlpm.id),COUNTIF('4. SSP'!$M:$M,_xlpm.id),COUNTIF('5. JSACI'!$M:$M,_xlpm.id),COUNTIF('6. AIN'!$M:$M,_xlpm.id),COUNTIF('7. MS'!$M:$M,_xlpm.id),COUNTIF('8. DS'!$M:$M,_xlpm.id),COUNTIF('9. RMF'!$M:$M,_xlpm.id),COUNTIF('10. PCU'!$M:$M,_xlpm.id))))</f>
        <v>0</v>
      </c>
    </row>
    <row r="317" spans="1:9">
      <c r="A317" t="s">
        <v>8343</v>
      </c>
      <c r="B317" t="s">
        <v>8339</v>
      </c>
      <c r="C317">
        <v>1796</v>
      </c>
      <c r="D317">
        <v>1</v>
      </c>
      <c r="E317" s="23">
        <v>5</v>
      </c>
      <c r="F317" t="s">
        <v>8265</v>
      </c>
      <c r="G317" t="s">
        <v>10486</v>
      </c>
      <c r="H317" t="s">
        <v>8019</v>
      </c>
      <c r="I317">
        <f>_xlfn.LET(_xlpm.id,TRIM($A317),IF(_xlpm.id="","",SUM(COUNTIF('1. OP'!$M:$M,_xlpm.id),COUNTIF('2. JSEL'!$M:$M,_xlpm.id),COUNTIF('3. PSM'!$M:$M,_xlpm.id),COUNTIF('4. SSP'!$M:$M,_xlpm.id),COUNTIF('5. JSACI'!$M:$M,_xlpm.id),COUNTIF('6. AIN'!$M:$M,_xlpm.id),COUNTIF('7. MS'!$M:$M,_xlpm.id),COUNTIF('8. DS'!$M:$M,_xlpm.id),COUNTIF('9. RMF'!$M:$M,_xlpm.id),COUNTIF('10. PCU'!$M:$M,_xlpm.id))))</f>
        <v>0</v>
      </c>
    </row>
    <row r="318" spans="1:9">
      <c r="A318" t="s">
        <v>8344</v>
      </c>
      <c r="B318" t="s">
        <v>8339</v>
      </c>
      <c r="C318">
        <v>1797</v>
      </c>
      <c r="D318">
        <v>1</v>
      </c>
      <c r="E318" s="23">
        <v>6</v>
      </c>
      <c r="F318" t="s">
        <v>8265</v>
      </c>
      <c r="G318" t="s">
        <v>10486</v>
      </c>
      <c r="H318" t="s">
        <v>8019</v>
      </c>
      <c r="I318">
        <f>_xlfn.LET(_xlpm.id,TRIM($A318),IF(_xlpm.id="","",SUM(COUNTIF('1. OP'!$M:$M,_xlpm.id),COUNTIF('2. JSEL'!$M:$M,_xlpm.id),COUNTIF('3. PSM'!$M:$M,_xlpm.id),COUNTIF('4. SSP'!$M:$M,_xlpm.id),COUNTIF('5. JSACI'!$M:$M,_xlpm.id),COUNTIF('6. AIN'!$M:$M,_xlpm.id),COUNTIF('7. MS'!$M:$M,_xlpm.id),COUNTIF('8. DS'!$M:$M,_xlpm.id),COUNTIF('9. RMF'!$M:$M,_xlpm.id),COUNTIF('10. PCU'!$M:$M,_xlpm.id))))</f>
        <v>0</v>
      </c>
    </row>
    <row r="319" spans="1:9">
      <c r="A319" t="s">
        <v>8345</v>
      </c>
      <c r="B319" t="s">
        <v>8339</v>
      </c>
      <c r="C319">
        <v>1797</v>
      </c>
      <c r="D319">
        <v>1</v>
      </c>
      <c r="E319" s="23">
        <v>7</v>
      </c>
      <c r="F319" t="s">
        <v>8265</v>
      </c>
      <c r="G319" t="s">
        <v>10486</v>
      </c>
      <c r="H319" t="s">
        <v>8019</v>
      </c>
      <c r="I319">
        <f>_xlfn.LET(_xlpm.id,TRIM($A319),IF(_xlpm.id="","",SUM(COUNTIF('1. OP'!$M:$M,_xlpm.id),COUNTIF('2. JSEL'!$M:$M,_xlpm.id),COUNTIF('3. PSM'!$M:$M,_xlpm.id),COUNTIF('4. SSP'!$M:$M,_xlpm.id),COUNTIF('5. JSACI'!$M:$M,_xlpm.id),COUNTIF('6. AIN'!$M:$M,_xlpm.id),COUNTIF('7. MS'!$M:$M,_xlpm.id),COUNTIF('8. DS'!$M:$M,_xlpm.id),COUNTIF('9. RMF'!$M:$M,_xlpm.id),COUNTIF('10. PCU'!$M:$M,_xlpm.id))))</f>
        <v>0</v>
      </c>
    </row>
    <row r="320" spans="1:9">
      <c r="A320" t="s">
        <v>8346</v>
      </c>
      <c r="B320" t="s">
        <v>8339</v>
      </c>
      <c r="C320">
        <v>1798</v>
      </c>
      <c r="D320">
        <v>1</v>
      </c>
      <c r="E320" s="23">
        <v>8</v>
      </c>
      <c r="F320" t="s">
        <v>8265</v>
      </c>
      <c r="G320" t="s">
        <v>10486</v>
      </c>
      <c r="H320" t="s">
        <v>8019</v>
      </c>
      <c r="I320">
        <f>_xlfn.LET(_xlpm.id,TRIM($A320),IF(_xlpm.id="","",SUM(COUNTIF('1. OP'!$M:$M,_xlpm.id),COUNTIF('2. JSEL'!$M:$M,_xlpm.id),COUNTIF('3. PSM'!$M:$M,_xlpm.id),COUNTIF('4. SSP'!$M:$M,_xlpm.id),COUNTIF('5. JSACI'!$M:$M,_xlpm.id),COUNTIF('6. AIN'!$M:$M,_xlpm.id),COUNTIF('7. MS'!$M:$M,_xlpm.id),COUNTIF('8. DS'!$M:$M,_xlpm.id),COUNTIF('9. RMF'!$M:$M,_xlpm.id),COUNTIF('10. PCU'!$M:$M,_xlpm.id))))</f>
        <v>0</v>
      </c>
    </row>
    <row r="321" spans="1:9">
      <c r="A321" t="s">
        <v>8347</v>
      </c>
      <c r="B321" t="s">
        <v>8339</v>
      </c>
      <c r="C321">
        <v>1798</v>
      </c>
      <c r="D321">
        <v>1</v>
      </c>
      <c r="E321" s="23">
        <v>9</v>
      </c>
      <c r="F321" t="s">
        <v>8265</v>
      </c>
      <c r="G321" t="s">
        <v>10486</v>
      </c>
      <c r="H321" t="s">
        <v>8019</v>
      </c>
      <c r="I321">
        <f>_xlfn.LET(_xlpm.id,TRIM($A321),IF(_xlpm.id="","",SUM(COUNTIF('1. OP'!$M:$M,_xlpm.id),COUNTIF('2. JSEL'!$M:$M,_xlpm.id),COUNTIF('3. PSM'!$M:$M,_xlpm.id),COUNTIF('4. SSP'!$M:$M,_xlpm.id),COUNTIF('5. JSACI'!$M:$M,_xlpm.id),COUNTIF('6. AIN'!$M:$M,_xlpm.id),COUNTIF('7. MS'!$M:$M,_xlpm.id),COUNTIF('8. DS'!$M:$M,_xlpm.id),COUNTIF('9. RMF'!$M:$M,_xlpm.id),COUNTIF('10. PCU'!$M:$M,_xlpm.id))))</f>
        <v>0</v>
      </c>
    </row>
    <row r="322" spans="1:9">
      <c r="A322" t="s">
        <v>8348</v>
      </c>
      <c r="B322" t="s">
        <v>8339</v>
      </c>
      <c r="C322">
        <v>1799</v>
      </c>
      <c r="D322">
        <v>1</v>
      </c>
      <c r="E322" s="23">
        <v>10</v>
      </c>
      <c r="F322" t="s">
        <v>8265</v>
      </c>
      <c r="G322" t="s">
        <v>10486</v>
      </c>
      <c r="H322" t="s">
        <v>8019</v>
      </c>
      <c r="I322">
        <f>_xlfn.LET(_xlpm.id,TRIM($A322),IF(_xlpm.id="","",SUM(COUNTIF('1. OP'!$M:$M,_xlpm.id),COUNTIF('2. JSEL'!$M:$M,_xlpm.id),COUNTIF('3. PSM'!$M:$M,_xlpm.id),COUNTIF('4. SSP'!$M:$M,_xlpm.id),COUNTIF('5. JSACI'!$M:$M,_xlpm.id),COUNTIF('6. AIN'!$M:$M,_xlpm.id),COUNTIF('7. MS'!$M:$M,_xlpm.id),COUNTIF('8. DS'!$M:$M,_xlpm.id),COUNTIF('9. RMF'!$M:$M,_xlpm.id),COUNTIF('10. PCU'!$M:$M,_xlpm.id))))</f>
        <v>0</v>
      </c>
    </row>
    <row r="323" spans="1:9">
      <c r="A323" t="s">
        <v>8349</v>
      </c>
      <c r="B323" t="s">
        <v>8339</v>
      </c>
      <c r="C323">
        <v>1799</v>
      </c>
      <c r="D323">
        <v>1</v>
      </c>
      <c r="E323" s="23">
        <v>11</v>
      </c>
      <c r="F323" t="s">
        <v>8265</v>
      </c>
      <c r="G323" t="s">
        <v>10486</v>
      </c>
      <c r="H323" t="s">
        <v>8019</v>
      </c>
      <c r="I323">
        <f>_xlfn.LET(_xlpm.id,TRIM($A323),IF(_xlpm.id="","",SUM(COUNTIF('1. OP'!$M:$M,_xlpm.id),COUNTIF('2. JSEL'!$M:$M,_xlpm.id),COUNTIF('3. PSM'!$M:$M,_xlpm.id),COUNTIF('4. SSP'!$M:$M,_xlpm.id),COUNTIF('5. JSACI'!$M:$M,_xlpm.id),COUNTIF('6. AIN'!$M:$M,_xlpm.id),COUNTIF('7. MS'!$M:$M,_xlpm.id),COUNTIF('8. DS'!$M:$M,_xlpm.id),COUNTIF('9. RMF'!$M:$M,_xlpm.id),COUNTIF('10. PCU'!$M:$M,_xlpm.id))))</f>
        <v>0</v>
      </c>
    </row>
    <row r="324" spans="1:9">
      <c r="A324" t="s">
        <v>8350</v>
      </c>
      <c r="B324" t="s">
        <v>8339</v>
      </c>
      <c r="C324">
        <v>1800</v>
      </c>
      <c r="D324">
        <v>1</v>
      </c>
      <c r="E324" s="23">
        <v>12</v>
      </c>
      <c r="F324" t="s">
        <v>8265</v>
      </c>
      <c r="G324" t="s">
        <v>10486</v>
      </c>
      <c r="H324" t="s">
        <v>8019</v>
      </c>
      <c r="I324">
        <f>_xlfn.LET(_xlpm.id,TRIM($A324),IF(_xlpm.id="","",SUM(COUNTIF('1. OP'!$M:$M,_xlpm.id),COUNTIF('2. JSEL'!$M:$M,_xlpm.id),COUNTIF('3. PSM'!$M:$M,_xlpm.id),COUNTIF('4. SSP'!$M:$M,_xlpm.id),COUNTIF('5. JSACI'!$M:$M,_xlpm.id),COUNTIF('6. AIN'!$M:$M,_xlpm.id),COUNTIF('7. MS'!$M:$M,_xlpm.id),COUNTIF('8. DS'!$M:$M,_xlpm.id),COUNTIF('9. RMF'!$M:$M,_xlpm.id),COUNTIF('10. PCU'!$M:$M,_xlpm.id))))</f>
        <v>0</v>
      </c>
    </row>
    <row r="325" spans="1:9">
      <c r="A325" t="s">
        <v>8351</v>
      </c>
      <c r="B325" t="s">
        <v>8339</v>
      </c>
      <c r="C325">
        <v>1800</v>
      </c>
      <c r="D325">
        <v>1</v>
      </c>
      <c r="E325" s="23">
        <v>13</v>
      </c>
      <c r="F325" t="s">
        <v>8265</v>
      </c>
      <c r="G325" t="s">
        <v>10486</v>
      </c>
      <c r="H325" t="s">
        <v>8019</v>
      </c>
      <c r="I325">
        <f>_xlfn.LET(_xlpm.id,TRIM($A325),IF(_xlpm.id="","",SUM(COUNTIF('1. OP'!$M:$M,_xlpm.id),COUNTIF('2. JSEL'!$M:$M,_xlpm.id),COUNTIF('3. PSM'!$M:$M,_xlpm.id),COUNTIF('4. SSP'!$M:$M,_xlpm.id),COUNTIF('5. JSACI'!$M:$M,_xlpm.id),COUNTIF('6. AIN'!$M:$M,_xlpm.id),COUNTIF('7. MS'!$M:$M,_xlpm.id),COUNTIF('8. DS'!$M:$M,_xlpm.id),COUNTIF('9. RMF'!$M:$M,_xlpm.id),COUNTIF('10. PCU'!$M:$M,_xlpm.id))))</f>
        <v>0</v>
      </c>
    </row>
    <row r="326" spans="1:9">
      <c r="A326" t="s">
        <v>8352</v>
      </c>
      <c r="B326" t="s">
        <v>8339</v>
      </c>
      <c r="C326">
        <v>1801</v>
      </c>
      <c r="D326">
        <v>1</v>
      </c>
      <c r="E326" s="23">
        <v>14</v>
      </c>
      <c r="F326" t="s">
        <v>8265</v>
      </c>
      <c r="G326" t="s">
        <v>10486</v>
      </c>
      <c r="H326" t="s">
        <v>8019</v>
      </c>
      <c r="I326">
        <f>_xlfn.LET(_xlpm.id,TRIM($A326),IF(_xlpm.id="","",SUM(COUNTIF('1. OP'!$M:$M,_xlpm.id),COUNTIF('2. JSEL'!$M:$M,_xlpm.id),COUNTIF('3. PSM'!$M:$M,_xlpm.id),COUNTIF('4. SSP'!$M:$M,_xlpm.id),COUNTIF('5. JSACI'!$M:$M,_xlpm.id),COUNTIF('6. AIN'!$M:$M,_xlpm.id),COUNTIF('7. MS'!$M:$M,_xlpm.id),COUNTIF('8. DS'!$M:$M,_xlpm.id),COUNTIF('9. RMF'!$M:$M,_xlpm.id),COUNTIF('10. PCU'!$M:$M,_xlpm.id))))</f>
        <v>0</v>
      </c>
    </row>
    <row r="327" spans="1:9">
      <c r="A327" t="s">
        <v>8353</v>
      </c>
      <c r="B327" t="s">
        <v>8339</v>
      </c>
      <c r="C327">
        <v>1801</v>
      </c>
      <c r="D327">
        <v>1</v>
      </c>
      <c r="E327" s="23">
        <v>15</v>
      </c>
      <c r="F327" t="s">
        <v>8265</v>
      </c>
      <c r="G327" t="s">
        <v>10486</v>
      </c>
      <c r="H327" t="s">
        <v>8019</v>
      </c>
      <c r="I327">
        <f>_xlfn.LET(_xlpm.id,TRIM($A327),IF(_xlpm.id="","",SUM(COUNTIF('1. OP'!$M:$M,_xlpm.id),COUNTIF('2. JSEL'!$M:$M,_xlpm.id),COUNTIF('3. PSM'!$M:$M,_xlpm.id),COUNTIF('4. SSP'!$M:$M,_xlpm.id),COUNTIF('5. JSACI'!$M:$M,_xlpm.id),COUNTIF('6. AIN'!$M:$M,_xlpm.id),COUNTIF('7. MS'!$M:$M,_xlpm.id),COUNTIF('8. DS'!$M:$M,_xlpm.id),COUNTIF('9. RMF'!$M:$M,_xlpm.id),COUNTIF('10. PCU'!$M:$M,_xlpm.id))))</f>
        <v>0</v>
      </c>
    </row>
    <row r="328" spans="1:9">
      <c r="A328" t="s">
        <v>8354</v>
      </c>
      <c r="B328" t="s">
        <v>8339</v>
      </c>
      <c r="C328">
        <v>1802</v>
      </c>
      <c r="D328">
        <v>1</v>
      </c>
      <c r="E328" s="23">
        <v>16</v>
      </c>
      <c r="F328" t="s">
        <v>8265</v>
      </c>
      <c r="G328" t="s">
        <v>10486</v>
      </c>
      <c r="H328" t="s">
        <v>8019</v>
      </c>
      <c r="I328">
        <f>_xlfn.LET(_xlpm.id,TRIM($A328),IF(_xlpm.id="","",SUM(COUNTIF('1. OP'!$M:$M,_xlpm.id),COUNTIF('2. JSEL'!$M:$M,_xlpm.id),COUNTIF('3. PSM'!$M:$M,_xlpm.id),COUNTIF('4. SSP'!$M:$M,_xlpm.id),COUNTIF('5. JSACI'!$M:$M,_xlpm.id),COUNTIF('6. AIN'!$M:$M,_xlpm.id),COUNTIF('7. MS'!$M:$M,_xlpm.id),COUNTIF('8. DS'!$M:$M,_xlpm.id),COUNTIF('9. RMF'!$M:$M,_xlpm.id),COUNTIF('10. PCU'!$M:$M,_xlpm.id))))</f>
        <v>0</v>
      </c>
    </row>
    <row r="329" spans="1:9">
      <c r="A329" t="s">
        <v>8355</v>
      </c>
      <c r="B329" t="s">
        <v>8339</v>
      </c>
      <c r="C329">
        <v>1802</v>
      </c>
      <c r="D329">
        <v>2</v>
      </c>
      <c r="E329" s="23">
        <v>1</v>
      </c>
      <c r="F329" t="s">
        <v>8265</v>
      </c>
      <c r="G329" t="s">
        <v>10486</v>
      </c>
      <c r="H329" t="s">
        <v>8019</v>
      </c>
      <c r="I329">
        <f>_xlfn.LET(_xlpm.id,TRIM($A329),IF(_xlpm.id="","",SUM(COUNTIF('1. OP'!$M:$M,_xlpm.id),COUNTIF('2. JSEL'!$M:$M,_xlpm.id),COUNTIF('3. PSM'!$M:$M,_xlpm.id),COUNTIF('4. SSP'!$M:$M,_xlpm.id),COUNTIF('5. JSACI'!$M:$M,_xlpm.id),COUNTIF('6. AIN'!$M:$M,_xlpm.id),COUNTIF('7. MS'!$M:$M,_xlpm.id),COUNTIF('8. DS'!$M:$M,_xlpm.id),COUNTIF('9. RMF'!$M:$M,_xlpm.id),COUNTIF('10. PCU'!$M:$M,_xlpm.id))))</f>
        <v>0</v>
      </c>
    </row>
    <row r="330" spans="1:9">
      <c r="A330" t="s">
        <v>8356</v>
      </c>
      <c r="B330" t="s">
        <v>8339</v>
      </c>
      <c r="C330">
        <v>1803</v>
      </c>
      <c r="D330">
        <v>2</v>
      </c>
      <c r="E330" s="23">
        <v>2</v>
      </c>
      <c r="F330" t="s">
        <v>8265</v>
      </c>
      <c r="G330" t="s">
        <v>10486</v>
      </c>
      <c r="H330" t="s">
        <v>8019</v>
      </c>
      <c r="I330">
        <f>_xlfn.LET(_xlpm.id,TRIM($A330),IF(_xlpm.id="","",SUM(COUNTIF('1. OP'!$M:$M,_xlpm.id),COUNTIF('2. JSEL'!$M:$M,_xlpm.id),COUNTIF('3. PSM'!$M:$M,_xlpm.id),COUNTIF('4. SSP'!$M:$M,_xlpm.id),COUNTIF('5. JSACI'!$M:$M,_xlpm.id),COUNTIF('6. AIN'!$M:$M,_xlpm.id),COUNTIF('7. MS'!$M:$M,_xlpm.id),COUNTIF('8. DS'!$M:$M,_xlpm.id),COUNTIF('9. RMF'!$M:$M,_xlpm.id),COUNTIF('10. PCU'!$M:$M,_xlpm.id))))</f>
        <v>0</v>
      </c>
    </row>
    <row r="331" spans="1:9">
      <c r="A331" t="s">
        <v>8357</v>
      </c>
      <c r="B331" t="s">
        <v>8339</v>
      </c>
      <c r="C331">
        <v>1803</v>
      </c>
      <c r="D331">
        <v>2</v>
      </c>
      <c r="E331" s="23">
        <v>3</v>
      </c>
      <c r="F331" t="s">
        <v>8265</v>
      </c>
      <c r="G331" t="s">
        <v>10486</v>
      </c>
      <c r="H331" t="s">
        <v>8019</v>
      </c>
      <c r="I331">
        <f>_xlfn.LET(_xlpm.id,TRIM($A331),IF(_xlpm.id="","",SUM(COUNTIF('1. OP'!$M:$M,_xlpm.id),COUNTIF('2. JSEL'!$M:$M,_xlpm.id),COUNTIF('3. PSM'!$M:$M,_xlpm.id),COUNTIF('4. SSP'!$M:$M,_xlpm.id),COUNTIF('5. JSACI'!$M:$M,_xlpm.id),COUNTIF('6. AIN'!$M:$M,_xlpm.id),COUNTIF('7. MS'!$M:$M,_xlpm.id),COUNTIF('8. DS'!$M:$M,_xlpm.id),COUNTIF('9. RMF'!$M:$M,_xlpm.id),COUNTIF('10. PCU'!$M:$M,_xlpm.id))))</f>
        <v>0</v>
      </c>
    </row>
    <row r="332" spans="1:9">
      <c r="A332" t="s">
        <v>8358</v>
      </c>
      <c r="B332" t="s">
        <v>8339</v>
      </c>
      <c r="C332">
        <v>1804</v>
      </c>
      <c r="D332">
        <v>2</v>
      </c>
      <c r="E332" s="23">
        <v>4</v>
      </c>
      <c r="F332" t="s">
        <v>8265</v>
      </c>
      <c r="G332" t="s">
        <v>10486</v>
      </c>
      <c r="H332" t="s">
        <v>8019</v>
      </c>
      <c r="I332">
        <f>_xlfn.LET(_xlpm.id,TRIM($A332),IF(_xlpm.id="","",SUM(COUNTIF('1. OP'!$M:$M,_xlpm.id),COUNTIF('2. JSEL'!$M:$M,_xlpm.id),COUNTIF('3. PSM'!$M:$M,_xlpm.id),COUNTIF('4. SSP'!$M:$M,_xlpm.id),COUNTIF('5. JSACI'!$M:$M,_xlpm.id),COUNTIF('6. AIN'!$M:$M,_xlpm.id),COUNTIF('7. MS'!$M:$M,_xlpm.id),COUNTIF('8. DS'!$M:$M,_xlpm.id),COUNTIF('9. RMF'!$M:$M,_xlpm.id),COUNTIF('10. PCU'!$M:$M,_xlpm.id))))</f>
        <v>0</v>
      </c>
    </row>
    <row r="333" spans="1:9">
      <c r="A333" t="s">
        <v>8359</v>
      </c>
      <c r="B333" t="s">
        <v>8339</v>
      </c>
      <c r="C333">
        <v>1804</v>
      </c>
      <c r="D333">
        <v>2</v>
      </c>
      <c r="E333" s="23">
        <v>5</v>
      </c>
      <c r="F333" t="s">
        <v>8265</v>
      </c>
      <c r="G333" t="s">
        <v>10486</v>
      </c>
      <c r="H333" t="s">
        <v>8019</v>
      </c>
      <c r="I333">
        <f>_xlfn.LET(_xlpm.id,TRIM($A333),IF(_xlpm.id="","",SUM(COUNTIF('1. OP'!$M:$M,_xlpm.id),COUNTIF('2. JSEL'!$M:$M,_xlpm.id),COUNTIF('3. PSM'!$M:$M,_xlpm.id),COUNTIF('4. SSP'!$M:$M,_xlpm.id),COUNTIF('5. JSACI'!$M:$M,_xlpm.id),COUNTIF('6. AIN'!$M:$M,_xlpm.id),COUNTIF('7. MS'!$M:$M,_xlpm.id),COUNTIF('8. DS'!$M:$M,_xlpm.id),COUNTIF('9. RMF'!$M:$M,_xlpm.id),COUNTIF('10. PCU'!$M:$M,_xlpm.id))))</f>
        <v>0</v>
      </c>
    </row>
    <row r="334" spans="1:9">
      <c r="A334" t="s">
        <v>8360</v>
      </c>
      <c r="B334" t="s">
        <v>8339</v>
      </c>
      <c r="C334">
        <v>1805</v>
      </c>
      <c r="D334">
        <v>2</v>
      </c>
      <c r="E334" s="23">
        <v>6</v>
      </c>
      <c r="F334" t="s">
        <v>8265</v>
      </c>
      <c r="G334" t="s">
        <v>10486</v>
      </c>
      <c r="H334" t="s">
        <v>8019</v>
      </c>
      <c r="I334">
        <f>_xlfn.LET(_xlpm.id,TRIM($A334),IF(_xlpm.id="","",SUM(COUNTIF('1. OP'!$M:$M,_xlpm.id),COUNTIF('2. JSEL'!$M:$M,_xlpm.id),COUNTIF('3. PSM'!$M:$M,_xlpm.id),COUNTIF('4. SSP'!$M:$M,_xlpm.id),COUNTIF('5. JSACI'!$M:$M,_xlpm.id),COUNTIF('6. AIN'!$M:$M,_xlpm.id),COUNTIF('7. MS'!$M:$M,_xlpm.id),COUNTIF('8. DS'!$M:$M,_xlpm.id),COUNTIF('9. RMF'!$M:$M,_xlpm.id),COUNTIF('10. PCU'!$M:$M,_xlpm.id))))</f>
        <v>0</v>
      </c>
    </row>
    <row r="335" spans="1:9">
      <c r="A335" t="s">
        <v>8361</v>
      </c>
      <c r="B335" t="s">
        <v>8339</v>
      </c>
      <c r="C335">
        <v>1805</v>
      </c>
      <c r="D335">
        <v>2</v>
      </c>
      <c r="E335" s="23">
        <v>7</v>
      </c>
      <c r="F335" t="s">
        <v>8265</v>
      </c>
      <c r="G335" t="s">
        <v>10486</v>
      </c>
      <c r="H335" t="s">
        <v>8019</v>
      </c>
      <c r="I335">
        <f>_xlfn.LET(_xlpm.id,TRIM($A335),IF(_xlpm.id="","",SUM(COUNTIF('1. OP'!$M:$M,_xlpm.id),COUNTIF('2. JSEL'!$M:$M,_xlpm.id),COUNTIF('3. PSM'!$M:$M,_xlpm.id),COUNTIF('4. SSP'!$M:$M,_xlpm.id),COUNTIF('5. JSACI'!$M:$M,_xlpm.id),COUNTIF('6. AIN'!$M:$M,_xlpm.id),COUNTIF('7. MS'!$M:$M,_xlpm.id),COUNTIF('8. DS'!$M:$M,_xlpm.id),COUNTIF('9. RMF'!$M:$M,_xlpm.id),COUNTIF('10. PCU'!$M:$M,_xlpm.id))))</f>
        <v>0</v>
      </c>
    </row>
    <row r="336" spans="1:9">
      <c r="A336" t="s">
        <v>8362</v>
      </c>
      <c r="B336" t="s">
        <v>8339</v>
      </c>
      <c r="C336">
        <v>1806</v>
      </c>
      <c r="D336">
        <v>2</v>
      </c>
      <c r="E336" s="23">
        <v>8</v>
      </c>
      <c r="F336" t="s">
        <v>8265</v>
      </c>
      <c r="G336" t="s">
        <v>10486</v>
      </c>
      <c r="H336" t="s">
        <v>8019</v>
      </c>
      <c r="I336">
        <f>_xlfn.LET(_xlpm.id,TRIM($A336),IF(_xlpm.id="","",SUM(COUNTIF('1. OP'!$M:$M,_xlpm.id),COUNTIF('2. JSEL'!$M:$M,_xlpm.id),COUNTIF('3. PSM'!$M:$M,_xlpm.id),COUNTIF('4. SSP'!$M:$M,_xlpm.id),COUNTIF('5. JSACI'!$M:$M,_xlpm.id),COUNTIF('6. AIN'!$M:$M,_xlpm.id),COUNTIF('7. MS'!$M:$M,_xlpm.id),COUNTIF('8. DS'!$M:$M,_xlpm.id),COUNTIF('9. RMF'!$M:$M,_xlpm.id),COUNTIF('10. PCU'!$M:$M,_xlpm.id))))</f>
        <v>0</v>
      </c>
    </row>
    <row r="337" spans="1:9">
      <c r="A337" t="s">
        <v>8363</v>
      </c>
      <c r="B337" t="s">
        <v>8339</v>
      </c>
      <c r="C337">
        <v>1806</v>
      </c>
      <c r="D337">
        <v>2</v>
      </c>
      <c r="E337" s="23">
        <v>9</v>
      </c>
      <c r="F337" t="s">
        <v>8265</v>
      </c>
      <c r="G337" t="s">
        <v>10486</v>
      </c>
      <c r="H337" t="s">
        <v>8019</v>
      </c>
      <c r="I337">
        <f>_xlfn.LET(_xlpm.id,TRIM($A337),IF(_xlpm.id="","",SUM(COUNTIF('1. OP'!$M:$M,_xlpm.id),COUNTIF('2. JSEL'!$M:$M,_xlpm.id),COUNTIF('3. PSM'!$M:$M,_xlpm.id),COUNTIF('4. SSP'!$M:$M,_xlpm.id),COUNTIF('5. JSACI'!$M:$M,_xlpm.id),COUNTIF('6. AIN'!$M:$M,_xlpm.id),COUNTIF('7. MS'!$M:$M,_xlpm.id),COUNTIF('8. DS'!$M:$M,_xlpm.id),COUNTIF('9. RMF'!$M:$M,_xlpm.id),COUNTIF('10. PCU'!$M:$M,_xlpm.id))))</f>
        <v>0</v>
      </c>
    </row>
    <row r="338" spans="1:9">
      <c r="A338" t="s">
        <v>8364</v>
      </c>
      <c r="B338" t="s">
        <v>8339</v>
      </c>
      <c r="C338">
        <v>1807</v>
      </c>
      <c r="D338">
        <v>2</v>
      </c>
      <c r="E338" s="23">
        <v>10</v>
      </c>
      <c r="F338" t="s">
        <v>8265</v>
      </c>
      <c r="G338" t="s">
        <v>10486</v>
      </c>
      <c r="H338" t="s">
        <v>8019</v>
      </c>
      <c r="I338">
        <f>_xlfn.LET(_xlpm.id,TRIM($A338),IF(_xlpm.id="","",SUM(COUNTIF('1. OP'!$M:$M,_xlpm.id),COUNTIF('2. JSEL'!$M:$M,_xlpm.id),COUNTIF('3. PSM'!$M:$M,_xlpm.id),COUNTIF('4. SSP'!$M:$M,_xlpm.id),COUNTIF('5. JSACI'!$M:$M,_xlpm.id),COUNTIF('6. AIN'!$M:$M,_xlpm.id),COUNTIF('7. MS'!$M:$M,_xlpm.id),COUNTIF('8. DS'!$M:$M,_xlpm.id),COUNTIF('9. RMF'!$M:$M,_xlpm.id),COUNTIF('10. PCU'!$M:$M,_xlpm.id))))</f>
        <v>0</v>
      </c>
    </row>
    <row r="339" spans="1:9">
      <c r="A339" t="s">
        <v>8365</v>
      </c>
      <c r="B339" t="s">
        <v>8339</v>
      </c>
      <c r="C339">
        <v>1807</v>
      </c>
      <c r="D339">
        <v>2</v>
      </c>
      <c r="E339" s="23">
        <v>11</v>
      </c>
      <c r="F339" t="s">
        <v>8265</v>
      </c>
      <c r="G339" t="s">
        <v>10486</v>
      </c>
      <c r="H339" t="s">
        <v>8019</v>
      </c>
      <c r="I339">
        <f>_xlfn.LET(_xlpm.id,TRIM($A339),IF(_xlpm.id="","",SUM(COUNTIF('1. OP'!$M:$M,_xlpm.id),COUNTIF('2. JSEL'!$M:$M,_xlpm.id),COUNTIF('3. PSM'!$M:$M,_xlpm.id),COUNTIF('4. SSP'!$M:$M,_xlpm.id),COUNTIF('5. JSACI'!$M:$M,_xlpm.id),COUNTIF('6. AIN'!$M:$M,_xlpm.id),COUNTIF('7. MS'!$M:$M,_xlpm.id),COUNTIF('8. DS'!$M:$M,_xlpm.id),COUNTIF('9. RMF'!$M:$M,_xlpm.id),COUNTIF('10. PCU'!$M:$M,_xlpm.id))))</f>
        <v>0</v>
      </c>
    </row>
    <row r="340" spans="1:9">
      <c r="A340" t="s">
        <v>8366</v>
      </c>
      <c r="B340" t="s">
        <v>8339</v>
      </c>
      <c r="C340">
        <v>1808</v>
      </c>
      <c r="D340">
        <v>2</v>
      </c>
      <c r="E340" s="23">
        <v>12</v>
      </c>
      <c r="F340" t="s">
        <v>8265</v>
      </c>
      <c r="G340" t="s">
        <v>10486</v>
      </c>
      <c r="H340" t="s">
        <v>8019</v>
      </c>
      <c r="I340">
        <f>_xlfn.LET(_xlpm.id,TRIM($A340),IF(_xlpm.id="","",SUM(COUNTIF('1. OP'!$M:$M,_xlpm.id),COUNTIF('2. JSEL'!$M:$M,_xlpm.id),COUNTIF('3. PSM'!$M:$M,_xlpm.id),COUNTIF('4. SSP'!$M:$M,_xlpm.id),COUNTIF('5. JSACI'!$M:$M,_xlpm.id),COUNTIF('6. AIN'!$M:$M,_xlpm.id),COUNTIF('7. MS'!$M:$M,_xlpm.id),COUNTIF('8. DS'!$M:$M,_xlpm.id),COUNTIF('9. RMF'!$M:$M,_xlpm.id),COUNTIF('10. PCU'!$M:$M,_xlpm.id))))</f>
        <v>0</v>
      </c>
    </row>
    <row r="341" spans="1:9">
      <c r="A341" t="s">
        <v>8367</v>
      </c>
      <c r="B341" t="s">
        <v>8339</v>
      </c>
      <c r="C341">
        <v>1808</v>
      </c>
      <c r="D341">
        <v>2</v>
      </c>
      <c r="E341" s="23">
        <v>13</v>
      </c>
      <c r="F341" t="s">
        <v>8265</v>
      </c>
      <c r="G341" t="s">
        <v>10486</v>
      </c>
      <c r="H341" t="s">
        <v>8019</v>
      </c>
      <c r="I341">
        <f>_xlfn.LET(_xlpm.id,TRIM($A341),IF(_xlpm.id="","",SUM(COUNTIF('1. OP'!$M:$M,_xlpm.id),COUNTIF('2. JSEL'!$M:$M,_xlpm.id),COUNTIF('3. PSM'!$M:$M,_xlpm.id),COUNTIF('4. SSP'!$M:$M,_xlpm.id),COUNTIF('5. JSACI'!$M:$M,_xlpm.id),COUNTIF('6. AIN'!$M:$M,_xlpm.id),COUNTIF('7. MS'!$M:$M,_xlpm.id),COUNTIF('8. DS'!$M:$M,_xlpm.id),COUNTIF('9. RMF'!$M:$M,_xlpm.id),COUNTIF('10. PCU'!$M:$M,_xlpm.id))))</f>
        <v>0</v>
      </c>
    </row>
    <row r="342" spans="1:9">
      <c r="A342" t="s">
        <v>8368</v>
      </c>
      <c r="B342" t="s">
        <v>8339</v>
      </c>
      <c r="C342">
        <v>1809</v>
      </c>
      <c r="D342">
        <v>2</v>
      </c>
      <c r="E342" s="23">
        <v>14</v>
      </c>
      <c r="F342" t="s">
        <v>8265</v>
      </c>
      <c r="G342" t="s">
        <v>10486</v>
      </c>
      <c r="H342" t="s">
        <v>8019</v>
      </c>
      <c r="I342">
        <f>_xlfn.LET(_xlpm.id,TRIM($A342),IF(_xlpm.id="","",SUM(COUNTIF('1. OP'!$M:$M,_xlpm.id),COUNTIF('2. JSEL'!$M:$M,_xlpm.id),COUNTIF('3. PSM'!$M:$M,_xlpm.id),COUNTIF('4. SSP'!$M:$M,_xlpm.id),COUNTIF('5. JSACI'!$M:$M,_xlpm.id),COUNTIF('6. AIN'!$M:$M,_xlpm.id),COUNTIF('7. MS'!$M:$M,_xlpm.id),COUNTIF('8. DS'!$M:$M,_xlpm.id),COUNTIF('9. RMF'!$M:$M,_xlpm.id),COUNTIF('10. PCU'!$M:$M,_xlpm.id))))</f>
        <v>0</v>
      </c>
    </row>
    <row r="343" spans="1:9">
      <c r="A343" t="s">
        <v>8369</v>
      </c>
      <c r="B343" t="s">
        <v>8339</v>
      </c>
      <c r="C343">
        <v>1809</v>
      </c>
      <c r="D343">
        <v>2</v>
      </c>
      <c r="E343" s="23">
        <v>15</v>
      </c>
      <c r="F343" t="s">
        <v>8265</v>
      </c>
      <c r="G343" t="s">
        <v>10486</v>
      </c>
      <c r="H343" t="s">
        <v>8019</v>
      </c>
      <c r="I343">
        <f>_xlfn.LET(_xlpm.id,TRIM($A343),IF(_xlpm.id="","",SUM(COUNTIF('1. OP'!$M:$M,_xlpm.id),COUNTIF('2. JSEL'!$M:$M,_xlpm.id),COUNTIF('3. PSM'!$M:$M,_xlpm.id),COUNTIF('4. SSP'!$M:$M,_xlpm.id),COUNTIF('5. JSACI'!$M:$M,_xlpm.id),COUNTIF('6. AIN'!$M:$M,_xlpm.id),COUNTIF('7. MS'!$M:$M,_xlpm.id),COUNTIF('8. DS'!$M:$M,_xlpm.id),COUNTIF('9. RMF'!$M:$M,_xlpm.id),COUNTIF('10. PCU'!$M:$M,_xlpm.id))))</f>
        <v>0</v>
      </c>
    </row>
    <row r="344" spans="1:9">
      <c r="A344" t="s">
        <v>8370</v>
      </c>
      <c r="B344" t="s">
        <v>8339</v>
      </c>
      <c r="C344">
        <v>1810</v>
      </c>
      <c r="D344">
        <v>2</v>
      </c>
      <c r="E344" s="23">
        <v>16</v>
      </c>
      <c r="F344" t="s">
        <v>8265</v>
      </c>
      <c r="G344" t="s">
        <v>10486</v>
      </c>
      <c r="H344" t="s">
        <v>8019</v>
      </c>
      <c r="I344">
        <f>_xlfn.LET(_xlpm.id,TRIM($A344),IF(_xlpm.id="","",SUM(COUNTIF('1. OP'!$M:$M,_xlpm.id),COUNTIF('2. JSEL'!$M:$M,_xlpm.id),COUNTIF('3. PSM'!$M:$M,_xlpm.id),COUNTIF('4. SSP'!$M:$M,_xlpm.id),COUNTIF('5. JSACI'!$M:$M,_xlpm.id),COUNTIF('6. AIN'!$M:$M,_xlpm.id),COUNTIF('7. MS'!$M:$M,_xlpm.id),COUNTIF('8. DS'!$M:$M,_xlpm.id),COUNTIF('9. RMF'!$M:$M,_xlpm.id),COUNTIF('10. PCU'!$M:$M,_xlpm.id))))</f>
        <v>0</v>
      </c>
    </row>
    <row r="345" spans="1:9">
      <c r="A345" t="s">
        <v>8371</v>
      </c>
      <c r="B345" t="s">
        <v>8339</v>
      </c>
      <c r="C345">
        <v>1810</v>
      </c>
      <c r="D345">
        <v>2</v>
      </c>
      <c r="E345" s="23">
        <v>17</v>
      </c>
      <c r="F345" t="s">
        <v>8265</v>
      </c>
      <c r="G345" t="s">
        <v>10486</v>
      </c>
      <c r="H345" t="s">
        <v>8019</v>
      </c>
      <c r="I345">
        <f>_xlfn.LET(_xlpm.id,TRIM($A345),IF(_xlpm.id="","",SUM(COUNTIF('1. OP'!$M:$M,_xlpm.id),COUNTIF('2. JSEL'!$M:$M,_xlpm.id),COUNTIF('3. PSM'!$M:$M,_xlpm.id),COUNTIF('4. SSP'!$M:$M,_xlpm.id),COUNTIF('5. JSACI'!$M:$M,_xlpm.id),COUNTIF('6. AIN'!$M:$M,_xlpm.id),COUNTIF('7. MS'!$M:$M,_xlpm.id),COUNTIF('8. DS'!$M:$M,_xlpm.id),COUNTIF('9. RMF'!$M:$M,_xlpm.id),COUNTIF('10. PCU'!$M:$M,_xlpm.id))))</f>
        <v>0</v>
      </c>
    </row>
    <row r="346" spans="1:9">
      <c r="A346" t="s">
        <v>8372</v>
      </c>
      <c r="B346" t="s">
        <v>8339</v>
      </c>
      <c r="C346">
        <v>1811</v>
      </c>
      <c r="D346">
        <v>2</v>
      </c>
      <c r="E346" s="23">
        <v>18</v>
      </c>
      <c r="F346" t="s">
        <v>8265</v>
      </c>
      <c r="G346" t="s">
        <v>10486</v>
      </c>
      <c r="H346" t="s">
        <v>8019</v>
      </c>
      <c r="I346">
        <f>_xlfn.LET(_xlpm.id,TRIM($A346),IF(_xlpm.id="","",SUM(COUNTIF('1. OP'!$M:$M,_xlpm.id),COUNTIF('2. JSEL'!$M:$M,_xlpm.id),COUNTIF('3. PSM'!$M:$M,_xlpm.id),COUNTIF('4. SSP'!$M:$M,_xlpm.id),COUNTIF('5. JSACI'!$M:$M,_xlpm.id),COUNTIF('6. AIN'!$M:$M,_xlpm.id),COUNTIF('7. MS'!$M:$M,_xlpm.id),COUNTIF('8. DS'!$M:$M,_xlpm.id),COUNTIF('9. RMF'!$M:$M,_xlpm.id),COUNTIF('10. PCU'!$M:$M,_xlpm.id))))</f>
        <v>0</v>
      </c>
    </row>
    <row r="347" spans="1:9">
      <c r="A347" t="s">
        <v>8373</v>
      </c>
      <c r="B347" t="s">
        <v>8339</v>
      </c>
      <c r="C347">
        <v>1811</v>
      </c>
      <c r="D347">
        <v>2</v>
      </c>
      <c r="E347" s="23">
        <v>19</v>
      </c>
      <c r="F347" t="s">
        <v>8265</v>
      </c>
      <c r="G347" t="s">
        <v>10486</v>
      </c>
      <c r="H347" t="s">
        <v>8019</v>
      </c>
      <c r="I347">
        <f>_xlfn.LET(_xlpm.id,TRIM($A347),IF(_xlpm.id="","",SUM(COUNTIF('1. OP'!$M:$M,_xlpm.id),COUNTIF('2. JSEL'!$M:$M,_xlpm.id),COUNTIF('3. PSM'!$M:$M,_xlpm.id),COUNTIF('4. SSP'!$M:$M,_xlpm.id),COUNTIF('5. JSACI'!$M:$M,_xlpm.id),COUNTIF('6. AIN'!$M:$M,_xlpm.id),COUNTIF('7. MS'!$M:$M,_xlpm.id),COUNTIF('8. DS'!$M:$M,_xlpm.id),COUNTIF('9. RMF'!$M:$M,_xlpm.id),COUNTIF('10. PCU'!$M:$M,_xlpm.id))))</f>
        <v>0</v>
      </c>
    </row>
    <row r="348" spans="1:9">
      <c r="A348" t="s">
        <v>5372</v>
      </c>
      <c r="B348" t="s">
        <v>8339</v>
      </c>
      <c r="C348">
        <v>1812</v>
      </c>
      <c r="D348">
        <v>2</v>
      </c>
      <c r="E348" s="23">
        <v>20</v>
      </c>
      <c r="F348" t="s">
        <v>8265</v>
      </c>
      <c r="G348" t="s">
        <v>10486</v>
      </c>
      <c r="H348" t="s">
        <v>8019</v>
      </c>
      <c r="I348">
        <f>_xlfn.LET(_xlpm.id,TRIM($A348),IF(_xlpm.id="","",SUM(COUNTIF('1. OP'!$M:$M,_xlpm.id),COUNTIF('2. JSEL'!$M:$M,_xlpm.id),COUNTIF('3. PSM'!$M:$M,_xlpm.id),COUNTIF('4. SSP'!$M:$M,_xlpm.id),COUNTIF('5. JSACI'!$M:$M,_xlpm.id),COUNTIF('6. AIN'!$M:$M,_xlpm.id),COUNTIF('7. MS'!$M:$M,_xlpm.id),COUNTIF('8. DS'!$M:$M,_xlpm.id),COUNTIF('9. RMF'!$M:$M,_xlpm.id),COUNTIF('10. PCU'!$M:$M,_xlpm.id))))</f>
        <v>1</v>
      </c>
    </row>
    <row r="349" spans="1:9">
      <c r="A349" t="s">
        <v>5068</v>
      </c>
      <c r="B349" t="s">
        <v>8339</v>
      </c>
      <c r="C349">
        <v>1812</v>
      </c>
      <c r="D349">
        <v>2</v>
      </c>
      <c r="E349" s="23">
        <v>21</v>
      </c>
      <c r="F349" t="s">
        <v>8265</v>
      </c>
      <c r="G349" t="s">
        <v>10486</v>
      </c>
      <c r="H349" t="s">
        <v>8019</v>
      </c>
      <c r="I349">
        <f>_xlfn.LET(_xlpm.id,TRIM($A349),IF(_xlpm.id="","",SUM(COUNTIF('1. OP'!$M:$M,_xlpm.id),COUNTIF('2. JSEL'!$M:$M,_xlpm.id),COUNTIF('3. PSM'!$M:$M,_xlpm.id),COUNTIF('4. SSP'!$M:$M,_xlpm.id),COUNTIF('5. JSACI'!$M:$M,_xlpm.id),COUNTIF('6. AIN'!$M:$M,_xlpm.id),COUNTIF('7. MS'!$M:$M,_xlpm.id),COUNTIF('8. DS'!$M:$M,_xlpm.id),COUNTIF('9. RMF'!$M:$M,_xlpm.id),COUNTIF('10. PCU'!$M:$M,_xlpm.id))))</f>
        <v>2</v>
      </c>
    </row>
    <row r="350" spans="1:9">
      <c r="A350" t="s">
        <v>8374</v>
      </c>
      <c r="B350" t="s">
        <v>8339</v>
      </c>
      <c r="C350">
        <v>1813</v>
      </c>
      <c r="D350">
        <v>2</v>
      </c>
      <c r="E350" s="23">
        <v>22</v>
      </c>
      <c r="F350" t="s">
        <v>8265</v>
      </c>
      <c r="G350" t="s">
        <v>10486</v>
      </c>
      <c r="H350" t="s">
        <v>8019</v>
      </c>
      <c r="I350">
        <f>_xlfn.LET(_xlpm.id,TRIM($A350),IF(_xlpm.id="","",SUM(COUNTIF('1. OP'!$M:$M,_xlpm.id),COUNTIF('2. JSEL'!$M:$M,_xlpm.id),COUNTIF('3. PSM'!$M:$M,_xlpm.id),COUNTIF('4. SSP'!$M:$M,_xlpm.id),COUNTIF('5. JSACI'!$M:$M,_xlpm.id),COUNTIF('6. AIN'!$M:$M,_xlpm.id),COUNTIF('7. MS'!$M:$M,_xlpm.id),COUNTIF('8. DS'!$M:$M,_xlpm.id),COUNTIF('9. RMF'!$M:$M,_xlpm.id),COUNTIF('10. PCU'!$M:$M,_xlpm.id))))</f>
        <v>0</v>
      </c>
    </row>
    <row r="351" spans="1:9">
      <c r="A351" t="s">
        <v>8375</v>
      </c>
      <c r="B351" t="s">
        <v>8339</v>
      </c>
      <c r="C351">
        <v>1813</v>
      </c>
      <c r="D351">
        <v>2</v>
      </c>
      <c r="E351" s="23">
        <v>23</v>
      </c>
      <c r="F351" t="s">
        <v>8265</v>
      </c>
      <c r="G351" t="s">
        <v>10486</v>
      </c>
      <c r="H351" t="s">
        <v>8019</v>
      </c>
      <c r="I351">
        <f>_xlfn.LET(_xlpm.id,TRIM($A351),IF(_xlpm.id="","",SUM(COUNTIF('1. OP'!$M:$M,_xlpm.id),COUNTIF('2. JSEL'!$M:$M,_xlpm.id),COUNTIF('3. PSM'!$M:$M,_xlpm.id),COUNTIF('4. SSP'!$M:$M,_xlpm.id),COUNTIF('5. JSACI'!$M:$M,_xlpm.id),COUNTIF('6. AIN'!$M:$M,_xlpm.id),COUNTIF('7. MS'!$M:$M,_xlpm.id),COUNTIF('8. DS'!$M:$M,_xlpm.id),COUNTIF('9. RMF'!$M:$M,_xlpm.id),COUNTIF('10. PCU'!$M:$M,_xlpm.id))))</f>
        <v>0</v>
      </c>
    </row>
    <row r="352" spans="1:9">
      <c r="A352" t="s">
        <v>8376</v>
      </c>
      <c r="B352" t="s">
        <v>8339</v>
      </c>
      <c r="C352">
        <v>1814</v>
      </c>
      <c r="D352">
        <v>2</v>
      </c>
      <c r="E352" s="23">
        <v>24</v>
      </c>
      <c r="F352" t="s">
        <v>8265</v>
      </c>
      <c r="G352" t="s">
        <v>10486</v>
      </c>
      <c r="H352" t="s">
        <v>8019</v>
      </c>
      <c r="I352">
        <f>_xlfn.LET(_xlpm.id,TRIM($A352),IF(_xlpm.id="","",SUM(COUNTIF('1. OP'!$M:$M,_xlpm.id),COUNTIF('2. JSEL'!$M:$M,_xlpm.id),COUNTIF('3. PSM'!$M:$M,_xlpm.id),COUNTIF('4. SSP'!$M:$M,_xlpm.id),COUNTIF('5. JSACI'!$M:$M,_xlpm.id),COUNTIF('6. AIN'!$M:$M,_xlpm.id),COUNTIF('7. MS'!$M:$M,_xlpm.id),COUNTIF('8. DS'!$M:$M,_xlpm.id),COUNTIF('9. RMF'!$M:$M,_xlpm.id),COUNTIF('10. PCU'!$M:$M,_xlpm.id))))</f>
        <v>0</v>
      </c>
    </row>
    <row r="353" spans="1:9">
      <c r="A353" t="s">
        <v>8377</v>
      </c>
      <c r="B353" t="s">
        <v>8339</v>
      </c>
      <c r="C353">
        <v>1814</v>
      </c>
      <c r="D353">
        <v>2</v>
      </c>
      <c r="E353" s="23">
        <v>25</v>
      </c>
      <c r="F353" t="s">
        <v>8265</v>
      </c>
      <c r="G353" t="s">
        <v>10486</v>
      </c>
      <c r="H353" t="s">
        <v>8019</v>
      </c>
      <c r="I353">
        <f>_xlfn.LET(_xlpm.id,TRIM($A353),IF(_xlpm.id="","",SUM(COUNTIF('1. OP'!$M:$M,_xlpm.id),COUNTIF('2. JSEL'!$M:$M,_xlpm.id),COUNTIF('3. PSM'!$M:$M,_xlpm.id),COUNTIF('4. SSP'!$M:$M,_xlpm.id),COUNTIF('5. JSACI'!$M:$M,_xlpm.id),COUNTIF('6. AIN'!$M:$M,_xlpm.id),COUNTIF('7. MS'!$M:$M,_xlpm.id),COUNTIF('8. DS'!$M:$M,_xlpm.id),COUNTIF('9. RMF'!$M:$M,_xlpm.id),COUNTIF('10. PCU'!$M:$M,_xlpm.id))))</f>
        <v>0</v>
      </c>
    </row>
    <row r="354" spans="1:9">
      <c r="A354" t="s">
        <v>8378</v>
      </c>
      <c r="B354" t="s">
        <v>8339</v>
      </c>
      <c r="C354">
        <v>1815</v>
      </c>
      <c r="D354">
        <v>2</v>
      </c>
      <c r="E354" s="23">
        <v>26</v>
      </c>
      <c r="F354" t="s">
        <v>8265</v>
      </c>
      <c r="G354" t="s">
        <v>10486</v>
      </c>
      <c r="H354" t="s">
        <v>8019</v>
      </c>
      <c r="I354">
        <f>_xlfn.LET(_xlpm.id,TRIM($A354),IF(_xlpm.id="","",SUM(COUNTIF('1. OP'!$M:$M,_xlpm.id),COUNTIF('2. JSEL'!$M:$M,_xlpm.id),COUNTIF('3. PSM'!$M:$M,_xlpm.id),COUNTIF('4. SSP'!$M:$M,_xlpm.id),COUNTIF('5. JSACI'!$M:$M,_xlpm.id),COUNTIF('6. AIN'!$M:$M,_xlpm.id),COUNTIF('7. MS'!$M:$M,_xlpm.id),COUNTIF('8. DS'!$M:$M,_xlpm.id),COUNTIF('9. RMF'!$M:$M,_xlpm.id),COUNTIF('10. PCU'!$M:$M,_xlpm.id))))</f>
        <v>0</v>
      </c>
    </row>
    <row r="355" spans="1:9">
      <c r="A355" t="s">
        <v>6516</v>
      </c>
      <c r="B355" t="s">
        <v>8339</v>
      </c>
      <c r="C355">
        <v>1815</v>
      </c>
      <c r="D355">
        <v>2</v>
      </c>
      <c r="E355" s="23">
        <v>27</v>
      </c>
      <c r="F355" t="s">
        <v>8265</v>
      </c>
      <c r="G355" t="s">
        <v>10486</v>
      </c>
      <c r="H355" t="s">
        <v>8019</v>
      </c>
      <c r="I355">
        <f>_xlfn.LET(_xlpm.id,TRIM($A355),IF(_xlpm.id="","",SUM(COUNTIF('1. OP'!$M:$M,_xlpm.id),COUNTIF('2. JSEL'!$M:$M,_xlpm.id),COUNTIF('3. PSM'!$M:$M,_xlpm.id),COUNTIF('4. SSP'!$M:$M,_xlpm.id),COUNTIF('5. JSACI'!$M:$M,_xlpm.id),COUNTIF('6. AIN'!$M:$M,_xlpm.id),COUNTIF('7. MS'!$M:$M,_xlpm.id),COUNTIF('8. DS'!$M:$M,_xlpm.id),COUNTIF('9. RMF'!$M:$M,_xlpm.id),COUNTIF('10. PCU'!$M:$M,_xlpm.id))))</f>
        <v>1</v>
      </c>
    </row>
    <row r="356" spans="1:9">
      <c r="A356" t="s">
        <v>8379</v>
      </c>
      <c r="B356" t="s">
        <v>8339</v>
      </c>
      <c r="C356">
        <v>1816</v>
      </c>
      <c r="D356">
        <v>2</v>
      </c>
      <c r="E356" s="23">
        <v>28</v>
      </c>
      <c r="F356" t="s">
        <v>8265</v>
      </c>
      <c r="G356" t="s">
        <v>10486</v>
      </c>
      <c r="H356" t="s">
        <v>8019</v>
      </c>
      <c r="I356">
        <f>_xlfn.LET(_xlpm.id,TRIM($A356),IF(_xlpm.id="","",SUM(COUNTIF('1. OP'!$M:$M,_xlpm.id),COUNTIF('2. JSEL'!$M:$M,_xlpm.id),COUNTIF('3. PSM'!$M:$M,_xlpm.id),COUNTIF('4. SSP'!$M:$M,_xlpm.id),COUNTIF('5. JSACI'!$M:$M,_xlpm.id),COUNTIF('6. AIN'!$M:$M,_xlpm.id),COUNTIF('7. MS'!$M:$M,_xlpm.id),COUNTIF('8. DS'!$M:$M,_xlpm.id),COUNTIF('9. RMF'!$M:$M,_xlpm.id),COUNTIF('10. PCU'!$M:$M,_xlpm.id))))</f>
        <v>0</v>
      </c>
    </row>
    <row r="357" spans="1:9">
      <c r="A357" t="s">
        <v>8380</v>
      </c>
      <c r="B357" t="s">
        <v>8339</v>
      </c>
      <c r="C357">
        <v>1816</v>
      </c>
      <c r="D357">
        <v>2</v>
      </c>
      <c r="E357" s="23">
        <v>29</v>
      </c>
      <c r="F357" t="s">
        <v>8265</v>
      </c>
      <c r="G357" t="s">
        <v>10486</v>
      </c>
      <c r="H357" t="s">
        <v>8019</v>
      </c>
      <c r="I357">
        <f>_xlfn.LET(_xlpm.id,TRIM($A357),IF(_xlpm.id="","",SUM(COUNTIF('1. OP'!$M:$M,_xlpm.id),COUNTIF('2. JSEL'!$M:$M,_xlpm.id),COUNTIF('3. PSM'!$M:$M,_xlpm.id),COUNTIF('4. SSP'!$M:$M,_xlpm.id),COUNTIF('5. JSACI'!$M:$M,_xlpm.id),COUNTIF('6. AIN'!$M:$M,_xlpm.id),COUNTIF('7. MS'!$M:$M,_xlpm.id),COUNTIF('8. DS'!$M:$M,_xlpm.id),COUNTIF('9. RMF'!$M:$M,_xlpm.id),COUNTIF('10. PCU'!$M:$M,_xlpm.id))))</f>
        <v>0</v>
      </c>
    </row>
    <row r="358" spans="1:9">
      <c r="A358" t="s">
        <v>8381</v>
      </c>
      <c r="B358" t="s">
        <v>8339</v>
      </c>
      <c r="C358">
        <v>1817</v>
      </c>
      <c r="D358">
        <v>2</v>
      </c>
      <c r="E358" s="23">
        <v>30</v>
      </c>
      <c r="F358" t="s">
        <v>8265</v>
      </c>
      <c r="G358" t="s">
        <v>10486</v>
      </c>
      <c r="H358" t="s">
        <v>8019</v>
      </c>
      <c r="I358">
        <f>_xlfn.LET(_xlpm.id,TRIM($A358),IF(_xlpm.id="","",SUM(COUNTIF('1. OP'!$M:$M,_xlpm.id),COUNTIF('2. JSEL'!$M:$M,_xlpm.id),COUNTIF('3. PSM'!$M:$M,_xlpm.id),COUNTIF('4. SSP'!$M:$M,_xlpm.id),COUNTIF('5. JSACI'!$M:$M,_xlpm.id),COUNTIF('6. AIN'!$M:$M,_xlpm.id),COUNTIF('7. MS'!$M:$M,_xlpm.id),COUNTIF('8. DS'!$M:$M,_xlpm.id),COUNTIF('9. RMF'!$M:$M,_xlpm.id),COUNTIF('10. PCU'!$M:$M,_xlpm.id))))</f>
        <v>0</v>
      </c>
    </row>
    <row r="359" spans="1:9">
      <c r="A359" t="s">
        <v>8382</v>
      </c>
      <c r="B359" t="s">
        <v>8339</v>
      </c>
      <c r="C359">
        <v>1817</v>
      </c>
      <c r="D359">
        <v>2</v>
      </c>
      <c r="E359" s="23">
        <v>31</v>
      </c>
      <c r="F359" t="s">
        <v>8265</v>
      </c>
      <c r="G359" t="s">
        <v>10486</v>
      </c>
      <c r="H359" t="s">
        <v>8019</v>
      </c>
      <c r="I359">
        <f>_xlfn.LET(_xlpm.id,TRIM($A359),IF(_xlpm.id="","",SUM(COUNTIF('1. OP'!$M:$M,_xlpm.id),COUNTIF('2. JSEL'!$M:$M,_xlpm.id),COUNTIF('3. PSM'!$M:$M,_xlpm.id),COUNTIF('4. SSP'!$M:$M,_xlpm.id),COUNTIF('5. JSACI'!$M:$M,_xlpm.id),COUNTIF('6. AIN'!$M:$M,_xlpm.id),COUNTIF('7. MS'!$M:$M,_xlpm.id),COUNTIF('8. DS'!$M:$M,_xlpm.id),COUNTIF('9. RMF'!$M:$M,_xlpm.id),COUNTIF('10. PCU'!$M:$M,_xlpm.id))))</f>
        <v>0</v>
      </c>
    </row>
    <row r="360" spans="1:9">
      <c r="A360" t="s">
        <v>8383</v>
      </c>
      <c r="B360" t="s">
        <v>8339</v>
      </c>
      <c r="C360">
        <v>1818</v>
      </c>
      <c r="D360">
        <v>2</v>
      </c>
      <c r="E360" s="23">
        <v>32</v>
      </c>
      <c r="F360" t="s">
        <v>8265</v>
      </c>
      <c r="G360" t="s">
        <v>10486</v>
      </c>
      <c r="H360" t="s">
        <v>8019</v>
      </c>
      <c r="I360">
        <f>_xlfn.LET(_xlpm.id,TRIM($A360),IF(_xlpm.id="","",SUM(COUNTIF('1. OP'!$M:$M,_xlpm.id),COUNTIF('2. JSEL'!$M:$M,_xlpm.id),COUNTIF('3. PSM'!$M:$M,_xlpm.id),COUNTIF('4. SSP'!$M:$M,_xlpm.id),COUNTIF('5. JSACI'!$M:$M,_xlpm.id),COUNTIF('6. AIN'!$M:$M,_xlpm.id),COUNTIF('7. MS'!$M:$M,_xlpm.id),COUNTIF('8. DS'!$M:$M,_xlpm.id),COUNTIF('9. RMF'!$M:$M,_xlpm.id),COUNTIF('10. PCU'!$M:$M,_xlpm.id))))</f>
        <v>0</v>
      </c>
    </row>
    <row r="361" spans="1:9">
      <c r="A361" t="s">
        <v>8384</v>
      </c>
      <c r="B361" t="s">
        <v>8339</v>
      </c>
      <c r="C361">
        <v>1818</v>
      </c>
      <c r="D361">
        <v>2</v>
      </c>
      <c r="E361" s="23">
        <v>33</v>
      </c>
      <c r="F361" t="s">
        <v>8265</v>
      </c>
      <c r="G361" t="s">
        <v>10486</v>
      </c>
      <c r="H361" t="s">
        <v>8019</v>
      </c>
      <c r="I361">
        <f>_xlfn.LET(_xlpm.id,TRIM($A361),IF(_xlpm.id="","",SUM(COUNTIF('1. OP'!$M:$M,_xlpm.id),COUNTIF('2. JSEL'!$M:$M,_xlpm.id),COUNTIF('3. PSM'!$M:$M,_xlpm.id),COUNTIF('4. SSP'!$M:$M,_xlpm.id),COUNTIF('5. JSACI'!$M:$M,_xlpm.id),COUNTIF('6. AIN'!$M:$M,_xlpm.id),COUNTIF('7. MS'!$M:$M,_xlpm.id),COUNTIF('8. DS'!$M:$M,_xlpm.id),COUNTIF('9. RMF'!$M:$M,_xlpm.id),COUNTIF('10. PCU'!$M:$M,_xlpm.id))))</f>
        <v>0</v>
      </c>
    </row>
    <row r="362" spans="1:9">
      <c r="A362" t="s">
        <v>8385</v>
      </c>
      <c r="B362" t="s">
        <v>8339</v>
      </c>
      <c r="C362">
        <v>1819</v>
      </c>
      <c r="D362">
        <v>2</v>
      </c>
      <c r="E362" s="23">
        <v>34</v>
      </c>
      <c r="F362" t="s">
        <v>8265</v>
      </c>
      <c r="G362" t="s">
        <v>10486</v>
      </c>
      <c r="H362" t="s">
        <v>8019</v>
      </c>
      <c r="I362">
        <f>_xlfn.LET(_xlpm.id,TRIM($A362),IF(_xlpm.id="","",SUM(COUNTIF('1. OP'!$M:$M,_xlpm.id),COUNTIF('2. JSEL'!$M:$M,_xlpm.id),COUNTIF('3. PSM'!$M:$M,_xlpm.id),COUNTIF('4. SSP'!$M:$M,_xlpm.id),COUNTIF('5. JSACI'!$M:$M,_xlpm.id),COUNTIF('6. AIN'!$M:$M,_xlpm.id),COUNTIF('7. MS'!$M:$M,_xlpm.id),COUNTIF('8. DS'!$M:$M,_xlpm.id),COUNTIF('9. RMF'!$M:$M,_xlpm.id),COUNTIF('10. PCU'!$M:$M,_xlpm.id))))</f>
        <v>0</v>
      </c>
    </row>
    <row r="363" spans="1:9">
      <c r="A363" t="s">
        <v>8386</v>
      </c>
      <c r="B363" t="s">
        <v>8339</v>
      </c>
      <c r="C363">
        <v>1819</v>
      </c>
      <c r="D363">
        <v>2</v>
      </c>
      <c r="E363" s="23">
        <v>35</v>
      </c>
      <c r="F363" t="s">
        <v>8265</v>
      </c>
      <c r="G363" t="s">
        <v>10486</v>
      </c>
      <c r="H363" t="s">
        <v>8019</v>
      </c>
      <c r="I363">
        <f>_xlfn.LET(_xlpm.id,TRIM($A363),IF(_xlpm.id="","",SUM(COUNTIF('1. OP'!$M:$M,_xlpm.id),COUNTIF('2. JSEL'!$M:$M,_xlpm.id),COUNTIF('3. PSM'!$M:$M,_xlpm.id),COUNTIF('4. SSP'!$M:$M,_xlpm.id),COUNTIF('5. JSACI'!$M:$M,_xlpm.id),COUNTIF('6. AIN'!$M:$M,_xlpm.id),COUNTIF('7. MS'!$M:$M,_xlpm.id),COUNTIF('8. DS'!$M:$M,_xlpm.id),COUNTIF('9. RMF'!$M:$M,_xlpm.id),COUNTIF('10. PCU'!$M:$M,_xlpm.id))))</f>
        <v>0</v>
      </c>
    </row>
    <row r="364" spans="1:9">
      <c r="A364" t="s">
        <v>8387</v>
      </c>
      <c r="B364" t="s">
        <v>8339</v>
      </c>
      <c r="C364">
        <v>1820</v>
      </c>
      <c r="D364">
        <v>2</v>
      </c>
      <c r="E364" s="23">
        <v>36</v>
      </c>
      <c r="F364" t="s">
        <v>8265</v>
      </c>
      <c r="G364" t="s">
        <v>10486</v>
      </c>
      <c r="H364" t="s">
        <v>8019</v>
      </c>
      <c r="I364">
        <f>_xlfn.LET(_xlpm.id,TRIM($A364),IF(_xlpm.id="","",SUM(COUNTIF('1. OP'!$M:$M,_xlpm.id),COUNTIF('2. JSEL'!$M:$M,_xlpm.id),COUNTIF('3. PSM'!$M:$M,_xlpm.id),COUNTIF('4. SSP'!$M:$M,_xlpm.id),COUNTIF('5. JSACI'!$M:$M,_xlpm.id),COUNTIF('6. AIN'!$M:$M,_xlpm.id),COUNTIF('7. MS'!$M:$M,_xlpm.id),COUNTIF('8. DS'!$M:$M,_xlpm.id),COUNTIF('9. RMF'!$M:$M,_xlpm.id),COUNTIF('10. PCU'!$M:$M,_xlpm.id))))</f>
        <v>0</v>
      </c>
    </row>
    <row r="365" spans="1:9">
      <c r="A365" t="s">
        <v>8388</v>
      </c>
      <c r="B365" t="s">
        <v>8339</v>
      </c>
      <c r="C365">
        <v>1820</v>
      </c>
      <c r="D365">
        <v>2</v>
      </c>
      <c r="E365" s="23">
        <v>37</v>
      </c>
      <c r="F365" t="s">
        <v>8265</v>
      </c>
      <c r="G365" t="s">
        <v>10486</v>
      </c>
      <c r="H365" t="s">
        <v>8019</v>
      </c>
      <c r="I365">
        <f>_xlfn.LET(_xlpm.id,TRIM($A365),IF(_xlpm.id="","",SUM(COUNTIF('1. OP'!$M:$M,_xlpm.id),COUNTIF('2. JSEL'!$M:$M,_xlpm.id),COUNTIF('3. PSM'!$M:$M,_xlpm.id),COUNTIF('4. SSP'!$M:$M,_xlpm.id),COUNTIF('5. JSACI'!$M:$M,_xlpm.id),COUNTIF('6. AIN'!$M:$M,_xlpm.id),COUNTIF('7. MS'!$M:$M,_xlpm.id),COUNTIF('8. DS'!$M:$M,_xlpm.id),COUNTIF('9. RMF'!$M:$M,_xlpm.id),COUNTIF('10. PCU'!$M:$M,_xlpm.id))))</f>
        <v>0</v>
      </c>
    </row>
    <row r="366" spans="1:9">
      <c r="A366" t="s">
        <v>8389</v>
      </c>
      <c r="B366" t="s">
        <v>8339</v>
      </c>
      <c r="C366">
        <v>1821</v>
      </c>
      <c r="D366">
        <v>2</v>
      </c>
      <c r="E366" s="23">
        <v>38</v>
      </c>
      <c r="F366" t="s">
        <v>8265</v>
      </c>
      <c r="G366" t="s">
        <v>10486</v>
      </c>
      <c r="H366" t="s">
        <v>8019</v>
      </c>
      <c r="I366">
        <f>_xlfn.LET(_xlpm.id,TRIM($A366),IF(_xlpm.id="","",SUM(COUNTIF('1. OP'!$M:$M,_xlpm.id),COUNTIF('2. JSEL'!$M:$M,_xlpm.id),COUNTIF('3. PSM'!$M:$M,_xlpm.id),COUNTIF('4. SSP'!$M:$M,_xlpm.id),COUNTIF('5. JSACI'!$M:$M,_xlpm.id),COUNTIF('6. AIN'!$M:$M,_xlpm.id),COUNTIF('7. MS'!$M:$M,_xlpm.id),COUNTIF('8. DS'!$M:$M,_xlpm.id),COUNTIF('9. RMF'!$M:$M,_xlpm.id),COUNTIF('10. PCU'!$M:$M,_xlpm.id))))</f>
        <v>0</v>
      </c>
    </row>
    <row r="367" spans="1:9">
      <c r="A367" t="s">
        <v>8390</v>
      </c>
      <c r="B367" t="s">
        <v>8339</v>
      </c>
      <c r="C367">
        <v>1821</v>
      </c>
      <c r="D367">
        <v>2</v>
      </c>
      <c r="E367" s="23">
        <v>39</v>
      </c>
      <c r="F367" t="s">
        <v>8265</v>
      </c>
      <c r="G367" t="s">
        <v>10486</v>
      </c>
      <c r="H367" t="s">
        <v>8019</v>
      </c>
      <c r="I367">
        <f>_xlfn.LET(_xlpm.id,TRIM($A367),IF(_xlpm.id="","",SUM(COUNTIF('1. OP'!$M:$M,_xlpm.id),COUNTIF('2. JSEL'!$M:$M,_xlpm.id),COUNTIF('3. PSM'!$M:$M,_xlpm.id),COUNTIF('4. SSP'!$M:$M,_xlpm.id),COUNTIF('5. JSACI'!$M:$M,_xlpm.id),COUNTIF('6. AIN'!$M:$M,_xlpm.id),COUNTIF('7. MS'!$M:$M,_xlpm.id),COUNTIF('8. DS'!$M:$M,_xlpm.id),COUNTIF('9. RMF'!$M:$M,_xlpm.id),COUNTIF('10. PCU'!$M:$M,_xlpm.id))))</f>
        <v>0</v>
      </c>
    </row>
    <row r="368" spans="1:9">
      <c r="A368" t="s">
        <v>8391</v>
      </c>
      <c r="B368" t="s">
        <v>8339</v>
      </c>
      <c r="C368">
        <v>1822</v>
      </c>
      <c r="D368">
        <v>2</v>
      </c>
      <c r="E368" s="23">
        <v>40</v>
      </c>
      <c r="F368" t="s">
        <v>8265</v>
      </c>
      <c r="G368" t="s">
        <v>10486</v>
      </c>
      <c r="H368" t="s">
        <v>8019</v>
      </c>
      <c r="I368">
        <f>_xlfn.LET(_xlpm.id,TRIM($A368),IF(_xlpm.id="","",SUM(COUNTIF('1. OP'!$M:$M,_xlpm.id),COUNTIF('2. JSEL'!$M:$M,_xlpm.id),COUNTIF('3. PSM'!$M:$M,_xlpm.id),COUNTIF('4. SSP'!$M:$M,_xlpm.id),COUNTIF('5. JSACI'!$M:$M,_xlpm.id),COUNTIF('6. AIN'!$M:$M,_xlpm.id),COUNTIF('7. MS'!$M:$M,_xlpm.id),COUNTIF('8. DS'!$M:$M,_xlpm.id),COUNTIF('9. RMF'!$M:$M,_xlpm.id),COUNTIF('10. PCU'!$M:$M,_xlpm.id))))</f>
        <v>0</v>
      </c>
    </row>
    <row r="369" spans="1:9">
      <c r="A369" t="s">
        <v>8392</v>
      </c>
      <c r="B369" t="s">
        <v>8339</v>
      </c>
      <c r="C369">
        <v>1822</v>
      </c>
      <c r="D369">
        <v>2</v>
      </c>
      <c r="E369" s="23">
        <v>41</v>
      </c>
      <c r="F369" t="s">
        <v>8265</v>
      </c>
      <c r="G369" t="s">
        <v>10486</v>
      </c>
      <c r="H369" t="s">
        <v>8019</v>
      </c>
      <c r="I369">
        <f>_xlfn.LET(_xlpm.id,TRIM($A369),IF(_xlpm.id="","",SUM(COUNTIF('1. OP'!$M:$M,_xlpm.id),COUNTIF('2. JSEL'!$M:$M,_xlpm.id),COUNTIF('3. PSM'!$M:$M,_xlpm.id),COUNTIF('4. SSP'!$M:$M,_xlpm.id),COUNTIF('5. JSACI'!$M:$M,_xlpm.id),COUNTIF('6. AIN'!$M:$M,_xlpm.id),COUNTIF('7. MS'!$M:$M,_xlpm.id),COUNTIF('8. DS'!$M:$M,_xlpm.id),COUNTIF('9. RMF'!$M:$M,_xlpm.id),COUNTIF('10. PCU'!$M:$M,_xlpm.id))))</f>
        <v>0</v>
      </c>
    </row>
    <row r="370" spans="1:9">
      <c r="A370" t="s">
        <v>8393</v>
      </c>
      <c r="B370" t="s">
        <v>8339</v>
      </c>
      <c r="C370">
        <v>1823</v>
      </c>
      <c r="D370">
        <v>2</v>
      </c>
      <c r="E370" s="23">
        <v>42</v>
      </c>
      <c r="F370" t="s">
        <v>8265</v>
      </c>
      <c r="G370" t="s">
        <v>10486</v>
      </c>
      <c r="H370" t="s">
        <v>8019</v>
      </c>
      <c r="I370">
        <f>_xlfn.LET(_xlpm.id,TRIM($A370),IF(_xlpm.id="","",SUM(COUNTIF('1. OP'!$M:$M,_xlpm.id),COUNTIF('2. JSEL'!$M:$M,_xlpm.id),COUNTIF('3. PSM'!$M:$M,_xlpm.id),COUNTIF('4. SSP'!$M:$M,_xlpm.id),COUNTIF('5. JSACI'!$M:$M,_xlpm.id),COUNTIF('6. AIN'!$M:$M,_xlpm.id),COUNTIF('7. MS'!$M:$M,_xlpm.id),COUNTIF('8. DS'!$M:$M,_xlpm.id),COUNTIF('9. RMF'!$M:$M,_xlpm.id),COUNTIF('10. PCU'!$M:$M,_xlpm.id))))</f>
        <v>0</v>
      </c>
    </row>
    <row r="371" spans="1:9">
      <c r="A371" t="s">
        <v>8394</v>
      </c>
      <c r="B371" t="s">
        <v>8339</v>
      </c>
      <c r="C371">
        <v>1823</v>
      </c>
      <c r="D371">
        <v>2</v>
      </c>
      <c r="E371" s="23">
        <v>43</v>
      </c>
      <c r="F371" t="s">
        <v>8265</v>
      </c>
      <c r="G371" t="s">
        <v>10486</v>
      </c>
      <c r="H371" t="s">
        <v>8019</v>
      </c>
      <c r="I371">
        <f>_xlfn.LET(_xlpm.id,TRIM($A371),IF(_xlpm.id="","",SUM(COUNTIF('1. OP'!$M:$M,_xlpm.id),COUNTIF('2. JSEL'!$M:$M,_xlpm.id),COUNTIF('3. PSM'!$M:$M,_xlpm.id),COUNTIF('4. SSP'!$M:$M,_xlpm.id),COUNTIF('5. JSACI'!$M:$M,_xlpm.id),COUNTIF('6. AIN'!$M:$M,_xlpm.id),COUNTIF('7. MS'!$M:$M,_xlpm.id),COUNTIF('8. DS'!$M:$M,_xlpm.id),COUNTIF('9. RMF'!$M:$M,_xlpm.id),COUNTIF('10. PCU'!$M:$M,_xlpm.id))))</f>
        <v>0</v>
      </c>
    </row>
    <row r="372" spans="1:9">
      <c r="A372" t="s">
        <v>8395</v>
      </c>
      <c r="B372" t="s">
        <v>8339</v>
      </c>
      <c r="C372">
        <v>1824</v>
      </c>
      <c r="D372">
        <v>2</v>
      </c>
      <c r="E372" s="23">
        <v>44</v>
      </c>
      <c r="F372" t="s">
        <v>8265</v>
      </c>
      <c r="G372" t="s">
        <v>10486</v>
      </c>
      <c r="H372" t="s">
        <v>8019</v>
      </c>
      <c r="I372">
        <f>_xlfn.LET(_xlpm.id,TRIM($A372),IF(_xlpm.id="","",SUM(COUNTIF('1. OP'!$M:$M,_xlpm.id),COUNTIF('2. JSEL'!$M:$M,_xlpm.id),COUNTIF('3. PSM'!$M:$M,_xlpm.id),COUNTIF('4. SSP'!$M:$M,_xlpm.id),COUNTIF('5. JSACI'!$M:$M,_xlpm.id),COUNTIF('6. AIN'!$M:$M,_xlpm.id),COUNTIF('7. MS'!$M:$M,_xlpm.id),COUNTIF('8. DS'!$M:$M,_xlpm.id),COUNTIF('9. RMF'!$M:$M,_xlpm.id),COUNTIF('10. PCU'!$M:$M,_xlpm.id))))</f>
        <v>0</v>
      </c>
    </row>
    <row r="373" spans="1:9">
      <c r="A373" t="s">
        <v>8396</v>
      </c>
      <c r="B373" t="s">
        <v>8339</v>
      </c>
      <c r="C373">
        <v>1824</v>
      </c>
      <c r="D373">
        <v>2</v>
      </c>
      <c r="E373" s="23">
        <v>45</v>
      </c>
      <c r="F373" t="s">
        <v>8265</v>
      </c>
      <c r="G373" t="s">
        <v>10486</v>
      </c>
      <c r="H373" t="s">
        <v>8019</v>
      </c>
      <c r="I373">
        <f>_xlfn.LET(_xlpm.id,TRIM($A373),IF(_xlpm.id="","",SUM(COUNTIF('1. OP'!$M:$M,_xlpm.id),COUNTIF('2. JSEL'!$M:$M,_xlpm.id),COUNTIF('3. PSM'!$M:$M,_xlpm.id),COUNTIF('4. SSP'!$M:$M,_xlpm.id),COUNTIF('5. JSACI'!$M:$M,_xlpm.id),COUNTIF('6. AIN'!$M:$M,_xlpm.id),COUNTIF('7. MS'!$M:$M,_xlpm.id),COUNTIF('8. DS'!$M:$M,_xlpm.id),COUNTIF('9. RMF'!$M:$M,_xlpm.id),COUNTIF('10. PCU'!$M:$M,_xlpm.id))))</f>
        <v>0</v>
      </c>
    </row>
    <row r="374" spans="1:9">
      <c r="A374" t="s">
        <v>8397</v>
      </c>
      <c r="B374" t="s">
        <v>8339</v>
      </c>
      <c r="C374">
        <v>1825</v>
      </c>
      <c r="D374">
        <v>2</v>
      </c>
      <c r="E374" s="23">
        <v>46</v>
      </c>
      <c r="F374" t="s">
        <v>8265</v>
      </c>
      <c r="G374" t="s">
        <v>10486</v>
      </c>
      <c r="H374" t="s">
        <v>8019</v>
      </c>
      <c r="I374">
        <f>_xlfn.LET(_xlpm.id,TRIM($A374),IF(_xlpm.id="","",SUM(COUNTIF('1. OP'!$M:$M,_xlpm.id),COUNTIF('2. JSEL'!$M:$M,_xlpm.id),COUNTIF('3. PSM'!$M:$M,_xlpm.id),COUNTIF('4. SSP'!$M:$M,_xlpm.id),COUNTIF('5. JSACI'!$M:$M,_xlpm.id),COUNTIF('6. AIN'!$M:$M,_xlpm.id),COUNTIF('7. MS'!$M:$M,_xlpm.id),COUNTIF('8. DS'!$M:$M,_xlpm.id),COUNTIF('9. RMF'!$M:$M,_xlpm.id),COUNTIF('10. PCU'!$M:$M,_xlpm.id))))</f>
        <v>0</v>
      </c>
    </row>
    <row r="375" spans="1:9">
      <c r="A375" t="s">
        <v>8398</v>
      </c>
      <c r="B375" t="s">
        <v>8399</v>
      </c>
      <c r="C375">
        <v>1825</v>
      </c>
      <c r="D375">
        <v>1</v>
      </c>
      <c r="E375" s="23">
        <v>1</v>
      </c>
      <c r="F375" t="s">
        <v>8265</v>
      </c>
      <c r="G375" t="s">
        <v>10486</v>
      </c>
      <c r="H375" t="s">
        <v>8019</v>
      </c>
      <c r="I375">
        <f>_xlfn.LET(_xlpm.id,TRIM($A375),IF(_xlpm.id="","",SUM(COUNTIF('1. OP'!$M:$M,_xlpm.id),COUNTIF('2. JSEL'!$M:$M,_xlpm.id),COUNTIF('3. PSM'!$M:$M,_xlpm.id),COUNTIF('4. SSP'!$M:$M,_xlpm.id),COUNTIF('5. JSACI'!$M:$M,_xlpm.id),COUNTIF('6. AIN'!$M:$M,_xlpm.id),COUNTIF('7. MS'!$M:$M,_xlpm.id),COUNTIF('8. DS'!$M:$M,_xlpm.id),COUNTIF('9. RMF'!$M:$M,_xlpm.id),COUNTIF('10. PCU'!$M:$M,_xlpm.id))))</f>
        <v>0</v>
      </c>
    </row>
    <row r="376" spans="1:9">
      <c r="A376" t="s">
        <v>8400</v>
      </c>
      <c r="B376" t="s">
        <v>8399</v>
      </c>
      <c r="C376">
        <v>1826</v>
      </c>
      <c r="D376">
        <v>1</v>
      </c>
      <c r="E376" s="23">
        <v>2</v>
      </c>
      <c r="F376" t="s">
        <v>8265</v>
      </c>
      <c r="G376" t="s">
        <v>10486</v>
      </c>
      <c r="H376" t="s">
        <v>8019</v>
      </c>
      <c r="I376">
        <f>_xlfn.LET(_xlpm.id,TRIM($A376),IF(_xlpm.id="","",SUM(COUNTIF('1. OP'!$M:$M,_xlpm.id),COUNTIF('2. JSEL'!$M:$M,_xlpm.id),COUNTIF('3. PSM'!$M:$M,_xlpm.id),COUNTIF('4. SSP'!$M:$M,_xlpm.id),COUNTIF('5. JSACI'!$M:$M,_xlpm.id),COUNTIF('6. AIN'!$M:$M,_xlpm.id),COUNTIF('7. MS'!$M:$M,_xlpm.id),COUNTIF('8. DS'!$M:$M,_xlpm.id),COUNTIF('9. RMF'!$M:$M,_xlpm.id),COUNTIF('10. PCU'!$M:$M,_xlpm.id))))</f>
        <v>0</v>
      </c>
    </row>
    <row r="377" spans="1:9">
      <c r="A377" t="s">
        <v>8401</v>
      </c>
      <c r="B377" t="s">
        <v>8399</v>
      </c>
      <c r="C377">
        <v>1827</v>
      </c>
      <c r="D377">
        <v>1</v>
      </c>
      <c r="E377" s="23">
        <v>3</v>
      </c>
      <c r="F377" t="s">
        <v>8265</v>
      </c>
      <c r="G377" t="s">
        <v>10486</v>
      </c>
      <c r="H377" t="s">
        <v>8019</v>
      </c>
      <c r="I377">
        <f>_xlfn.LET(_xlpm.id,TRIM($A377),IF(_xlpm.id="","",SUM(COUNTIF('1. OP'!$M:$M,_xlpm.id),COUNTIF('2. JSEL'!$M:$M,_xlpm.id),COUNTIF('3. PSM'!$M:$M,_xlpm.id),COUNTIF('4. SSP'!$M:$M,_xlpm.id),COUNTIF('5. JSACI'!$M:$M,_xlpm.id),COUNTIF('6. AIN'!$M:$M,_xlpm.id),COUNTIF('7. MS'!$M:$M,_xlpm.id),COUNTIF('8. DS'!$M:$M,_xlpm.id),COUNTIF('9. RMF'!$M:$M,_xlpm.id),COUNTIF('10. PCU'!$M:$M,_xlpm.id))))</f>
        <v>0</v>
      </c>
    </row>
    <row r="378" spans="1:9">
      <c r="A378" t="s">
        <v>8402</v>
      </c>
      <c r="B378" t="s">
        <v>8399</v>
      </c>
      <c r="C378">
        <v>1827</v>
      </c>
      <c r="D378">
        <v>1</v>
      </c>
      <c r="E378" s="23">
        <v>4</v>
      </c>
      <c r="F378" t="s">
        <v>8265</v>
      </c>
      <c r="G378" t="s">
        <v>10486</v>
      </c>
      <c r="H378" t="s">
        <v>8019</v>
      </c>
      <c r="I378">
        <f>_xlfn.LET(_xlpm.id,TRIM($A378),IF(_xlpm.id="","",SUM(COUNTIF('1. OP'!$M:$M,_xlpm.id),COUNTIF('2. JSEL'!$M:$M,_xlpm.id),COUNTIF('3. PSM'!$M:$M,_xlpm.id),COUNTIF('4. SSP'!$M:$M,_xlpm.id),COUNTIF('5. JSACI'!$M:$M,_xlpm.id),COUNTIF('6. AIN'!$M:$M,_xlpm.id),COUNTIF('7. MS'!$M:$M,_xlpm.id),COUNTIF('8. DS'!$M:$M,_xlpm.id),COUNTIF('9. RMF'!$M:$M,_xlpm.id),COUNTIF('10. PCU'!$M:$M,_xlpm.id))))</f>
        <v>0</v>
      </c>
    </row>
    <row r="379" spans="1:9">
      <c r="A379" t="s">
        <v>8403</v>
      </c>
      <c r="B379" t="s">
        <v>8399</v>
      </c>
      <c r="C379">
        <v>1828</v>
      </c>
      <c r="D379">
        <v>1</v>
      </c>
      <c r="E379" s="23">
        <v>5</v>
      </c>
      <c r="F379" t="s">
        <v>8265</v>
      </c>
      <c r="G379" t="s">
        <v>10486</v>
      </c>
      <c r="H379" t="s">
        <v>8019</v>
      </c>
      <c r="I379">
        <f>_xlfn.LET(_xlpm.id,TRIM($A379),IF(_xlpm.id="","",SUM(COUNTIF('1. OP'!$M:$M,_xlpm.id),COUNTIF('2. JSEL'!$M:$M,_xlpm.id),COUNTIF('3. PSM'!$M:$M,_xlpm.id),COUNTIF('4. SSP'!$M:$M,_xlpm.id),COUNTIF('5. JSACI'!$M:$M,_xlpm.id),COUNTIF('6. AIN'!$M:$M,_xlpm.id),COUNTIF('7. MS'!$M:$M,_xlpm.id),COUNTIF('8. DS'!$M:$M,_xlpm.id),COUNTIF('9. RMF'!$M:$M,_xlpm.id),COUNTIF('10. PCU'!$M:$M,_xlpm.id))))</f>
        <v>0</v>
      </c>
    </row>
    <row r="380" spans="1:9">
      <c r="A380" t="s">
        <v>8404</v>
      </c>
      <c r="B380" t="s">
        <v>8399</v>
      </c>
      <c r="C380">
        <v>1828</v>
      </c>
      <c r="D380">
        <v>1</v>
      </c>
      <c r="E380" s="23">
        <v>6</v>
      </c>
      <c r="F380" t="s">
        <v>8265</v>
      </c>
      <c r="G380" t="s">
        <v>10486</v>
      </c>
      <c r="H380" t="s">
        <v>8019</v>
      </c>
      <c r="I380">
        <f>_xlfn.LET(_xlpm.id,TRIM($A380),IF(_xlpm.id="","",SUM(COUNTIF('1. OP'!$M:$M,_xlpm.id),COUNTIF('2. JSEL'!$M:$M,_xlpm.id),COUNTIF('3. PSM'!$M:$M,_xlpm.id),COUNTIF('4. SSP'!$M:$M,_xlpm.id),COUNTIF('5. JSACI'!$M:$M,_xlpm.id),COUNTIF('6. AIN'!$M:$M,_xlpm.id),COUNTIF('7. MS'!$M:$M,_xlpm.id),COUNTIF('8. DS'!$M:$M,_xlpm.id),COUNTIF('9. RMF'!$M:$M,_xlpm.id),COUNTIF('10. PCU'!$M:$M,_xlpm.id))))</f>
        <v>0</v>
      </c>
    </row>
    <row r="381" spans="1:9">
      <c r="A381" t="s">
        <v>8405</v>
      </c>
      <c r="B381" t="s">
        <v>8399</v>
      </c>
      <c r="C381">
        <v>1829</v>
      </c>
      <c r="D381">
        <v>1</v>
      </c>
      <c r="E381" s="23">
        <v>7</v>
      </c>
      <c r="F381" t="s">
        <v>8265</v>
      </c>
      <c r="G381" t="s">
        <v>10486</v>
      </c>
      <c r="H381" t="s">
        <v>8019</v>
      </c>
      <c r="I381">
        <f>_xlfn.LET(_xlpm.id,TRIM($A381),IF(_xlpm.id="","",SUM(COUNTIF('1. OP'!$M:$M,_xlpm.id),COUNTIF('2. JSEL'!$M:$M,_xlpm.id),COUNTIF('3. PSM'!$M:$M,_xlpm.id),COUNTIF('4. SSP'!$M:$M,_xlpm.id),COUNTIF('5. JSACI'!$M:$M,_xlpm.id),COUNTIF('6. AIN'!$M:$M,_xlpm.id),COUNTIF('7. MS'!$M:$M,_xlpm.id),COUNTIF('8. DS'!$M:$M,_xlpm.id),COUNTIF('9. RMF'!$M:$M,_xlpm.id),COUNTIF('10. PCU'!$M:$M,_xlpm.id))))</f>
        <v>0</v>
      </c>
    </row>
    <row r="382" spans="1:9">
      <c r="A382" t="s">
        <v>8406</v>
      </c>
      <c r="B382" t="s">
        <v>8399</v>
      </c>
      <c r="C382">
        <v>1830</v>
      </c>
      <c r="D382">
        <v>1</v>
      </c>
      <c r="E382" s="23">
        <v>8</v>
      </c>
      <c r="F382" t="s">
        <v>8265</v>
      </c>
      <c r="G382" t="s">
        <v>10486</v>
      </c>
      <c r="H382" t="s">
        <v>8019</v>
      </c>
      <c r="I382">
        <f>_xlfn.LET(_xlpm.id,TRIM($A382),IF(_xlpm.id="","",SUM(COUNTIF('1. OP'!$M:$M,_xlpm.id),COUNTIF('2. JSEL'!$M:$M,_xlpm.id),COUNTIF('3. PSM'!$M:$M,_xlpm.id),COUNTIF('4. SSP'!$M:$M,_xlpm.id),COUNTIF('5. JSACI'!$M:$M,_xlpm.id),COUNTIF('6. AIN'!$M:$M,_xlpm.id),COUNTIF('7. MS'!$M:$M,_xlpm.id),COUNTIF('8. DS'!$M:$M,_xlpm.id),COUNTIF('9. RMF'!$M:$M,_xlpm.id),COUNTIF('10. PCU'!$M:$M,_xlpm.id))))</f>
        <v>0</v>
      </c>
    </row>
    <row r="383" spans="1:9">
      <c r="A383" t="s">
        <v>8407</v>
      </c>
      <c r="B383" t="s">
        <v>8399</v>
      </c>
      <c r="C383">
        <v>1830</v>
      </c>
      <c r="D383">
        <v>1</v>
      </c>
      <c r="E383" s="23">
        <v>9</v>
      </c>
      <c r="F383" t="s">
        <v>8265</v>
      </c>
      <c r="G383" t="s">
        <v>10486</v>
      </c>
      <c r="H383" t="s">
        <v>8019</v>
      </c>
      <c r="I383">
        <f>_xlfn.LET(_xlpm.id,TRIM($A383),IF(_xlpm.id="","",SUM(COUNTIF('1. OP'!$M:$M,_xlpm.id),COUNTIF('2. JSEL'!$M:$M,_xlpm.id),COUNTIF('3. PSM'!$M:$M,_xlpm.id),COUNTIF('4. SSP'!$M:$M,_xlpm.id),COUNTIF('5. JSACI'!$M:$M,_xlpm.id),COUNTIF('6. AIN'!$M:$M,_xlpm.id),COUNTIF('7. MS'!$M:$M,_xlpm.id),COUNTIF('8. DS'!$M:$M,_xlpm.id),COUNTIF('9. RMF'!$M:$M,_xlpm.id),COUNTIF('10. PCU'!$M:$M,_xlpm.id))))</f>
        <v>0</v>
      </c>
    </row>
    <row r="384" spans="1:9">
      <c r="A384" t="s">
        <v>8408</v>
      </c>
      <c r="B384" t="s">
        <v>8399</v>
      </c>
      <c r="C384">
        <v>1830</v>
      </c>
      <c r="D384">
        <v>1</v>
      </c>
      <c r="E384" s="23">
        <v>10</v>
      </c>
      <c r="F384" t="s">
        <v>8265</v>
      </c>
      <c r="G384" t="s">
        <v>10486</v>
      </c>
      <c r="H384" t="s">
        <v>8019</v>
      </c>
      <c r="I384">
        <f>_xlfn.LET(_xlpm.id,TRIM($A384),IF(_xlpm.id="","",SUM(COUNTIF('1. OP'!$M:$M,_xlpm.id),COUNTIF('2. JSEL'!$M:$M,_xlpm.id),COUNTIF('3. PSM'!$M:$M,_xlpm.id),COUNTIF('4. SSP'!$M:$M,_xlpm.id),COUNTIF('5. JSACI'!$M:$M,_xlpm.id),COUNTIF('6. AIN'!$M:$M,_xlpm.id),COUNTIF('7. MS'!$M:$M,_xlpm.id),COUNTIF('8. DS'!$M:$M,_xlpm.id),COUNTIF('9. RMF'!$M:$M,_xlpm.id),COUNTIF('10. PCU'!$M:$M,_xlpm.id))))</f>
        <v>0</v>
      </c>
    </row>
    <row r="385" spans="1:9">
      <c r="A385" t="s">
        <v>8409</v>
      </c>
      <c r="B385" t="s">
        <v>8399</v>
      </c>
      <c r="C385">
        <v>1831</v>
      </c>
      <c r="D385">
        <v>1</v>
      </c>
      <c r="E385" s="23">
        <v>11</v>
      </c>
      <c r="F385" t="s">
        <v>8265</v>
      </c>
      <c r="G385" t="s">
        <v>10486</v>
      </c>
      <c r="H385" t="s">
        <v>8019</v>
      </c>
      <c r="I385">
        <f>_xlfn.LET(_xlpm.id,TRIM($A385),IF(_xlpm.id="","",SUM(COUNTIF('1. OP'!$M:$M,_xlpm.id),COUNTIF('2. JSEL'!$M:$M,_xlpm.id),COUNTIF('3. PSM'!$M:$M,_xlpm.id),COUNTIF('4. SSP'!$M:$M,_xlpm.id),COUNTIF('5. JSACI'!$M:$M,_xlpm.id),COUNTIF('6. AIN'!$M:$M,_xlpm.id),COUNTIF('7. MS'!$M:$M,_xlpm.id),COUNTIF('8. DS'!$M:$M,_xlpm.id),COUNTIF('9. RMF'!$M:$M,_xlpm.id),COUNTIF('10. PCU'!$M:$M,_xlpm.id))))</f>
        <v>0</v>
      </c>
    </row>
    <row r="386" spans="1:9">
      <c r="A386" t="s">
        <v>8410</v>
      </c>
      <c r="B386" t="s">
        <v>8399</v>
      </c>
      <c r="C386">
        <v>1831</v>
      </c>
      <c r="D386">
        <v>1</v>
      </c>
      <c r="E386" s="23">
        <v>12</v>
      </c>
      <c r="F386" t="s">
        <v>8265</v>
      </c>
      <c r="G386" t="s">
        <v>10486</v>
      </c>
      <c r="H386" t="s">
        <v>8019</v>
      </c>
      <c r="I386">
        <f>_xlfn.LET(_xlpm.id,TRIM($A386),IF(_xlpm.id="","",SUM(COUNTIF('1. OP'!$M:$M,_xlpm.id),COUNTIF('2. JSEL'!$M:$M,_xlpm.id),COUNTIF('3. PSM'!$M:$M,_xlpm.id),COUNTIF('4. SSP'!$M:$M,_xlpm.id),COUNTIF('5. JSACI'!$M:$M,_xlpm.id),COUNTIF('6. AIN'!$M:$M,_xlpm.id),COUNTIF('7. MS'!$M:$M,_xlpm.id),COUNTIF('8. DS'!$M:$M,_xlpm.id),COUNTIF('9. RMF'!$M:$M,_xlpm.id),COUNTIF('10. PCU'!$M:$M,_xlpm.id))))</f>
        <v>0</v>
      </c>
    </row>
    <row r="387" spans="1:9">
      <c r="A387" t="s">
        <v>8411</v>
      </c>
      <c r="B387" t="s">
        <v>8399</v>
      </c>
      <c r="C387">
        <v>1832</v>
      </c>
      <c r="D387">
        <v>1</v>
      </c>
      <c r="E387" s="23">
        <v>13</v>
      </c>
      <c r="F387" t="s">
        <v>8265</v>
      </c>
      <c r="G387" t="s">
        <v>10486</v>
      </c>
      <c r="H387" t="s">
        <v>8019</v>
      </c>
      <c r="I387">
        <f>_xlfn.LET(_xlpm.id,TRIM($A387),IF(_xlpm.id="","",SUM(COUNTIF('1. OP'!$M:$M,_xlpm.id),COUNTIF('2. JSEL'!$M:$M,_xlpm.id),COUNTIF('3. PSM'!$M:$M,_xlpm.id),COUNTIF('4. SSP'!$M:$M,_xlpm.id),COUNTIF('5. JSACI'!$M:$M,_xlpm.id),COUNTIF('6. AIN'!$M:$M,_xlpm.id),COUNTIF('7. MS'!$M:$M,_xlpm.id),COUNTIF('8. DS'!$M:$M,_xlpm.id),COUNTIF('9. RMF'!$M:$M,_xlpm.id),COUNTIF('10. PCU'!$M:$M,_xlpm.id))))</f>
        <v>0</v>
      </c>
    </row>
    <row r="388" spans="1:9">
      <c r="A388" t="s">
        <v>8412</v>
      </c>
      <c r="B388" t="s">
        <v>8399</v>
      </c>
      <c r="C388">
        <v>1833</v>
      </c>
      <c r="D388">
        <v>1</v>
      </c>
      <c r="E388" s="23">
        <v>14</v>
      </c>
      <c r="F388" t="s">
        <v>8265</v>
      </c>
      <c r="G388" t="s">
        <v>10486</v>
      </c>
      <c r="H388" t="s">
        <v>8019</v>
      </c>
      <c r="I388">
        <f>_xlfn.LET(_xlpm.id,TRIM($A388),IF(_xlpm.id="","",SUM(COUNTIF('1. OP'!$M:$M,_xlpm.id),COUNTIF('2. JSEL'!$M:$M,_xlpm.id),COUNTIF('3. PSM'!$M:$M,_xlpm.id),COUNTIF('4. SSP'!$M:$M,_xlpm.id),COUNTIF('5. JSACI'!$M:$M,_xlpm.id),COUNTIF('6. AIN'!$M:$M,_xlpm.id),COUNTIF('7. MS'!$M:$M,_xlpm.id),COUNTIF('8. DS'!$M:$M,_xlpm.id),COUNTIF('9. RMF'!$M:$M,_xlpm.id),COUNTIF('10. PCU'!$M:$M,_xlpm.id))))</f>
        <v>0</v>
      </c>
    </row>
    <row r="389" spans="1:9">
      <c r="A389" t="s">
        <v>8413</v>
      </c>
      <c r="B389" t="s">
        <v>8399</v>
      </c>
      <c r="C389">
        <v>1833</v>
      </c>
      <c r="D389">
        <v>1</v>
      </c>
      <c r="E389" s="23">
        <v>15</v>
      </c>
      <c r="F389" t="s">
        <v>8265</v>
      </c>
      <c r="G389" t="s">
        <v>10486</v>
      </c>
      <c r="H389" t="s">
        <v>8019</v>
      </c>
      <c r="I389">
        <f>_xlfn.LET(_xlpm.id,TRIM($A389),IF(_xlpm.id="","",SUM(COUNTIF('1. OP'!$M:$M,_xlpm.id),COUNTIF('2. JSEL'!$M:$M,_xlpm.id),COUNTIF('3. PSM'!$M:$M,_xlpm.id),COUNTIF('4. SSP'!$M:$M,_xlpm.id),COUNTIF('5. JSACI'!$M:$M,_xlpm.id),COUNTIF('6. AIN'!$M:$M,_xlpm.id),COUNTIF('7. MS'!$M:$M,_xlpm.id),COUNTIF('8. DS'!$M:$M,_xlpm.id),COUNTIF('9. RMF'!$M:$M,_xlpm.id),COUNTIF('10. PCU'!$M:$M,_xlpm.id))))</f>
        <v>0</v>
      </c>
    </row>
    <row r="390" spans="1:9">
      <c r="A390" t="s">
        <v>8414</v>
      </c>
      <c r="B390" t="s">
        <v>8399</v>
      </c>
      <c r="C390">
        <v>1833</v>
      </c>
      <c r="D390">
        <v>1</v>
      </c>
      <c r="E390" s="23">
        <v>16</v>
      </c>
      <c r="F390" t="s">
        <v>8265</v>
      </c>
      <c r="G390" t="s">
        <v>10486</v>
      </c>
      <c r="H390" t="s">
        <v>8019</v>
      </c>
      <c r="I390">
        <f>_xlfn.LET(_xlpm.id,TRIM($A390),IF(_xlpm.id="","",SUM(COUNTIF('1. OP'!$M:$M,_xlpm.id),COUNTIF('2. JSEL'!$M:$M,_xlpm.id),COUNTIF('3. PSM'!$M:$M,_xlpm.id),COUNTIF('4. SSP'!$M:$M,_xlpm.id),COUNTIF('5. JSACI'!$M:$M,_xlpm.id),COUNTIF('6. AIN'!$M:$M,_xlpm.id),COUNTIF('7. MS'!$M:$M,_xlpm.id),COUNTIF('8. DS'!$M:$M,_xlpm.id),COUNTIF('9. RMF'!$M:$M,_xlpm.id),COUNTIF('10. PCU'!$M:$M,_xlpm.id))))</f>
        <v>0</v>
      </c>
    </row>
    <row r="391" spans="1:9">
      <c r="A391" t="s">
        <v>8415</v>
      </c>
      <c r="B391" t="s">
        <v>8399</v>
      </c>
      <c r="C391">
        <v>1834</v>
      </c>
      <c r="D391">
        <v>2</v>
      </c>
      <c r="E391" s="23">
        <v>1</v>
      </c>
      <c r="F391" t="s">
        <v>8265</v>
      </c>
      <c r="G391" t="s">
        <v>10486</v>
      </c>
      <c r="H391" t="s">
        <v>8019</v>
      </c>
      <c r="I391">
        <f>_xlfn.LET(_xlpm.id,TRIM($A391),IF(_xlpm.id="","",SUM(COUNTIF('1. OP'!$M:$M,_xlpm.id),COUNTIF('2. JSEL'!$M:$M,_xlpm.id),COUNTIF('3. PSM'!$M:$M,_xlpm.id),COUNTIF('4. SSP'!$M:$M,_xlpm.id),COUNTIF('5. JSACI'!$M:$M,_xlpm.id),COUNTIF('6. AIN'!$M:$M,_xlpm.id),COUNTIF('7. MS'!$M:$M,_xlpm.id),COUNTIF('8. DS'!$M:$M,_xlpm.id),COUNTIF('9. RMF'!$M:$M,_xlpm.id),COUNTIF('10. PCU'!$M:$M,_xlpm.id))))</f>
        <v>0</v>
      </c>
    </row>
    <row r="392" spans="1:9">
      <c r="A392" t="s">
        <v>8416</v>
      </c>
      <c r="B392" t="s">
        <v>8399</v>
      </c>
      <c r="C392">
        <v>1834</v>
      </c>
      <c r="D392">
        <v>2</v>
      </c>
      <c r="E392" s="23">
        <v>2</v>
      </c>
      <c r="F392" t="s">
        <v>8265</v>
      </c>
      <c r="G392" t="s">
        <v>10486</v>
      </c>
      <c r="H392" t="s">
        <v>8019</v>
      </c>
      <c r="I392">
        <f>_xlfn.LET(_xlpm.id,TRIM($A392),IF(_xlpm.id="","",SUM(COUNTIF('1. OP'!$M:$M,_xlpm.id),COUNTIF('2. JSEL'!$M:$M,_xlpm.id),COUNTIF('3. PSM'!$M:$M,_xlpm.id),COUNTIF('4. SSP'!$M:$M,_xlpm.id),COUNTIF('5. JSACI'!$M:$M,_xlpm.id),COUNTIF('6. AIN'!$M:$M,_xlpm.id),COUNTIF('7. MS'!$M:$M,_xlpm.id),COUNTIF('8. DS'!$M:$M,_xlpm.id),COUNTIF('9. RMF'!$M:$M,_xlpm.id),COUNTIF('10. PCU'!$M:$M,_xlpm.id))))</f>
        <v>0</v>
      </c>
    </row>
    <row r="393" spans="1:9">
      <c r="A393" t="s">
        <v>8417</v>
      </c>
      <c r="B393" t="s">
        <v>8399</v>
      </c>
      <c r="C393">
        <v>1835</v>
      </c>
      <c r="D393">
        <v>2</v>
      </c>
      <c r="E393" s="23">
        <v>3</v>
      </c>
      <c r="F393" t="s">
        <v>8265</v>
      </c>
      <c r="G393" t="s">
        <v>10486</v>
      </c>
      <c r="H393" t="s">
        <v>8019</v>
      </c>
      <c r="I393">
        <f>_xlfn.LET(_xlpm.id,TRIM($A393),IF(_xlpm.id="","",SUM(COUNTIF('1. OP'!$M:$M,_xlpm.id),COUNTIF('2. JSEL'!$M:$M,_xlpm.id),COUNTIF('3. PSM'!$M:$M,_xlpm.id),COUNTIF('4. SSP'!$M:$M,_xlpm.id),COUNTIF('5. JSACI'!$M:$M,_xlpm.id),COUNTIF('6. AIN'!$M:$M,_xlpm.id),COUNTIF('7. MS'!$M:$M,_xlpm.id),COUNTIF('8. DS'!$M:$M,_xlpm.id),COUNTIF('9. RMF'!$M:$M,_xlpm.id),COUNTIF('10. PCU'!$M:$M,_xlpm.id))))</f>
        <v>0</v>
      </c>
    </row>
    <row r="394" spans="1:9">
      <c r="A394" t="s">
        <v>8418</v>
      </c>
      <c r="B394" t="s">
        <v>8399</v>
      </c>
      <c r="C394">
        <v>1835</v>
      </c>
      <c r="D394">
        <v>2</v>
      </c>
      <c r="E394" s="23">
        <v>4</v>
      </c>
      <c r="F394" t="s">
        <v>8265</v>
      </c>
      <c r="G394" t="s">
        <v>10486</v>
      </c>
      <c r="H394" t="s">
        <v>8019</v>
      </c>
      <c r="I394">
        <f>_xlfn.LET(_xlpm.id,TRIM($A394),IF(_xlpm.id="","",SUM(COUNTIF('1. OP'!$M:$M,_xlpm.id),COUNTIF('2. JSEL'!$M:$M,_xlpm.id),COUNTIF('3. PSM'!$M:$M,_xlpm.id),COUNTIF('4. SSP'!$M:$M,_xlpm.id),COUNTIF('5. JSACI'!$M:$M,_xlpm.id),COUNTIF('6. AIN'!$M:$M,_xlpm.id),COUNTIF('7. MS'!$M:$M,_xlpm.id),COUNTIF('8. DS'!$M:$M,_xlpm.id),COUNTIF('9. RMF'!$M:$M,_xlpm.id),COUNTIF('10. PCU'!$M:$M,_xlpm.id))))</f>
        <v>0</v>
      </c>
    </row>
    <row r="395" spans="1:9">
      <c r="A395" t="s">
        <v>8419</v>
      </c>
      <c r="B395" t="s">
        <v>8399</v>
      </c>
      <c r="C395">
        <v>1836</v>
      </c>
      <c r="D395">
        <v>2</v>
      </c>
      <c r="E395" s="23">
        <v>5</v>
      </c>
      <c r="F395" t="s">
        <v>8265</v>
      </c>
      <c r="G395" t="s">
        <v>10486</v>
      </c>
      <c r="H395" t="s">
        <v>8019</v>
      </c>
      <c r="I395">
        <f>_xlfn.LET(_xlpm.id,TRIM($A395),IF(_xlpm.id="","",SUM(COUNTIF('1. OP'!$M:$M,_xlpm.id),COUNTIF('2. JSEL'!$M:$M,_xlpm.id),COUNTIF('3. PSM'!$M:$M,_xlpm.id),COUNTIF('4. SSP'!$M:$M,_xlpm.id),COUNTIF('5. JSACI'!$M:$M,_xlpm.id),COUNTIF('6. AIN'!$M:$M,_xlpm.id),COUNTIF('7. MS'!$M:$M,_xlpm.id),COUNTIF('8. DS'!$M:$M,_xlpm.id),COUNTIF('9. RMF'!$M:$M,_xlpm.id),COUNTIF('10. PCU'!$M:$M,_xlpm.id))))</f>
        <v>0</v>
      </c>
    </row>
    <row r="396" spans="1:9">
      <c r="A396" t="s">
        <v>8420</v>
      </c>
      <c r="B396" t="s">
        <v>8399</v>
      </c>
      <c r="C396">
        <v>1836</v>
      </c>
      <c r="D396">
        <v>2</v>
      </c>
      <c r="E396" s="23">
        <v>6</v>
      </c>
      <c r="F396" t="s">
        <v>8265</v>
      </c>
      <c r="G396" t="s">
        <v>10486</v>
      </c>
      <c r="H396" t="s">
        <v>8019</v>
      </c>
      <c r="I396">
        <f>_xlfn.LET(_xlpm.id,TRIM($A396),IF(_xlpm.id="","",SUM(COUNTIF('1. OP'!$M:$M,_xlpm.id),COUNTIF('2. JSEL'!$M:$M,_xlpm.id),COUNTIF('3. PSM'!$M:$M,_xlpm.id),COUNTIF('4. SSP'!$M:$M,_xlpm.id),COUNTIF('5. JSACI'!$M:$M,_xlpm.id),COUNTIF('6. AIN'!$M:$M,_xlpm.id),COUNTIF('7. MS'!$M:$M,_xlpm.id),COUNTIF('8. DS'!$M:$M,_xlpm.id),COUNTIF('9. RMF'!$M:$M,_xlpm.id),COUNTIF('10. PCU'!$M:$M,_xlpm.id))))</f>
        <v>0</v>
      </c>
    </row>
    <row r="397" spans="1:9">
      <c r="A397" t="s">
        <v>8421</v>
      </c>
      <c r="B397" t="s">
        <v>8399</v>
      </c>
      <c r="C397">
        <v>1837</v>
      </c>
      <c r="D397">
        <v>2</v>
      </c>
      <c r="E397" s="23">
        <v>7</v>
      </c>
      <c r="F397" t="s">
        <v>8265</v>
      </c>
      <c r="G397" t="s">
        <v>10486</v>
      </c>
      <c r="H397" t="s">
        <v>8019</v>
      </c>
      <c r="I397">
        <f>_xlfn.LET(_xlpm.id,TRIM($A397),IF(_xlpm.id="","",SUM(COUNTIF('1. OP'!$M:$M,_xlpm.id),COUNTIF('2. JSEL'!$M:$M,_xlpm.id),COUNTIF('3. PSM'!$M:$M,_xlpm.id),COUNTIF('4. SSP'!$M:$M,_xlpm.id),COUNTIF('5. JSACI'!$M:$M,_xlpm.id),COUNTIF('6. AIN'!$M:$M,_xlpm.id),COUNTIF('7. MS'!$M:$M,_xlpm.id),COUNTIF('8. DS'!$M:$M,_xlpm.id),COUNTIF('9. RMF'!$M:$M,_xlpm.id),COUNTIF('10. PCU'!$M:$M,_xlpm.id))))</f>
        <v>0</v>
      </c>
    </row>
    <row r="398" spans="1:9">
      <c r="A398" t="s">
        <v>8422</v>
      </c>
      <c r="B398" t="s">
        <v>8399</v>
      </c>
      <c r="C398">
        <v>1838</v>
      </c>
      <c r="D398">
        <v>2</v>
      </c>
      <c r="E398" s="23">
        <v>8</v>
      </c>
      <c r="F398" t="s">
        <v>8265</v>
      </c>
      <c r="G398" t="s">
        <v>10486</v>
      </c>
      <c r="H398" t="s">
        <v>8019</v>
      </c>
      <c r="I398">
        <f>_xlfn.LET(_xlpm.id,TRIM($A398),IF(_xlpm.id="","",SUM(COUNTIF('1. OP'!$M:$M,_xlpm.id),COUNTIF('2. JSEL'!$M:$M,_xlpm.id),COUNTIF('3. PSM'!$M:$M,_xlpm.id),COUNTIF('4. SSP'!$M:$M,_xlpm.id),COUNTIF('5. JSACI'!$M:$M,_xlpm.id),COUNTIF('6. AIN'!$M:$M,_xlpm.id),COUNTIF('7. MS'!$M:$M,_xlpm.id),COUNTIF('8. DS'!$M:$M,_xlpm.id),COUNTIF('9. RMF'!$M:$M,_xlpm.id),COUNTIF('10. PCU'!$M:$M,_xlpm.id))))</f>
        <v>0</v>
      </c>
    </row>
    <row r="399" spans="1:9">
      <c r="A399" t="s">
        <v>8423</v>
      </c>
      <c r="B399" t="s">
        <v>8399</v>
      </c>
      <c r="C399">
        <v>1838</v>
      </c>
      <c r="D399">
        <v>2</v>
      </c>
      <c r="E399" s="23">
        <v>9</v>
      </c>
      <c r="F399" t="s">
        <v>8265</v>
      </c>
      <c r="G399" t="s">
        <v>10486</v>
      </c>
      <c r="H399" t="s">
        <v>8019</v>
      </c>
      <c r="I399">
        <f>_xlfn.LET(_xlpm.id,TRIM($A399),IF(_xlpm.id="","",SUM(COUNTIF('1. OP'!$M:$M,_xlpm.id),COUNTIF('2. JSEL'!$M:$M,_xlpm.id),COUNTIF('3. PSM'!$M:$M,_xlpm.id),COUNTIF('4. SSP'!$M:$M,_xlpm.id),COUNTIF('5. JSACI'!$M:$M,_xlpm.id),COUNTIF('6. AIN'!$M:$M,_xlpm.id),COUNTIF('7. MS'!$M:$M,_xlpm.id),COUNTIF('8. DS'!$M:$M,_xlpm.id),COUNTIF('9. RMF'!$M:$M,_xlpm.id),COUNTIF('10. PCU'!$M:$M,_xlpm.id))))</f>
        <v>0</v>
      </c>
    </row>
    <row r="400" spans="1:9">
      <c r="A400" t="s">
        <v>8424</v>
      </c>
      <c r="B400" t="s">
        <v>8399</v>
      </c>
      <c r="C400">
        <v>1838</v>
      </c>
      <c r="D400">
        <v>2</v>
      </c>
      <c r="E400" s="23">
        <v>10</v>
      </c>
      <c r="F400" t="s">
        <v>8265</v>
      </c>
      <c r="G400" t="s">
        <v>10486</v>
      </c>
      <c r="H400" t="s">
        <v>8019</v>
      </c>
      <c r="I400">
        <f>_xlfn.LET(_xlpm.id,TRIM($A400),IF(_xlpm.id="","",SUM(COUNTIF('1. OP'!$M:$M,_xlpm.id),COUNTIF('2. JSEL'!$M:$M,_xlpm.id),COUNTIF('3. PSM'!$M:$M,_xlpm.id),COUNTIF('4. SSP'!$M:$M,_xlpm.id),COUNTIF('5. JSACI'!$M:$M,_xlpm.id),COUNTIF('6. AIN'!$M:$M,_xlpm.id),COUNTIF('7. MS'!$M:$M,_xlpm.id),COUNTIF('8. DS'!$M:$M,_xlpm.id),COUNTIF('9. RMF'!$M:$M,_xlpm.id),COUNTIF('10. PCU'!$M:$M,_xlpm.id))))</f>
        <v>0</v>
      </c>
    </row>
    <row r="401" spans="1:9">
      <c r="A401" t="s">
        <v>8425</v>
      </c>
      <c r="B401" t="s">
        <v>8399</v>
      </c>
      <c r="C401">
        <v>1839</v>
      </c>
      <c r="D401">
        <v>2</v>
      </c>
      <c r="E401" s="23">
        <v>11</v>
      </c>
      <c r="F401" t="s">
        <v>8265</v>
      </c>
      <c r="G401" t="s">
        <v>10486</v>
      </c>
      <c r="H401" t="s">
        <v>8019</v>
      </c>
      <c r="I401">
        <f>_xlfn.LET(_xlpm.id,TRIM($A401),IF(_xlpm.id="","",SUM(COUNTIF('1. OP'!$M:$M,_xlpm.id),COUNTIF('2. JSEL'!$M:$M,_xlpm.id),COUNTIF('3. PSM'!$M:$M,_xlpm.id),COUNTIF('4. SSP'!$M:$M,_xlpm.id),COUNTIF('5. JSACI'!$M:$M,_xlpm.id),COUNTIF('6. AIN'!$M:$M,_xlpm.id),COUNTIF('7. MS'!$M:$M,_xlpm.id),COUNTIF('8. DS'!$M:$M,_xlpm.id),COUNTIF('9. RMF'!$M:$M,_xlpm.id),COUNTIF('10. PCU'!$M:$M,_xlpm.id))))</f>
        <v>0</v>
      </c>
    </row>
    <row r="402" spans="1:9">
      <c r="A402" t="s">
        <v>8426</v>
      </c>
      <c r="B402" t="s">
        <v>8399</v>
      </c>
      <c r="C402">
        <v>1839</v>
      </c>
      <c r="D402">
        <v>2</v>
      </c>
      <c r="E402" s="23">
        <v>12</v>
      </c>
      <c r="F402" t="s">
        <v>8265</v>
      </c>
      <c r="G402" t="s">
        <v>10486</v>
      </c>
      <c r="H402" t="s">
        <v>8019</v>
      </c>
      <c r="I402">
        <f>_xlfn.LET(_xlpm.id,TRIM($A402),IF(_xlpm.id="","",SUM(COUNTIF('1. OP'!$M:$M,_xlpm.id),COUNTIF('2. JSEL'!$M:$M,_xlpm.id),COUNTIF('3. PSM'!$M:$M,_xlpm.id),COUNTIF('4. SSP'!$M:$M,_xlpm.id),COUNTIF('5. JSACI'!$M:$M,_xlpm.id),COUNTIF('6. AIN'!$M:$M,_xlpm.id),COUNTIF('7. MS'!$M:$M,_xlpm.id),COUNTIF('8. DS'!$M:$M,_xlpm.id),COUNTIF('9. RMF'!$M:$M,_xlpm.id),COUNTIF('10. PCU'!$M:$M,_xlpm.id))))</f>
        <v>0</v>
      </c>
    </row>
    <row r="403" spans="1:9">
      <c r="A403" t="s">
        <v>8427</v>
      </c>
      <c r="B403" t="s">
        <v>8399</v>
      </c>
      <c r="C403">
        <v>1840</v>
      </c>
      <c r="D403">
        <v>2</v>
      </c>
      <c r="E403" s="23">
        <v>13</v>
      </c>
      <c r="F403" t="s">
        <v>8265</v>
      </c>
      <c r="G403" t="s">
        <v>10486</v>
      </c>
      <c r="H403" t="s">
        <v>8019</v>
      </c>
      <c r="I403">
        <f>_xlfn.LET(_xlpm.id,TRIM($A403),IF(_xlpm.id="","",SUM(COUNTIF('1. OP'!$M:$M,_xlpm.id),COUNTIF('2. JSEL'!$M:$M,_xlpm.id),COUNTIF('3. PSM'!$M:$M,_xlpm.id),COUNTIF('4. SSP'!$M:$M,_xlpm.id),COUNTIF('5. JSACI'!$M:$M,_xlpm.id),COUNTIF('6. AIN'!$M:$M,_xlpm.id),COUNTIF('7. MS'!$M:$M,_xlpm.id),COUNTIF('8. DS'!$M:$M,_xlpm.id),COUNTIF('9. RMF'!$M:$M,_xlpm.id),COUNTIF('10. PCU'!$M:$M,_xlpm.id))))</f>
        <v>0</v>
      </c>
    </row>
    <row r="404" spans="1:9">
      <c r="A404" t="s">
        <v>8428</v>
      </c>
      <c r="B404" t="s">
        <v>8399</v>
      </c>
      <c r="C404">
        <v>1840</v>
      </c>
      <c r="D404">
        <v>2</v>
      </c>
      <c r="E404" s="23">
        <v>14</v>
      </c>
      <c r="F404" t="s">
        <v>8265</v>
      </c>
      <c r="G404" t="s">
        <v>10486</v>
      </c>
      <c r="H404" t="s">
        <v>8019</v>
      </c>
      <c r="I404">
        <f>_xlfn.LET(_xlpm.id,TRIM($A404),IF(_xlpm.id="","",SUM(COUNTIF('1. OP'!$M:$M,_xlpm.id),COUNTIF('2. JSEL'!$M:$M,_xlpm.id),COUNTIF('3. PSM'!$M:$M,_xlpm.id),COUNTIF('4. SSP'!$M:$M,_xlpm.id),COUNTIF('5. JSACI'!$M:$M,_xlpm.id),COUNTIF('6. AIN'!$M:$M,_xlpm.id),COUNTIF('7. MS'!$M:$M,_xlpm.id),COUNTIF('8. DS'!$M:$M,_xlpm.id),COUNTIF('9. RMF'!$M:$M,_xlpm.id),COUNTIF('10. PCU'!$M:$M,_xlpm.id))))</f>
        <v>0</v>
      </c>
    </row>
    <row r="405" spans="1:9">
      <c r="A405" t="s">
        <v>8429</v>
      </c>
      <c r="B405" t="s">
        <v>8430</v>
      </c>
      <c r="C405" t="s">
        <v>8431</v>
      </c>
      <c r="D405">
        <v>1</v>
      </c>
      <c r="E405" s="23" t="s">
        <v>8432</v>
      </c>
      <c r="F405" t="s">
        <v>8265</v>
      </c>
      <c r="G405" t="s">
        <v>10486</v>
      </c>
      <c r="H405" t="s">
        <v>8019</v>
      </c>
      <c r="I405">
        <f>_xlfn.LET(_xlpm.id,TRIM($A405),IF(_xlpm.id="","",SUM(COUNTIF('1. OP'!$M:$M,_xlpm.id),COUNTIF('2. JSEL'!$M:$M,_xlpm.id),COUNTIF('3. PSM'!$M:$M,_xlpm.id),COUNTIF('4. SSP'!$M:$M,_xlpm.id),COUNTIF('5. JSACI'!$M:$M,_xlpm.id),COUNTIF('6. AIN'!$M:$M,_xlpm.id),COUNTIF('7. MS'!$M:$M,_xlpm.id),COUNTIF('8. DS'!$M:$M,_xlpm.id),COUNTIF('9. RMF'!$M:$M,_xlpm.id),COUNTIF('10. PCU'!$M:$M,_xlpm.id))))</f>
        <v>0</v>
      </c>
    </row>
    <row r="406" spans="1:9">
      <c r="A406" t="s">
        <v>8433</v>
      </c>
      <c r="B406" t="s">
        <v>8430</v>
      </c>
      <c r="C406">
        <v>1835</v>
      </c>
      <c r="D406">
        <v>1</v>
      </c>
      <c r="E406" s="23">
        <v>3</v>
      </c>
      <c r="F406" t="s">
        <v>8265</v>
      </c>
      <c r="G406" t="s">
        <v>10486</v>
      </c>
      <c r="H406" t="s">
        <v>8019</v>
      </c>
      <c r="I406">
        <f>_xlfn.LET(_xlpm.id,TRIM($A406),IF(_xlpm.id="","",SUM(COUNTIF('1. OP'!$M:$M,_xlpm.id),COUNTIF('2. JSEL'!$M:$M,_xlpm.id),COUNTIF('3. PSM'!$M:$M,_xlpm.id),COUNTIF('4. SSP'!$M:$M,_xlpm.id),COUNTIF('5. JSACI'!$M:$M,_xlpm.id),COUNTIF('6. AIN'!$M:$M,_xlpm.id),COUNTIF('7. MS'!$M:$M,_xlpm.id),COUNTIF('8. DS'!$M:$M,_xlpm.id),COUNTIF('9. RMF'!$M:$M,_xlpm.id),COUNTIF('10. PCU'!$M:$M,_xlpm.id))))</f>
        <v>0</v>
      </c>
    </row>
    <row r="407" spans="1:9">
      <c r="A407" t="s">
        <v>8434</v>
      </c>
      <c r="B407" t="s">
        <v>8430</v>
      </c>
      <c r="C407">
        <v>1836</v>
      </c>
      <c r="D407">
        <v>1</v>
      </c>
      <c r="E407" s="23">
        <v>4</v>
      </c>
      <c r="F407" t="s">
        <v>8265</v>
      </c>
      <c r="G407" t="s">
        <v>10486</v>
      </c>
      <c r="H407" t="s">
        <v>8019</v>
      </c>
      <c r="I407">
        <f>_xlfn.LET(_xlpm.id,TRIM($A407),IF(_xlpm.id="","",SUM(COUNTIF('1. OP'!$M:$M,_xlpm.id),COUNTIF('2. JSEL'!$M:$M,_xlpm.id),COUNTIF('3. PSM'!$M:$M,_xlpm.id),COUNTIF('4. SSP'!$M:$M,_xlpm.id),COUNTIF('5. JSACI'!$M:$M,_xlpm.id),COUNTIF('6. AIN'!$M:$M,_xlpm.id),COUNTIF('7. MS'!$M:$M,_xlpm.id),COUNTIF('8. DS'!$M:$M,_xlpm.id),COUNTIF('9. RMF'!$M:$M,_xlpm.id),COUNTIF('10. PCU'!$M:$M,_xlpm.id))))</f>
        <v>0</v>
      </c>
    </row>
    <row r="408" spans="1:9">
      <c r="A408" t="s">
        <v>8435</v>
      </c>
      <c r="B408" t="s">
        <v>8430</v>
      </c>
      <c r="C408">
        <v>1837</v>
      </c>
      <c r="D408">
        <v>2</v>
      </c>
      <c r="E408" s="23">
        <v>1</v>
      </c>
      <c r="F408" t="s">
        <v>8265</v>
      </c>
      <c r="G408" t="s">
        <v>10486</v>
      </c>
      <c r="H408" t="s">
        <v>8019</v>
      </c>
      <c r="I408">
        <f>_xlfn.LET(_xlpm.id,TRIM($A408),IF(_xlpm.id="","",SUM(COUNTIF('1. OP'!$M:$M,_xlpm.id),COUNTIF('2. JSEL'!$M:$M,_xlpm.id),COUNTIF('3. PSM'!$M:$M,_xlpm.id),COUNTIF('4. SSP'!$M:$M,_xlpm.id),COUNTIF('5. JSACI'!$M:$M,_xlpm.id),COUNTIF('6. AIN'!$M:$M,_xlpm.id),COUNTIF('7. MS'!$M:$M,_xlpm.id),COUNTIF('8. DS'!$M:$M,_xlpm.id),COUNTIF('9. RMF'!$M:$M,_xlpm.id),COUNTIF('10. PCU'!$M:$M,_xlpm.id))))</f>
        <v>0</v>
      </c>
    </row>
    <row r="409" spans="1:9">
      <c r="A409" t="s">
        <v>8436</v>
      </c>
      <c r="B409" t="s">
        <v>8437</v>
      </c>
      <c r="C409">
        <v>1821</v>
      </c>
      <c r="D409">
        <v>1</v>
      </c>
      <c r="E409" s="23">
        <v>1</v>
      </c>
      <c r="F409" t="s">
        <v>8265</v>
      </c>
      <c r="G409" t="s">
        <v>10487</v>
      </c>
      <c r="H409" t="s">
        <v>10179</v>
      </c>
      <c r="I409">
        <f>_xlfn.LET(_xlpm.id,TRIM($A409),IF(_xlpm.id="","",SUM(COUNTIF('1. OP'!$M:$M,_xlpm.id),COUNTIF('2. JSEL'!$M:$M,_xlpm.id),COUNTIF('3. PSM'!$M:$M,_xlpm.id),COUNTIF('4. SSP'!$M:$M,_xlpm.id),COUNTIF('5. JSACI'!$M:$M,_xlpm.id),COUNTIF('6. AIN'!$M:$M,_xlpm.id),COUNTIF('7. MS'!$M:$M,_xlpm.id),COUNTIF('8. DS'!$M:$M,_xlpm.id),COUNTIF('9. RMF'!$M:$M,_xlpm.id),COUNTIF('10. PCU'!$M:$M,_xlpm.id))))</f>
        <v>0</v>
      </c>
    </row>
    <row r="410" spans="1:9">
      <c r="A410" t="s">
        <v>8438</v>
      </c>
      <c r="B410" t="s">
        <v>8437</v>
      </c>
      <c r="C410">
        <v>1821</v>
      </c>
      <c r="D410">
        <v>1</v>
      </c>
      <c r="E410" s="23">
        <v>2</v>
      </c>
      <c r="F410" t="s">
        <v>8265</v>
      </c>
      <c r="G410" t="s">
        <v>10487</v>
      </c>
      <c r="H410" t="s">
        <v>10179</v>
      </c>
      <c r="I410">
        <f>_xlfn.LET(_xlpm.id,TRIM($A410),IF(_xlpm.id="","",SUM(COUNTIF('1. OP'!$M:$M,_xlpm.id),COUNTIF('2. JSEL'!$M:$M,_xlpm.id),COUNTIF('3. PSM'!$M:$M,_xlpm.id),COUNTIF('4. SSP'!$M:$M,_xlpm.id),COUNTIF('5. JSACI'!$M:$M,_xlpm.id),COUNTIF('6. AIN'!$M:$M,_xlpm.id),COUNTIF('7. MS'!$M:$M,_xlpm.id),COUNTIF('8. DS'!$M:$M,_xlpm.id),COUNTIF('9. RMF'!$M:$M,_xlpm.id),COUNTIF('10. PCU'!$M:$M,_xlpm.id))))</f>
        <v>0</v>
      </c>
    </row>
    <row r="411" spans="1:9">
      <c r="A411" t="s">
        <v>8439</v>
      </c>
      <c r="B411" t="s">
        <v>8437</v>
      </c>
      <c r="C411">
        <v>1822</v>
      </c>
      <c r="D411">
        <v>1</v>
      </c>
      <c r="E411" s="23">
        <v>3</v>
      </c>
      <c r="F411" t="s">
        <v>8265</v>
      </c>
      <c r="G411" t="s">
        <v>10487</v>
      </c>
      <c r="H411" t="s">
        <v>10179</v>
      </c>
      <c r="I411">
        <f>_xlfn.LET(_xlpm.id,TRIM($A411),IF(_xlpm.id="","",SUM(COUNTIF('1. OP'!$M:$M,_xlpm.id),COUNTIF('2. JSEL'!$M:$M,_xlpm.id),COUNTIF('3. PSM'!$M:$M,_xlpm.id),COUNTIF('4. SSP'!$M:$M,_xlpm.id),COUNTIF('5. JSACI'!$M:$M,_xlpm.id),COUNTIF('6. AIN'!$M:$M,_xlpm.id),COUNTIF('7. MS'!$M:$M,_xlpm.id),COUNTIF('8. DS'!$M:$M,_xlpm.id),COUNTIF('9. RMF'!$M:$M,_xlpm.id),COUNTIF('10. PCU'!$M:$M,_xlpm.id))))</f>
        <v>0</v>
      </c>
    </row>
    <row r="412" spans="1:9">
      <c r="A412" t="s">
        <v>8440</v>
      </c>
      <c r="B412" t="s">
        <v>8437</v>
      </c>
      <c r="C412">
        <v>1823</v>
      </c>
      <c r="D412">
        <v>1</v>
      </c>
      <c r="E412" s="23">
        <v>4</v>
      </c>
      <c r="F412" t="s">
        <v>8265</v>
      </c>
      <c r="G412" t="s">
        <v>10487</v>
      </c>
      <c r="H412" t="s">
        <v>10179</v>
      </c>
      <c r="I412">
        <f>_xlfn.LET(_xlpm.id,TRIM($A412),IF(_xlpm.id="","",SUM(COUNTIF('1. OP'!$M:$M,_xlpm.id),COUNTIF('2. JSEL'!$M:$M,_xlpm.id),COUNTIF('3. PSM'!$M:$M,_xlpm.id),COUNTIF('4. SSP'!$M:$M,_xlpm.id),COUNTIF('5. JSACI'!$M:$M,_xlpm.id),COUNTIF('6. AIN'!$M:$M,_xlpm.id),COUNTIF('7. MS'!$M:$M,_xlpm.id),COUNTIF('8. DS'!$M:$M,_xlpm.id),COUNTIF('9. RMF'!$M:$M,_xlpm.id),COUNTIF('10. PCU'!$M:$M,_xlpm.id))))</f>
        <v>0</v>
      </c>
    </row>
    <row r="413" spans="1:9">
      <c r="A413" t="s">
        <v>8441</v>
      </c>
      <c r="B413" t="s">
        <v>8437</v>
      </c>
      <c r="C413">
        <v>1823</v>
      </c>
      <c r="D413">
        <v>1</v>
      </c>
      <c r="E413" s="23">
        <v>5</v>
      </c>
      <c r="F413" t="s">
        <v>8265</v>
      </c>
      <c r="G413" t="s">
        <v>10487</v>
      </c>
      <c r="H413" t="s">
        <v>10179</v>
      </c>
      <c r="I413">
        <f>_xlfn.LET(_xlpm.id,TRIM($A413),IF(_xlpm.id="","",SUM(COUNTIF('1. OP'!$M:$M,_xlpm.id),COUNTIF('2. JSEL'!$M:$M,_xlpm.id),COUNTIF('3. PSM'!$M:$M,_xlpm.id),COUNTIF('4. SSP'!$M:$M,_xlpm.id),COUNTIF('5. JSACI'!$M:$M,_xlpm.id),COUNTIF('6. AIN'!$M:$M,_xlpm.id),COUNTIF('7. MS'!$M:$M,_xlpm.id),COUNTIF('8. DS'!$M:$M,_xlpm.id),COUNTIF('9. RMF'!$M:$M,_xlpm.id),COUNTIF('10. PCU'!$M:$M,_xlpm.id))))</f>
        <v>0</v>
      </c>
    </row>
    <row r="414" spans="1:9">
      <c r="A414" t="s">
        <v>8442</v>
      </c>
      <c r="B414" t="s">
        <v>8437</v>
      </c>
      <c r="C414">
        <v>1824</v>
      </c>
      <c r="D414">
        <v>1</v>
      </c>
      <c r="E414" s="23">
        <v>6</v>
      </c>
      <c r="F414" t="s">
        <v>8265</v>
      </c>
      <c r="G414" t="s">
        <v>10487</v>
      </c>
      <c r="H414" t="s">
        <v>10179</v>
      </c>
      <c r="I414">
        <f>_xlfn.LET(_xlpm.id,TRIM($A414),IF(_xlpm.id="","",SUM(COUNTIF('1. OP'!$M:$M,_xlpm.id),COUNTIF('2. JSEL'!$M:$M,_xlpm.id),COUNTIF('3. PSM'!$M:$M,_xlpm.id),COUNTIF('4. SSP'!$M:$M,_xlpm.id),COUNTIF('5. JSACI'!$M:$M,_xlpm.id),COUNTIF('6. AIN'!$M:$M,_xlpm.id),COUNTIF('7. MS'!$M:$M,_xlpm.id),COUNTIF('8. DS'!$M:$M,_xlpm.id),COUNTIF('9. RMF'!$M:$M,_xlpm.id),COUNTIF('10. PCU'!$M:$M,_xlpm.id))))</f>
        <v>0</v>
      </c>
    </row>
    <row r="415" spans="1:9">
      <c r="A415" t="s">
        <v>8443</v>
      </c>
      <c r="B415" t="s">
        <v>8437</v>
      </c>
      <c r="C415">
        <v>1825</v>
      </c>
      <c r="D415">
        <v>1</v>
      </c>
      <c r="E415" s="23">
        <v>7</v>
      </c>
      <c r="F415" t="s">
        <v>8265</v>
      </c>
      <c r="G415" t="s">
        <v>10487</v>
      </c>
      <c r="H415" t="s">
        <v>10179</v>
      </c>
      <c r="I415">
        <f>_xlfn.LET(_xlpm.id,TRIM($A415),IF(_xlpm.id="","",SUM(COUNTIF('1. OP'!$M:$M,_xlpm.id),COUNTIF('2. JSEL'!$M:$M,_xlpm.id),COUNTIF('3. PSM'!$M:$M,_xlpm.id),COUNTIF('4. SSP'!$M:$M,_xlpm.id),COUNTIF('5. JSACI'!$M:$M,_xlpm.id),COUNTIF('6. AIN'!$M:$M,_xlpm.id),COUNTIF('7. MS'!$M:$M,_xlpm.id),COUNTIF('8. DS'!$M:$M,_xlpm.id),COUNTIF('9. RMF'!$M:$M,_xlpm.id),COUNTIF('10. PCU'!$M:$M,_xlpm.id))))</f>
        <v>0</v>
      </c>
    </row>
    <row r="416" spans="1:9">
      <c r="A416" t="s">
        <v>8444</v>
      </c>
      <c r="B416" t="s">
        <v>8437</v>
      </c>
      <c r="C416">
        <v>1826</v>
      </c>
      <c r="D416">
        <v>1</v>
      </c>
      <c r="E416" s="23">
        <v>8</v>
      </c>
      <c r="F416" t="s">
        <v>8265</v>
      </c>
      <c r="G416" t="s">
        <v>10487</v>
      </c>
      <c r="H416" t="s">
        <v>10179</v>
      </c>
      <c r="I416">
        <f>_xlfn.LET(_xlpm.id,TRIM($A416),IF(_xlpm.id="","",SUM(COUNTIF('1. OP'!$M:$M,_xlpm.id),COUNTIF('2. JSEL'!$M:$M,_xlpm.id),COUNTIF('3. PSM'!$M:$M,_xlpm.id),COUNTIF('4. SSP'!$M:$M,_xlpm.id),COUNTIF('5. JSACI'!$M:$M,_xlpm.id),COUNTIF('6. AIN'!$M:$M,_xlpm.id),COUNTIF('7. MS'!$M:$M,_xlpm.id),COUNTIF('8. DS'!$M:$M,_xlpm.id),COUNTIF('9. RMF'!$M:$M,_xlpm.id),COUNTIF('10. PCU'!$M:$M,_xlpm.id))))</f>
        <v>0</v>
      </c>
    </row>
    <row r="417" spans="1:9">
      <c r="A417" t="s">
        <v>8445</v>
      </c>
      <c r="B417" t="s">
        <v>8437</v>
      </c>
      <c r="C417">
        <v>1827</v>
      </c>
      <c r="D417">
        <v>1</v>
      </c>
      <c r="E417" s="23">
        <v>9</v>
      </c>
      <c r="F417" t="s">
        <v>8265</v>
      </c>
      <c r="G417" t="s">
        <v>10487</v>
      </c>
      <c r="H417" t="s">
        <v>10179</v>
      </c>
      <c r="I417">
        <f>_xlfn.LET(_xlpm.id,TRIM($A417),IF(_xlpm.id="","",SUM(COUNTIF('1. OP'!$M:$M,_xlpm.id),COUNTIF('2. JSEL'!$M:$M,_xlpm.id),COUNTIF('3. PSM'!$M:$M,_xlpm.id),COUNTIF('4. SSP'!$M:$M,_xlpm.id),COUNTIF('5. JSACI'!$M:$M,_xlpm.id),COUNTIF('6. AIN'!$M:$M,_xlpm.id),COUNTIF('7. MS'!$M:$M,_xlpm.id),COUNTIF('8. DS'!$M:$M,_xlpm.id),COUNTIF('9. RMF'!$M:$M,_xlpm.id),COUNTIF('10. PCU'!$M:$M,_xlpm.id))))</f>
        <v>0</v>
      </c>
    </row>
    <row r="418" spans="1:9">
      <c r="A418" t="s">
        <v>8446</v>
      </c>
      <c r="B418" t="s">
        <v>8437</v>
      </c>
      <c r="C418">
        <v>1828</v>
      </c>
      <c r="D418">
        <v>1</v>
      </c>
      <c r="E418" s="23">
        <v>10</v>
      </c>
      <c r="F418" t="s">
        <v>8265</v>
      </c>
      <c r="G418" t="s">
        <v>10487</v>
      </c>
      <c r="H418" t="s">
        <v>10179</v>
      </c>
      <c r="I418">
        <f>_xlfn.LET(_xlpm.id,TRIM($A418),IF(_xlpm.id="","",SUM(COUNTIF('1. OP'!$M:$M,_xlpm.id),COUNTIF('2. JSEL'!$M:$M,_xlpm.id),COUNTIF('3. PSM'!$M:$M,_xlpm.id),COUNTIF('4. SSP'!$M:$M,_xlpm.id),COUNTIF('5. JSACI'!$M:$M,_xlpm.id),COUNTIF('6. AIN'!$M:$M,_xlpm.id),COUNTIF('7. MS'!$M:$M,_xlpm.id),COUNTIF('8. DS'!$M:$M,_xlpm.id),COUNTIF('9. RMF'!$M:$M,_xlpm.id),COUNTIF('10. PCU'!$M:$M,_xlpm.id))))</f>
        <v>0</v>
      </c>
    </row>
    <row r="419" spans="1:9">
      <c r="A419" t="s">
        <v>8447</v>
      </c>
      <c r="B419" t="s">
        <v>8437</v>
      </c>
      <c r="C419">
        <v>1830</v>
      </c>
      <c r="D419">
        <v>1</v>
      </c>
      <c r="E419" s="23">
        <v>12</v>
      </c>
      <c r="F419" t="s">
        <v>8265</v>
      </c>
      <c r="G419" t="s">
        <v>10487</v>
      </c>
      <c r="H419" t="s">
        <v>10179</v>
      </c>
      <c r="I419">
        <f>_xlfn.LET(_xlpm.id,TRIM($A419),IF(_xlpm.id="","",SUM(COUNTIF('1. OP'!$M:$M,_xlpm.id),COUNTIF('2. JSEL'!$M:$M,_xlpm.id),COUNTIF('3. PSM'!$M:$M,_xlpm.id),COUNTIF('4. SSP'!$M:$M,_xlpm.id),COUNTIF('5. JSACI'!$M:$M,_xlpm.id),COUNTIF('6. AIN'!$M:$M,_xlpm.id),COUNTIF('7. MS'!$M:$M,_xlpm.id),COUNTIF('8. DS'!$M:$M,_xlpm.id),COUNTIF('9. RMF'!$M:$M,_xlpm.id),COUNTIF('10. PCU'!$M:$M,_xlpm.id))))</f>
        <v>0</v>
      </c>
    </row>
    <row r="420" spans="1:9">
      <c r="A420" t="s">
        <v>8448</v>
      </c>
      <c r="B420" t="s">
        <v>8437</v>
      </c>
      <c r="C420">
        <v>1834</v>
      </c>
      <c r="D420">
        <v>1</v>
      </c>
      <c r="E420" s="23">
        <v>15</v>
      </c>
      <c r="F420" t="s">
        <v>8265</v>
      </c>
      <c r="G420" t="s">
        <v>10487</v>
      </c>
      <c r="H420" t="s">
        <v>10179</v>
      </c>
      <c r="I420">
        <f>_xlfn.LET(_xlpm.id,TRIM($A420),IF(_xlpm.id="","",SUM(COUNTIF('1. OP'!$M:$M,_xlpm.id),COUNTIF('2. JSEL'!$M:$M,_xlpm.id),COUNTIF('3. PSM'!$M:$M,_xlpm.id),COUNTIF('4. SSP'!$M:$M,_xlpm.id),COUNTIF('5. JSACI'!$M:$M,_xlpm.id),COUNTIF('6. AIN'!$M:$M,_xlpm.id),COUNTIF('7. MS'!$M:$M,_xlpm.id),COUNTIF('8. DS'!$M:$M,_xlpm.id),COUNTIF('9. RMF'!$M:$M,_xlpm.id),COUNTIF('10. PCU'!$M:$M,_xlpm.id))))</f>
        <v>0</v>
      </c>
    </row>
    <row r="421" spans="1:9">
      <c r="A421" t="s">
        <v>8449</v>
      </c>
      <c r="B421" t="s">
        <v>8450</v>
      </c>
      <c r="C421">
        <v>1828</v>
      </c>
      <c r="D421">
        <v>1</v>
      </c>
      <c r="E421" s="23">
        <v>1</v>
      </c>
      <c r="F421" t="s">
        <v>8265</v>
      </c>
      <c r="G421" t="s">
        <v>10486</v>
      </c>
      <c r="H421" t="s">
        <v>8019</v>
      </c>
      <c r="I421">
        <f>_xlfn.LET(_xlpm.id,TRIM($A421),IF(_xlpm.id="","",SUM(COUNTIF('1. OP'!$M:$M,_xlpm.id),COUNTIF('2. JSEL'!$M:$M,_xlpm.id),COUNTIF('3. PSM'!$M:$M,_xlpm.id),COUNTIF('4. SSP'!$M:$M,_xlpm.id),COUNTIF('5. JSACI'!$M:$M,_xlpm.id),COUNTIF('6. AIN'!$M:$M,_xlpm.id),COUNTIF('7. MS'!$M:$M,_xlpm.id),COUNTIF('8. DS'!$M:$M,_xlpm.id),COUNTIF('9. RMF'!$M:$M,_xlpm.id),COUNTIF('10. PCU'!$M:$M,_xlpm.id))))</f>
        <v>0</v>
      </c>
    </row>
    <row r="422" spans="1:9">
      <c r="A422" t="s">
        <v>8451</v>
      </c>
      <c r="B422" t="s">
        <v>8450</v>
      </c>
      <c r="C422">
        <v>1829</v>
      </c>
      <c r="D422">
        <v>1</v>
      </c>
      <c r="E422" s="23">
        <v>2</v>
      </c>
      <c r="F422" t="s">
        <v>8265</v>
      </c>
      <c r="G422" t="s">
        <v>10486</v>
      </c>
      <c r="H422" t="s">
        <v>8019</v>
      </c>
      <c r="I422">
        <f>_xlfn.LET(_xlpm.id,TRIM($A422),IF(_xlpm.id="","",SUM(COUNTIF('1. OP'!$M:$M,_xlpm.id),COUNTIF('2. JSEL'!$M:$M,_xlpm.id),COUNTIF('3. PSM'!$M:$M,_xlpm.id),COUNTIF('4. SSP'!$M:$M,_xlpm.id),COUNTIF('5. JSACI'!$M:$M,_xlpm.id),COUNTIF('6. AIN'!$M:$M,_xlpm.id),COUNTIF('7. MS'!$M:$M,_xlpm.id),COUNTIF('8. DS'!$M:$M,_xlpm.id),COUNTIF('9. RMF'!$M:$M,_xlpm.id),COUNTIF('10. PCU'!$M:$M,_xlpm.id))))</f>
        <v>0</v>
      </c>
    </row>
    <row r="423" spans="1:9">
      <c r="A423" t="s">
        <v>8452</v>
      </c>
      <c r="B423" t="s">
        <v>8450</v>
      </c>
      <c r="C423">
        <v>1830</v>
      </c>
      <c r="D423">
        <v>1</v>
      </c>
      <c r="E423" s="23">
        <v>3</v>
      </c>
      <c r="F423" t="s">
        <v>8265</v>
      </c>
      <c r="G423" t="s">
        <v>10486</v>
      </c>
      <c r="H423" t="s">
        <v>8019</v>
      </c>
      <c r="I423">
        <f>_xlfn.LET(_xlpm.id,TRIM($A423),IF(_xlpm.id="","",SUM(COUNTIF('1. OP'!$M:$M,_xlpm.id),COUNTIF('2. JSEL'!$M:$M,_xlpm.id),COUNTIF('3. PSM'!$M:$M,_xlpm.id),COUNTIF('4. SSP'!$M:$M,_xlpm.id),COUNTIF('5. JSACI'!$M:$M,_xlpm.id),COUNTIF('6. AIN'!$M:$M,_xlpm.id),COUNTIF('7. MS'!$M:$M,_xlpm.id),COUNTIF('8. DS'!$M:$M,_xlpm.id),COUNTIF('9. RMF'!$M:$M,_xlpm.id),COUNTIF('10. PCU'!$M:$M,_xlpm.id))))</f>
        <v>0</v>
      </c>
    </row>
    <row r="424" spans="1:9">
      <c r="A424" t="s">
        <v>8453</v>
      </c>
      <c r="B424" t="s">
        <v>8450</v>
      </c>
      <c r="C424">
        <v>1831</v>
      </c>
      <c r="D424">
        <v>1</v>
      </c>
      <c r="E424" s="23">
        <v>4</v>
      </c>
      <c r="F424" t="s">
        <v>8265</v>
      </c>
      <c r="G424" t="s">
        <v>10486</v>
      </c>
      <c r="H424" t="s">
        <v>8019</v>
      </c>
      <c r="I424">
        <f>_xlfn.LET(_xlpm.id,TRIM($A424),IF(_xlpm.id="","",SUM(COUNTIF('1. OP'!$M:$M,_xlpm.id),COUNTIF('2. JSEL'!$M:$M,_xlpm.id),COUNTIF('3. PSM'!$M:$M,_xlpm.id),COUNTIF('4. SSP'!$M:$M,_xlpm.id),COUNTIF('5. JSACI'!$M:$M,_xlpm.id),COUNTIF('6. AIN'!$M:$M,_xlpm.id),COUNTIF('7. MS'!$M:$M,_xlpm.id),COUNTIF('8. DS'!$M:$M,_xlpm.id),COUNTIF('9. RMF'!$M:$M,_xlpm.id),COUNTIF('10. PCU'!$M:$M,_xlpm.id))))</f>
        <v>0</v>
      </c>
    </row>
    <row r="425" spans="1:9">
      <c r="A425" t="s">
        <v>5355</v>
      </c>
      <c r="B425" t="s">
        <v>8450</v>
      </c>
      <c r="C425">
        <v>1832</v>
      </c>
      <c r="D425">
        <v>1</v>
      </c>
      <c r="E425" s="23">
        <v>5</v>
      </c>
      <c r="F425" t="s">
        <v>8265</v>
      </c>
      <c r="G425" t="s">
        <v>10486</v>
      </c>
      <c r="H425" t="s">
        <v>8019</v>
      </c>
      <c r="I425">
        <f>_xlfn.LET(_xlpm.id,TRIM($A425),IF(_xlpm.id="","",SUM(COUNTIF('1. OP'!$M:$M,_xlpm.id),COUNTIF('2. JSEL'!$M:$M,_xlpm.id),COUNTIF('3. PSM'!$M:$M,_xlpm.id),COUNTIF('4. SSP'!$M:$M,_xlpm.id),COUNTIF('5. JSACI'!$M:$M,_xlpm.id),COUNTIF('6. AIN'!$M:$M,_xlpm.id),COUNTIF('7. MS'!$M:$M,_xlpm.id),COUNTIF('8. DS'!$M:$M,_xlpm.id),COUNTIF('9. RMF'!$M:$M,_xlpm.id),COUNTIF('10. PCU'!$M:$M,_xlpm.id))))</f>
        <v>5</v>
      </c>
    </row>
    <row r="426" spans="1:9">
      <c r="A426" t="s">
        <v>5354</v>
      </c>
      <c r="B426" t="s">
        <v>8450</v>
      </c>
      <c r="C426">
        <v>1833</v>
      </c>
      <c r="D426">
        <v>1</v>
      </c>
      <c r="E426" s="23">
        <v>6</v>
      </c>
      <c r="F426" t="s">
        <v>8265</v>
      </c>
      <c r="G426" t="s">
        <v>10486</v>
      </c>
      <c r="H426" t="s">
        <v>8019</v>
      </c>
      <c r="I426">
        <f>_xlfn.LET(_xlpm.id,TRIM($A426),IF(_xlpm.id="","",SUM(COUNTIF('1. OP'!$M:$M,_xlpm.id),COUNTIF('2. JSEL'!$M:$M,_xlpm.id),COUNTIF('3. PSM'!$M:$M,_xlpm.id),COUNTIF('4. SSP'!$M:$M,_xlpm.id),COUNTIF('5. JSACI'!$M:$M,_xlpm.id),COUNTIF('6. AIN'!$M:$M,_xlpm.id),COUNTIF('7. MS'!$M:$M,_xlpm.id),COUNTIF('8. DS'!$M:$M,_xlpm.id),COUNTIF('9. RMF'!$M:$M,_xlpm.id),COUNTIF('10. PCU'!$M:$M,_xlpm.id))))</f>
        <v>2</v>
      </c>
    </row>
    <row r="427" spans="1:9">
      <c r="A427" t="s">
        <v>8454</v>
      </c>
      <c r="B427" t="s">
        <v>8450</v>
      </c>
      <c r="C427">
        <v>1834</v>
      </c>
      <c r="D427">
        <v>1</v>
      </c>
      <c r="E427" s="23">
        <v>7</v>
      </c>
      <c r="F427" t="s">
        <v>8265</v>
      </c>
      <c r="G427" t="s">
        <v>10486</v>
      </c>
      <c r="H427" t="s">
        <v>8019</v>
      </c>
      <c r="I427">
        <f>_xlfn.LET(_xlpm.id,TRIM($A427),IF(_xlpm.id="","",SUM(COUNTIF('1. OP'!$M:$M,_xlpm.id),COUNTIF('2. JSEL'!$M:$M,_xlpm.id),COUNTIF('3. PSM'!$M:$M,_xlpm.id),COUNTIF('4. SSP'!$M:$M,_xlpm.id),COUNTIF('5. JSACI'!$M:$M,_xlpm.id),COUNTIF('6. AIN'!$M:$M,_xlpm.id),COUNTIF('7. MS'!$M:$M,_xlpm.id),COUNTIF('8. DS'!$M:$M,_xlpm.id),COUNTIF('9. RMF'!$M:$M,_xlpm.id),COUNTIF('10. PCU'!$M:$M,_xlpm.id))))</f>
        <v>0</v>
      </c>
    </row>
    <row r="428" spans="1:9">
      <c r="A428" t="s">
        <v>8455</v>
      </c>
      <c r="B428" t="s">
        <v>8450</v>
      </c>
      <c r="C428">
        <v>1835</v>
      </c>
      <c r="D428">
        <v>1</v>
      </c>
      <c r="E428" s="23">
        <v>8</v>
      </c>
      <c r="F428" t="s">
        <v>8265</v>
      </c>
      <c r="G428" t="s">
        <v>10486</v>
      </c>
      <c r="H428" t="s">
        <v>8019</v>
      </c>
      <c r="I428">
        <f>_xlfn.LET(_xlpm.id,TRIM($A428),IF(_xlpm.id="","",SUM(COUNTIF('1. OP'!$M:$M,_xlpm.id),COUNTIF('2. JSEL'!$M:$M,_xlpm.id),COUNTIF('3. PSM'!$M:$M,_xlpm.id),COUNTIF('4. SSP'!$M:$M,_xlpm.id),COUNTIF('5. JSACI'!$M:$M,_xlpm.id),COUNTIF('6. AIN'!$M:$M,_xlpm.id),COUNTIF('7. MS'!$M:$M,_xlpm.id),COUNTIF('8. DS'!$M:$M,_xlpm.id),COUNTIF('9. RMF'!$M:$M,_xlpm.id),COUNTIF('10. PCU'!$M:$M,_xlpm.id))))</f>
        <v>0</v>
      </c>
    </row>
    <row r="429" spans="1:9">
      <c r="A429" t="s">
        <v>6537</v>
      </c>
      <c r="B429" t="s">
        <v>8450</v>
      </c>
      <c r="C429">
        <v>1836</v>
      </c>
      <c r="D429">
        <v>1</v>
      </c>
      <c r="E429" s="23">
        <v>9</v>
      </c>
      <c r="F429" t="s">
        <v>8265</v>
      </c>
      <c r="G429" t="s">
        <v>10486</v>
      </c>
      <c r="H429" t="s">
        <v>8019</v>
      </c>
      <c r="I429">
        <f>_xlfn.LET(_xlpm.id,TRIM($A429),IF(_xlpm.id="","",SUM(COUNTIF('1. OP'!$M:$M,_xlpm.id),COUNTIF('2. JSEL'!$M:$M,_xlpm.id),COUNTIF('3. PSM'!$M:$M,_xlpm.id),COUNTIF('4. SSP'!$M:$M,_xlpm.id),COUNTIF('5. JSACI'!$M:$M,_xlpm.id),COUNTIF('6. AIN'!$M:$M,_xlpm.id),COUNTIF('7. MS'!$M:$M,_xlpm.id),COUNTIF('8. DS'!$M:$M,_xlpm.id),COUNTIF('9. RMF'!$M:$M,_xlpm.id),COUNTIF('10. PCU'!$M:$M,_xlpm.id))))</f>
        <v>4</v>
      </c>
    </row>
    <row r="430" spans="1:9">
      <c r="A430" t="s">
        <v>6538</v>
      </c>
      <c r="B430" t="s">
        <v>8450</v>
      </c>
      <c r="C430">
        <v>1837</v>
      </c>
      <c r="D430">
        <v>1</v>
      </c>
      <c r="E430" s="23">
        <v>10</v>
      </c>
      <c r="F430" t="s">
        <v>8265</v>
      </c>
      <c r="G430" t="s">
        <v>10486</v>
      </c>
      <c r="H430" t="s">
        <v>8019</v>
      </c>
      <c r="I430">
        <f>_xlfn.LET(_xlpm.id,TRIM($A430),IF(_xlpm.id="","",SUM(COUNTIF('1. OP'!$M:$M,_xlpm.id),COUNTIF('2. JSEL'!$M:$M,_xlpm.id),COUNTIF('3. PSM'!$M:$M,_xlpm.id),COUNTIF('4. SSP'!$M:$M,_xlpm.id),COUNTIF('5. JSACI'!$M:$M,_xlpm.id),COUNTIF('6. AIN'!$M:$M,_xlpm.id),COUNTIF('7. MS'!$M:$M,_xlpm.id),COUNTIF('8. DS'!$M:$M,_xlpm.id),COUNTIF('9. RMF'!$M:$M,_xlpm.id),COUNTIF('10. PCU'!$M:$M,_xlpm.id))))</f>
        <v>1</v>
      </c>
    </row>
    <row r="431" spans="1:9">
      <c r="A431" t="s">
        <v>8456</v>
      </c>
      <c r="B431" t="s">
        <v>8450</v>
      </c>
      <c r="C431">
        <v>1838</v>
      </c>
      <c r="D431">
        <v>1</v>
      </c>
      <c r="E431" s="23">
        <v>11</v>
      </c>
      <c r="F431" t="s">
        <v>8265</v>
      </c>
      <c r="G431" t="s">
        <v>10486</v>
      </c>
      <c r="H431" t="s">
        <v>8019</v>
      </c>
      <c r="I431">
        <f>_xlfn.LET(_xlpm.id,TRIM($A431),IF(_xlpm.id="","",SUM(COUNTIF('1. OP'!$M:$M,_xlpm.id),COUNTIF('2. JSEL'!$M:$M,_xlpm.id),COUNTIF('3. PSM'!$M:$M,_xlpm.id),COUNTIF('4. SSP'!$M:$M,_xlpm.id),COUNTIF('5. JSACI'!$M:$M,_xlpm.id),COUNTIF('6. AIN'!$M:$M,_xlpm.id),COUNTIF('7. MS'!$M:$M,_xlpm.id),COUNTIF('8. DS'!$M:$M,_xlpm.id),COUNTIF('9. RMF'!$M:$M,_xlpm.id),COUNTIF('10. PCU'!$M:$M,_xlpm.id))))</f>
        <v>0</v>
      </c>
    </row>
    <row r="432" spans="1:9">
      <c r="A432" t="s">
        <v>8457</v>
      </c>
      <c r="B432" t="s">
        <v>8450</v>
      </c>
      <c r="C432">
        <v>1839</v>
      </c>
      <c r="D432">
        <v>1</v>
      </c>
      <c r="E432" s="23">
        <v>12</v>
      </c>
      <c r="F432" t="s">
        <v>8265</v>
      </c>
      <c r="G432" t="s">
        <v>10486</v>
      </c>
      <c r="H432" t="s">
        <v>8019</v>
      </c>
      <c r="I432">
        <f>_xlfn.LET(_xlpm.id,TRIM($A432),IF(_xlpm.id="","",SUM(COUNTIF('1. OP'!$M:$M,_xlpm.id),COUNTIF('2. JSEL'!$M:$M,_xlpm.id),COUNTIF('3. PSM'!$M:$M,_xlpm.id),COUNTIF('4. SSP'!$M:$M,_xlpm.id),COUNTIF('5. JSACI'!$M:$M,_xlpm.id),COUNTIF('6. AIN'!$M:$M,_xlpm.id),COUNTIF('7. MS'!$M:$M,_xlpm.id),COUNTIF('8. DS'!$M:$M,_xlpm.id),COUNTIF('9. RMF'!$M:$M,_xlpm.id),COUNTIF('10. PCU'!$M:$M,_xlpm.id))))</f>
        <v>0</v>
      </c>
    </row>
    <row r="433" spans="1:9">
      <c r="A433" t="s">
        <v>8458</v>
      </c>
      <c r="B433" t="s">
        <v>8460</v>
      </c>
      <c r="C433">
        <v>1818</v>
      </c>
      <c r="D433">
        <v>1</v>
      </c>
      <c r="E433" s="23">
        <v>1</v>
      </c>
      <c r="F433" t="s">
        <v>8459</v>
      </c>
      <c r="G433" t="s">
        <v>10484</v>
      </c>
      <c r="H433" t="s">
        <v>8021</v>
      </c>
      <c r="I433">
        <f>_xlfn.LET(_xlpm.id,TRIM($A433),IF(_xlpm.id="","",SUM(COUNTIF('1. OP'!$M:$M,_xlpm.id),COUNTIF('2. JSEL'!$M:$M,_xlpm.id),COUNTIF('3. PSM'!$M:$M,_xlpm.id),COUNTIF('4. SSP'!$M:$M,_xlpm.id),COUNTIF('5. JSACI'!$M:$M,_xlpm.id),COUNTIF('6. AIN'!$M:$M,_xlpm.id),COUNTIF('7. MS'!$M:$M,_xlpm.id),COUNTIF('8. DS'!$M:$M,_xlpm.id),COUNTIF('9. RMF'!$M:$M,_xlpm.id),COUNTIF('10. PCU'!$M:$M,_xlpm.id))))</f>
        <v>0</v>
      </c>
    </row>
    <row r="434" spans="1:9">
      <c r="A434" t="s">
        <v>8461</v>
      </c>
      <c r="B434" t="s">
        <v>8460</v>
      </c>
      <c r="C434">
        <v>1818</v>
      </c>
      <c r="D434">
        <v>1</v>
      </c>
      <c r="E434" s="23">
        <v>2</v>
      </c>
      <c r="F434" t="s">
        <v>8459</v>
      </c>
      <c r="G434" t="s">
        <v>10484</v>
      </c>
      <c r="H434" t="s">
        <v>8021</v>
      </c>
      <c r="I434">
        <f>_xlfn.LET(_xlpm.id,TRIM($A434),IF(_xlpm.id="","",SUM(COUNTIF('1. OP'!$M:$M,_xlpm.id),COUNTIF('2. JSEL'!$M:$M,_xlpm.id),COUNTIF('3. PSM'!$M:$M,_xlpm.id),COUNTIF('4. SSP'!$M:$M,_xlpm.id),COUNTIF('5. JSACI'!$M:$M,_xlpm.id),COUNTIF('6. AIN'!$M:$M,_xlpm.id),COUNTIF('7. MS'!$M:$M,_xlpm.id),COUNTIF('8. DS'!$M:$M,_xlpm.id),COUNTIF('9. RMF'!$M:$M,_xlpm.id),COUNTIF('10. PCU'!$M:$M,_xlpm.id))))</f>
        <v>0</v>
      </c>
    </row>
    <row r="435" spans="1:9">
      <c r="A435" t="s">
        <v>5223</v>
      </c>
      <c r="B435" t="s">
        <v>8460</v>
      </c>
      <c r="C435">
        <v>1819</v>
      </c>
      <c r="D435">
        <v>1</v>
      </c>
      <c r="E435" s="23">
        <v>3</v>
      </c>
      <c r="F435" t="s">
        <v>8459</v>
      </c>
      <c r="G435" t="s">
        <v>10484</v>
      </c>
      <c r="H435" t="s">
        <v>8021</v>
      </c>
      <c r="I435">
        <f>_xlfn.LET(_xlpm.id,TRIM($A435),IF(_xlpm.id="","",SUM(COUNTIF('1. OP'!$M:$M,_xlpm.id),COUNTIF('2. JSEL'!$M:$M,_xlpm.id),COUNTIF('3. PSM'!$M:$M,_xlpm.id),COUNTIF('4. SSP'!$M:$M,_xlpm.id),COUNTIF('5. JSACI'!$M:$M,_xlpm.id),COUNTIF('6. AIN'!$M:$M,_xlpm.id),COUNTIF('7. MS'!$M:$M,_xlpm.id),COUNTIF('8. DS'!$M:$M,_xlpm.id),COUNTIF('9. RMF'!$M:$M,_xlpm.id),COUNTIF('10. PCU'!$M:$M,_xlpm.id))))</f>
        <v>5</v>
      </c>
    </row>
    <row r="436" spans="1:9">
      <c r="A436" t="s">
        <v>5148</v>
      </c>
      <c r="B436" t="s">
        <v>8460</v>
      </c>
      <c r="C436">
        <v>1819</v>
      </c>
      <c r="D436">
        <v>1</v>
      </c>
      <c r="E436" s="23">
        <v>4</v>
      </c>
      <c r="F436" t="s">
        <v>8459</v>
      </c>
      <c r="G436" t="s">
        <v>10484</v>
      </c>
      <c r="H436" t="s">
        <v>8021</v>
      </c>
      <c r="I436">
        <f>_xlfn.LET(_xlpm.id,TRIM($A436),IF(_xlpm.id="","",SUM(COUNTIF('1. OP'!$M:$M,_xlpm.id),COUNTIF('2. JSEL'!$M:$M,_xlpm.id),COUNTIF('3. PSM'!$M:$M,_xlpm.id),COUNTIF('4. SSP'!$M:$M,_xlpm.id),COUNTIF('5. JSACI'!$M:$M,_xlpm.id),COUNTIF('6. AIN'!$M:$M,_xlpm.id),COUNTIF('7. MS'!$M:$M,_xlpm.id),COUNTIF('8. DS'!$M:$M,_xlpm.id),COUNTIF('9. RMF'!$M:$M,_xlpm.id),COUNTIF('10. PCU'!$M:$M,_xlpm.id))))</f>
        <v>1</v>
      </c>
    </row>
    <row r="437" spans="1:9">
      <c r="A437" t="s">
        <v>8462</v>
      </c>
      <c r="B437" t="s">
        <v>8460</v>
      </c>
      <c r="C437">
        <v>1819</v>
      </c>
      <c r="D437">
        <v>1</v>
      </c>
      <c r="E437" s="23">
        <v>6</v>
      </c>
      <c r="F437" t="s">
        <v>8459</v>
      </c>
      <c r="G437" t="s">
        <v>10484</v>
      </c>
      <c r="H437" t="s">
        <v>8021</v>
      </c>
      <c r="I437">
        <f>_xlfn.LET(_xlpm.id,TRIM($A437),IF(_xlpm.id="","",SUM(COUNTIF('1. OP'!$M:$M,_xlpm.id),COUNTIF('2. JSEL'!$M:$M,_xlpm.id),COUNTIF('3. PSM'!$M:$M,_xlpm.id),COUNTIF('4. SSP'!$M:$M,_xlpm.id),COUNTIF('5. JSACI'!$M:$M,_xlpm.id),COUNTIF('6. AIN'!$M:$M,_xlpm.id),COUNTIF('7. MS'!$M:$M,_xlpm.id),COUNTIF('8. DS'!$M:$M,_xlpm.id),COUNTIF('9. RMF'!$M:$M,_xlpm.id),COUNTIF('10. PCU'!$M:$M,_xlpm.id))))</f>
        <v>0</v>
      </c>
    </row>
    <row r="438" spans="1:9">
      <c r="A438" t="s">
        <v>8463</v>
      </c>
      <c r="B438" t="s">
        <v>8460</v>
      </c>
      <c r="C438">
        <v>1820</v>
      </c>
      <c r="D438">
        <v>1</v>
      </c>
      <c r="E438" s="23">
        <v>7</v>
      </c>
      <c r="F438" t="s">
        <v>8459</v>
      </c>
      <c r="G438" t="s">
        <v>10484</v>
      </c>
      <c r="H438" t="s">
        <v>8021</v>
      </c>
      <c r="I438">
        <f>_xlfn.LET(_xlpm.id,TRIM($A438),IF(_xlpm.id="","",SUM(COUNTIF('1. OP'!$M:$M,_xlpm.id),COUNTIF('2. JSEL'!$M:$M,_xlpm.id),COUNTIF('3. PSM'!$M:$M,_xlpm.id),COUNTIF('4. SSP'!$M:$M,_xlpm.id),COUNTIF('5. JSACI'!$M:$M,_xlpm.id),COUNTIF('6. AIN'!$M:$M,_xlpm.id),COUNTIF('7. MS'!$M:$M,_xlpm.id),COUNTIF('8. DS'!$M:$M,_xlpm.id),COUNTIF('9. RMF'!$M:$M,_xlpm.id),COUNTIF('10. PCU'!$M:$M,_xlpm.id))))</f>
        <v>0</v>
      </c>
    </row>
    <row r="439" spans="1:9">
      <c r="A439" t="s">
        <v>8464</v>
      </c>
      <c r="B439" t="s">
        <v>8460</v>
      </c>
      <c r="C439">
        <v>1820</v>
      </c>
      <c r="D439">
        <v>1</v>
      </c>
      <c r="E439" s="23">
        <v>8</v>
      </c>
      <c r="F439" t="s">
        <v>8459</v>
      </c>
      <c r="G439" t="s">
        <v>10484</v>
      </c>
      <c r="H439" t="s">
        <v>8021</v>
      </c>
      <c r="I439">
        <f>_xlfn.LET(_xlpm.id,TRIM($A439),IF(_xlpm.id="","",SUM(COUNTIF('1. OP'!$M:$M,_xlpm.id),COUNTIF('2. JSEL'!$M:$M,_xlpm.id),COUNTIF('3. PSM'!$M:$M,_xlpm.id),COUNTIF('4. SSP'!$M:$M,_xlpm.id),COUNTIF('5. JSACI'!$M:$M,_xlpm.id),COUNTIF('6. AIN'!$M:$M,_xlpm.id),COUNTIF('7. MS'!$M:$M,_xlpm.id),COUNTIF('8. DS'!$M:$M,_xlpm.id),COUNTIF('9. RMF'!$M:$M,_xlpm.id),COUNTIF('10. PCU'!$M:$M,_xlpm.id))))</f>
        <v>0</v>
      </c>
    </row>
    <row r="440" spans="1:9">
      <c r="A440" t="s">
        <v>6760</v>
      </c>
      <c r="B440" t="s">
        <v>8460</v>
      </c>
      <c r="C440">
        <v>1820</v>
      </c>
      <c r="D440">
        <v>1</v>
      </c>
      <c r="E440" s="23">
        <v>9</v>
      </c>
      <c r="F440" t="s">
        <v>8459</v>
      </c>
      <c r="G440" t="s">
        <v>10484</v>
      </c>
      <c r="H440" t="s">
        <v>8021</v>
      </c>
      <c r="I440">
        <f>_xlfn.LET(_xlpm.id,TRIM($A440),IF(_xlpm.id="","",SUM(COUNTIF('1. OP'!$M:$M,_xlpm.id),COUNTIF('2. JSEL'!$M:$M,_xlpm.id),COUNTIF('3. PSM'!$M:$M,_xlpm.id),COUNTIF('4. SSP'!$M:$M,_xlpm.id),COUNTIF('5. JSACI'!$M:$M,_xlpm.id),COUNTIF('6. AIN'!$M:$M,_xlpm.id),COUNTIF('7. MS'!$M:$M,_xlpm.id),COUNTIF('8. DS'!$M:$M,_xlpm.id),COUNTIF('9. RMF'!$M:$M,_xlpm.id),COUNTIF('10. PCU'!$M:$M,_xlpm.id))))</f>
        <v>1</v>
      </c>
    </row>
    <row r="441" spans="1:9">
      <c r="A441" t="s">
        <v>8465</v>
      </c>
      <c r="B441" t="s">
        <v>8460</v>
      </c>
      <c r="C441">
        <v>1820</v>
      </c>
      <c r="D441">
        <v>1</v>
      </c>
      <c r="E441" s="23">
        <v>10</v>
      </c>
      <c r="F441" t="s">
        <v>8459</v>
      </c>
      <c r="G441" t="s">
        <v>10484</v>
      </c>
      <c r="H441" t="s">
        <v>8021</v>
      </c>
      <c r="I441">
        <f>_xlfn.LET(_xlpm.id,TRIM($A441),IF(_xlpm.id="","",SUM(COUNTIF('1. OP'!$M:$M,_xlpm.id),COUNTIF('2. JSEL'!$M:$M,_xlpm.id),COUNTIF('3. PSM'!$M:$M,_xlpm.id),COUNTIF('4. SSP'!$M:$M,_xlpm.id),COUNTIF('5. JSACI'!$M:$M,_xlpm.id),COUNTIF('6. AIN'!$M:$M,_xlpm.id),COUNTIF('7. MS'!$M:$M,_xlpm.id),COUNTIF('8. DS'!$M:$M,_xlpm.id),COUNTIF('9. RMF'!$M:$M,_xlpm.id),COUNTIF('10. PCU'!$M:$M,_xlpm.id))))</f>
        <v>0</v>
      </c>
    </row>
    <row r="442" spans="1:9">
      <c r="A442" t="s">
        <v>8466</v>
      </c>
      <c r="B442" t="s">
        <v>8460</v>
      </c>
      <c r="C442">
        <v>1821</v>
      </c>
      <c r="D442">
        <v>1</v>
      </c>
      <c r="E442" s="23">
        <v>11</v>
      </c>
      <c r="F442" t="s">
        <v>8459</v>
      </c>
      <c r="G442" t="s">
        <v>10484</v>
      </c>
      <c r="H442" t="s">
        <v>8021</v>
      </c>
      <c r="I442">
        <f>_xlfn.LET(_xlpm.id,TRIM($A442),IF(_xlpm.id="","",SUM(COUNTIF('1. OP'!$M:$M,_xlpm.id),COUNTIF('2. JSEL'!$M:$M,_xlpm.id),COUNTIF('3. PSM'!$M:$M,_xlpm.id),COUNTIF('4. SSP'!$M:$M,_xlpm.id),COUNTIF('5. JSACI'!$M:$M,_xlpm.id),COUNTIF('6. AIN'!$M:$M,_xlpm.id),COUNTIF('7. MS'!$M:$M,_xlpm.id),COUNTIF('8. DS'!$M:$M,_xlpm.id),COUNTIF('9. RMF'!$M:$M,_xlpm.id),COUNTIF('10. PCU'!$M:$M,_xlpm.id))))</f>
        <v>0</v>
      </c>
    </row>
    <row r="443" spans="1:9">
      <c r="A443" t="s">
        <v>8467</v>
      </c>
      <c r="B443" t="s">
        <v>8460</v>
      </c>
      <c r="C443">
        <v>1821</v>
      </c>
      <c r="D443">
        <v>1</v>
      </c>
      <c r="E443" s="23">
        <v>12</v>
      </c>
      <c r="F443" t="s">
        <v>8459</v>
      </c>
      <c r="G443" t="s">
        <v>10484</v>
      </c>
      <c r="H443" t="s">
        <v>8021</v>
      </c>
      <c r="I443">
        <f>_xlfn.LET(_xlpm.id,TRIM($A443),IF(_xlpm.id="","",SUM(COUNTIF('1. OP'!$M:$M,_xlpm.id),COUNTIF('2. JSEL'!$M:$M,_xlpm.id),COUNTIF('3. PSM'!$M:$M,_xlpm.id),COUNTIF('4. SSP'!$M:$M,_xlpm.id),COUNTIF('5. JSACI'!$M:$M,_xlpm.id),COUNTIF('6. AIN'!$M:$M,_xlpm.id),COUNTIF('7. MS'!$M:$M,_xlpm.id),COUNTIF('8. DS'!$M:$M,_xlpm.id),COUNTIF('9. RMF'!$M:$M,_xlpm.id),COUNTIF('10. PCU'!$M:$M,_xlpm.id))))</f>
        <v>0</v>
      </c>
    </row>
    <row r="444" spans="1:9">
      <c r="A444" t="s">
        <v>8468</v>
      </c>
      <c r="B444" t="s">
        <v>8460</v>
      </c>
      <c r="C444">
        <v>1821</v>
      </c>
      <c r="D444">
        <v>1</v>
      </c>
      <c r="E444" s="23">
        <v>13</v>
      </c>
      <c r="F444" t="s">
        <v>8459</v>
      </c>
      <c r="G444" t="s">
        <v>10484</v>
      </c>
      <c r="H444" t="s">
        <v>8021</v>
      </c>
      <c r="I444">
        <f>_xlfn.LET(_xlpm.id,TRIM($A444),IF(_xlpm.id="","",SUM(COUNTIF('1. OP'!$M:$M,_xlpm.id),COUNTIF('2. JSEL'!$M:$M,_xlpm.id),COUNTIF('3. PSM'!$M:$M,_xlpm.id),COUNTIF('4. SSP'!$M:$M,_xlpm.id),COUNTIF('5. JSACI'!$M:$M,_xlpm.id),COUNTIF('6. AIN'!$M:$M,_xlpm.id),COUNTIF('7. MS'!$M:$M,_xlpm.id),COUNTIF('8. DS'!$M:$M,_xlpm.id),COUNTIF('9. RMF'!$M:$M,_xlpm.id),COUNTIF('10. PCU'!$M:$M,_xlpm.id))))</f>
        <v>0</v>
      </c>
    </row>
    <row r="445" spans="1:9">
      <c r="A445" t="s">
        <v>6517</v>
      </c>
      <c r="B445" t="s">
        <v>8460</v>
      </c>
      <c r="C445">
        <v>1821</v>
      </c>
      <c r="D445">
        <v>1</v>
      </c>
      <c r="E445" s="23">
        <v>14</v>
      </c>
      <c r="F445" t="s">
        <v>8459</v>
      </c>
      <c r="G445" t="s">
        <v>10484</v>
      </c>
      <c r="H445" t="s">
        <v>8021</v>
      </c>
      <c r="I445">
        <f>_xlfn.LET(_xlpm.id,TRIM($A445),IF(_xlpm.id="","",SUM(COUNTIF('1. OP'!$M:$M,_xlpm.id),COUNTIF('2. JSEL'!$M:$M,_xlpm.id),COUNTIF('3. PSM'!$M:$M,_xlpm.id),COUNTIF('4. SSP'!$M:$M,_xlpm.id),COUNTIF('5. JSACI'!$M:$M,_xlpm.id),COUNTIF('6. AIN'!$M:$M,_xlpm.id),COUNTIF('7. MS'!$M:$M,_xlpm.id),COUNTIF('8. DS'!$M:$M,_xlpm.id),COUNTIF('9. RMF'!$M:$M,_xlpm.id),COUNTIF('10. PCU'!$M:$M,_xlpm.id))))</f>
        <v>1</v>
      </c>
    </row>
    <row r="446" spans="1:9">
      <c r="A446" t="s">
        <v>8469</v>
      </c>
      <c r="B446" t="s">
        <v>8460</v>
      </c>
      <c r="C446">
        <v>1822</v>
      </c>
      <c r="D446">
        <v>1</v>
      </c>
      <c r="E446" s="23">
        <v>15</v>
      </c>
      <c r="F446" t="s">
        <v>8459</v>
      </c>
      <c r="G446" t="s">
        <v>10484</v>
      </c>
      <c r="H446" t="s">
        <v>8021</v>
      </c>
      <c r="I446">
        <f>_xlfn.LET(_xlpm.id,TRIM($A446),IF(_xlpm.id="","",SUM(COUNTIF('1. OP'!$M:$M,_xlpm.id),COUNTIF('2. JSEL'!$M:$M,_xlpm.id),COUNTIF('3. PSM'!$M:$M,_xlpm.id),COUNTIF('4. SSP'!$M:$M,_xlpm.id),COUNTIF('5. JSACI'!$M:$M,_xlpm.id),COUNTIF('6. AIN'!$M:$M,_xlpm.id),COUNTIF('7. MS'!$M:$M,_xlpm.id),COUNTIF('8. DS'!$M:$M,_xlpm.id),COUNTIF('9. RMF'!$M:$M,_xlpm.id),COUNTIF('10. PCU'!$M:$M,_xlpm.id))))</f>
        <v>0</v>
      </c>
    </row>
    <row r="447" spans="1:9">
      <c r="A447" t="s">
        <v>6944</v>
      </c>
      <c r="B447" t="s">
        <v>8460</v>
      </c>
      <c r="C447">
        <v>1822</v>
      </c>
      <c r="D447">
        <v>1</v>
      </c>
      <c r="E447" s="23">
        <v>16</v>
      </c>
      <c r="F447" t="s">
        <v>8459</v>
      </c>
      <c r="G447" t="s">
        <v>10484</v>
      </c>
      <c r="H447" t="s">
        <v>8021</v>
      </c>
      <c r="I447">
        <f>_xlfn.LET(_xlpm.id,TRIM($A447),IF(_xlpm.id="","",SUM(COUNTIF('1. OP'!$M:$M,_xlpm.id),COUNTIF('2. JSEL'!$M:$M,_xlpm.id),COUNTIF('3. PSM'!$M:$M,_xlpm.id),COUNTIF('4. SSP'!$M:$M,_xlpm.id),COUNTIF('5. JSACI'!$M:$M,_xlpm.id),COUNTIF('6. AIN'!$M:$M,_xlpm.id),COUNTIF('7. MS'!$M:$M,_xlpm.id),COUNTIF('8. DS'!$M:$M,_xlpm.id),COUNTIF('9. RMF'!$M:$M,_xlpm.id),COUNTIF('10. PCU'!$M:$M,_xlpm.id))))</f>
        <v>2</v>
      </c>
    </row>
    <row r="448" spans="1:9">
      <c r="A448" t="s">
        <v>6510</v>
      </c>
      <c r="B448" t="s">
        <v>8470</v>
      </c>
      <c r="C448">
        <v>1838</v>
      </c>
      <c r="D448">
        <v>1</v>
      </c>
      <c r="E448" s="23">
        <v>1</v>
      </c>
      <c r="F448" t="s">
        <v>8459</v>
      </c>
      <c r="G448" t="s">
        <v>10484</v>
      </c>
      <c r="H448" t="s">
        <v>8021</v>
      </c>
      <c r="I448">
        <f>_xlfn.LET(_xlpm.id,TRIM($A448),IF(_xlpm.id="","",SUM(COUNTIF('1. OP'!$M:$M,_xlpm.id),COUNTIF('2. JSEL'!$M:$M,_xlpm.id),COUNTIF('3. PSM'!$M:$M,_xlpm.id),COUNTIF('4. SSP'!$M:$M,_xlpm.id),COUNTIF('5. JSACI'!$M:$M,_xlpm.id),COUNTIF('6. AIN'!$M:$M,_xlpm.id),COUNTIF('7. MS'!$M:$M,_xlpm.id),COUNTIF('8. DS'!$M:$M,_xlpm.id),COUNTIF('9. RMF'!$M:$M,_xlpm.id),COUNTIF('10. PCU'!$M:$M,_xlpm.id))))</f>
        <v>10</v>
      </c>
    </row>
    <row r="449" spans="1:9">
      <c r="A449" t="s">
        <v>8471</v>
      </c>
      <c r="B449" t="s">
        <v>8472</v>
      </c>
      <c r="C449">
        <v>1837</v>
      </c>
      <c r="D449">
        <v>1</v>
      </c>
      <c r="E449" s="23">
        <v>1</v>
      </c>
      <c r="F449" t="s">
        <v>8459</v>
      </c>
      <c r="G449" t="s">
        <v>10488</v>
      </c>
      <c r="H449" t="s">
        <v>8020</v>
      </c>
      <c r="I449">
        <f>_xlfn.LET(_xlpm.id,TRIM($A449),IF(_xlpm.id="","",SUM(COUNTIF('1. OP'!$M:$M,_xlpm.id),COUNTIF('2. JSEL'!$M:$M,_xlpm.id),COUNTIF('3. PSM'!$M:$M,_xlpm.id),COUNTIF('4. SSP'!$M:$M,_xlpm.id),COUNTIF('5. JSACI'!$M:$M,_xlpm.id),COUNTIF('6. AIN'!$M:$M,_xlpm.id),COUNTIF('7. MS'!$M:$M,_xlpm.id),COUNTIF('8. DS'!$M:$M,_xlpm.id),COUNTIF('9. RMF'!$M:$M,_xlpm.id),COUNTIF('10. PCU'!$M:$M,_xlpm.id))))</f>
        <v>0</v>
      </c>
    </row>
    <row r="450" spans="1:9">
      <c r="A450" t="s">
        <v>8473</v>
      </c>
      <c r="B450" t="s">
        <v>8472</v>
      </c>
      <c r="C450">
        <v>1838</v>
      </c>
      <c r="D450">
        <v>1</v>
      </c>
      <c r="E450" s="23">
        <v>2</v>
      </c>
      <c r="F450" t="s">
        <v>8459</v>
      </c>
      <c r="G450" t="s">
        <v>10488</v>
      </c>
      <c r="H450" t="s">
        <v>8020</v>
      </c>
      <c r="I450">
        <f>_xlfn.LET(_xlpm.id,TRIM($A450),IF(_xlpm.id="","",SUM(COUNTIF('1. OP'!$M:$M,_xlpm.id),COUNTIF('2. JSEL'!$M:$M,_xlpm.id),COUNTIF('3. PSM'!$M:$M,_xlpm.id),COUNTIF('4. SSP'!$M:$M,_xlpm.id),COUNTIF('5. JSACI'!$M:$M,_xlpm.id),COUNTIF('6. AIN'!$M:$M,_xlpm.id),COUNTIF('7. MS'!$M:$M,_xlpm.id),COUNTIF('8. DS'!$M:$M,_xlpm.id),COUNTIF('9. RMF'!$M:$M,_xlpm.id),COUNTIF('10. PCU'!$M:$M,_xlpm.id))))</f>
        <v>0</v>
      </c>
    </row>
    <row r="451" spans="1:9">
      <c r="A451" t="s">
        <v>8474</v>
      </c>
      <c r="B451" t="s">
        <v>8472</v>
      </c>
      <c r="C451">
        <v>1839</v>
      </c>
      <c r="D451">
        <v>1</v>
      </c>
      <c r="E451" s="23">
        <v>3</v>
      </c>
      <c r="F451" t="s">
        <v>8459</v>
      </c>
      <c r="G451" t="s">
        <v>10488</v>
      </c>
      <c r="H451" t="s">
        <v>8020</v>
      </c>
      <c r="I451">
        <f>_xlfn.LET(_xlpm.id,TRIM($A451),IF(_xlpm.id="","",SUM(COUNTIF('1. OP'!$M:$M,_xlpm.id),COUNTIF('2. JSEL'!$M:$M,_xlpm.id),COUNTIF('3. PSM'!$M:$M,_xlpm.id),COUNTIF('4. SSP'!$M:$M,_xlpm.id),COUNTIF('5. JSACI'!$M:$M,_xlpm.id),COUNTIF('6. AIN'!$M:$M,_xlpm.id),COUNTIF('7. MS'!$M:$M,_xlpm.id),COUNTIF('8. DS'!$M:$M,_xlpm.id),COUNTIF('9. RMF'!$M:$M,_xlpm.id),COUNTIF('10. PCU'!$M:$M,_xlpm.id))))</f>
        <v>0</v>
      </c>
    </row>
    <row r="452" spans="1:9">
      <c r="A452" t="s">
        <v>8475</v>
      </c>
      <c r="B452" t="s">
        <v>8472</v>
      </c>
      <c r="C452">
        <v>1840</v>
      </c>
      <c r="D452">
        <v>1</v>
      </c>
      <c r="E452" s="23">
        <v>4</v>
      </c>
      <c r="F452" t="s">
        <v>8459</v>
      </c>
      <c r="G452" t="s">
        <v>10488</v>
      </c>
      <c r="H452" t="s">
        <v>8020</v>
      </c>
      <c r="I452">
        <f>_xlfn.LET(_xlpm.id,TRIM($A452),IF(_xlpm.id="","",SUM(COUNTIF('1. OP'!$M:$M,_xlpm.id),COUNTIF('2. JSEL'!$M:$M,_xlpm.id),COUNTIF('3. PSM'!$M:$M,_xlpm.id),COUNTIF('4. SSP'!$M:$M,_xlpm.id),COUNTIF('5. JSACI'!$M:$M,_xlpm.id),COUNTIF('6. AIN'!$M:$M,_xlpm.id),COUNTIF('7. MS'!$M:$M,_xlpm.id),COUNTIF('8. DS'!$M:$M,_xlpm.id),COUNTIF('9. RMF'!$M:$M,_xlpm.id),COUNTIF('10. PCU'!$M:$M,_xlpm.id))))</f>
        <v>0</v>
      </c>
    </row>
    <row r="453" spans="1:9">
      <c r="A453" t="s">
        <v>5084</v>
      </c>
      <c r="B453" t="s">
        <v>4659</v>
      </c>
      <c r="C453">
        <v>1837</v>
      </c>
      <c r="D453">
        <v>1</v>
      </c>
      <c r="E453" s="23">
        <v>1</v>
      </c>
      <c r="F453" t="s">
        <v>8459</v>
      </c>
      <c r="G453" t="s">
        <v>10488</v>
      </c>
      <c r="H453" t="s">
        <v>8020</v>
      </c>
      <c r="I453">
        <f>_xlfn.LET(_xlpm.id,TRIM($A453),IF(_xlpm.id="","",SUM(COUNTIF('1. OP'!$M:$M,_xlpm.id),COUNTIF('2. JSEL'!$M:$M,_xlpm.id),COUNTIF('3. PSM'!$M:$M,_xlpm.id),COUNTIF('4. SSP'!$M:$M,_xlpm.id),COUNTIF('5. JSACI'!$M:$M,_xlpm.id),COUNTIF('6. AIN'!$M:$M,_xlpm.id),COUNTIF('7. MS'!$M:$M,_xlpm.id),COUNTIF('8. DS'!$M:$M,_xlpm.id),COUNTIF('9. RMF'!$M:$M,_xlpm.id),COUNTIF('10. PCU'!$M:$M,_xlpm.id))))</f>
        <v>18</v>
      </c>
    </row>
    <row r="454" spans="1:9">
      <c r="A454" t="s">
        <v>5082</v>
      </c>
      <c r="B454" t="s">
        <v>4659</v>
      </c>
      <c r="C454">
        <v>1838</v>
      </c>
      <c r="D454">
        <v>1</v>
      </c>
      <c r="E454" s="23">
        <v>2</v>
      </c>
      <c r="F454" t="s">
        <v>8459</v>
      </c>
      <c r="G454" t="s">
        <v>10488</v>
      </c>
      <c r="H454" t="s">
        <v>8020</v>
      </c>
      <c r="I454">
        <f>_xlfn.LET(_xlpm.id,TRIM($A454),IF(_xlpm.id="","",SUM(COUNTIF('1. OP'!$M:$M,_xlpm.id),COUNTIF('2. JSEL'!$M:$M,_xlpm.id),COUNTIF('3. PSM'!$M:$M,_xlpm.id),COUNTIF('4. SSP'!$M:$M,_xlpm.id),COUNTIF('5. JSACI'!$M:$M,_xlpm.id),COUNTIF('6. AIN'!$M:$M,_xlpm.id),COUNTIF('7. MS'!$M:$M,_xlpm.id),COUNTIF('8. DS'!$M:$M,_xlpm.id),COUNTIF('9. RMF'!$M:$M,_xlpm.id),COUNTIF('10. PCU'!$M:$M,_xlpm.id))))</f>
        <v>12</v>
      </c>
    </row>
    <row r="455" spans="1:9">
      <c r="A455" t="s">
        <v>5241</v>
      </c>
      <c r="B455" t="s">
        <v>4659</v>
      </c>
      <c r="C455">
        <v>1839</v>
      </c>
      <c r="D455">
        <v>1</v>
      </c>
      <c r="E455" s="23">
        <v>3</v>
      </c>
      <c r="F455" t="s">
        <v>8459</v>
      </c>
      <c r="G455" t="s">
        <v>10488</v>
      </c>
      <c r="H455" t="s">
        <v>8020</v>
      </c>
      <c r="I455">
        <f>_xlfn.LET(_xlpm.id,TRIM($A455),IF(_xlpm.id="","",SUM(COUNTIF('1. OP'!$M:$M,_xlpm.id),COUNTIF('2. JSEL'!$M:$M,_xlpm.id),COUNTIF('3. PSM'!$M:$M,_xlpm.id),COUNTIF('4. SSP'!$M:$M,_xlpm.id),COUNTIF('5. JSACI'!$M:$M,_xlpm.id),COUNTIF('6. AIN'!$M:$M,_xlpm.id),COUNTIF('7. MS'!$M:$M,_xlpm.id),COUNTIF('8. DS'!$M:$M,_xlpm.id),COUNTIF('9. RMF'!$M:$M,_xlpm.id),COUNTIF('10. PCU'!$M:$M,_xlpm.id))))</f>
        <v>1</v>
      </c>
    </row>
    <row r="456" spans="1:9">
      <c r="A456" t="s">
        <v>5048</v>
      </c>
      <c r="B456" t="s">
        <v>4659</v>
      </c>
      <c r="C456">
        <v>1840</v>
      </c>
      <c r="D456">
        <v>1</v>
      </c>
      <c r="E456" s="23">
        <v>4</v>
      </c>
      <c r="F456" t="s">
        <v>8459</v>
      </c>
      <c r="G456" t="s">
        <v>10488</v>
      </c>
      <c r="H456" t="s">
        <v>8020</v>
      </c>
      <c r="I456">
        <f>_xlfn.LET(_xlpm.id,TRIM($A456),IF(_xlpm.id="","",SUM(COUNTIF('1. OP'!$M:$M,_xlpm.id),COUNTIF('2. JSEL'!$M:$M,_xlpm.id),COUNTIF('3. PSM'!$M:$M,_xlpm.id),COUNTIF('4. SSP'!$M:$M,_xlpm.id),COUNTIF('5. JSACI'!$M:$M,_xlpm.id),COUNTIF('6. AIN'!$M:$M,_xlpm.id),COUNTIF('7. MS'!$M:$M,_xlpm.id),COUNTIF('8. DS'!$M:$M,_xlpm.id),COUNTIF('9. RMF'!$M:$M,_xlpm.id),COUNTIF('10. PCU'!$M:$M,_xlpm.id))))</f>
        <v>5</v>
      </c>
    </row>
    <row r="457" spans="1:9">
      <c r="A457" t="s">
        <v>8476</v>
      </c>
      <c r="B457" t="s">
        <v>8477</v>
      </c>
      <c r="C457">
        <v>1835</v>
      </c>
      <c r="D457">
        <v>1</v>
      </c>
      <c r="E457" s="23">
        <v>1</v>
      </c>
      <c r="F457" t="s">
        <v>8459</v>
      </c>
      <c r="G457" t="s">
        <v>10488</v>
      </c>
      <c r="H457" t="s">
        <v>8020</v>
      </c>
      <c r="I457">
        <f>_xlfn.LET(_xlpm.id,TRIM($A457),IF(_xlpm.id="","",SUM(COUNTIF('1. OP'!$M:$M,_xlpm.id),COUNTIF('2. JSEL'!$M:$M,_xlpm.id),COUNTIF('3. PSM'!$M:$M,_xlpm.id),COUNTIF('4. SSP'!$M:$M,_xlpm.id),COUNTIF('5. JSACI'!$M:$M,_xlpm.id),COUNTIF('6. AIN'!$M:$M,_xlpm.id),COUNTIF('7. MS'!$M:$M,_xlpm.id),COUNTIF('8. DS'!$M:$M,_xlpm.id),COUNTIF('9. RMF'!$M:$M,_xlpm.id),COUNTIF('10. PCU'!$M:$M,_xlpm.id))))</f>
        <v>0</v>
      </c>
    </row>
    <row r="458" spans="1:9">
      <c r="A458" t="s">
        <v>8478</v>
      </c>
      <c r="B458" t="s">
        <v>8477</v>
      </c>
      <c r="C458">
        <v>1837</v>
      </c>
      <c r="D458">
        <v>1</v>
      </c>
      <c r="E458" s="23">
        <v>3</v>
      </c>
      <c r="F458" t="s">
        <v>8459</v>
      </c>
      <c r="G458" t="s">
        <v>10488</v>
      </c>
      <c r="H458" t="s">
        <v>8020</v>
      </c>
      <c r="I458">
        <f>_xlfn.LET(_xlpm.id,TRIM($A458),IF(_xlpm.id="","",SUM(COUNTIF('1. OP'!$M:$M,_xlpm.id),COUNTIF('2. JSEL'!$M:$M,_xlpm.id),COUNTIF('3. PSM'!$M:$M,_xlpm.id),COUNTIF('4. SSP'!$M:$M,_xlpm.id),COUNTIF('5. JSACI'!$M:$M,_xlpm.id),COUNTIF('6. AIN'!$M:$M,_xlpm.id),COUNTIF('7. MS'!$M:$M,_xlpm.id),COUNTIF('8. DS'!$M:$M,_xlpm.id),COUNTIF('9. RMF'!$M:$M,_xlpm.id),COUNTIF('10. PCU'!$M:$M,_xlpm.id))))</f>
        <v>0</v>
      </c>
    </row>
    <row r="459" spans="1:9">
      <c r="A459" t="s">
        <v>8479</v>
      </c>
      <c r="B459" t="s">
        <v>8477</v>
      </c>
      <c r="C459">
        <v>1838</v>
      </c>
      <c r="D459">
        <v>1</v>
      </c>
      <c r="E459" s="23">
        <v>4</v>
      </c>
      <c r="F459" t="s">
        <v>8459</v>
      </c>
      <c r="G459" t="s">
        <v>10488</v>
      </c>
      <c r="H459" t="s">
        <v>8020</v>
      </c>
      <c r="I459">
        <f>_xlfn.LET(_xlpm.id,TRIM($A459),IF(_xlpm.id="","",SUM(COUNTIF('1. OP'!$M:$M,_xlpm.id),COUNTIF('2. JSEL'!$M:$M,_xlpm.id),COUNTIF('3. PSM'!$M:$M,_xlpm.id),COUNTIF('4. SSP'!$M:$M,_xlpm.id),COUNTIF('5. JSACI'!$M:$M,_xlpm.id),COUNTIF('6. AIN'!$M:$M,_xlpm.id),COUNTIF('7. MS'!$M:$M,_xlpm.id),COUNTIF('8. DS'!$M:$M,_xlpm.id),COUNTIF('9. RMF'!$M:$M,_xlpm.id),COUNTIF('10. PCU'!$M:$M,_xlpm.id))))</f>
        <v>0</v>
      </c>
    </row>
    <row r="460" spans="1:9">
      <c r="A460" t="s">
        <v>8480</v>
      </c>
      <c r="B460" t="s">
        <v>8477</v>
      </c>
      <c r="C460">
        <v>1839</v>
      </c>
      <c r="D460">
        <v>1</v>
      </c>
      <c r="E460" s="23">
        <v>5</v>
      </c>
      <c r="F460" t="s">
        <v>8459</v>
      </c>
      <c r="G460" t="s">
        <v>10488</v>
      </c>
      <c r="H460" t="s">
        <v>8020</v>
      </c>
      <c r="I460">
        <f>_xlfn.LET(_xlpm.id,TRIM($A460),IF(_xlpm.id="","",SUM(COUNTIF('1. OP'!$M:$M,_xlpm.id),COUNTIF('2. JSEL'!$M:$M,_xlpm.id),COUNTIF('3. PSM'!$M:$M,_xlpm.id),COUNTIF('4. SSP'!$M:$M,_xlpm.id),COUNTIF('5. JSACI'!$M:$M,_xlpm.id),COUNTIF('6. AIN'!$M:$M,_xlpm.id),COUNTIF('7. MS'!$M:$M,_xlpm.id),COUNTIF('8. DS'!$M:$M,_xlpm.id),COUNTIF('9. RMF'!$M:$M,_xlpm.id),COUNTIF('10. PCU'!$M:$M,_xlpm.id))))</f>
        <v>0</v>
      </c>
    </row>
    <row r="461" spans="1:9">
      <c r="A461" t="s">
        <v>8481</v>
      </c>
      <c r="B461" t="s">
        <v>8477</v>
      </c>
      <c r="C461">
        <v>1840</v>
      </c>
      <c r="D461">
        <v>1</v>
      </c>
      <c r="E461" s="23">
        <v>6</v>
      </c>
      <c r="F461" t="s">
        <v>8459</v>
      </c>
      <c r="G461" t="s">
        <v>10488</v>
      </c>
      <c r="H461" t="s">
        <v>8020</v>
      </c>
      <c r="I461">
        <f>_xlfn.LET(_xlpm.id,TRIM($A461),IF(_xlpm.id="","",SUM(COUNTIF('1. OP'!$M:$M,_xlpm.id),COUNTIF('2. JSEL'!$M:$M,_xlpm.id),COUNTIF('3. PSM'!$M:$M,_xlpm.id),COUNTIF('4. SSP'!$M:$M,_xlpm.id),COUNTIF('5. JSACI'!$M:$M,_xlpm.id),COUNTIF('6. AIN'!$M:$M,_xlpm.id),COUNTIF('7. MS'!$M:$M,_xlpm.id),COUNTIF('8. DS'!$M:$M,_xlpm.id),COUNTIF('9. RMF'!$M:$M,_xlpm.id),COUNTIF('10. PCU'!$M:$M,_xlpm.id))))</f>
        <v>0</v>
      </c>
    </row>
    <row r="462" spans="1:9">
      <c r="A462" t="s">
        <v>7590</v>
      </c>
      <c r="B462" t="s">
        <v>8482</v>
      </c>
      <c r="C462" t="s">
        <v>3041</v>
      </c>
      <c r="D462">
        <v>1</v>
      </c>
      <c r="E462" s="23">
        <v>1</v>
      </c>
      <c r="F462" t="s">
        <v>8459</v>
      </c>
      <c r="G462" t="s">
        <v>10489</v>
      </c>
      <c r="H462" t="s">
        <v>8020</v>
      </c>
      <c r="I462">
        <f>_xlfn.LET(_xlpm.id,TRIM($A462),IF(_xlpm.id="","",SUM(COUNTIF('1. OP'!$M:$M,_xlpm.id),COUNTIF('2. JSEL'!$M:$M,_xlpm.id),COUNTIF('3. PSM'!$M:$M,_xlpm.id),COUNTIF('4. SSP'!$M:$M,_xlpm.id),COUNTIF('5. JSACI'!$M:$M,_xlpm.id),COUNTIF('6. AIN'!$M:$M,_xlpm.id),COUNTIF('7. MS'!$M:$M,_xlpm.id),COUNTIF('8. DS'!$M:$M,_xlpm.id),COUNTIF('9. RMF'!$M:$M,_xlpm.id),COUNTIF('10. PCU'!$M:$M,_xlpm.id))))</f>
        <v>1</v>
      </c>
    </row>
    <row r="463" spans="1:9">
      <c r="A463" t="s">
        <v>8483</v>
      </c>
      <c r="B463" t="s">
        <v>8484</v>
      </c>
      <c r="C463">
        <v>1835</v>
      </c>
      <c r="D463">
        <v>1</v>
      </c>
      <c r="E463" s="23">
        <v>2</v>
      </c>
      <c r="F463" t="s">
        <v>8459</v>
      </c>
      <c r="G463" t="s">
        <v>10488</v>
      </c>
      <c r="H463" t="s">
        <v>8020</v>
      </c>
      <c r="I463">
        <f>_xlfn.LET(_xlpm.id,TRIM($A463),IF(_xlpm.id="","",SUM(COUNTIF('1. OP'!$M:$M,_xlpm.id),COUNTIF('2. JSEL'!$M:$M,_xlpm.id),COUNTIF('3. PSM'!$M:$M,_xlpm.id),COUNTIF('4. SSP'!$M:$M,_xlpm.id),COUNTIF('5. JSACI'!$M:$M,_xlpm.id),COUNTIF('6. AIN'!$M:$M,_xlpm.id),COUNTIF('7. MS'!$M:$M,_xlpm.id),COUNTIF('8. DS'!$M:$M,_xlpm.id),COUNTIF('9. RMF'!$M:$M,_xlpm.id),COUNTIF('10. PCU'!$M:$M,_xlpm.id))))</f>
        <v>0</v>
      </c>
    </row>
    <row r="464" spans="1:9">
      <c r="A464" t="s">
        <v>8485</v>
      </c>
      <c r="B464" t="s">
        <v>8484</v>
      </c>
      <c r="C464">
        <v>1836</v>
      </c>
      <c r="D464">
        <v>1</v>
      </c>
      <c r="E464" s="23">
        <v>3</v>
      </c>
      <c r="F464" t="s">
        <v>8459</v>
      </c>
      <c r="G464" t="s">
        <v>10488</v>
      </c>
      <c r="H464" t="s">
        <v>8020</v>
      </c>
      <c r="I464">
        <f>_xlfn.LET(_xlpm.id,TRIM($A464),IF(_xlpm.id="","",SUM(COUNTIF('1. OP'!$M:$M,_xlpm.id),COUNTIF('2. JSEL'!$M:$M,_xlpm.id),COUNTIF('3. PSM'!$M:$M,_xlpm.id),COUNTIF('4. SSP'!$M:$M,_xlpm.id),COUNTIF('5. JSACI'!$M:$M,_xlpm.id),COUNTIF('6. AIN'!$M:$M,_xlpm.id),COUNTIF('7. MS'!$M:$M,_xlpm.id),COUNTIF('8. DS'!$M:$M,_xlpm.id),COUNTIF('9. RMF'!$M:$M,_xlpm.id),COUNTIF('10. PCU'!$M:$M,_xlpm.id))))</f>
        <v>0</v>
      </c>
    </row>
    <row r="465" spans="1:9">
      <c r="A465" t="s">
        <v>8486</v>
      </c>
      <c r="B465" t="s">
        <v>8484</v>
      </c>
      <c r="C465">
        <v>1836</v>
      </c>
      <c r="D465">
        <v>1</v>
      </c>
      <c r="E465" s="23">
        <v>4</v>
      </c>
      <c r="F465" t="s">
        <v>8459</v>
      </c>
      <c r="G465" t="s">
        <v>10488</v>
      </c>
      <c r="H465" t="s">
        <v>8020</v>
      </c>
      <c r="I465">
        <f>_xlfn.LET(_xlpm.id,TRIM($A465),IF(_xlpm.id="","",SUM(COUNTIF('1. OP'!$M:$M,_xlpm.id),COUNTIF('2. JSEL'!$M:$M,_xlpm.id),COUNTIF('3. PSM'!$M:$M,_xlpm.id),COUNTIF('4. SSP'!$M:$M,_xlpm.id),COUNTIF('5. JSACI'!$M:$M,_xlpm.id),COUNTIF('6. AIN'!$M:$M,_xlpm.id),COUNTIF('7. MS'!$M:$M,_xlpm.id),COUNTIF('8. DS'!$M:$M,_xlpm.id),COUNTIF('9. RMF'!$M:$M,_xlpm.id),COUNTIF('10. PCU'!$M:$M,_xlpm.id))))</f>
        <v>0</v>
      </c>
    </row>
    <row r="466" spans="1:9">
      <c r="A466" t="s">
        <v>5130</v>
      </c>
      <c r="B466" t="s">
        <v>8487</v>
      </c>
      <c r="C466">
        <v>1788</v>
      </c>
      <c r="D466">
        <v>1</v>
      </c>
      <c r="E466" s="23">
        <v>1</v>
      </c>
      <c r="F466" t="s">
        <v>8459</v>
      </c>
      <c r="G466" t="s">
        <v>10488</v>
      </c>
      <c r="H466" t="s">
        <v>8020</v>
      </c>
      <c r="I466">
        <f>_xlfn.LET(_xlpm.id,TRIM($A466),IF(_xlpm.id="","",SUM(COUNTIF('1. OP'!$M:$M,_xlpm.id),COUNTIF('2. JSEL'!$M:$M,_xlpm.id),COUNTIF('3. PSM'!$M:$M,_xlpm.id),COUNTIF('4. SSP'!$M:$M,_xlpm.id),COUNTIF('5. JSACI'!$M:$M,_xlpm.id),COUNTIF('6. AIN'!$M:$M,_xlpm.id),COUNTIF('7. MS'!$M:$M,_xlpm.id),COUNTIF('8. DS'!$M:$M,_xlpm.id),COUNTIF('9. RMF'!$M:$M,_xlpm.id),COUNTIF('10. PCU'!$M:$M,_xlpm.id))))</f>
        <v>3</v>
      </c>
    </row>
    <row r="467" spans="1:9">
      <c r="A467" t="s">
        <v>5032</v>
      </c>
      <c r="B467" t="s">
        <v>8487</v>
      </c>
      <c r="C467">
        <v>1789</v>
      </c>
      <c r="D467">
        <v>1</v>
      </c>
      <c r="E467" s="23">
        <v>1</v>
      </c>
      <c r="F467" t="s">
        <v>8459</v>
      </c>
      <c r="G467" t="s">
        <v>10488</v>
      </c>
      <c r="H467" t="s">
        <v>8020</v>
      </c>
      <c r="I467">
        <f>_xlfn.LET(_xlpm.id,TRIM($A467),IF(_xlpm.id="","",SUM(COUNTIF('1. OP'!$M:$M,_xlpm.id),COUNTIF('2. JSEL'!$M:$M,_xlpm.id),COUNTIF('3. PSM'!$M:$M,_xlpm.id),COUNTIF('4. SSP'!$M:$M,_xlpm.id),COUNTIF('5. JSACI'!$M:$M,_xlpm.id),COUNTIF('6. AIN'!$M:$M,_xlpm.id),COUNTIF('7. MS'!$M:$M,_xlpm.id),COUNTIF('8. DS'!$M:$M,_xlpm.id),COUNTIF('9. RMF'!$M:$M,_xlpm.id),COUNTIF('10. PCU'!$M:$M,_xlpm.id))))</f>
        <v>2</v>
      </c>
    </row>
    <row r="468" spans="1:9">
      <c r="A468" t="s">
        <v>5033</v>
      </c>
      <c r="B468" t="s">
        <v>8487</v>
      </c>
      <c r="C468">
        <v>1790</v>
      </c>
      <c r="D468">
        <v>1</v>
      </c>
      <c r="E468" s="23">
        <v>2</v>
      </c>
      <c r="F468" t="s">
        <v>8459</v>
      </c>
      <c r="G468" t="s">
        <v>10488</v>
      </c>
      <c r="H468" t="s">
        <v>8020</v>
      </c>
      <c r="I468">
        <f>_xlfn.LET(_xlpm.id,TRIM($A468),IF(_xlpm.id="","",SUM(COUNTIF('1. OP'!$M:$M,_xlpm.id),COUNTIF('2. JSEL'!$M:$M,_xlpm.id),COUNTIF('3. PSM'!$M:$M,_xlpm.id),COUNTIF('4. SSP'!$M:$M,_xlpm.id),COUNTIF('5. JSACI'!$M:$M,_xlpm.id),COUNTIF('6. AIN'!$M:$M,_xlpm.id),COUNTIF('7. MS'!$M:$M,_xlpm.id),COUNTIF('8. DS'!$M:$M,_xlpm.id),COUNTIF('9. RMF'!$M:$M,_xlpm.id),COUNTIF('10. PCU'!$M:$M,_xlpm.id))))</f>
        <v>2</v>
      </c>
    </row>
    <row r="469" spans="1:9">
      <c r="A469" t="s">
        <v>8488</v>
      </c>
      <c r="B469" t="s">
        <v>8487</v>
      </c>
      <c r="C469">
        <v>1791</v>
      </c>
      <c r="D469">
        <v>1</v>
      </c>
      <c r="E469" s="23">
        <v>3</v>
      </c>
      <c r="F469" t="s">
        <v>8459</v>
      </c>
      <c r="G469" t="s">
        <v>10488</v>
      </c>
      <c r="H469" t="s">
        <v>8020</v>
      </c>
      <c r="I469">
        <f>_xlfn.LET(_xlpm.id,TRIM($A469),IF(_xlpm.id="","",SUM(COUNTIF('1. OP'!$M:$M,_xlpm.id),COUNTIF('2. JSEL'!$M:$M,_xlpm.id),COUNTIF('3. PSM'!$M:$M,_xlpm.id),COUNTIF('4. SSP'!$M:$M,_xlpm.id),COUNTIF('5. JSACI'!$M:$M,_xlpm.id),COUNTIF('6. AIN'!$M:$M,_xlpm.id),COUNTIF('7. MS'!$M:$M,_xlpm.id),COUNTIF('8. DS'!$M:$M,_xlpm.id),COUNTIF('9. RMF'!$M:$M,_xlpm.id),COUNTIF('10. PCU'!$M:$M,_xlpm.id))))</f>
        <v>0</v>
      </c>
    </row>
    <row r="470" spans="1:9">
      <c r="A470" t="s">
        <v>5231</v>
      </c>
      <c r="B470" t="s">
        <v>8487</v>
      </c>
      <c r="C470">
        <v>1799</v>
      </c>
      <c r="D470">
        <v>1</v>
      </c>
      <c r="E470" s="23">
        <v>2</v>
      </c>
      <c r="F470" t="s">
        <v>8459</v>
      </c>
      <c r="G470" t="s">
        <v>10488</v>
      </c>
      <c r="H470" t="s">
        <v>8020</v>
      </c>
      <c r="I470">
        <f>_xlfn.LET(_xlpm.id,TRIM($A470),IF(_xlpm.id="","",SUM(COUNTIF('1. OP'!$M:$M,_xlpm.id),COUNTIF('2. JSEL'!$M:$M,_xlpm.id),COUNTIF('3. PSM'!$M:$M,_xlpm.id),COUNTIF('4. SSP'!$M:$M,_xlpm.id),COUNTIF('5. JSACI'!$M:$M,_xlpm.id),COUNTIF('6. AIN'!$M:$M,_xlpm.id),COUNTIF('7. MS'!$M:$M,_xlpm.id),COUNTIF('8. DS'!$M:$M,_xlpm.id),COUNTIF('9. RMF'!$M:$M,_xlpm.id),COUNTIF('10. PCU'!$M:$M,_xlpm.id))))</f>
        <v>1</v>
      </c>
    </row>
    <row r="471" spans="1:9">
      <c r="A471" t="s">
        <v>7274</v>
      </c>
      <c r="B471" t="s">
        <v>8487</v>
      </c>
      <c r="C471">
        <v>1812</v>
      </c>
      <c r="D471">
        <v>1</v>
      </c>
      <c r="E471" s="23">
        <v>4</v>
      </c>
      <c r="F471" t="s">
        <v>8459</v>
      </c>
      <c r="G471" t="s">
        <v>10488</v>
      </c>
      <c r="H471" t="s">
        <v>8020</v>
      </c>
      <c r="I471">
        <f>_xlfn.LET(_xlpm.id,TRIM($A471),IF(_xlpm.id="","",SUM(COUNTIF('1. OP'!$M:$M,_xlpm.id),COUNTIF('2. JSEL'!$M:$M,_xlpm.id),COUNTIF('3. PSM'!$M:$M,_xlpm.id),COUNTIF('4. SSP'!$M:$M,_xlpm.id),COUNTIF('5. JSACI'!$M:$M,_xlpm.id),COUNTIF('6. AIN'!$M:$M,_xlpm.id),COUNTIF('7. MS'!$M:$M,_xlpm.id),COUNTIF('8. DS'!$M:$M,_xlpm.id),COUNTIF('9. RMF'!$M:$M,_xlpm.id),COUNTIF('10. PCU'!$M:$M,_xlpm.id))))</f>
        <v>2</v>
      </c>
    </row>
    <row r="472" spans="1:9">
      <c r="A472" t="s">
        <v>10392</v>
      </c>
      <c r="B472" t="s">
        <v>8487</v>
      </c>
      <c r="C472">
        <v>1815</v>
      </c>
      <c r="D472">
        <v>1</v>
      </c>
      <c r="E472" s="23">
        <v>5</v>
      </c>
      <c r="F472" t="s">
        <v>8459</v>
      </c>
      <c r="G472" t="s">
        <v>10488</v>
      </c>
      <c r="H472" t="s">
        <v>8020</v>
      </c>
      <c r="I472">
        <f>_xlfn.LET(_xlpm.id,TRIM($A472),IF(_xlpm.id="","",SUM(COUNTIF('1. OP'!$M:$M,_xlpm.id),COUNTIF('2. JSEL'!$M:$M,_xlpm.id),COUNTIF('3. PSM'!$M:$M,_xlpm.id),COUNTIF('4. SSP'!$M:$M,_xlpm.id),COUNTIF('5. JSACI'!$M:$M,_xlpm.id),COUNTIF('6. AIN'!$M:$M,_xlpm.id),COUNTIF('7. MS'!$M:$M,_xlpm.id),COUNTIF('8. DS'!$M:$M,_xlpm.id),COUNTIF('9. RMF'!$M:$M,_xlpm.id),COUNTIF('10. PCU'!$M:$M,_xlpm.id))))</f>
        <v>0</v>
      </c>
    </row>
    <row r="473" spans="1:9">
      <c r="A473" t="s">
        <v>5133</v>
      </c>
      <c r="B473" t="s">
        <v>8489</v>
      </c>
      <c r="C473">
        <v>1822</v>
      </c>
      <c r="D473">
        <v>1</v>
      </c>
      <c r="E473" s="23">
        <v>1</v>
      </c>
      <c r="F473" t="s">
        <v>8459</v>
      </c>
      <c r="G473" t="s">
        <v>10488</v>
      </c>
      <c r="H473" t="s">
        <v>8020</v>
      </c>
      <c r="I473">
        <f>_xlfn.LET(_xlpm.id,TRIM($A473),IF(_xlpm.id="","",SUM(COUNTIF('1. OP'!$M:$M,_xlpm.id),COUNTIF('2. JSEL'!$M:$M,_xlpm.id),COUNTIF('3. PSM'!$M:$M,_xlpm.id),COUNTIF('4. SSP'!$M:$M,_xlpm.id),COUNTIF('5. JSACI'!$M:$M,_xlpm.id),COUNTIF('6. AIN'!$M:$M,_xlpm.id),COUNTIF('7. MS'!$M:$M,_xlpm.id),COUNTIF('8. DS'!$M:$M,_xlpm.id),COUNTIF('9. RMF'!$M:$M,_xlpm.id),COUNTIF('10. PCU'!$M:$M,_xlpm.id))))</f>
        <v>1</v>
      </c>
    </row>
    <row r="474" spans="1:9">
      <c r="A474" t="s">
        <v>8490</v>
      </c>
      <c r="B474" t="s">
        <v>8489</v>
      </c>
      <c r="C474">
        <v>1826</v>
      </c>
      <c r="D474">
        <v>1</v>
      </c>
      <c r="E474" s="23">
        <v>2</v>
      </c>
      <c r="F474" t="s">
        <v>8459</v>
      </c>
      <c r="G474" t="s">
        <v>10488</v>
      </c>
      <c r="H474" t="s">
        <v>8020</v>
      </c>
      <c r="I474">
        <f>_xlfn.LET(_xlpm.id,TRIM($A474),IF(_xlpm.id="","",SUM(COUNTIF('1. OP'!$M:$M,_xlpm.id),COUNTIF('2. JSEL'!$M:$M,_xlpm.id),COUNTIF('3. PSM'!$M:$M,_xlpm.id),COUNTIF('4. SSP'!$M:$M,_xlpm.id),COUNTIF('5. JSACI'!$M:$M,_xlpm.id),COUNTIF('6. AIN'!$M:$M,_xlpm.id),COUNTIF('7. MS'!$M:$M,_xlpm.id),COUNTIF('8. DS'!$M:$M,_xlpm.id),COUNTIF('9. RMF'!$M:$M,_xlpm.id),COUNTIF('10. PCU'!$M:$M,_xlpm.id))))</f>
        <v>0</v>
      </c>
    </row>
    <row r="475" spans="1:9">
      <c r="A475" t="s">
        <v>8491</v>
      </c>
      <c r="B475" t="s">
        <v>8489</v>
      </c>
      <c r="C475">
        <v>1827</v>
      </c>
      <c r="D475">
        <v>1</v>
      </c>
      <c r="E475" s="23">
        <v>3</v>
      </c>
      <c r="F475" t="s">
        <v>8459</v>
      </c>
      <c r="G475" t="s">
        <v>10488</v>
      </c>
      <c r="H475" t="s">
        <v>8020</v>
      </c>
      <c r="I475">
        <f>_xlfn.LET(_xlpm.id,TRIM($A475),IF(_xlpm.id="","",SUM(COUNTIF('1. OP'!$M:$M,_xlpm.id),COUNTIF('2. JSEL'!$M:$M,_xlpm.id),COUNTIF('3. PSM'!$M:$M,_xlpm.id),COUNTIF('4. SSP'!$M:$M,_xlpm.id),COUNTIF('5. JSACI'!$M:$M,_xlpm.id),COUNTIF('6. AIN'!$M:$M,_xlpm.id),COUNTIF('7. MS'!$M:$M,_xlpm.id),COUNTIF('8. DS'!$M:$M,_xlpm.id),COUNTIF('9. RMF'!$M:$M,_xlpm.id),COUNTIF('10. PCU'!$M:$M,_xlpm.id))))</f>
        <v>0</v>
      </c>
    </row>
    <row r="476" spans="1:9">
      <c r="A476" t="s">
        <v>8492</v>
      </c>
      <c r="B476" t="s">
        <v>8489</v>
      </c>
      <c r="C476">
        <v>1835</v>
      </c>
      <c r="D476">
        <v>1</v>
      </c>
      <c r="E476" s="23">
        <v>4</v>
      </c>
      <c r="F476" t="s">
        <v>8459</v>
      </c>
      <c r="G476" t="s">
        <v>10488</v>
      </c>
      <c r="H476" t="s">
        <v>8020</v>
      </c>
      <c r="I476">
        <f>_xlfn.LET(_xlpm.id,TRIM($A476),IF(_xlpm.id="","",SUM(COUNTIF('1. OP'!$M:$M,_xlpm.id),COUNTIF('2. JSEL'!$M:$M,_xlpm.id),COUNTIF('3. PSM'!$M:$M,_xlpm.id),COUNTIF('4. SSP'!$M:$M,_xlpm.id),COUNTIF('5. JSACI'!$M:$M,_xlpm.id),COUNTIF('6. AIN'!$M:$M,_xlpm.id),COUNTIF('7. MS'!$M:$M,_xlpm.id),COUNTIF('8. DS'!$M:$M,_xlpm.id),COUNTIF('9. RMF'!$M:$M,_xlpm.id),COUNTIF('10. PCU'!$M:$M,_xlpm.id))))</f>
        <v>0</v>
      </c>
    </row>
    <row r="477" spans="1:9">
      <c r="A477" t="s">
        <v>8493</v>
      </c>
      <c r="B477" t="s">
        <v>4871</v>
      </c>
      <c r="C477">
        <v>1838</v>
      </c>
      <c r="D477">
        <v>2</v>
      </c>
      <c r="E477" s="23">
        <v>1</v>
      </c>
      <c r="F477" t="s">
        <v>8459</v>
      </c>
      <c r="G477" t="s">
        <v>10489</v>
      </c>
      <c r="H477" t="s">
        <v>8020</v>
      </c>
      <c r="I477">
        <f>_xlfn.LET(_xlpm.id,TRIM($A477),IF(_xlpm.id="","",SUM(COUNTIF('1. OP'!$M:$M,_xlpm.id),COUNTIF('2. JSEL'!$M:$M,_xlpm.id),COUNTIF('3. PSM'!$M:$M,_xlpm.id),COUNTIF('4. SSP'!$M:$M,_xlpm.id),COUNTIF('5. JSACI'!$M:$M,_xlpm.id),COUNTIF('6. AIN'!$M:$M,_xlpm.id),COUNTIF('7. MS'!$M:$M,_xlpm.id),COUNTIF('8. DS'!$M:$M,_xlpm.id),COUNTIF('9. RMF'!$M:$M,_xlpm.id),COUNTIF('10. PCU'!$M:$M,_xlpm.id))))</f>
        <v>0</v>
      </c>
    </row>
    <row r="478" spans="1:9">
      <c r="A478" t="s">
        <v>8494</v>
      </c>
      <c r="B478" t="s">
        <v>8495</v>
      </c>
      <c r="C478">
        <v>1831</v>
      </c>
      <c r="D478">
        <v>1</v>
      </c>
      <c r="E478" s="23">
        <v>1</v>
      </c>
      <c r="F478" t="s">
        <v>8102</v>
      </c>
      <c r="G478" t="s">
        <v>10484</v>
      </c>
      <c r="H478" t="s">
        <v>8021</v>
      </c>
      <c r="I478">
        <f>_xlfn.LET(_xlpm.id,TRIM($A478),IF(_xlpm.id="","",SUM(COUNTIF('1. OP'!$M:$M,_xlpm.id),COUNTIF('2. JSEL'!$M:$M,_xlpm.id),COUNTIF('3. PSM'!$M:$M,_xlpm.id),COUNTIF('4. SSP'!$M:$M,_xlpm.id),COUNTIF('5. JSACI'!$M:$M,_xlpm.id),COUNTIF('6. AIN'!$M:$M,_xlpm.id),COUNTIF('7. MS'!$M:$M,_xlpm.id),COUNTIF('8. DS'!$M:$M,_xlpm.id),COUNTIF('9. RMF'!$M:$M,_xlpm.id),COUNTIF('10. PCU'!$M:$M,_xlpm.id))))</f>
        <v>0</v>
      </c>
    </row>
    <row r="479" spans="1:9">
      <c r="A479" t="s">
        <v>8496</v>
      </c>
      <c r="B479" t="s">
        <v>8495</v>
      </c>
      <c r="C479">
        <v>1832</v>
      </c>
      <c r="D479">
        <v>1</v>
      </c>
      <c r="E479" s="23">
        <v>2</v>
      </c>
      <c r="F479" t="s">
        <v>8102</v>
      </c>
      <c r="G479" t="s">
        <v>10484</v>
      </c>
      <c r="H479" t="s">
        <v>8021</v>
      </c>
      <c r="I479">
        <f>_xlfn.LET(_xlpm.id,TRIM($A479),IF(_xlpm.id="","",SUM(COUNTIF('1. OP'!$M:$M,_xlpm.id),COUNTIF('2. JSEL'!$M:$M,_xlpm.id),COUNTIF('3. PSM'!$M:$M,_xlpm.id),COUNTIF('4. SSP'!$M:$M,_xlpm.id),COUNTIF('5. JSACI'!$M:$M,_xlpm.id),COUNTIF('6. AIN'!$M:$M,_xlpm.id),COUNTIF('7. MS'!$M:$M,_xlpm.id),COUNTIF('8. DS'!$M:$M,_xlpm.id),COUNTIF('9. RMF'!$M:$M,_xlpm.id),COUNTIF('10. PCU'!$M:$M,_xlpm.id))))</f>
        <v>0</v>
      </c>
    </row>
    <row r="480" spans="1:9">
      <c r="A480" t="s">
        <v>8497</v>
      </c>
      <c r="B480" t="s">
        <v>8495</v>
      </c>
      <c r="C480">
        <v>1832</v>
      </c>
      <c r="D480">
        <v>1</v>
      </c>
      <c r="E480" s="23">
        <v>3</v>
      </c>
      <c r="F480" t="s">
        <v>8102</v>
      </c>
      <c r="G480" t="s">
        <v>10484</v>
      </c>
      <c r="H480" t="s">
        <v>8021</v>
      </c>
      <c r="I480">
        <f>_xlfn.LET(_xlpm.id,TRIM($A480),IF(_xlpm.id="","",SUM(COUNTIF('1. OP'!$M:$M,_xlpm.id),COUNTIF('2. JSEL'!$M:$M,_xlpm.id),COUNTIF('3. PSM'!$M:$M,_xlpm.id),COUNTIF('4. SSP'!$M:$M,_xlpm.id),COUNTIF('5. JSACI'!$M:$M,_xlpm.id),COUNTIF('6. AIN'!$M:$M,_xlpm.id),COUNTIF('7. MS'!$M:$M,_xlpm.id),COUNTIF('8. DS'!$M:$M,_xlpm.id),COUNTIF('9. RMF'!$M:$M,_xlpm.id),COUNTIF('10. PCU'!$M:$M,_xlpm.id))))</f>
        <v>0</v>
      </c>
    </row>
    <row r="481" spans="1:9">
      <c r="A481" t="s">
        <v>7512</v>
      </c>
      <c r="B481" t="s">
        <v>8495</v>
      </c>
      <c r="C481">
        <v>1833</v>
      </c>
      <c r="D481">
        <v>1</v>
      </c>
      <c r="E481" s="23">
        <v>4</v>
      </c>
      <c r="F481" t="s">
        <v>8102</v>
      </c>
      <c r="G481" t="s">
        <v>10484</v>
      </c>
      <c r="H481" t="s">
        <v>8021</v>
      </c>
      <c r="I481">
        <f>_xlfn.LET(_xlpm.id,TRIM($A481),IF(_xlpm.id="","",SUM(COUNTIF('1. OP'!$M:$M,_xlpm.id),COUNTIF('2. JSEL'!$M:$M,_xlpm.id),COUNTIF('3. PSM'!$M:$M,_xlpm.id),COUNTIF('4. SSP'!$M:$M,_xlpm.id),COUNTIF('5. JSACI'!$M:$M,_xlpm.id),COUNTIF('6. AIN'!$M:$M,_xlpm.id),COUNTIF('7. MS'!$M:$M,_xlpm.id),COUNTIF('8. DS'!$M:$M,_xlpm.id),COUNTIF('9. RMF'!$M:$M,_xlpm.id),COUNTIF('10. PCU'!$M:$M,_xlpm.id))))</f>
        <v>1</v>
      </c>
    </row>
    <row r="482" spans="1:9">
      <c r="A482" t="s">
        <v>8498</v>
      </c>
      <c r="B482" t="s">
        <v>8495</v>
      </c>
      <c r="C482">
        <v>1833</v>
      </c>
      <c r="D482">
        <v>1</v>
      </c>
      <c r="E482" s="23">
        <v>5</v>
      </c>
      <c r="F482" t="s">
        <v>8102</v>
      </c>
      <c r="G482" t="s">
        <v>10484</v>
      </c>
      <c r="H482" t="s">
        <v>8021</v>
      </c>
      <c r="I482">
        <f>_xlfn.LET(_xlpm.id,TRIM($A482),IF(_xlpm.id="","",SUM(COUNTIF('1. OP'!$M:$M,_xlpm.id),COUNTIF('2. JSEL'!$M:$M,_xlpm.id),COUNTIF('3. PSM'!$M:$M,_xlpm.id),COUNTIF('4. SSP'!$M:$M,_xlpm.id),COUNTIF('5. JSACI'!$M:$M,_xlpm.id),COUNTIF('6. AIN'!$M:$M,_xlpm.id),COUNTIF('7. MS'!$M:$M,_xlpm.id),COUNTIF('8. DS'!$M:$M,_xlpm.id),COUNTIF('9. RMF'!$M:$M,_xlpm.id),COUNTIF('10. PCU'!$M:$M,_xlpm.id))))</f>
        <v>0</v>
      </c>
    </row>
    <row r="483" spans="1:9">
      <c r="A483" t="s">
        <v>7343</v>
      </c>
      <c r="B483" t="s">
        <v>8495</v>
      </c>
      <c r="C483">
        <v>1834</v>
      </c>
      <c r="D483">
        <v>1</v>
      </c>
      <c r="E483" s="23">
        <v>6</v>
      </c>
      <c r="F483" t="s">
        <v>8102</v>
      </c>
      <c r="G483" t="s">
        <v>10484</v>
      </c>
      <c r="H483" t="s">
        <v>8021</v>
      </c>
      <c r="I483">
        <f>_xlfn.LET(_xlpm.id,TRIM($A483),IF(_xlpm.id="","",SUM(COUNTIF('1. OP'!$M:$M,_xlpm.id),COUNTIF('2. JSEL'!$M:$M,_xlpm.id),COUNTIF('3. PSM'!$M:$M,_xlpm.id),COUNTIF('4. SSP'!$M:$M,_xlpm.id),COUNTIF('5. JSACI'!$M:$M,_xlpm.id),COUNTIF('6. AIN'!$M:$M,_xlpm.id),COUNTIF('7. MS'!$M:$M,_xlpm.id),COUNTIF('8. DS'!$M:$M,_xlpm.id),COUNTIF('9. RMF'!$M:$M,_xlpm.id),COUNTIF('10. PCU'!$M:$M,_xlpm.id))))</f>
        <v>3</v>
      </c>
    </row>
    <row r="484" spans="1:9">
      <c r="A484" t="s">
        <v>7524</v>
      </c>
      <c r="B484" t="s">
        <v>8495</v>
      </c>
      <c r="C484">
        <v>1834</v>
      </c>
      <c r="D484">
        <v>1</v>
      </c>
      <c r="E484" s="23">
        <v>7</v>
      </c>
      <c r="F484" t="s">
        <v>8102</v>
      </c>
      <c r="G484" t="s">
        <v>10484</v>
      </c>
      <c r="H484" t="s">
        <v>8021</v>
      </c>
      <c r="I484">
        <f>_xlfn.LET(_xlpm.id,TRIM($A484),IF(_xlpm.id="","",SUM(COUNTIF('1. OP'!$M:$M,_xlpm.id),COUNTIF('2. JSEL'!$M:$M,_xlpm.id),COUNTIF('3. PSM'!$M:$M,_xlpm.id),COUNTIF('4. SSP'!$M:$M,_xlpm.id),COUNTIF('5. JSACI'!$M:$M,_xlpm.id),COUNTIF('6. AIN'!$M:$M,_xlpm.id),COUNTIF('7. MS'!$M:$M,_xlpm.id),COUNTIF('8. DS'!$M:$M,_xlpm.id),COUNTIF('9. RMF'!$M:$M,_xlpm.id),COUNTIF('10. PCU'!$M:$M,_xlpm.id))))</f>
        <v>2</v>
      </c>
    </row>
    <row r="485" spans="1:9">
      <c r="A485" t="s">
        <v>7687</v>
      </c>
      <c r="B485" t="s">
        <v>8495</v>
      </c>
      <c r="C485">
        <v>1835</v>
      </c>
      <c r="D485">
        <v>1</v>
      </c>
      <c r="E485" s="23">
        <v>8</v>
      </c>
      <c r="F485" t="s">
        <v>8102</v>
      </c>
      <c r="G485" t="s">
        <v>10484</v>
      </c>
      <c r="H485" t="s">
        <v>8021</v>
      </c>
      <c r="I485">
        <f>_xlfn.LET(_xlpm.id,TRIM($A485),IF(_xlpm.id="","",SUM(COUNTIF('1. OP'!$M:$M,_xlpm.id),COUNTIF('2. JSEL'!$M:$M,_xlpm.id),COUNTIF('3. PSM'!$M:$M,_xlpm.id),COUNTIF('4. SSP'!$M:$M,_xlpm.id),COUNTIF('5. JSACI'!$M:$M,_xlpm.id),COUNTIF('6. AIN'!$M:$M,_xlpm.id),COUNTIF('7. MS'!$M:$M,_xlpm.id),COUNTIF('8. DS'!$M:$M,_xlpm.id),COUNTIF('9. RMF'!$M:$M,_xlpm.id),COUNTIF('10. PCU'!$M:$M,_xlpm.id))))</f>
        <v>1</v>
      </c>
    </row>
    <row r="486" spans="1:9">
      <c r="A486" t="s">
        <v>7452</v>
      </c>
      <c r="B486" t="s">
        <v>8495</v>
      </c>
      <c r="C486">
        <v>1835</v>
      </c>
      <c r="D486">
        <v>1</v>
      </c>
      <c r="E486" s="23">
        <v>9</v>
      </c>
      <c r="F486" t="s">
        <v>8102</v>
      </c>
      <c r="G486" t="s">
        <v>10484</v>
      </c>
      <c r="H486" t="s">
        <v>8021</v>
      </c>
      <c r="I486">
        <f>_xlfn.LET(_xlpm.id,TRIM($A486),IF(_xlpm.id="","",SUM(COUNTIF('1. OP'!$M:$M,_xlpm.id),COUNTIF('2. JSEL'!$M:$M,_xlpm.id),COUNTIF('3. PSM'!$M:$M,_xlpm.id),COUNTIF('4. SSP'!$M:$M,_xlpm.id),COUNTIF('5. JSACI'!$M:$M,_xlpm.id),COUNTIF('6. AIN'!$M:$M,_xlpm.id),COUNTIF('7. MS'!$M:$M,_xlpm.id),COUNTIF('8. DS'!$M:$M,_xlpm.id),COUNTIF('9. RMF'!$M:$M,_xlpm.id),COUNTIF('10. PCU'!$M:$M,_xlpm.id))))</f>
        <v>1</v>
      </c>
    </row>
    <row r="487" spans="1:9">
      <c r="A487" t="s">
        <v>8499</v>
      </c>
      <c r="B487" t="s">
        <v>8495</v>
      </c>
      <c r="C487">
        <v>1836</v>
      </c>
      <c r="D487">
        <v>1</v>
      </c>
      <c r="E487" s="23">
        <v>10</v>
      </c>
      <c r="F487" t="s">
        <v>8102</v>
      </c>
      <c r="G487" t="s">
        <v>10484</v>
      </c>
      <c r="H487" t="s">
        <v>8021</v>
      </c>
      <c r="I487">
        <f>_xlfn.LET(_xlpm.id,TRIM($A487),IF(_xlpm.id="","",SUM(COUNTIF('1. OP'!$M:$M,_xlpm.id),COUNTIF('2. JSEL'!$M:$M,_xlpm.id),COUNTIF('3. PSM'!$M:$M,_xlpm.id),COUNTIF('4. SSP'!$M:$M,_xlpm.id),COUNTIF('5. JSACI'!$M:$M,_xlpm.id),COUNTIF('6. AIN'!$M:$M,_xlpm.id),COUNTIF('7. MS'!$M:$M,_xlpm.id),COUNTIF('8. DS'!$M:$M,_xlpm.id),COUNTIF('9. RMF'!$M:$M,_xlpm.id),COUNTIF('10. PCU'!$M:$M,_xlpm.id))))</f>
        <v>0</v>
      </c>
    </row>
    <row r="488" spans="1:9">
      <c r="A488" t="s">
        <v>7659</v>
      </c>
      <c r="B488" t="s">
        <v>8495</v>
      </c>
      <c r="C488">
        <v>1836</v>
      </c>
      <c r="D488">
        <v>1</v>
      </c>
      <c r="E488" s="23">
        <v>11</v>
      </c>
      <c r="F488" t="s">
        <v>8102</v>
      </c>
      <c r="G488" t="s">
        <v>10484</v>
      </c>
      <c r="H488" t="s">
        <v>8021</v>
      </c>
      <c r="I488">
        <f>_xlfn.LET(_xlpm.id,TRIM($A488),IF(_xlpm.id="","",SUM(COUNTIF('1. OP'!$M:$M,_xlpm.id),COUNTIF('2. JSEL'!$M:$M,_xlpm.id),COUNTIF('3. PSM'!$M:$M,_xlpm.id),COUNTIF('4. SSP'!$M:$M,_xlpm.id),COUNTIF('5. JSACI'!$M:$M,_xlpm.id),COUNTIF('6. AIN'!$M:$M,_xlpm.id),COUNTIF('7. MS'!$M:$M,_xlpm.id),COUNTIF('8. DS'!$M:$M,_xlpm.id),COUNTIF('9. RMF'!$M:$M,_xlpm.id),COUNTIF('10. PCU'!$M:$M,_xlpm.id))))</f>
        <v>1</v>
      </c>
    </row>
    <row r="489" spans="1:9">
      <c r="A489" t="s">
        <v>8500</v>
      </c>
      <c r="B489" t="s">
        <v>8495</v>
      </c>
      <c r="C489">
        <v>1837</v>
      </c>
      <c r="D489">
        <v>1</v>
      </c>
      <c r="E489" s="23">
        <v>12</v>
      </c>
      <c r="F489" t="s">
        <v>8102</v>
      </c>
      <c r="G489" t="s">
        <v>10484</v>
      </c>
      <c r="H489" t="s">
        <v>8021</v>
      </c>
      <c r="I489">
        <f>_xlfn.LET(_xlpm.id,TRIM($A489),IF(_xlpm.id="","",SUM(COUNTIF('1. OP'!$M:$M,_xlpm.id),COUNTIF('2. JSEL'!$M:$M,_xlpm.id),COUNTIF('3. PSM'!$M:$M,_xlpm.id),COUNTIF('4. SSP'!$M:$M,_xlpm.id),COUNTIF('5. JSACI'!$M:$M,_xlpm.id),COUNTIF('6. AIN'!$M:$M,_xlpm.id),COUNTIF('7. MS'!$M:$M,_xlpm.id),COUNTIF('8. DS'!$M:$M,_xlpm.id),COUNTIF('9. RMF'!$M:$M,_xlpm.id),COUNTIF('10. PCU'!$M:$M,_xlpm.id))))</f>
        <v>0</v>
      </c>
    </row>
    <row r="490" spans="1:9">
      <c r="A490" t="s">
        <v>7554</v>
      </c>
      <c r="B490" t="s">
        <v>8495</v>
      </c>
      <c r="C490">
        <v>1837</v>
      </c>
      <c r="D490">
        <v>1</v>
      </c>
      <c r="E490" s="23">
        <v>13</v>
      </c>
      <c r="F490" t="s">
        <v>8102</v>
      </c>
      <c r="G490" t="s">
        <v>10484</v>
      </c>
      <c r="H490" t="s">
        <v>8021</v>
      </c>
      <c r="I490">
        <f>_xlfn.LET(_xlpm.id,TRIM($A490),IF(_xlpm.id="","",SUM(COUNTIF('1. OP'!$M:$M,_xlpm.id),COUNTIF('2. JSEL'!$M:$M,_xlpm.id),COUNTIF('3. PSM'!$M:$M,_xlpm.id),COUNTIF('4. SSP'!$M:$M,_xlpm.id),COUNTIF('5. JSACI'!$M:$M,_xlpm.id),COUNTIF('6. AIN'!$M:$M,_xlpm.id),COUNTIF('7. MS'!$M:$M,_xlpm.id),COUNTIF('8. DS'!$M:$M,_xlpm.id),COUNTIF('9. RMF'!$M:$M,_xlpm.id),COUNTIF('10. PCU'!$M:$M,_xlpm.id))))</f>
        <v>1</v>
      </c>
    </row>
    <row r="491" spans="1:9">
      <c r="A491" t="s">
        <v>8501</v>
      </c>
      <c r="B491" t="s">
        <v>8495</v>
      </c>
      <c r="C491">
        <v>1838</v>
      </c>
      <c r="D491">
        <v>1</v>
      </c>
      <c r="E491" s="23">
        <v>14</v>
      </c>
      <c r="F491" t="s">
        <v>8102</v>
      </c>
      <c r="G491" t="s">
        <v>10484</v>
      </c>
      <c r="H491" t="s">
        <v>8021</v>
      </c>
      <c r="I491">
        <f>_xlfn.LET(_xlpm.id,TRIM($A491),IF(_xlpm.id="","",SUM(COUNTIF('1. OP'!$M:$M,_xlpm.id),COUNTIF('2. JSEL'!$M:$M,_xlpm.id),COUNTIF('3. PSM'!$M:$M,_xlpm.id),COUNTIF('4. SSP'!$M:$M,_xlpm.id),COUNTIF('5. JSACI'!$M:$M,_xlpm.id),COUNTIF('6. AIN'!$M:$M,_xlpm.id),COUNTIF('7. MS'!$M:$M,_xlpm.id),COUNTIF('8. DS'!$M:$M,_xlpm.id),COUNTIF('9. RMF'!$M:$M,_xlpm.id),COUNTIF('10. PCU'!$M:$M,_xlpm.id))))</f>
        <v>0</v>
      </c>
    </row>
    <row r="492" spans="1:9">
      <c r="A492" t="s">
        <v>8502</v>
      </c>
      <c r="B492" t="s">
        <v>8495</v>
      </c>
      <c r="C492">
        <v>1838</v>
      </c>
      <c r="D492">
        <v>1</v>
      </c>
      <c r="E492" s="23">
        <v>15</v>
      </c>
      <c r="F492" t="s">
        <v>8102</v>
      </c>
      <c r="G492" t="s">
        <v>10484</v>
      </c>
      <c r="H492" t="s">
        <v>8021</v>
      </c>
      <c r="I492">
        <f>_xlfn.LET(_xlpm.id,TRIM($A492),IF(_xlpm.id="","",SUM(COUNTIF('1. OP'!$M:$M,_xlpm.id),COUNTIF('2. JSEL'!$M:$M,_xlpm.id),COUNTIF('3. PSM'!$M:$M,_xlpm.id),COUNTIF('4. SSP'!$M:$M,_xlpm.id),COUNTIF('5. JSACI'!$M:$M,_xlpm.id),COUNTIF('6. AIN'!$M:$M,_xlpm.id),COUNTIF('7. MS'!$M:$M,_xlpm.id),COUNTIF('8. DS'!$M:$M,_xlpm.id),COUNTIF('9. RMF'!$M:$M,_xlpm.id),COUNTIF('10. PCU'!$M:$M,_xlpm.id))))</f>
        <v>0</v>
      </c>
    </row>
    <row r="493" spans="1:9">
      <c r="A493" t="s">
        <v>8503</v>
      </c>
      <c r="B493" t="s">
        <v>8495</v>
      </c>
      <c r="C493">
        <v>1839</v>
      </c>
      <c r="D493">
        <v>1</v>
      </c>
      <c r="E493" s="23">
        <v>16</v>
      </c>
      <c r="F493" t="s">
        <v>8102</v>
      </c>
      <c r="G493" t="s">
        <v>10484</v>
      </c>
      <c r="H493" t="s">
        <v>8021</v>
      </c>
      <c r="I493">
        <f>_xlfn.LET(_xlpm.id,TRIM($A493),IF(_xlpm.id="","",SUM(COUNTIF('1. OP'!$M:$M,_xlpm.id),COUNTIF('2. JSEL'!$M:$M,_xlpm.id),COUNTIF('3. PSM'!$M:$M,_xlpm.id),COUNTIF('4. SSP'!$M:$M,_xlpm.id),COUNTIF('5. JSACI'!$M:$M,_xlpm.id),COUNTIF('6. AIN'!$M:$M,_xlpm.id),COUNTIF('7. MS'!$M:$M,_xlpm.id),COUNTIF('8. DS'!$M:$M,_xlpm.id),COUNTIF('9. RMF'!$M:$M,_xlpm.id),COUNTIF('10. PCU'!$M:$M,_xlpm.id))))</f>
        <v>0</v>
      </c>
    </row>
    <row r="494" spans="1:9">
      <c r="A494" t="s">
        <v>8504</v>
      </c>
      <c r="B494" t="s">
        <v>8495</v>
      </c>
      <c r="C494">
        <v>1839</v>
      </c>
      <c r="D494">
        <v>1</v>
      </c>
      <c r="E494" s="23">
        <v>17</v>
      </c>
      <c r="F494" t="s">
        <v>8102</v>
      </c>
      <c r="G494" t="s">
        <v>10484</v>
      </c>
      <c r="H494" t="s">
        <v>8021</v>
      </c>
      <c r="I494">
        <f>_xlfn.LET(_xlpm.id,TRIM($A494),IF(_xlpm.id="","",SUM(COUNTIF('1. OP'!$M:$M,_xlpm.id),COUNTIF('2. JSEL'!$M:$M,_xlpm.id),COUNTIF('3. PSM'!$M:$M,_xlpm.id),COUNTIF('4. SSP'!$M:$M,_xlpm.id),COUNTIF('5. JSACI'!$M:$M,_xlpm.id),COUNTIF('6. AIN'!$M:$M,_xlpm.id),COUNTIF('7. MS'!$M:$M,_xlpm.id),COUNTIF('8. DS'!$M:$M,_xlpm.id),COUNTIF('9. RMF'!$M:$M,_xlpm.id),COUNTIF('10. PCU'!$M:$M,_xlpm.id))))</f>
        <v>0</v>
      </c>
    </row>
    <row r="495" spans="1:9">
      <c r="A495" t="s">
        <v>8505</v>
      </c>
      <c r="B495" t="s">
        <v>8495</v>
      </c>
      <c r="C495">
        <v>1840</v>
      </c>
      <c r="D495">
        <v>1</v>
      </c>
      <c r="E495" s="23">
        <v>18</v>
      </c>
      <c r="F495" t="s">
        <v>8102</v>
      </c>
      <c r="G495" t="s">
        <v>10484</v>
      </c>
      <c r="H495" t="s">
        <v>8021</v>
      </c>
      <c r="I495">
        <f>_xlfn.LET(_xlpm.id,TRIM($A495),IF(_xlpm.id="","",SUM(COUNTIF('1. OP'!$M:$M,_xlpm.id),COUNTIF('2. JSEL'!$M:$M,_xlpm.id),COUNTIF('3. PSM'!$M:$M,_xlpm.id),COUNTIF('4. SSP'!$M:$M,_xlpm.id),COUNTIF('5. JSACI'!$M:$M,_xlpm.id),COUNTIF('6. AIN'!$M:$M,_xlpm.id),COUNTIF('7. MS'!$M:$M,_xlpm.id),COUNTIF('8. DS'!$M:$M,_xlpm.id),COUNTIF('9. RMF'!$M:$M,_xlpm.id),COUNTIF('10. PCU'!$M:$M,_xlpm.id))))</f>
        <v>0</v>
      </c>
    </row>
    <row r="496" spans="1:9">
      <c r="A496" t="s">
        <v>8506</v>
      </c>
      <c r="B496" t="s">
        <v>8495</v>
      </c>
      <c r="C496">
        <v>1840</v>
      </c>
      <c r="D496">
        <v>1</v>
      </c>
      <c r="E496" s="23">
        <v>19</v>
      </c>
      <c r="F496" t="s">
        <v>8102</v>
      </c>
      <c r="G496" t="s">
        <v>10484</v>
      </c>
      <c r="H496" t="s">
        <v>8021</v>
      </c>
      <c r="I496">
        <f>_xlfn.LET(_xlpm.id,TRIM($A496),IF(_xlpm.id="","",SUM(COUNTIF('1. OP'!$M:$M,_xlpm.id),COUNTIF('2. JSEL'!$M:$M,_xlpm.id),COUNTIF('3. PSM'!$M:$M,_xlpm.id),COUNTIF('4. SSP'!$M:$M,_xlpm.id),COUNTIF('5. JSACI'!$M:$M,_xlpm.id),COUNTIF('6. AIN'!$M:$M,_xlpm.id),COUNTIF('7. MS'!$M:$M,_xlpm.id),COUNTIF('8. DS'!$M:$M,_xlpm.id),COUNTIF('9. RMF'!$M:$M,_xlpm.id),COUNTIF('10. PCU'!$M:$M,_xlpm.id))))</f>
        <v>0</v>
      </c>
    </row>
    <row r="497" spans="1:9">
      <c r="A497" t="s">
        <v>6587</v>
      </c>
      <c r="B497" t="s">
        <v>8507</v>
      </c>
      <c r="C497" t="s">
        <v>8257</v>
      </c>
      <c r="D497">
        <v>1</v>
      </c>
      <c r="E497" s="23">
        <v>1</v>
      </c>
      <c r="F497" t="s">
        <v>8102</v>
      </c>
      <c r="G497" t="s">
        <v>10484</v>
      </c>
      <c r="H497" t="s">
        <v>8021</v>
      </c>
      <c r="I497">
        <f>_xlfn.LET(_xlpm.id,TRIM($A497),IF(_xlpm.id="","",SUM(COUNTIF('1. OP'!$M:$M,_xlpm.id),COUNTIF('2. JSEL'!$M:$M,_xlpm.id),COUNTIF('3. PSM'!$M:$M,_xlpm.id),COUNTIF('4. SSP'!$M:$M,_xlpm.id),COUNTIF('5. JSACI'!$M:$M,_xlpm.id),COUNTIF('6. AIN'!$M:$M,_xlpm.id),COUNTIF('7. MS'!$M:$M,_xlpm.id),COUNTIF('8. DS'!$M:$M,_xlpm.id),COUNTIF('9. RMF'!$M:$M,_xlpm.id),COUNTIF('10. PCU'!$M:$M,_xlpm.id))))</f>
        <v>3</v>
      </c>
    </row>
    <row r="498" spans="1:9">
      <c r="A498" t="s">
        <v>8508</v>
      </c>
      <c r="B498" t="s">
        <v>8507</v>
      </c>
      <c r="C498">
        <v>1834</v>
      </c>
      <c r="D498">
        <v>1</v>
      </c>
      <c r="E498" s="23">
        <v>2</v>
      </c>
      <c r="F498" t="s">
        <v>8102</v>
      </c>
      <c r="G498" t="s">
        <v>10484</v>
      </c>
      <c r="H498" t="s">
        <v>8021</v>
      </c>
      <c r="I498">
        <f>_xlfn.LET(_xlpm.id,TRIM($A498),IF(_xlpm.id="","",SUM(COUNTIF('1. OP'!$M:$M,_xlpm.id),COUNTIF('2. JSEL'!$M:$M,_xlpm.id),COUNTIF('3. PSM'!$M:$M,_xlpm.id),COUNTIF('4. SSP'!$M:$M,_xlpm.id),COUNTIF('5. JSACI'!$M:$M,_xlpm.id),COUNTIF('6. AIN'!$M:$M,_xlpm.id),COUNTIF('7. MS'!$M:$M,_xlpm.id),COUNTIF('8. DS'!$M:$M,_xlpm.id),COUNTIF('9. RMF'!$M:$M,_xlpm.id),COUNTIF('10. PCU'!$M:$M,_xlpm.id))))</f>
        <v>0</v>
      </c>
    </row>
    <row r="499" spans="1:9">
      <c r="A499" t="s">
        <v>8509</v>
      </c>
      <c r="B499" t="s">
        <v>8507</v>
      </c>
      <c r="C499" t="s">
        <v>8260</v>
      </c>
      <c r="D499">
        <v>1</v>
      </c>
      <c r="E499" s="23">
        <v>3</v>
      </c>
      <c r="F499" t="s">
        <v>8102</v>
      </c>
      <c r="G499" t="s">
        <v>10484</v>
      </c>
      <c r="H499" t="s">
        <v>8021</v>
      </c>
      <c r="I499">
        <f>_xlfn.LET(_xlpm.id,TRIM($A499),IF(_xlpm.id="","",SUM(COUNTIF('1. OP'!$M:$M,_xlpm.id),COUNTIF('2. JSEL'!$M:$M,_xlpm.id),COUNTIF('3. PSM'!$M:$M,_xlpm.id),COUNTIF('4. SSP'!$M:$M,_xlpm.id),COUNTIF('5. JSACI'!$M:$M,_xlpm.id),COUNTIF('6. AIN'!$M:$M,_xlpm.id),COUNTIF('7. MS'!$M:$M,_xlpm.id),COUNTIF('8. DS'!$M:$M,_xlpm.id),COUNTIF('9. RMF'!$M:$M,_xlpm.id),COUNTIF('10. PCU'!$M:$M,_xlpm.id))))</f>
        <v>0</v>
      </c>
    </row>
    <row r="500" spans="1:9">
      <c r="A500" t="s">
        <v>8510</v>
      </c>
      <c r="B500" t="s">
        <v>8507</v>
      </c>
      <c r="C500">
        <v>1839</v>
      </c>
      <c r="D500">
        <v>2</v>
      </c>
      <c r="E500" s="23">
        <v>1</v>
      </c>
      <c r="F500" t="s">
        <v>8102</v>
      </c>
      <c r="G500" t="s">
        <v>10484</v>
      </c>
      <c r="H500" t="s">
        <v>8021</v>
      </c>
      <c r="I500">
        <f>_xlfn.LET(_xlpm.id,TRIM($A500),IF(_xlpm.id="","",SUM(COUNTIF('1. OP'!$M:$M,_xlpm.id),COUNTIF('2. JSEL'!$M:$M,_xlpm.id),COUNTIF('3. PSM'!$M:$M,_xlpm.id),COUNTIF('4. SSP'!$M:$M,_xlpm.id),COUNTIF('5. JSACI'!$M:$M,_xlpm.id),COUNTIF('6. AIN'!$M:$M,_xlpm.id),COUNTIF('7. MS'!$M:$M,_xlpm.id),COUNTIF('8. DS'!$M:$M,_xlpm.id),COUNTIF('9. RMF'!$M:$M,_xlpm.id),COUNTIF('10. PCU'!$M:$M,_xlpm.id))))</f>
        <v>0</v>
      </c>
    </row>
    <row r="501" spans="1:9">
      <c r="A501" t="s">
        <v>6472</v>
      </c>
      <c r="B501" t="s">
        <v>8511</v>
      </c>
      <c r="C501">
        <v>1827</v>
      </c>
      <c r="D501">
        <v>1</v>
      </c>
      <c r="E501" s="23">
        <v>5</v>
      </c>
      <c r="F501" t="s">
        <v>8102</v>
      </c>
      <c r="G501" t="s">
        <v>10484</v>
      </c>
      <c r="H501" t="s">
        <v>8021</v>
      </c>
      <c r="I501">
        <f>_xlfn.LET(_xlpm.id,TRIM($A501),IF(_xlpm.id="","",SUM(COUNTIF('1. OP'!$M:$M,_xlpm.id),COUNTIF('2. JSEL'!$M:$M,_xlpm.id),COUNTIF('3. PSM'!$M:$M,_xlpm.id),COUNTIF('4. SSP'!$M:$M,_xlpm.id),COUNTIF('5. JSACI'!$M:$M,_xlpm.id),COUNTIF('6. AIN'!$M:$M,_xlpm.id),COUNTIF('7. MS'!$M:$M,_xlpm.id),COUNTIF('8. DS'!$M:$M,_xlpm.id),COUNTIF('9. RMF'!$M:$M,_xlpm.id),COUNTIF('10. PCU'!$M:$M,_xlpm.id))))</f>
        <v>3</v>
      </c>
    </row>
    <row r="502" spans="1:9">
      <c r="A502" t="s">
        <v>8512</v>
      </c>
      <c r="B502" t="s">
        <v>8511</v>
      </c>
      <c r="C502">
        <v>1827</v>
      </c>
      <c r="D502">
        <v>1</v>
      </c>
      <c r="E502" s="23">
        <v>6</v>
      </c>
      <c r="F502" t="s">
        <v>8102</v>
      </c>
      <c r="G502" t="s">
        <v>10484</v>
      </c>
      <c r="H502" t="s">
        <v>8021</v>
      </c>
      <c r="I502">
        <f>_xlfn.LET(_xlpm.id,TRIM($A502),IF(_xlpm.id="","",SUM(COUNTIF('1. OP'!$M:$M,_xlpm.id),COUNTIF('2. JSEL'!$M:$M,_xlpm.id),COUNTIF('3. PSM'!$M:$M,_xlpm.id),COUNTIF('4. SSP'!$M:$M,_xlpm.id),COUNTIF('5. JSACI'!$M:$M,_xlpm.id),COUNTIF('6. AIN'!$M:$M,_xlpm.id),COUNTIF('7. MS'!$M:$M,_xlpm.id),COUNTIF('8. DS'!$M:$M,_xlpm.id),COUNTIF('9. RMF'!$M:$M,_xlpm.id),COUNTIF('10. PCU'!$M:$M,_xlpm.id))))</f>
        <v>0</v>
      </c>
    </row>
    <row r="503" spans="1:9">
      <c r="A503" t="s">
        <v>8513</v>
      </c>
      <c r="B503" t="s">
        <v>8511</v>
      </c>
      <c r="C503">
        <v>1830</v>
      </c>
      <c r="D503">
        <v>1</v>
      </c>
      <c r="E503" s="23">
        <v>1</v>
      </c>
      <c r="F503" t="s">
        <v>8102</v>
      </c>
      <c r="G503" t="s">
        <v>10484</v>
      </c>
      <c r="H503" t="s">
        <v>8021</v>
      </c>
      <c r="I503">
        <f>_xlfn.LET(_xlpm.id,TRIM($A503),IF(_xlpm.id="","",SUM(COUNTIF('1. OP'!$M:$M,_xlpm.id),COUNTIF('2. JSEL'!$M:$M,_xlpm.id),COUNTIF('3. PSM'!$M:$M,_xlpm.id),COUNTIF('4. SSP'!$M:$M,_xlpm.id),COUNTIF('5. JSACI'!$M:$M,_xlpm.id),COUNTIF('6. AIN'!$M:$M,_xlpm.id),COUNTIF('7. MS'!$M:$M,_xlpm.id),COUNTIF('8. DS'!$M:$M,_xlpm.id),COUNTIF('9. RMF'!$M:$M,_xlpm.id),COUNTIF('10. PCU'!$M:$M,_xlpm.id))))</f>
        <v>0</v>
      </c>
    </row>
    <row r="504" spans="1:9">
      <c r="A504" t="s">
        <v>8514</v>
      </c>
      <c r="B504" t="s">
        <v>8511</v>
      </c>
      <c r="C504">
        <v>1830</v>
      </c>
      <c r="D504">
        <v>1</v>
      </c>
      <c r="E504" s="23">
        <v>2</v>
      </c>
      <c r="F504" t="s">
        <v>8102</v>
      </c>
      <c r="G504" t="s">
        <v>10484</v>
      </c>
      <c r="H504" t="s">
        <v>8021</v>
      </c>
      <c r="I504">
        <f>_xlfn.LET(_xlpm.id,TRIM($A504),IF(_xlpm.id="","",SUM(COUNTIF('1. OP'!$M:$M,_xlpm.id),COUNTIF('2. JSEL'!$M:$M,_xlpm.id),COUNTIF('3. PSM'!$M:$M,_xlpm.id),COUNTIF('4. SSP'!$M:$M,_xlpm.id),COUNTIF('5. JSACI'!$M:$M,_xlpm.id),COUNTIF('6. AIN'!$M:$M,_xlpm.id),COUNTIF('7. MS'!$M:$M,_xlpm.id),COUNTIF('8. DS'!$M:$M,_xlpm.id),COUNTIF('9. RMF'!$M:$M,_xlpm.id),COUNTIF('10. PCU'!$M:$M,_xlpm.id))))</f>
        <v>0</v>
      </c>
    </row>
    <row r="505" spans="1:9">
      <c r="A505" t="s">
        <v>8515</v>
      </c>
      <c r="B505" t="s">
        <v>8511</v>
      </c>
      <c r="C505">
        <v>1830</v>
      </c>
      <c r="D505">
        <v>1</v>
      </c>
      <c r="E505" s="23">
        <v>3</v>
      </c>
      <c r="F505" t="s">
        <v>8102</v>
      </c>
      <c r="G505" t="s">
        <v>10484</v>
      </c>
      <c r="H505" t="s">
        <v>8021</v>
      </c>
      <c r="I505">
        <f>_xlfn.LET(_xlpm.id,TRIM($A505),IF(_xlpm.id="","",SUM(COUNTIF('1. OP'!$M:$M,_xlpm.id),COUNTIF('2. JSEL'!$M:$M,_xlpm.id),COUNTIF('3. PSM'!$M:$M,_xlpm.id),COUNTIF('4. SSP'!$M:$M,_xlpm.id),COUNTIF('5. JSACI'!$M:$M,_xlpm.id),COUNTIF('6. AIN'!$M:$M,_xlpm.id),COUNTIF('7. MS'!$M:$M,_xlpm.id),COUNTIF('8. DS'!$M:$M,_xlpm.id),COUNTIF('9. RMF'!$M:$M,_xlpm.id),COUNTIF('10. PCU'!$M:$M,_xlpm.id))))</f>
        <v>0</v>
      </c>
    </row>
    <row r="506" spans="1:9">
      <c r="A506" t="s">
        <v>6711</v>
      </c>
      <c r="B506" t="s">
        <v>8511</v>
      </c>
      <c r="C506">
        <v>1830</v>
      </c>
      <c r="D506">
        <v>1</v>
      </c>
      <c r="E506" s="23">
        <v>4</v>
      </c>
      <c r="F506" t="s">
        <v>8102</v>
      </c>
      <c r="G506" t="s">
        <v>10484</v>
      </c>
      <c r="H506" t="s">
        <v>8021</v>
      </c>
      <c r="I506">
        <f>_xlfn.LET(_xlpm.id,TRIM($A506),IF(_xlpm.id="","",SUM(COUNTIF('1. OP'!$M:$M,_xlpm.id),COUNTIF('2. JSEL'!$M:$M,_xlpm.id),COUNTIF('3. PSM'!$M:$M,_xlpm.id),COUNTIF('4. SSP'!$M:$M,_xlpm.id),COUNTIF('5. JSACI'!$M:$M,_xlpm.id),COUNTIF('6. AIN'!$M:$M,_xlpm.id),COUNTIF('7. MS'!$M:$M,_xlpm.id),COUNTIF('8. DS'!$M:$M,_xlpm.id),COUNTIF('9. RMF'!$M:$M,_xlpm.id),COUNTIF('10. PCU'!$M:$M,_xlpm.id))))</f>
        <v>1</v>
      </c>
    </row>
    <row r="507" spans="1:9">
      <c r="A507" t="s">
        <v>8516</v>
      </c>
      <c r="B507" t="s">
        <v>8511</v>
      </c>
      <c r="C507">
        <v>1830</v>
      </c>
      <c r="D507">
        <v>1</v>
      </c>
      <c r="E507" s="23">
        <v>5</v>
      </c>
      <c r="F507" t="s">
        <v>8102</v>
      </c>
      <c r="G507" t="s">
        <v>10484</v>
      </c>
      <c r="H507" t="s">
        <v>8021</v>
      </c>
      <c r="I507">
        <f>_xlfn.LET(_xlpm.id,TRIM($A507),IF(_xlpm.id="","",SUM(COUNTIF('1. OP'!$M:$M,_xlpm.id),COUNTIF('2. JSEL'!$M:$M,_xlpm.id),COUNTIF('3. PSM'!$M:$M,_xlpm.id),COUNTIF('4. SSP'!$M:$M,_xlpm.id),COUNTIF('5. JSACI'!$M:$M,_xlpm.id),COUNTIF('6. AIN'!$M:$M,_xlpm.id),COUNTIF('7. MS'!$M:$M,_xlpm.id),COUNTIF('8. DS'!$M:$M,_xlpm.id),COUNTIF('9. RMF'!$M:$M,_xlpm.id),COUNTIF('10. PCU'!$M:$M,_xlpm.id))))</f>
        <v>0</v>
      </c>
    </row>
    <row r="508" spans="1:9">
      <c r="A508" t="s">
        <v>6488</v>
      </c>
      <c r="B508" t="s">
        <v>8511</v>
      </c>
      <c r="C508">
        <v>1830</v>
      </c>
      <c r="D508">
        <v>1</v>
      </c>
      <c r="E508" s="23">
        <v>6</v>
      </c>
      <c r="F508" t="s">
        <v>8102</v>
      </c>
      <c r="G508" t="s">
        <v>10484</v>
      </c>
      <c r="H508" t="s">
        <v>8021</v>
      </c>
      <c r="I508">
        <f>_xlfn.LET(_xlpm.id,TRIM($A508),IF(_xlpm.id="","",SUM(COUNTIF('1. OP'!$M:$M,_xlpm.id),COUNTIF('2. JSEL'!$M:$M,_xlpm.id),COUNTIF('3. PSM'!$M:$M,_xlpm.id),COUNTIF('4. SSP'!$M:$M,_xlpm.id),COUNTIF('5. JSACI'!$M:$M,_xlpm.id),COUNTIF('6. AIN'!$M:$M,_xlpm.id),COUNTIF('7. MS'!$M:$M,_xlpm.id),COUNTIF('8. DS'!$M:$M,_xlpm.id),COUNTIF('9. RMF'!$M:$M,_xlpm.id),COUNTIF('10. PCU'!$M:$M,_xlpm.id))))</f>
        <v>6</v>
      </c>
    </row>
    <row r="509" spans="1:9">
      <c r="A509" t="s">
        <v>6489</v>
      </c>
      <c r="B509" t="s">
        <v>8511</v>
      </c>
      <c r="C509">
        <v>1830</v>
      </c>
      <c r="D509">
        <v>1</v>
      </c>
      <c r="E509" s="23">
        <v>11</v>
      </c>
      <c r="F509" t="s">
        <v>8102</v>
      </c>
      <c r="G509" t="s">
        <v>10484</v>
      </c>
      <c r="H509" t="s">
        <v>8021</v>
      </c>
      <c r="I509">
        <f>_xlfn.LET(_xlpm.id,TRIM($A509),IF(_xlpm.id="","",SUM(COUNTIF('1. OP'!$M:$M,_xlpm.id),COUNTIF('2. JSEL'!$M:$M,_xlpm.id),COUNTIF('3. PSM'!$M:$M,_xlpm.id),COUNTIF('4. SSP'!$M:$M,_xlpm.id),COUNTIF('5. JSACI'!$M:$M,_xlpm.id),COUNTIF('6. AIN'!$M:$M,_xlpm.id),COUNTIF('7. MS'!$M:$M,_xlpm.id),COUNTIF('8. DS'!$M:$M,_xlpm.id),COUNTIF('9. RMF'!$M:$M,_xlpm.id),COUNTIF('10. PCU'!$M:$M,_xlpm.id))))</f>
        <v>3</v>
      </c>
    </row>
    <row r="510" spans="1:9">
      <c r="A510" t="s">
        <v>5134</v>
      </c>
      <c r="B510" t="s">
        <v>8511</v>
      </c>
      <c r="C510">
        <v>1830</v>
      </c>
      <c r="D510">
        <v>1</v>
      </c>
      <c r="E510" s="23">
        <v>12</v>
      </c>
      <c r="F510" t="s">
        <v>8102</v>
      </c>
      <c r="G510" t="s">
        <v>10484</v>
      </c>
      <c r="H510" t="s">
        <v>8021</v>
      </c>
      <c r="I510">
        <f>_xlfn.LET(_xlpm.id,TRIM($A510),IF(_xlpm.id="","",SUM(COUNTIF('1. OP'!$M:$M,_xlpm.id),COUNTIF('2. JSEL'!$M:$M,_xlpm.id),COUNTIF('3. PSM'!$M:$M,_xlpm.id),COUNTIF('4. SSP'!$M:$M,_xlpm.id),COUNTIF('5. JSACI'!$M:$M,_xlpm.id),COUNTIF('6. AIN'!$M:$M,_xlpm.id),COUNTIF('7. MS'!$M:$M,_xlpm.id),COUNTIF('8. DS'!$M:$M,_xlpm.id),COUNTIF('9. RMF'!$M:$M,_xlpm.id),COUNTIF('10. PCU'!$M:$M,_xlpm.id))))</f>
        <v>4</v>
      </c>
    </row>
    <row r="511" spans="1:9">
      <c r="A511" t="s">
        <v>8517</v>
      </c>
      <c r="B511" t="s">
        <v>8511</v>
      </c>
      <c r="C511">
        <v>1831</v>
      </c>
      <c r="D511">
        <v>1</v>
      </c>
      <c r="E511" s="23">
        <v>7</v>
      </c>
      <c r="F511" t="s">
        <v>8102</v>
      </c>
      <c r="G511" t="s">
        <v>10484</v>
      </c>
      <c r="H511" t="s">
        <v>8021</v>
      </c>
      <c r="I511">
        <f>_xlfn.LET(_xlpm.id,TRIM($A511),IF(_xlpm.id="","",SUM(COUNTIF('1. OP'!$M:$M,_xlpm.id),COUNTIF('2. JSEL'!$M:$M,_xlpm.id),COUNTIF('3. PSM'!$M:$M,_xlpm.id),COUNTIF('4. SSP'!$M:$M,_xlpm.id),COUNTIF('5. JSACI'!$M:$M,_xlpm.id),COUNTIF('6. AIN'!$M:$M,_xlpm.id),COUNTIF('7. MS'!$M:$M,_xlpm.id),COUNTIF('8. DS'!$M:$M,_xlpm.id),COUNTIF('9. RMF'!$M:$M,_xlpm.id),COUNTIF('10. PCU'!$M:$M,_xlpm.id))))</f>
        <v>0</v>
      </c>
    </row>
    <row r="512" spans="1:9">
      <c r="A512" t="s">
        <v>8518</v>
      </c>
      <c r="B512" t="s">
        <v>8511</v>
      </c>
      <c r="C512">
        <v>1831</v>
      </c>
      <c r="D512">
        <v>1</v>
      </c>
      <c r="E512" s="23">
        <v>8</v>
      </c>
      <c r="F512" t="s">
        <v>8102</v>
      </c>
      <c r="G512" t="s">
        <v>10484</v>
      </c>
      <c r="H512" t="s">
        <v>8021</v>
      </c>
      <c r="I512">
        <f>_xlfn.LET(_xlpm.id,TRIM($A512),IF(_xlpm.id="","",SUM(COUNTIF('1. OP'!$M:$M,_xlpm.id),COUNTIF('2. JSEL'!$M:$M,_xlpm.id),COUNTIF('3. PSM'!$M:$M,_xlpm.id),COUNTIF('4. SSP'!$M:$M,_xlpm.id),COUNTIF('5. JSACI'!$M:$M,_xlpm.id),COUNTIF('6. AIN'!$M:$M,_xlpm.id),COUNTIF('7. MS'!$M:$M,_xlpm.id),COUNTIF('8. DS'!$M:$M,_xlpm.id),COUNTIF('9. RMF'!$M:$M,_xlpm.id),COUNTIF('10. PCU'!$M:$M,_xlpm.id))))</f>
        <v>0</v>
      </c>
    </row>
    <row r="513" spans="1:9">
      <c r="A513" t="s">
        <v>6715</v>
      </c>
      <c r="B513" t="s">
        <v>8511</v>
      </c>
      <c r="C513">
        <v>1831</v>
      </c>
      <c r="D513">
        <v>1</v>
      </c>
      <c r="E513" s="23">
        <v>9</v>
      </c>
      <c r="F513" t="s">
        <v>8102</v>
      </c>
      <c r="G513" t="s">
        <v>10484</v>
      </c>
      <c r="H513" t="s">
        <v>8021</v>
      </c>
      <c r="I513">
        <f>_xlfn.LET(_xlpm.id,TRIM($A513),IF(_xlpm.id="","",SUM(COUNTIF('1. OP'!$M:$M,_xlpm.id),COUNTIF('2. JSEL'!$M:$M,_xlpm.id),COUNTIF('3. PSM'!$M:$M,_xlpm.id),COUNTIF('4. SSP'!$M:$M,_xlpm.id),COUNTIF('5. JSACI'!$M:$M,_xlpm.id),COUNTIF('6. AIN'!$M:$M,_xlpm.id),COUNTIF('7. MS'!$M:$M,_xlpm.id),COUNTIF('8. DS'!$M:$M,_xlpm.id),COUNTIF('9. RMF'!$M:$M,_xlpm.id),COUNTIF('10. PCU'!$M:$M,_xlpm.id))))</f>
        <v>1</v>
      </c>
    </row>
    <row r="514" spans="1:9">
      <c r="A514" t="s">
        <v>8519</v>
      </c>
      <c r="B514" t="s">
        <v>8511</v>
      </c>
      <c r="C514">
        <v>1831</v>
      </c>
      <c r="D514">
        <v>1</v>
      </c>
      <c r="E514" s="23">
        <v>10</v>
      </c>
      <c r="F514" t="s">
        <v>8102</v>
      </c>
      <c r="G514" t="s">
        <v>10484</v>
      </c>
      <c r="H514" t="s">
        <v>8021</v>
      </c>
      <c r="I514">
        <f>_xlfn.LET(_xlpm.id,TRIM($A514),IF(_xlpm.id="","",SUM(COUNTIF('1. OP'!$M:$M,_xlpm.id),COUNTIF('2. JSEL'!$M:$M,_xlpm.id),COUNTIF('3. PSM'!$M:$M,_xlpm.id),COUNTIF('4. SSP'!$M:$M,_xlpm.id),COUNTIF('5. JSACI'!$M:$M,_xlpm.id),COUNTIF('6. AIN'!$M:$M,_xlpm.id),COUNTIF('7. MS'!$M:$M,_xlpm.id),COUNTIF('8. DS'!$M:$M,_xlpm.id),COUNTIF('9. RMF'!$M:$M,_xlpm.id),COUNTIF('10. PCU'!$M:$M,_xlpm.id))))</f>
        <v>0</v>
      </c>
    </row>
    <row r="515" spans="1:9">
      <c r="A515" t="s">
        <v>5147</v>
      </c>
      <c r="B515" t="s">
        <v>8511</v>
      </c>
      <c r="C515">
        <v>1831</v>
      </c>
      <c r="D515">
        <v>1</v>
      </c>
      <c r="E515" s="23">
        <v>13</v>
      </c>
      <c r="F515" t="s">
        <v>8102</v>
      </c>
      <c r="G515" t="s">
        <v>10484</v>
      </c>
      <c r="H515" t="s">
        <v>8021</v>
      </c>
      <c r="I515">
        <f>_xlfn.LET(_xlpm.id,TRIM($A515),IF(_xlpm.id="","",SUM(COUNTIF('1. OP'!$M:$M,_xlpm.id),COUNTIF('2. JSEL'!$M:$M,_xlpm.id),COUNTIF('3. PSM'!$M:$M,_xlpm.id),COUNTIF('4. SSP'!$M:$M,_xlpm.id),COUNTIF('5. JSACI'!$M:$M,_xlpm.id),COUNTIF('6. AIN'!$M:$M,_xlpm.id),COUNTIF('7. MS'!$M:$M,_xlpm.id),COUNTIF('8. DS'!$M:$M,_xlpm.id),COUNTIF('9. RMF'!$M:$M,_xlpm.id),COUNTIF('10. PCU'!$M:$M,_xlpm.id))))</f>
        <v>12</v>
      </c>
    </row>
    <row r="516" spans="1:9">
      <c r="A516" t="s">
        <v>5131</v>
      </c>
      <c r="B516" t="s">
        <v>8511</v>
      </c>
      <c r="C516">
        <v>1831</v>
      </c>
      <c r="D516">
        <v>1</v>
      </c>
      <c r="E516" s="23">
        <v>14</v>
      </c>
      <c r="F516" t="s">
        <v>8102</v>
      </c>
      <c r="G516" t="s">
        <v>10484</v>
      </c>
      <c r="H516" t="s">
        <v>8021</v>
      </c>
      <c r="I516">
        <f>_xlfn.LET(_xlpm.id,TRIM($A516),IF(_xlpm.id="","",SUM(COUNTIF('1. OP'!$M:$M,_xlpm.id),COUNTIF('2. JSEL'!$M:$M,_xlpm.id),COUNTIF('3. PSM'!$M:$M,_xlpm.id),COUNTIF('4. SSP'!$M:$M,_xlpm.id),COUNTIF('5. JSACI'!$M:$M,_xlpm.id),COUNTIF('6. AIN'!$M:$M,_xlpm.id),COUNTIF('7. MS'!$M:$M,_xlpm.id),COUNTIF('8. DS'!$M:$M,_xlpm.id),COUNTIF('9. RMF'!$M:$M,_xlpm.id),COUNTIF('10. PCU'!$M:$M,_xlpm.id))))</f>
        <v>10</v>
      </c>
    </row>
    <row r="517" spans="1:9">
      <c r="A517" t="s">
        <v>6531</v>
      </c>
      <c r="B517" t="s">
        <v>8511</v>
      </c>
      <c r="C517">
        <v>1832</v>
      </c>
      <c r="D517">
        <v>1</v>
      </c>
      <c r="E517" s="23">
        <v>1</v>
      </c>
      <c r="F517" t="s">
        <v>8102</v>
      </c>
      <c r="G517" t="s">
        <v>10484</v>
      </c>
      <c r="H517" t="s">
        <v>8021</v>
      </c>
      <c r="I517">
        <f>_xlfn.LET(_xlpm.id,TRIM($A517),IF(_xlpm.id="","",SUM(COUNTIF('1. OP'!$M:$M,_xlpm.id),COUNTIF('2. JSEL'!$M:$M,_xlpm.id),COUNTIF('3. PSM'!$M:$M,_xlpm.id),COUNTIF('4. SSP'!$M:$M,_xlpm.id),COUNTIF('5. JSACI'!$M:$M,_xlpm.id),COUNTIF('6. AIN'!$M:$M,_xlpm.id),COUNTIF('7. MS'!$M:$M,_xlpm.id),COUNTIF('8. DS'!$M:$M,_xlpm.id),COUNTIF('9. RMF'!$M:$M,_xlpm.id),COUNTIF('10. PCU'!$M:$M,_xlpm.id))))</f>
        <v>1</v>
      </c>
    </row>
    <row r="518" spans="1:9">
      <c r="A518" t="s">
        <v>8520</v>
      </c>
      <c r="B518" t="s">
        <v>8511</v>
      </c>
      <c r="C518">
        <v>1832</v>
      </c>
      <c r="D518">
        <v>1</v>
      </c>
      <c r="E518" s="23">
        <v>2</v>
      </c>
      <c r="F518" t="s">
        <v>8102</v>
      </c>
      <c r="G518" t="s">
        <v>10484</v>
      </c>
      <c r="H518" t="s">
        <v>8021</v>
      </c>
      <c r="I518">
        <f>_xlfn.LET(_xlpm.id,TRIM($A518),IF(_xlpm.id="","",SUM(COUNTIF('1. OP'!$M:$M,_xlpm.id),COUNTIF('2. JSEL'!$M:$M,_xlpm.id),COUNTIF('3. PSM'!$M:$M,_xlpm.id),COUNTIF('4. SSP'!$M:$M,_xlpm.id),COUNTIF('5. JSACI'!$M:$M,_xlpm.id),COUNTIF('6. AIN'!$M:$M,_xlpm.id),COUNTIF('7. MS'!$M:$M,_xlpm.id),COUNTIF('8. DS'!$M:$M,_xlpm.id),COUNTIF('9. RMF'!$M:$M,_xlpm.id),COUNTIF('10. PCU'!$M:$M,_xlpm.id))))</f>
        <v>0</v>
      </c>
    </row>
    <row r="519" spans="1:9">
      <c r="A519" t="s">
        <v>8521</v>
      </c>
      <c r="B519" t="s">
        <v>8511</v>
      </c>
      <c r="C519">
        <v>1832</v>
      </c>
      <c r="D519">
        <v>1</v>
      </c>
      <c r="E519" s="23">
        <v>3</v>
      </c>
      <c r="F519" t="s">
        <v>8102</v>
      </c>
      <c r="G519" t="s">
        <v>10484</v>
      </c>
      <c r="H519" t="s">
        <v>8021</v>
      </c>
      <c r="I519">
        <f>_xlfn.LET(_xlpm.id,TRIM($A519),IF(_xlpm.id="","",SUM(COUNTIF('1. OP'!$M:$M,_xlpm.id),COUNTIF('2. JSEL'!$M:$M,_xlpm.id),COUNTIF('3. PSM'!$M:$M,_xlpm.id),COUNTIF('4. SSP'!$M:$M,_xlpm.id),COUNTIF('5. JSACI'!$M:$M,_xlpm.id),COUNTIF('6. AIN'!$M:$M,_xlpm.id),COUNTIF('7. MS'!$M:$M,_xlpm.id),COUNTIF('8. DS'!$M:$M,_xlpm.id),COUNTIF('9. RMF'!$M:$M,_xlpm.id),COUNTIF('10. PCU'!$M:$M,_xlpm.id))))</f>
        <v>0</v>
      </c>
    </row>
    <row r="520" spans="1:9">
      <c r="A520" t="s">
        <v>6588</v>
      </c>
      <c r="B520" t="s">
        <v>8511</v>
      </c>
      <c r="C520">
        <v>1832</v>
      </c>
      <c r="D520">
        <v>1</v>
      </c>
      <c r="E520" s="23">
        <v>4</v>
      </c>
      <c r="F520" t="s">
        <v>8102</v>
      </c>
      <c r="G520" t="s">
        <v>10484</v>
      </c>
      <c r="H520" t="s">
        <v>8021</v>
      </c>
      <c r="I520">
        <f>_xlfn.LET(_xlpm.id,TRIM($A520),IF(_xlpm.id="","",SUM(COUNTIF('1. OP'!$M:$M,_xlpm.id),COUNTIF('2. JSEL'!$M:$M,_xlpm.id),COUNTIF('3. PSM'!$M:$M,_xlpm.id),COUNTIF('4. SSP'!$M:$M,_xlpm.id),COUNTIF('5. JSACI'!$M:$M,_xlpm.id),COUNTIF('6. AIN'!$M:$M,_xlpm.id),COUNTIF('7. MS'!$M:$M,_xlpm.id),COUNTIF('8. DS'!$M:$M,_xlpm.id),COUNTIF('9. RMF'!$M:$M,_xlpm.id),COUNTIF('10. PCU'!$M:$M,_xlpm.id))))</f>
        <v>3</v>
      </c>
    </row>
    <row r="521" spans="1:9">
      <c r="A521" t="s">
        <v>6586</v>
      </c>
      <c r="B521" t="s">
        <v>8511</v>
      </c>
      <c r="C521">
        <v>1832</v>
      </c>
      <c r="D521">
        <v>1</v>
      </c>
      <c r="E521" s="23">
        <v>5</v>
      </c>
      <c r="F521" t="s">
        <v>8102</v>
      </c>
      <c r="G521" t="s">
        <v>10484</v>
      </c>
      <c r="H521" t="s">
        <v>8021</v>
      </c>
      <c r="I521">
        <f>_xlfn.LET(_xlpm.id,TRIM($A521),IF(_xlpm.id="","",SUM(COUNTIF('1. OP'!$M:$M,_xlpm.id),COUNTIF('2. JSEL'!$M:$M,_xlpm.id),COUNTIF('3. PSM'!$M:$M,_xlpm.id),COUNTIF('4. SSP'!$M:$M,_xlpm.id),COUNTIF('5. JSACI'!$M:$M,_xlpm.id),COUNTIF('6. AIN'!$M:$M,_xlpm.id),COUNTIF('7. MS'!$M:$M,_xlpm.id),COUNTIF('8. DS'!$M:$M,_xlpm.id),COUNTIF('9. RMF'!$M:$M,_xlpm.id),COUNTIF('10. PCU'!$M:$M,_xlpm.id))))</f>
        <v>2</v>
      </c>
    </row>
    <row r="522" spans="1:9">
      <c r="A522" t="s">
        <v>8522</v>
      </c>
      <c r="B522" t="s">
        <v>8511</v>
      </c>
      <c r="C522">
        <v>1832</v>
      </c>
      <c r="D522">
        <v>1</v>
      </c>
      <c r="E522" s="23">
        <v>3</v>
      </c>
      <c r="F522" t="s">
        <v>8102</v>
      </c>
      <c r="G522" t="s">
        <v>10484</v>
      </c>
      <c r="H522" t="s">
        <v>8021</v>
      </c>
      <c r="I522">
        <f>_xlfn.LET(_xlpm.id,TRIM($A522),IF(_xlpm.id="","",SUM(COUNTIF('1. OP'!$M:$M,_xlpm.id),COUNTIF('2. JSEL'!$M:$M,_xlpm.id),COUNTIF('3. PSM'!$M:$M,_xlpm.id),COUNTIF('4. SSP'!$M:$M,_xlpm.id),COUNTIF('5. JSACI'!$M:$M,_xlpm.id),COUNTIF('6. AIN'!$M:$M,_xlpm.id),COUNTIF('7. MS'!$M:$M,_xlpm.id),COUNTIF('8. DS'!$M:$M,_xlpm.id),COUNTIF('9. RMF'!$M:$M,_xlpm.id),COUNTIF('10. PCU'!$M:$M,_xlpm.id))))</f>
        <v>0</v>
      </c>
    </row>
    <row r="523" spans="1:9">
      <c r="A523" t="s">
        <v>8523</v>
      </c>
      <c r="B523" t="s">
        <v>8511</v>
      </c>
      <c r="C523">
        <v>1832</v>
      </c>
      <c r="D523">
        <v>1</v>
      </c>
      <c r="E523" s="23">
        <v>7</v>
      </c>
      <c r="F523" t="s">
        <v>8102</v>
      </c>
      <c r="G523" t="s">
        <v>10484</v>
      </c>
      <c r="H523" t="s">
        <v>8021</v>
      </c>
      <c r="I523">
        <f>_xlfn.LET(_xlpm.id,TRIM($A523),IF(_xlpm.id="","",SUM(COUNTIF('1. OP'!$M:$M,_xlpm.id),COUNTIF('2. JSEL'!$M:$M,_xlpm.id),COUNTIF('3. PSM'!$M:$M,_xlpm.id),COUNTIF('4. SSP'!$M:$M,_xlpm.id),COUNTIF('5. JSACI'!$M:$M,_xlpm.id),COUNTIF('6. AIN'!$M:$M,_xlpm.id),COUNTIF('7. MS'!$M:$M,_xlpm.id),COUNTIF('8. DS'!$M:$M,_xlpm.id),COUNTIF('9. RMF'!$M:$M,_xlpm.id),COUNTIF('10. PCU'!$M:$M,_xlpm.id))))</f>
        <v>0</v>
      </c>
    </row>
    <row r="524" spans="1:9">
      <c r="A524" t="s">
        <v>8524</v>
      </c>
      <c r="B524" t="s">
        <v>8511</v>
      </c>
      <c r="C524">
        <v>1832</v>
      </c>
      <c r="D524">
        <v>1</v>
      </c>
      <c r="E524" s="23">
        <v>8</v>
      </c>
      <c r="F524" t="s">
        <v>8102</v>
      </c>
      <c r="G524" t="s">
        <v>10484</v>
      </c>
      <c r="H524" t="s">
        <v>8021</v>
      </c>
      <c r="I524">
        <f>_xlfn.LET(_xlpm.id,TRIM($A524),IF(_xlpm.id="","",SUM(COUNTIF('1. OP'!$M:$M,_xlpm.id),COUNTIF('2. JSEL'!$M:$M,_xlpm.id),COUNTIF('3. PSM'!$M:$M,_xlpm.id),COUNTIF('4. SSP'!$M:$M,_xlpm.id),COUNTIF('5. JSACI'!$M:$M,_xlpm.id),COUNTIF('6. AIN'!$M:$M,_xlpm.id),COUNTIF('7. MS'!$M:$M,_xlpm.id),COUNTIF('8. DS'!$M:$M,_xlpm.id),COUNTIF('9. RMF'!$M:$M,_xlpm.id),COUNTIF('10. PCU'!$M:$M,_xlpm.id))))</f>
        <v>0</v>
      </c>
    </row>
    <row r="525" spans="1:9">
      <c r="A525" t="s">
        <v>5144</v>
      </c>
      <c r="B525" t="s">
        <v>8511</v>
      </c>
      <c r="C525">
        <v>1832</v>
      </c>
      <c r="D525">
        <v>1</v>
      </c>
      <c r="E525" s="23">
        <v>9</v>
      </c>
      <c r="F525" t="s">
        <v>8102</v>
      </c>
      <c r="G525" t="s">
        <v>10484</v>
      </c>
      <c r="H525" t="s">
        <v>8021</v>
      </c>
      <c r="I525">
        <f>_xlfn.LET(_xlpm.id,TRIM($A525),IF(_xlpm.id="","",SUM(COUNTIF('1. OP'!$M:$M,_xlpm.id),COUNTIF('2. JSEL'!$M:$M,_xlpm.id),COUNTIF('3. PSM'!$M:$M,_xlpm.id),COUNTIF('4. SSP'!$M:$M,_xlpm.id),COUNTIF('5. JSACI'!$M:$M,_xlpm.id),COUNTIF('6. AIN'!$M:$M,_xlpm.id),COUNTIF('7. MS'!$M:$M,_xlpm.id),COUNTIF('8. DS'!$M:$M,_xlpm.id),COUNTIF('9. RMF'!$M:$M,_xlpm.id),COUNTIF('10. PCU'!$M:$M,_xlpm.id))))</f>
        <v>1</v>
      </c>
    </row>
    <row r="526" spans="1:9">
      <c r="A526" t="s">
        <v>6494</v>
      </c>
      <c r="B526" t="s">
        <v>8511</v>
      </c>
      <c r="C526">
        <v>1832</v>
      </c>
      <c r="D526">
        <v>1</v>
      </c>
      <c r="E526" s="23">
        <v>10</v>
      </c>
      <c r="F526" t="s">
        <v>8102</v>
      </c>
      <c r="G526" t="s">
        <v>10484</v>
      </c>
      <c r="H526" t="s">
        <v>8021</v>
      </c>
      <c r="I526">
        <f>_xlfn.LET(_xlpm.id,TRIM($A526),IF(_xlpm.id="","",SUM(COUNTIF('1. OP'!$M:$M,_xlpm.id),COUNTIF('2. JSEL'!$M:$M,_xlpm.id),COUNTIF('3. PSM'!$M:$M,_xlpm.id),COUNTIF('4. SSP'!$M:$M,_xlpm.id),COUNTIF('5. JSACI'!$M:$M,_xlpm.id),COUNTIF('6. AIN'!$M:$M,_xlpm.id),COUNTIF('7. MS'!$M:$M,_xlpm.id),COUNTIF('8. DS'!$M:$M,_xlpm.id),COUNTIF('9. RMF'!$M:$M,_xlpm.id),COUNTIF('10. PCU'!$M:$M,_xlpm.id))))</f>
        <v>2</v>
      </c>
    </row>
    <row r="527" spans="1:9">
      <c r="A527" t="s">
        <v>6576</v>
      </c>
      <c r="B527" t="s">
        <v>8511</v>
      </c>
      <c r="C527">
        <v>1832</v>
      </c>
      <c r="D527">
        <v>1</v>
      </c>
      <c r="E527" s="23">
        <v>15</v>
      </c>
      <c r="F527" t="s">
        <v>8102</v>
      </c>
      <c r="G527" t="s">
        <v>10484</v>
      </c>
      <c r="H527" t="s">
        <v>8021</v>
      </c>
      <c r="I527">
        <f>_xlfn.LET(_xlpm.id,TRIM($A527),IF(_xlpm.id="","",SUM(COUNTIF('1. OP'!$M:$M,_xlpm.id),COUNTIF('2. JSEL'!$M:$M,_xlpm.id),COUNTIF('3. PSM'!$M:$M,_xlpm.id),COUNTIF('4. SSP'!$M:$M,_xlpm.id),COUNTIF('5. JSACI'!$M:$M,_xlpm.id),COUNTIF('6. AIN'!$M:$M,_xlpm.id),COUNTIF('7. MS'!$M:$M,_xlpm.id),COUNTIF('8. DS'!$M:$M,_xlpm.id),COUNTIF('9. RMF'!$M:$M,_xlpm.id),COUNTIF('10. PCU'!$M:$M,_xlpm.id))))</f>
        <v>5</v>
      </c>
    </row>
    <row r="528" spans="1:9">
      <c r="A528" t="s">
        <v>6712</v>
      </c>
      <c r="B528" t="s">
        <v>8511</v>
      </c>
      <c r="C528">
        <v>1832</v>
      </c>
      <c r="D528">
        <v>1</v>
      </c>
      <c r="E528" s="23">
        <v>16</v>
      </c>
      <c r="F528" t="s">
        <v>8102</v>
      </c>
      <c r="G528" t="s">
        <v>10484</v>
      </c>
      <c r="H528" t="s">
        <v>8021</v>
      </c>
      <c r="I528">
        <f>_xlfn.LET(_xlpm.id,TRIM($A528),IF(_xlpm.id="","",SUM(COUNTIF('1. OP'!$M:$M,_xlpm.id),COUNTIF('2. JSEL'!$M:$M,_xlpm.id),COUNTIF('3. PSM'!$M:$M,_xlpm.id),COUNTIF('4. SSP'!$M:$M,_xlpm.id),COUNTIF('5. JSACI'!$M:$M,_xlpm.id),COUNTIF('6. AIN'!$M:$M,_xlpm.id),COUNTIF('7. MS'!$M:$M,_xlpm.id),COUNTIF('8. DS'!$M:$M,_xlpm.id),COUNTIF('9. RMF'!$M:$M,_xlpm.id),COUNTIF('10. PCU'!$M:$M,_xlpm.id))))</f>
        <v>3</v>
      </c>
    </row>
    <row r="529" spans="1:9">
      <c r="A529" t="s">
        <v>5137</v>
      </c>
      <c r="B529" t="s">
        <v>8511</v>
      </c>
      <c r="C529">
        <v>1833</v>
      </c>
      <c r="D529">
        <v>1</v>
      </c>
      <c r="E529" s="23">
        <v>17</v>
      </c>
      <c r="F529" t="s">
        <v>8102</v>
      </c>
      <c r="G529" t="s">
        <v>10484</v>
      </c>
      <c r="H529" t="s">
        <v>8021</v>
      </c>
      <c r="I529">
        <f>_xlfn.LET(_xlpm.id,TRIM($A529),IF(_xlpm.id="","",SUM(COUNTIF('1. OP'!$M:$M,_xlpm.id),COUNTIF('2. JSEL'!$M:$M,_xlpm.id),COUNTIF('3. PSM'!$M:$M,_xlpm.id),COUNTIF('4. SSP'!$M:$M,_xlpm.id),COUNTIF('5. JSACI'!$M:$M,_xlpm.id),COUNTIF('6. AIN'!$M:$M,_xlpm.id),COUNTIF('7. MS'!$M:$M,_xlpm.id),COUNTIF('8. DS'!$M:$M,_xlpm.id),COUNTIF('9. RMF'!$M:$M,_xlpm.id),COUNTIF('10. PCU'!$M:$M,_xlpm.id))))</f>
        <v>10</v>
      </c>
    </row>
    <row r="530" spans="1:9">
      <c r="A530" t="s">
        <v>5139</v>
      </c>
      <c r="B530" t="s">
        <v>8511</v>
      </c>
      <c r="C530">
        <v>1833</v>
      </c>
      <c r="D530">
        <v>1</v>
      </c>
      <c r="E530" s="23">
        <v>18</v>
      </c>
      <c r="F530" t="s">
        <v>8102</v>
      </c>
      <c r="G530" t="s">
        <v>10484</v>
      </c>
      <c r="H530" t="s">
        <v>8021</v>
      </c>
      <c r="I530">
        <f>_xlfn.LET(_xlpm.id,TRIM($A530),IF(_xlpm.id="","",SUM(COUNTIF('1. OP'!$M:$M,_xlpm.id),COUNTIF('2. JSEL'!$M:$M,_xlpm.id),COUNTIF('3. PSM'!$M:$M,_xlpm.id),COUNTIF('4. SSP'!$M:$M,_xlpm.id),COUNTIF('5. JSACI'!$M:$M,_xlpm.id),COUNTIF('6. AIN'!$M:$M,_xlpm.id),COUNTIF('7. MS'!$M:$M,_xlpm.id),COUNTIF('8. DS'!$M:$M,_xlpm.id),COUNTIF('9. RMF'!$M:$M,_xlpm.id),COUNTIF('10. PCU'!$M:$M,_xlpm.id))))</f>
        <v>5</v>
      </c>
    </row>
    <row r="531" spans="1:9">
      <c r="A531" t="s">
        <v>5235</v>
      </c>
      <c r="B531" t="s">
        <v>8511</v>
      </c>
      <c r="C531">
        <v>1834</v>
      </c>
      <c r="D531">
        <v>1</v>
      </c>
      <c r="E531" s="23">
        <v>19</v>
      </c>
      <c r="F531" t="s">
        <v>8102</v>
      </c>
      <c r="G531" t="s">
        <v>10484</v>
      </c>
      <c r="H531" t="s">
        <v>8021</v>
      </c>
      <c r="I531">
        <f>_xlfn.LET(_xlpm.id,TRIM($A531),IF(_xlpm.id="","",SUM(COUNTIF('1. OP'!$M:$M,_xlpm.id),COUNTIF('2. JSEL'!$M:$M,_xlpm.id),COUNTIF('3. PSM'!$M:$M,_xlpm.id),COUNTIF('4. SSP'!$M:$M,_xlpm.id),COUNTIF('5. JSACI'!$M:$M,_xlpm.id),COUNTIF('6. AIN'!$M:$M,_xlpm.id),COUNTIF('7. MS'!$M:$M,_xlpm.id),COUNTIF('8. DS'!$M:$M,_xlpm.id),COUNTIF('9. RMF'!$M:$M,_xlpm.id),COUNTIF('10. PCU'!$M:$M,_xlpm.id))))</f>
        <v>14</v>
      </c>
    </row>
    <row r="532" spans="1:9">
      <c r="A532" t="s">
        <v>5467</v>
      </c>
      <c r="B532" t="s">
        <v>8511</v>
      </c>
      <c r="C532">
        <v>1834</v>
      </c>
      <c r="D532">
        <v>1</v>
      </c>
      <c r="E532" s="23">
        <v>20</v>
      </c>
      <c r="F532" t="s">
        <v>8102</v>
      </c>
      <c r="G532" t="s">
        <v>10484</v>
      </c>
      <c r="H532" t="s">
        <v>8021</v>
      </c>
      <c r="I532">
        <f>_xlfn.LET(_xlpm.id,TRIM($A532),IF(_xlpm.id="","",SUM(COUNTIF('1. OP'!$M:$M,_xlpm.id),COUNTIF('2. JSEL'!$M:$M,_xlpm.id),COUNTIF('3. PSM'!$M:$M,_xlpm.id),COUNTIF('4. SSP'!$M:$M,_xlpm.id),COUNTIF('5. JSACI'!$M:$M,_xlpm.id),COUNTIF('6. AIN'!$M:$M,_xlpm.id),COUNTIF('7. MS'!$M:$M,_xlpm.id),COUNTIF('8. DS'!$M:$M,_xlpm.id),COUNTIF('9. RMF'!$M:$M,_xlpm.id),COUNTIF('10. PCU'!$M:$M,_xlpm.id))))</f>
        <v>15</v>
      </c>
    </row>
    <row r="533" spans="1:9">
      <c r="A533" t="s">
        <v>6545</v>
      </c>
      <c r="B533" t="s">
        <v>8511</v>
      </c>
      <c r="C533">
        <v>1835</v>
      </c>
      <c r="D533">
        <v>1</v>
      </c>
      <c r="E533" s="23">
        <v>21</v>
      </c>
      <c r="F533" t="s">
        <v>8102</v>
      </c>
      <c r="G533" t="s">
        <v>10484</v>
      </c>
      <c r="H533" t="s">
        <v>8021</v>
      </c>
      <c r="I533">
        <f>_xlfn.LET(_xlpm.id,TRIM($A533),IF(_xlpm.id="","",SUM(COUNTIF('1. OP'!$M:$M,_xlpm.id),COUNTIF('2. JSEL'!$M:$M,_xlpm.id),COUNTIF('3. PSM'!$M:$M,_xlpm.id),COUNTIF('4. SSP'!$M:$M,_xlpm.id),COUNTIF('5. JSACI'!$M:$M,_xlpm.id),COUNTIF('6. AIN'!$M:$M,_xlpm.id),COUNTIF('7. MS'!$M:$M,_xlpm.id),COUNTIF('8. DS'!$M:$M,_xlpm.id),COUNTIF('9. RMF'!$M:$M,_xlpm.id),COUNTIF('10. PCU'!$M:$M,_xlpm.id))))</f>
        <v>8</v>
      </c>
    </row>
    <row r="534" spans="1:9">
      <c r="A534" t="s">
        <v>6547</v>
      </c>
      <c r="B534" t="s">
        <v>8511</v>
      </c>
      <c r="C534">
        <v>1835</v>
      </c>
      <c r="D534">
        <v>1</v>
      </c>
      <c r="E534" s="23">
        <v>22</v>
      </c>
      <c r="F534" t="s">
        <v>8102</v>
      </c>
      <c r="G534" t="s">
        <v>10484</v>
      </c>
      <c r="H534" t="s">
        <v>8021</v>
      </c>
      <c r="I534">
        <f>_xlfn.LET(_xlpm.id,TRIM($A534),IF(_xlpm.id="","",SUM(COUNTIF('1. OP'!$M:$M,_xlpm.id),COUNTIF('2. JSEL'!$M:$M,_xlpm.id),COUNTIF('3. PSM'!$M:$M,_xlpm.id),COUNTIF('4. SSP'!$M:$M,_xlpm.id),COUNTIF('5. JSACI'!$M:$M,_xlpm.id),COUNTIF('6. AIN'!$M:$M,_xlpm.id),COUNTIF('7. MS'!$M:$M,_xlpm.id),COUNTIF('8. DS'!$M:$M,_xlpm.id),COUNTIF('9. RMF'!$M:$M,_xlpm.id),COUNTIF('10. PCU'!$M:$M,_xlpm.id))))</f>
        <v>3</v>
      </c>
    </row>
    <row r="535" spans="1:9">
      <c r="A535" t="s">
        <v>5119</v>
      </c>
      <c r="B535" t="s">
        <v>8511</v>
      </c>
      <c r="C535">
        <v>1836</v>
      </c>
      <c r="D535">
        <v>1</v>
      </c>
      <c r="E535" s="23">
        <v>23</v>
      </c>
      <c r="F535" t="s">
        <v>8102</v>
      </c>
      <c r="G535" t="s">
        <v>10484</v>
      </c>
      <c r="H535" t="s">
        <v>8021</v>
      </c>
      <c r="I535">
        <f>_xlfn.LET(_xlpm.id,TRIM($A535),IF(_xlpm.id="","",SUM(COUNTIF('1. OP'!$M:$M,_xlpm.id),COUNTIF('2. JSEL'!$M:$M,_xlpm.id),COUNTIF('3. PSM'!$M:$M,_xlpm.id),COUNTIF('4. SSP'!$M:$M,_xlpm.id),COUNTIF('5. JSACI'!$M:$M,_xlpm.id),COUNTIF('6. AIN'!$M:$M,_xlpm.id),COUNTIF('7. MS'!$M:$M,_xlpm.id),COUNTIF('8. DS'!$M:$M,_xlpm.id),COUNTIF('9. RMF'!$M:$M,_xlpm.id),COUNTIF('10. PCU'!$M:$M,_xlpm.id))))</f>
        <v>25</v>
      </c>
    </row>
    <row r="536" spans="1:9">
      <c r="A536" t="s">
        <v>5120</v>
      </c>
      <c r="B536" t="s">
        <v>8511</v>
      </c>
      <c r="C536">
        <v>1836</v>
      </c>
      <c r="D536">
        <v>1</v>
      </c>
      <c r="E536" s="23">
        <v>24</v>
      </c>
      <c r="F536" t="s">
        <v>8102</v>
      </c>
      <c r="G536" t="s">
        <v>10484</v>
      </c>
      <c r="H536" t="s">
        <v>8021</v>
      </c>
      <c r="I536">
        <f>_xlfn.LET(_xlpm.id,TRIM($A536),IF(_xlpm.id="","",SUM(COUNTIF('1. OP'!$M:$M,_xlpm.id),COUNTIF('2. JSEL'!$M:$M,_xlpm.id),COUNTIF('3. PSM'!$M:$M,_xlpm.id),COUNTIF('4. SSP'!$M:$M,_xlpm.id),COUNTIF('5. JSACI'!$M:$M,_xlpm.id),COUNTIF('6. AIN'!$M:$M,_xlpm.id),COUNTIF('7. MS'!$M:$M,_xlpm.id),COUNTIF('8. DS'!$M:$M,_xlpm.id),COUNTIF('9. RMF'!$M:$M,_xlpm.id),COUNTIF('10. PCU'!$M:$M,_xlpm.id))))</f>
        <v>14</v>
      </c>
    </row>
    <row r="537" spans="1:9">
      <c r="A537" t="s">
        <v>5191</v>
      </c>
      <c r="B537" t="s">
        <v>8511</v>
      </c>
      <c r="C537">
        <v>1837</v>
      </c>
      <c r="D537">
        <v>1</v>
      </c>
      <c r="E537" s="23">
        <v>25</v>
      </c>
      <c r="F537" t="s">
        <v>8102</v>
      </c>
      <c r="G537" t="s">
        <v>10484</v>
      </c>
      <c r="H537" t="s">
        <v>8021</v>
      </c>
      <c r="I537">
        <f>_xlfn.LET(_xlpm.id,TRIM($A537),IF(_xlpm.id="","",SUM(COUNTIF('1. OP'!$M:$M,_xlpm.id),COUNTIF('2. JSEL'!$M:$M,_xlpm.id),COUNTIF('3. PSM'!$M:$M,_xlpm.id),COUNTIF('4. SSP'!$M:$M,_xlpm.id),COUNTIF('5. JSACI'!$M:$M,_xlpm.id),COUNTIF('6. AIN'!$M:$M,_xlpm.id),COUNTIF('7. MS'!$M:$M,_xlpm.id),COUNTIF('8. DS'!$M:$M,_xlpm.id),COUNTIF('9. RMF'!$M:$M,_xlpm.id),COUNTIF('10. PCU'!$M:$M,_xlpm.id))))</f>
        <v>11</v>
      </c>
    </row>
    <row r="538" spans="1:9">
      <c r="A538" t="s">
        <v>5125</v>
      </c>
      <c r="B538" t="s">
        <v>8511</v>
      </c>
      <c r="C538">
        <v>1837</v>
      </c>
      <c r="D538">
        <v>1</v>
      </c>
      <c r="E538" s="23">
        <v>26</v>
      </c>
      <c r="F538" t="s">
        <v>8102</v>
      </c>
      <c r="G538" t="s">
        <v>10484</v>
      </c>
      <c r="H538" t="s">
        <v>8021</v>
      </c>
      <c r="I538">
        <f>_xlfn.LET(_xlpm.id,TRIM($A538),IF(_xlpm.id="","",SUM(COUNTIF('1. OP'!$M:$M,_xlpm.id),COUNTIF('2. JSEL'!$M:$M,_xlpm.id),COUNTIF('3. PSM'!$M:$M,_xlpm.id),COUNTIF('4. SSP'!$M:$M,_xlpm.id),COUNTIF('5. JSACI'!$M:$M,_xlpm.id),COUNTIF('6. AIN'!$M:$M,_xlpm.id),COUNTIF('7. MS'!$M:$M,_xlpm.id),COUNTIF('8. DS'!$M:$M,_xlpm.id),COUNTIF('9. RMF'!$M:$M,_xlpm.id),COUNTIF('10. PCU'!$M:$M,_xlpm.id))))</f>
        <v>8</v>
      </c>
    </row>
    <row r="539" spans="1:9">
      <c r="A539" t="s">
        <v>6524</v>
      </c>
      <c r="B539" t="s">
        <v>8525</v>
      </c>
      <c r="C539">
        <v>1831</v>
      </c>
      <c r="D539">
        <v>1</v>
      </c>
      <c r="E539" s="23">
        <v>1</v>
      </c>
      <c r="F539" t="s">
        <v>8102</v>
      </c>
      <c r="G539" t="s">
        <v>10484</v>
      </c>
      <c r="H539" t="s">
        <v>8021</v>
      </c>
      <c r="I539">
        <f>_xlfn.LET(_xlpm.id,TRIM($A539),IF(_xlpm.id="","",SUM(COUNTIF('1. OP'!$M:$M,_xlpm.id),COUNTIF('2. JSEL'!$M:$M,_xlpm.id),COUNTIF('3. PSM'!$M:$M,_xlpm.id),COUNTIF('4. SSP'!$M:$M,_xlpm.id),COUNTIF('5. JSACI'!$M:$M,_xlpm.id),COUNTIF('6. AIN'!$M:$M,_xlpm.id),COUNTIF('7. MS'!$M:$M,_xlpm.id),COUNTIF('8. DS'!$M:$M,_xlpm.id),COUNTIF('9. RMF'!$M:$M,_xlpm.id),COUNTIF('10. PCU'!$M:$M,_xlpm.id))))</f>
        <v>1</v>
      </c>
    </row>
    <row r="540" spans="1:9">
      <c r="A540" t="s">
        <v>5047</v>
      </c>
      <c r="B540" t="s">
        <v>8525</v>
      </c>
      <c r="C540">
        <v>1832</v>
      </c>
      <c r="D540">
        <v>1</v>
      </c>
      <c r="E540" s="23">
        <v>2</v>
      </c>
      <c r="F540" t="s">
        <v>8102</v>
      </c>
      <c r="G540" t="s">
        <v>10484</v>
      </c>
      <c r="H540" t="s">
        <v>8021</v>
      </c>
      <c r="I540">
        <f>_xlfn.LET(_xlpm.id,TRIM($A540),IF(_xlpm.id="","",SUM(COUNTIF('1. OP'!$M:$M,_xlpm.id),COUNTIF('2. JSEL'!$M:$M,_xlpm.id),COUNTIF('3. PSM'!$M:$M,_xlpm.id),COUNTIF('4. SSP'!$M:$M,_xlpm.id),COUNTIF('5. JSACI'!$M:$M,_xlpm.id),COUNTIF('6. AIN'!$M:$M,_xlpm.id),COUNTIF('7. MS'!$M:$M,_xlpm.id),COUNTIF('8. DS'!$M:$M,_xlpm.id),COUNTIF('9. RMF'!$M:$M,_xlpm.id),COUNTIF('10. PCU'!$M:$M,_xlpm.id))))</f>
        <v>17</v>
      </c>
    </row>
    <row r="541" spans="1:9">
      <c r="A541" t="s">
        <v>5135</v>
      </c>
      <c r="B541" t="s">
        <v>8525</v>
      </c>
      <c r="C541">
        <v>1833</v>
      </c>
      <c r="D541">
        <v>1</v>
      </c>
      <c r="E541" s="23">
        <v>3</v>
      </c>
      <c r="F541" t="s">
        <v>8102</v>
      </c>
      <c r="G541" t="s">
        <v>10484</v>
      </c>
      <c r="H541" t="s">
        <v>8021</v>
      </c>
      <c r="I541">
        <f>_xlfn.LET(_xlpm.id,TRIM($A541),IF(_xlpm.id="","",SUM(COUNTIF('1. OP'!$M:$M,_xlpm.id),COUNTIF('2. JSEL'!$M:$M,_xlpm.id),COUNTIF('3. PSM'!$M:$M,_xlpm.id),COUNTIF('4. SSP'!$M:$M,_xlpm.id),COUNTIF('5. JSACI'!$M:$M,_xlpm.id),COUNTIF('6. AIN'!$M:$M,_xlpm.id),COUNTIF('7. MS'!$M:$M,_xlpm.id),COUNTIF('8. DS'!$M:$M,_xlpm.id),COUNTIF('9. RMF'!$M:$M,_xlpm.id),COUNTIF('10. PCU'!$M:$M,_xlpm.id))))</f>
        <v>20</v>
      </c>
    </row>
    <row r="542" spans="1:9">
      <c r="A542" t="s">
        <v>6324</v>
      </c>
      <c r="B542" t="s">
        <v>8525</v>
      </c>
      <c r="C542">
        <v>1834</v>
      </c>
      <c r="D542">
        <v>1</v>
      </c>
      <c r="E542" s="23">
        <v>4</v>
      </c>
      <c r="F542" t="s">
        <v>8102</v>
      </c>
      <c r="G542" t="s">
        <v>10484</v>
      </c>
      <c r="H542" t="s">
        <v>8021</v>
      </c>
      <c r="I542">
        <f>_xlfn.LET(_xlpm.id,TRIM($A542),IF(_xlpm.id="","",SUM(COUNTIF('1. OP'!$M:$M,_xlpm.id),COUNTIF('2. JSEL'!$M:$M,_xlpm.id),COUNTIF('3. PSM'!$M:$M,_xlpm.id),COUNTIF('4. SSP'!$M:$M,_xlpm.id),COUNTIF('5. JSACI'!$M:$M,_xlpm.id),COUNTIF('6. AIN'!$M:$M,_xlpm.id),COUNTIF('7. MS'!$M:$M,_xlpm.id),COUNTIF('8. DS'!$M:$M,_xlpm.id),COUNTIF('9. RMF'!$M:$M,_xlpm.id),COUNTIF('10. PCU'!$M:$M,_xlpm.id))))</f>
        <v>4</v>
      </c>
    </row>
    <row r="543" spans="1:9">
      <c r="A543" t="s">
        <v>6546</v>
      </c>
      <c r="B543" t="s">
        <v>8525</v>
      </c>
      <c r="C543">
        <v>1835</v>
      </c>
      <c r="D543">
        <v>1</v>
      </c>
      <c r="E543" s="23">
        <v>5</v>
      </c>
      <c r="F543" t="s">
        <v>8102</v>
      </c>
      <c r="G543" t="s">
        <v>10484</v>
      </c>
      <c r="H543" t="s">
        <v>8021</v>
      </c>
      <c r="I543">
        <f>_xlfn.LET(_xlpm.id,TRIM($A543),IF(_xlpm.id="","",SUM(COUNTIF('1. OP'!$M:$M,_xlpm.id),COUNTIF('2. JSEL'!$M:$M,_xlpm.id),COUNTIF('3. PSM'!$M:$M,_xlpm.id),COUNTIF('4. SSP'!$M:$M,_xlpm.id),COUNTIF('5. JSACI'!$M:$M,_xlpm.id),COUNTIF('6. AIN'!$M:$M,_xlpm.id),COUNTIF('7. MS'!$M:$M,_xlpm.id),COUNTIF('8. DS'!$M:$M,_xlpm.id),COUNTIF('9. RMF'!$M:$M,_xlpm.id),COUNTIF('10. PCU'!$M:$M,_xlpm.id))))</f>
        <v>6</v>
      </c>
    </row>
    <row r="544" spans="1:9">
      <c r="A544" t="s">
        <v>8526</v>
      </c>
      <c r="B544" t="s">
        <v>8525</v>
      </c>
      <c r="C544">
        <v>1836</v>
      </c>
      <c r="D544">
        <v>2</v>
      </c>
      <c r="E544" s="23">
        <v>1</v>
      </c>
      <c r="F544" t="s">
        <v>8102</v>
      </c>
      <c r="G544" t="s">
        <v>10484</v>
      </c>
      <c r="H544" t="s">
        <v>8021</v>
      </c>
      <c r="I544">
        <f>_xlfn.LET(_xlpm.id,TRIM($A544),IF(_xlpm.id="","",SUM(COUNTIF('1. OP'!$M:$M,_xlpm.id),COUNTIF('2. JSEL'!$M:$M,_xlpm.id),COUNTIF('3. PSM'!$M:$M,_xlpm.id),COUNTIF('4. SSP'!$M:$M,_xlpm.id),COUNTIF('5. JSACI'!$M:$M,_xlpm.id),COUNTIF('6. AIN'!$M:$M,_xlpm.id),COUNTIF('7. MS'!$M:$M,_xlpm.id),COUNTIF('8. DS'!$M:$M,_xlpm.id),COUNTIF('9. RMF'!$M:$M,_xlpm.id),COUNTIF('10. PCU'!$M:$M,_xlpm.id))))</f>
        <v>0</v>
      </c>
    </row>
    <row r="545" spans="1:9">
      <c r="A545" t="s">
        <v>8527</v>
      </c>
      <c r="B545" t="s">
        <v>8525</v>
      </c>
      <c r="C545">
        <v>1838</v>
      </c>
      <c r="D545">
        <v>2</v>
      </c>
      <c r="E545" s="23">
        <v>8</v>
      </c>
      <c r="F545" t="s">
        <v>8102</v>
      </c>
      <c r="G545" t="s">
        <v>10484</v>
      </c>
      <c r="H545" t="s">
        <v>8021</v>
      </c>
      <c r="I545">
        <f>_xlfn.LET(_xlpm.id,TRIM($A545),IF(_xlpm.id="","",SUM(COUNTIF('1. OP'!$M:$M,_xlpm.id),COUNTIF('2. JSEL'!$M:$M,_xlpm.id),COUNTIF('3. PSM'!$M:$M,_xlpm.id),COUNTIF('4. SSP'!$M:$M,_xlpm.id),COUNTIF('5. JSACI'!$M:$M,_xlpm.id),COUNTIF('6. AIN'!$M:$M,_xlpm.id),COUNTIF('7. MS'!$M:$M,_xlpm.id),COUNTIF('8. DS'!$M:$M,_xlpm.id),COUNTIF('9. RMF'!$M:$M,_xlpm.id),COUNTIF('10. PCU'!$M:$M,_xlpm.id))))</f>
        <v>0</v>
      </c>
    </row>
    <row r="546" spans="1:9">
      <c r="A546" t="s">
        <v>5046</v>
      </c>
      <c r="B546" t="s">
        <v>8528</v>
      </c>
      <c r="C546" t="s">
        <v>8529</v>
      </c>
      <c r="D546">
        <v>1</v>
      </c>
      <c r="E546" s="23">
        <v>1</v>
      </c>
      <c r="F546" t="s">
        <v>8102</v>
      </c>
      <c r="G546" t="s">
        <v>10490</v>
      </c>
      <c r="H546" t="s">
        <v>8092</v>
      </c>
      <c r="I546">
        <f>_xlfn.LET(_xlpm.id,TRIM($A546),IF(_xlpm.id="","",SUM(COUNTIF('1. OP'!$M:$M,_xlpm.id),COUNTIF('2. JSEL'!$M:$M,_xlpm.id),COUNTIF('3. PSM'!$M:$M,_xlpm.id),COUNTIF('4. SSP'!$M:$M,_xlpm.id),COUNTIF('5. JSACI'!$M:$M,_xlpm.id),COUNTIF('6. AIN'!$M:$M,_xlpm.id),COUNTIF('7. MS'!$M:$M,_xlpm.id),COUNTIF('8. DS'!$M:$M,_xlpm.id),COUNTIF('9. RMF'!$M:$M,_xlpm.id),COUNTIF('10. PCU'!$M:$M,_xlpm.id))))</f>
        <v>21</v>
      </c>
    </row>
    <row r="547" spans="1:9">
      <c r="A547" t="s">
        <v>5420</v>
      </c>
      <c r="B547" t="s">
        <v>8528</v>
      </c>
      <c r="C547">
        <v>1834</v>
      </c>
      <c r="D547">
        <v>1</v>
      </c>
      <c r="E547" s="23">
        <v>3</v>
      </c>
      <c r="F547" t="s">
        <v>8102</v>
      </c>
      <c r="G547" t="s">
        <v>10490</v>
      </c>
      <c r="H547" t="s">
        <v>8092</v>
      </c>
      <c r="I547">
        <f>_xlfn.LET(_xlpm.id,TRIM($A547),IF(_xlpm.id="","",SUM(COUNTIF('1. OP'!$M:$M,_xlpm.id),COUNTIF('2. JSEL'!$M:$M,_xlpm.id),COUNTIF('3. PSM'!$M:$M,_xlpm.id),COUNTIF('4. SSP'!$M:$M,_xlpm.id),COUNTIF('5. JSACI'!$M:$M,_xlpm.id),COUNTIF('6. AIN'!$M:$M,_xlpm.id),COUNTIF('7. MS'!$M:$M,_xlpm.id),COUNTIF('8. DS'!$M:$M,_xlpm.id),COUNTIF('9. RMF'!$M:$M,_xlpm.id),COUNTIF('10. PCU'!$M:$M,_xlpm.id))))</f>
        <v>11</v>
      </c>
    </row>
    <row r="548" spans="1:9">
      <c r="A548" t="s">
        <v>8530</v>
      </c>
      <c r="B548" t="s">
        <v>10123</v>
      </c>
      <c r="C548">
        <v>1825</v>
      </c>
      <c r="D548">
        <v>1</v>
      </c>
      <c r="E548" s="23">
        <v>1</v>
      </c>
      <c r="F548" t="s">
        <v>8102</v>
      </c>
      <c r="G548" t="s">
        <v>10491</v>
      </c>
      <c r="H548" t="s">
        <v>8021</v>
      </c>
      <c r="I548">
        <f>_xlfn.LET(_xlpm.id,TRIM($A548),IF(_xlpm.id="","",SUM(COUNTIF('1. OP'!$M:$M,_xlpm.id),COUNTIF('2. JSEL'!$M:$M,_xlpm.id),COUNTIF('3. PSM'!$M:$M,_xlpm.id),COUNTIF('4. SSP'!$M:$M,_xlpm.id),COUNTIF('5. JSACI'!$M:$M,_xlpm.id),COUNTIF('6. AIN'!$M:$M,_xlpm.id),COUNTIF('7. MS'!$M:$M,_xlpm.id),COUNTIF('8. DS'!$M:$M,_xlpm.id),COUNTIF('9. RMF'!$M:$M,_xlpm.id),COUNTIF('10. PCU'!$M:$M,_xlpm.id))))</f>
        <v>0</v>
      </c>
    </row>
    <row r="549" spans="1:9">
      <c r="A549" t="s">
        <v>8532</v>
      </c>
      <c r="B549" t="s">
        <v>10123</v>
      </c>
      <c r="C549">
        <v>1826</v>
      </c>
      <c r="D549">
        <v>1</v>
      </c>
      <c r="E549" s="23">
        <v>2</v>
      </c>
      <c r="F549" t="s">
        <v>8102</v>
      </c>
      <c r="G549" t="s">
        <v>10491</v>
      </c>
      <c r="H549" t="s">
        <v>8021</v>
      </c>
      <c r="I549">
        <f>_xlfn.LET(_xlpm.id,TRIM($A549),IF(_xlpm.id="","",SUM(COUNTIF('1. OP'!$M:$M,_xlpm.id),COUNTIF('2. JSEL'!$M:$M,_xlpm.id),COUNTIF('3. PSM'!$M:$M,_xlpm.id),COUNTIF('4. SSP'!$M:$M,_xlpm.id),COUNTIF('5. JSACI'!$M:$M,_xlpm.id),COUNTIF('6. AIN'!$M:$M,_xlpm.id),COUNTIF('7. MS'!$M:$M,_xlpm.id),COUNTIF('8. DS'!$M:$M,_xlpm.id),COUNTIF('9. RMF'!$M:$M,_xlpm.id),COUNTIF('10. PCU'!$M:$M,_xlpm.id))))</f>
        <v>0</v>
      </c>
    </row>
    <row r="550" spans="1:9">
      <c r="A550" t="s">
        <v>8533</v>
      </c>
      <c r="B550" t="s">
        <v>10123</v>
      </c>
      <c r="C550">
        <v>1827</v>
      </c>
      <c r="D550">
        <v>1</v>
      </c>
      <c r="E550" s="23">
        <v>3</v>
      </c>
      <c r="F550" t="s">
        <v>8102</v>
      </c>
      <c r="G550" t="s">
        <v>10491</v>
      </c>
      <c r="H550" t="s">
        <v>8021</v>
      </c>
      <c r="I550">
        <f>_xlfn.LET(_xlpm.id,TRIM($A550),IF(_xlpm.id="","",SUM(COUNTIF('1. OP'!$M:$M,_xlpm.id),COUNTIF('2. JSEL'!$M:$M,_xlpm.id),COUNTIF('3. PSM'!$M:$M,_xlpm.id),COUNTIF('4. SSP'!$M:$M,_xlpm.id),COUNTIF('5. JSACI'!$M:$M,_xlpm.id),COUNTIF('6. AIN'!$M:$M,_xlpm.id),COUNTIF('7. MS'!$M:$M,_xlpm.id),COUNTIF('8. DS'!$M:$M,_xlpm.id),COUNTIF('9. RMF'!$M:$M,_xlpm.id),COUNTIF('10. PCU'!$M:$M,_xlpm.id))))</f>
        <v>0</v>
      </c>
    </row>
    <row r="551" spans="1:9">
      <c r="A551" t="s">
        <v>8534</v>
      </c>
      <c r="B551" t="s">
        <v>10123</v>
      </c>
      <c r="C551">
        <v>1828</v>
      </c>
      <c r="D551">
        <v>1</v>
      </c>
      <c r="E551" s="23">
        <v>4</v>
      </c>
      <c r="F551" t="s">
        <v>8102</v>
      </c>
      <c r="G551" t="s">
        <v>10491</v>
      </c>
      <c r="H551" t="s">
        <v>8021</v>
      </c>
      <c r="I551">
        <f>_xlfn.LET(_xlpm.id,TRIM($A551),IF(_xlpm.id="","",SUM(COUNTIF('1. OP'!$M:$M,_xlpm.id),COUNTIF('2. JSEL'!$M:$M,_xlpm.id),COUNTIF('3. PSM'!$M:$M,_xlpm.id),COUNTIF('4. SSP'!$M:$M,_xlpm.id),COUNTIF('5. JSACI'!$M:$M,_xlpm.id),COUNTIF('6. AIN'!$M:$M,_xlpm.id),COUNTIF('7. MS'!$M:$M,_xlpm.id),COUNTIF('8. DS'!$M:$M,_xlpm.id),COUNTIF('9. RMF'!$M:$M,_xlpm.id),COUNTIF('10. PCU'!$M:$M,_xlpm.id))))</f>
        <v>0</v>
      </c>
    </row>
    <row r="552" spans="1:9">
      <c r="A552" t="s">
        <v>8535</v>
      </c>
      <c r="B552" t="s">
        <v>10123</v>
      </c>
      <c r="C552">
        <v>1829</v>
      </c>
      <c r="D552">
        <v>1</v>
      </c>
      <c r="E552" s="23">
        <v>5</v>
      </c>
      <c r="F552" t="s">
        <v>8102</v>
      </c>
      <c r="G552" t="s">
        <v>10491</v>
      </c>
      <c r="H552" t="s">
        <v>8021</v>
      </c>
      <c r="I552">
        <f>_xlfn.LET(_xlpm.id,TRIM($A552),IF(_xlpm.id="","",SUM(COUNTIF('1. OP'!$M:$M,_xlpm.id),COUNTIF('2. JSEL'!$M:$M,_xlpm.id),COUNTIF('3. PSM'!$M:$M,_xlpm.id),COUNTIF('4. SSP'!$M:$M,_xlpm.id),COUNTIF('5. JSACI'!$M:$M,_xlpm.id),COUNTIF('6. AIN'!$M:$M,_xlpm.id),COUNTIF('7. MS'!$M:$M,_xlpm.id),COUNTIF('8. DS'!$M:$M,_xlpm.id),COUNTIF('9. RMF'!$M:$M,_xlpm.id),COUNTIF('10. PCU'!$M:$M,_xlpm.id))))</f>
        <v>0</v>
      </c>
    </row>
    <row r="553" spans="1:9">
      <c r="A553" t="s">
        <v>5058</v>
      </c>
      <c r="B553" t="s">
        <v>10123</v>
      </c>
      <c r="C553">
        <v>1830</v>
      </c>
      <c r="D553">
        <v>1</v>
      </c>
      <c r="E553" s="23">
        <v>6</v>
      </c>
      <c r="F553" t="s">
        <v>8102</v>
      </c>
      <c r="G553" t="s">
        <v>10491</v>
      </c>
      <c r="H553" t="s">
        <v>8021</v>
      </c>
      <c r="I553">
        <f>_xlfn.LET(_xlpm.id,TRIM($A553),IF(_xlpm.id="","",SUM(COUNTIF('1. OP'!$M:$M,_xlpm.id),COUNTIF('2. JSEL'!$M:$M,_xlpm.id),COUNTIF('3. PSM'!$M:$M,_xlpm.id),COUNTIF('4. SSP'!$M:$M,_xlpm.id),COUNTIF('5. JSACI'!$M:$M,_xlpm.id),COUNTIF('6. AIN'!$M:$M,_xlpm.id),COUNTIF('7. MS'!$M:$M,_xlpm.id),COUNTIF('8. DS'!$M:$M,_xlpm.id),COUNTIF('9. RMF'!$M:$M,_xlpm.id),COUNTIF('10. PCU'!$M:$M,_xlpm.id))))</f>
        <v>3</v>
      </c>
    </row>
    <row r="554" spans="1:9">
      <c r="A554" t="s">
        <v>5054</v>
      </c>
      <c r="B554" t="s">
        <v>10123</v>
      </c>
      <c r="C554">
        <v>1831</v>
      </c>
      <c r="D554">
        <v>1</v>
      </c>
      <c r="E554" s="23">
        <v>7</v>
      </c>
      <c r="F554" t="s">
        <v>8102</v>
      </c>
      <c r="G554" t="s">
        <v>10491</v>
      </c>
      <c r="H554" t="s">
        <v>8021</v>
      </c>
      <c r="I554">
        <f>_xlfn.LET(_xlpm.id,TRIM($A554),IF(_xlpm.id="","",SUM(COUNTIF('1. OP'!$M:$M,_xlpm.id),COUNTIF('2. JSEL'!$M:$M,_xlpm.id),COUNTIF('3. PSM'!$M:$M,_xlpm.id),COUNTIF('4. SSP'!$M:$M,_xlpm.id),COUNTIF('5. JSACI'!$M:$M,_xlpm.id),COUNTIF('6. AIN'!$M:$M,_xlpm.id),COUNTIF('7. MS'!$M:$M,_xlpm.id),COUNTIF('8. DS'!$M:$M,_xlpm.id),COUNTIF('9. RMF'!$M:$M,_xlpm.id),COUNTIF('10. PCU'!$M:$M,_xlpm.id))))</f>
        <v>2</v>
      </c>
    </row>
    <row r="555" spans="1:9">
      <c r="A555" t="s">
        <v>5056</v>
      </c>
      <c r="B555" t="s">
        <v>10123</v>
      </c>
      <c r="C555">
        <v>1832</v>
      </c>
      <c r="D555">
        <v>1</v>
      </c>
      <c r="E555" s="23">
        <v>8</v>
      </c>
      <c r="F555" t="s">
        <v>8102</v>
      </c>
      <c r="G555" t="s">
        <v>10491</v>
      </c>
      <c r="H555" t="s">
        <v>8021</v>
      </c>
      <c r="I555">
        <f>_xlfn.LET(_xlpm.id,TRIM($A555),IF(_xlpm.id="","",SUM(COUNTIF('1. OP'!$M:$M,_xlpm.id),COUNTIF('2. JSEL'!$M:$M,_xlpm.id),COUNTIF('3. PSM'!$M:$M,_xlpm.id),COUNTIF('4. SSP'!$M:$M,_xlpm.id),COUNTIF('5. JSACI'!$M:$M,_xlpm.id),COUNTIF('6. AIN'!$M:$M,_xlpm.id),COUNTIF('7. MS'!$M:$M,_xlpm.id),COUNTIF('8. DS'!$M:$M,_xlpm.id),COUNTIF('9. RMF'!$M:$M,_xlpm.id),COUNTIF('10. PCU'!$M:$M,_xlpm.id))))</f>
        <v>3</v>
      </c>
    </row>
    <row r="556" spans="1:9">
      <c r="A556" t="s">
        <v>8536</v>
      </c>
      <c r="B556" t="s">
        <v>10123</v>
      </c>
      <c r="C556">
        <v>1833</v>
      </c>
      <c r="D556">
        <v>1</v>
      </c>
      <c r="E556" s="23">
        <v>9</v>
      </c>
      <c r="F556" t="s">
        <v>8102</v>
      </c>
      <c r="G556" t="s">
        <v>10491</v>
      </c>
      <c r="H556" t="s">
        <v>8021</v>
      </c>
      <c r="I556">
        <f>_xlfn.LET(_xlpm.id,TRIM($A556),IF(_xlpm.id="","",SUM(COUNTIF('1. OP'!$M:$M,_xlpm.id),COUNTIF('2. JSEL'!$M:$M,_xlpm.id),COUNTIF('3. PSM'!$M:$M,_xlpm.id),COUNTIF('4. SSP'!$M:$M,_xlpm.id),COUNTIF('5. JSACI'!$M:$M,_xlpm.id),COUNTIF('6. AIN'!$M:$M,_xlpm.id),COUNTIF('7. MS'!$M:$M,_xlpm.id),COUNTIF('8. DS'!$M:$M,_xlpm.id),COUNTIF('9. RMF'!$M:$M,_xlpm.id),COUNTIF('10. PCU'!$M:$M,_xlpm.id))))</f>
        <v>0</v>
      </c>
    </row>
    <row r="557" spans="1:9">
      <c r="A557" t="s">
        <v>8537</v>
      </c>
      <c r="B557" t="s">
        <v>10123</v>
      </c>
      <c r="C557">
        <v>1834</v>
      </c>
      <c r="D557">
        <v>1</v>
      </c>
      <c r="E557" s="23">
        <v>10</v>
      </c>
      <c r="F557" t="s">
        <v>8102</v>
      </c>
      <c r="G557" t="s">
        <v>10491</v>
      </c>
      <c r="H557" t="s">
        <v>8021</v>
      </c>
      <c r="I557">
        <f>_xlfn.LET(_xlpm.id,TRIM($A557),IF(_xlpm.id="","",SUM(COUNTIF('1. OP'!$M:$M,_xlpm.id),COUNTIF('2. JSEL'!$M:$M,_xlpm.id),COUNTIF('3. PSM'!$M:$M,_xlpm.id),COUNTIF('4. SSP'!$M:$M,_xlpm.id),COUNTIF('5. JSACI'!$M:$M,_xlpm.id),COUNTIF('6. AIN'!$M:$M,_xlpm.id),COUNTIF('7. MS'!$M:$M,_xlpm.id),COUNTIF('8. DS'!$M:$M,_xlpm.id),COUNTIF('9. RMF'!$M:$M,_xlpm.id),COUNTIF('10. PCU'!$M:$M,_xlpm.id))))</f>
        <v>0</v>
      </c>
    </row>
    <row r="558" spans="1:9">
      <c r="A558" t="s">
        <v>8538</v>
      </c>
      <c r="B558" t="s">
        <v>10123</v>
      </c>
      <c r="C558">
        <v>1835</v>
      </c>
      <c r="D558">
        <v>1</v>
      </c>
      <c r="E558" s="23">
        <v>11</v>
      </c>
      <c r="F558" t="s">
        <v>8102</v>
      </c>
      <c r="G558" t="s">
        <v>10491</v>
      </c>
      <c r="H558" t="s">
        <v>8021</v>
      </c>
      <c r="I558">
        <f>_xlfn.LET(_xlpm.id,TRIM($A558),IF(_xlpm.id="","",SUM(COUNTIF('1. OP'!$M:$M,_xlpm.id),COUNTIF('2. JSEL'!$M:$M,_xlpm.id),COUNTIF('3. PSM'!$M:$M,_xlpm.id),COUNTIF('4. SSP'!$M:$M,_xlpm.id),COUNTIF('5. JSACI'!$M:$M,_xlpm.id),COUNTIF('6. AIN'!$M:$M,_xlpm.id),COUNTIF('7. MS'!$M:$M,_xlpm.id),COUNTIF('8. DS'!$M:$M,_xlpm.id),COUNTIF('9. RMF'!$M:$M,_xlpm.id),COUNTIF('10. PCU'!$M:$M,_xlpm.id))))</f>
        <v>0</v>
      </c>
    </row>
    <row r="559" spans="1:9">
      <c r="A559" t="s">
        <v>8539</v>
      </c>
      <c r="B559" t="s">
        <v>10123</v>
      </c>
      <c r="C559">
        <v>1836</v>
      </c>
      <c r="D559">
        <v>1</v>
      </c>
      <c r="E559" s="23">
        <v>12</v>
      </c>
      <c r="F559" t="s">
        <v>8102</v>
      </c>
      <c r="G559" t="s">
        <v>10491</v>
      </c>
      <c r="H559" t="s">
        <v>8021</v>
      </c>
      <c r="I559">
        <f>_xlfn.LET(_xlpm.id,TRIM($A559),IF(_xlpm.id="","",SUM(COUNTIF('1. OP'!$M:$M,_xlpm.id),COUNTIF('2. JSEL'!$M:$M,_xlpm.id),COUNTIF('3. PSM'!$M:$M,_xlpm.id),COUNTIF('4. SSP'!$M:$M,_xlpm.id),COUNTIF('5. JSACI'!$M:$M,_xlpm.id),COUNTIF('6. AIN'!$M:$M,_xlpm.id),COUNTIF('7. MS'!$M:$M,_xlpm.id),COUNTIF('8. DS'!$M:$M,_xlpm.id),COUNTIF('9. RMF'!$M:$M,_xlpm.id),COUNTIF('10. PCU'!$M:$M,_xlpm.id))))</f>
        <v>0</v>
      </c>
    </row>
    <row r="560" spans="1:9">
      <c r="A560" t="s">
        <v>8540</v>
      </c>
      <c r="B560" t="s">
        <v>10123</v>
      </c>
      <c r="C560">
        <v>1837</v>
      </c>
      <c r="D560">
        <v>1</v>
      </c>
      <c r="E560" s="23">
        <v>13</v>
      </c>
      <c r="F560" t="s">
        <v>8102</v>
      </c>
      <c r="G560" t="s">
        <v>10491</v>
      </c>
      <c r="H560" t="s">
        <v>8021</v>
      </c>
      <c r="I560">
        <f>_xlfn.LET(_xlpm.id,TRIM($A560),IF(_xlpm.id="","",SUM(COUNTIF('1. OP'!$M:$M,_xlpm.id),COUNTIF('2. JSEL'!$M:$M,_xlpm.id),COUNTIF('3. PSM'!$M:$M,_xlpm.id),COUNTIF('4. SSP'!$M:$M,_xlpm.id),COUNTIF('5. JSACI'!$M:$M,_xlpm.id),COUNTIF('6. AIN'!$M:$M,_xlpm.id),COUNTIF('7. MS'!$M:$M,_xlpm.id),COUNTIF('8. DS'!$M:$M,_xlpm.id),COUNTIF('9. RMF'!$M:$M,_xlpm.id),COUNTIF('10. PCU'!$M:$M,_xlpm.id))))</f>
        <v>0</v>
      </c>
    </row>
    <row r="561" spans="1:9">
      <c r="A561" t="s">
        <v>7494</v>
      </c>
      <c r="B561" t="s">
        <v>10123</v>
      </c>
      <c r="C561">
        <v>1838</v>
      </c>
      <c r="D561">
        <v>1</v>
      </c>
      <c r="E561" s="23">
        <v>14</v>
      </c>
      <c r="F561" t="s">
        <v>8102</v>
      </c>
      <c r="G561" t="s">
        <v>10491</v>
      </c>
      <c r="H561" t="s">
        <v>8021</v>
      </c>
      <c r="I561">
        <f>_xlfn.LET(_xlpm.id,TRIM($A561),IF(_xlpm.id="","",SUM(COUNTIF('1. OP'!$M:$M,_xlpm.id),COUNTIF('2. JSEL'!$M:$M,_xlpm.id),COUNTIF('3. PSM'!$M:$M,_xlpm.id),COUNTIF('4. SSP'!$M:$M,_xlpm.id),COUNTIF('5. JSACI'!$M:$M,_xlpm.id),COUNTIF('6. AIN'!$M:$M,_xlpm.id),COUNTIF('7. MS'!$M:$M,_xlpm.id),COUNTIF('8. DS'!$M:$M,_xlpm.id),COUNTIF('9. RMF'!$M:$M,_xlpm.id),COUNTIF('10. PCU'!$M:$M,_xlpm.id))))</f>
        <v>1</v>
      </c>
    </row>
    <row r="562" spans="1:9">
      <c r="A562" t="s">
        <v>8541</v>
      </c>
      <c r="B562" t="s">
        <v>10123</v>
      </c>
      <c r="C562">
        <v>1839</v>
      </c>
      <c r="D562">
        <v>1</v>
      </c>
      <c r="E562" s="23">
        <v>15</v>
      </c>
      <c r="F562" t="s">
        <v>8102</v>
      </c>
      <c r="G562" t="s">
        <v>10491</v>
      </c>
      <c r="H562" t="s">
        <v>8021</v>
      </c>
      <c r="I562">
        <f>_xlfn.LET(_xlpm.id,TRIM($A562),IF(_xlpm.id="","",SUM(COUNTIF('1. OP'!$M:$M,_xlpm.id),COUNTIF('2. JSEL'!$M:$M,_xlpm.id),COUNTIF('3. PSM'!$M:$M,_xlpm.id),COUNTIF('4. SSP'!$M:$M,_xlpm.id),COUNTIF('5. JSACI'!$M:$M,_xlpm.id),COUNTIF('6. AIN'!$M:$M,_xlpm.id),COUNTIF('7. MS'!$M:$M,_xlpm.id),COUNTIF('8. DS'!$M:$M,_xlpm.id),COUNTIF('9. RMF'!$M:$M,_xlpm.id),COUNTIF('10. PCU'!$M:$M,_xlpm.id))))</f>
        <v>0</v>
      </c>
    </row>
    <row r="563" spans="1:9">
      <c r="A563" t="s">
        <v>8542</v>
      </c>
      <c r="B563" t="s">
        <v>8531</v>
      </c>
      <c r="C563">
        <v>1840</v>
      </c>
      <c r="D563">
        <v>1</v>
      </c>
      <c r="E563" s="23">
        <v>16</v>
      </c>
      <c r="F563" t="s">
        <v>8102</v>
      </c>
      <c r="G563" t="s">
        <v>10491</v>
      </c>
      <c r="H563" t="s">
        <v>8021</v>
      </c>
      <c r="I563">
        <f>_xlfn.LET(_xlpm.id,TRIM($A563),IF(_xlpm.id="","",SUM(COUNTIF('1. OP'!$M:$M,_xlpm.id),COUNTIF('2. JSEL'!$M:$M,_xlpm.id),COUNTIF('3. PSM'!$M:$M,_xlpm.id),COUNTIF('4. SSP'!$M:$M,_xlpm.id),COUNTIF('5. JSACI'!$M:$M,_xlpm.id),COUNTIF('6. AIN'!$M:$M,_xlpm.id),COUNTIF('7. MS'!$M:$M,_xlpm.id),COUNTIF('8. DS'!$M:$M,_xlpm.id),COUNTIF('9. RMF'!$M:$M,_xlpm.id),COUNTIF('10. PCU'!$M:$M,_xlpm.id))))</f>
        <v>0</v>
      </c>
    </row>
    <row r="564" spans="1:9">
      <c r="A564" t="s">
        <v>5544</v>
      </c>
      <c r="B564" t="s">
        <v>8543</v>
      </c>
      <c r="C564">
        <v>1824</v>
      </c>
      <c r="D564">
        <v>1</v>
      </c>
      <c r="E564" s="23">
        <v>1</v>
      </c>
      <c r="F564" t="s">
        <v>8102</v>
      </c>
      <c r="G564" t="s">
        <v>10492</v>
      </c>
      <c r="H564" t="s">
        <v>8021</v>
      </c>
      <c r="I564">
        <f>_xlfn.LET(_xlpm.id,TRIM($A564),IF(_xlpm.id="","",SUM(COUNTIF('1. OP'!$M:$M,_xlpm.id),COUNTIF('2. JSEL'!$M:$M,_xlpm.id),COUNTIF('3. PSM'!$M:$M,_xlpm.id),COUNTIF('4. SSP'!$M:$M,_xlpm.id),COUNTIF('5. JSACI'!$M:$M,_xlpm.id),COUNTIF('6. AIN'!$M:$M,_xlpm.id),COUNTIF('7. MS'!$M:$M,_xlpm.id),COUNTIF('8. DS'!$M:$M,_xlpm.id),COUNTIF('9. RMF'!$M:$M,_xlpm.id),COUNTIF('10. PCU'!$M:$M,_xlpm.id))))</f>
        <v>4</v>
      </c>
    </row>
    <row r="565" spans="1:9">
      <c r="A565" t="s">
        <v>8544</v>
      </c>
      <c r="B565" t="s">
        <v>8543</v>
      </c>
      <c r="C565">
        <v>1824</v>
      </c>
      <c r="D565">
        <v>1</v>
      </c>
      <c r="E565" s="23">
        <v>2</v>
      </c>
      <c r="F565" t="s">
        <v>8102</v>
      </c>
      <c r="G565" t="s">
        <v>10492</v>
      </c>
      <c r="H565" t="s">
        <v>8021</v>
      </c>
      <c r="I565">
        <f>_xlfn.LET(_xlpm.id,TRIM($A565),IF(_xlpm.id="","",SUM(COUNTIF('1. OP'!$M:$M,_xlpm.id),COUNTIF('2. JSEL'!$M:$M,_xlpm.id),COUNTIF('3. PSM'!$M:$M,_xlpm.id),COUNTIF('4. SSP'!$M:$M,_xlpm.id),COUNTIF('5. JSACI'!$M:$M,_xlpm.id),COUNTIF('6. AIN'!$M:$M,_xlpm.id),COUNTIF('7. MS'!$M:$M,_xlpm.id),COUNTIF('8. DS'!$M:$M,_xlpm.id),COUNTIF('9. RMF'!$M:$M,_xlpm.id),COUNTIF('10. PCU'!$M:$M,_xlpm.id))))</f>
        <v>0</v>
      </c>
    </row>
    <row r="566" spans="1:9">
      <c r="A566" t="s">
        <v>5540</v>
      </c>
      <c r="B566" t="s">
        <v>8543</v>
      </c>
      <c r="C566">
        <v>1825</v>
      </c>
      <c r="D566">
        <v>1</v>
      </c>
      <c r="E566" s="23">
        <v>3</v>
      </c>
      <c r="F566" t="s">
        <v>8102</v>
      </c>
      <c r="G566" t="s">
        <v>10492</v>
      </c>
      <c r="H566" t="s">
        <v>8021</v>
      </c>
      <c r="I566">
        <f>_xlfn.LET(_xlpm.id,TRIM($A566),IF(_xlpm.id="","",SUM(COUNTIF('1. OP'!$M:$M,_xlpm.id),COUNTIF('2. JSEL'!$M:$M,_xlpm.id),COUNTIF('3. PSM'!$M:$M,_xlpm.id),COUNTIF('4. SSP'!$M:$M,_xlpm.id),COUNTIF('5. JSACI'!$M:$M,_xlpm.id),COUNTIF('6. AIN'!$M:$M,_xlpm.id),COUNTIF('7. MS'!$M:$M,_xlpm.id),COUNTIF('8. DS'!$M:$M,_xlpm.id),COUNTIF('9. RMF'!$M:$M,_xlpm.id),COUNTIF('10. PCU'!$M:$M,_xlpm.id))))</f>
        <v>6</v>
      </c>
    </row>
    <row r="567" spans="1:9">
      <c r="A567" t="s">
        <v>5535</v>
      </c>
      <c r="B567" t="s">
        <v>8543</v>
      </c>
      <c r="C567">
        <v>1825</v>
      </c>
      <c r="D567">
        <v>1</v>
      </c>
      <c r="E567" s="23">
        <v>4</v>
      </c>
      <c r="F567" t="s">
        <v>8102</v>
      </c>
      <c r="G567" t="s">
        <v>10492</v>
      </c>
      <c r="H567" t="s">
        <v>8021</v>
      </c>
      <c r="I567">
        <f>_xlfn.LET(_xlpm.id,TRIM($A567),IF(_xlpm.id="","",SUM(COUNTIF('1. OP'!$M:$M,_xlpm.id),COUNTIF('2. JSEL'!$M:$M,_xlpm.id),COUNTIF('3. PSM'!$M:$M,_xlpm.id),COUNTIF('4. SSP'!$M:$M,_xlpm.id),COUNTIF('5. JSACI'!$M:$M,_xlpm.id),COUNTIF('6. AIN'!$M:$M,_xlpm.id),COUNTIF('7. MS'!$M:$M,_xlpm.id),COUNTIF('8. DS'!$M:$M,_xlpm.id),COUNTIF('9. RMF'!$M:$M,_xlpm.id),COUNTIF('10. PCU'!$M:$M,_xlpm.id))))</f>
        <v>6</v>
      </c>
    </row>
    <row r="568" spans="1:9">
      <c r="A568" t="s">
        <v>8545</v>
      </c>
      <c r="B568" t="s">
        <v>8543</v>
      </c>
      <c r="C568">
        <v>1826</v>
      </c>
      <c r="D568">
        <v>1</v>
      </c>
      <c r="E568" s="23">
        <v>5</v>
      </c>
      <c r="F568" t="s">
        <v>8102</v>
      </c>
      <c r="G568" t="s">
        <v>10492</v>
      </c>
      <c r="H568" t="s">
        <v>8021</v>
      </c>
      <c r="I568">
        <f>_xlfn.LET(_xlpm.id,TRIM($A568),IF(_xlpm.id="","",SUM(COUNTIF('1. OP'!$M:$M,_xlpm.id),COUNTIF('2. JSEL'!$M:$M,_xlpm.id),COUNTIF('3. PSM'!$M:$M,_xlpm.id),COUNTIF('4. SSP'!$M:$M,_xlpm.id),COUNTIF('5. JSACI'!$M:$M,_xlpm.id),COUNTIF('6. AIN'!$M:$M,_xlpm.id),COUNTIF('7. MS'!$M:$M,_xlpm.id),COUNTIF('8. DS'!$M:$M,_xlpm.id),COUNTIF('9. RMF'!$M:$M,_xlpm.id),COUNTIF('10. PCU'!$M:$M,_xlpm.id))))</f>
        <v>0</v>
      </c>
    </row>
    <row r="569" spans="1:9">
      <c r="A569" t="s">
        <v>8546</v>
      </c>
      <c r="B569" t="s">
        <v>8543</v>
      </c>
      <c r="C569">
        <v>1826</v>
      </c>
      <c r="D569">
        <v>1</v>
      </c>
      <c r="E569" s="23">
        <v>6</v>
      </c>
      <c r="F569" t="s">
        <v>8102</v>
      </c>
      <c r="G569" t="s">
        <v>10492</v>
      </c>
      <c r="H569" t="s">
        <v>8021</v>
      </c>
      <c r="I569">
        <f>_xlfn.LET(_xlpm.id,TRIM($A569),IF(_xlpm.id="","",SUM(COUNTIF('1. OP'!$M:$M,_xlpm.id),COUNTIF('2. JSEL'!$M:$M,_xlpm.id),COUNTIF('3. PSM'!$M:$M,_xlpm.id),COUNTIF('4. SSP'!$M:$M,_xlpm.id),COUNTIF('5. JSACI'!$M:$M,_xlpm.id),COUNTIF('6. AIN'!$M:$M,_xlpm.id),COUNTIF('7. MS'!$M:$M,_xlpm.id),COUNTIF('8. DS'!$M:$M,_xlpm.id),COUNTIF('9. RMF'!$M:$M,_xlpm.id),COUNTIF('10. PCU'!$M:$M,_xlpm.id))))</f>
        <v>0</v>
      </c>
    </row>
    <row r="570" spans="1:9">
      <c r="A570" t="s">
        <v>8249</v>
      </c>
      <c r="B570" t="s">
        <v>8250</v>
      </c>
      <c r="C570">
        <v>1834</v>
      </c>
      <c r="D570">
        <v>1</v>
      </c>
      <c r="E570" s="23">
        <v>1</v>
      </c>
      <c r="F570" t="s">
        <v>8102</v>
      </c>
      <c r="G570" t="s">
        <v>10484</v>
      </c>
      <c r="H570" t="s">
        <v>8021</v>
      </c>
      <c r="I570">
        <f>_xlfn.LET(_xlpm.id,TRIM($A570),IF(_xlpm.id="","",SUM(COUNTIF('1. OP'!$M:$M,_xlpm.id),COUNTIF('2. JSEL'!$M:$M,_xlpm.id),COUNTIF('3. PSM'!$M:$M,_xlpm.id),COUNTIF('4. SSP'!$M:$M,_xlpm.id),COUNTIF('5. JSACI'!$M:$M,_xlpm.id),COUNTIF('6. AIN'!$M:$M,_xlpm.id),COUNTIF('7. MS'!$M:$M,_xlpm.id),COUNTIF('8. DS'!$M:$M,_xlpm.id),COUNTIF('9. RMF'!$M:$M,_xlpm.id),COUNTIF('10. PCU'!$M:$M,_xlpm.id))))</f>
        <v>0</v>
      </c>
    </row>
    <row r="571" spans="1:9">
      <c r="A571" t="s">
        <v>8251</v>
      </c>
      <c r="B571" t="s">
        <v>8250</v>
      </c>
      <c r="C571">
        <v>1835</v>
      </c>
      <c r="D571">
        <v>1</v>
      </c>
      <c r="E571" s="23">
        <v>2</v>
      </c>
      <c r="F571" t="s">
        <v>8102</v>
      </c>
      <c r="G571" t="s">
        <v>10484</v>
      </c>
      <c r="H571" t="s">
        <v>8021</v>
      </c>
      <c r="I571">
        <f>_xlfn.LET(_xlpm.id,TRIM($A571),IF(_xlpm.id="","",SUM(COUNTIF('1. OP'!$M:$M,_xlpm.id),COUNTIF('2. JSEL'!$M:$M,_xlpm.id),COUNTIF('3. PSM'!$M:$M,_xlpm.id),COUNTIF('4. SSP'!$M:$M,_xlpm.id),COUNTIF('5. JSACI'!$M:$M,_xlpm.id),COUNTIF('6. AIN'!$M:$M,_xlpm.id),COUNTIF('7. MS'!$M:$M,_xlpm.id),COUNTIF('8. DS'!$M:$M,_xlpm.id),COUNTIF('9. RMF'!$M:$M,_xlpm.id),COUNTIF('10. PCU'!$M:$M,_xlpm.id))))</f>
        <v>0</v>
      </c>
    </row>
    <row r="572" spans="1:9">
      <c r="A572" t="s">
        <v>8252</v>
      </c>
      <c r="B572" t="s">
        <v>8250</v>
      </c>
      <c r="C572">
        <v>1836</v>
      </c>
      <c r="D572">
        <v>1</v>
      </c>
      <c r="E572" s="23">
        <v>3</v>
      </c>
      <c r="F572" t="s">
        <v>8102</v>
      </c>
      <c r="G572" t="s">
        <v>10484</v>
      </c>
      <c r="H572" t="s">
        <v>8021</v>
      </c>
      <c r="I572">
        <f>_xlfn.LET(_xlpm.id,TRIM($A572),IF(_xlpm.id="","",SUM(COUNTIF('1. OP'!$M:$M,_xlpm.id),COUNTIF('2. JSEL'!$M:$M,_xlpm.id),COUNTIF('3. PSM'!$M:$M,_xlpm.id),COUNTIF('4. SSP'!$M:$M,_xlpm.id),COUNTIF('5. JSACI'!$M:$M,_xlpm.id),COUNTIF('6. AIN'!$M:$M,_xlpm.id),COUNTIF('7. MS'!$M:$M,_xlpm.id),COUNTIF('8. DS'!$M:$M,_xlpm.id),COUNTIF('9. RMF'!$M:$M,_xlpm.id),COUNTIF('10. PCU'!$M:$M,_xlpm.id))))</f>
        <v>0</v>
      </c>
    </row>
    <row r="573" spans="1:9">
      <c r="A573" t="s">
        <v>8253</v>
      </c>
      <c r="B573" t="s">
        <v>8250</v>
      </c>
      <c r="C573" t="s">
        <v>8254</v>
      </c>
      <c r="D573">
        <v>1</v>
      </c>
      <c r="E573" s="23">
        <v>4</v>
      </c>
      <c r="F573" t="s">
        <v>8102</v>
      </c>
      <c r="G573" t="s">
        <v>10484</v>
      </c>
      <c r="H573" t="s">
        <v>8021</v>
      </c>
      <c r="I573">
        <f>_xlfn.LET(_xlpm.id,TRIM($A573),IF(_xlpm.id="","",SUM(COUNTIF('1. OP'!$M:$M,_xlpm.id),COUNTIF('2. JSEL'!$M:$M,_xlpm.id),COUNTIF('3. PSM'!$M:$M,_xlpm.id),COUNTIF('4. SSP'!$M:$M,_xlpm.id),COUNTIF('5. JSACI'!$M:$M,_xlpm.id),COUNTIF('6. AIN'!$M:$M,_xlpm.id),COUNTIF('7. MS'!$M:$M,_xlpm.id),COUNTIF('8. DS'!$M:$M,_xlpm.id),COUNTIF('9. RMF'!$M:$M,_xlpm.id),COUNTIF('10. PCU'!$M:$M,_xlpm.id))))</f>
        <v>0</v>
      </c>
    </row>
    <row r="574" spans="1:9">
      <c r="A574" t="s">
        <v>8255</v>
      </c>
      <c r="B574" t="s">
        <v>8250</v>
      </c>
      <c r="C574" t="s">
        <v>3040</v>
      </c>
      <c r="D574">
        <v>1</v>
      </c>
      <c r="E574" s="23">
        <v>5</v>
      </c>
      <c r="F574" t="s">
        <v>8102</v>
      </c>
      <c r="G574" t="s">
        <v>10484</v>
      </c>
      <c r="H574" t="s">
        <v>8021</v>
      </c>
      <c r="I574">
        <f>_xlfn.LET(_xlpm.id,TRIM($A574),IF(_xlpm.id="","",SUM(COUNTIF('1. OP'!$M:$M,_xlpm.id),COUNTIF('2. JSEL'!$M:$M,_xlpm.id),COUNTIF('3. PSM'!$M:$M,_xlpm.id),COUNTIF('4. SSP'!$M:$M,_xlpm.id),COUNTIF('5. JSACI'!$M:$M,_xlpm.id),COUNTIF('6. AIN'!$M:$M,_xlpm.id),COUNTIF('7. MS'!$M:$M,_xlpm.id),COUNTIF('8. DS'!$M:$M,_xlpm.id),COUNTIF('9. RMF'!$M:$M,_xlpm.id),COUNTIF('10. PCU'!$M:$M,_xlpm.id))))</f>
        <v>0</v>
      </c>
    </row>
    <row r="575" spans="1:9">
      <c r="A575" t="s">
        <v>5255</v>
      </c>
      <c r="B575" t="s">
        <v>4653</v>
      </c>
      <c r="C575">
        <v>1837</v>
      </c>
      <c r="D575">
        <v>1</v>
      </c>
      <c r="E575" s="23">
        <v>1</v>
      </c>
      <c r="F575" t="s">
        <v>8102</v>
      </c>
      <c r="G575" t="s">
        <v>10484</v>
      </c>
      <c r="H575" t="s">
        <v>8021</v>
      </c>
      <c r="I575">
        <f>_xlfn.LET(_xlpm.id,TRIM($A575),IF(_xlpm.id="","",SUM(COUNTIF('1. OP'!$M:$M,_xlpm.id),COUNTIF('2. JSEL'!$M:$M,_xlpm.id),COUNTIF('3. PSM'!$M:$M,_xlpm.id),COUNTIF('4. SSP'!$M:$M,_xlpm.id),COUNTIF('5. JSACI'!$M:$M,_xlpm.id),COUNTIF('6. AIN'!$M:$M,_xlpm.id),COUNTIF('7. MS'!$M:$M,_xlpm.id),COUNTIF('8. DS'!$M:$M,_xlpm.id),COUNTIF('9. RMF'!$M:$M,_xlpm.id),COUNTIF('10. PCU'!$M:$M,_xlpm.id))))</f>
        <v>4</v>
      </c>
    </row>
    <row r="576" spans="1:9">
      <c r="A576" t="s">
        <v>8547</v>
      </c>
      <c r="B576" t="s">
        <v>4653</v>
      </c>
      <c r="C576" t="s">
        <v>3041</v>
      </c>
      <c r="D576">
        <v>1</v>
      </c>
      <c r="E576" s="23">
        <v>2</v>
      </c>
      <c r="F576" t="s">
        <v>8102</v>
      </c>
      <c r="G576" t="s">
        <v>10484</v>
      </c>
      <c r="H576" t="s">
        <v>8021</v>
      </c>
      <c r="I576">
        <f>_xlfn.LET(_xlpm.id,TRIM($A576),IF(_xlpm.id="","",SUM(COUNTIF('1. OP'!$M:$M,_xlpm.id),COUNTIF('2. JSEL'!$M:$M,_xlpm.id),COUNTIF('3. PSM'!$M:$M,_xlpm.id),COUNTIF('4. SSP'!$M:$M,_xlpm.id),COUNTIF('5. JSACI'!$M:$M,_xlpm.id),COUNTIF('6. AIN'!$M:$M,_xlpm.id),COUNTIF('7. MS'!$M:$M,_xlpm.id),COUNTIF('8. DS'!$M:$M,_xlpm.id),COUNTIF('9. RMF'!$M:$M,_xlpm.id),COUNTIF('10. PCU'!$M:$M,_xlpm.id))))</f>
        <v>0</v>
      </c>
    </row>
    <row r="577" spans="1:9">
      <c r="A577" t="s">
        <v>8548</v>
      </c>
      <c r="B577" t="s">
        <v>8549</v>
      </c>
      <c r="C577">
        <v>1828</v>
      </c>
      <c r="D577">
        <v>1</v>
      </c>
      <c r="E577" s="23">
        <v>1</v>
      </c>
      <c r="F577" t="s">
        <v>8102</v>
      </c>
      <c r="G577" t="s">
        <v>10484</v>
      </c>
      <c r="H577" t="s">
        <v>8021</v>
      </c>
      <c r="I577">
        <f>_xlfn.LET(_xlpm.id,TRIM($A577),IF(_xlpm.id="","",SUM(COUNTIF('1. OP'!$M:$M,_xlpm.id),COUNTIF('2. JSEL'!$M:$M,_xlpm.id),COUNTIF('3. PSM'!$M:$M,_xlpm.id),COUNTIF('4. SSP'!$M:$M,_xlpm.id),COUNTIF('5. JSACI'!$M:$M,_xlpm.id),COUNTIF('6. AIN'!$M:$M,_xlpm.id),COUNTIF('7. MS'!$M:$M,_xlpm.id),COUNTIF('8. DS'!$M:$M,_xlpm.id),COUNTIF('9. RMF'!$M:$M,_xlpm.id),COUNTIF('10. PCU'!$M:$M,_xlpm.id))))</f>
        <v>0</v>
      </c>
    </row>
    <row r="578" spans="1:9">
      <c r="A578" t="s">
        <v>8550</v>
      </c>
      <c r="B578" t="s">
        <v>8549</v>
      </c>
      <c r="C578">
        <v>1828</v>
      </c>
      <c r="D578">
        <v>1</v>
      </c>
      <c r="E578" s="23">
        <v>2</v>
      </c>
      <c r="F578" t="s">
        <v>8102</v>
      </c>
      <c r="G578" t="s">
        <v>10484</v>
      </c>
      <c r="H578" t="s">
        <v>8021</v>
      </c>
      <c r="I578">
        <f>_xlfn.LET(_xlpm.id,TRIM($A578),IF(_xlpm.id="","",SUM(COUNTIF('1. OP'!$M:$M,_xlpm.id),COUNTIF('2. JSEL'!$M:$M,_xlpm.id),COUNTIF('3. PSM'!$M:$M,_xlpm.id),COUNTIF('4. SSP'!$M:$M,_xlpm.id),COUNTIF('5. JSACI'!$M:$M,_xlpm.id),COUNTIF('6. AIN'!$M:$M,_xlpm.id),COUNTIF('7. MS'!$M:$M,_xlpm.id),COUNTIF('8. DS'!$M:$M,_xlpm.id),COUNTIF('9. RMF'!$M:$M,_xlpm.id),COUNTIF('10. PCU'!$M:$M,_xlpm.id))))</f>
        <v>0</v>
      </c>
    </row>
    <row r="579" spans="1:9">
      <c r="A579" t="s">
        <v>5045</v>
      </c>
      <c r="B579" t="s">
        <v>8549</v>
      </c>
      <c r="C579">
        <v>1829</v>
      </c>
      <c r="D579">
        <v>1</v>
      </c>
      <c r="E579" s="23">
        <v>3</v>
      </c>
      <c r="F579" t="s">
        <v>8102</v>
      </c>
      <c r="G579" t="s">
        <v>10484</v>
      </c>
      <c r="H579" t="s">
        <v>8021</v>
      </c>
      <c r="I579">
        <f>_xlfn.LET(_xlpm.id,TRIM($A579),IF(_xlpm.id="","",SUM(COUNTIF('1. OP'!$M:$M,_xlpm.id),COUNTIF('2. JSEL'!$M:$M,_xlpm.id),COUNTIF('3. PSM'!$M:$M,_xlpm.id),COUNTIF('4. SSP'!$M:$M,_xlpm.id),COUNTIF('5. JSACI'!$M:$M,_xlpm.id),COUNTIF('6. AIN'!$M:$M,_xlpm.id),COUNTIF('7. MS'!$M:$M,_xlpm.id),COUNTIF('8. DS'!$M:$M,_xlpm.id),COUNTIF('9. RMF'!$M:$M,_xlpm.id),COUNTIF('10. PCU'!$M:$M,_xlpm.id))))</f>
        <v>1</v>
      </c>
    </row>
    <row r="580" spans="1:9">
      <c r="A580" t="s">
        <v>8551</v>
      </c>
      <c r="B580" t="s">
        <v>8549</v>
      </c>
      <c r="C580">
        <v>1829</v>
      </c>
      <c r="D580">
        <v>1</v>
      </c>
      <c r="E580" s="23">
        <v>4</v>
      </c>
      <c r="F580" t="s">
        <v>8102</v>
      </c>
      <c r="G580" t="s">
        <v>10484</v>
      </c>
      <c r="H580" t="s">
        <v>8021</v>
      </c>
      <c r="I580">
        <f>_xlfn.LET(_xlpm.id,TRIM($A580),IF(_xlpm.id="","",SUM(COUNTIF('1. OP'!$M:$M,_xlpm.id),COUNTIF('2. JSEL'!$M:$M,_xlpm.id),COUNTIF('3. PSM'!$M:$M,_xlpm.id),COUNTIF('4. SSP'!$M:$M,_xlpm.id),COUNTIF('5. JSACI'!$M:$M,_xlpm.id),COUNTIF('6. AIN'!$M:$M,_xlpm.id),COUNTIF('7. MS'!$M:$M,_xlpm.id),COUNTIF('8. DS'!$M:$M,_xlpm.id),COUNTIF('9. RMF'!$M:$M,_xlpm.id),COUNTIF('10. PCU'!$M:$M,_xlpm.id))))</f>
        <v>0</v>
      </c>
    </row>
    <row r="581" spans="1:9">
      <c r="A581" t="s">
        <v>8552</v>
      </c>
      <c r="B581" t="s">
        <v>8549</v>
      </c>
      <c r="C581">
        <v>1830</v>
      </c>
      <c r="D581">
        <v>1</v>
      </c>
      <c r="E581" s="23">
        <v>5</v>
      </c>
      <c r="F581" t="s">
        <v>8102</v>
      </c>
      <c r="G581" t="s">
        <v>10484</v>
      </c>
      <c r="H581" t="s">
        <v>8021</v>
      </c>
      <c r="I581">
        <f>_xlfn.LET(_xlpm.id,TRIM($A581),IF(_xlpm.id="","",SUM(COUNTIF('1. OP'!$M:$M,_xlpm.id),COUNTIF('2. JSEL'!$M:$M,_xlpm.id),COUNTIF('3. PSM'!$M:$M,_xlpm.id),COUNTIF('4. SSP'!$M:$M,_xlpm.id),COUNTIF('5. JSACI'!$M:$M,_xlpm.id),COUNTIF('6. AIN'!$M:$M,_xlpm.id),COUNTIF('7. MS'!$M:$M,_xlpm.id),COUNTIF('8. DS'!$M:$M,_xlpm.id),COUNTIF('9. RMF'!$M:$M,_xlpm.id),COUNTIF('10. PCU'!$M:$M,_xlpm.id))))</f>
        <v>0</v>
      </c>
    </row>
    <row r="582" spans="1:9">
      <c r="A582" t="s">
        <v>8553</v>
      </c>
      <c r="B582" t="s">
        <v>8549</v>
      </c>
      <c r="C582">
        <v>1830</v>
      </c>
      <c r="D582">
        <v>1</v>
      </c>
      <c r="E582" s="23">
        <v>6</v>
      </c>
      <c r="F582" t="s">
        <v>8102</v>
      </c>
      <c r="G582" t="s">
        <v>10484</v>
      </c>
      <c r="H582" t="s">
        <v>8021</v>
      </c>
      <c r="I582">
        <f>_xlfn.LET(_xlpm.id,TRIM($A582),IF(_xlpm.id="","",SUM(COUNTIF('1. OP'!$M:$M,_xlpm.id),COUNTIF('2. JSEL'!$M:$M,_xlpm.id),COUNTIF('3. PSM'!$M:$M,_xlpm.id),COUNTIF('4. SSP'!$M:$M,_xlpm.id),COUNTIF('5. JSACI'!$M:$M,_xlpm.id),COUNTIF('6. AIN'!$M:$M,_xlpm.id),COUNTIF('7. MS'!$M:$M,_xlpm.id),COUNTIF('8. DS'!$M:$M,_xlpm.id),COUNTIF('9. RMF'!$M:$M,_xlpm.id),COUNTIF('10. PCU'!$M:$M,_xlpm.id))))</f>
        <v>0</v>
      </c>
    </row>
    <row r="583" spans="1:9">
      <c r="A583" t="s">
        <v>8554</v>
      </c>
      <c r="B583" t="s">
        <v>8555</v>
      </c>
      <c r="C583">
        <v>1809</v>
      </c>
      <c r="D583">
        <v>1</v>
      </c>
      <c r="E583" s="23">
        <v>1</v>
      </c>
      <c r="F583" t="s">
        <v>8102</v>
      </c>
      <c r="G583" t="s">
        <v>10484</v>
      </c>
      <c r="H583" t="s">
        <v>8021</v>
      </c>
      <c r="I583">
        <f>_xlfn.LET(_xlpm.id,TRIM($A583),IF(_xlpm.id="","",SUM(COUNTIF('1. OP'!$M:$M,_xlpm.id),COUNTIF('2. JSEL'!$M:$M,_xlpm.id),COUNTIF('3. PSM'!$M:$M,_xlpm.id),COUNTIF('4. SSP'!$M:$M,_xlpm.id),COUNTIF('5. JSACI'!$M:$M,_xlpm.id),COUNTIF('6. AIN'!$M:$M,_xlpm.id),COUNTIF('7. MS'!$M:$M,_xlpm.id),COUNTIF('8. DS'!$M:$M,_xlpm.id),COUNTIF('9. RMF'!$M:$M,_xlpm.id),COUNTIF('10. PCU'!$M:$M,_xlpm.id))))</f>
        <v>0</v>
      </c>
    </row>
    <row r="584" spans="1:9">
      <c r="A584" t="s">
        <v>8556</v>
      </c>
      <c r="B584" t="s">
        <v>8555</v>
      </c>
      <c r="C584">
        <v>1810</v>
      </c>
      <c r="D584">
        <v>1</v>
      </c>
      <c r="E584" s="23">
        <v>2</v>
      </c>
      <c r="F584" t="s">
        <v>8102</v>
      </c>
      <c r="G584" t="s">
        <v>10484</v>
      </c>
      <c r="H584" t="s">
        <v>8021</v>
      </c>
      <c r="I584">
        <f>_xlfn.LET(_xlpm.id,TRIM($A584),IF(_xlpm.id="","",SUM(COUNTIF('1. OP'!$M:$M,_xlpm.id),COUNTIF('2. JSEL'!$M:$M,_xlpm.id),COUNTIF('3. PSM'!$M:$M,_xlpm.id),COUNTIF('4. SSP'!$M:$M,_xlpm.id),COUNTIF('5. JSACI'!$M:$M,_xlpm.id),COUNTIF('6. AIN'!$M:$M,_xlpm.id),COUNTIF('7. MS'!$M:$M,_xlpm.id),COUNTIF('8. DS'!$M:$M,_xlpm.id),COUNTIF('9. RMF'!$M:$M,_xlpm.id),COUNTIF('10. PCU'!$M:$M,_xlpm.id))))</f>
        <v>0</v>
      </c>
    </row>
    <row r="585" spans="1:9">
      <c r="A585" t="s">
        <v>8557</v>
      </c>
      <c r="B585" t="s">
        <v>8555</v>
      </c>
      <c r="C585">
        <v>1811</v>
      </c>
      <c r="D585">
        <v>1</v>
      </c>
      <c r="E585" s="23">
        <v>3</v>
      </c>
      <c r="F585" t="s">
        <v>8102</v>
      </c>
      <c r="G585" t="s">
        <v>10484</v>
      </c>
      <c r="H585" t="s">
        <v>8021</v>
      </c>
      <c r="I585">
        <f>_xlfn.LET(_xlpm.id,TRIM($A585),IF(_xlpm.id="","",SUM(COUNTIF('1. OP'!$M:$M,_xlpm.id),COUNTIF('2. JSEL'!$M:$M,_xlpm.id),COUNTIF('3. PSM'!$M:$M,_xlpm.id),COUNTIF('4. SSP'!$M:$M,_xlpm.id),COUNTIF('5. JSACI'!$M:$M,_xlpm.id),COUNTIF('6. AIN'!$M:$M,_xlpm.id),COUNTIF('7. MS'!$M:$M,_xlpm.id),COUNTIF('8. DS'!$M:$M,_xlpm.id),COUNTIF('9. RMF'!$M:$M,_xlpm.id),COUNTIF('10. PCU'!$M:$M,_xlpm.id))))</f>
        <v>0</v>
      </c>
    </row>
    <row r="586" spans="1:9">
      <c r="A586" t="s">
        <v>8558</v>
      </c>
      <c r="B586" t="s">
        <v>8555</v>
      </c>
      <c r="C586">
        <v>1812</v>
      </c>
      <c r="D586">
        <v>1</v>
      </c>
      <c r="E586" s="23">
        <v>4</v>
      </c>
      <c r="F586" t="s">
        <v>8102</v>
      </c>
      <c r="G586" t="s">
        <v>10484</v>
      </c>
      <c r="H586" t="s">
        <v>8021</v>
      </c>
      <c r="I586">
        <f>_xlfn.LET(_xlpm.id,TRIM($A586),IF(_xlpm.id="","",SUM(COUNTIF('1. OP'!$M:$M,_xlpm.id),COUNTIF('2. JSEL'!$M:$M,_xlpm.id),COUNTIF('3. PSM'!$M:$M,_xlpm.id),COUNTIF('4. SSP'!$M:$M,_xlpm.id),COUNTIF('5. JSACI'!$M:$M,_xlpm.id),COUNTIF('6. AIN'!$M:$M,_xlpm.id),COUNTIF('7. MS'!$M:$M,_xlpm.id),COUNTIF('8. DS'!$M:$M,_xlpm.id),COUNTIF('9. RMF'!$M:$M,_xlpm.id),COUNTIF('10. PCU'!$M:$M,_xlpm.id))))</f>
        <v>0</v>
      </c>
    </row>
    <row r="587" spans="1:9">
      <c r="A587" t="s">
        <v>8559</v>
      </c>
      <c r="B587" t="s">
        <v>8555</v>
      </c>
      <c r="C587">
        <v>1813</v>
      </c>
      <c r="D587">
        <v>1</v>
      </c>
      <c r="E587" s="23">
        <v>5</v>
      </c>
      <c r="F587" t="s">
        <v>8102</v>
      </c>
      <c r="G587" t="s">
        <v>10484</v>
      </c>
      <c r="H587" t="s">
        <v>8021</v>
      </c>
      <c r="I587">
        <f>_xlfn.LET(_xlpm.id,TRIM($A587),IF(_xlpm.id="","",SUM(COUNTIF('1. OP'!$M:$M,_xlpm.id),COUNTIF('2. JSEL'!$M:$M,_xlpm.id),COUNTIF('3. PSM'!$M:$M,_xlpm.id),COUNTIF('4. SSP'!$M:$M,_xlpm.id),COUNTIF('5. JSACI'!$M:$M,_xlpm.id),COUNTIF('6. AIN'!$M:$M,_xlpm.id),COUNTIF('7. MS'!$M:$M,_xlpm.id),COUNTIF('8. DS'!$M:$M,_xlpm.id),COUNTIF('9. RMF'!$M:$M,_xlpm.id),COUNTIF('10. PCU'!$M:$M,_xlpm.id))))</f>
        <v>0</v>
      </c>
    </row>
    <row r="588" spans="1:9">
      <c r="A588" t="s">
        <v>8560</v>
      </c>
      <c r="B588" t="s">
        <v>8555</v>
      </c>
      <c r="C588">
        <v>1814</v>
      </c>
      <c r="D588">
        <v>1</v>
      </c>
      <c r="E588" s="23">
        <v>6</v>
      </c>
      <c r="F588" t="s">
        <v>8102</v>
      </c>
      <c r="G588" t="s">
        <v>10484</v>
      </c>
      <c r="H588" t="s">
        <v>8021</v>
      </c>
      <c r="I588">
        <f>_xlfn.LET(_xlpm.id,TRIM($A588),IF(_xlpm.id="","",SUM(COUNTIF('1. OP'!$M:$M,_xlpm.id),COUNTIF('2. JSEL'!$M:$M,_xlpm.id),COUNTIF('3. PSM'!$M:$M,_xlpm.id),COUNTIF('4. SSP'!$M:$M,_xlpm.id),COUNTIF('5. JSACI'!$M:$M,_xlpm.id),COUNTIF('6. AIN'!$M:$M,_xlpm.id),COUNTIF('7. MS'!$M:$M,_xlpm.id),COUNTIF('8. DS'!$M:$M,_xlpm.id),COUNTIF('9. RMF'!$M:$M,_xlpm.id),COUNTIF('10. PCU'!$M:$M,_xlpm.id))))</f>
        <v>0</v>
      </c>
    </row>
    <row r="589" spans="1:9">
      <c r="A589" t="s">
        <v>8561</v>
      </c>
      <c r="B589" t="s">
        <v>8555</v>
      </c>
      <c r="C589">
        <v>1815</v>
      </c>
      <c r="D589">
        <v>1</v>
      </c>
      <c r="E589" s="23">
        <v>7</v>
      </c>
      <c r="F589" t="s">
        <v>8102</v>
      </c>
      <c r="G589" t="s">
        <v>10484</v>
      </c>
      <c r="H589" t="s">
        <v>8021</v>
      </c>
      <c r="I589">
        <f>_xlfn.LET(_xlpm.id,TRIM($A589),IF(_xlpm.id="","",SUM(COUNTIF('1. OP'!$M:$M,_xlpm.id),COUNTIF('2. JSEL'!$M:$M,_xlpm.id),COUNTIF('3. PSM'!$M:$M,_xlpm.id),COUNTIF('4. SSP'!$M:$M,_xlpm.id),COUNTIF('5. JSACI'!$M:$M,_xlpm.id),COUNTIF('6. AIN'!$M:$M,_xlpm.id),COUNTIF('7. MS'!$M:$M,_xlpm.id),COUNTIF('8. DS'!$M:$M,_xlpm.id),COUNTIF('9. RMF'!$M:$M,_xlpm.id),COUNTIF('10. PCU'!$M:$M,_xlpm.id))))</f>
        <v>0</v>
      </c>
    </row>
    <row r="590" spans="1:9">
      <c r="A590" t="s">
        <v>8562</v>
      </c>
      <c r="B590" t="s">
        <v>8555</v>
      </c>
      <c r="C590">
        <v>1816</v>
      </c>
      <c r="D590">
        <v>1</v>
      </c>
      <c r="E590" s="23">
        <v>8</v>
      </c>
      <c r="F590" t="s">
        <v>8102</v>
      </c>
      <c r="G590" t="s">
        <v>10484</v>
      </c>
      <c r="H590" t="s">
        <v>8021</v>
      </c>
      <c r="I590">
        <f>_xlfn.LET(_xlpm.id,TRIM($A590),IF(_xlpm.id="","",SUM(COUNTIF('1. OP'!$M:$M,_xlpm.id),COUNTIF('2. JSEL'!$M:$M,_xlpm.id),COUNTIF('3. PSM'!$M:$M,_xlpm.id),COUNTIF('4. SSP'!$M:$M,_xlpm.id),COUNTIF('5. JSACI'!$M:$M,_xlpm.id),COUNTIF('6. AIN'!$M:$M,_xlpm.id),COUNTIF('7. MS'!$M:$M,_xlpm.id),COUNTIF('8. DS'!$M:$M,_xlpm.id),COUNTIF('9. RMF'!$M:$M,_xlpm.id),COUNTIF('10. PCU'!$M:$M,_xlpm.id))))</f>
        <v>0</v>
      </c>
    </row>
    <row r="591" spans="1:9">
      <c r="A591" t="s">
        <v>8563</v>
      </c>
      <c r="B591" t="s">
        <v>8555</v>
      </c>
      <c r="C591">
        <v>1817</v>
      </c>
      <c r="D591">
        <v>1</v>
      </c>
      <c r="E591" s="23">
        <v>9</v>
      </c>
      <c r="F591" t="s">
        <v>8102</v>
      </c>
      <c r="G591" t="s">
        <v>10484</v>
      </c>
      <c r="H591" t="s">
        <v>8021</v>
      </c>
      <c r="I591">
        <f>_xlfn.LET(_xlpm.id,TRIM($A591),IF(_xlpm.id="","",SUM(COUNTIF('1. OP'!$M:$M,_xlpm.id),COUNTIF('2. JSEL'!$M:$M,_xlpm.id),COUNTIF('3. PSM'!$M:$M,_xlpm.id),COUNTIF('4. SSP'!$M:$M,_xlpm.id),COUNTIF('5. JSACI'!$M:$M,_xlpm.id),COUNTIF('6. AIN'!$M:$M,_xlpm.id),COUNTIF('7. MS'!$M:$M,_xlpm.id),COUNTIF('8. DS'!$M:$M,_xlpm.id),COUNTIF('9. RMF'!$M:$M,_xlpm.id),COUNTIF('10. PCU'!$M:$M,_xlpm.id))))</f>
        <v>0</v>
      </c>
    </row>
    <row r="592" spans="1:9">
      <c r="A592" t="s">
        <v>8564</v>
      </c>
      <c r="B592" t="s">
        <v>8555</v>
      </c>
      <c r="C592">
        <v>1818</v>
      </c>
      <c r="D592">
        <v>1</v>
      </c>
      <c r="E592" s="23">
        <v>10</v>
      </c>
      <c r="F592" t="s">
        <v>8102</v>
      </c>
      <c r="G592" t="s">
        <v>10484</v>
      </c>
      <c r="H592" t="s">
        <v>8021</v>
      </c>
      <c r="I592">
        <f>_xlfn.LET(_xlpm.id,TRIM($A592),IF(_xlpm.id="","",SUM(COUNTIF('1. OP'!$M:$M,_xlpm.id),COUNTIF('2. JSEL'!$M:$M,_xlpm.id),COUNTIF('3. PSM'!$M:$M,_xlpm.id),COUNTIF('4. SSP'!$M:$M,_xlpm.id),COUNTIF('5. JSACI'!$M:$M,_xlpm.id),COUNTIF('6. AIN'!$M:$M,_xlpm.id),COUNTIF('7. MS'!$M:$M,_xlpm.id),COUNTIF('8. DS'!$M:$M,_xlpm.id),COUNTIF('9. RMF'!$M:$M,_xlpm.id),COUNTIF('10. PCU'!$M:$M,_xlpm.id))))</f>
        <v>0</v>
      </c>
    </row>
    <row r="593" spans="1:9">
      <c r="A593" t="s">
        <v>8565</v>
      </c>
      <c r="B593" t="s">
        <v>8555</v>
      </c>
      <c r="C593">
        <v>1819</v>
      </c>
      <c r="D593">
        <v>1</v>
      </c>
      <c r="E593" s="23">
        <v>11</v>
      </c>
      <c r="F593" t="s">
        <v>8102</v>
      </c>
      <c r="G593" t="s">
        <v>10484</v>
      </c>
      <c r="H593" t="s">
        <v>8021</v>
      </c>
      <c r="I593">
        <f>_xlfn.LET(_xlpm.id,TRIM($A593),IF(_xlpm.id="","",SUM(COUNTIF('1. OP'!$M:$M,_xlpm.id),COUNTIF('2. JSEL'!$M:$M,_xlpm.id),COUNTIF('3. PSM'!$M:$M,_xlpm.id),COUNTIF('4. SSP'!$M:$M,_xlpm.id),COUNTIF('5. JSACI'!$M:$M,_xlpm.id),COUNTIF('6. AIN'!$M:$M,_xlpm.id),COUNTIF('7. MS'!$M:$M,_xlpm.id),COUNTIF('8. DS'!$M:$M,_xlpm.id),COUNTIF('9. RMF'!$M:$M,_xlpm.id),COUNTIF('10. PCU'!$M:$M,_xlpm.id))))</f>
        <v>0</v>
      </c>
    </row>
    <row r="594" spans="1:9">
      <c r="A594" t="s">
        <v>8566</v>
      </c>
      <c r="B594" t="s">
        <v>8555</v>
      </c>
      <c r="C594">
        <v>1820</v>
      </c>
      <c r="D594">
        <v>1</v>
      </c>
      <c r="E594" s="23">
        <v>12</v>
      </c>
      <c r="F594" t="s">
        <v>8102</v>
      </c>
      <c r="G594" t="s">
        <v>10484</v>
      </c>
      <c r="H594" t="s">
        <v>8021</v>
      </c>
      <c r="I594">
        <f>_xlfn.LET(_xlpm.id,TRIM($A594),IF(_xlpm.id="","",SUM(COUNTIF('1. OP'!$M:$M,_xlpm.id),COUNTIF('2. JSEL'!$M:$M,_xlpm.id),COUNTIF('3. PSM'!$M:$M,_xlpm.id),COUNTIF('4. SSP'!$M:$M,_xlpm.id),COUNTIF('5. JSACI'!$M:$M,_xlpm.id),COUNTIF('6. AIN'!$M:$M,_xlpm.id),COUNTIF('7. MS'!$M:$M,_xlpm.id),COUNTIF('8. DS'!$M:$M,_xlpm.id),COUNTIF('9. RMF'!$M:$M,_xlpm.id),COUNTIF('10. PCU'!$M:$M,_xlpm.id))))</f>
        <v>0</v>
      </c>
    </row>
    <row r="595" spans="1:9">
      <c r="A595" t="s">
        <v>8567</v>
      </c>
      <c r="B595" t="s">
        <v>8555</v>
      </c>
      <c r="C595">
        <v>1821</v>
      </c>
      <c r="D595">
        <v>1</v>
      </c>
      <c r="E595" s="23">
        <v>13</v>
      </c>
      <c r="F595" t="s">
        <v>8102</v>
      </c>
      <c r="G595" t="s">
        <v>10484</v>
      </c>
      <c r="H595" t="s">
        <v>8021</v>
      </c>
      <c r="I595">
        <f>_xlfn.LET(_xlpm.id,TRIM($A595),IF(_xlpm.id="","",SUM(COUNTIF('1. OP'!$M:$M,_xlpm.id),COUNTIF('2. JSEL'!$M:$M,_xlpm.id),COUNTIF('3. PSM'!$M:$M,_xlpm.id),COUNTIF('4. SSP'!$M:$M,_xlpm.id),COUNTIF('5. JSACI'!$M:$M,_xlpm.id),COUNTIF('6. AIN'!$M:$M,_xlpm.id),COUNTIF('7. MS'!$M:$M,_xlpm.id),COUNTIF('8. DS'!$M:$M,_xlpm.id),COUNTIF('9. RMF'!$M:$M,_xlpm.id),COUNTIF('10. PCU'!$M:$M,_xlpm.id))))</f>
        <v>0</v>
      </c>
    </row>
    <row r="596" spans="1:9">
      <c r="A596" t="s">
        <v>8568</v>
      </c>
      <c r="B596" t="s">
        <v>8555</v>
      </c>
      <c r="C596">
        <v>1822</v>
      </c>
      <c r="D596">
        <v>1</v>
      </c>
      <c r="E596" s="23">
        <v>14</v>
      </c>
      <c r="F596" t="s">
        <v>8102</v>
      </c>
      <c r="G596" t="s">
        <v>10484</v>
      </c>
      <c r="H596" t="s">
        <v>8021</v>
      </c>
      <c r="I596">
        <f>_xlfn.LET(_xlpm.id,TRIM($A596),IF(_xlpm.id="","",SUM(COUNTIF('1. OP'!$M:$M,_xlpm.id),COUNTIF('2. JSEL'!$M:$M,_xlpm.id),COUNTIF('3. PSM'!$M:$M,_xlpm.id),COUNTIF('4. SSP'!$M:$M,_xlpm.id),COUNTIF('5. JSACI'!$M:$M,_xlpm.id),COUNTIF('6. AIN'!$M:$M,_xlpm.id),COUNTIF('7. MS'!$M:$M,_xlpm.id),COUNTIF('8. DS'!$M:$M,_xlpm.id),COUNTIF('9. RMF'!$M:$M,_xlpm.id),COUNTIF('10. PCU'!$M:$M,_xlpm.id))))</f>
        <v>0</v>
      </c>
    </row>
    <row r="597" spans="1:9">
      <c r="A597" t="s">
        <v>8569</v>
      </c>
      <c r="B597" t="s">
        <v>8555</v>
      </c>
      <c r="C597">
        <v>1823</v>
      </c>
      <c r="D597">
        <v>1</v>
      </c>
      <c r="E597" s="23">
        <v>15</v>
      </c>
      <c r="F597" t="s">
        <v>8102</v>
      </c>
      <c r="G597" t="s">
        <v>10484</v>
      </c>
      <c r="H597" t="s">
        <v>8021</v>
      </c>
      <c r="I597">
        <f>_xlfn.LET(_xlpm.id,TRIM($A597),IF(_xlpm.id="","",SUM(COUNTIF('1. OP'!$M:$M,_xlpm.id),COUNTIF('2. JSEL'!$M:$M,_xlpm.id),COUNTIF('3. PSM'!$M:$M,_xlpm.id),COUNTIF('4. SSP'!$M:$M,_xlpm.id),COUNTIF('5. JSACI'!$M:$M,_xlpm.id),COUNTIF('6. AIN'!$M:$M,_xlpm.id),COUNTIF('7. MS'!$M:$M,_xlpm.id),COUNTIF('8. DS'!$M:$M,_xlpm.id),COUNTIF('9. RMF'!$M:$M,_xlpm.id),COUNTIF('10. PCU'!$M:$M,_xlpm.id))))</f>
        <v>0</v>
      </c>
    </row>
    <row r="598" spans="1:9">
      <c r="A598" t="s">
        <v>8570</v>
      </c>
      <c r="B598" t="s">
        <v>8555</v>
      </c>
      <c r="C598">
        <v>1824</v>
      </c>
      <c r="D598">
        <v>1</v>
      </c>
      <c r="E598" s="23">
        <v>16</v>
      </c>
      <c r="F598" t="s">
        <v>8102</v>
      </c>
      <c r="G598" t="s">
        <v>10484</v>
      </c>
      <c r="H598" t="s">
        <v>8021</v>
      </c>
      <c r="I598">
        <f>_xlfn.LET(_xlpm.id,TRIM($A598),IF(_xlpm.id="","",SUM(COUNTIF('1. OP'!$M:$M,_xlpm.id),COUNTIF('2. JSEL'!$M:$M,_xlpm.id),COUNTIF('3. PSM'!$M:$M,_xlpm.id),COUNTIF('4. SSP'!$M:$M,_xlpm.id),COUNTIF('5. JSACI'!$M:$M,_xlpm.id),COUNTIF('6. AIN'!$M:$M,_xlpm.id),COUNTIF('7. MS'!$M:$M,_xlpm.id),COUNTIF('8. DS'!$M:$M,_xlpm.id),COUNTIF('9. RMF'!$M:$M,_xlpm.id),COUNTIF('10. PCU'!$M:$M,_xlpm.id))))</f>
        <v>0</v>
      </c>
    </row>
    <row r="599" spans="1:9">
      <c r="A599" t="s">
        <v>8571</v>
      </c>
      <c r="B599" t="s">
        <v>8555</v>
      </c>
      <c r="C599">
        <v>1825</v>
      </c>
      <c r="D599">
        <v>1</v>
      </c>
      <c r="E599" s="23">
        <v>17</v>
      </c>
      <c r="F599" t="s">
        <v>8102</v>
      </c>
      <c r="G599" t="s">
        <v>10484</v>
      </c>
      <c r="H599" t="s">
        <v>8021</v>
      </c>
      <c r="I599">
        <f>_xlfn.LET(_xlpm.id,TRIM($A599),IF(_xlpm.id="","",SUM(COUNTIF('1. OP'!$M:$M,_xlpm.id),COUNTIF('2. JSEL'!$M:$M,_xlpm.id),COUNTIF('3. PSM'!$M:$M,_xlpm.id),COUNTIF('4. SSP'!$M:$M,_xlpm.id),COUNTIF('5. JSACI'!$M:$M,_xlpm.id),COUNTIF('6. AIN'!$M:$M,_xlpm.id),COUNTIF('7. MS'!$M:$M,_xlpm.id),COUNTIF('8. DS'!$M:$M,_xlpm.id),COUNTIF('9. RMF'!$M:$M,_xlpm.id),COUNTIF('10. PCU'!$M:$M,_xlpm.id))))</f>
        <v>0</v>
      </c>
    </row>
    <row r="600" spans="1:9">
      <c r="A600" t="s">
        <v>8572</v>
      </c>
      <c r="B600" t="s">
        <v>8555</v>
      </c>
      <c r="C600">
        <v>1826</v>
      </c>
      <c r="D600">
        <v>1</v>
      </c>
      <c r="E600" s="23">
        <v>18</v>
      </c>
      <c r="F600" t="s">
        <v>8102</v>
      </c>
      <c r="G600" t="s">
        <v>10484</v>
      </c>
      <c r="H600" t="s">
        <v>8021</v>
      </c>
      <c r="I600">
        <f>_xlfn.LET(_xlpm.id,TRIM($A600),IF(_xlpm.id="","",SUM(COUNTIF('1. OP'!$M:$M,_xlpm.id),COUNTIF('2. JSEL'!$M:$M,_xlpm.id),COUNTIF('3. PSM'!$M:$M,_xlpm.id),COUNTIF('4. SSP'!$M:$M,_xlpm.id),COUNTIF('5. JSACI'!$M:$M,_xlpm.id),COUNTIF('6. AIN'!$M:$M,_xlpm.id),COUNTIF('7. MS'!$M:$M,_xlpm.id),COUNTIF('8. DS'!$M:$M,_xlpm.id),COUNTIF('9. RMF'!$M:$M,_xlpm.id),COUNTIF('10. PCU'!$M:$M,_xlpm.id))))</f>
        <v>0</v>
      </c>
    </row>
    <row r="601" spans="1:9">
      <c r="A601" t="s">
        <v>8573</v>
      </c>
      <c r="B601" t="s">
        <v>8555</v>
      </c>
      <c r="C601">
        <v>1827</v>
      </c>
      <c r="D601">
        <v>1</v>
      </c>
      <c r="E601" s="23">
        <v>19</v>
      </c>
      <c r="F601" t="s">
        <v>8102</v>
      </c>
      <c r="G601" t="s">
        <v>10484</v>
      </c>
      <c r="H601" t="s">
        <v>8021</v>
      </c>
      <c r="I601">
        <f>_xlfn.LET(_xlpm.id,TRIM($A601),IF(_xlpm.id="","",SUM(COUNTIF('1. OP'!$M:$M,_xlpm.id),COUNTIF('2. JSEL'!$M:$M,_xlpm.id),COUNTIF('3. PSM'!$M:$M,_xlpm.id),COUNTIF('4. SSP'!$M:$M,_xlpm.id),COUNTIF('5. JSACI'!$M:$M,_xlpm.id),COUNTIF('6. AIN'!$M:$M,_xlpm.id),COUNTIF('7. MS'!$M:$M,_xlpm.id),COUNTIF('8. DS'!$M:$M,_xlpm.id),COUNTIF('9. RMF'!$M:$M,_xlpm.id),COUNTIF('10. PCU'!$M:$M,_xlpm.id))))</f>
        <v>0</v>
      </c>
    </row>
    <row r="602" spans="1:9">
      <c r="A602" t="s">
        <v>8574</v>
      </c>
      <c r="B602" t="s">
        <v>8555</v>
      </c>
      <c r="C602">
        <v>1828</v>
      </c>
      <c r="D602">
        <v>1</v>
      </c>
      <c r="E602" s="23">
        <v>20</v>
      </c>
      <c r="F602" t="s">
        <v>8102</v>
      </c>
      <c r="G602" t="s">
        <v>10484</v>
      </c>
      <c r="H602" t="s">
        <v>8021</v>
      </c>
      <c r="I602">
        <f>_xlfn.LET(_xlpm.id,TRIM($A602),IF(_xlpm.id="","",SUM(COUNTIF('1. OP'!$M:$M,_xlpm.id),COUNTIF('2. JSEL'!$M:$M,_xlpm.id),COUNTIF('3. PSM'!$M:$M,_xlpm.id),COUNTIF('4. SSP'!$M:$M,_xlpm.id),COUNTIF('5. JSACI'!$M:$M,_xlpm.id),COUNTIF('6. AIN'!$M:$M,_xlpm.id),COUNTIF('7. MS'!$M:$M,_xlpm.id),COUNTIF('8. DS'!$M:$M,_xlpm.id),COUNTIF('9. RMF'!$M:$M,_xlpm.id),COUNTIF('10. PCU'!$M:$M,_xlpm.id))))</f>
        <v>0</v>
      </c>
    </row>
    <row r="603" spans="1:9">
      <c r="A603" t="s">
        <v>8575</v>
      </c>
      <c r="B603" t="s">
        <v>8555</v>
      </c>
      <c r="C603">
        <v>1829</v>
      </c>
      <c r="D603">
        <v>1</v>
      </c>
      <c r="E603" s="23">
        <v>21</v>
      </c>
      <c r="F603" t="s">
        <v>8102</v>
      </c>
      <c r="G603" t="s">
        <v>10484</v>
      </c>
      <c r="H603" t="s">
        <v>8021</v>
      </c>
      <c r="I603">
        <f>_xlfn.LET(_xlpm.id,TRIM($A603),IF(_xlpm.id="","",SUM(COUNTIF('1. OP'!$M:$M,_xlpm.id),COUNTIF('2. JSEL'!$M:$M,_xlpm.id),COUNTIF('3. PSM'!$M:$M,_xlpm.id),COUNTIF('4. SSP'!$M:$M,_xlpm.id),COUNTIF('5. JSACI'!$M:$M,_xlpm.id),COUNTIF('6. AIN'!$M:$M,_xlpm.id),COUNTIF('7. MS'!$M:$M,_xlpm.id),COUNTIF('8. DS'!$M:$M,_xlpm.id),COUNTIF('9. RMF'!$M:$M,_xlpm.id),COUNTIF('10. PCU'!$M:$M,_xlpm.id))))</f>
        <v>0</v>
      </c>
    </row>
    <row r="604" spans="1:9">
      <c r="A604" t="s">
        <v>8576</v>
      </c>
      <c r="B604" t="s">
        <v>8555</v>
      </c>
      <c r="C604">
        <v>1830</v>
      </c>
      <c r="D604">
        <v>1</v>
      </c>
      <c r="E604" s="23">
        <v>22</v>
      </c>
      <c r="F604" t="s">
        <v>8102</v>
      </c>
      <c r="G604" t="s">
        <v>10484</v>
      </c>
      <c r="H604" t="s">
        <v>8021</v>
      </c>
      <c r="I604">
        <f>_xlfn.LET(_xlpm.id,TRIM($A604),IF(_xlpm.id="","",SUM(COUNTIF('1. OP'!$M:$M,_xlpm.id),COUNTIF('2. JSEL'!$M:$M,_xlpm.id),COUNTIF('3. PSM'!$M:$M,_xlpm.id),COUNTIF('4. SSP'!$M:$M,_xlpm.id),COUNTIF('5. JSACI'!$M:$M,_xlpm.id),COUNTIF('6. AIN'!$M:$M,_xlpm.id),COUNTIF('7. MS'!$M:$M,_xlpm.id),COUNTIF('8. DS'!$M:$M,_xlpm.id),COUNTIF('9. RMF'!$M:$M,_xlpm.id),COUNTIF('10. PCU'!$M:$M,_xlpm.id))))</f>
        <v>0</v>
      </c>
    </row>
    <row r="605" spans="1:9">
      <c r="A605" t="s">
        <v>5202</v>
      </c>
      <c r="B605" t="s">
        <v>8577</v>
      </c>
      <c r="C605">
        <v>1836</v>
      </c>
      <c r="D605">
        <v>1</v>
      </c>
      <c r="E605" s="23">
        <v>1</v>
      </c>
      <c r="F605" t="s">
        <v>8102</v>
      </c>
      <c r="G605" t="s">
        <v>10484</v>
      </c>
      <c r="H605" t="s">
        <v>8021</v>
      </c>
      <c r="I605">
        <f>_xlfn.LET(_xlpm.id,TRIM($A605),IF(_xlpm.id="","",SUM(COUNTIF('1. OP'!$M:$M,_xlpm.id),COUNTIF('2. JSEL'!$M:$M,_xlpm.id),COUNTIF('3. PSM'!$M:$M,_xlpm.id),COUNTIF('4. SSP'!$M:$M,_xlpm.id),COUNTIF('5. JSACI'!$M:$M,_xlpm.id),COUNTIF('6. AIN'!$M:$M,_xlpm.id),COUNTIF('7. MS'!$M:$M,_xlpm.id),COUNTIF('8. DS'!$M:$M,_xlpm.id),COUNTIF('9. RMF'!$M:$M,_xlpm.id),COUNTIF('10. PCU'!$M:$M,_xlpm.id))))</f>
        <v>2</v>
      </c>
    </row>
    <row r="606" spans="1:9">
      <c r="A606" t="s">
        <v>8578</v>
      </c>
      <c r="B606" t="s">
        <v>8577</v>
      </c>
      <c r="C606">
        <v>1838</v>
      </c>
      <c r="D606">
        <v>1</v>
      </c>
      <c r="E606" s="23">
        <v>2</v>
      </c>
      <c r="F606" t="s">
        <v>8102</v>
      </c>
      <c r="G606" t="s">
        <v>10484</v>
      </c>
      <c r="H606" t="s">
        <v>8021</v>
      </c>
      <c r="I606">
        <f>_xlfn.LET(_xlpm.id,TRIM($A606),IF(_xlpm.id="","",SUM(COUNTIF('1. OP'!$M:$M,_xlpm.id),COUNTIF('2. JSEL'!$M:$M,_xlpm.id),COUNTIF('3. PSM'!$M:$M,_xlpm.id),COUNTIF('4. SSP'!$M:$M,_xlpm.id),COUNTIF('5. JSACI'!$M:$M,_xlpm.id),COUNTIF('6. AIN'!$M:$M,_xlpm.id),COUNTIF('7. MS'!$M:$M,_xlpm.id),COUNTIF('8. DS'!$M:$M,_xlpm.id),COUNTIF('9. RMF'!$M:$M,_xlpm.id),COUNTIF('10. PCU'!$M:$M,_xlpm.id))))</f>
        <v>0</v>
      </c>
    </row>
    <row r="607" spans="1:9">
      <c r="A607" t="s">
        <v>8579</v>
      </c>
      <c r="B607" t="s">
        <v>8577</v>
      </c>
      <c r="C607">
        <v>1839</v>
      </c>
      <c r="D607">
        <v>1</v>
      </c>
      <c r="E607" s="23">
        <v>3</v>
      </c>
      <c r="F607" t="s">
        <v>8102</v>
      </c>
      <c r="G607" t="s">
        <v>10484</v>
      </c>
      <c r="H607" t="s">
        <v>8021</v>
      </c>
      <c r="I607">
        <f>_xlfn.LET(_xlpm.id,TRIM($A607),IF(_xlpm.id="","",SUM(COUNTIF('1. OP'!$M:$M,_xlpm.id),COUNTIF('2. JSEL'!$M:$M,_xlpm.id),COUNTIF('3. PSM'!$M:$M,_xlpm.id),COUNTIF('4. SSP'!$M:$M,_xlpm.id),COUNTIF('5. JSACI'!$M:$M,_xlpm.id),COUNTIF('6. AIN'!$M:$M,_xlpm.id),COUNTIF('7. MS'!$M:$M,_xlpm.id),COUNTIF('8. DS'!$M:$M,_xlpm.id),COUNTIF('9. RMF'!$M:$M,_xlpm.id),COUNTIF('10. PCU'!$M:$M,_xlpm.id))))</f>
        <v>0</v>
      </c>
    </row>
    <row r="608" spans="1:9">
      <c r="A608" t="s">
        <v>8580</v>
      </c>
      <c r="B608" t="s">
        <v>8577</v>
      </c>
      <c r="C608">
        <v>1840</v>
      </c>
      <c r="D608">
        <v>1</v>
      </c>
      <c r="E608" s="23">
        <v>4</v>
      </c>
      <c r="F608" t="s">
        <v>8102</v>
      </c>
      <c r="G608" t="s">
        <v>10484</v>
      </c>
      <c r="H608" t="s">
        <v>8021</v>
      </c>
      <c r="I608">
        <f>_xlfn.LET(_xlpm.id,TRIM($A608),IF(_xlpm.id="","",SUM(COUNTIF('1. OP'!$M:$M,_xlpm.id),COUNTIF('2. JSEL'!$M:$M,_xlpm.id),COUNTIF('3. PSM'!$M:$M,_xlpm.id),COUNTIF('4. SSP'!$M:$M,_xlpm.id),COUNTIF('5. JSACI'!$M:$M,_xlpm.id),COUNTIF('6. AIN'!$M:$M,_xlpm.id),COUNTIF('7. MS'!$M:$M,_xlpm.id),COUNTIF('8. DS'!$M:$M,_xlpm.id),COUNTIF('9. RMF'!$M:$M,_xlpm.id),COUNTIF('10. PCU'!$M:$M,_xlpm.id))))</f>
        <v>0</v>
      </c>
    </row>
    <row r="609" spans="1:9">
      <c r="A609" t="s">
        <v>8581</v>
      </c>
      <c r="B609" t="s">
        <v>8582</v>
      </c>
      <c r="C609">
        <v>1824</v>
      </c>
      <c r="D609">
        <v>1</v>
      </c>
      <c r="E609" s="23">
        <v>1</v>
      </c>
      <c r="F609" t="s">
        <v>8102</v>
      </c>
      <c r="G609" t="s">
        <v>10484</v>
      </c>
      <c r="H609" t="s">
        <v>8021</v>
      </c>
      <c r="I609">
        <f>_xlfn.LET(_xlpm.id,TRIM($A609),IF(_xlpm.id="","",SUM(COUNTIF('1. OP'!$M:$M,_xlpm.id),COUNTIF('2. JSEL'!$M:$M,_xlpm.id),COUNTIF('3. PSM'!$M:$M,_xlpm.id),COUNTIF('4. SSP'!$M:$M,_xlpm.id),COUNTIF('5. JSACI'!$M:$M,_xlpm.id),COUNTIF('6. AIN'!$M:$M,_xlpm.id),COUNTIF('7. MS'!$M:$M,_xlpm.id),COUNTIF('8. DS'!$M:$M,_xlpm.id),COUNTIF('9. RMF'!$M:$M,_xlpm.id),COUNTIF('10. PCU'!$M:$M,_xlpm.id))))</f>
        <v>0</v>
      </c>
    </row>
    <row r="610" spans="1:9">
      <c r="A610" t="s">
        <v>8583</v>
      </c>
      <c r="B610" t="s">
        <v>8582</v>
      </c>
      <c r="C610">
        <v>1824</v>
      </c>
      <c r="D610">
        <v>1</v>
      </c>
      <c r="E610" s="23">
        <v>2</v>
      </c>
      <c r="F610" t="s">
        <v>8102</v>
      </c>
      <c r="G610" t="s">
        <v>10484</v>
      </c>
      <c r="H610" t="s">
        <v>8021</v>
      </c>
      <c r="I610">
        <f>_xlfn.LET(_xlpm.id,TRIM($A610),IF(_xlpm.id="","",SUM(COUNTIF('1. OP'!$M:$M,_xlpm.id),COUNTIF('2. JSEL'!$M:$M,_xlpm.id),COUNTIF('3. PSM'!$M:$M,_xlpm.id),COUNTIF('4. SSP'!$M:$M,_xlpm.id),COUNTIF('5. JSACI'!$M:$M,_xlpm.id),COUNTIF('6. AIN'!$M:$M,_xlpm.id),COUNTIF('7. MS'!$M:$M,_xlpm.id),COUNTIF('8. DS'!$M:$M,_xlpm.id),COUNTIF('9. RMF'!$M:$M,_xlpm.id),COUNTIF('10. PCU'!$M:$M,_xlpm.id))))</f>
        <v>0</v>
      </c>
    </row>
    <row r="611" spans="1:9">
      <c r="A611" t="s">
        <v>8584</v>
      </c>
      <c r="B611" t="s">
        <v>8582</v>
      </c>
      <c r="C611">
        <v>1825</v>
      </c>
      <c r="D611">
        <v>1</v>
      </c>
      <c r="E611" s="23">
        <v>3</v>
      </c>
      <c r="F611" t="s">
        <v>8102</v>
      </c>
      <c r="G611" t="s">
        <v>10484</v>
      </c>
      <c r="H611" t="s">
        <v>8021</v>
      </c>
      <c r="I611">
        <f>_xlfn.LET(_xlpm.id,TRIM($A611),IF(_xlpm.id="","",SUM(COUNTIF('1. OP'!$M:$M,_xlpm.id),COUNTIF('2. JSEL'!$M:$M,_xlpm.id),COUNTIF('3. PSM'!$M:$M,_xlpm.id),COUNTIF('4. SSP'!$M:$M,_xlpm.id),COUNTIF('5. JSACI'!$M:$M,_xlpm.id),COUNTIF('6. AIN'!$M:$M,_xlpm.id),COUNTIF('7. MS'!$M:$M,_xlpm.id),COUNTIF('8. DS'!$M:$M,_xlpm.id),COUNTIF('9. RMF'!$M:$M,_xlpm.id),COUNTIF('10. PCU'!$M:$M,_xlpm.id))))</f>
        <v>0</v>
      </c>
    </row>
    <row r="612" spans="1:9">
      <c r="A612" t="s">
        <v>8585</v>
      </c>
      <c r="B612" t="s">
        <v>8582</v>
      </c>
      <c r="C612">
        <v>1825</v>
      </c>
      <c r="D612">
        <v>1</v>
      </c>
      <c r="E612" s="23">
        <v>4</v>
      </c>
      <c r="F612" t="s">
        <v>8102</v>
      </c>
      <c r="G612" t="s">
        <v>10484</v>
      </c>
      <c r="H612" t="s">
        <v>8021</v>
      </c>
      <c r="I612">
        <f>_xlfn.LET(_xlpm.id,TRIM($A612),IF(_xlpm.id="","",SUM(COUNTIF('1. OP'!$M:$M,_xlpm.id),COUNTIF('2. JSEL'!$M:$M,_xlpm.id),COUNTIF('3. PSM'!$M:$M,_xlpm.id),COUNTIF('4. SSP'!$M:$M,_xlpm.id),COUNTIF('5. JSACI'!$M:$M,_xlpm.id),COUNTIF('6. AIN'!$M:$M,_xlpm.id),COUNTIF('7. MS'!$M:$M,_xlpm.id),COUNTIF('8. DS'!$M:$M,_xlpm.id),COUNTIF('9. RMF'!$M:$M,_xlpm.id),COUNTIF('10. PCU'!$M:$M,_xlpm.id))))</f>
        <v>0</v>
      </c>
    </row>
    <row r="613" spans="1:9">
      <c r="A613" t="s">
        <v>8586</v>
      </c>
      <c r="B613" t="s">
        <v>8582</v>
      </c>
      <c r="C613">
        <v>1826</v>
      </c>
      <c r="D613">
        <v>1</v>
      </c>
      <c r="E613" s="23">
        <v>5</v>
      </c>
      <c r="F613" t="s">
        <v>8102</v>
      </c>
      <c r="G613" t="s">
        <v>10484</v>
      </c>
      <c r="H613" t="s">
        <v>8021</v>
      </c>
      <c r="I613">
        <f>_xlfn.LET(_xlpm.id,TRIM($A613),IF(_xlpm.id="","",SUM(COUNTIF('1. OP'!$M:$M,_xlpm.id),COUNTIF('2. JSEL'!$M:$M,_xlpm.id),COUNTIF('3. PSM'!$M:$M,_xlpm.id),COUNTIF('4. SSP'!$M:$M,_xlpm.id),COUNTIF('5. JSACI'!$M:$M,_xlpm.id),COUNTIF('6. AIN'!$M:$M,_xlpm.id),COUNTIF('7. MS'!$M:$M,_xlpm.id),COUNTIF('8. DS'!$M:$M,_xlpm.id),COUNTIF('9. RMF'!$M:$M,_xlpm.id),COUNTIF('10. PCU'!$M:$M,_xlpm.id))))</f>
        <v>0</v>
      </c>
    </row>
    <row r="614" spans="1:9">
      <c r="A614" t="s">
        <v>6900</v>
      </c>
      <c r="B614" t="s">
        <v>8582</v>
      </c>
      <c r="C614">
        <v>1826</v>
      </c>
      <c r="D614">
        <v>1</v>
      </c>
      <c r="E614" s="23">
        <v>6</v>
      </c>
      <c r="F614" t="s">
        <v>8102</v>
      </c>
      <c r="G614" t="s">
        <v>10484</v>
      </c>
      <c r="H614" t="s">
        <v>8021</v>
      </c>
      <c r="I614">
        <f>_xlfn.LET(_xlpm.id,TRIM($A614),IF(_xlpm.id="","",SUM(COUNTIF('1. OP'!$M:$M,_xlpm.id),COUNTIF('2. JSEL'!$M:$M,_xlpm.id),COUNTIF('3. PSM'!$M:$M,_xlpm.id),COUNTIF('4. SSP'!$M:$M,_xlpm.id),COUNTIF('5. JSACI'!$M:$M,_xlpm.id),COUNTIF('6. AIN'!$M:$M,_xlpm.id),COUNTIF('7. MS'!$M:$M,_xlpm.id),COUNTIF('8. DS'!$M:$M,_xlpm.id),COUNTIF('9. RMF'!$M:$M,_xlpm.id),COUNTIF('10. PCU'!$M:$M,_xlpm.id))))</f>
        <v>2</v>
      </c>
    </row>
    <row r="615" spans="1:9">
      <c r="A615" t="s">
        <v>5025</v>
      </c>
      <c r="B615" t="s">
        <v>8582</v>
      </c>
      <c r="C615">
        <v>1827</v>
      </c>
      <c r="D615">
        <v>1</v>
      </c>
      <c r="E615" s="23">
        <v>7</v>
      </c>
      <c r="F615" t="s">
        <v>8102</v>
      </c>
      <c r="G615" t="s">
        <v>10484</v>
      </c>
      <c r="H615" t="s">
        <v>8021</v>
      </c>
      <c r="I615">
        <f>_xlfn.LET(_xlpm.id,TRIM($A615),IF(_xlpm.id="","",SUM(COUNTIF('1. OP'!$M:$M,_xlpm.id),COUNTIF('2. JSEL'!$M:$M,_xlpm.id),COUNTIF('3. PSM'!$M:$M,_xlpm.id),COUNTIF('4. SSP'!$M:$M,_xlpm.id),COUNTIF('5. JSACI'!$M:$M,_xlpm.id),COUNTIF('6. AIN'!$M:$M,_xlpm.id),COUNTIF('7. MS'!$M:$M,_xlpm.id),COUNTIF('8. DS'!$M:$M,_xlpm.id),COUNTIF('9. RMF'!$M:$M,_xlpm.id),COUNTIF('10. PCU'!$M:$M,_xlpm.id))))</f>
        <v>1</v>
      </c>
    </row>
    <row r="616" spans="1:9">
      <c r="A616" t="s">
        <v>8587</v>
      </c>
      <c r="B616" t="s">
        <v>8582</v>
      </c>
      <c r="C616">
        <v>1827</v>
      </c>
      <c r="D616">
        <v>1</v>
      </c>
      <c r="E616" s="23">
        <v>8</v>
      </c>
      <c r="F616" t="s">
        <v>8102</v>
      </c>
      <c r="G616" t="s">
        <v>10484</v>
      </c>
      <c r="H616" t="s">
        <v>8021</v>
      </c>
      <c r="I616">
        <f>_xlfn.LET(_xlpm.id,TRIM($A616),IF(_xlpm.id="","",SUM(COUNTIF('1. OP'!$M:$M,_xlpm.id),COUNTIF('2. JSEL'!$M:$M,_xlpm.id),COUNTIF('3. PSM'!$M:$M,_xlpm.id),COUNTIF('4. SSP'!$M:$M,_xlpm.id),COUNTIF('5. JSACI'!$M:$M,_xlpm.id),COUNTIF('6. AIN'!$M:$M,_xlpm.id),COUNTIF('7. MS'!$M:$M,_xlpm.id),COUNTIF('8. DS'!$M:$M,_xlpm.id),COUNTIF('9. RMF'!$M:$M,_xlpm.id),COUNTIF('10. PCU'!$M:$M,_xlpm.id))))</f>
        <v>0</v>
      </c>
    </row>
    <row r="617" spans="1:9">
      <c r="A617" t="s">
        <v>8588</v>
      </c>
      <c r="B617" t="s">
        <v>8582</v>
      </c>
      <c r="C617">
        <v>1828</v>
      </c>
      <c r="D617">
        <v>1</v>
      </c>
      <c r="E617" s="23">
        <v>9</v>
      </c>
      <c r="F617" t="s">
        <v>8102</v>
      </c>
      <c r="G617" t="s">
        <v>10484</v>
      </c>
      <c r="H617" t="s">
        <v>8021</v>
      </c>
      <c r="I617">
        <f>_xlfn.LET(_xlpm.id,TRIM($A617),IF(_xlpm.id="","",SUM(COUNTIF('1. OP'!$M:$M,_xlpm.id),COUNTIF('2. JSEL'!$M:$M,_xlpm.id),COUNTIF('3. PSM'!$M:$M,_xlpm.id),COUNTIF('4. SSP'!$M:$M,_xlpm.id),COUNTIF('5. JSACI'!$M:$M,_xlpm.id),COUNTIF('6. AIN'!$M:$M,_xlpm.id),COUNTIF('7. MS'!$M:$M,_xlpm.id),COUNTIF('8. DS'!$M:$M,_xlpm.id),COUNTIF('9. RMF'!$M:$M,_xlpm.id),COUNTIF('10. PCU'!$M:$M,_xlpm.id))))</f>
        <v>0</v>
      </c>
    </row>
    <row r="618" spans="1:9">
      <c r="A618" t="s">
        <v>8589</v>
      </c>
      <c r="B618" t="s">
        <v>8582</v>
      </c>
      <c r="C618">
        <v>1828</v>
      </c>
      <c r="D618">
        <v>1</v>
      </c>
      <c r="E618" s="23">
        <v>10</v>
      </c>
      <c r="F618" t="s">
        <v>8102</v>
      </c>
      <c r="G618" t="s">
        <v>10484</v>
      </c>
      <c r="H618" t="s">
        <v>8021</v>
      </c>
      <c r="I618">
        <f>_xlfn.LET(_xlpm.id,TRIM($A618),IF(_xlpm.id="","",SUM(COUNTIF('1. OP'!$M:$M,_xlpm.id),COUNTIF('2. JSEL'!$M:$M,_xlpm.id),COUNTIF('3. PSM'!$M:$M,_xlpm.id),COUNTIF('4. SSP'!$M:$M,_xlpm.id),COUNTIF('5. JSACI'!$M:$M,_xlpm.id),COUNTIF('6. AIN'!$M:$M,_xlpm.id),COUNTIF('7. MS'!$M:$M,_xlpm.id),COUNTIF('8. DS'!$M:$M,_xlpm.id),COUNTIF('9. RMF'!$M:$M,_xlpm.id),COUNTIF('10. PCU'!$M:$M,_xlpm.id))))</f>
        <v>0</v>
      </c>
    </row>
    <row r="619" spans="1:9">
      <c r="A619" t="s">
        <v>6555</v>
      </c>
      <c r="B619" t="s">
        <v>8582</v>
      </c>
      <c r="C619">
        <v>1829</v>
      </c>
      <c r="D619">
        <v>1</v>
      </c>
      <c r="E619" s="23">
        <v>11</v>
      </c>
      <c r="F619" t="s">
        <v>8102</v>
      </c>
      <c r="G619" t="s">
        <v>10484</v>
      </c>
      <c r="H619" t="s">
        <v>8021</v>
      </c>
      <c r="I619">
        <f>_xlfn.LET(_xlpm.id,TRIM($A619),IF(_xlpm.id="","",SUM(COUNTIF('1. OP'!$M:$M,_xlpm.id),COUNTIF('2. JSEL'!$M:$M,_xlpm.id),COUNTIF('3. PSM'!$M:$M,_xlpm.id),COUNTIF('4. SSP'!$M:$M,_xlpm.id),COUNTIF('5. JSACI'!$M:$M,_xlpm.id),COUNTIF('6. AIN'!$M:$M,_xlpm.id),COUNTIF('7. MS'!$M:$M,_xlpm.id),COUNTIF('8. DS'!$M:$M,_xlpm.id),COUNTIF('9. RMF'!$M:$M,_xlpm.id),COUNTIF('10. PCU'!$M:$M,_xlpm.id))))</f>
        <v>6</v>
      </c>
    </row>
    <row r="620" spans="1:9">
      <c r="A620" t="s">
        <v>6585</v>
      </c>
      <c r="B620" t="s">
        <v>8582</v>
      </c>
      <c r="C620">
        <v>1829</v>
      </c>
      <c r="D620">
        <v>1</v>
      </c>
      <c r="E620" s="23">
        <v>12</v>
      </c>
      <c r="F620" t="s">
        <v>8102</v>
      </c>
      <c r="G620" t="s">
        <v>10484</v>
      </c>
      <c r="H620" t="s">
        <v>8021</v>
      </c>
      <c r="I620">
        <f>_xlfn.LET(_xlpm.id,TRIM($A620),IF(_xlpm.id="","",SUM(COUNTIF('1. OP'!$M:$M,_xlpm.id),COUNTIF('2. JSEL'!$M:$M,_xlpm.id),COUNTIF('3. PSM'!$M:$M,_xlpm.id),COUNTIF('4. SSP'!$M:$M,_xlpm.id),COUNTIF('5. JSACI'!$M:$M,_xlpm.id),COUNTIF('6. AIN'!$M:$M,_xlpm.id),COUNTIF('7. MS'!$M:$M,_xlpm.id),COUNTIF('8. DS'!$M:$M,_xlpm.id),COUNTIF('9. RMF'!$M:$M,_xlpm.id),COUNTIF('10. PCU'!$M:$M,_xlpm.id))))</f>
        <v>1</v>
      </c>
    </row>
    <row r="621" spans="1:9">
      <c r="A621" t="s">
        <v>8590</v>
      </c>
      <c r="B621" t="s">
        <v>8582</v>
      </c>
      <c r="C621">
        <v>1829</v>
      </c>
      <c r="D621">
        <v>1</v>
      </c>
      <c r="E621" s="23">
        <v>13</v>
      </c>
      <c r="F621" t="s">
        <v>8102</v>
      </c>
      <c r="G621" t="s">
        <v>10484</v>
      </c>
      <c r="H621" t="s">
        <v>8021</v>
      </c>
      <c r="I621">
        <f>_xlfn.LET(_xlpm.id,TRIM($A621),IF(_xlpm.id="","",SUM(COUNTIF('1. OP'!$M:$M,_xlpm.id),COUNTIF('2. JSEL'!$M:$M,_xlpm.id),COUNTIF('3. PSM'!$M:$M,_xlpm.id),COUNTIF('4. SSP'!$M:$M,_xlpm.id),COUNTIF('5. JSACI'!$M:$M,_xlpm.id),COUNTIF('6. AIN'!$M:$M,_xlpm.id),COUNTIF('7. MS'!$M:$M,_xlpm.id),COUNTIF('8. DS'!$M:$M,_xlpm.id),COUNTIF('9. RMF'!$M:$M,_xlpm.id),COUNTIF('10. PCU'!$M:$M,_xlpm.id))))</f>
        <v>0</v>
      </c>
    </row>
    <row r="622" spans="1:9">
      <c r="A622" t="s">
        <v>8591</v>
      </c>
      <c r="B622" t="s">
        <v>8582</v>
      </c>
      <c r="C622">
        <v>1830</v>
      </c>
      <c r="D622">
        <v>1</v>
      </c>
      <c r="E622" s="23">
        <v>14</v>
      </c>
      <c r="F622" t="s">
        <v>8102</v>
      </c>
      <c r="G622" t="s">
        <v>10484</v>
      </c>
      <c r="H622" t="s">
        <v>8021</v>
      </c>
      <c r="I622">
        <f>_xlfn.LET(_xlpm.id,TRIM($A622),IF(_xlpm.id="","",SUM(COUNTIF('1. OP'!$M:$M,_xlpm.id),COUNTIF('2. JSEL'!$M:$M,_xlpm.id),COUNTIF('3. PSM'!$M:$M,_xlpm.id),COUNTIF('4. SSP'!$M:$M,_xlpm.id),COUNTIF('5. JSACI'!$M:$M,_xlpm.id),COUNTIF('6. AIN'!$M:$M,_xlpm.id),COUNTIF('7. MS'!$M:$M,_xlpm.id),COUNTIF('8. DS'!$M:$M,_xlpm.id),COUNTIF('9. RMF'!$M:$M,_xlpm.id),COUNTIF('10. PCU'!$M:$M,_xlpm.id))))</f>
        <v>0</v>
      </c>
    </row>
    <row r="623" spans="1:9">
      <c r="A623" t="s">
        <v>8592</v>
      </c>
      <c r="B623" t="s">
        <v>8582</v>
      </c>
      <c r="C623">
        <v>1830</v>
      </c>
      <c r="D623">
        <v>1</v>
      </c>
      <c r="E623" s="23">
        <v>15</v>
      </c>
      <c r="F623" t="s">
        <v>8102</v>
      </c>
      <c r="G623" t="s">
        <v>10484</v>
      </c>
      <c r="H623" t="s">
        <v>8021</v>
      </c>
      <c r="I623">
        <f>_xlfn.LET(_xlpm.id,TRIM($A623),IF(_xlpm.id="","",SUM(COUNTIF('1. OP'!$M:$M,_xlpm.id),COUNTIF('2. JSEL'!$M:$M,_xlpm.id),COUNTIF('3. PSM'!$M:$M,_xlpm.id),COUNTIF('4. SSP'!$M:$M,_xlpm.id),COUNTIF('5. JSACI'!$M:$M,_xlpm.id),COUNTIF('6. AIN'!$M:$M,_xlpm.id),COUNTIF('7. MS'!$M:$M,_xlpm.id),COUNTIF('8. DS'!$M:$M,_xlpm.id),COUNTIF('9. RMF'!$M:$M,_xlpm.id),COUNTIF('10. PCU'!$M:$M,_xlpm.id))))</f>
        <v>0</v>
      </c>
    </row>
    <row r="624" spans="1:9">
      <c r="A624" t="s">
        <v>8593</v>
      </c>
      <c r="B624" t="s">
        <v>8582</v>
      </c>
      <c r="C624">
        <v>1830</v>
      </c>
      <c r="D624">
        <v>1</v>
      </c>
      <c r="E624" s="23">
        <v>16</v>
      </c>
      <c r="F624" t="s">
        <v>8102</v>
      </c>
      <c r="G624" t="s">
        <v>10484</v>
      </c>
      <c r="H624" t="s">
        <v>8021</v>
      </c>
      <c r="I624">
        <f>_xlfn.LET(_xlpm.id,TRIM($A624),IF(_xlpm.id="","",SUM(COUNTIF('1. OP'!$M:$M,_xlpm.id),COUNTIF('2. JSEL'!$M:$M,_xlpm.id),COUNTIF('3. PSM'!$M:$M,_xlpm.id),COUNTIF('4. SSP'!$M:$M,_xlpm.id),COUNTIF('5. JSACI'!$M:$M,_xlpm.id),COUNTIF('6. AIN'!$M:$M,_xlpm.id),COUNTIF('7. MS'!$M:$M,_xlpm.id),COUNTIF('8. DS'!$M:$M,_xlpm.id),COUNTIF('9. RMF'!$M:$M,_xlpm.id),COUNTIF('10. PCU'!$M:$M,_xlpm.id))))</f>
        <v>0</v>
      </c>
    </row>
    <row r="625" spans="1:9">
      <c r="A625" t="s">
        <v>8594</v>
      </c>
      <c r="B625" t="s">
        <v>8582</v>
      </c>
      <c r="C625">
        <v>1831</v>
      </c>
      <c r="D625">
        <v>1</v>
      </c>
      <c r="E625" s="23">
        <v>17</v>
      </c>
      <c r="F625" t="s">
        <v>8102</v>
      </c>
      <c r="G625" t="s">
        <v>10484</v>
      </c>
      <c r="H625" t="s">
        <v>8021</v>
      </c>
      <c r="I625">
        <f>_xlfn.LET(_xlpm.id,TRIM($A625),IF(_xlpm.id="","",SUM(COUNTIF('1. OP'!$M:$M,_xlpm.id),COUNTIF('2. JSEL'!$M:$M,_xlpm.id),COUNTIF('3. PSM'!$M:$M,_xlpm.id),COUNTIF('4. SSP'!$M:$M,_xlpm.id),COUNTIF('5. JSACI'!$M:$M,_xlpm.id),COUNTIF('6. AIN'!$M:$M,_xlpm.id),COUNTIF('7. MS'!$M:$M,_xlpm.id),COUNTIF('8. DS'!$M:$M,_xlpm.id),COUNTIF('9. RMF'!$M:$M,_xlpm.id),COUNTIF('10. PCU'!$M:$M,_xlpm.id))))</f>
        <v>0</v>
      </c>
    </row>
    <row r="626" spans="1:9">
      <c r="A626" t="s">
        <v>8595</v>
      </c>
      <c r="B626" t="s">
        <v>8582</v>
      </c>
      <c r="C626">
        <v>1831</v>
      </c>
      <c r="D626">
        <v>1</v>
      </c>
      <c r="E626" s="23">
        <v>18</v>
      </c>
      <c r="F626" t="s">
        <v>8102</v>
      </c>
      <c r="G626" t="s">
        <v>10484</v>
      </c>
      <c r="H626" t="s">
        <v>8021</v>
      </c>
      <c r="I626">
        <f>_xlfn.LET(_xlpm.id,TRIM($A626),IF(_xlpm.id="","",SUM(COUNTIF('1. OP'!$M:$M,_xlpm.id),COUNTIF('2. JSEL'!$M:$M,_xlpm.id),COUNTIF('3. PSM'!$M:$M,_xlpm.id),COUNTIF('4. SSP'!$M:$M,_xlpm.id),COUNTIF('5. JSACI'!$M:$M,_xlpm.id),COUNTIF('6. AIN'!$M:$M,_xlpm.id),COUNTIF('7. MS'!$M:$M,_xlpm.id),COUNTIF('8. DS'!$M:$M,_xlpm.id),COUNTIF('9. RMF'!$M:$M,_xlpm.id),COUNTIF('10. PCU'!$M:$M,_xlpm.id))))</f>
        <v>0</v>
      </c>
    </row>
    <row r="627" spans="1:9">
      <c r="A627" t="s">
        <v>8596</v>
      </c>
      <c r="B627" t="s">
        <v>8582</v>
      </c>
      <c r="C627">
        <v>1831</v>
      </c>
      <c r="D627">
        <v>1</v>
      </c>
      <c r="E627" s="23">
        <v>19</v>
      </c>
      <c r="F627" t="s">
        <v>8102</v>
      </c>
      <c r="G627" t="s">
        <v>10484</v>
      </c>
      <c r="H627" t="s">
        <v>8021</v>
      </c>
      <c r="I627">
        <f>_xlfn.LET(_xlpm.id,TRIM($A627),IF(_xlpm.id="","",SUM(COUNTIF('1. OP'!$M:$M,_xlpm.id),COUNTIF('2. JSEL'!$M:$M,_xlpm.id),COUNTIF('3. PSM'!$M:$M,_xlpm.id),COUNTIF('4. SSP'!$M:$M,_xlpm.id),COUNTIF('5. JSACI'!$M:$M,_xlpm.id),COUNTIF('6. AIN'!$M:$M,_xlpm.id),COUNTIF('7. MS'!$M:$M,_xlpm.id),COUNTIF('8. DS'!$M:$M,_xlpm.id),COUNTIF('9. RMF'!$M:$M,_xlpm.id),COUNTIF('10. PCU'!$M:$M,_xlpm.id))))</f>
        <v>0</v>
      </c>
    </row>
    <row r="628" spans="1:9">
      <c r="A628" t="s">
        <v>5150</v>
      </c>
      <c r="B628" t="s">
        <v>8597</v>
      </c>
      <c r="C628" t="s">
        <v>8260</v>
      </c>
      <c r="D628">
        <v>1</v>
      </c>
      <c r="E628" s="23" t="s">
        <v>8432</v>
      </c>
      <c r="F628" t="s">
        <v>8102</v>
      </c>
      <c r="G628" t="s">
        <v>10484</v>
      </c>
      <c r="H628" t="s">
        <v>8021</v>
      </c>
      <c r="I628">
        <f>_xlfn.LET(_xlpm.id,TRIM($A628),IF(_xlpm.id="","",SUM(COUNTIF('1. OP'!$M:$M,_xlpm.id),COUNTIF('2. JSEL'!$M:$M,_xlpm.id),COUNTIF('3. PSM'!$M:$M,_xlpm.id),COUNTIF('4. SSP'!$M:$M,_xlpm.id),COUNTIF('5. JSACI'!$M:$M,_xlpm.id),COUNTIF('6. AIN'!$M:$M,_xlpm.id),COUNTIF('7. MS'!$M:$M,_xlpm.id),COUNTIF('8. DS'!$M:$M,_xlpm.id),COUNTIF('9. RMF'!$M:$M,_xlpm.id),COUNTIF('10. PCU'!$M:$M,_xlpm.id))))</f>
        <v>15</v>
      </c>
    </row>
    <row r="629" spans="1:9">
      <c r="A629" t="s">
        <v>5165</v>
      </c>
      <c r="B629" t="s">
        <v>8597</v>
      </c>
      <c r="C629" t="s">
        <v>3040</v>
      </c>
      <c r="D629">
        <v>1</v>
      </c>
      <c r="E629" s="23">
        <v>4</v>
      </c>
      <c r="F629" t="s">
        <v>8102</v>
      </c>
      <c r="G629" t="s">
        <v>10484</v>
      </c>
      <c r="H629" t="s">
        <v>8021</v>
      </c>
      <c r="I629">
        <f>_xlfn.LET(_xlpm.id,TRIM($A629),IF(_xlpm.id="","",SUM(COUNTIF('1. OP'!$M:$M,_xlpm.id),COUNTIF('2. JSEL'!$M:$M,_xlpm.id),COUNTIF('3. PSM'!$M:$M,_xlpm.id),COUNTIF('4. SSP'!$M:$M,_xlpm.id),COUNTIF('5. JSACI'!$M:$M,_xlpm.id),COUNTIF('6. AIN'!$M:$M,_xlpm.id),COUNTIF('7. MS'!$M:$M,_xlpm.id),COUNTIF('8. DS'!$M:$M,_xlpm.id),COUNTIF('9. RMF'!$M:$M,_xlpm.id),COUNTIF('10. PCU'!$M:$M,_xlpm.id))))</f>
        <v>15</v>
      </c>
    </row>
    <row r="630" spans="1:9">
      <c r="A630" t="s">
        <v>8598</v>
      </c>
      <c r="B630" t="s">
        <v>8597</v>
      </c>
      <c r="C630">
        <v>1838</v>
      </c>
      <c r="D630">
        <v>1</v>
      </c>
      <c r="E630" s="23">
        <v>5</v>
      </c>
      <c r="F630" t="s">
        <v>8102</v>
      </c>
      <c r="G630" t="s">
        <v>10484</v>
      </c>
      <c r="H630" t="s">
        <v>8021</v>
      </c>
      <c r="I630">
        <f>_xlfn.LET(_xlpm.id,TRIM($A630),IF(_xlpm.id="","",SUM(COUNTIF('1. OP'!$M:$M,_xlpm.id),COUNTIF('2. JSEL'!$M:$M,_xlpm.id),COUNTIF('3. PSM'!$M:$M,_xlpm.id),COUNTIF('4. SSP'!$M:$M,_xlpm.id),COUNTIF('5. JSACI'!$M:$M,_xlpm.id),COUNTIF('6. AIN'!$M:$M,_xlpm.id),COUNTIF('7. MS'!$M:$M,_xlpm.id),COUNTIF('8. DS'!$M:$M,_xlpm.id),COUNTIF('9. RMF'!$M:$M,_xlpm.id),COUNTIF('10. PCU'!$M:$M,_xlpm.id))))</f>
        <v>0</v>
      </c>
    </row>
    <row r="631" spans="1:9">
      <c r="A631" t="s">
        <v>8599</v>
      </c>
      <c r="B631" t="s">
        <v>8597</v>
      </c>
      <c r="C631">
        <v>1839</v>
      </c>
      <c r="D631">
        <v>1</v>
      </c>
      <c r="E631" s="23" t="s">
        <v>8600</v>
      </c>
      <c r="F631" t="s">
        <v>8102</v>
      </c>
      <c r="G631" t="s">
        <v>10484</v>
      </c>
      <c r="H631" t="s">
        <v>8021</v>
      </c>
      <c r="I631">
        <f>_xlfn.LET(_xlpm.id,TRIM($A631),IF(_xlpm.id="","",SUM(COUNTIF('1. OP'!$M:$M,_xlpm.id),COUNTIF('2. JSEL'!$M:$M,_xlpm.id),COUNTIF('3. PSM'!$M:$M,_xlpm.id),COUNTIF('4. SSP'!$M:$M,_xlpm.id),COUNTIF('5. JSACI'!$M:$M,_xlpm.id),COUNTIF('6. AIN'!$M:$M,_xlpm.id),COUNTIF('7. MS'!$M:$M,_xlpm.id),COUNTIF('8. DS'!$M:$M,_xlpm.id),COUNTIF('9. RMF'!$M:$M,_xlpm.id),COUNTIF('10. PCU'!$M:$M,_xlpm.id))))</f>
        <v>0</v>
      </c>
    </row>
    <row r="632" spans="1:9">
      <c r="A632" t="s">
        <v>7478</v>
      </c>
      <c r="B632" t="s">
        <v>8601</v>
      </c>
      <c r="C632">
        <v>1840</v>
      </c>
      <c r="D632">
        <v>1</v>
      </c>
      <c r="E632" s="23">
        <v>1</v>
      </c>
      <c r="F632" t="s">
        <v>8102</v>
      </c>
      <c r="G632" t="s">
        <v>10484</v>
      </c>
      <c r="H632" t="s">
        <v>8021</v>
      </c>
      <c r="I632">
        <f>_xlfn.LET(_xlpm.id,TRIM($A632),IF(_xlpm.id="","",SUM(COUNTIF('1. OP'!$M:$M,_xlpm.id),COUNTIF('2. JSEL'!$M:$M,_xlpm.id),COUNTIF('3. PSM'!$M:$M,_xlpm.id),COUNTIF('4. SSP'!$M:$M,_xlpm.id),COUNTIF('5. JSACI'!$M:$M,_xlpm.id),COUNTIF('6. AIN'!$M:$M,_xlpm.id),COUNTIF('7. MS'!$M:$M,_xlpm.id),COUNTIF('8. DS'!$M:$M,_xlpm.id),COUNTIF('9. RMF'!$M:$M,_xlpm.id),COUNTIF('10. PCU'!$M:$M,_xlpm.id))))</f>
        <v>8</v>
      </c>
    </row>
    <row r="633" spans="1:9">
      <c r="A633" t="s">
        <v>7539</v>
      </c>
      <c r="B633" t="s">
        <v>8601</v>
      </c>
      <c r="C633">
        <v>1840</v>
      </c>
      <c r="D633">
        <v>1</v>
      </c>
      <c r="E633" s="23">
        <v>2</v>
      </c>
      <c r="F633" t="s">
        <v>8102</v>
      </c>
      <c r="G633" t="s">
        <v>10484</v>
      </c>
      <c r="H633" t="s">
        <v>8021</v>
      </c>
      <c r="I633">
        <f>_xlfn.LET(_xlpm.id,TRIM($A633),IF(_xlpm.id="","",SUM(COUNTIF('1. OP'!$M:$M,_xlpm.id),COUNTIF('2. JSEL'!$M:$M,_xlpm.id),COUNTIF('3. PSM'!$M:$M,_xlpm.id),COUNTIF('4. SSP'!$M:$M,_xlpm.id),COUNTIF('5. JSACI'!$M:$M,_xlpm.id),COUNTIF('6. AIN'!$M:$M,_xlpm.id),COUNTIF('7. MS'!$M:$M,_xlpm.id),COUNTIF('8. DS'!$M:$M,_xlpm.id),COUNTIF('9. RMF'!$M:$M,_xlpm.id),COUNTIF('10. PCU'!$M:$M,_xlpm.id))))</f>
        <v>3</v>
      </c>
    </row>
    <row r="634" spans="1:9">
      <c r="A634" t="s">
        <v>8602</v>
      </c>
      <c r="B634" t="s">
        <v>8601</v>
      </c>
      <c r="C634">
        <v>1840</v>
      </c>
      <c r="D634">
        <v>1</v>
      </c>
      <c r="E634" s="23">
        <v>3</v>
      </c>
      <c r="F634" t="s">
        <v>8102</v>
      </c>
      <c r="G634" t="s">
        <v>10484</v>
      </c>
      <c r="H634" t="s">
        <v>8021</v>
      </c>
      <c r="I634">
        <f>_xlfn.LET(_xlpm.id,TRIM($A634),IF(_xlpm.id="","",SUM(COUNTIF('1. OP'!$M:$M,_xlpm.id),COUNTIF('2. JSEL'!$M:$M,_xlpm.id),COUNTIF('3. PSM'!$M:$M,_xlpm.id),COUNTIF('4. SSP'!$M:$M,_xlpm.id),COUNTIF('5. JSACI'!$M:$M,_xlpm.id),COUNTIF('6. AIN'!$M:$M,_xlpm.id),COUNTIF('7. MS'!$M:$M,_xlpm.id),COUNTIF('8. DS'!$M:$M,_xlpm.id),COUNTIF('9. RMF'!$M:$M,_xlpm.id),COUNTIF('10. PCU'!$M:$M,_xlpm.id))))</f>
        <v>0</v>
      </c>
    </row>
    <row r="635" spans="1:9">
      <c r="A635" t="s">
        <v>8627</v>
      </c>
      <c r="B635" t="s">
        <v>8628</v>
      </c>
      <c r="C635">
        <v>1833</v>
      </c>
      <c r="D635">
        <v>1</v>
      </c>
      <c r="E635" s="23" t="s">
        <v>8629</v>
      </c>
      <c r="F635" t="s">
        <v>8102</v>
      </c>
      <c r="G635" t="s">
        <v>10484</v>
      </c>
      <c r="H635" t="s">
        <v>8021</v>
      </c>
      <c r="I635">
        <f>_xlfn.LET(_xlpm.id,TRIM($A635),IF(_xlpm.id="","",SUM(COUNTIF('1. OP'!$M:$M,_xlpm.id),COUNTIF('2. JSEL'!$M:$M,_xlpm.id),COUNTIF('3. PSM'!$M:$M,_xlpm.id),COUNTIF('4. SSP'!$M:$M,_xlpm.id),COUNTIF('5. JSACI'!$M:$M,_xlpm.id),COUNTIF('6. AIN'!$M:$M,_xlpm.id),COUNTIF('7. MS'!$M:$M,_xlpm.id),COUNTIF('8. DS'!$M:$M,_xlpm.id),COUNTIF('9. RMF'!$M:$M,_xlpm.id),COUNTIF('10. PCU'!$M:$M,_xlpm.id))))</f>
        <v>0</v>
      </c>
    </row>
    <row r="636" spans="1:9">
      <c r="A636" t="s">
        <v>8630</v>
      </c>
      <c r="B636" t="s">
        <v>8628</v>
      </c>
      <c r="C636">
        <v>1833</v>
      </c>
      <c r="D636">
        <v>1</v>
      </c>
      <c r="E636" s="23" t="s">
        <v>8631</v>
      </c>
      <c r="F636" t="s">
        <v>8102</v>
      </c>
      <c r="G636" t="s">
        <v>10484</v>
      </c>
      <c r="H636" t="s">
        <v>8021</v>
      </c>
      <c r="I636">
        <f>_xlfn.LET(_xlpm.id,TRIM($A636),IF(_xlpm.id="","",SUM(COUNTIF('1. OP'!$M:$M,_xlpm.id),COUNTIF('2. JSEL'!$M:$M,_xlpm.id),COUNTIF('3. PSM'!$M:$M,_xlpm.id),COUNTIF('4. SSP'!$M:$M,_xlpm.id),COUNTIF('5. JSACI'!$M:$M,_xlpm.id),COUNTIF('6. AIN'!$M:$M,_xlpm.id),COUNTIF('7. MS'!$M:$M,_xlpm.id),COUNTIF('8. DS'!$M:$M,_xlpm.id),COUNTIF('9. RMF'!$M:$M,_xlpm.id),COUNTIF('10. PCU'!$M:$M,_xlpm.id))))</f>
        <v>0</v>
      </c>
    </row>
    <row r="637" spans="1:9">
      <c r="A637" t="s">
        <v>8632</v>
      </c>
      <c r="B637" t="s">
        <v>8628</v>
      </c>
      <c r="C637">
        <v>1833</v>
      </c>
      <c r="D637">
        <v>1</v>
      </c>
      <c r="E637" s="23" t="s">
        <v>8633</v>
      </c>
      <c r="F637" t="s">
        <v>8102</v>
      </c>
      <c r="G637" t="s">
        <v>10484</v>
      </c>
      <c r="H637" t="s">
        <v>8021</v>
      </c>
      <c r="I637">
        <f>_xlfn.LET(_xlpm.id,TRIM($A637),IF(_xlpm.id="","",SUM(COUNTIF('1. OP'!$M:$M,_xlpm.id),COUNTIF('2. JSEL'!$M:$M,_xlpm.id),COUNTIF('3. PSM'!$M:$M,_xlpm.id),COUNTIF('4. SSP'!$M:$M,_xlpm.id),COUNTIF('5. JSACI'!$M:$M,_xlpm.id),COUNTIF('6. AIN'!$M:$M,_xlpm.id),COUNTIF('7. MS'!$M:$M,_xlpm.id),COUNTIF('8. DS'!$M:$M,_xlpm.id),COUNTIF('9. RMF'!$M:$M,_xlpm.id),COUNTIF('10. PCU'!$M:$M,_xlpm.id))))</f>
        <v>0</v>
      </c>
    </row>
    <row r="638" spans="1:9">
      <c r="A638" t="s">
        <v>8634</v>
      </c>
      <c r="B638" t="s">
        <v>8628</v>
      </c>
      <c r="C638">
        <v>1833</v>
      </c>
      <c r="D638">
        <v>1</v>
      </c>
      <c r="E638" s="23" t="s">
        <v>8635</v>
      </c>
      <c r="F638" t="s">
        <v>8102</v>
      </c>
      <c r="G638" t="s">
        <v>10484</v>
      </c>
      <c r="H638" t="s">
        <v>8021</v>
      </c>
      <c r="I638">
        <f>_xlfn.LET(_xlpm.id,TRIM($A638),IF(_xlpm.id="","",SUM(COUNTIF('1. OP'!$M:$M,_xlpm.id),COUNTIF('2. JSEL'!$M:$M,_xlpm.id),COUNTIF('3. PSM'!$M:$M,_xlpm.id),COUNTIF('4. SSP'!$M:$M,_xlpm.id),COUNTIF('5. JSACI'!$M:$M,_xlpm.id),COUNTIF('6. AIN'!$M:$M,_xlpm.id),COUNTIF('7. MS'!$M:$M,_xlpm.id),COUNTIF('8. DS'!$M:$M,_xlpm.id),COUNTIF('9. RMF'!$M:$M,_xlpm.id),COUNTIF('10. PCU'!$M:$M,_xlpm.id))))</f>
        <v>0</v>
      </c>
    </row>
    <row r="639" spans="1:9">
      <c r="A639" t="s">
        <v>8636</v>
      </c>
      <c r="B639" t="s">
        <v>8628</v>
      </c>
      <c r="C639">
        <v>1834</v>
      </c>
      <c r="D639">
        <v>1</v>
      </c>
      <c r="E639" s="23">
        <v>3</v>
      </c>
      <c r="F639" t="s">
        <v>8102</v>
      </c>
      <c r="G639" t="s">
        <v>10484</v>
      </c>
      <c r="H639" t="s">
        <v>8021</v>
      </c>
      <c r="I639">
        <f>_xlfn.LET(_xlpm.id,TRIM($A639),IF(_xlpm.id="","",SUM(COUNTIF('1. OP'!$M:$M,_xlpm.id),COUNTIF('2. JSEL'!$M:$M,_xlpm.id),COUNTIF('3. PSM'!$M:$M,_xlpm.id),COUNTIF('4. SSP'!$M:$M,_xlpm.id),COUNTIF('5. JSACI'!$M:$M,_xlpm.id),COUNTIF('6. AIN'!$M:$M,_xlpm.id),COUNTIF('7. MS'!$M:$M,_xlpm.id),COUNTIF('8. DS'!$M:$M,_xlpm.id),COUNTIF('9. RMF'!$M:$M,_xlpm.id),COUNTIF('10. PCU'!$M:$M,_xlpm.id))))</f>
        <v>0</v>
      </c>
    </row>
    <row r="640" spans="1:9">
      <c r="A640" t="s">
        <v>8637</v>
      </c>
      <c r="B640" t="s">
        <v>8628</v>
      </c>
      <c r="C640">
        <v>1834</v>
      </c>
      <c r="D640">
        <v>1</v>
      </c>
      <c r="E640" s="23">
        <v>4</v>
      </c>
      <c r="F640" t="s">
        <v>8102</v>
      </c>
      <c r="G640" t="s">
        <v>10484</v>
      </c>
      <c r="H640" t="s">
        <v>8021</v>
      </c>
      <c r="I640">
        <f>_xlfn.LET(_xlpm.id,TRIM($A640),IF(_xlpm.id="","",SUM(COUNTIF('1. OP'!$M:$M,_xlpm.id),COUNTIF('2. JSEL'!$M:$M,_xlpm.id),COUNTIF('3. PSM'!$M:$M,_xlpm.id),COUNTIF('4. SSP'!$M:$M,_xlpm.id),COUNTIF('5. JSACI'!$M:$M,_xlpm.id),COUNTIF('6. AIN'!$M:$M,_xlpm.id),COUNTIF('7. MS'!$M:$M,_xlpm.id),COUNTIF('8. DS'!$M:$M,_xlpm.id),COUNTIF('9. RMF'!$M:$M,_xlpm.id),COUNTIF('10. PCU'!$M:$M,_xlpm.id))))</f>
        <v>0</v>
      </c>
    </row>
    <row r="641" spans="1:9">
      <c r="A641" t="s">
        <v>8638</v>
      </c>
      <c r="B641" t="s">
        <v>8628</v>
      </c>
      <c r="C641">
        <v>1834</v>
      </c>
      <c r="D641">
        <v>1</v>
      </c>
      <c r="E641" s="23" t="s">
        <v>8600</v>
      </c>
      <c r="F641" t="s">
        <v>8102</v>
      </c>
      <c r="G641" t="s">
        <v>10484</v>
      </c>
      <c r="H641" t="s">
        <v>8021</v>
      </c>
      <c r="I641">
        <f>_xlfn.LET(_xlpm.id,TRIM($A641),IF(_xlpm.id="","",SUM(COUNTIF('1. OP'!$M:$M,_xlpm.id),COUNTIF('2. JSEL'!$M:$M,_xlpm.id),COUNTIF('3. PSM'!$M:$M,_xlpm.id),COUNTIF('4. SSP'!$M:$M,_xlpm.id),COUNTIF('5. JSACI'!$M:$M,_xlpm.id),COUNTIF('6. AIN'!$M:$M,_xlpm.id),COUNTIF('7. MS'!$M:$M,_xlpm.id),COUNTIF('8. DS'!$M:$M,_xlpm.id),COUNTIF('9. RMF'!$M:$M,_xlpm.id),COUNTIF('10. PCU'!$M:$M,_xlpm.id))))</f>
        <v>0</v>
      </c>
    </row>
    <row r="642" spans="1:9">
      <c r="A642" t="s">
        <v>7479</v>
      </c>
      <c r="B642" t="s">
        <v>8628</v>
      </c>
      <c r="C642">
        <v>1834</v>
      </c>
      <c r="D642">
        <v>1</v>
      </c>
      <c r="E642" s="23" t="s">
        <v>8639</v>
      </c>
      <c r="F642" t="s">
        <v>8102</v>
      </c>
      <c r="G642" t="s">
        <v>10484</v>
      </c>
      <c r="H642" t="s">
        <v>8021</v>
      </c>
      <c r="I642">
        <f>_xlfn.LET(_xlpm.id,TRIM($A642),IF(_xlpm.id="","",SUM(COUNTIF('1. OP'!$M:$M,_xlpm.id),COUNTIF('2. JSEL'!$M:$M,_xlpm.id),COUNTIF('3. PSM'!$M:$M,_xlpm.id),COUNTIF('4. SSP'!$M:$M,_xlpm.id),COUNTIF('5. JSACI'!$M:$M,_xlpm.id),COUNTIF('6. AIN'!$M:$M,_xlpm.id),COUNTIF('7. MS'!$M:$M,_xlpm.id),COUNTIF('8. DS'!$M:$M,_xlpm.id),COUNTIF('9. RMF'!$M:$M,_xlpm.id),COUNTIF('10. PCU'!$M:$M,_xlpm.id))))</f>
        <v>1</v>
      </c>
    </row>
    <row r="643" spans="1:9">
      <c r="A643" t="s">
        <v>6946</v>
      </c>
      <c r="B643" t="s">
        <v>8628</v>
      </c>
      <c r="C643">
        <v>1834</v>
      </c>
      <c r="D643">
        <v>1</v>
      </c>
      <c r="E643" s="23" t="s">
        <v>8640</v>
      </c>
      <c r="F643" t="s">
        <v>8102</v>
      </c>
      <c r="G643" t="s">
        <v>10484</v>
      </c>
      <c r="H643" t="s">
        <v>8021</v>
      </c>
      <c r="I643">
        <f>_xlfn.LET(_xlpm.id,TRIM($A643),IF(_xlpm.id="","",SUM(COUNTIF('1. OP'!$M:$M,_xlpm.id),COUNTIF('2. JSEL'!$M:$M,_xlpm.id),COUNTIF('3. PSM'!$M:$M,_xlpm.id),COUNTIF('4. SSP'!$M:$M,_xlpm.id),COUNTIF('5. JSACI'!$M:$M,_xlpm.id),COUNTIF('6. AIN'!$M:$M,_xlpm.id),COUNTIF('7. MS'!$M:$M,_xlpm.id),COUNTIF('8. DS'!$M:$M,_xlpm.id),COUNTIF('9. RMF'!$M:$M,_xlpm.id),COUNTIF('10. PCU'!$M:$M,_xlpm.id))))</f>
        <v>2</v>
      </c>
    </row>
    <row r="644" spans="1:9">
      <c r="A644" t="s">
        <v>7511</v>
      </c>
      <c r="B644" t="s">
        <v>8628</v>
      </c>
      <c r="C644">
        <v>1834</v>
      </c>
      <c r="D644">
        <v>1</v>
      </c>
      <c r="E644" s="23" t="s">
        <v>8641</v>
      </c>
      <c r="F644" t="s">
        <v>8102</v>
      </c>
      <c r="G644" t="s">
        <v>10484</v>
      </c>
      <c r="H644" t="s">
        <v>8021</v>
      </c>
      <c r="I644">
        <f>_xlfn.LET(_xlpm.id,TRIM($A644),IF(_xlpm.id="","",SUM(COUNTIF('1. OP'!$M:$M,_xlpm.id),COUNTIF('2. JSEL'!$M:$M,_xlpm.id),COUNTIF('3. PSM'!$M:$M,_xlpm.id),COUNTIF('4. SSP'!$M:$M,_xlpm.id),COUNTIF('5. JSACI'!$M:$M,_xlpm.id),COUNTIF('6. AIN'!$M:$M,_xlpm.id),COUNTIF('7. MS'!$M:$M,_xlpm.id),COUNTIF('8. DS'!$M:$M,_xlpm.id),COUNTIF('9. RMF'!$M:$M,_xlpm.id),COUNTIF('10. PCU'!$M:$M,_xlpm.id))))</f>
        <v>3</v>
      </c>
    </row>
    <row r="645" spans="1:9">
      <c r="A645" t="s">
        <v>8642</v>
      </c>
      <c r="B645" t="s">
        <v>8628</v>
      </c>
      <c r="C645">
        <v>1835</v>
      </c>
      <c r="D645">
        <v>1</v>
      </c>
      <c r="E645" s="23" t="s">
        <v>8643</v>
      </c>
      <c r="F645" t="s">
        <v>8102</v>
      </c>
      <c r="G645" t="s">
        <v>10484</v>
      </c>
      <c r="H645" t="s">
        <v>8021</v>
      </c>
      <c r="I645">
        <f>_xlfn.LET(_xlpm.id,TRIM($A645),IF(_xlpm.id="","",SUM(COUNTIF('1. OP'!$M:$M,_xlpm.id),COUNTIF('2. JSEL'!$M:$M,_xlpm.id),COUNTIF('3. PSM'!$M:$M,_xlpm.id),COUNTIF('4. SSP'!$M:$M,_xlpm.id),COUNTIF('5. JSACI'!$M:$M,_xlpm.id),COUNTIF('6. AIN'!$M:$M,_xlpm.id),COUNTIF('7. MS'!$M:$M,_xlpm.id),COUNTIF('8. DS'!$M:$M,_xlpm.id),COUNTIF('9. RMF'!$M:$M,_xlpm.id),COUNTIF('10. PCU'!$M:$M,_xlpm.id))))</f>
        <v>0</v>
      </c>
    </row>
    <row r="646" spans="1:9">
      <c r="A646" t="s">
        <v>6941</v>
      </c>
      <c r="B646" t="s">
        <v>8628</v>
      </c>
      <c r="C646">
        <v>1835</v>
      </c>
      <c r="D646">
        <v>1</v>
      </c>
      <c r="E646" s="23" t="s">
        <v>8644</v>
      </c>
      <c r="F646" t="s">
        <v>8102</v>
      </c>
      <c r="G646" t="s">
        <v>10484</v>
      </c>
      <c r="H646" t="s">
        <v>8021</v>
      </c>
      <c r="I646">
        <f>_xlfn.LET(_xlpm.id,TRIM($A646),IF(_xlpm.id="","",SUM(COUNTIF('1. OP'!$M:$M,_xlpm.id),COUNTIF('2. JSEL'!$M:$M,_xlpm.id),COUNTIF('3. PSM'!$M:$M,_xlpm.id),COUNTIF('4. SSP'!$M:$M,_xlpm.id),COUNTIF('5. JSACI'!$M:$M,_xlpm.id),COUNTIF('6. AIN'!$M:$M,_xlpm.id),COUNTIF('7. MS'!$M:$M,_xlpm.id),COUNTIF('8. DS'!$M:$M,_xlpm.id),COUNTIF('9. RMF'!$M:$M,_xlpm.id),COUNTIF('10. PCU'!$M:$M,_xlpm.id))))</f>
        <v>1</v>
      </c>
    </row>
    <row r="647" spans="1:9">
      <c r="A647" t="s">
        <v>8645</v>
      </c>
      <c r="B647" t="s">
        <v>8628</v>
      </c>
      <c r="C647">
        <v>1835</v>
      </c>
      <c r="D647">
        <v>1</v>
      </c>
      <c r="E647" s="23" t="s">
        <v>8646</v>
      </c>
      <c r="F647" t="s">
        <v>8102</v>
      </c>
      <c r="G647" t="s">
        <v>10484</v>
      </c>
      <c r="H647" t="s">
        <v>8021</v>
      </c>
      <c r="I647">
        <f>_xlfn.LET(_xlpm.id,TRIM($A647),IF(_xlpm.id="","",SUM(COUNTIF('1. OP'!$M:$M,_xlpm.id),COUNTIF('2. JSEL'!$M:$M,_xlpm.id),COUNTIF('3. PSM'!$M:$M,_xlpm.id),COUNTIF('4. SSP'!$M:$M,_xlpm.id),COUNTIF('5. JSACI'!$M:$M,_xlpm.id),COUNTIF('6. AIN'!$M:$M,_xlpm.id),COUNTIF('7. MS'!$M:$M,_xlpm.id),COUNTIF('8. DS'!$M:$M,_xlpm.id),COUNTIF('9. RMF'!$M:$M,_xlpm.id),COUNTIF('10. PCU'!$M:$M,_xlpm.id))))</f>
        <v>0</v>
      </c>
    </row>
    <row r="648" spans="1:9">
      <c r="A648" t="s">
        <v>7439</v>
      </c>
      <c r="B648" t="s">
        <v>8628</v>
      </c>
      <c r="C648">
        <v>1835</v>
      </c>
      <c r="D648">
        <v>1</v>
      </c>
      <c r="E648" s="23" t="s">
        <v>8647</v>
      </c>
      <c r="F648" t="s">
        <v>8102</v>
      </c>
      <c r="G648" t="s">
        <v>10484</v>
      </c>
      <c r="H648" t="s">
        <v>8021</v>
      </c>
      <c r="I648">
        <f>_xlfn.LET(_xlpm.id,TRIM($A648),IF(_xlpm.id="","",SUM(COUNTIF('1. OP'!$M:$M,_xlpm.id),COUNTIF('2. JSEL'!$M:$M,_xlpm.id),COUNTIF('3. PSM'!$M:$M,_xlpm.id),COUNTIF('4. SSP'!$M:$M,_xlpm.id),COUNTIF('5. JSACI'!$M:$M,_xlpm.id),COUNTIF('6. AIN'!$M:$M,_xlpm.id),COUNTIF('7. MS'!$M:$M,_xlpm.id),COUNTIF('8. DS'!$M:$M,_xlpm.id),COUNTIF('9. RMF'!$M:$M,_xlpm.id),COUNTIF('10. PCU'!$M:$M,_xlpm.id))))</f>
        <v>1</v>
      </c>
    </row>
    <row r="649" spans="1:9">
      <c r="A649" t="s">
        <v>8648</v>
      </c>
      <c r="B649" t="s">
        <v>8628</v>
      </c>
      <c r="C649">
        <v>1835</v>
      </c>
      <c r="D649">
        <v>1</v>
      </c>
      <c r="E649" s="23" t="s">
        <v>8649</v>
      </c>
      <c r="F649" t="s">
        <v>8102</v>
      </c>
      <c r="G649" t="s">
        <v>10484</v>
      </c>
      <c r="H649" t="s">
        <v>8021</v>
      </c>
      <c r="I649">
        <f>_xlfn.LET(_xlpm.id,TRIM($A649),IF(_xlpm.id="","",SUM(COUNTIF('1. OP'!$M:$M,_xlpm.id),COUNTIF('2. JSEL'!$M:$M,_xlpm.id),COUNTIF('3. PSM'!$M:$M,_xlpm.id),COUNTIF('4. SSP'!$M:$M,_xlpm.id),COUNTIF('5. JSACI'!$M:$M,_xlpm.id),COUNTIF('6. AIN'!$M:$M,_xlpm.id),COUNTIF('7. MS'!$M:$M,_xlpm.id),COUNTIF('8. DS'!$M:$M,_xlpm.id),COUNTIF('9. RMF'!$M:$M,_xlpm.id),COUNTIF('10. PCU'!$M:$M,_xlpm.id))))</f>
        <v>0</v>
      </c>
    </row>
    <row r="650" spans="1:9">
      <c r="A650" t="s">
        <v>8650</v>
      </c>
      <c r="B650" t="s">
        <v>8628</v>
      </c>
      <c r="C650">
        <v>1836</v>
      </c>
      <c r="D650">
        <v>2</v>
      </c>
      <c r="E650" s="23" t="s">
        <v>8651</v>
      </c>
      <c r="F650" t="s">
        <v>8102</v>
      </c>
      <c r="G650" t="s">
        <v>10484</v>
      </c>
      <c r="H650" t="s">
        <v>8021</v>
      </c>
      <c r="I650">
        <f>_xlfn.LET(_xlpm.id,TRIM($A650),IF(_xlpm.id="","",SUM(COUNTIF('1. OP'!$M:$M,_xlpm.id),COUNTIF('2. JSEL'!$M:$M,_xlpm.id),COUNTIF('3. PSM'!$M:$M,_xlpm.id),COUNTIF('4. SSP'!$M:$M,_xlpm.id),COUNTIF('5. JSACI'!$M:$M,_xlpm.id),COUNTIF('6. AIN'!$M:$M,_xlpm.id),COUNTIF('7. MS'!$M:$M,_xlpm.id),COUNTIF('8. DS'!$M:$M,_xlpm.id),COUNTIF('9. RMF'!$M:$M,_xlpm.id),COUNTIF('10. PCU'!$M:$M,_xlpm.id))))</f>
        <v>0</v>
      </c>
    </row>
    <row r="651" spans="1:9">
      <c r="A651" t="s">
        <v>7504</v>
      </c>
      <c r="B651" t="s">
        <v>8628</v>
      </c>
      <c r="C651">
        <v>1836</v>
      </c>
      <c r="D651">
        <v>2</v>
      </c>
      <c r="E651" s="23" t="s">
        <v>8652</v>
      </c>
      <c r="F651" t="s">
        <v>8102</v>
      </c>
      <c r="G651" t="s">
        <v>10484</v>
      </c>
      <c r="H651" t="s">
        <v>8021</v>
      </c>
      <c r="I651">
        <f>_xlfn.LET(_xlpm.id,TRIM($A651),IF(_xlpm.id="","",SUM(COUNTIF('1. OP'!$M:$M,_xlpm.id),COUNTIF('2. JSEL'!$M:$M,_xlpm.id),COUNTIF('3. PSM'!$M:$M,_xlpm.id),COUNTIF('4. SSP'!$M:$M,_xlpm.id),COUNTIF('5. JSACI'!$M:$M,_xlpm.id),COUNTIF('6. AIN'!$M:$M,_xlpm.id),COUNTIF('7. MS'!$M:$M,_xlpm.id),COUNTIF('8. DS'!$M:$M,_xlpm.id),COUNTIF('9. RMF'!$M:$M,_xlpm.id),COUNTIF('10. PCU'!$M:$M,_xlpm.id))))</f>
        <v>0</v>
      </c>
    </row>
    <row r="652" spans="1:9">
      <c r="A652" t="s">
        <v>8653</v>
      </c>
      <c r="B652" t="s">
        <v>8628</v>
      </c>
      <c r="C652">
        <v>1836</v>
      </c>
      <c r="D652">
        <v>2</v>
      </c>
      <c r="E652" s="23" t="s">
        <v>8654</v>
      </c>
      <c r="F652" t="s">
        <v>8102</v>
      </c>
      <c r="G652" t="s">
        <v>10484</v>
      </c>
      <c r="H652" t="s">
        <v>8021</v>
      </c>
      <c r="I652">
        <f>_xlfn.LET(_xlpm.id,TRIM($A652),IF(_xlpm.id="","",SUM(COUNTIF('1. OP'!$M:$M,_xlpm.id),COUNTIF('2. JSEL'!$M:$M,_xlpm.id),COUNTIF('3. PSM'!$M:$M,_xlpm.id),COUNTIF('4. SSP'!$M:$M,_xlpm.id),COUNTIF('5. JSACI'!$M:$M,_xlpm.id),COUNTIF('6. AIN'!$M:$M,_xlpm.id),COUNTIF('7. MS'!$M:$M,_xlpm.id),COUNTIF('8. DS'!$M:$M,_xlpm.id),COUNTIF('9. RMF'!$M:$M,_xlpm.id),COUNTIF('10. PCU'!$M:$M,_xlpm.id))))</f>
        <v>0</v>
      </c>
    </row>
    <row r="653" spans="1:9">
      <c r="A653" t="s">
        <v>8655</v>
      </c>
      <c r="B653" t="s">
        <v>8628</v>
      </c>
      <c r="C653">
        <v>1836</v>
      </c>
      <c r="D653">
        <v>2</v>
      </c>
      <c r="E653" s="23" t="s">
        <v>8656</v>
      </c>
      <c r="F653" t="s">
        <v>8102</v>
      </c>
      <c r="G653" t="s">
        <v>10484</v>
      </c>
      <c r="H653" t="s">
        <v>8021</v>
      </c>
      <c r="I653">
        <f>_xlfn.LET(_xlpm.id,TRIM($A653),IF(_xlpm.id="","",SUM(COUNTIF('1. OP'!$M:$M,_xlpm.id),COUNTIF('2. JSEL'!$M:$M,_xlpm.id),COUNTIF('3. PSM'!$M:$M,_xlpm.id),COUNTIF('4. SSP'!$M:$M,_xlpm.id),COUNTIF('5. JSACI'!$M:$M,_xlpm.id),COUNTIF('6. AIN'!$M:$M,_xlpm.id),COUNTIF('7. MS'!$M:$M,_xlpm.id),COUNTIF('8. DS'!$M:$M,_xlpm.id),COUNTIF('9. RMF'!$M:$M,_xlpm.id),COUNTIF('10. PCU'!$M:$M,_xlpm.id))))</f>
        <v>0</v>
      </c>
    </row>
    <row r="654" spans="1:9">
      <c r="A654" t="s">
        <v>8657</v>
      </c>
      <c r="B654" t="s">
        <v>8628</v>
      </c>
      <c r="C654">
        <v>1837</v>
      </c>
      <c r="D654">
        <v>2</v>
      </c>
      <c r="E654" s="23" t="s">
        <v>8658</v>
      </c>
      <c r="F654" t="s">
        <v>8102</v>
      </c>
      <c r="G654" t="s">
        <v>10484</v>
      </c>
      <c r="H654" t="s">
        <v>8021</v>
      </c>
      <c r="I654">
        <f>_xlfn.LET(_xlpm.id,TRIM($A654),IF(_xlpm.id="","",SUM(COUNTIF('1. OP'!$M:$M,_xlpm.id),COUNTIF('2. JSEL'!$M:$M,_xlpm.id),COUNTIF('3. PSM'!$M:$M,_xlpm.id),COUNTIF('4. SSP'!$M:$M,_xlpm.id),COUNTIF('5. JSACI'!$M:$M,_xlpm.id),COUNTIF('6. AIN'!$M:$M,_xlpm.id),COUNTIF('7. MS'!$M:$M,_xlpm.id),COUNTIF('8. DS'!$M:$M,_xlpm.id),COUNTIF('9. RMF'!$M:$M,_xlpm.id),COUNTIF('10. PCU'!$M:$M,_xlpm.id))))</f>
        <v>0</v>
      </c>
    </row>
    <row r="655" spans="1:9">
      <c r="A655" t="s">
        <v>8659</v>
      </c>
      <c r="B655" t="s">
        <v>8628</v>
      </c>
      <c r="C655">
        <v>1837</v>
      </c>
      <c r="D655">
        <v>2</v>
      </c>
      <c r="E655" s="23" t="s">
        <v>8660</v>
      </c>
      <c r="F655" t="s">
        <v>8102</v>
      </c>
      <c r="G655" t="s">
        <v>10484</v>
      </c>
      <c r="H655" t="s">
        <v>8021</v>
      </c>
      <c r="I655">
        <f>_xlfn.LET(_xlpm.id,TRIM($A655),IF(_xlpm.id="","",SUM(COUNTIF('1. OP'!$M:$M,_xlpm.id),COUNTIF('2. JSEL'!$M:$M,_xlpm.id),COUNTIF('3. PSM'!$M:$M,_xlpm.id),COUNTIF('4. SSP'!$M:$M,_xlpm.id),COUNTIF('5. JSACI'!$M:$M,_xlpm.id),COUNTIF('6. AIN'!$M:$M,_xlpm.id),COUNTIF('7. MS'!$M:$M,_xlpm.id),COUNTIF('8. DS'!$M:$M,_xlpm.id),COUNTIF('9. RMF'!$M:$M,_xlpm.id),COUNTIF('10. PCU'!$M:$M,_xlpm.id))))</f>
        <v>0</v>
      </c>
    </row>
    <row r="656" spans="1:9">
      <c r="A656" t="s">
        <v>8661</v>
      </c>
      <c r="B656" t="s">
        <v>8628</v>
      </c>
      <c r="C656">
        <v>1837</v>
      </c>
      <c r="D656">
        <v>2</v>
      </c>
      <c r="E656" s="23" t="s">
        <v>8662</v>
      </c>
      <c r="F656" t="s">
        <v>8102</v>
      </c>
      <c r="G656" t="s">
        <v>10484</v>
      </c>
      <c r="H656" t="s">
        <v>8021</v>
      </c>
      <c r="I656">
        <f>_xlfn.LET(_xlpm.id,TRIM($A656),IF(_xlpm.id="","",SUM(COUNTIF('1. OP'!$M:$M,_xlpm.id),COUNTIF('2. JSEL'!$M:$M,_xlpm.id),COUNTIF('3. PSM'!$M:$M,_xlpm.id),COUNTIF('4. SSP'!$M:$M,_xlpm.id),COUNTIF('5. JSACI'!$M:$M,_xlpm.id),COUNTIF('6. AIN'!$M:$M,_xlpm.id),COUNTIF('7. MS'!$M:$M,_xlpm.id),COUNTIF('8. DS'!$M:$M,_xlpm.id),COUNTIF('9. RMF'!$M:$M,_xlpm.id),COUNTIF('10. PCU'!$M:$M,_xlpm.id))))</f>
        <v>0</v>
      </c>
    </row>
    <row r="657" spans="1:9">
      <c r="A657" t="s">
        <v>8663</v>
      </c>
      <c r="B657" t="s">
        <v>8628</v>
      </c>
      <c r="C657">
        <v>1837</v>
      </c>
      <c r="D657">
        <v>2</v>
      </c>
      <c r="E657" s="23" t="s">
        <v>8664</v>
      </c>
      <c r="F657" t="s">
        <v>8102</v>
      </c>
      <c r="G657" t="s">
        <v>10484</v>
      </c>
      <c r="H657" t="s">
        <v>8021</v>
      </c>
      <c r="I657">
        <f>_xlfn.LET(_xlpm.id,TRIM($A657),IF(_xlpm.id="","",SUM(COUNTIF('1. OP'!$M:$M,_xlpm.id),COUNTIF('2. JSEL'!$M:$M,_xlpm.id),COUNTIF('3. PSM'!$M:$M,_xlpm.id),COUNTIF('4. SSP'!$M:$M,_xlpm.id),COUNTIF('5. JSACI'!$M:$M,_xlpm.id),COUNTIF('6. AIN'!$M:$M,_xlpm.id),COUNTIF('7. MS'!$M:$M,_xlpm.id),COUNTIF('8. DS'!$M:$M,_xlpm.id),COUNTIF('9. RMF'!$M:$M,_xlpm.id),COUNTIF('10. PCU'!$M:$M,_xlpm.id))))</f>
        <v>0</v>
      </c>
    </row>
    <row r="658" spans="1:9">
      <c r="A658" t="s">
        <v>8665</v>
      </c>
      <c r="B658" t="s">
        <v>8628</v>
      </c>
      <c r="C658">
        <v>1838</v>
      </c>
      <c r="D658">
        <v>2</v>
      </c>
      <c r="E658" s="23" t="s">
        <v>8666</v>
      </c>
      <c r="F658" t="s">
        <v>8102</v>
      </c>
      <c r="G658" t="s">
        <v>10484</v>
      </c>
      <c r="H658" t="s">
        <v>8021</v>
      </c>
      <c r="I658">
        <f>_xlfn.LET(_xlpm.id,TRIM($A658),IF(_xlpm.id="","",SUM(COUNTIF('1. OP'!$M:$M,_xlpm.id),COUNTIF('2. JSEL'!$M:$M,_xlpm.id),COUNTIF('3. PSM'!$M:$M,_xlpm.id),COUNTIF('4. SSP'!$M:$M,_xlpm.id),COUNTIF('5. JSACI'!$M:$M,_xlpm.id),COUNTIF('6. AIN'!$M:$M,_xlpm.id),COUNTIF('7. MS'!$M:$M,_xlpm.id),COUNTIF('8. DS'!$M:$M,_xlpm.id),COUNTIF('9. RMF'!$M:$M,_xlpm.id),COUNTIF('10. PCU'!$M:$M,_xlpm.id))))</f>
        <v>0</v>
      </c>
    </row>
    <row r="659" spans="1:9">
      <c r="A659" t="s">
        <v>8667</v>
      </c>
      <c r="B659" t="s">
        <v>8628</v>
      </c>
      <c r="C659">
        <v>1838</v>
      </c>
      <c r="D659">
        <v>2</v>
      </c>
      <c r="E659" s="23" t="s">
        <v>8668</v>
      </c>
      <c r="F659" t="s">
        <v>8102</v>
      </c>
      <c r="G659" t="s">
        <v>10484</v>
      </c>
      <c r="H659" t="s">
        <v>8021</v>
      </c>
      <c r="I659">
        <f>_xlfn.LET(_xlpm.id,TRIM($A659),IF(_xlpm.id="","",SUM(COUNTIF('1. OP'!$M:$M,_xlpm.id),COUNTIF('2. JSEL'!$M:$M,_xlpm.id),COUNTIF('3. PSM'!$M:$M,_xlpm.id),COUNTIF('4. SSP'!$M:$M,_xlpm.id),COUNTIF('5. JSACI'!$M:$M,_xlpm.id),COUNTIF('6. AIN'!$M:$M,_xlpm.id),COUNTIF('7. MS'!$M:$M,_xlpm.id),COUNTIF('8. DS'!$M:$M,_xlpm.id),COUNTIF('9. RMF'!$M:$M,_xlpm.id),COUNTIF('10. PCU'!$M:$M,_xlpm.id))))</f>
        <v>0</v>
      </c>
    </row>
    <row r="660" spans="1:9">
      <c r="A660" t="s">
        <v>8669</v>
      </c>
      <c r="B660" t="s">
        <v>8628</v>
      </c>
      <c r="C660">
        <v>1838</v>
      </c>
      <c r="D660">
        <v>2</v>
      </c>
      <c r="E660" s="23" t="s">
        <v>8670</v>
      </c>
      <c r="F660" t="s">
        <v>8102</v>
      </c>
      <c r="G660" t="s">
        <v>10484</v>
      </c>
      <c r="H660" t="s">
        <v>8021</v>
      </c>
      <c r="I660">
        <f>_xlfn.LET(_xlpm.id,TRIM($A660),IF(_xlpm.id="","",SUM(COUNTIF('1. OP'!$M:$M,_xlpm.id),COUNTIF('2. JSEL'!$M:$M,_xlpm.id),COUNTIF('3. PSM'!$M:$M,_xlpm.id),COUNTIF('4. SSP'!$M:$M,_xlpm.id),COUNTIF('5. JSACI'!$M:$M,_xlpm.id),COUNTIF('6. AIN'!$M:$M,_xlpm.id),COUNTIF('7. MS'!$M:$M,_xlpm.id),COUNTIF('8. DS'!$M:$M,_xlpm.id),COUNTIF('9. RMF'!$M:$M,_xlpm.id),COUNTIF('10. PCU'!$M:$M,_xlpm.id))))</f>
        <v>0</v>
      </c>
    </row>
    <row r="661" spans="1:9">
      <c r="A661" t="s">
        <v>8671</v>
      </c>
      <c r="B661" t="s">
        <v>8628</v>
      </c>
      <c r="C661">
        <v>1838</v>
      </c>
      <c r="D661">
        <v>2</v>
      </c>
      <c r="E661" s="23" t="s">
        <v>8672</v>
      </c>
      <c r="F661" t="s">
        <v>8102</v>
      </c>
      <c r="G661" t="s">
        <v>10484</v>
      </c>
      <c r="H661" t="s">
        <v>8021</v>
      </c>
      <c r="I661">
        <f>_xlfn.LET(_xlpm.id,TRIM($A661),IF(_xlpm.id="","",SUM(COUNTIF('1. OP'!$M:$M,_xlpm.id),COUNTIF('2. JSEL'!$M:$M,_xlpm.id),COUNTIF('3. PSM'!$M:$M,_xlpm.id),COUNTIF('4. SSP'!$M:$M,_xlpm.id),COUNTIF('5. JSACI'!$M:$M,_xlpm.id),COUNTIF('6. AIN'!$M:$M,_xlpm.id),COUNTIF('7. MS'!$M:$M,_xlpm.id),COUNTIF('8. DS'!$M:$M,_xlpm.id),COUNTIF('9. RMF'!$M:$M,_xlpm.id),COUNTIF('10. PCU'!$M:$M,_xlpm.id))))</f>
        <v>0</v>
      </c>
    </row>
    <row r="662" spans="1:9">
      <c r="A662" t="s">
        <v>7497</v>
      </c>
      <c r="B662" t="s">
        <v>8628</v>
      </c>
      <c r="C662">
        <v>1839</v>
      </c>
      <c r="D662">
        <v>3</v>
      </c>
      <c r="E662" s="23" t="s">
        <v>8651</v>
      </c>
      <c r="F662" t="s">
        <v>8102</v>
      </c>
      <c r="G662" t="s">
        <v>10484</v>
      </c>
      <c r="H662" t="s">
        <v>8021</v>
      </c>
      <c r="I662">
        <f>_xlfn.LET(_xlpm.id,TRIM($A662),IF(_xlpm.id="","",SUM(COUNTIF('1. OP'!$M:$M,_xlpm.id),COUNTIF('2. JSEL'!$M:$M,_xlpm.id),COUNTIF('3. PSM'!$M:$M,_xlpm.id),COUNTIF('4. SSP'!$M:$M,_xlpm.id),COUNTIF('5. JSACI'!$M:$M,_xlpm.id),COUNTIF('6. AIN'!$M:$M,_xlpm.id),COUNTIF('7. MS'!$M:$M,_xlpm.id),COUNTIF('8. DS'!$M:$M,_xlpm.id),COUNTIF('9. RMF'!$M:$M,_xlpm.id),COUNTIF('10. PCU'!$M:$M,_xlpm.id))))</f>
        <v>3</v>
      </c>
    </row>
    <row r="663" spans="1:9">
      <c r="A663" t="s">
        <v>7488</v>
      </c>
      <c r="B663" t="s">
        <v>8628</v>
      </c>
      <c r="C663">
        <v>1839</v>
      </c>
      <c r="D663">
        <v>3</v>
      </c>
      <c r="E663" s="23" t="s">
        <v>8652</v>
      </c>
      <c r="F663" t="s">
        <v>8102</v>
      </c>
      <c r="G663" t="s">
        <v>10484</v>
      </c>
      <c r="H663" t="s">
        <v>8021</v>
      </c>
      <c r="I663">
        <f>_xlfn.LET(_xlpm.id,TRIM($A663),IF(_xlpm.id="","",SUM(COUNTIF('1. OP'!$M:$M,_xlpm.id),COUNTIF('2. JSEL'!$M:$M,_xlpm.id),COUNTIF('3. PSM'!$M:$M,_xlpm.id),COUNTIF('4. SSP'!$M:$M,_xlpm.id),COUNTIF('5. JSACI'!$M:$M,_xlpm.id),COUNTIF('6. AIN'!$M:$M,_xlpm.id),COUNTIF('7. MS'!$M:$M,_xlpm.id),COUNTIF('8. DS'!$M:$M,_xlpm.id),COUNTIF('9. RMF'!$M:$M,_xlpm.id),COUNTIF('10. PCU'!$M:$M,_xlpm.id))))</f>
        <v>2</v>
      </c>
    </row>
    <row r="664" spans="1:9">
      <c r="A664" t="s">
        <v>8673</v>
      </c>
      <c r="B664" t="s">
        <v>8628</v>
      </c>
      <c r="C664">
        <v>1839</v>
      </c>
      <c r="D664">
        <v>3</v>
      </c>
      <c r="E664" s="23" t="s">
        <v>8654</v>
      </c>
      <c r="F664" t="s">
        <v>8102</v>
      </c>
      <c r="G664" t="s">
        <v>10484</v>
      </c>
      <c r="H664" t="s">
        <v>8021</v>
      </c>
      <c r="I664">
        <f>_xlfn.LET(_xlpm.id,TRIM($A664),IF(_xlpm.id="","",SUM(COUNTIF('1. OP'!$M:$M,_xlpm.id),COUNTIF('2. JSEL'!$M:$M,_xlpm.id),COUNTIF('3. PSM'!$M:$M,_xlpm.id),COUNTIF('4. SSP'!$M:$M,_xlpm.id),COUNTIF('5. JSACI'!$M:$M,_xlpm.id),COUNTIF('6. AIN'!$M:$M,_xlpm.id),COUNTIF('7. MS'!$M:$M,_xlpm.id),COUNTIF('8. DS'!$M:$M,_xlpm.id),COUNTIF('9. RMF'!$M:$M,_xlpm.id),COUNTIF('10. PCU'!$M:$M,_xlpm.id))))</f>
        <v>0</v>
      </c>
    </row>
    <row r="665" spans="1:9">
      <c r="A665" t="s">
        <v>8674</v>
      </c>
      <c r="B665" t="s">
        <v>8628</v>
      </c>
      <c r="C665">
        <v>1839</v>
      </c>
      <c r="D665">
        <v>3</v>
      </c>
      <c r="E665" s="23" t="s">
        <v>8656</v>
      </c>
      <c r="F665" t="s">
        <v>8102</v>
      </c>
      <c r="G665" t="s">
        <v>10484</v>
      </c>
      <c r="H665" t="s">
        <v>8021</v>
      </c>
      <c r="I665">
        <f>_xlfn.LET(_xlpm.id,TRIM($A665),IF(_xlpm.id="","",SUM(COUNTIF('1. OP'!$M:$M,_xlpm.id),COUNTIF('2. JSEL'!$M:$M,_xlpm.id),COUNTIF('3. PSM'!$M:$M,_xlpm.id),COUNTIF('4. SSP'!$M:$M,_xlpm.id),COUNTIF('5. JSACI'!$M:$M,_xlpm.id),COUNTIF('6. AIN'!$M:$M,_xlpm.id),COUNTIF('7. MS'!$M:$M,_xlpm.id),COUNTIF('8. DS'!$M:$M,_xlpm.id),COUNTIF('9. RMF'!$M:$M,_xlpm.id),COUNTIF('10. PCU'!$M:$M,_xlpm.id))))</f>
        <v>0</v>
      </c>
    </row>
    <row r="666" spans="1:9">
      <c r="A666" t="s">
        <v>8675</v>
      </c>
      <c r="B666" t="s">
        <v>8628</v>
      </c>
      <c r="C666">
        <v>1840</v>
      </c>
      <c r="D666">
        <v>3</v>
      </c>
      <c r="E666" s="23" t="s">
        <v>8658</v>
      </c>
      <c r="F666" t="s">
        <v>8102</v>
      </c>
      <c r="G666" t="s">
        <v>10484</v>
      </c>
      <c r="H666" t="s">
        <v>8021</v>
      </c>
      <c r="I666">
        <f>_xlfn.LET(_xlpm.id,TRIM($A666),IF(_xlpm.id="","",SUM(COUNTIF('1. OP'!$M:$M,_xlpm.id),COUNTIF('2. JSEL'!$M:$M,_xlpm.id),COUNTIF('3. PSM'!$M:$M,_xlpm.id),COUNTIF('4. SSP'!$M:$M,_xlpm.id),COUNTIF('5. JSACI'!$M:$M,_xlpm.id),COUNTIF('6. AIN'!$M:$M,_xlpm.id),COUNTIF('7. MS'!$M:$M,_xlpm.id),COUNTIF('8. DS'!$M:$M,_xlpm.id),COUNTIF('9. RMF'!$M:$M,_xlpm.id),COUNTIF('10. PCU'!$M:$M,_xlpm.id))))</f>
        <v>0</v>
      </c>
    </row>
    <row r="667" spans="1:9">
      <c r="A667" t="s">
        <v>8676</v>
      </c>
      <c r="B667" t="s">
        <v>8628</v>
      </c>
      <c r="C667">
        <v>1840</v>
      </c>
      <c r="D667">
        <v>3</v>
      </c>
      <c r="E667" s="23" t="s">
        <v>8660</v>
      </c>
      <c r="F667" t="s">
        <v>8102</v>
      </c>
      <c r="G667" t="s">
        <v>10484</v>
      </c>
      <c r="H667" t="s">
        <v>8021</v>
      </c>
      <c r="I667">
        <f>_xlfn.LET(_xlpm.id,TRIM($A667),IF(_xlpm.id="","",SUM(COUNTIF('1. OP'!$M:$M,_xlpm.id),COUNTIF('2. JSEL'!$M:$M,_xlpm.id),COUNTIF('3. PSM'!$M:$M,_xlpm.id),COUNTIF('4. SSP'!$M:$M,_xlpm.id),COUNTIF('5. JSACI'!$M:$M,_xlpm.id),COUNTIF('6. AIN'!$M:$M,_xlpm.id),COUNTIF('7. MS'!$M:$M,_xlpm.id),COUNTIF('8. DS'!$M:$M,_xlpm.id),COUNTIF('9. RMF'!$M:$M,_xlpm.id),COUNTIF('10. PCU'!$M:$M,_xlpm.id))))</f>
        <v>0</v>
      </c>
    </row>
    <row r="668" spans="1:9">
      <c r="A668" t="s">
        <v>8677</v>
      </c>
      <c r="B668" t="s">
        <v>8628</v>
      </c>
      <c r="C668">
        <v>1840</v>
      </c>
      <c r="D668">
        <v>3</v>
      </c>
      <c r="E668" s="23" t="s">
        <v>8662</v>
      </c>
      <c r="F668" t="s">
        <v>8102</v>
      </c>
      <c r="G668" t="s">
        <v>10484</v>
      </c>
      <c r="H668" t="s">
        <v>8021</v>
      </c>
      <c r="I668">
        <f>_xlfn.LET(_xlpm.id,TRIM($A668),IF(_xlpm.id="","",SUM(COUNTIF('1. OP'!$M:$M,_xlpm.id),COUNTIF('2. JSEL'!$M:$M,_xlpm.id),COUNTIF('3. PSM'!$M:$M,_xlpm.id),COUNTIF('4. SSP'!$M:$M,_xlpm.id),COUNTIF('5. JSACI'!$M:$M,_xlpm.id),COUNTIF('6. AIN'!$M:$M,_xlpm.id),COUNTIF('7. MS'!$M:$M,_xlpm.id),COUNTIF('8. DS'!$M:$M,_xlpm.id),COUNTIF('9. RMF'!$M:$M,_xlpm.id),COUNTIF('10. PCU'!$M:$M,_xlpm.id))))</f>
        <v>0</v>
      </c>
    </row>
    <row r="669" spans="1:9">
      <c r="A669" t="s">
        <v>8678</v>
      </c>
      <c r="B669" t="s">
        <v>8628</v>
      </c>
      <c r="C669">
        <v>1840</v>
      </c>
      <c r="D669">
        <v>3</v>
      </c>
      <c r="E669" s="23" t="s">
        <v>8664</v>
      </c>
      <c r="F669" t="s">
        <v>8102</v>
      </c>
      <c r="G669" t="s">
        <v>10484</v>
      </c>
      <c r="H669" t="s">
        <v>8021</v>
      </c>
      <c r="I669">
        <f>_xlfn.LET(_xlpm.id,TRIM($A669),IF(_xlpm.id="","",SUM(COUNTIF('1. OP'!$M:$M,_xlpm.id),COUNTIF('2. JSEL'!$M:$M,_xlpm.id),COUNTIF('3. PSM'!$M:$M,_xlpm.id),COUNTIF('4. SSP'!$M:$M,_xlpm.id),COUNTIF('5. JSACI'!$M:$M,_xlpm.id),COUNTIF('6. AIN'!$M:$M,_xlpm.id),COUNTIF('7. MS'!$M:$M,_xlpm.id),COUNTIF('8. DS'!$M:$M,_xlpm.id),COUNTIF('9. RMF'!$M:$M,_xlpm.id),COUNTIF('10. PCU'!$M:$M,_xlpm.id))))</f>
        <v>0</v>
      </c>
    </row>
    <row r="670" spans="1:9">
      <c r="A670" t="s">
        <v>8679</v>
      </c>
      <c r="B670" t="s">
        <v>8680</v>
      </c>
      <c r="C670">
        <v>1811</v>
      </c>
      <c r="D670">
        <v>1</v>
      </c>
      <c r="E670" s="23">
        <v>1</v>
      </c>
      <c r="F670" t="s">
        <v>8459</v>
      </c>
      <c r="G670" t="s">
        <v>10486</v>
      </c>
      <c r="H670" t="s">
        <v>8019</v>
      </c>
      <c r="I670">
        <f>_xlfn.LET(_xlpm.id,TRIM($A670),IF(_xlpm.id="","",SUM(COUNTIF('1. OP'!$M:$M,_xlpm.id),COUNTIF('2. JSEL'!$M:$M,_xlpm.id),COUNTIF('3. PSM'!$M:$M,_xlpm.id),COUNTIF('4. SSP'!$M:$M,_xlpm.id),COUNTIF('5. JSACI'!$M:$M,_xlpm.id),COUNTIF('6. AIN'!$M:$M,_xlpm.id),COUNTIF('7. MS'!$M:$M,_xlpm.id),COUNTIF('8. DS'!$M:$M,_xlpm.id),COUNTIF('9. RMF'!$M:$M,_xlpm.id),COUNTIF('10. PCU'!$M:$M,_xlpm.id))))</f>
        <v>0</v>
      </c>
    </row>
    <row r="671" spans="1:9">
      <c r="A671" t="s">
        <v>8681</v>
      </c>
      <c r="B671" t="s">
        <v>8680</v>
      </c>
      <c r="C671">
        <v>1811</v>
      </c>
      <c r="D671">
        <v>1</v>
      </c>
      <c r="E671" s="23">
        <v>2</v>
      </c>
      <c r="F671" t="s">
        <v>8459</v>
      </c>
      <c r="G671" t="s">
        <v>10486</v>
      </c>
      <c r="H671" t="s">
        <v>8019</v>
      </c>
      <c r="I671">
        <f>_xlfn.LET(_xlpm.id,TRIM($A671),IF(_xlpm.id="","",SUM(COUNTIF('1. OP'!$M:$M,_xlpm.id),COUNTIF('2. JSEL'!$M:$M,_xlpm.id),COUNTIF('3. PSM'!$M:$M,_xlpm.id),COUNTIF('4. SSP'!$M:$M,_xlpm.id),COUNTIF('5. JSACI'!$M:$M,_xlpm.id),COUNTIF('6. AIN'!$M:$M,_xlpm.id),COUNTIF('7. MS'!$M:$M,_xlpm.id),COUNTIF('8. DS'!$M:$M,_xlpm.id),COUNTIF('9. RMF'!$M:$M,_xlpm.id),COUNTIF('10. PCU'!$M:$M,_xlpm.id))))</f>
        <v>0</v>
      </c>
    </row>
    <row r="672" spans="1:9">
      <c r="A672" t="s">
        <v>7354</v>
      </c>
      <c r="B672" t="s">
        <v>8680</v>
      </c>
      <c r="C672">
        <v>1811</v>
      </c>
      <c r="D672">
        <v>1</v>
      </c>
      <c r="E672" s="23">
        <v>3</v>
      </c>
      <c r="F672" t="s">
        <v>8459</v>
      </c>
      <c r="G672" t="s">
        <v>10486</v>
      </c>
      <c r="H672" t="s">
        <v>8019</v>
      </c>
      <c r="I672">
        <f>_xlfn.LET(_xlpm.id,TRIM($A672),IF(_xlpm.id="","",SUM(COUNTIF('1. OP'!$M:$M,_xlpm.id),COUNTIF('2. JSEL'!$M:$M,_xlpm.id),COUNTIF('3. PSM'!$M:$M,_xlpm.id),COUNTIF('4. SSP'!$M:$M,_xlpm.id),COUNTIF('5. JSACI'!$M:$M,_xlpm.id),COUNTIF('6. AIN'!$M:$M,_xlpm.id),COUNTIF('7. MS'!$M:$M,_xlpm.id),COUNTIF('8. DS'!$M:$M,_xlpm.id),COUNTIF('9. RMF'!$M:$M,_xlpm.id),COUNTIF('10. PCU'!$M:$M,_xlpm.id))))</f>
        <v>4</v>
      </c>
    </row>
    <row r="673" spans="1:9">
      <c r="A673" t="s">
        <v>7396</v>
      </c>
      <c r="B673" t="s">
        <v>8680</v>
      </c>
      <c r="C673">
        <v>1812</v>
      </c>
      <c r="D673">
        <v>1</v>
      </c>
      <c r="E673" s="23">
        <v>4</v>
      </c>
      <c r="F673" t="s">
        <v>8459</v>
      </c>
      <c r="G673" t="s">
        <v>10486</v>
      </c>
      <c r="H673" t="s">
        <v>8019</v>
      </c>
      <c r="I673">
        <f>_xlfn.LET(_xlpm.id,TRIM($A673),IF(_xlpm.id="","",SUM(COUNTIF('1. OP'!$M:$M,_xlpm.id),COUNTIF('2. JSEL'!$M:$M,_xlpm.id),COUNTIF('3. PSM'!$M:$M,_xlpm.id),COUNTIF('4. SSP'!$M:$M,_xlpm.id),COUNTIF('5. JSACI'!$M:$M,_xlpm.id),COUNTIF('6. AIN'!$M:$M,_xlpm.id),COUNTIF('7. MS'!$M:$M,_xlpm.id),COUNTIF('8. DS'!$M:$M,_xlpm.id),COUNTIF('9. RMF'!$M:$M,_xlpm.id),COUNTIF('10. PCU'!$M:$M,_xlpm.id))))</f>
        <v>1</v>
      </c>
    </row>
    <row r="674" spans="1:9">
      <c r="A674" t="s">
        <v>8682</v>
      </c>
      <c r="B674" t="s">
        <v>8680</v>
      </c>
      <c r="C674">
        <v>1812</v>
      </c>
      <c r="D674">
        <v>1</v>
      </c>
      <c r="E674" s="23">
        <v>5</v>
      </c>
      <c r="F674" t="s">
        <v>8459</v>
      </c>
      <c r="G674" t="s">
        <v>10486</v>
      </c>
      <c r="H674" t="s">
        <v>8019</v>
      </c>
      <c r="I674">
        <f>_xlfn.LET(_xlpm.id,TRIM($A674),IF(_xlpm.id="","",SUM(COUNTIF('1. OP'!$M:$M,_xlpm.id),COUNTIF('2. JSEL'!$M:$M,_xlpm.id),COUNTIF('3. PSM'!$M:$M,_xlpm.id),COUNTIF('4. SSP'!$M:$M,_xlpm.id),COUNTIF('5. JSACI'!$M:$M,_xlpm.id),COUNTIF('6. AIN'!$M:$M,_xlpm.id),COUNTIF('7. MS'!$M:$M,_xlpm.id),COUNTIF('8. DS'!$M:$M,_xlpm.id),COUNTIF('9. RMF'!$M:$M,_xlpm.id),COUNTIF('10. PCU'!$M:$M,_xlpm.id))))</f>
        <v>0</v>
      </c>
    </row>
    <row r="675" spans="1:9">
      <c r="A675" t="s">
        <v>8683</v>
      </c>
      <c r="B675" t="s">
        <v>8680</v>
      </c>
      <c r="C675">
        <v>1812</v>
      </c>
      <c r="D675">
        <v>1</v>
      </c>
      <c r="E675" s="23">
        <v>6</v>
      </c>
      <c r="F675" t="s">
        <v>8459</v>
      </c>
      <c r="G675" t="s">
        <v>10486</v>
      </c>
      <c r="H675" t="s">
        <v>8019</v>
      </c>
      <c r="I675">
        <f>_xlfn.LET(_xlpm.id,TRIM($A675),IF(_xlpm.id="","",SUM(COUNTIF('1. OP'!$M:$M,_xlpm.id),COUNTIF('2. JSEL'!$M:$M,_xlpm.id),COUNTIF('3. PSM'!$M:$M,_xlpm.id),COUNTIF('4. SSP'!$M:$M,_xlpm.id),COUNTIF('5. JSACI'!$M:$M,_xlpm.id),COUNTIF('6. AIN'!$M:$M,_xlpm.id),COUNTIF('7. MS'!$M:$M,_xlpm.id),COUNTIF('8. DS'!$M:$M,_xlpm.id),COUNTIF('9. RMF'!$M:$M,_xlpm.id),COUNTIF('10. PCU'!$M:$M,_xlpm.id))))</f>
        <v>0</v>
      </c>
    </row>
    <row r="676" spans="1:9">
      <c r="A676" t="s">
        <v>8684</v>
      </c>
      <c r="B676" t="s">
        <v>8680</v>
      </c>
      <c r="C676">
        <v>1813</v>
      </c>
      <c r="D676">
        <v>1</v>
      </c>
      <c r="E676" s="23">
        <v>7</v>
      </c>
      <c r="F676" t="s">
        <v>8459</v>
      </c>
      <c r="G676" t="s">
        <v>10486</v>
      </c>
      <c r="H676" t="s">
        <v>8019</v>
      </c>
      <c r="I676">
        <f>_xlfn.LET(_xlpm.id,TRIM($A676),IF(_xlpm.id="","",SUM(COUNTIF('1. OP'!$M:$M,_xlpm.id),COUNTIF('2. JSEL'!$M:$M,_xlpm.id),COUNTIF('3. PSM'!$M:$M,_xlpm.id),COUNTIF('4. SSP'!$M:$M,_xlpm.id),COUNTIF('5. JSACI'!$M:$M,_xlpm.id),COUNTIF('6. AIN'!$M:$M,_xlpm.id),COUNTIF('7. MS'!$M:$M,_xlpm.id),COUNTIF('8. DS'!$M:$M,_xlpm.id),COUNTIF('9. RMF'!$M:$M,_xlpm.id),COUNTIF('10. PCU'!$M:$M,_xlpm.id))))</f>
        <v>0</v>
      </c>
    </row>
    <row r="677" spans="1:9">
      <c r="A677" t="s">
        <v>8685</v>
      </c>
      <c r="B677" t="s">
        <v>8680</v>
      </c>
      <c r="C677">
        <v>1813</v>
      </c>
      <c r="D677">
        <v>1</v>
      </c>
      <c r="E677" s="23">
        <v>8</v>
      </c>
      <c r="F677" t="s">
        <v>8459</v>
      </c>
      <c r="G677" t="s">
        <v>10486</v>
      </c>
      <c r="H677" t="s">
        <v>8019</v>
      </c>
      <c r="I677">
        <f>_xlfn.LET(_xlpm.id,TRIM($A677),IF(_xlpm.id="","",SUM(COUNTIF('1. OP'!$M:$M,_xlpm.id),COUNTIF('2. JSEL'!$M:$M,_xlpm.id),COUNTIF('3. PSM'!$M:$M,_xlpm.id),COUNTIF('4. SSP'!$M:$M,_xlpm.id),COUNTIF('5. JSACI'!$M:$M,_xlpm.id),COUNTIF('6. AIN'!$M:$M,_xlpm.id),COUNTIF('7. MS'!$M:$M,_xlpm.id),COUNTIF('8. DS'!$M:$M,_xlpm.id),COUNTIF('9. RMF'!$M:$M,_xlpm.id),COUNTIF('10. PCU'!$M:$M,_xlpm.id))))</f>
        <v>0</v>
      </c>
    </row>
    <row r="678" spans="1:9">
      <c r="A678" t="s">
        <v>8686</v>
      </c>
      <c r="B678" t="s">
        <v>8680</v>
      </c>
      <c r="C678">
        <v>1814</v>
      </c>
      <c r="D678">
        <v>1</v>
      </c>
      <c r="E678" s="23">
        <v>9</v>
      </c>
      <c r="F678" t="s">
        <v>8459</v>
      </c>
      <c r="G678" t="s">
        <v>10486</v>
      </c>
      <c r="H678" t="s">
        <v>8019</v>
      </c>
      <c r="I678">
        <f>_xlfn.LET(_xlpm.id,TRIM($A678),IF(_xlpm.id="","",SUM(COUNTIF('1. OP'!$M:$M,_xlpm.id),COUNTIF('2. JSEL'!$M:$M,_xlpm.id),COUNTIF('3. PSM'!$M:$M,_xlpm.id),COUNTIF('4. SSP'!$M:$M,_xlpm.id),COUNTIF('5. JSACI'!$M:$M,_xlpm.id),COUNTIF('6. AIN'!$M:$M,_xlpm.id),COUNTIF('7. MS'!$M:$M,_xlpm.id),COUNTIF('8. DS'!$M:$M,_xlpm.id),COUNTIF('9. RMF'!$M:$M,_xlpm.id),COUNTIF('10. PCU'!$M:$M,_xlpm.id))))</f>
        <v>0</v>
      </c>
    </row>
    <row r="679" spans="1:9">
      <c r="A679" t="s">
        <v>8687</v>
      </c>
      <c r="B679" t="s">
        <v>8680</v>
      </c>
      <c r="C679">
        <v>1814</v>
      </c>
      <c r="D679">
        <v>1</v>
      </c>
      <c r="E679" s="23">
        <v>10</v>
      </c>
      <c r="F679" t="s">
        <v>8459</v>
      </c>
      <c r="G679" t="s">
        <v>10486</v>
      </c>
      <c r="H679" t="s">
        <v>8019</v>
      </c>
      <c r="I679">
        <f>_xlfn.LET(_xlpm.id,TRIM($A679),IF(_xlpm.id="","",SUM(COUNTIF('1. OP'!$M:$M,_xlpm.id),COUNTIF('2. JSEL'!$M:$M,_xlpm.id),COUNTIF('3. PSM'!$M:$M,_xlpm.id),COUNTIF('4. SSP'!$M:$M,_xlpm.id),COUNTIF('5. JSACI'!$M:$M,_xlpm.id),COUNTIF('6. AIN'!$M:$M,_xlpm.id),COUNTIF('7. MS'!$M:$M,_xlpm.id),COUNTIF('8. DS'!$M:$M,_xlpm.id),COUNTIF('9. RMF'!$M:$M,_xlpm.id),COUNTIF('10. PCU'!$M:$M,_xlpm.id))))</f>
        <v>0</v>
      </c>
    </row>
    <row r="680" spans="1:9">
      <c r="A680" t="s">
        <v>8688</v>
      </c>
      <c r="B680" t="s">
        <v>8680</v>
      </c>
      <c r="C680">
        <v>1814</v>
      </c>
      <c r="D680">
        <v>1</v>
      </c>
      <c r="E680" s="23">
        <v>11</v>
      </c>
      <c r="F680" t="s">
        <v>8459</v>
      </c>
      <c r="G680" t="s">
        <v>10486</v>
      </c>
      <c r="H680" t="s">
        <v>8019</v>
      </c>
      <c r="I680">
        <f>_xlfn.LET(_xlpm.id,TRIM($A680),IF(_xlpm.id="","",SUM(COUNTIF('1. OP'!$M:$M,_xlpm.id),COUNTIF('2. JSEL'!$M:$M,_xlpm.id),COUNTIF('3. PSM'!$M:$M,_xlpm.id),COUNTIF('4. SSP'!$M:$M,_xlpm.id),COUNTIF('5. JSACI'!$M:$M,_xlpm.id),COUNTIF('6. AIN'!$M:$M,_xlpm.id),COUNTIF('7. MS'!$M:$M,_xlpm.id),COUNTIF('8. DS'!$M:$M,_xlpm.id),COUNTIF('9. RMF'!$M:$M,_xlpm.id),COUNTIF('10. PCU'!$M:$M,_xlpm.id))))</f>
        <v>0</v>
      </c>
    </row>
    <row r="681" spans="1:9">
      <c r="A681" t="s">
        <v>5230</v>
      </c>
      <c r="B681" t="s">
        <v>8680</v>
      </c>
      <c r="C681">
        <v>1815</v>
      </c>
      <c r="D681">
        <v>1</v>
      </c>
      <c r="E681" s="23">
        <v>12</v>
      </c>
      <c r="F681" t="s">
        <v>8459</v>
      </c>
      <c r="G681" t="s">
        <v>10486</v>
      </c>
      <c r="H681" t="s">
        <v>8019</v>
      </c>
      <c r="I681">
        <f>_xlfn.LET(_xlpm.id,TRIM($A681),IF(_xlpm.id="","",SUM(COUNTIF('1. OP'!$M:$M,_xlpm.id),COUNTIF('2. JSEL'!$M:$M,_xlpm.id),COUNTIF('3. PSM'!$M:$M,_xlpm.id),COUNTIF('4. SSP'!$M:$M,_xlpm.id),COUNTIF('5. JSACI'!$M:$M,_xlpm.id),COUNTIF('6. AIN'!$M:$M,_xlpm.id),COUNTIF('7. MS'!$M:$M,_xlpm.id),COUNTIF('8. DS'!$M:$M,_xlpm.id),COUNTIF('9. RMF'!$M:$M,_xlpm.id),COUNTIF('10. PCU'!$M:$M,_xlpm.id))))</f>
        <v>1</v>
      </c>
    </row>
    <row r="682" spans="1:9">
      <c r="A682" t="s">
        <v>8689</v>
      </c>
      <c r="B682" t="s">
        <v>8680</v>
      </c>
      <c r="C682">
        <v>1815</v>
      </c>
      <c r="D682">
        <v>1</v>
      </c>
      <c r="E682" s="23">
        <v>13</v>
      </c>
      <c r="F682" t="s">
        <v>8459</v>
      </c>
      <c r="G682" t="s">
        <v>10486</v>
      </c>
      <c r="H682" t="s">
        <v>8019</v>
      </c>
      <c r="I682">
        <f>_xlfn.LET(_xlpm.id,TRIM($A682),IF(_xlpm.id="","",SUM(COUNTIF('1. OP'!$M:$M,_xlpm.id),COUNTIF('2. JSEL'!$M:$M,_xlpm.id),COUNTIF('3. PSM'!$M:$M,_xlpm.id),COUNTIF('4. SSP'!$M:$M,_xlpm.id),COUNTIF('5. JSACI'!$M:$M,_xlpm.id),COUNTIF('6. AIN'!$M:$M,_xlpm.id),COUNTIF('7. MS'!$M:$M,_xlpm.id),COUNTIF('8. DS'!$M:$M,_xlpm.id),COUNTIF('9. RMF'!$M:$M,_xlpm.id),COUNTIF('10. PCU'!$M:$M,_xlpm.id))))</f>
        <v>0</v>
      </c>
    </row>
    <row r="683" spans="1:9">
      <c r="A683" t="s">
        <v>8690</v>
      </c>
      <c r="B683" t="s">
        <v>8680</v>
      </c>
      <c r="C683">
        <v>1815</v>
      </c>
      <c r="D683">
        <v>1</v>
      </c>
      <c r="E683" s="23">
        <v>14</v>
      </c>
      <c r="F683" t="s">
        <v>8459</v>
      </c>
      <c r="G683" t="s">
        <v>10486</v>
      </c>
      <c r="H683" t="s">
        <v>8019</v>
      </c>
      <c r="I683">
        <f>_xlfn.LET(_xlpm.id,TRIM($A683),IF(_xlpm.id="","",SUM(COUNTIF('1. OP'!$M:$M,_xlpm.id),COUNTIF('2. JSEL'!$M:$M,_xlpm.id),COUNTIF('3. PSM'!$M:$M,_xlpm.id),COUNTIF('4. SSP'!$M:$M,_xlpm.id),COUNTIF('5. JSACI'!$M:$M,_xlpm.id),COUNTIF('6. AIN'!$M:$M,_xlpm.id),COUNTIF('7. MS'!$M:$M,_xlpm.id),COUNTIF('8. DS'!$M:$M,_xlpm.id),COUNTIF('9. RMF'!$M:$M,_xlpm.id),COUNTIF('10. PCU'!$M:$M,_xlpm.id))))</f>
        <v>0</v>
      </c>
    </row>
    <row r="684" spans="1:9">
      <c r="A684" t="s">
        <v>8691</v>
      </c>
      <c r="B684" t="s">
        <v>8680</v>
      </c>
      <c r="C684">
        <v>1816</v>
      </c>
      <c r="D684">
        <v>1</v>
      </c>
      <c r="E684" s="23">
        <v>15</v>
      </c>
      <c r="F684" t="s">
        <v>8459</v>
      </c>
      <c r="G684" t="s">
        <v>10486</v>
      </c>
      <c r="H684" t="s">
        <v>8019</v>
      </c>
      <c r="I684">
        <f>_xlfn.LET(_xlpm.id,TRIM($A684),IF(_xlpm.id="","",SUM(COUNTIF('1. OP'!$M:$M,_xlpm.id),COUNTIF('2. JSEL'!$M:$M,_xlpm.id),COUNTIF('3. PSM'!$M:$M,_xlpm.id),COUNTIF('4. SSP'!$M:$M,_xlpm.id),COUNTIF('5. JSACI'!$M:$M,_xlpm.id),COUNTIF('6. AIN'!$M:$M,_xlpm.id),COUNTIF('7. MS'!$M:$M,_xlpm.id),COUNTIF('8. DS'!$M:$M,_xlpm.id),COUNTIF('9. RMF'!$M:$M,_xlpm.id),COUNTIF('10. PCU'!$M:$M,_xlpm.id))))</f>
        <v>0</v>
      </c>
    </row>
    <row r="685" spans="1:9">
      <c r="A685" t="s">
        <v>8692</v>
      </c>
      <c r="B685" t="s">
        <v>8680</v>
      </c>
      <c r="C685">
        <v>1816</v>
      </c>
      <c r="D685">
        <v>1</v>
      </c>
      <c r="E685" s="23">
        <v>16</v>
      </c>
      <c r="F685" t="s">
        <v>8459</v>
      </c>
      <c r="G685" t="s">
        <v>10486</v>
      </c>
      <c r="H685" t="s">
        <v>8019</v>
      </c>
      <c r="I685">
        <f>_xlfn.LET(_xlpm.id,TRIM($A685),IF(_xlpm.id="","",SUM(COUNTIF('1. OP'!$M:$M,_xlpm.id),COUNTIF('2. JSEL'!$M:$M,_xlpm.id),COUNTIF('3. PSM'!$M:$M,_xlpm.id),COUNTIF('4. SSP'!$M:$M,_xlpm.id),COUNTIF('5. JSACI'!$M:$M,_xlpm.id),COUNTIF('6. AIN'!$M:$M,_xlpm.id),COUNTIF('7. MS'!$M:$M,_xlpm.id),COUNTIF('8. DS'!$M:$M,_xlpm.id),COUNTIF('9. RMF'!$M:$M,_xlpm.id),COUNTIF('10. PCU'!$M:$M,_xlpm.id))))</f>
        <v>0</v>
      </c>
    </row>
    <row r="686" spans="1:9">
      <c r="A686" t="s">
        <v>8693</v>
      </c>
      <c r="B686" t="s">
        <v>8680</v>
      </c>
      <c r="C686">
        <v>1816</v>
      </c>
      <c r="D686">
        <v>1</v>
      </c>
      <c r="E686" s="23">
        <v>17</v>
      </c>
      <c r="F686" t="s">
        <v>8459</v>
      </c>
      <c r="G686" t="s">
        <v>10486</v>
      </c>
      <c r="H686" t="s">
        <v>8019</v>
      </c>
      <c r="I686">
        <f>_xlfn.LET(_xlpm.id,TRIM($A686),IF(_xlpm.id="","",SUM(COUNTIF('1. OP'!$M:$M,_xlpm.id),COUNTIF('2. JSEL'!$M:$M,_xlpm.id),COUNTIF('3. PSM'!$M:$M,_xlpm.id),COUNTIF('4. SSP'!$M:$M,_xlpm.id),COUNTIF('5. JSACI'!$M:$M,_xlpm.id),COUNTIF('6. AIN'!$M:$M,_xlpm.id),COUNTIF('7. MS'!$M:$M,_xlpm.id),COUNTIF('8. DS'!$M:$M,_xlpm.id),COUNTIF('9. RMF'!$M:$M,_xlpm.id),COUNTIF('10. PCU'!$M:$M,_xlpm.id))))</f>
        <v>0</v>
      </c>
    </row>
    <row r="687" spans="1:9">
      <c r="A687" t="s">
        <v>8694</v>
      </c>
      <c r="B687" t="s">
        <v>8680</v>
      </c>
      <c r="C687">
        <v>1817</v>
      </c>
      <c r="D687">
        <v>1</v>
      </c>
      <c r="E687" s="23">
        <v>18</v>
      </c>
      <c r="F687" t="s">
        <v>8459</v>
      </c>
      <c r="G687" t="s">
        <v>10486</v>
      </c>
      <c r="H687" t="s">
        <v>8019</v>
      </c>
      <c r="I687">
        <f>_xlfn.LET(_xlpm.id,TRIM($A687),IF(_xlpm.id="","",SUM(COUNTIF('1. OP'!$M:$M,_xlpm.id),COUNTIF('2. JSEL'!$M:$M,_xlpm.id),COUNTIF('3. PSM'!$M:$M,_xlpm.id),COUNTIF('4. SSP'!$M:$M,_xlpm.id),COUNTIF('5. JSACI'!$M:$M,_xlpm.id),COUNTIF('6. AIN'!$M:$M,_xlpm.id),COUNTIF('7. MS'!$M:$M,_xlpm.id),COUNTIF('8. DS'!$M:$M,_xlpm.id),COUNTIF('9. RMF'!$M:$M,_xlpm.id),COUNTIF('10. PCU'!$M:$M,_xlpm.id))))</f>
        <v>0</v>
      </c>
    </row>
    <row r="688" spans="1:9">
      <c r="A688" t="s">
        <v>8695</v>
      </c>
      <c r="B688" t="s">
        <v>8680</v>
      </c>
      <c r="C688">
        <v>1817</v>
      </c>
      <c r="D688">
        <v>1</v>
      </c>
      <c r="E688" s="23">
        <v>19</v>
      </c>
      <c r="F688" t="s">
        <v>8459</v>
      </c>
      <c r="G688" t="s">
        <v>10486</v>
      </c>
      <c r="H688" t="s">
        <v>8019</v>
      </c>
      <c r="I688">
        <f>_xlfn.LET(_xlpm.id,TRIM($A688),IF(_xlpm.id="","",SUM(COUNTIF('1. OP'!$M:$M,_xlpm.id),COUNTIF('2. JSEL'!$M:$M,_xlpm.id),COUNTIF('3. PSM'!$M:$M,_xlpm.id),COUNTIF('4. SSP'!$M:$M,_xlpm.id),COUNTIF('5. JSACI'!$M:$M,_xlpm.id),COUNTIF('6. AIN'!$M:$M,_xlpm.id),COUNTIF('7. MS'!$M:$M,_xlpm.id),COUNTIF('8. DS'!$M:$M,_xlpm.id),COUNTIF('9. RMF'!$M:$M,_xlpm.id),COUNTIF('10. PCU'!$M:$M,_xlpm.id))))</f>
        <v>0</v>
      </c>
    </row>
    <row r="689" spans="1:9">
      <c r="A689" t="s">
        <v>8696</v>
      </c>
      <c r="B689" t="s">
        <v>8680</v>
      </c>
      <c r="C689">
        <v>1817</v>
      </c>
      <c r="D689">
        <v>1</v>
      </c>
      <c r="E689" s="23">
        <v>20</v>
      </c>
      <c r="F689" t="s">
        <v>8459</v>
      </c>
      <c r="G689" t="s">
        <v>10486</v>
      </c>
      <c r="H689" t="s">
        <v>8019</v>
      </c>
      <c r="I689">
        <f>_xlfn.LET(_xlpm.id,TRIM($A689),IF(_xlpm.id="","",SUM(COUNTIF('1. OP'!$M:$M,_xlpm.id),COUNTIF('2. JSEL'!$M:$M,_xlpm.id),COUNTIF('3. PSM'!$M:$M,_xlpm.id),COUNTIF('4. SSP'!$M:$M,_xlpm.id),COUNTIF('5. JSACI'!$M:$M,_xlpm.id),COUNTIF('6. AIN'!$M:$M,_xlpm.id),COUNTIF('7. MS'!$M:$M,_xlpm.id),COUNTIF('8. DS'!$M:$M,_xlpm.id),COUNTIF('9. RMF'!$M:$M,_xlpm.id),COUNTIF('10. PCU'!$M:$M,_xlpm.id))))</f>
        <v>0</v>
      </c>
    </row>
    <row r="690" spans="1:9">
      <c r="A690" t="s">
        <v>8697</v>
      </c>
      <c r="B690" t="s">
        <v>8680</v>
      </c>
      <c r="C690">
        <v>1818</v>
      </c>
      <c r="D690">
        <v>1</v>
      </c>
      <c r="E690" s="23">
        <v>21</v>
      </c>
      <c r="F690" t="s">
        <v>8459</v>
      </c>
      <c r="G690" t="s">
        <v>10486</v>
      </c>
      <c r="H690" t="s">
        <v>8019</v>
      </c>
      <c r="I690">
        <f>_xlfn.LET(_xlpm.id,TRIM($A690),IF(_xlpm.id="","",SUM(COUNTIF('1. OP'!$M:$M,_xlpm.id),COUNTIF('2. JSEL'!$M:$M,_xlpm.id),COUNTIF('3. PSM'!$M:$M,_xlpm.id),COUNTIF('4. SSP'!$M:$M,_xlpm.id),COUNTIF('5. JSACI'!$M:$M,_xlpm.id),COUNTIF('6. AIN'!$M:$M,_xlpm.id),COUNTIF('7. MS'!$M:$M,_xlpm.id),COUNTIF('8. DS'!$M:$M,_xlpm.id),COUNTIF('9. RMF'!$M:$M,_xlpm.id),COUNTIF('10. PCU'!$M:$M,_xlpm.id))))</f>
        <v>0</v>
      </c>
    </row>
    <row r="691" spans="1:9">
      <c r="A691" t="s">
        <v>8698</v>
      </c>
      <c r="B691" t="s">
        <v>8680</v>
      </c>
      <c r="C691">
        <v>1818</v>
      </c>
      <c r="D691">
        <v>1</v>
      </c>
      <c r="E691" s="23">
        <v>22</v>
      </c>
      <c r="F691" t="s">
        <v>8459</v>
      </c>
      <c r="G691" t="s">
        <v>10486</v>
      </c>
      <c r="H691" t="s">
        <v>8019</v>
      </c>
      <c r="I691">
        <f>_xlfn.LET(_xlpm.id,TRIM($A691),IF(_xlpm.id="","",SUM(COUNTIF('1. OP'!$M:$M,_xlpm.id),COUNTIF('2. JSEL'!$M:$M,_xlpm.id),COUNTIF('3. PSM'!$M:$M,_xlpm.id),COUNTIF('4. SSP'!$M:$M,_xlpm.id),COUNTIF('5. JSACI'!$M:$M,_xlpm.id),COUNTIF('6. AIN'!$M:$M,_xlpm.id),COUNTIF('7. MS'!$M:$M,_xlpm.id),COUNTIF('8. DS'!$M:$M,_xlpm.id),COUNTIF('9. RMF'!$M:$M,_xlpm.id),COUNTIF('10. PCU'!$M:$M,_xlpm.id))))</f>
        <v>0</v>
      </c>
    </row>
    <row r="692" spans="1:9">
      <c r="A692" t="s">
        <v>8699</v>
      </c>
      <c r="B692" t="s">
        <v>8680</v>
      </c>
      <c r="C692">
        <v>1818</v>
      </c>
      <c r="D692">
        <v>1</v>
      </c>
      <c r="E692" s="23">
        <v>23</v>
      </c>
      <c r="F692" t="s">
        <v>8459</v>
      </c>
      <c r="G692" t="s">
        <v>10486</v>
      </c>
      <c r="H692" t="s">
        <v>8019</v>
      </c>
      <c r="I692">
        <f>_xlfn.LET(_xlpm.id,TRIM($A692),IF(_xlpm.id="","",SUM(COUNTIF('1. OP'!$M:$M,_xlpm.id),COUNTIF('2. JSEL'!$M:$M,_xlpm.id),COUNTIF('3. PSM'!$M:$M,_xlpm.id),COUNTIF('4. SSP'!$M:$M,_xlpm.id),COUNTIF('5. JSACI'!$M:$M,_xlpm.id),COUNTIF('6. AIN'!$M:$M,_xlpm.id),COUNTIF('7. MS'!$M:$M,_xlpm.id),COUNTIF('8. DS'!$M:$M,_xlpm.id),COUNTIF('9. RMF'!$M:$M,_xlpm.id),COUNTIF('10. PCU'!$M:$M,_xlpm.id))))</f>
        <v>0</v>
      </c>
    </row>
    <row r="693" spans="1:9">
      <c r="A693" t="s">
        <v>8700</v>
      </c>
      <c r="B693" t="s">
        <v>4523</v>
      </c>
      <c r="C693">
        <v>1824</v>
      </c>
      <c r="D693">
        <v>1</v>
      </c>
      <c r="E693" s="23">
        <v>1</v>
      </c>
      <c r="F693" t="s">
        <v>8265</v>
      </c>
      <c r="G693" t="s">
        <v>10486</v>
      </c>
      <c r="H693" t="s">
        <v>8019</v>
      </c>
      <c r="I693">
        <f>_xlfn.LET(_xlpm.id,TRIM($A693),IF(_xlpm.id="","",SUM(COUNTIF('1. OP'!$M:$M,_xlpm.id),COUNTIF('2. JSEL'!$M:$M,_xlpm.id),COUNTIF('3. PSM'!$M:$M,_xlpm.id),COUNTIF('4. SSP'!$M:$M,_xlpm.id),COUNTIF('5. JSACI'!$M:$M,_xlpm.id),COUNTIF('6. AIN'!$M:$M,_xlpm.id),COUNTIF('7. MS'!$M:$M,_xlpm.id),COUNTIF('8. DS'!$M:$M,_xlpm.id),COUNTIF('9. RMF'!$M:$M,_xlpm.id),COUNTIF('10. PCU'!$M:$M,_xlpm.id))))</f>
        <v>0</v>
      </c>
    </row>
    <row r="694" spans="1:9">
      <c r="A694" t="s">
        <v>8701</v>
      </c>
      <c r="B694" t="s">
        <v>4523</v>
      </c>
      <c r="C694">
        <v>1824</v>
      </c>
      <c r="D694">
        <v>1</v>
      </c>
      <c r="E694" s="23">
        <v>2</v>
      </c>
      <c r="F694" t="s">
        <v>8265</v>
      </c>
      <c r="G694" t="s">
        <v>10486</v>
      </c>
      <c r="H694" t="s">
        <v>8019</v>
      </c>
      <c r="I694">
        <f>_xlfn.LET(_xlpm.id,TRIM($A694),IF(_xlpm.id="","",SUM(COUNTIF('1. OP'!$M:$M,_xlpm.id),COUNTIF('2. JSEL'!$M:$M,_xlpm.id),COUNTIF('3. PSM'!$M:$M,_xlpm.id),COUNTIF('4. SSP'!$M:$M,_xlpm.id),COUNTIF('5. JSACI'!$M:$M,_xlpm.id),COUNTIF('6. AIN'!$M:$M,_xlpm.id),COUNTIF('7. MS'!$M:$M,_xlpm.id),COUNTIF('8. DS'!$M:$M,_xlpm.id),COUNTIF('9. RMF'!$M:$M,_xlpm.id),COUNTIF('10. PCU'!$M:$M,_xlpm.id))))</f>
        <v>0</v>
      </c>
    </row>
    <row r="695" spans="1:9">
      <c r="A695" t="s">
        <v>8702</v>
      </c>
      <c r="B695" t="s">
        <v>4523</v>
      </c>
      <c r="C695">
        <v>1824</v>
      </c>
      <c r="D695">
        <v>1</v>
      </c>
      <c r="E695" s="23">
        <v>3</v>
      </c>
      <c r="F695" t="s">
        <v>8265</v>
      </c>
      <c r="G695" t="s">
        <v>10486</v>
      </c>
      <c r="H695" t="s">
        <v>8019</v>
      </c>
      <c r="I695">
        <f>_xlfn.LET(_xlpm.id,TRIM($A695),IF(_xlpm.id="","",SUM(COUNTIF('1. OP'!$M:$M,_xlpm.id),COUNTIF('2. JSEL'!$M:$M,_xlpm.id),COUNTIF('3. PSM'!$M:$M,_xlpm.id),COUNTIF('4. SSP'!$M:$M,_xlpm.id),COUNTIF('5. JSACI'!$M:$M,_xlpm.id),COUNTIF('6. AIN'!$M:$M,_xlpm.id),COUNTIF('7. MS'!$M:$M,_xlpm.id),COUNTIF('8. DS'!$M:$M,_xlpm.id),COUNTIF('9. RMF'!$M:$M,_xlpm.id),COUNTIF('10. PCU'!$M:$M,_xlpm.id))))</f>
        <v>0</v>
      </c>
    </row>
    <row r="696" spans="1:9">
      <c r="A696" t="s">
        <v>8703</v>
      </c>
      <c r="B696" t="s">
        <v>4523</v>
      </c>
      <c r="C696">
        <v>1824</v>
      </c>
      <c r="D696">
        <v>1</v>
      </c>
      <c r="E696" s="23">
        <v>4</v>
      </c>
      <c r="F696" t="s">
        <v>8265</v>
      </c>
      <c r="G696" t="s">
        <v>10486</v>
      </c>
      <c r="H696" t="s">
        <v>8019</v>
      </c>
      <c r="I696">
        <f>_xlfn.LET(_xlpm.id,TRIM($A696),IF(_xlpm.id="","",SUM(COUNTIF('1. OP'!$M:$M,_xlpm.id),COUNTIF('2. JSEL'!$M:$M,_xlpm.id),COUNTIF('3. PSM'!$M:$M,_xlpm.id),COUNTIF('4. SSP'!$M:$M,_xlpm.id),COUNTIF('5. JSACI'!$M:$M,_xlpm.id),COUNTIF('6. AIN'!$M:$M,_xlpm.id),COUNTIF('7. MS'!$M:$M,_xlpm.id),COUNTIF('8. DS'!$M:$M,_xlpm.id),COUNTIF('9. RMF'!$M:$M,_xlpm.id),COUNTIF('10. PCU'!$M:$M,_xlpm.id))))</f>
        <v>0</v>
      </c>
    </row>
    <row r="697" spans="1:9">
      <c r="A697" t="s">
        <v>8704</v>
      </c>
      <c r="B697" t="s">
        <v>4523</v>
      </c>
      <c r="C697">
        <v>1825</v>
      </c>
      <c r="D697">
        <v>1</v>
      </c>
      <c r="E697" s="23">
        <v>6</v>
      </c>
      <c r="F697" t="s">
        <v>8265</v>
      </c>
      <c r="G697" t="s">
        <v>10486</v>
      </c>
      <c r="H697" t="s">
        <v>8019</v>
      </c>
      <c r="I697">
        <f>_xlfn.LET(_xlpm.id,TRIM($A697),IF(_xlpm.id="","",SUM(COUNTIF('1. OP'!$M:$M,_xlpm.id),COUNTIF('2. JSEL'!$M:$M,_xlpm.id),COUNTIF('3. PSM'!$M:$M,_xlpm.id),COUNTIF('4. SSP'!$M:$M,_xlpm.id),COUNTIF('5. JSACI'!$M:$M,_xlpm.id),COUNTIF('6. AIN'!$M:$M,_xlpm.id),COUNTIF('7. MS'!$M:$M,_xlpm.id),COUNTIF('8. DS'!$M:$M,_xlpm.id),COUNTIF('9. RMF'!$M:$M,_xlpm.id),COUNTIF('10. PCU'!$M:$M,_xlpm.id))))</f>
        <v>0</v>
      </c>
    </row>
    <row r="698" spans="1:9">
      <c r="A698" t="s">
        <v>8705</v>
      </c>
      <c r="B698" t="s">
        <v>4523</v>
      </c>
      <c r="C698">
        <v>1825</v>
      </c>
      <c r="D698">
        <v>1</v>
      </c>
      <c r="E698" s="23">
        <v>7</v>
      </c>
      <c r="F698" t="s">
        <v>8265</v>
      </c>
      <c r="G698" t="s">
        <v>10486</v>
      </c>
      <c r="H698" t="s">
        <v>8019</v>
      </c>
      <c r="I698">
        <f>_xlfn.LET(_xlpm.id,TRIM($A698),IF(_xlpm.id="","",SUM(COUNTIF('1. OP'!$M:$M,_xlpm.id),COUNTIF('2. JSEL'!$M:$M,_xlpm.id),COUNTIF('3. PSM'!$M:$M,_xlpm.id),COUNTIF('4. SSP'!$M:$M,_xlpm.id),COUNTIF('5. JSACI'!$M:$M,_xlpm.id),COUNTIF('6. AIN'!$M:$M,_xlpm.id),COUNTIF('7. MS'!$M:$M,_xlpm.id),COUNTIF('8. DS'!$M:$M,_xlpm.id),COUNTIF('9. RMF'!$M:$M,_xlpm.id),COUNTIF('10. PCU'!$M:$M,_xlpm.id))))</f>
        <v>0</v>
      </c>
    </row>
    <row r="699" spans="1:9">
      <c r="A699" t="s">
        <v>8706</v>
      </c>
      <c r="B699" t="s">
        <v>4523</v>
      </c>
      <c r="C699">
        <v>1825</v>
      </c>
      <c r="D699">
        <v>1</v>
      </c>
      <c r="E699" s="23">
        <v>8</v>
      </c>
      <c r="F699" t="s">
        <v>8265</v>
      </c>
      <c r="G699" t="s">
        <v>10486</v>
      </c>
      <c r="H699" t="s">
        <v>8019</v>
      </c>
      <c r="I699">
        <f>_xlfn.LET(_xlpm.id,TRIM($A699),IF(_xlpm.id="","",SUM(COUNTIF('1. OP'!$M:$M,_xlpm.id),COUNTIF('2. JSEL'!$M:$M,_xlpm.id),COUNTIF('3. PSM'!$M:$M,_xlpm.id),COUNTIF('4. SSP'!$M:$M,_xlpm.id),COUNTIF('5. JSACI'!$M:$M,_xlpm.id),COUNTIF('6. AIN'!$M:$M,_xlpm.id),COUNTIF('7. MS'!$M:$M,_xlpm.id),COUNTIF('8. DS'!$M:$M,_xlpm.id),COUNTIF('9. RMF'!$M:$M,_xlpm.id),COUNTIF('10. PCU'!$M:$M,_xlpm.id))))</f>
        <v>0</v>
      </c>
    </row>
    <row r="700" spans="1:9">
      <c r="A700" t="s">
        <v>8707</v>
      </c>
      <c r="B700" t="s">
        <v>4523</v>
      </c>
      <c r="C700">
        <v>1826</v>
      </c>
      <c r="D700">
        <v>1</v>
      </c>
      <c r="E700" s="23">
        <v>9</v>
      </c>
      <c r="F700" t="s">
        <v>8265</v>
      </c>
      <c r="G700" t="s">
        <v>10486</v>
      </c>
      <c r="H700" t="s">
        <v>8019</v>
      </c>
      <c r="I700">
        <f>_xlfn.LET(_xlpm.id,TRIM($A700),IF(_xlpm.id="","",SUM(COUNTIF('1. OP'!$M:$M,_xlpm.id),COUNTIF('2. JSEL'!$M:$M,_xlpm.id),COUNTIF('3. PSM'!$M:$M,_xlpm.id),COUNTIF('4. SSP'!$M:$M,_xlpm.id),COUNTIF('5. JSACI'!$M:$M,_xlpm.id),COUNTIF('6. AIN'!$M:$M,_xlpm.id),COUNTIF('7. MS'!$M:$M,_xlpm.id),COUNTIF('8. DS'!$M:$M,_xlpm.id),COUNTIF('9. RMF'!$M:$M,_xlpm.id),COUNTIF('10. PCU'!$M:$M,_xlpm.id))))</f>
        <v>0</v>
      </c>
    </row>
    <row r="701" spans="1:9">
      <c r="A701" t="s">
        <v>7414</v>
      </c>
      <c r="B701" t="s">
        <v>4523</v>
      </c>
      <c r="C701">
        <v>1826</v>
      </c>
      <c r="D701">
        <v>1</v>
      </c>
      <c r="E701" s="23">
        <v>10</v>
      </c>
      <c r="F701" t="s">
        <v>8265</v>
      </c>
      <c r="G701" t="s">
        <v>10486</v>
      </c>
      <c r="H701" t="s">
        <v>8019</v>
      </c>
      <c r="I701">
        <f>_xlfn.LET(_xlpm.id,TRIM($A701),IF(_xlpm.id="","",SUM(COUNTIF('1. OP'!$M:$M,_xlpm.id),COUNTIF('2. JSEL'!$M:$M,_xlpm.id),COUNTIF('3. PSM'!$M:$M,_xlpm.id),COUNTIF('4. SSP'!$M:$M,_xlpm.id),COUNTIF('5. JSACI'!$M:$M,_xlpm.id),COUNTIF('6. AIN'!$M:$M,_xlpm.id),COUNTIF('7. MS'!$M:$M,_xlpm.id),COUNTIF('8. DS'!$M:$M,_xlpm.id),COUNTIF('9. RMF'!$M:$M,_xlpm.id),COUNTIF('10. PCU'!$M:$M,_xlpm.id))))</f>
        <v>2</v>
      </c>
    </row>
    <row r="702" spans="1:9">
      <c r="A702" t="s">
        <v>8708</v>
      </c>
      <c r="B702" t="s">
        <v>4523</v>
      </c>
      <c r="C702">
        <v>1827</v>
      </c>
      <c r="D702">
        <v>1</v>
      </c>
      <c r="E702" s="23">
        <v>11</v>
      </c>
      <c r="F702" t="s">
        <v>8265</v>
      </c>
      <c r="G702" t="s">
        <v>10486</v>
      </c>
      <c r="H702" t="s">
        <v>8019</v>
      </c>
      <c r="I702">
        <f>_xlfn.LET(_xlpm.id,TRIM($A702),IF(_xlpm.id="","",SUM(COUNTIF('1. OP'!$M:$M,_xlpm.id),COUNTIF('2. JSEL'!$M:$M,_xlpm.id),COUNTIF('3. PSM'!$M:$M,_xlpm.id),COUNTIF('4. SSP'!$M:$M,_xlpm.id),COUNTIF('5. JSACI'!$M:$M,_xlpm.id),COUNTIF('6. AIN'!$M:$M,_xlpm.id),COUNTIF('7. MS'!$M:$M,_xlpm.id),COUNTIF('8. DS'!$M:$M,_xlpm.id),COUNTIF('9. RMF'!$M:$M,_xlpm.id),COUNTIF('10. PCU'!$M:$M,_xlpm.id))))</f>
        <v>0</v>
      </c>
    </row>
    <row r="703" spans="1:9">
      <c r="A703" t="s">
        <v>8709</v>
      </c>
      <c r="B703" t="s">
        <v>4523</v>
      </c>
      <c r="C703">
        <v>1827</v>
      </c>
      <c r="D703">
        <v>1</v>
      </c>
      <c r="E703" s="23">
        <v>12</v>
      </c>
      <c r="F703" t="s">
        <v>8265</v>
      </c>
      <c r="G703" t="s">
        <v>10486</v>
      </c>
      <c r="H703" t="s">
        <v>8019</v>
      </c>
      <c r="I703">
        <f>_xlfn.LET(_xlpm.id,TRIM($A703),IF(_xlpm.id="","",SUM(COUNTIF('1. OP'!$M:$M,_xlpm.id),COUNTIF('2. JSEL'!$M:$M,_xlpm.id),COUNTIF('3. PSM'!$M:$M,_xlpm.id),COUNTIF('4. SSP'!$M:$M,_xlpm.id),COUNTIF('5. JSACI'!$M:$M,_xlpm.id),COUNTIF('6. AIN'!$M:$M,_xlpm.id),COUNTIF('7. MS'!$M:$M,_xlpm.id),COUNTIF('8. DS'!$M:$M,_xlpm.id),COUNTIF('9. RMF'!$M:$M,_xlpm.id),COUNTIF('10. PCU'!$M:$M,_xlpm.id))))</f>
        <v>0</v>
      </c>
    </row>
    <row r="704" spans="1:9">
      <c r="A704" t="s">
        <v>8710</v>
      </c>
      <c r="B704" t="s">
        <v>4523</v>
      </c>
      <c r="C704">
        <v>1828</v>
      </c>
      <c r="D704">
        <v>1</v>
      </c>
      <c r="E704" s="23">
        <v>1</v>
      </c>
      <c r="F704" t="s">
        <v>8265</v>
      </c>
      <c r="G704" t="s">
        <v>10486</v>
      </c>
      <c r="H704" t="s">
        <v>8019</v>
      </c>
      <c r="I704">
        <f>_xlfn.LET(_xlpm.id,TRIM($A704),IF(_xlpm.id="","",SUM(COUNTIF('1. OP'!$M:$M,_xlpm.id),COUNTIF('2. JSEL'!$M:$M,_xlpm.id),COUNTIF('3. PSM'!$M:$M,_xlpm.id),COUNTIF('4. SSP'!$M:$M,_xlpm.id),COUNTIF('5. JSACI'!$M:$M,_xlpm.id),COUNTIF('6. AIN'!$M:$M,_xlpm.id),COUNTIF('7. MS'!$M:$M,_xlpm.id),COUNTIF('8. DS'!$M:$M,_xlpm.id),COUNTIF('9. RMF'!$M:$M,_xlpm.id),COUNTIF('10. PCU'!$M:$M,_xlpm.id))))</f>
        <v>0</v>
      </c>
    </row>
    <row r="705" spans="1:9">
      <c r="A705" t="s">
        <v>8711</v>
      </c>
      <c r="B705" t="s">
        <v>4523</v>
      </c>
      <c r="C705">
        <v>1828</v>
      </c>
      <c r="D705">
        <v>1</v>
      </c>
      <c r="E705" s="23">
        <v>2</v>
      </c>
      <c r="F705" t="s">
        <v>8265</v>
      </c>
      <c r="G705" t="s">
        <v>10486</v>
      </c>
      <c r="H705" t="s">
        <v>8019</v>
      </c>
      <c r="I705">
        <f>_xlfn.LET(_xlpm.id,TRIM($A705),IF(_xlpm.id="","",SUM(COUNTIF('1. OP'!$M:$M,_xlpm.id),COUNTIF('2. JSEL'!$M:$M,_xlpm.id),COUNTIF('3. PSM'!$M:$M,_xlpm.id),COUNTIF('4. SSP'!$M:$M,_xlpm.id),COUNTIF('5. JSACI'!$M:$M,_xlpm.id),COUNTIF('6. AIN'!$M:$M,_xlpm.id),COUNTIF('7. MS'!$M:$M,_xlpm.id),COUNTIF('8. DS'!$M:$M,_xlpm.id),COUNTIF('9. RMF'!$M:$M,_xlpm.id),COUNTIF('10. PCU'!$M:$M,_xlpm.id))))</f>
        <v>0</v>
      </c>
    </row>
    <row r="706" spans="1:9">
      <c r="A706" t="s">
        <v>8712</v>
      </c>
      <c r="B706" t="s">
        <v>4523</v>
      </c>
      <c r="C706">
        <v>1829</v>
      </c>
      <c r="D706">
        <v>1</v>
      </c>
      <c r="E706" s="23">
        <v>1</v>
      </c>
      <c r="F706" t="s">
        <v>8265</v>
      </c>
      <c r="G706" t="s">
        <v>10486</v>
      </c>
      <c r="H706" t="s">
        <v>8019</v>
      </c>
      <c r="I706">
        <f>_xlfn.LET(_xlpm.id,TRIM($A706),IF(_xlpm.id="","",SUM(COUNTIF('1. OP'!$M:$M,_xlpm.id),COUNTIF('2. JSEL'!$M:$M,_xlpm.id),COUNTIF('3. PSM'!$M:$M,_xlpm.id),COUNTIF('4. SSP'!$M:$M,_xlpm.id),COUNTIF('5. JSACI'!$M:$M,_xlpm.id),COUNTIF('6. AIN'!$M:$M,_xlpm.id),COUNTIF('7. MS'!$M:$M,_xlpm.id),COUNTIF('8. DS'!$M:$M,_xlpm.id),COUNTIF('9. RMF'!$M:$M,_xlpm.id),COUNTIF('10. PCU'!$M:$M,_xlpm.id))))</f>
        <v>0</v>
      </c>
    </row>
    <row r="707" spans="1:9">
      <c r="A707" t="s">
        <v>8713</v>
      </c>
      <c r="B707" t="s">
        <v>4523</v>
      </c>
      <c r="C707">
        <v>1829</v>
      </c>
      <c r="D707">
        <v>1</v>
      </c>
      <c r="E707" s="23">
        <v>2</v>
      </c>
      <c r="F707" t="s">
        <v>8265</v>
      </c>
      <c r="G707" t="s">
        <v>10486</v>
      </c>
      <c r="H707" t="s">
        <v>8019</v>
      </c>
      <c r="I707">
        <f>_xlfn.LET(_xlpm.id,TRIM($A707),IF(_xlpm.id="","",SUM(COUNTIF('1. OP'!$M:$M,_xlpm.id),COUNTIF('2. JSEL'!$M:$M,_xlpm.id),COUNTIF('3. PSM'!$M:$M,_xlpm.id),COUNTIF('4. SSP'!$M:$M,_xlpm.id),COUNTIF('5. JSACI'!$M:$M,_xlpm.id),COUNTIF('6. AIN'!$M:$M,_xlpm.id),COUNTIF('7. MS'!$M:$M,_xlpm.id),COUNTIF('8. DS'!$M:$M,_xlpm.id),COUNTIF('9. RMF'!$M:$M,_xlpm.id),COUNTIF('10. PCU'!$M:$M,_xlpm.id))))</f>
        <v>0</v>
      </c>
    </row>
    <row r="708" spans="1:9">
      <c r="A708" t="s">
        <v>8714</v>
      </c>
      <c r="B708" t="s">
        <v>4523</v>
      </c>
      <c r="C708">
        <v>1830</v>
      </c>
      <c r="D708">
        <v>1</v>
      </c>
      <c r="E708" s="23">
        <v>1</v>
      </c>
      <c r="F708" t="s">
        <v>8265</v>
      </c>
      <c r="G708" t="s">
        <v>10486</v>
      </c>
      <c r="H708" t="s">
        <v>8019</v>
      </c>
      <c r="I708">
        <f>_xlfn.LET(_xlpm.id,TRIM($A708),IF(_xlpm.id="","",SUM(COUNTIF('1. OP'!$M:$M,_xlpm.id),COUNTIF('2. JSEL'!$M:$M,_xlpm.id),COUNTIF('3. PSM'!$M:$M,_xlpm.id),COUNTIF('4. SSP'!$M:$M,_xlpm.id),COUNTIF('5. JSACI'!$M:$M,_xlpm.id),COUNTIF('6. AIN'!$M:$M,_xlpm.id),COUNTIF('7. MS'!$M:$M,_xlpm.id),COUNTIF('8. DS'!$M:$M,_xlpm.id),COUNTIF('9. RMF'!$M:$M,_xlpm.id),COUNTIF('10. PCU'!$M:$M,_xlpm.id))))</f>
        <v>0</v>
      </c>
    </row>
    <row r="709" spans="1:9">
      <c r="A709" t="s">
        <v>8715</v>
      </c>
      <c r="B709" t="s">
        <v>4523</v>
      </c>
      <c r="C709">
        <v>1830</v>
      </c>
      <c r="D709">
        <v>1</v>
      </c>
      <c r="E709" s="23">
        <v>2</v>
      </c>
      <c r="F709" t="s">
        <v>8265</v>
      </c>
      <c r="G709" t="s">
        <v>10486</v>
      </c>
      <c r="H709" t="s">
        <v>8019</v>
      </c>
      <c r="I709">
        <f>_xlfn.LET(_xlpm.id,TRIM($A709),IF(_xlpm.id="","",SUM(COUNTIF('1. OP'!$M:$M,_xlpm.id),COUNTIF('2. JSEL'!$M:$M,_xlpm.id),COUNTIF('3. PSM'!$M:$M,_xlpm.id),COUNTIF('4. SSP'!$M:$M,_xlpm.id),COUNTIF('5. JSACI'!$M:$M,_xlpm.id),COUNTIF('6. AIN'!$M:$M,_xlpm.id),COUNTIF('7. MS'!$M:$M,_xlpm.id),COUNTIF('8. DS'!$M:$M,_xlpm.id),COUNTIF('9. RMF'!$M:$M,_xlpm.id),COUNTIF('10. PCU'!$M:$M,_xlpm.id))))</f>
        <v>0</v>
      </c>
    </row>
    <row r="710" spans="1:9">
      <c r="A710" t="s">
        <v>8716</v>
      </c>
      <c r="B710" t="s">
        <v>4523</v>
      </c>
      <c r="C710">
        <v>1831</v>
      </c>
      <c r="D710">
        <v>1</v>
      </c>
      <c r="E710" s="23">
        <v>1</v>
      </c>
      <c r="F710" t="s">
        <v>8265</v>
      </c>
      <c r="G710" t="s">
        <v>10486</v>
      </c>
      <c r="H710" t="s">
        <v>8019</v>
      </c>
      <c r="I710">
        <f>_xlfn.LET(_xlpm.id,TRIM($A710),IF(_xlpm.id="","",SUM(COUNTIF('1. OP'!$M:$M,_xlpm.id),COUNTIF('2. JSEL'!$M:$M,_xlpm.id),COUNTIF('3. PSM'!$M:$M,_xlpm.id),COUNTIF('4. SSP'!$M:$M,_xlpm.id),COUNTIF('5. JSACI'!$M:$M,_xlpm.id),COUNTIF('6. AIN'!$M:$M,_xlpm.id),COUNTIF('7. MS'!$M:$M,_xlpm.id),COUNTIF('8. DS'!$M:$M,_xlpm.id),COUNTIF('9. RMF'!$M:$M,_xlpm.id),COUNTIF('10. PCU'!$M:$M,_xlpm.id))))</f>
        <v>0</v>
      </c>
    </row>
    <row r="711" spans="1:9">
      <c r="A711" t="s">
        <v>8717</v>
      </c>
      <c r="B711" t="s">
        <v>4523</v>
      </c>
      <c r="C711">
        <v>1831</v>
      </c>
      <c r="D711">
        <v>1</v>
      </c>
      <c r="E711" s="23">
        <v>2</v>
      </c>
      <c r="F711" t="s">
        <v>8265</v>
      </c>
      <c r="G711" t="s">
        <v>10486</v>
      </c>
      <c r="H711" t="s">
        <v>8019</v>
      </c>
      <c r="I711">
        <f>_xlfn.LET(_xlpm.id,TRIM($A711),IF(_xlpm.id="","",SUM(COUNTIF('1. OP'!$M:$M,_xlpm.id),COUNTIF('2. JSEL'!$M:$M,_xlpm.id),COUNTIF('3. PSM'!$M:$M,_xlpm.id),COUNTIF('4. SSP'!$M:$M,_xlpm.id),COUNTIF('5. JSACI'!$M:$M,_xlpm.id),COUNTIF('6. AIN'!$M:$M,_xlpm.id),COUNTIF('7. MS'!$M:$M,_xlpm.id),COUNTIF('8. DS'!$M:$M,_xlpm.id),COUNTIF('9. RMF'!$M:$M,_xlpm.id),COUNTIF('10. PCU'!$M:$M,_xlpm.id))))</f>
        <v>0</v>
      </c>
    </row>
    <row r="712" spans="1:9">
      <c r="A712" t="s">
        <v>8718</v>
      </c>
      <c r="B712" t="s">
        <v>4523</v>
      </c>
      <c r="C712">
        <v>1832</v>
      </c>
      <c r="D712">
        <v>1</v>
      </c>
      <c r="E712" s="23">
        <v>1</v>
      </c>
      <c r="F712" t="s">
        <v>8265</v>
      </c>
      <c r="G712" t="s">
        <v>10486</v>
      </c>
      <c r="H712" t="s">
        <v>8019</v>
      </c>
      <c r="I712">
        <f>_xlfn.LET(_xlpm.id,TRIM($A712),IF(_xlpm.id="","",SUM(COUNTIF('1. OP'!$M:$M,_xlpm.id),COUNTIF('2. JSEL'!$M:$M,_xlpm.id),COUNTIF('3. PSM'!$M:$M,_xlpm.id),COUNTIF('4. SSP'!$M:$M,_xlpm.id),COUNTIF('5. JSACI'!$M:$M,_xlpm.id),COUNTIF('6. AIN'!$M:$M,_xlpm.id),COUNTIF('7. MS'!$M:$M,_xlpm.id),COUNTIF('8. DS'!$M:$M,_xlpm.id),COUNTIF('9. RMF'!$M:$M,_xlpm.id),COUNTIF('10. PCU'!$M:$M,_xlpm.id))))</f>
        <v>0</v>
      </c>
    </row>
    <row r="713" spans="1:9">
      <c r="A713" t="s">
        <v>8719</v>
      </c>
      <c r="B713" t="s">
        <v>4523</v>
      </c>
      <c r="C713">
        <v>1832</v>
      </c>
      <c r="D713">
        <v>1</v>
      </c>
      <c r="E713" s="23">
        <v>2</v>
      </c>
      <c r="F713" t="s">
        <v>8265</v>
      </c>
      <c r="G713" t="s">
        <v>10486</v>
      </c>
      <c r="H713" t="s">
        <v>8019</v>
      </c>
      <c r="I713">
        <f>_xlfn.LET(_xlpm.id,TRIM($A713),IF(_xlpm.id="","",SUM(COUNTIF('1. OP'!$M:$M,_xlpm.id),COUNTIF('2. JSEL'!$M:$M,_xlpm.id),COUNTIF('3. PSM'!$M:$M,_xlpm.id),COUNTIF('4. SSP'!$M:$M,_xlpm.id),COUNTIF('5. JSACI'!$M:$M,_xlpm.id),COUNTIF('6. AIN'!$M:$M,_xlpm.id),COUNTIF('7. MS'!$M:$M,_xlpm.id),COUNTIF('8. DS'!$M:$M,_xlpm.id),COUNTIF('9. RMF'!$M:$M,_xlpm.id),COUNTIF('10. PCU'!$M:$M,_xlpm.id))))</f>
        <v>0</v>
      </c>
    </row>
    <row r="714" spans="1:9">
      <c r="A714" t="s">
        <v>8720</v>
      </c>
      <c r="B714" t="s">
        <v>4523</v>
      </c>
      <c r="C714">
        <v>1833</v>
      </c>
      <c r="D714">
        <v>1</v>
      </c>
      <c r="E714" s="23">
        <v>1</v>
      </c>
      <c r="F714" t="s">
        <v>8265</v>
      </c>
      <c r="G714" t="s">
        <v>10486</v>
      </c>
      <c r="H714" t="s">
        <v>8019</v>
      </c>
      <c r="I714">
        <f>_xlfn.LET(_xlpm.id,TRIM($A714),IF(_xlpm.id="","",SUM(COUNTIF('1. OP'!$M:$M,_xlpm.id),COUNTIF('2. JSEL'!$M:$M,_xlpm.id),COUNTIF('3. PSM'!$M:$M,_xlpm.id),COUNTIF('4. SSP'!$M:$M,_xlpm.id),COUNTIF('5. JSACI'!$M:$M,_xlpm.id),COUNTIF('6. AIN'!$M:$M,_xlpm.id),COUNTIF('7. MS'!$M:$M,_xlpm.id),COUNTIF('8. DS'!$M:$M,_xlpm.id),COUNTIF('9. RMF'!$M:$M,_xlpm.id),COUNTIF('10. PCU'!$M:$M,_xlpm.id))))</f>
        <v>0</v>
      </c>
    </row>
    <row r="715" spans="1:9">
      <c r="A715" t="s">
        <v>8721</v>
      </c>
      <c r="B715" t="s">
        <v>4523</v>
      </c>
      <c r="C715">
        <v>1833</v>
      </c>
      <c r="D715">
        <v>1</v>
      </c>
      <c r="E715" s="23">
        <v>2</v>
      </c>
      <c r="F715" t="s">
        <v>8265</v>
      </c>
      <c r="G715" t="s">
        <v>10486</v>
      </c>
      <c r="H715" t="s">
        <v>8019</v>
      </c>
      <c r="I715">
        <f>_xlfn.LET(_xlpm.id,TRIM($A715),IF(_xlpm.id="","",SUM(COUNTIF('1. OP'!$M:$M,_xlpm.id),COUNTIF('2. JSEL'!$M:$M,_xlpm.id),COUNTIF('3. PSM'!$M:$M,_xlpm.id),COUNTIF('4. SSP'!$M:$M,_xlpm.id),COUNTIF('5. JSACI'!$M:$M,_xlpm.id),COUNTIF('6. AIN'!$M:$M,_xlpm.id),COUNTIF('7. MS'!$M:$M,_xlpm.id),COUNTIF('8. DS'!$M:$M,_xlpm.id),COUNTIF('9. RMF'!$M:$M,_xlpm.id),COUNTIF('10. PCU'!$M:$M,_xlpm.id))))</f>
        <v>0</v>
      </c>
    </row>
    <row r="716" spans="1:9">
      <c r="A716" t="s">
        <v>8722</v>
      </c>
      <c r="B716" t="s">
        <v>4523</v>
      </c>
      <c r="C716">
        <v>1834</v>
      </c>
      <c r="D716">
        <v>1</v>
      </c>
      <c r="E716" s="23">
        <v>1</v>
      </c>
      <c r="F716" t="s">
        <v>8265</v>
      </c>
      <c r="G716" t="s">
        <v>10486</v>
      </c>
      <c r="H716" t="s">
        <v>8019</v>
      </c>
      <c r="I716">
        <f>_xlfn.LET(_xlpm.id,TRIM($A716),IF(_xlpm.id="","",SUM(COUNTIF('1. OP'!$M:$M,_xlpm.id),COUNTIF('2. JSEL'!$M:$M,_xlpm.id),COUNTIF('3. PSM'!$M:$M,_xlpm.id),COUNTIF('4. SSP'!$M:$M,_xlpm.id),COUNTIF('5. JSACI'!$M:$M,_xlpm.id),COUNTIF('6. AIN'!$M:$M,_xlpm.id),COUNTIF('7. MS'!$M:$M,_xlpm.id),COUNTIF('8. DS'!$M:$M,_xlpm.id),COUNTIF('9. RMF'!$M:$M,_xlpm.id),COUNTIF('10. PCU'!$M:$M,_xlpm.id))))</f>
        <v>0</v>
      </c>
    </row>
    <row r="717" spans="1:9">
      <c r="A717" t="s">
        <v>8723</v>
      </c>
      <c r="B717" t="s">
        <v>4523</v>
      </c>
      <c r="C717">
        <v>1834</v>
      </c>
      <c r="D717">
        <v>1</v>
      </c>
      <c r="E717" s="23">
        <v>2</v>
      </c>
      <c r="F717" t="s">
        <v>8265</v>
      </c>
      <c r="G717" t="s">
        <v>10486</v>
      </c>
      <c r="H717" t="s">
        <v>8019</v>
      </c>
      <c r="I717">
        <f>_xlfn.LET(_xlpm.id,TRIM($A717),IF(_xlpm.id="","",SUM(COUNTIF('1. OP'!$M:$M,_xlpm.id),COUNTIF('2. JSEL'!$M:$M,_xlpm.id),COUNTIF('3. PSM'!$M:$M,_xlpm.id),COUNTIF('4. SSP'!$M:$M,_xlpm.id),COUNTIF('5. JSACI'!$M:$M,_xlpm.id),COUNTIF('6. AIN'!$M:$M,_xlpm.id),COUNTIF('7. MS'!$M:$M,_xlpm.id),COUNTIF('8. DS'!$M:$M,_xlpm.id),COUNTIF('9. RMF'!$M:$M,_xlpm.id),COUNTIF('10. PCU'!$M:$M,_xlpm.id))))</f>
        <v>0</v>
      </c>
    </row>
    <row r="718" spans="1:9">
      <c r="A718" t="s">
        <v>8724</v>
      </c>
      <c r="B718" t="s">
        <v>4523</v>
      </c>
      <c r="C718">
        <v>1835</v>
      </c>
      <c r="D718">
        <v>1</v>
      </c>
      <c r="E718" s="23">
        <v>1</v>
      </c>
      <c r="F718" t="s">
        <v>8265</v>
      </c>
      <c r="G718" t="s">
        <v>10486</v>
      </c>
      <c r="H718" t="s">
        <v>8019</v>
      </c>
      <c r="I718">
        <f>_xlfn.LET(_xlpm.id,TRIM($A718),IF(_xlpm.id="","",SUM(COUNTIF('1. OP'!$M:$M,_xlpm.id),COUNTIF('2. JSEL'!$M:$M,_xlpm.id),COUNTIF('3. PSM'!$M:$M,_xlpm.id),COUNTIF('4. SSP'!$M:$M,_xlpm.id),COUNTIF('5. JSACI'!$M:$M,_xlpm.id),COUNTIF('6. AIN'!$M:$M,_xlpm.id),COUNTIF('7. MS'!$M:$M,_xlpm.id),COUNTIF('8. DS'!$M:$M,_xlpm.id),COUNTIF('9. RMF'!$M:$M,_xlpm.id),COUNTIF('10. PCU'!$M:$M,_xlpm.id))))</f>
        <v>0</v>
      </c>
    </row>
    <row r="719" spans="1:9">
      <c r="A719" t="s">
        <v>7719</v>
      </c>
      <c r="B719" t="s">
        <v>4523</v>
      </c>
      <c r="C719">
        <v>1835</v>
      </c>
      <c r="D719">
        <v>1</v>
      </c>
      <c r="E719" s="23">
        <v>2</v>
      </c>
      <c r="F719" t="s">
        <v>8265</v>
      </c>
      <c r="G719" t="s">
        <v>10486</v>
      </c>
      <c r="H719" t="s">
        <v>8019</v>
      </c>
      <c r="I719">
        <f>_xlfn.LET(_xlpm.id,TRIM($A719),IF(_xlpm.id="","",SUM(COUNTIF('1. OP'!$M:$M,_xlpm.id),COUNTIF('2. JSEL'!$M:$M,_xlpm.id),COUNTIF('3. PSM'!$M:$M,_xlpm.id),COUNTIF('4. SSP'!$M:$M,_xlpm.id),COUNTIF('5. JSACI'!$M:$M,_xlpm.id),COUNTIF('6. AIN'!$M:$M,_xlpm.id),COUNTIF('7. MS'!$M:$M,_xlpm.id),COUNTIF('8. DS'!$M:$M,_xlpm.id),COUNTIF('9. RMF'!$M:$M,_xlpm.id),COUNTIF('10. PCU'!$M:$M,_xlpm.id))))</f>
        <v>1</v>
      </c>
    </row>
    <row r="720" spans="1:9">
      <c r="A720" t="s">
        <v>8725</v>
      </c>
      <c r="B720" t="s">
        <v>4523</v>
      </c>
      <c r="C720">
        <v>1836</v>
      </c>
      <c r="D720">
        <v>1</v>
      </c>
      <c r="E720" s="23">
        <v>1</v>
      </c>
      <c r="F720" t="s">
        <v>8265</v>
      </c>
      <c r="G720" t="s">
        <v>10486</v>
      </c>
      <c r="H720" t="s">
        <v>8019</v>
      </c>
      <c r="I720">
        <f>_xlfn.LET(_xlpm.id,TRIM($A720),IF(_xlpm.id="","",SUM(COUNTIF('1. OP'!$M:$M,_xlpm.id),COUNTIF('2. JSEL'!$M:$M,_xlpm.id),COUNTIF('3. PSM'!$M:$M,_xlpm.id),COUNTIF('4. SSP'!$M:$M,_xlpm.id),COUNTIF('5. JSACI'!$M:$M,_xlpm.id),COUNTIF('6. AIN'!$M:$M,_xlpm.id),COUNTIF('7. MS'!$M:$M,_xlpm.id),COUNTIF('8. DS'!$M:$M,_xlpm.id),COUNTIF('9. RMF'!$M:$M,_xlpm.id),COUNTIF('10. PCU'!$M:$M,_xlpm.id))))</f>
        <v>0</v>
      </c>
    </row>
    <row r="721" spans="1:9">
      <c r="A721" t="s">
        <v>8726</v>
      </c>
      <c r="B721" t="s">
        <v>4523</v>
      </c>
      <c r="C721">
        <v>1836</v>
      </c>
      <c r="D721">
        <v>1</v>
      </c>
      <c r="E721" s="23">
        <v>2</v>
      </c>
      <c r="F721" t="s">
        <v>8265</v>
      </c>
      <c r="G721" t="s">
        <v>10486</v>
      </c>
      <c r="H721" t="s">
        <v>8019</v>
      </c>
      <c r="I721">
        <f>_xlfn.LET(_xlpm.id,TRIM($A721),IF(_xlpm.id="","",SUM(COUNTIF('1. OP'!$M:$M,_xlpm.id),COUNTIF('2. JSEL'!$M:$M,_xlpm.id),COUNTIF('3. PSM'!$M:$M,_xlpm.id),COUNTIF('4. SSP'!$M:$M,_xlpm.id),COUNTIF('5. JSACI'!$M:$M,_xlpm.id),COUNTIF('6. AIN'!$M:$M,_xlpm.id),COUNTIF('7. MS'!$M:$M,_xlpm.id),COUNTIF('8. DS'!$M:$M,_xlpm.id),COUNTIF('9. RMF'!$M:$M,_xlpm.id),COUNTIF('10. PCU'!$M:$M,_xlpm.id))))</f>
        <v>0</v>
      </c>
    </row>
    <row r="722" spans="1:9">
      <c r="A722" t="s">
        <v>8727</v>
      </c>
      <c r="B722" t="s">
        <v>4523</v>
      </c>
      <c r="C722">
        <v>1837</v>
      </c>
      <c r="D722">
        <v>1</v>
      </c>
      <c r="E722" s="23">
        <v>1</v>
      </c>
      <c r="F722" t="s">
        <v>8265</v>
      </c>
      <c r="G722" t="s">
        <v>10486</v>
      </c>
      <c r="H722" t="s">
        <v>8019</v>
      </c>
      <c r="I722">
        <f>_xlfn.LET(_xlpm.id,TRIM($A722),IF(_xlpm.id="","",SUM(COUNTIF('1. OP'!$M:$M,_xlpm.id),COUNTIF('2. JSEL'!$M:$M,_xlpm.id),COUNTIF('3. PSM'!$M:$M,_xlpm.id),COUNTIF('4. SSP'!$M:$M,_xlpm.id),COUNTIF('5. JSACI'!$M:$M,_xlpm.id),COUNTIF('6. AIN'!$M:$M,_xlpm.id),COUNTIF('7. MS'!$M:$M,_xlpm.id),COUNTIF('8. DS'!$M:$M,_xlpm.id),COUNTIF('9. RMF'!$M:$M,_xlpm.id),COUNTIF('10. PCU'!$M:$M,_xlpm.id))))</f>
        <v>0</v>
      </c>
    </row>
    <row r="723" spans="1:9">
      <c r="A723" t="s">
        <v>8728</v>
      </c>
      <c r="B723" t="s">
        <v>4523</v>
      </c>
      <c r="C723">
        <v>1837</v>
      </c>
      <c r="D723">
        <v>1</v>
      </c>
      <c r="E723" s="23">
        <v>2</v>
      </c>
      <c r="F723" t="s">
        <v>8265</v>
      </c>
      <c r="G723" t="s">
        <v>10486</v>
      </c>
      <c r="H723" t="s">
        <v>8019</v>
      </c>
      <c r="I723">
        <f>_xlfn.LET(_xlpm.id,TRIM($A723),IF(_xlpm.id="","",SUM(COUNTIF('1. OP'!$M:$M,_xlpm.id),COUNTIF('2. JSEL'!$M:$M,_xlpm.id),COUNTIF('3. PSM'!$M:$M,_xlpm.id),COUNTIF('4. SSP'!$M:$M,_xlpm.id),COUNTIF('5. JSACI'!$M:$M,_xlpm.id),COUNTIF('6. AIN'!$M:$M,_xlpm.id),COUNTIF('7. MS'!$M:$M,_xlpm.id),COUNTIF('8. DS'!$M:$M,_xlpm.id),COUNTIF('9. RMF'!$M:$M,_xlpm.id),COUNTIF('10. PCU'!$M:$M,_xlpm.id))))</f>
        <v>0</v>
      </c>
    </row>
    <row r="724" spans="1:9">
      <c r="A724" t="s">
        <v>8729</v>
      </c>
      <c r="B724" t="s">
        <v>4523</v>
      </c>
      <c r="C724">
        <v>1838</v>
      </c>
      <c r="D724">
        <v>1</v>
      </c>
      <c r="E724" s="23">
        <v>1</v>
      </c>
      <c r="F724" t="s">
        <v>8265</v>
      </c>
      <c r="G724" t="s">
        <v>10486</v>
      </c>
      <c r="H724" t="s">
        <v>8019</v>
      </c>
      <c r="I724">
        <f>_xlfn.LET(_xlpm.id,TRIM($A724),IF(_xlpm.id="","",SUM(COUNTIF('1. OP'!$M:$M,_xlpm.id),COUNTIF('2. JSEL'!$M:$M,_xlpm.id),COUNTIF('3. PSM'!$M:$M,_xlpm.id),COUNTIF('4. SSP'!$M:$M,_xlpm.id),COUNTIF('5. JSACI'!$M:$M,_xlpm.id),COUNTIF('6. AIN'!$M:$M,_xlpm.id),COUNTIF('7. MS'!$M:$M,_xlpm.id),COUNTIF('8. DS'!$M:$M,_xlpm.id),COUNTIF('9. RMF'!$M:$M,_xlpm.id),COUNTIF('10. PCU'!$M:$M,_xlpm.id))))</f>
        <v>0</v>
      </c>
    </row>
    <row r="725" spans="1:9">
      <c r="A725" t="s">
        <v>8730</v>
      </c>
      <c r="B725" t="s">
        <v>4523</v>
      </c>
      <c r="C725">
        <v>1838</v>
      </c>
      <c r="D725">
        <v>1</v>
      </c>
      <c r="E725" s="23">
        <v>2</v>
      </c>
      <c r="F725" t="s">
        <v>8265</v>
      </c>
      <c r="G725" t="s">
        <v>10486</v>
      </c>
      <c r="H725" t="s">
        <v>8019</v>
      </c>
      <c r="I725">
        <f>_xlfn.LET(_xlpm.id,TRIM($A725),IF(_xlpm.id="","",SUM(COUNTIF('1. OP'!$M:$M,_xlpm.id),COUNTIF('2. JSEL'!$M:$M,_xlpm.id),COUNTIF('3. PSM'!$M:$M,_xlpm.id),COUNTIF('4. SSP'!$M:$M,_xlpm.id),COUNTIF('5. JSACI'!$M:$M,_xlpm.id),COUNTIF('6. AIN'!$M:$M,_xlpm.id),COUNTIF('7. MS'!$M:$M,_xlpm.id),COUNTIF('8. DS'!$M:$M,_xlpm.id),COUNTIF('9. RMF'!$M:$M,_xlpm.id),COUNTIF('10. PCU'!$M:$M,_xlpm.id))))</f>
        <v>0</v>
      </c>
    </row>
    <row r="726" spans="1:9">
      <c r="A726" t="s">
        <v>8731</v>
      </c>
      <c r="B726" t="s">
        <v>4523</v>
      </c>
      <c r="C726">
        <v>1839</v>
      </c>
      <c r="D726">
        <v>1</v>
      </c>
      <c r="E726" s="23">
        <v>1</v>
      </c>
      <c r="F726" t="s">
        <v>8265</v>
      </c>
      <c r="G726" t="s">
        <v>10486</v>
      </c>
      <c r="H726" t="s">
        <v>8019</v>
      </c>
      <c r="I726">
        <f>_xlfn.LET(_xlpm.id,TRIM($A726),IF(_xlpm.id="","",SUM(COUNTIF('1. OP'!$M:$M,_xlpm.id),COUNTIF('2. JSEL'!$M:$M,_xlpm.id),COUNTIF('3. PSM'!$M:$M,_xlpm.id),COUNTIF('4. SSP'!$M:$M,_xlpm.id),COUNTIF('5. JSACI'!$M:$M,_xlpm.id),COUNTIF('6. AIN'!$M:$M,_xlpm.id),COUNTIF('7. MS'!$M:$M,_xlpm.id),COUNTIF('8. DS'!$M:$M,_xlpm.id),COUNTIF('9. RMF'!$M:$M,_xlpm.id),COUNTIF('10. PCU'!$M:$M,_xlpm.id))))</f>
        <v>0</v>
      </c>
    </row>
    <row r="727" spans="1:9">
      <c r="A727" t="s">
        <v>8732</v>
      </c>
      <c r="B727" t="s">
        <v>4523</v>
      </c>
      <c r="C727">
        <v>1839</v>
      </c>
      <c r="D727">
        <v>1</v>
      </c>
      <c r="E727" s="23">
        <v>2</v>
      </c>
      <c r="F727" t="s">
        <v>8265</v>
      </c>
      <c r="G727" t="s">
        <v>10486</v>
      </c>
      <c r="H727" t="s">
        <v>8019</v>
      </c>
      <c r="I727">
        <f>_xlfn.LET(_xlpm.id,TRIM($A727),IF(_xlpm.id="","",SUM(COUNTIF('1. OP'!$M:$M,_xlpm.id),COUNTIF('2. JSEL'!$M:$M,_xlpm.id),COUNTIF('3. PSM'!$M:$M,_xlpm.id),COUNTIF('4. SSP'!$M:$M,_xlpm.id),COUNTIF('5. JSACI'!$M:$M,_xlpm.id),COUNTIF('6. AIN'!$M:$M,_xlpm.id),COUNTIF('7. MS'!$M:$M,_xlpm.id),COUNTIF('8. DS'!$M:$M,_xlpm.id),COUNTIF('9. RMF'!$M:$M,_xlpm.id),COUNTIF('10. PCU'!$M:$M,_xlpm.id))))</f>
        <v>0</v>
      </c>
    </row>
    <row r="728" spans="1:9">
      <c r="A728" t="s">
        <v>8733</v>
      </c>
      <c r="B728" t="s">
        <v>4523</v>
      </c>
      <c r="C728">
        <v>1840</v>
      </c>
      <c r="D728">
        <v>1</v>
      </c>
      <c r="E728" s="23">
        <v>1</v>
      </c>
      <c r="F728" t="s">
        <v>8265</v>
      </c>
      <c r="G728" t="s">
        <v>10486</v>
      </c>
      <c r="H728" t="s">
        <v>8019</v>
      </c>
      <c r="I728">
        <f>_xlfn.LET(_xlpm.id,TRIM($A728),IF(_xlpm.id="","",SUM(COUNTIF('1. OP'!$M:$M,_xlpm.id),COUNTIF('2. JSEL'!$M:$M,_xlpm.id),COUNTIF('3. PSM'!$M:$M,_xlpm.id),COUNTIF('4. SSP'!$M:$M,_xlpm.id),COUNTIF('5. JSACI'!$M:$M,_xlpm.id),COUNTIF('6. AIN'!$M:$M,_xlpm.id),COUNTIF('7. MS'!$M:$M,_xlpm.id),COUNTIF('8. DS'!$M:$M,_xlpm.id),COUNTIF('9. RMF'!$M:$M,_xlpm.id),COUNTIF('10. PCU'!$M:$M,_xlpm.id))))</f>
        <v>0</v>
      </c>
    </row>
    <row r="729" spans="1:9">
      <c r="A729" t="s">
        <v>8734</v>
      </c>
      <c r="B729" t="s">
        <v>4523</v>
      </c>
      <c r="C729">
        <v>1840</v>
      </c>
      <c r="D729">
        <v>1</v>
      </c>
      <c r="E729" s="23">
        <v>2</v>
      </c>
      <c r="F729" t="s">
        <v>8265</v>
      </c>
      <c r="G729" t="s">
        <v>10486</v>
      </c>
      <c r="H729" t="s">
        <v>8019</v>
      </c>
      <c r="I729">
        <f>_xlfn.LET(_xlpm.id,TRIM($A729),IF(_xlpm.id="","",SUM(COUNTIF('1. OP'!$M:$M,_xlpm.id),COUNTIF('2. JSEL'!$M:$M,_xlpm.id),COUNTIF('3. PSM'!$M:$M,_xlpm.id),COUNTIF('4. SSP'!$M:$M,_xlpm.id),COUNTIF('5. JSACI'!$M:$M,_xlpm.id),COUNTIF('6. AIN'!$M:$M,_xlpm.id),COUNTIF('7. MS'!$M:$M,_xlpm.id),COUNTIF('8. DS'!$M:$M,_xlpm.id),COUNTIF('9. RMF'!$M:$M,_xlpm.id),COUNTIF('10. PCU'!$M:$M,_xlpm.id))))</f>
        <v>0</v>
      </c>
    </row>
    <row r="730" spans="1:9">
      <c r="A730" t="s">
        <v>8735</v>
      </c>
      <c r="B730" t="s">
        <v>8736</v>
      </c>
      <c r="C730">
        <v>1825</v>
      </c>
      <c r="D730">
        <v>1</v>
      </c>
      <c r="E730" s="23">
        <v>3</v>
      </c>
      <c r="F730" t="s">
        <v>8102</v>
      </c>
      <c r="G730" t="s">
        <v>10484</v>
      </c>
      <c r="H730" t="s">
        <v>8021</v>
      </c>
      <c r="I730">
        <f>_xlfn.LET(_xlpm.id,TRIM($A730),IF(_xlpm.id="","",SUM(COUNTIF('1. OP'!$M:$M,_xlpm.id),COUNTIF('2. JSEL'!$M:$M,_xlpm.id),COUNTIF('3. PSM'!$M:$M,_xlpm.id),COUNTIF('4. SSP'!$M:$M,_xlpm.id),COUNTIF('5. JSACI'!$M:$M,_xlpm.id),COUNTIF('6. AIN'!$M:$M,_xlpm.id),COUNTIF('7. MS'!$M:$M,_xlpm.id),COUNTIF('8. DS'!$M:$M,_xlpm.id),COUNTIF('9. RMF'!$M:$M,_xlpm.id),COUNTIF('10. PCU'!$M:$M,_xlpm.id))))</f>
        <v>0</v>
      </c>
    </row>
    <row r="731" spans="1:9">
      <c r="A731" t="s">
        <v>8737</v>
      </c>
      <c r="B731" t="s">
        <v>8736</v>
      </c>
      <c r="C731">
        <v>1826</v>
      </c>
      <c r="D731">
        <v>1</v>
      </c>
      <c r="E731" s="23">
        <v>4</v>
      </c>
      <c r="F731" t="s">
        <v>8102</v>
      </c>
      <c r="G731" t="s">
        <v>10484</v>
      </c>
      <c r="H731" t="s">
        <v>8021</v>
      </c>
      <c r="I731">
        <f>_xlfn.LET(_xlpm.id,TRIM($A731),IF(_xlpm.id="","",SUM(COUNTIF('1. OP'!$M:$M,_xlpm.id),COUNTIF('2. JSEL'!$M:$M,_xlpm.id),COUNTIF('3. PSM'!$M:$M,_xlpm.id),COUNTIF('4. SSP'!$M:$M,_xlpm.id),COUNTIF('5. JSACI'!$M:$M,_xlpm.id),COUNTIF('6. AIN'!$M:$M,_xlpm.id),COUNTIF('7. MS'!$M:$M,_xlpm.id),COUNTIF('8. DS'!$M:$M,_xlpm.id),COUNTIF('9. RMF'!$M:$M,_xlpm.id),COUNTIF('10. PCU'!$M:$M,_xlpm.id))))</f>
        <v>0</v>
      </c>
    </row>
    <row r="732" spans="1:9">
      <c r="A732" t="s">
        <v>8738</v>
      </c>
      <c r="B732" t="s">
        <v>8736</v>
      </c>
      <c r="C732">
        <v>1827</v>
      </c>
      <c r="D732">
        <v>1</v>
      </c>
      <c r="E732" s="23">
        <v>13</v>
      </c>
      <c r="F732" t="s">
        <v>8102</v>
      </c>
      <c r="G732" t="s">
        <v>10484</v>
      </c>
      <c r="H732" t="s">
        <v>8021</v>
      </c>
      <c r="I732">
        <f>_xlfn.LET(_xlpm.id,TRIM($A732),IF(_xlpm.id="","",SUM(COUNTIF('1. OP'!$M:$M,_xlpm.id),COUNTIF('2. JSEL'!$M:$M,_xlpm.id),COUNTIF('3. PSM'!$M:$M,_xlpm.id),COUNTIF('4. SSP'!$M:$M,_xlpm.id),COUNTIF('5. JSACI'!$M:$M,_xlpm.id),COUNTIF('6. AIN'!$M:$M,_xlpm.id),COUNTIF('7. MS'!$M:$M,_xlpm.id),COUNTIF('8. DS'!$M:$M,_xlpm.id),COUNTIF('9. RMF'!$M:$M,_xlpm.id),COUNTIF('10. PCU'!$M:$M,_xlpm.id))))</f>
        <v>0</v>
      </c>
    </row>
    <row r="733" spans="1:9">
      <c r="A733" t="s">
        <v>8739</v>
      </c>
      <c r="B733" t="s">
        <v>8736</v>
      </c>
      <c r="C733">
        <v>1828</v>
      </c>
      <c r="D733">
        <v>1</v>
      </c>
      <c r="E733" s="23">
        <v>20</v>
      </c>
      <c r="F733" t="s">
        <v>8102</v>
      </c>
      <c r="G733" t="s">
        <v>10484</v>
      </c>
      <c r="H733" t="s">
        <v>8021</v>
      </c>
      <c r="I733">
        <f>_xlfn.LET(_xlpm.id,TRIM($A733),IF(_xlpm.id="","",SUM(COUNTIF('1. OP'!$M:$M,_xlpm.id),COUNTIF('2. JSEL'!$M:$M,_xlpm.id),COUNTIF('3. PSM'!$M:$M,_xlpm.id),COUNTIF('4. SSP'!$M:$M,_xlpm.id),COUNTIF('5. JSACI'!$M:$M,_xlpm.id),COUNTIF('6. AIN'!$M:$M,_xlpm.id),COUNTIF('7. MS'!$M:$M,_xlpm.id),COUNTIF('8. DS'!$M:$M,_xlpm.id),COUNTIF('9. RMF'!$M:$M,_xlpm.id),COUNTIF('10. PCU'!$M:$M,_xlpm.id))))</f>
        <v>0</v>
      </c>
    </row>
    <row r="734" spans="1:9">
      <c r="A734" t="s">
        <v>8740</v>
      </c>
      <c r="B734" t="s">
        <v>8736</v>
      </c>
      <c r="C734">
        <v>1828</v>
      </c>
      <c r="D734">
        <v>1</v>
      </c>
      <c r="E734" s="23">
        <v>21</v>
      </c>
      <c r="F734" t="s">
        <v>8102</v>
      </c>
      <c r="G734" t="s">
        <v>10484</v>
      </c>
      <c r="H734" t="s">
        <v>8021</v>
      </c>
      <c r="I734">
        <f>_xlfn.LET(_xlpm.id,TRIM($A734),IF(_xlpm.id="","",SUM(COUNTIF('1. OP'!$M:$M,_xlpm.id),COUNTIF('2. JSEL'!$M:$M,_xlpm.id),COUNTIF('3. PSM'!$M:$M,_xlpm.id),COUNTIF('4. SSP'!$M:$M,_xlpm.id),COUNTIF('5. JSACI'!$M:$M,_xlpm.id),COUNTIF('6. AIN'!$M:$M,_xlpm.id),COUNTIF('7. MS'!$M:$M,_xlpm.id),COUNTIF('8. DS'!$M:$M,_xlpm.id),COUNTIF('9. RMF'!$M:$M,_xlpm.id),COUNTIF('10. PCU'!$M:$M,_xlpm.id))))</f>
        <v>0</v>
      </c>
    </row>
    <row r="735" spans="1:9">
      <c r="A735" t="s">
        <v>8741</v>
      </c>
      <c r="B735" t="s">
        <v>8736</v>
      </c>
      <c r="C735">
        <v>1829</v>
      </c>
      <c r="D735">
        <v>1</v>
      </c>
      <c r="E735" s="23">
        <v>22</v>
      </c>
      <c r="F735" t="s">
        <v>8102</v>
      </c>
      <c r="G735" t="s">
        <v>10484</v>
      </c>
      <c r="H735" t="s">
        <v>8021</v>
      </c>
      <c r="I735">
        <f>_xlfn.LET(_xlpm.id,TRIM($A735),IF(_xlpm.id="","",SUM(COUNTIF('1. OP'!$M:$M,_xlpm.id),COUNTIF('2. JSEL'!$M:$M,_xlpm.id),COUNTIF('3. PSM'!$M:$M,_xlpm.id),COUNTIF('4. SSP'!$M:$M,_xlpm.id),COUNTIF('5. JSACI'!$M:$M,_xlpm.id),COUNTIF('6. AIN'!$M:$M,_xlpm.id),COUNTIF('7. MS'!$M:$M,_xlpm.id),COUNTIF('8. DS'!$M:$M,_xlpm.id),COUNTIF('9. RMF'!$M:$M,_xlpm.id),COUNTIF('10. PCU'!$M:$M,_xlpm.id))))</f>
        <v>0</v>
      </c>
    </row>
    <row r="736" spans="1:9">
      <c r="A736" t="s">
        <v>8742</v>
      </c>
      <c r="B736" t="s">
        <v>8736</v>
      </c>
      <c r="C736">
        <v>1829</v>
      </c>
      <c r="D736">
        <v>1</v>
      </c>
      <c r="E736" s="23">
        <v>27</v>
      </c>
      <c r="F736" t="s">
        <v>8102</v>
      </c>
      <c r="G736" t="s">
        <v>10484</v>
      </c>
      <c r="H736" t="s">
        <v>8021</v>
      </c>
      <c r="I736">
        <f>_xlfn.LET(_xlpm.id,TRIM($A736),IF(_xlpm.id="","",SUM(COUNTIF('1. OP'!$M:$M,_xlpm.id),COUNTIF('2. JSEL'!$M:$M,_xlpm.id),COUNTIF('3. PSM'!$M:$M,_xlpm.id),COUNTIF('4. SSP'!$M:$M,_xlpm.id),COUNTIF('5. JSACI'!$M:$M,_xlpm.id),COUNTIF('6. AIN'!$M:$M,_xlpm.id),COUNTIF('7. MS'!$M:$M,_xlpm.id),COUNTIF('8. DS'!$M:$M,_xlpm.id),COUNTIF('9. RMF'!$M:$M,_xlpm.id),COUNTIF('10. PCU'!$M:$M,_xlpm.id))))</f>
        <v>0</v>
      </c>
    </row>
    <row r="737" spans="1:9">
      <c r="A737" t="s">
        <v>8743</v>
      </c>
      <c r="B737" t="s">
        <v>8736</v>
      </c>
      <c r="C737">
        <v>1830</v>
      </c>
      <c r="D737">
        <v>2</v>
      </c>
      <c r="E737" s="23">
        <v>1</v>
      </c>
      <c r="F737" t="s">
        <v>8102</v>
      </c>
      <c r="G737" t="s">
        <v>10484</v>
      </c>
      <c r="H737" t="s">
        <v>8021</v>
      </c>
      <c r="I737">
        <f>_xlfn.LET(_xlpm.id,TRIM($A737),IF(_xlpm.id="","",SUM(COUNTIF('1. OP'!$M:$M,_xlpm.id),COUNTIF('2. JSEL'!$M:$M,_xlpm.id),COUNTIF('3. PSM'!$M:$M,_xlpm.id),COUNTIF('4. SSP'!$M:$M,_xlpm.id),COUNTIF('5. JSACI'!$M:$M,_xlpm.id),COUNTIF('6. AIN'!$M:$M,_xlpm.id),COUNTIF('7. MS'!$M:$M,_xlpm.id),COUNTIF('8. DS'!$M:$M,_xlpm.id),COUNTIF('9. RMF'!$M:$M,_xlpm.id),COUNTIF('10. PCU'!$M:$M,_xlpm.id))))</f>
        <v>0</v>
      </c>
    </row>
    <row r="738" spans="1:9">
      <c r="A738" t="s">
        <v>8744</v>
      </c>
      <c r="B738" t="s">
        <v>8736</v>
      </c>
      <c r="C738">
        <v>1830</v>
      </c>
      <c r="D738">
        <v>2</v>
      </c>
      <c r="E738" s="23">
        <v>2</v>
      </c>
      <c r="F738" t="s">
        <v>8102</v>
      </c>
      <c r="G738" t="s">
        <v>10484</v>
      </c>
      <c r="H738" t="s">
        <v>8021</v>
      </c>
      <c r="I738">
        <f>_xlfn.LET(_xlpm.id,TRIM($A738),IF(_xlpm.id="","",SUM(COUNTIF('1. OP'!$M:$M,_xlpm.id),COUNTIF('2. JSEL'!$M:$M,_xlpm.id),COUNTIF('3. PSM'!$M:$M,_xlpm.id),COUNTIF('4. SSP'!$M:$M,_xlpm.id),COUNTIF('5. JSACI'!$M:$M,_xlpm.id),COUNTIF('6. AIN'!$M:$M,_xlpm.id),COUNTIF('7. MS'!$M:$M,_xlpm.id),COUNTIF('8. DS'!$M:$M,_xlpm.id),COUNTIF('9. RMF'!$M:$M,_xlpm.id),COUNTIF('10. PCU'!$M:$M,_xlpm.id))))</f>
        <v>0</v>
      </c>
    </row>
    <row r="739" spans="1:9">
      <c r="A739" t="s">
        <v>8745</v>
      </c>
      <c r="B739" t="s">
        <v>8736</v>
      </c>
      <c r="C739">
        <v>1830</v>
      </c>
      <c r="D739">
        <v>2</v>
      </c>
      <c r="E739" s="23">
        <v>3</v>
      </c>
      <c r="F739" t="s">
        <v>8102</v>
      </c>
      <c r="G739" t="s">
        <v>10484</v>
      </c>
      <c r="H739" t="s">
        <v>8021</v>
      </c>
      <c r="I739">
        <f>_xlfn.LET(_xlpm.id,TRIM($A739),IF(_xlpm.id="","",SUM(COUNTIF('1. OP'!$M:$M,_xlpm.id),COUNTIF('2. JSEL'!$M:$M,_xlpm.id),COUNTIF('3. PSM'!$M:$M,_xlpm.id),COUNTIF('4. SSP'!$M:$M,_xlpm.id),COUNTIF('5. JSACI'!$M:$M,_xlpm.id),COUNTIF('6. AIN'!$M:$M,_xlpm.id),COUNTIF('7. MS'!$M:$M,_xlpm.id),COUNTIF('8. DS'!$M:$M,_xlpm.id),COUNTIF('9. RMF'!$M:$M,_xlpm.id),COUNTIF('10. PCU'!$M:$M,_xlpm.id))))</f>
        <v>0</v>
      </c>
    </row>
    <row r="740" spans="1:9">
      <c r="A740" t="s">
        <v>8746</v>
      </c>
      <c r="B740" t="s">
        <v>8736</v>
      </c>
      <c r="C740">
        <v>1831</v>
      </c>
      <c r="D740">
        <v>2</v>
      </c>
      <c r="E740" s="23">
        <v>4</v>
      </c>
      <c r="F740" t="s">
        <v>8102</v>
      </c>
      <c r="G740" t="s">
        <v>10484</v>
      </c>
      <c r="H740" t="s">
        <v>8021</v>
      </c>
      <c r="I740">
        <f>_xlfn.LET(_xlpm.id,TRIM($A740),IF(_xlpm.id="","",SUM(COUNTIF('1. OP'!$M:$M,_xlpm.id),COUNTIF('2. JSEL'!$M:$M,_xlpm.id),COUNTIF('3. PSM'!$M:$M,_xlpm.id),COUNTIF('4. SSP'!$M:$M,_xlpm.id),COUNTIF('5. JSACI'!$M:$M,_xlpm.id),COUNTIF('6. AIN'!$M:$M,_xlpm.id),COUNTIF('7. MS'!$M:$M,_xlpm.id),COUNTIF('8. DS'!$M:$M,_xlpm.id),COUNTIF('9. RMF'!$M:$M,_xlpm.id),COUNTIF('10. PCU'!$M:$M,_xlpm.id))))</f>
        <v>0</v>
      </c>
    </row>
    <row r="741" spans="1:9">
      <c r="A741" t="s">
        <v>8747</v>
      </c>
      <c r="B741" t="s">
        <v>8736</v>
      </c>
      <c r="C741">
        <v>1831</v>
      </c>
      <c r="D741">
        <v>2</v>
      </c>
      <c r="E741" s="23">
        <v>5</v>
      </c>
      <c r="F741" t="s">
        <v>8102</v>
      </c>
      <c r="G741" t="s">
        <v>10484</v>
      </c>
      <c r="H741" t="s">
        <v>8021</v>
      </c>
      <c r="I741">
        <f>_xlfn.LET(_xlpm.id,TRIM($A741),IF(_xlpm.id="","",SUM(COUNTIF('1. OP'!$M:$M,_xlpm.id),COUNTIF('2. JSEL'!$M:$M,_xlpm.id),COUNTIF('3. PSM'!$M:$M,_xlpm.id),COUNTIF('4. SSP'!$M:$M,_xlpm.id),COUNTIF('5. JSACI'!$M:$M,_xlpm.id),COUNTIF('6. AIN'!$M:$M,_xlpm.id),COUNTIF('7. MS'!$M:$M,_xlpm.id),COUNTIF('8. DS'!$M:$M,_xlpm.id),COUNTIF('9. RMF'!$M:$M,_xlpm.id),COUNTIF('10. PCU'!$M:$M,_xlpm.id))))</f>
        <v>0</v>
      </c>
    </row>
    <row r="742" spans="1:9">
      <c r="A742" t="s">
        <v>8748</v>
      </c>
      <c r="B742" t="s">
        <v>8736</v>
      </c>
      <c r="C742">
        <v>1831</v>
      </c>
      <c r="D742">
        <v>2</v>
      </c>
      <c r="E742" s="23">
        <v>6</v>
      </c>
      <c r="F742" t="s">
        <v>8102</v>
      </c>
      <c r="G742" t="s">
        <v>10484</v>
      </c>
      <c r="H742" t="s">
        <v>8021</v>
      </c>
      <c r="I742">
        <f>_xlfn.LET(_xlpm.id,TRIM($A742),IF(_xlpm.id="","",SUM(COUNTIF('1. OP'!$M:$M,_xlpm.id),COUNTIF('2. JSEL'!$M:$M,_xlpm.id),COUNTIF('3. PSM'!$M:$M,_xlpm.id),COUNTIF('4. SSP'!$M:$M,_xlpm.id),COUNTIF('5. JSACI'!$M:$M,_xlpm.id),COUNTIF('6. AIN'!$M:$M,_xlpm.id),COUNTIF('7. MS'!$M:$M,_xlpm.id),COUNTIF('8. DS'!$M:$M,_xlpm.id),COUNTIF('9. RMF'!$M:$M,_xlpm.id),COUNTIF('10. PCU'!$M:$M,_xlpm.id))))</f>
        <v>0</v>
      </c>
    </row>
    <row r="743" spans="1:9">
      <c r="A743" t="s">
        <v>8749</v>
      </c>
      <c r="B743" t="s">
        <v>8736</v>
      </c>
      <c r="C743">
        <v>1831</v>
      </c>
      <c r="D743">
        <v>2</v>
      </c>
      <c r="E743" s="23">
        <v>7</v>
      </c>
      <c r="F743" t="s">
        <v>8102</v>
      </c>
      <c r="G743" t="s">
        <v>10484</v>
      </c>
      <c r="H743" t="s">
        <v>8021</v>
      </c>
      <c r="I743">
        <f>_xlfn.LET(_xlpm.id,TRIM($A743),IF(_xlpm.id="","",SUM(COUNTIF('1. OP'!$M:$M,_xlpm.id),COUNTIF('2. JSEL'!$M:$M,_xlpm.id),COUNTIF('3. PSM'!$M:$M,_xlpm.id),COUNTIF('4. SSP'!$M:$M,_xlpm.id),COUNTIF('5. JSACI'!$M:$M,_xlpm.id),COUNTIF('6. AIN'!$M:$M,_xlpm.id),COUNTIF('7. MS'!$M:$M,_xlpm.id),COUNTIF('8. DS'!$M:$M,_xlpm.id),COUNTIF('9. RMF'!$M:$M,_xlpm.id),COUNTIF('10. PCU'!$M:$M,_xlpm.id))))</f>
        <v>0</v>
      </c>
    </row>
    <row r="744" spans="1:9">
      <c r="A744" t="s">
        <v>8750</v>
      </c>
      <c r="B744" t="s">
        <v>8736</v>
      </c>
      <c r="C744">
        <v>1831</v>
      </c>
      <c r="D744">
        <v>2</v>
      </c>
      <c r="E744" s="23">
        <v>8</v>
      </c>
      <c r="F744" t="s">
        <v>8102</v>
      </c>
      <c r="G744" t="s">
        <v>10484</v>
      </c>
      <c r="H744" t="s">
        <v>8021</v>
      </c>
      <c r="I744">
        <f>_xlfn.LET(_xlpm.id,TRIM($A744),IF(_xlpm.id="","",SUM(COUNTIF('1. OP'!$M:$M,_xlpm.id),COUNTIF('2. JSEL'!$M:$M,_xlpm.id),COUNTIF('3. PSM'!$M:$M,_xlpm.id),COUNTIF('4. SSP'!$M:$M,_xlpm.id),COUNTIF('5. JSACI'!$M:$M,_xlpm.id),COUNTIF('6. AIN'!$M:$M,_xlpm.id),COUNTIF('7. MS'!$M:$M,_xlpm.id),COUNTIF('8. DS'!$M:$M,_xlpm.id),COUNTIF('9. RMF'!$M:$M,_xlpm.id),COUNTIF('10. PCU'!$M:$M,_xlpm.id))))</f>
        <v>0</v>
      </c>
    </row>
    <row r="745" spans="1:9">
      <c r="A745" t="s">
        <v>8751</v>
      </c>
      <c r="B745" t="s">
        <v>8736</v>
      </c>
      <c r="C745">
        <v>1831</v>
      </c>
      <c r="D745">
        <v>2</v>
      </c>
      <c r="E745" s="23">
        <v>9</v>
      </c>
      <c r="F745" t="s">
        <v>8102</v>
      </c>
      <c r="G745" t="s">
        <v>10484</v>
      </c>
      <c r="H745" t="s">
        <v>8021</v>
      </c>
      <c r="I745">
        <f>_xlfn.LET(_xlpm.id,TRIM($A745),IF(_xlpm.id="","",SUM(COUNTIF('1. OP'!$M:$M,_xlpm.id),COUNTIF('2. JSEL'!$M:$M,_xlpm.id),COUNTIF('3. PSM'!$M:$M,_xlpm.id),COUNTIF('4. SSP'!$M:$M,_xlpm.id),COUNTIF('5. JSACI'!$M:$M,_xlpm.id),COUNTIF('6. AIN'!$M:$M,_xlpm.id),COUNTIF('7. MS'!$M:$M,_xlpm.id),COUNTIF('8. DS'!$M:$M,_xlpm.id),COUNTIF('9. RMF'!$M:$M,_xlpm.id),COUNTIF('10. PCU'!$M:$M,_xlpm.id))))</f>
        <v>0</v>
      </c>
    </row>
    <row r="746" spans="1:9">
      <c r="A746" t="s">
        <v>5016</v>
      </c>
      <c r="B746" t="s">
        <v>8736</v>
      </c>
      <c r="C746">
        <v>1831</v>
      </c>
      <c r="D746">
        <v>2</v>
      </c>
      <c r="E746" s="23">
        <v>10</v>
      </c>
      <c r="F746" t="s">
        <v>8102</v>
      </c>
      <c r="G746" t="s">
        <v>10484</v>
      </c>
      <c r="H746" t="s">
        <v>8021</v>
      </c>
      <c r="I746">
        <f>_xlfn.LET(_xlpm.id,TRIM($A746),IF(_xlpm.id="","",SUM(COUNTIF('1. OP'!$M:$M,_xlpm.id),COUNTIF('2. JSEL'!$M:$M,_xlpm.id),COUNTIF('3. PSM'!$M:$M,_xlpm.id),COUNTIF('4. SSP'!$M:$M,_xlpm.id),COUNTIF('5. JSACI'!$M:$M,_xlpm.id),COUNTIF('6. AIN'!$M:$M,_xlpm.id),COUNTIF('7. MS'!$M:$M,_xlpm.id),COUNTIF('8. DS'!$M:$M,_xlpm.id),COUNTIF('9. RMF'!$M:$M,_xlpm.id),COUNTIF('10. PCU'!$M:$M,_xlpm.id))))</f>
        <v>1</v>
      </c>
    </row>
    <row r="747" spans="1:9">
      <c r="A747" t="s">
        <v>8752</v>
      </c>
      <c r="B747" t="s">
        <v>8736</v>
      </c>
      <c r="C747">
        <v>1832</v>
      </c>
      <c r="D747">
        <v>2</v>
      </c>
      <c r="E747" s="23">
        <v>11</v>
      </c>
      <c r="F747" t="s">
        <v>8102</v>
      </c>
      <c r="G747" t="s">
        <v>10484</v>
      </c>
      <c r="H747" t="s">
        <v>8021</v>
      </c>
      <c r="I747">
        <f>_xlfn.LET(_xlpm.id,TRIM($A747),IF(_xlpm.id="","",SUM(COUNTIF('1. OP'!$M:$M,_xlpm.id),COUNTIF('2. JSEL'!$M:$M,_xlpm.id),COUNTIF('3. PSM'!$M:$M,_xlpm.id),COUNTIF('4. SSP'!$M:$M,_xlpm.id),COUNTIF('5. JSACI'!$M:$M,_xlpm.id),COUNTIF('6. AIN'!$M:$M,_xlpm.id),COUNTIF('7. MS'!$M:$M,_xlpm.id),COUNTIF('8. DS'!$M:$M,_xlpm.id),COUNTIF('9. RMF'!$M:$M,_xlpm.id),COUNTIF('10. PCU'!$M:$M,_xlpm.id))))</f>
        <v>0</v>
      </c>
    </row>
    <row r="748" spans="1:9">
      <c r="A748" t="s">
        <v>8753</v>
      </c>
      <c r="B748" t="s">
        <v>8736</v>
      </c>
      <c r="C748">
        <v>1832</v>
      </c>
      <c r="D748">
        <v>2</v>
      </c>
      <c r="E748" s="23">
        <v>12</v>
      </c>
      <c r="F748" t="s">
        <v>8102</v>
      </c>
      <c r="G748" t="s">
        <v>10484</v>
      </c>
      <c r="H748" t="s">
        <v>8021</v>
      </c>
      <c r="I748">
        <f>_xlfn.LET(_xlpm.id,TRIM($A748),IF(_xlpm.id="","",SUM(COUNTIF('1. OP'!$M:$M,_xlpm.id),COUNTIF('2. JSEL'!$M:$M,_xlpm.id),COUNTIF('3. PSM'!$M:$M,_xlpm.id),COUNTIF('4. SSP'!$M:$M,_xlpm.id),COUNTIF('5. JSACI'!$M:$M,_xlpm.id),COUNTIF('6. AIN'!$M:$M,_xlpm.id),COUNTIF('7. MS'!$M:$M,_xlpm.id),COUNTIF('8. DS'!$M:$M,_xlpm.id),COUNTIF('9. RMF'!$M:$M,_xlpm.id),COUNTIF('10. PCU'!$M:$M,_xlpm.id))))</f>
        <v>0</v>
      </c>
    </row>
    <row r="749" spans="1:9">
      <c r="A749" t="s">
        <v>7378</v>
      </c>
      <c r="B749" t="s">
        <v>8736</v>
      </c>
      <c r="C749">
        <v>1833</v>
      </c>
      <c r="D749">
        <v>3</v>
      </c>
      <c r="E749" s="23">
        <v>1</v>
      </c>
      <c r="F749" t="s">
        <v>8102</v>
      </c>
      <c r="G749" t="s">
        <v>10484</v>
      </c>
      <c r="H749" t="s">
        <v>8021</v>
      </c>
      <c r="I749">
        <f>_xlfn.LET(_xlpm.id,TRIM($A749),IF(_xlpm.id="","",SUM(COUNTIF('1. OP'!$M:$M,_xlpm.id),COUNTIF('2. JSEL'!$M:$M,_xlpm.id),COUNTIF('3. PSM'!$M:$M,_xlpm.id),COUNTIF('4. SSP'!$M:$M,_xlpm.id),COUNTIF('5. JSACI'!$M:$M,_xlpm.id),COUNTIF('6. AIN'!$M:$M,_xlpm.id),COUNTIF('7. MS'!$M:$M,_xlpm.id),COUNTIF('8. DS'!$M:$M,_xlpm.id),COUNTIF('9. RMF'!$M:$M,_xlpm.id),COUNTIF('10. PCU'!$M:$M,_xlpm.id))))</f>
        <v>1</v>
      </c>
    </row>
    <row r="750" spans="1:9">
      <c r="A750" t="s">
        <v>8754</v>
      </c>
      <c r="B750" t="s">
        <v>8736</v>
      </c>
      <c r="C750">
        <v>1833</v>
      </c>
      <c r="D750">
        <v>3</v>
      </c>
      <c r="E750" s="23">
        <v>3</v>
      </c>
      <c r="F750" t="s">
        <v>8102</v>
      </c>
      <c r="G750" t="s">
        <v>10484</v>
      </c>
      <c r="H750" t="s">
        <v>8021</v>
      </c>
      <c r="I750">
        <f>_xlfn.LET(_xlpm.id,TRIM($A750),IF(_xlpm.id="","",SUM(COUNTIF('1. OP'!$M:$M,_xlpm.id),COUNTIF('2. JSEL'!$M:$M,_xlpm.id),COUNTIF('3. PSM'!$M:$M,_xlpm.id),COUNTIF('4. SSP'!$M:$M,_xlpm.id),COUNTIF('5. JSACI'!$M:$M,_xlpm.id),COUNTIF('6. AIN'!$M:$M,_xlpm.id),COUNTIF('7. MS'!$M:$M,_xlpm.id),COUNTIF('8. DS'!$M:$M,_xlpm.id),COUNTIF('9. RMF'!$M:$M,_xlpm.id),COUNTIF('10. PCU'!$M:$M,_xlpm.id))))</f>
        <v>0</v>
      </c>
    </row>
    <row r="751" spans="1:9">
      <c r="A751" t="s">
        <v>8755</v>
      </c>
      <c r="B751" t="s">
        <v>8736</v>
      </c>
      <c r="C751">
        <v>1833</v>
      </c>
      <c r="D751">
        <v>3</v>
      </c>
      <c r="E751" s="23">
        <v>4</v>
      </c>
      <c r="F751" t="s">
        <v>8102</v>
      </c>
      <c r="G751" t="s">
        <v>10484</v>
      </c>
      <c r="H751" t="s">
        <v>8021</v>
      </c>
      <c r="I751">
        <f>_xlfn.LET(_xlpm.id,TRIM($A751),IF(_xlpm.id="","",SUM(COUNTIF('1. OP'!$M:$M,_xlpm.id),COUNTIF('2. JSEL'!$M:$M,_xlpm.id),COUNTIF('3. PSM'!$M:$M,_xlpm.id),COUNTIF('4. SSP'!$M:$M,_xlpm.id),COUNTIF('5. JSACI'!$M:$M,_xlpm.id),COUNTIF('6. AIN'!$M:$M,_xlpm.id),COUNTIF('7. MS'!$M:$M,_xlpm.id),COUNTIF('8. DS'!$M:$M,_xlpm.id),COUNTIF('9. RMF'!$M:$M,_xlpm.id),COUNTIF('10. PCU'!$M:$M,_xlpm.id))))</f>
        <v>0</v>
      </c>
    </row>
    <row r="752" spans="1:9">
      <c r="A752" t="s">
        <v>8756</v>
      </c>
      <c r="B752" t="s">
        <v>8736</v>
      </c>
      <c r="C752">
        <v>1833</v>
      </c>
      <c r="D752">
        <v>3</v>
      </c>
      <c r="E752" s="23">
        <v>5</v>
      </c>
      <c r="F752" t="s">
        <v>8102</v>
      </c>
      <c r="G752" t="s">
        <v>10484</v>
      </c>
      <c r="H752" t="s">
        <v>8021</v>
      </c>
      <c r="I752">
        <f>_xlfn.LET(_xlpm.id,TRIM($A752),IF(_xlpm.id="","",SUM(COUNTIF('1. OP'!$M:$M,_xlpm.id),COUNTIF('2. JSEL'!$M:$M,_xlpm.id),COUNTIF('3. PSM'!$M:$M,_xlpm.id),COUNTIF('4. SSP'!$M:$M,_xlpm.id),COUNTIF('5. JSACI'!$M:$M,_xlpm.id),COUNTIF('6. AIN'!$M:$M,_xlpm.id),COUNTIF('7. MS'!$M:$M,_xlpm.id),COUNTIF('8. DS'!$M:$M,_xlpm.id),COUNTIF('9. RMF'!$M:$M,_xlpm.id),COUNTIF('10. PCU'!$M:$M,_xlpm.id))))</f>
        <v>0</v>
      </c>
    </row>
    <row r="753" spans="1:9">
      <c r="A753" t="s">
        <v>8757</v>
      </c>
      <c r="B753" t="s">
        <v>8736</v>
      </c>
      <c r="C753">
        <v>1833</v>
      </c>
      <c r="D753">
        <v>3</v>
      </c>
      <c r="E753" s="23">
        <v>6</v>
      </c>
      <c r="F753" t="s">
        <v>8102</v>
      </c>
      <c r="G753" t="s">
        <v>10484</v>
      </c>
      <c r="H753" t="s">
        <v>8021</v>
      </c>
      <c r="I753">
        <f>_xlfn.LET(_xlpm.id,TRIM($A753),IF(_xlpm.id="","",SUM(COUNTIF('1. OP'!$M:$M,_xlpm.id),COUNTIF('2. JSEL'!$M:$M,_xlpm.id),COUNTIF('3. PSM'!$M:$M,_xlpm.id),COUNTIF('4. SSP'!$M:$M,_xlpm.id),COUNTIF('5. JSACI'!$M:$M,_xlpm.id),COUNTIF('6. AIN'!$M:$M,_xlpm.id),COUNTIF('7. MS'!$M:$M,_xlpm.id),COUNTIF('8. DS'!$M:$M,_xlpm.id),COUNTIF('9. RMF'!$M:$M,_xlpm.id),COUNTIF('10. PCU'!$M:$M,_xlpm.id))))</f>
        <v>0</v>
      </c>
    </row>
    <row r="754" spans="1:9">
      <c r="A754" t="s">
        <v>8758</v>
      </c>
      <c r="B754" t="s">
        <v>8736</v>
      </c>
      <c r="C754">
        <v>1834</v>
      </c>
      <c r="D754">
        <v>3</v>
      </c>
      <c r="E754" s="23">
        <v>7</v>
      </c>
      <c r="F754" t="s">
        <v>8102</v>
      </c>
      <c r="G754" t="s">
        <v>10484</v>
      </c>
      <c r="H754" t="s">
        <v>8021</v>
      </c>
      <c r="I754">
        <f>_xlfn.LET(_xlpm.id,TRIM($A754),IF(_xlpm.id="","",SUM(COUNTIF('1. OP'!$M:$M,_xlpm.id),COUNTIF('2. JSEL'!$M:$M,_xlpm.id),COUNTIF('3. PSM'!$M:$M,_xlpm.id),COUNTIF('4. SSP'!$M:$M,_xlpm.id),COUNTIF('5. JSACI'!$M:$M,_xlpm.id),COUNTIF('6. AIN'!$M:$M,_xlpm.id),COUNTIF('7. MS'!$M:$M,_xlpm.id),COUNTIF('8. DS'!$M:$M,_xlpm.id),COUNTIF('9. RMF'!$M:$M,_xlpm.id),COUNTIF('10. PCU'!$M:$M,_xlpm.id))))</f>
        <v>0</v>
      </c>
    </row>
    <row r="755" spans="1:9">
      <c r="A755" t="s">
        <v>8759</v>
      </c>
      <c r="B755" t="s">
        <v>8736</v>
      </c>
      <c r="C755">
        <v>1834</v>
      </c>
      <c r="D755">
        <v>3</v>
      </c>
      <c r="E755" s="23">
        <v>8</v>
      </c>
      <c r="F755" t="s">
        <v>8102</v>
      </c>
      <c r="G755" t="s">
        <v>10484</v>
      </c>
      <c r="H755" t="s">
        <v>8021</v>
      </c>
      <c r="I755">
        <f>_xlfn.LET(_xlpm.id,TRIM($A755),IF(_xlpm.id="","",SUM(COUNTIF('1. OP'!$M:$M,_xlpm.id),COUNTIF('2. JSEL'!$M:$M,_xlpm.id),COUNTIF('3. PSM'!$M:$M,_xlpm.id),COUNTIF('4. SSP'!$M:$M,_xlpm.id),COUNTIF('5. JSACI'!$M:$M,_xlpm.id),COUNTIF('6. AIN'!$M:$M,_xlpm.id),COUNTIF('7. MS'!$M:$M,_xlpm.id),COUNTIF('8. DS'!$M:$M,_xlpm.id),COUNTIF('9. RMF'!$M:$M,_xlpm.id),COUNTIF('10. PCU'!$M:$M,_xlpm.id))))</f>
        <v>0</v>
      </c>
    </row>
    <row r="756" spans="1:9">
      <c r="A756" t="s">
        <v>7347</v>
      </c>
      <c r="B756" t="s">
        <v>8736</v>
      </c>
      <c r="C756">
        <v>1834</v>
      </c>
      <c r="D756">
        <v>3</v>
      </c>
      <c r="E756" s="23">
        <v>9</v>
      </c>
      <c r="F756" t="s">
        <v>8102</v>
      </c>
      <c r="G756" t="s">
        <v>10484</v>
      </c>
      <c r="H756" t="s">
        <v>8021</v>
      </c>
      <c r="I756">
        <f>_xlfn.LET(_xlpm.id,TRIM($A756),IF(_xlpm.id="","",SUM(COUNTIF('1. OP'!$M:$M,_xlpm.id),COUNTIF('2. JSEL'!$M:$M,_xlpm.id),COUNTIF('3. PSM'!$M:$M,_xlpm.id),COUNTIF('4. SSP'!$M:$M,_xlpm.id),COUNTIF('5. JSACI'!$M:$M,_xlpm.id),COUNTIF('6. AIN'!$M:$M,_xlpm.id),COUNTIF('7. MS'!$M:$M,_xlpm.id),COUNTIF('8. DS'!$M:$M,_xlpm.id),COUNTIF('9. RMF'!$M:$M,_xlpm.id),COUNTIF('10. PCU'!$M:$M,_xlpm.id))))</f>
        <v>1</v>
      </c>
    </row>
    <row r="757" spans="1:9">
      <c r="A757" t="s">
        <v>7345</v>
      </c>
      <c r="B757" t="s">
        <v>8736</v>
      </c>
      <c r="C757">
        <v>1834</v>
      </c>
      <c r="D757">
        <v>3</v>
      </c>
      <c r="E757" s="23">
        <v>10</v>
      </c>
      <c r="F757" t="s">
        <v>8102</v>
      </c>
      <c r="G757" t="s">
        <v>10484</v>
      </c>
      <c r="H757" t="s">
        <v>8021</v>
      </c>
      <c r="I757">
        <f>_xlfn.LET(_xlpm.id,TRIM($A757),IF(_xlpm.id="","",SUM(COUNTIF('1. OP'!$M:$M,_xlpm.id),COUNTIF('2. JSEL'!$M:$M,_xlpm.id),COUNTIF('3. PSM'!$M:$M,_xlpm.id),COUNTIF('4. SSP'!$M:$M,_xlpm.id),COUNTIF('5. JSACI'!$M:$M,_xlpm.id),COUNTIF('6. AIN'!$M:$M,_xlpm.id),COUNTIF('7. MS'!$M:$M,_xlpm.id),COUNTIF('8. DS'!$M:$M,_xlpm.id),COUNTIF('9. RMF'!$M:$M,_xlpm.id),COUNTIF('10. PCU'!$M:$M,_xlpm.id))))</f>
        <v>1</v>
      </c>
    </row>
    <row r="758" spans="1:9">
      <c r="A758" t="s">
        <v>7346</v>
      </c>
      <c r="B758" t="s">
        <v>8736</v>
      </c>
      <c r="C758">
        <v>1834</v>
      </c>
      <c r="D758">
        <v>3</v>
      </c>
      <c r="E758" s="23">
        <v>11</v>
      </c>
      <c r="F758" t="s">
        <v>8102</v>
      </c>
      <c r="G758" t="s">
        <v>10484</v>
      </c>
      <c r="H758" t="s">
        <v>8021</v>
      </c>
      <c r="I758">
        <f>_xlfn.LET(_xlpm.id,TRIM($A758),IF(_xlpm.id="","",SUM(COUNTIF('1. OP'!$M:$M,_xlpm.id),COUNTIF('2. JSEL'!$M:$M,_xlpm.id),COUNTIF('3. PSM'!$M:$M,_xlpm.id),COUNTIF('4. SSP'!$M:$M,_xlpm.id),COUNTIF('5. JSACI'!$M:$M,_xlpm.id),COUNTIF('6. AIN'!$M:$M,_xlpm.id),COUNTIF('7. MS'!$M:$M,_xlpm.id),COUNTIF('8. DS'!$M:$M,_xlpm.id),COUNTIF('9. RMF'!$M:$M,_xlpm.id),COUNTIF('10. PCU'!$M:$M,_xlpm.id))))</f>
        <v>1</v>
      </c>
    </row>
    <row r="759" spans="1:9">
      <c r="A759" t="s">
        <v>8760</v>
      </c>
      <c r="B759" t="s">
        <v>8736</v>
      </c>
      <c r="C759">
        <v>1834</v>
      </c>
      <c r="D759">
        <v>3</v>
      </c>
      <c r="E759" s="23">
        <v>12</v>
      </c>
      <c r="F759" t="s">
        <v>8102</v>
      </c>
      <c r="G759" t="s">
        <v>10484</v>
      </c>
      <c r="H759" t="s">
        <v>8021</v>
      </c>
      <c r="I759">
        <f>_xlfn.LET(_xlpm.id,TRIM($A759),IF(_xlpm.id="","",SUM(COUNTIF('1. OP'!$M:$M,_xlpm.id),COUNTIF('2. JSEL'!$M:$M,_xlpm.id),COUNTIF('3. PSM'!$M:$M,_xlpm.id),COUNTIF('4. SSP'!$M:$M,_xlpm.id),COUNTIF('5. JSACI'!$M:$M,_xlpm.id),COUNTIF('6. AIN'!$M:$M,_xlpm.id),COUNTIF('7. MS'!$M:$M,_xlpm.id),COUNTIF('8. DS'!$M:$M,_xlpm.id),COUNTIF('9. RMF'!$M:$M,_xlpm.id),COUNTIF('10. PCU'!$M:$M,_xlpm.id))))</f>
        <v>0</v>
      </c>
    </row>
    <row r="760" spans="1:9">
      <c r="A760" t="s">
        <v>8761</v>
      </c>
      <c r="B760" t="s">
        <v>8736</v>
      </c>
      <c r="C760">
        <v>1835</v>
      </c>
      <c r="D760">
        <v>3</v>
      </c>
      <c r="E760" s="23">
        <v>13</v>
      </c>
      <c r="F760" t="s">
        <v>8102</v>
      </c>
      <c r="G760" t="s">
        <v>10484</v>
      </c>
      <c r="H760" t="s">
        <v>8021</v>
      </c>
      <c r="I760">
        <f>_xlfn.LET(_xlpm.id,TRIM($A760),IF(_xlpm.id="","",SUM(COUNTIF('1. OP'!$M:$M,_xlpm.id),COUNTIF('2. JSEL'!$M:$M,_xlpm.id),COUNTIF('3. PSM'!$M:$M,_xlpm.id),COUNTIF('4. SSP'!$M:$M,_xlpm.id),COUNTIF('5. JSACI'!$M:$M,_xlpm.id),COUNTIF('6. AIN'!$M:$M,_xlpm.id),COUNTIF('7. MS'!$M:$M,_xlpm.id),COUNTIF('8. DS'!$M:$M,_xlpm.id),COUNTIF('9. RMF'!$M:$M,_xlpm.id),COUNTIF('10. PCU'!$M:$M,_xlpm.id))))</f>
        <v>0</v>
      </c>
    </row>
    <row r="761" spans="1:9">
      <c r="A761" t="s">
        <v>8762</v>
      </c>
      <c r="B761" t="s">
        <v>8736</v>
      </c>
      <c r="C761">
        <v>1835</v>
      </c>
      <c r="D761">
        <v>3</v>
      </c>
      <c r="E761" s="23">
        <v>14</v>
      </c>
      <c r="F761" t="s">
        <v>8102</v>
      </c>
      <c r="G761" t="s">
        <v>10484</v>
      </c>
      <c r="H761" t="s">
        <v>8021</v>
      </c>
      <c r="I761">
        <f>_xlfn.LET(_xlpm.id,TRIM($A761),IF(_xlpm.id="","",SUM(COUNTIF('1. OP'!$M:$M,_xlpm.id),COUNTIF('2. JSEL'!$M:$M,_xlpm.id),COUNTIF('3. PSM'!$M:$M,_xlpm.id),COUNTIF('4. SSP'!$M:$M,_xlpm.id),COUNTIF('5. JSACI'!$M:$M,_xlpm.id),COUNTIF('6. AIN'!$M:$M,_xlpm.id),COUNTIF('7. MS'!$M:$M,_xlpm.id),COUNTIF('8. DS'!$M:$M,_xlpm.id),COUNTIF('9. RMF'!$M:$M,_xlpm.id),COUNTIF('10. PCU'!$M:$M,_xlpm.id))))</f>
        <v>0</v>
      </c>
    </row>
    <row r="762" spans="1:9">
      <c r="A762" t="s">
        <v>8763</v>
      </c>
      <c r="B762" t="s">
        <v>8736</v>
      </c>
      <c r="C762">
        <v>1835</v>
      </c>
      <c r="D762">
        <v>3</v>
      </c>
      <c r="E762" s="23">
        <v>15</v>
      </c>
      <c r="F762" t="s">
        <v>8102</v>
      </c>
      <c r="G762" t="s">
        <v>10484</v>
      </c>
      <c r="H762" t="s">
        <v>8021</v>
      </c>
      <c r="I762">
        <f>_xlfn.LET(_xlpm.id,TRIM($A762),IF(_xlpm.id="","",SUM(COUNTIF('1. OP'!$M:$M,_xlpm.id),COUNTIF('2. JSEL'!$M:$M,_xlpm.id),COUNTIF('3. PSM'!$M:$M,_xlpm.id),COUNTIF('4. SSP'!$M:$M,_xlpm.id),COUNTIF('5. JSACI'!$M:$M,_xlpm.id),COUNTIF('6. AIN'!$M:$M,_xlpm.id),COUNTIF('7. MS'!$M:$M,_xlpm.id),COUNTIF('8. DS'!$M:$M,_xlpm.id),COUNTIF('9. RMF'!$M:$M,_xlpm.id),COUNTIF('10. PCU'!$M:$M,_xlpm.id))))</f>
        <v>0</v>
      </c>
    </row>
    <row r="763" spans="1:9">
      <c r="A763" t="s">
        <v>8764</v>
      </c>
      <c r="B763" t="s">
        <v>8736</v>
      </c>
      <c r="C763">
        <v>1835</v>
      </c>
      <c r="D763">
        <v>3</v>
      </c>
      <c r="E763" s="23">
        <v>16</v>
      </c>
      <c r="F763" t="s">
        <v>8102</v>
      </c>
      <c r="G763" t="s">
        <v>10484</v>
      </c>
      <c r="H763" t="s">
        <v>8021</v>
      </c>
      <c r="I763">
        <f>_xlfn.LET(_xlpm.id,TRIM($A763),IF(_xlpm.id="","",SUM(COUNTIF('1. OP'!$M:$M,_xlpm.id),COUNTIF('2. JSEL'!$M:$M,_xlpm.id),COUNTIF('3. PSM'!$M:$M,_xlpm.id),COUNTIF('4. SSP'!$M:$M,_xlpm.id),COUNTIF('5. JSACI'!$M:$M,_xlpm.id),COUNTIF('6. AIN'!$M:$M,_xlpm.id),COUNTIF('7. MS'!$M:$M,_xlpm.id),COUNTIF('8. DS'!$M:$M,_xlpm.id),COUNTIF('9. RMF'!$M:$M,_xlpm.id),COUNTIF('10. PCU'!$M:$M,_xlpm.id))))</f>
        <v>0</v>
      </c>
    </row>
    <row r="764" spans="1:9">
      <c r="A764" t="s">
        <v>8765</v>
      </c>
      <c r="B764" t="s">
        <v>8736</v>
      </c>
      <c r="C764">
        <v>1835</v>
      </c>
      <c r="D764">
        <v>3</v>
      </c>
      <c r="E764" s="23">
        <v>17</v>
      </c>
      <c r="F764" t="s">
        <v>8102</v>
      </c>
      <c r="G764" t="s">
        <v>10484</v>
      </c>
      <c r="H764" t="s">
        <v>8021</v>
      </c>
      <c r="I764">
        <f>_xlfn.LET(_xlpm.id,TRIM($A764),IF(_xlpm.id="","",SUM(COUNTIF('1. OP'!$M:$M,_xlpm.id),COUNTIF('2. JSEL'!$M:$M,_xlpm.id),COUNTIF('3. PSM'!$M:$M,_xlpm.id),COUNTIF('4. SSP'!$M:$M,_xlpm.id),COUNTIF('5. JSACI'!$M:$M,_xlpm.id),COUNTIF('6. AIN'!$M:$M,_xlpm.id),COUNTIF('7. MS'!$M:$M,_xlpm.id),COUNTIF('8. DS'!$M:$M,_xlpm.id),COUNTIF('9. RMF'!$M:$M,_xlpm.id),COUNTIF('10. PCU'!$M:$M,_xlpm.id))))</f>
        <v>0</v>
      </c>
    </row>
    <row r="765" spans="1:9">
      <c r="A765" t="s">
        <v>8766</v>
      </c>
      <c r="B765" t="s">
        <v>8736</v>
      </c>
      <c r="C765">
        <v>1835</v>
      </c>
      <c r="D765">
        <v>3</v>
      </c>
      <c r="E765" s="23">
        <v>18</v>
      </c>
      <c r="F765" t="s">
        <v>8102</v>
      </c>
      <c r="G765" t="s">
        <v>10484</v>
      </c>
      <c r="H765" t="s">
        <v>8021</v>
      </c>
      <c r="I765">
        <f>_xlfn.LET(_xlpm.id,TRIM($A765),IF(_xlpm.id="","",SUM(COUNTIF('1. OP'!$M:$M,_xlpm.id),COUNTIF('2. JSEL'!$M:$M,_xlpm.id),COUNTIF('3. PSM'!$M:$M,_xlpm.id),COUNTIF('4. SSP'!$M:$M,_xlpm.id),COUNTIF('5. JSACI'!$M:$M,_xlpm.id),COUNTIF('6. AIN'!$M:$M,_xlpm.id),COUNTIF('7. MS'!$M:$M,_xlpm.id),COUNTIF('8. DS'!$M:$M,_xlpm.id),COUNTIF('9. RMF'!$M:$M,_xlpm.id),COUNTIF('10. PCU'!$M:$M,_xlpm.id))))</f>
        <v>0</v>
      </c>
    </row>
    <row r="766" spans="1:9">
      <c r="A766" t="s">
        <v>7481</v>
      </c>
      <c r="B766" t="s">
        <v>8736</v>
      </c>
      <c r="C766">
        <v>1836</v>
      </c>
      <c r="D766">
        <v>4</v>
      </c>
      <c r="E766" s="23">
        <v>1</v>
      </c>
      <c r="F766" t="s">
        <v>8102</v>
      </c>
      <c r="G766" t="s">
        <v>10484</v>
      </c>
      <c r="H766" t="s">
        <v>8021</v>
      </c>
      <c r="I766">
        <f>_xlfn.LET(_xlpm.id,TRIM($A766),IF(_xlpm.id="","",SUM(COUNTIF('1. OP'!$M:$M,_xlpm.id),COUNTIF('2. JSEL'!$M:$M,_xlpm.id),COUNTIF('3. PSM'!$M:$M,_xlpm.id),COUNTIF('4. SSP'!$M:$M,_xlpm.id),COUNTIF('5. JSACI'!$M:$M,_xlpm.id),COUNTIF('6. AIN'!$M:$M,_xlpm.id),COUNTIF('7. MS'!$M:$M,_xlpm.id),COUNTIF('8. DS'!$M:$M,_xlpm.id),COUNTIF('9. RMF'!$M:$M,_xlpm.id),COUNTIF('10. PCU'!$M:$M,_xlpm.id))))</f>
        <v>1</v>
      </c>
    </row>
    <row r="767" spans="1:9">
      <c r="A767" t="s">
        <v>8767</v>
      </c>
      <c r="B767" t="s">
        <v>8736</v>
      </c>
      <c r="C767">
        <v>1836</v>
      </c>
      <c r="D767">
        <v>4</v>
      </c>
      <c r="E767" s="23">
        <v>2</v>
      </c>
      <c r="F767" t="s">
        <v>8102</v>
      </c>
      <c r="G767" t="s">
        <v>10484</v>
      </c>
      <c r="H767" t="s">
        <v>8021</v>
      </c>
      <c r="I767">
        <f>_xlfn.LET(_xlpm.id,TRIM($A767),IF(_xlpm.id="","",SUM(COUNTIF('1. OP'!$M:$M,_xlpm.id),COUNTIF('2. JSEL'!$M:$M,_xlpm.id),COUNTIF('3. PSM'!$M:$M,_xlpm.id),COUNTIF('4. SSP'!$M:$M,_xlpm.id),COUNTIF('5. JSACI'!$M:$M,_xlpm.id),COUNTIF('6. AIN'!$M:$M,_xlpm.id),COUNTIF('7. MS'!$M:$M,_xlpm.id),COUNTIF('8. DS'!$M:$M,_xlpm.id),COUNTIF('9. RMF'!$M:$M,_xlpm.id),COUNTIF('10. PCU'!$M:$M,_xlpm.id))))</f>
        <v>0</v>
      </c>
    </row>
    <row r="768" spans="1:9">
      <c r="A768" t="s">
        <v>8768</v>
      </c>
      <c r="B768" t="s">
        <v>8736</v>
      </c>
      <c r="C768">
        <v>1836</v>
      </c>
      <c r="D768">
        <v>4</v>
      </c>
      <c r="E768" s="23">
        <v>3</v>
      </c>
      <c r="F768" t="s">
        <v>8102</v>
      </c>
      <c r="G768" t="s">
        <v>10484</v>
      </c>
      <c r="H768" t="s">
        <v>8021</v>
      </c>
      <c r="I768">
        <f>_xlfn.LET(_xlpm.id,TRIM($A768),IF(_xlpm.id="","",SUM(COUNTIF('1. OP'!$M:$M,_xlpm.id),COUNTIF('2. JSEL'!$M:$M,_xlpm.id),COUNTIF('3. PSM'!$M:$M,_xlpm.id),COUNTIF('4. SSP'!$M:$M,_xlpm.id),COUNTIF('5. JSACI'!$M:$M,_xlpm.id),COUNTIF('6. AIN'!$M:$M,_xlpm.id),COUNTIF('7. MS'!$M:$M,_xlpm.id),COUNTIF('8. DS'!$M:$M,_xlpm.id),COUNTIF('9. RMF'!$M:$M,_xlpm.id),COUNTIF('10. PCU'!$M:$M,_xlpm.id))))</f>
        <v>0</v>
      </c>
    </row>
    <row r="769" spans="1:9">
      <c r="A769" t="s">
        <v>8769</v>
      </c>
      <c r="B769" t="s">
        <v>8736</v>
      </c>
      <c r="C769">
        <v>1836</v>
      </c>
      <c r="D769">
        <v>4</v>
      </c>
      <c r="E769" s="23">
        <v>4</v>
      </c>
      <c r="F769" t="s">
        <v>8102</v>
      </c>
      <c r="G769" t="s">
        <v>10484</v>
      </c>
      <c r="H769" t="s">
        <v>8021</v>
      </c>
      <c r="I769">
        <f>_xlfn.LET(_xlpm.id,TRIM($A769),IF(_xlpm.id="","",SUM(COUNTIF('1. OP'!$M:$M,_xlpm.id),COUNTIF('2. JSEL'!$M:$M,_xlpm.id),COUNTIF('3. PSM'!$M:$M,_xlpm.id),COUNTIF('4. SSP'!$M:$M,_xlpm.id),COUNTIF('5. JSACI'!$M:$M,_xlpm.id),COUNTIF('6. AIN'!$M:$M,_xlpm.id),COUNTIF('7. MS'!$M:$M,_xlpm.id),COUNTIF('8. DS'!$M:$M,_xlpm.id),COUNTIF('9. RMF'!$M:$M,_xlpm.id),COUNTIF('10. PCU'!$M:$M,_xlpm.id))))</f>
        <v>0</v>
      </c>
    </row>
    <row r="770" spans="1:9">
      <c r="A770" t="s">
        <v>8770</v>
      </c>
      <c r="B770" t="s">
        <v>8736</v>
      </c>
      <c r="C770">
        <v>1836</v>
      </c>
      <c r="D770">
        <v>4</v>
      </c>
      <c r="E770" s="23">
        <v>5</v>
      </c>
      <c r="F770" t="s">
        <v>8102</v>
      </c>
      <c r="G770" t="s">
        <v>10484</v>
      </c>
      <c r="H770" t="s">
        <v>8021</v>
      </c>
      <c r="I770">
        <f>_xlfn.LET(_xlpm.id,TRIM($A770),IF(_xlpm.id="","",SUM(COUNTIF('1. OP'!$M:$M,_xlpm.id),COUNTIF('2. JSEL'!$M:$M,_xlpm.id),COUNTIF('3. PSM'!$M:$M,_xlpm.id),COUNTIF('4. SSP'!$M:$M,_xlpm.id),COUNTIF('5. JSACI'!$M:$M,_xlpm.id),COUNTIF('6. AIN'!$M:$M,_xlpm.id),COUNTIF('7. MS'!$M:$M,_xlpm.id),COUNTIF('8. DS'!$M:$M,_xlpm.id),COUNTIF('9. RMF'!$M:$M,_xlpm.id),COUNTIF('10. PCU'!$M:$M,_xlpm.id))))</f>
        <v>0</v>
      </c>
    </row>
    <row r="771" spans="1:9">
      <c r="A771" t="s">
        <v>8771</v>
      </c>
      <c r="B771" t="s">
        <v>8736</v>
      </c>
      <c r="C771">
        <v>1836</v>
      </c>
      <c r="D771">
        <v>4</v>
      </c>
      <c r="E771" s="23">
        <v>6</v>
      </c>
      <c r="F771" t="s">
        <v>8102</v>
      </c>
      <c r="G771" t="s">
        <v>10484</v>
      </c>
      <c r="H771" t="s">
        <v>8021</v>
      </c>
      <c r="I771">
        <f>_xlfn.LET(_xlpm.id,TRIM($A771),IF(_xlpm.id="","",SUM(COUNTIF('1. OP'!$M:$M,_xlpm.id),COUNTIF('2. JSEL'!$M:$M,_xlpm.id),COUNTIF('3. PSM'!$M:$M,_xlpm.id),COUNTIF('4. SSP'!$M:$M,_xlpm.id),COUNTIF('5. JSACI'!$M:$M,_xlpm.id),COUNTIF('6. AIN'!$M:$M,_xlpm.id),COUNTIF('7. MS'!$M:$M,_xlpm.id),COUNTIF('8. DS'!$M:$M,_xlpm.id),COUNTIF('9. RMF'!$M:$M,_xlpm.id),COUNTIF('10. PCU'!$M:$M,_xlpm.id))))</f>
        <v>0</v>
      </c>
    </row>
    <row r="772" spans="1:9">
      <c r="A772" t="s">
        <v>8772</v>
      </c>
      <c r="B772" t="s">
        <v>8736</v>
      </c>
      <c r="C772">
        <v>1837</v>
      </c>
      <c r="D772">
        <v>4</v>
      </c>
      <c r="E772" s="23">
        <v>7</v>
      </c>
      <c r="F772" t="s">
        <v>8102</v>
      </c>
      <c r="G772" t="s">
        <v>10484</v>
      </c>
      <c r="H772" t="s">
        <v>8021</v>
      </c>
      <c r="I772">
        <f>_xlfn.LET(_xlpm.id,TRIM($A772),IF(_xlpm.id="","",SUM(COUNTIF('1. OP'!$M:$M,_xlpm.id),COUNTIF('2. JSEL'!$M:$M,_xlpm.id),COUNTIF('3. PSM'!$M:$M,_xlpm.id),COUNTIF('4. SSP'!$M:$M,_xlpm.id),COUNTIF('5. JSACI'!$M:$M,_xlpm.id),COUNTIF('6. AIN'!$M:$M,_xlpm.id),COUNTIF('7. MS'!$M:$M,_xlpm.id),COUNTIF('8. DS'!$M:$M,_xlpm.id),COUNTIF('9. RMF'!$M:$M,_xlpm.id),COUNTIF('10. PCU'!$M:$M,_xlpm.id))))</f>
        <v>0</v>
      </c>
    </row>
    <row r="773" spans="1:9">
      <c r="A773" t="s">
        <v>8773</v>
      </c>
      <c r="B773" t="s">
        <v>8736</v>
      </c>
      <c r="C773">
        <v>1837</v>
      </c>
      <c r="D773">
        <v>4</v>
      </c>
      <c r="E773" s="23">
        <v>8</v>
      </c>
      <c r="F773" t="s">
        <v>8102</v>
      </c>
      <c r="G773" t="s">
        <v>10484</v>
      </c>
      <c r="H773" t="s">
        <v>8021</v>
      </c>
      <c r="I773">
        <f>_xlfn.LET(_xlpm.id,TRIM($A773),IF(_xlpm.id="","",SUM(COUNTIF('1. OP'!$M:$M,_xlpm.id),COUNTIF('2. JSEL'!$M:$M,_xlpm.id),COUNTIF('3. PSM'!$M:$M,_xlpm.id),COUNTIF('4. SSP'!$M:$M,_xlpm.id),COUNTIF('5. JSACI'!$M:$M,_xlpm.id),COUNTIF('6. AIN'!$M:$M,_xlpm.id),COUNTIF('7. MS'!$M:$M,_xlpm.id),COUNTIF('8. DS'!$M:$M,_xlpm.id),COUNTIF('9. RMF'!$M:$M,_xlpm.id),COUNTIF('10. PCU'!$M:$M,_xlpm.id))))</f>
        <v>0</v>
      </c>
    </row>
    <row r="774" spans="1:9">
      <c r="A774" t="s">
        <v>8774</v>
      </c>
      <c r="B774" t="s">
        <v>8736</v>
      </c>
      <c r="C774">
        <v>1837</v>
      </c>
      <c r="D774">
        <v>4</v>
      </c>
      <c r="E774" s="23">
        <v>9</v>
      </c>
      <c r="F774" t="s">
        <v>8102</v>
      </c>
      <c r="G774" t="s">
        <v>10484</v>
      </c>
      <c r="H774" t="s">
        <v>8021</v>
      </c>
      <c r="I774">
        <f>_xlfn.LET(_xlpm.id,TRIM($A774),IF(_xlpm.id="","",SUM(COUNTIF('1. OP'!$M:$M,_xlpm.id),COUNTIF('2. JSEL'!$M:$M,_xlpm.id),COUNTIF('3. PSM'!$M:$M,_xlpm.id),COUNTIF('4. SSP'!$M:$M,_xlpm.id),COUNTIF('5. JSACI'!$M:$M,_xlpm.id),COUNTIF('6. AIN'!$M:$M,_xlpm.id),COUNTIF('7. MS'!$M:$M,_xlpm.id),COUNTIF('8. DS'!$M:$M,_xlpm.id),COUNTIF('9. RMF'!$M:$M,_xlpm.id),COUNTIF('10. PCU'!$M:$M,_xlpm.id))))</f>
        <v>0</v>
      </c>
    </row>
    <row r="775" spans="1:9">
      <c r="A775" t="s">
        <v>6456</v>
      </c>
      <c r="B775" t="s">
        <v>8736</v>
      </c>
      <c r="C775">
        <v>1837</v>
      </c>
      <c r="D775">
        <v>4</v>
      </c>
      <c r="E775" s="23">
        <v>10</v>
      </c>
      <c r="F775" t="s">
        <v>8102</v>
      </c>
      <c r="G775" t="s">
        <v>10484</v>
      </c>
      <c r="H775" t="s">
        <v>8021</v>
      </c>
      <c r="I775">
        <f>_xlfn.LET(_xlpm.id,TRIM($A775),IF(_xlpm.id="","",SUM(COUNTIF('1. OP'!$M:$M,_xlpm.id),COUNTIF('2. JSEL'!$M:$M,_xlpm.id),COUNTIF('3. PSM'!$M:$M,_xlpm.id),COUNTIF('4. SSP'!$M:$M,_xlpm.id),COUNTIF('5. JSACI'!$M:$M,_xlpm.id),COUNTIF('6. AIN'!$M:$M,_xlpm.id),COUNTIF('7. MS'!$M:$M,_xlpm.id),COUNTIF('8. DS'!$M:$M,_xlpm.id),COUNTIF('9. RMF'!$M:$M,_xlpm.id),COUNTIF('10. PCU'!$M:$M,_xlpm.id))))</f>
        <v>1</v>
      </c>
    </row>
    <row r="776" spans="1:9">
      <c r="A776" t="s">
        <v>8775</v>
      </c>
      <c r="B776" t="s">
        <v>8736</v>
      </c>
      <c r="C776">
        <v>1837</v>
      </c>
      <c r="D776">
        <v>4</v>
      </c>
      <c r="E776" s="23">
        <v>11</v>
      </c>
      <c r="F776" t="s">
        <v>8102</v>
      </c>
      <c r="G776" t="s">
        <v>10484</v>
      </c>
      <c r="H776" t="s">
        <v>8021</v>
      </c>
      <c r="I776">
        <f>_xlfn.LET(_xlpm.id,TRIM($A776),IF(_xlpm.id="","",SUM(COUNTIF('1. OP'!$M:$M,_xlpm.id),COUNTIF('2. JSEL'!$M:$M,_xlpm.id),COUNTIF('3. PSM'!$M:$M,_xlpm.id),COUNTIF('4. SSP'!$M:$M,_xlpm.id),COUNTIF('5. JSACI'!$M:$M,_xlpm.id),COUNTIF('6. AIN'!$M:$M,_xlpm.id),COUNTIF('7. MS'!$M:$M,_xlpm.id),COUNTIF('8. DS'!$M:$M,_xlpm.id),COUNTIF('9. RMF'!$M:$M,_xlpm.id),COUNTIF('10. PCU'!$M:$M,_xlpm.id))))</f>
        <v>0</v>
      </c>
    </row>
    <row r="777" spans="1:9">
      <c r="A777" t="s">
        <v>8776</v>
      </c>
      <c r="B777" t="s">
        <v>8736</v>
      </c>
      <c r="C777">
        <v>1838</v>
      </c>
      <c r="D777">
        <v>4</v>
      </c>
      <c r="E777" s="23">
        <v>13</v>
      </c>
      <c r="F777" t="s">
        <v>8102</v>
      </c>
      <c r="G777" t="s">
        <v>10484</v>
      </c>
      <c r="H777" t="s">
        <v>8021</v>
      </c>
      <c r="I777">
        <f>_xlfn.LET(_xlpm.id,TRIM($A777),IF(_xlpm.id="","",SUM(COUNTIF('1. OP'!$M:$M,_xlpm.id),COUNTIF('2. JSEL'!$M:$M,_xlpm.id),COUNTIF('3. PSM'!$M:$M,_xlpm.id),COUNTIF('4. SSP'!$M:$M,_xlpm.id),COUNTIF('5. JSACI'!$M:$M,_xlpm.id),COUNTIF('6. AIN'!$M:$M,_xlpm.id),COUNTIF('7. MS'!$M:$M,_xlpm.id),COUNTIF('8. DS'!$M:$M,_xlpm.id),COUNTIF('9. RMF'!$M:$M,_xlpm.id),COUNTIF('10. PCU'!$M:$M,_xlpm.id))))</f>
        <v>0</v>
      </c>
    </row>
    <row r="778" spans="1:9">
      <c r="A778" t="s">
        <v>8777</v>
      </c>
      <c r="B778" t="s">
        <v>8736</v>
      </c>
      <c r="C778">
        <v>1838</v>
      </c>
      <c r="D778">
        <v>4</v>
      </c>
      <c r="E778" s="23">
        <v>15</v>
      </c>
      <c r="F778" t="s">
        <v>8102</v>
      </c>
      <c r="G778" t="s">
        <v>10484</v>
      </c>
      <c r="H778" t="s">
        <v>8021</v>
      </c>
      <c r="I778">
        <f>_xlfn.LET(_xlpm.id,TRIM($A778),IF(_xlpm.id="","",SUM(COUNTIF('1. OP'!$M:$M,_xlpm.id),COUNTIF('2. JSEL'!$M:$M,_xlpm.id),COUNTIF('3. PSM'!$M:$M,_xlpm.id),COUNTIF('4. SSP'!$M:$M,_xlpm.id),COUNTIF('5. JSACI'!$M:$M,_xlpm.id),COUNTIF('6. AIN'!$M:$M,_xlpm.id),COUNTIF('7. MS'!$M:$M,_xlpm.id),COUNTIF('8. DS'!$M:$M,_xlpm.id),COUNTIF('9. RMF'!$M:$M,_xlpm.id),COUNTIF('10. PCU'!$M:$M,_xlpm.id))))</f>
        <v>0</v>
      </c>
    </row>
    <row r="779" spans="1:9">
      <c r="A779" t="s">
        <v>7557</v>
      </c>
      <c r="B779" t="s">
        <v>8736</v>
      </c>
      <c r="C779">
        <v>1838</v>
      </c>
      <c r="D779">
        <v>4</v>
      </c>
      <c r="E779" s="23">
        <v>16</v>
      </c>
      <c r="F779" t="s">
        <v>8102</v>
      </c>
      <c r="G779" t="s">
        <v>10484</v>
      </c>
      <c r="H779" t="s">
        <v>8021</v>
      </c>
      <c r="I779">
        <f>_xlfn.LET(_xlpm.id,TRIM($A779),IF(_xlpm.id="","",SUM(COUNTIF('1. OP'!$M:$M,_xlpm.id),COUNTIF('2. JSEL'!$M:$M,_xlpm.id),COUNTIF('3. PSM'!$M:$M,_xlpm.id),COUNTIF('4. SSP'!$M:$M,_xlpm.id),COUNTIF('5. JSACI'!$M:$M,_xlpm.id),COUNTIF('6. AIN'!$M:$M,_xlpm.id),COUNTIF('7. MS'!$M:$M,_xlpm.id),COUNTIF('8. DS'!$M:$M,_xlpm.id),COUNTIF('9. RMF'!$M:$M,_xlpm.id),COUNTIF('10. PCU'!$M:$M,_xlpm.id))))</f>
        <v>1</v>
      </c>
    </row>
    <row r="780" spans="1:9">
      <c r="A780" t="s">
        <v>8778</v>
      </c>
      <c r="B780" t="s">
        <v>8736</v>
      </c>
      <c r="C780">
        <v>1838</v>
      </c>
      <c r="D780">
        <v>4</v>
      </c>
      <c r="E780" s="23">
        <v>17</v>
      </c>
      <c r="F780" t="s">
        <v>8102</v>
      </c>
      <c r="G780" t="s">
        <v>10484</v>
      </c>
      <c r="H780" t="s">
        <v>8021</v>
      </c>
      <c r="I780">
        <f>_xlfn.LET(_xlpm.id,TRIM($A780),IF(_xlpm.id="","",SUM(COUNTIF('1. OP'!$M:$M,_xlpm.id),COUNTIF('2. JSEL'!$M:$M,_xlpm.id),COUNTIF('3. PSM'!$M:$M,_xlpm.id),COUNTIF('4. SSP'!$M:$M,_xlpm.id),COUNTIF('5. JSACI'!$M:$M,_xlpm.id),COUNTIF('6. AIN'!$M:$M,_xlpm.id),COUNTIF('7. MS'!$M:$M,_xlpm.id),COUNTIF('8. DS'!$M:$M,_xlpm.id),COUNTIF('9. RMF'!$M:$M,_xlpm.id),COUNTIF('10. PCU'!$M:$M,_xlpm.id))))</f>
        <v>0</v>
      </c>
    </row>
    <row r="781" spans="1:9">
      <c r="A781" t="s">
        <v>8779</v>
      </c>
      <c r="B781" t="s">
        <v>8736</v>
      </c>
      <c r="C781">
        <v>1838</v>
      </c>
      <c r="D781">
        <v>4</v>
      </c>
      <c r="E781" s="23">
        <v>18</v>
      </c>
      <c r="F781" t="s">
        <v>8102</v>
      </c>
      <c r="G781" t="s">
        <v>10484</v>
      </c>
      <c r="H781" t="s">
        <v>8021</v>
      </c>
      <c r="I781">
        <f>_xlfn.LET(_xlpm.id,TRIM($A781),IF(_xlpm.id="","",SUM(COUNTIF('1. OP'!$M:$M,_xlpm.id),COUNTIF('2. JSEL'!$M:$M,_xlpm.id),COUNTIF('3. PSM'!$M:$M,_xlpm.id),COUNTIF('4. SSP'!$M:$M,_xlpm.id),COUNTIF('5. JSACI'!$M:$M,_xlpm.id),COUNTIF('6. AIN'!$M:$M,_xlpm.id),COUNTIF('7. MS'!$M:$M,_xlpm.id),COUNTIF('8. DS'!$M:$M,_xlpm.id),COUNTIF('9. RMF'!$M:$M,_xlpm.id),COUNTIF('10. PCU'!$M:$M,_xlpm.id))))</f>
        <v>0</v>
      </c>
    </row>
    <row r="782" spans="1:9">
      <c r="A782" t="s">
        <v>8780</v>
      </c>
      <c r="B782" t="s">
        <v>8736</v>
      </c>
      <c r="C782">
        <v>1839</v>
      </c>
      <c r="D782">
        <v>4</v>
      </c>
      <c r="E782" s="23">
        <v>19</v>
      </c>
      <c r="F782" t="s">
        <v>8102</v>
      </c>
      <c r="G782" t="s">
        <v>10484</v>
      </c>
      <c r="H782" t="s">
        <v>8021</v>
      </c>
      <c r="I782">
        <f>_xlfn.LET(_xlpm.id,TRIM($A782),IF(_xlpm.id="","",SUM(COUNTIF('1. OP'!$M:$M,_xlpm.id),COUNTIF('2. JSEL'!$M:$M,_xlpm.id),COUNTIF('3. PSM'!$M:$M,_xlpm.id),COUNTIF('4. SSP'!$M:$M,_xlpm.id),COUNTIF('5. JSACI'!$M:$M,_xlpm.id),COUNTIF('6. AIN'!$M:$M,_xlpm.id),COUNTIF('7. MS'!$M:$M,_xlpm.id),COUNTIF('8. DS'!$M:$M,_xlpm.id),COUNTIF('9. RMF'!$M:$M,_xlpm.id),COUNTIF('10. PCU'!$M:$M,_xlpm.id))))</f>
        <v>0</v>
      </c>
    </row>
    <row r="783" spans="1:9">
      <c r="A783" t="s">
        <v>8781</v>
      </c>
      <c r="B783" t="s">
        <v>8736</v>
      </c>
      <c r="C783">
        <v>1839</v>
      </c>
      <c r="D783">
        <v>4</v>
      </c>
      <c r="E783" s="23">
        <v>20</v>
      </c>
      <c r="F783" t="s">
        <v>8102</v>
      </c>
      <c r="G783" t="s">
        <v>10484</v>
      </c>
      <c r="H783" t="s">
        <v>8021</v>
      </c>
      <c r="I783">
        <f>_xlfn.LET(_xlpm.id,TRIM($A783),IF(_xlpm.id="","",SUM(COUNTIF('1. OP'!$M:$M,_xlpm.id),COUNTIF('2. JSEL'!$M:$M,_xlpm.id),COUNTIF('3. PSM'!$M:$M,_xlpm.id),COUNTIF('4. SSP'!$M:$M,_xlpm.id),COUNTIF('5. JSACI'!$M:$M,_xlpm.id),COUNTIF('6. AIN'!$M:$M,_xlpm.id),COUNTIF('7. MS'!$M:$M,_xlpm.id),COUNTIF('8. DS'!$M:$M,_xlpm.id),COUNTIF('9. RMF'!$M:$M,_xlpm.id),COUNTIF('10. PCU'!$M:$M,_xlpm.id))))</f>
        <v>0</v>
      </c>
    </row>
    <row r="784" spans="1:9">
      <c r="A784" t="s">
        <v>8782</v>
      </c>
      <c r="B784" t="s">
        <v>8736</v>
      </c>
      <c r="C784">
        <v>1839</v>
      </c>
      <c r="D784">
        <v>4</v>
      </c>
      <c r="E784" s="23">
        <v>21</v>
      </c>
      <c r="F784" t="s">
        <v>8102</v>
      </c>
      <c r="G784" t="s">
        <v>10484</v>
      </c>
      <c r="H784" t="s">
        <v>8021</v>
      </c>
      <c r="I784">
        <f>_xlfn.LET(_xlpm.id,TRIM($A784),IF(_xlpm.id="","",SUM(COUNTIF('1. OP'!$M:$M,_xlpm.id),COUNTIF('2. JSEL'!$M:$M,_xlpm.id),COUNTIF('3. PSM'!$M:$M,_xlpm.id),COUNTIF('4. SSP'!$M:$M,_xlpm.id),COUNTIF('5. JSACI'!$M:$M,_xlpm.id),COUNTIF('6. AIN'!$M:$M,_xlpm.id),COUNTIF('7. MS'!$M:$M,_xlpm.id),COUNTIF('8. DS'!$M:$M,_xlpm.id),COUNTIF('9. RMF'!$M:$M,_xlpm.id),COUNTIF('10. PCU'!$M:$M,_xlpm.id))))</f>
        <v>0</v>
      </c>
    </row>
    <row r="785" spans="1:9">
      <c r="A785" t="s">
        <v>8783</v>
      </c>
      <c r="B785" t="s">
        <v>8736</v>
      </c>
      <c r="C785">
        <v>1839</v>
      </c>
      <c r="D785">
        <v>4</v>
      </c>
      <c r="E785" s="23">
        <v>22</v>
      </c>
      <c r="F785" t="s">
        <v>8102</v>
      </c>
      <c r="G785" t="s">
        <v>10484</v>
      </c>
      <c r="H785" t="s">
        <v>8021</v>
      </c>
      <c r="I785">
        <f>_xlfn.LET(_xlpm.id,TRIM($A785),IF(_xlpm.id="","",SUM(COUNTIF('1. OP'!$M:$M,_xlpm.id),COUNTIF('2. JSEL'!$M:$M,_xlpm.id),COUNTIF('3. PSM'!$M:$M,_xlpm.id),COUNTIF('4. SSP'!$M:$M,_xlpm.id),COUNTIF('5. JSACI'!$M:$M,_xlpm.id),COUNTIF('6. AIN'!$M:$M,_xlpm.id),COUNTIF('7. MS'!$M:$M,_xlpm.id),COUNTIF('8. DS'!$M:$M,_xlpm.id),COUNTIF('9. RMF'!$M:$M,_xlpm.id),COUNTIF('10. PCU'!$M:$M,_xlpm.id))))</f>
        <v>0</v>
      </c>
    </row>
    <row r="786" spans="1:9">
      <c r="A786" t="s">
        <v>8784</v>
      </c>
      <c r="B786" t="s">
        <v>8736</v>
      </c>
      <c r="C786">
        <v>1839</v>
      </c>
      <c r="D786">
        <v>4</v>
      </c>
      <c r="E786" s="23">
        <v>23</v>
      </c>
      <c r="F786" t="s">
        <v>8102</v>
      </c>
      <c r="G786" t="s">
        <v>10484</v>
      </c>
      <c r="H786" t="s">
        <v>8021</v>
      </c>
      <c r="I786">
        <f>_xlfn.LET(_xlpm.id,TRIM($A786),IF(_xlpm.id="","",SUM(COUNTIF('1. OP'!$M:$M,_xlpm.id),COUNTIF('2. JSEL'!$M:$M,_xlpm.id),COUNTIF('3. PSM'!$M:$M,_xlpm.id),COUNTIF('4. SSP'!$M:$M,_xlpm.id),COUNTIF('5. JSACI'!$M:$M,_xlpm.id),COUNTIF('6. AIN'!$M:$M,_xlpm.id),COUNTIF('7. MS'!$M:$M,_xlpm.id),COUNTIF('8. DS'!$M:$M,_xlpm.id),COUNTIF('9. RMF'!$M:$M,_xlpm.id),COUNTIF('10. PCU'!$M:$M,_xlpm.id))))</f>
        <v>0</v>
      </c>
    </row>
    <row r="787" spans="1:9">
      <c r="A787" t="s">
        <v>8785</v>
      </c>
      <c r="B787" t="s">
        <v>8736</v>
      </c>
      <c r="C787">
        <v>1839</v>
      </c>
      <c r="D787">
        <v>4</v>
      </c>
      <c r="E787" s="23">
        <v>24</v>
      </c>
      <c r="F787" t="s">
        <v>8102</v>
      </c>
      <c r="G787" t="s">
        <v>10484</v>
      </c>
      <c r="H787" t="s">
        <v>8021</v>
      </c>
      <c r="I787">
        <f>_xlfn.LET(_xlpm.id,TRIM($A787),IF(_xlpm.id="","",SUM(COUNTIF('1. OP'!$M:$M,_xlpm.id),COUNTIF('2. JSEL'!$M:$M,_xlpm.id),COUNTIF('3. PSM'!$M:$M,_xlpm.id),COUNTIF('4. SSP'!$M:$M,_xlpm.id),COUNTIF('5. JSACI'!$M:$M,_xlpm.id),COUNTIF('6. AIN'!$M:$M,_xlpm.id),COUNTIF('7. MS'!$M:$M,_xlpm.id),COUNTIF('8. DS'!$M:$M,_xlpm.id),COUNTIF('9. RMF'!$M:$M,_xlpm.id),COUNTIF('10. PCU'!$M:$M,_xlpm.id))))</f>
        <v>0</v>
      </c>
    </row>
    <row r="788" spans="1:9">
      <c r="A788" t="s">
        <v>8786</v>
      </c>
      <c r="B788" t="s">
        <v>8736</v>
      </c>
      <c r="C788">
        <v>1840</v>
      </c>
      <c r="D788">
        <v>4</v>
      </c>
      <c r="E788" s="23">
        <v>25</v>
      </c>
      <c r="F788" t="s">
        <v>8102</v>
      </c>
      <c r="G788" t="s">
        <v>10484</v>
      </c>
      <c r="H788" t="s">
        <v>8021</v>
      </c>
      <c r="I788">
        <f>_xlfn.LET(_xlpm.id,TRIM($A788),IF(_xlpm.id="","",SUM(COUNTIF('1. OP'!$M:$M,_xlpm.id),COUNTIF('2. JSEL'!$M:$M,_xlpm.id),COUNTIF('3. PSM'!$M:$M,_xlpm.id),COUNTIF('4. SSP'!$M:$M,_xlpm.id),COUNTIF('5. JSACI'!$M:$M,_xlpm.id),COUNTIF('6. AIN'!$M:$M,_xlpm.id),COUNTIF('7. MS'!$M:$M,_xlpm.id),COUNTIF('8. DS'!$M:$M,_xlpm.id),COUNTIF('9. RMF'!$M:$M,_xlpm.id),COUNTIF('10. PCU'!$M:$M,_xlpm.id))))</f>
        <v>0</v>
      </c>
    </row>
    <row r="789" spans="1:9">
      <c r="A789" t="s">
        <v>8787</v>
      </c>
      <c r="B789" t="s">
        <v>8736</v>
      </c>
      <c r="C789">
        <v>1840</v>
      </c>
      <c r="D789">
        <v>4</v>
      </c>
      <c r="E789" s="23">
        <v>26</v>
      </c>
      <c r="F789" t="s">
        <v>8102</v>
      </c>
      <c r="G789" t="s">
        <v>10484</v>
      </c>
      <c r="H789" t="s">
        <v>8021</v>
      </c>
      <c r="I789">
        <f>_xlfn.LET(_xlpm.id,TRIM($A789),IF(_xlpm.id="","",SUM(COUNTIF('1. OP'!$M:$M,_xlpm.id),COUNTIF('2. JSEL'!$M:$M,_xlpm.id),COUNTIF('3. PSM'!$M:$M,_xlpm.id),COUNTIF('4. SSP'!$M:$M,_xlpm.id),COUNTIF('5. JSACI'!$M:$M,_xlpm.id),COUNTIF('6. AIN'!$M:$M,_xlpm.id),COUNTIF('7. MS'!$M:$M,_xlpm.id),COUNTIF('8. DS'!$M:$M,_xlpm.id),COUNTIF('9. RMF'!$M:$M,_xlpm.id),COUNTIF('10. PCU'!$M:$M,_xlpm.id))))</f>
        <v>0</v>
      </c>
    </row>
    <row r="790" spans="1:9">
      <c r="A790" t="s">
        <v>8788</v>
      </c>
      <c r="B790" t="s">
        <v>8736</v>
      </c>
      <c r="C790">
        <v>1840</v>
      </c>
      <c r="D790">
        <v>4</v>
      </c>
      <c r="E790" s="23">
        <v>27</v>
      </c>
      <c r="F790" t="s">
        <v>8102</v>
      </c>
      <c r="G790" t="s">
        <v>10484</v>
      </c>
      <c r="H790" t="s">
        <v>8021</v>
      </c>
      <c r="I790">
        <f>_xlfn.LET(_xlpm.id,TRIM($A790),IF(_xlpm.id="","",SUM(COUNTIF('1. OP'!$M:$M,_xlpm.id),COUNTIF('2. JSEL'!$M:$M,_xlpm.id),COUNTIF('3. PSM'!$M:$M,_xlpm.id),COUNTIF('4. SSP'!$M:$M,_xlpm.id),COUNTIF('5. JSACI'!$M:$M,_xlpm.id),COUNTIF('6. AIN'!$M:$M,_xlpm.id),COUNTIF('7. MS'!$M:$M,_xlpm.id),COUNTIF('8. DS'!$M:$M,_xlpm.id),COUNTIF('9. RMF'!$M:$M,_xlpm.id),COUNTIF('10. PCU'!$M:$M,_xlpm.id))))</f>
        <v>0</v>
      </c>
    </row>
    <row r="791" spans="1:9">
      <c r="A791" t="s">
        <v>8789</v>
      </c>
      <c r="B791" t="s">
        <v>8736</v>
      </c>
      <c r="C791">
        <v>1840</v>
      </c>
      <c r="D791">
        <v>4</v>
      </c>
      <c r="E791" s="23">
        <v>28</v>
      </c>
      <c r="F791" t="s">
        <v>8102</v>
      </c>
      <c r="G791" t="s">
        <v>10484</v>
      </c>
      <c r="H791" t="s">
        <v>8021</v>
      </c>
      <c r="I791">
        <f>_xlfn.LET(_xlpm.id,TRIM($A791),IF(_xlpm.id="","",SUM(COUNTIF('1. OP'!$M:$M,_xlpm.id),COUNTIF('2. JSEL'!$M:$M,_xlpm.id),COUNTIF('3. PSM'!$M:$M,_xlpm.id),COUNTIF('4. SSP'!$M:$M,_xlpm.id),COUNTIF('5. JSACI'!$M:$M,_xlpm.id),COUNTIF('6. AIN'!$M:$M,_xlpm.id),COUNTIF('7. MS'!$M:$M,_xlpm.id),COUNTIF('8. DS'!$M:$M,_xlpm.id),COUNTIF('9. RMF'!$M:$M,_xlpm.id),COUNTIF('10. PCU'!$M:$M,_xlpm.id))))</f>
        <v>0</v>
      </c>
    </row>
    <row r="792" spans="1:9">
      <c r="A792" t="s">
        <v>8790</v>
      </c>
      <c r="B792" t="s">
        <v>8736</v>
      </c>
      <c r="C792">
        <v>1840</v>
      </c>
      <c r="D792">
        <v>4</v>
      </c>
      <c r="E792" s="23">
        <v>29</v>
      </c>
      <c r="F792" t="s">
        <v>8102</v>
      </c>
      <c r="G792" t="s">
        <v>10484</v>
      </c>
      <c r="H792" t="s">
        <v>8021</v>
      </c>
      <c r="I792">
        <f>_xlfn.LET(_xlpm.id,TRIM($A792),IF(_xlpm.id="","",SUM(COUNTIF('1. OP'!$M:$M,_xlpm.id),COUNTIF('2. JSEL'!$M:$M,_xlpm.id),COUNTIF('3. PSM'!$M:$M,_xlpm.id),COUNTIF('4. SSP'!$M:$M,_xlpm.id),COUNTIF('5. JSACI'!$M:$M,_xlpm.id),COUNTIF('6. AIN'!$M:$M,_xlpm.id),COUNTIF('7. MS'!$M:$M,_xlpm.id),COUNTIF('8. DS'!$M:$M,_xlpm.id),COUNTIF('9. RMF'!$M:$M,_xlpm.id),COUNTIF('10. PCU'!$M:$M,_xlpm.id))))</f>
        <v>0</v>
      </c>
    </row>
    <row r="793" spans="1:9">
      <c r="A793" t="s">
        <v>8791</v>
      </c>
      <c r="B793" t="s">
        <v>8736</v>
      </c>
      <c r="C793">
        <v>1840</v>
      </c>
      <c r="D793">
        <v>4</v>
      </c>
      <c r="E793" s="23">
        <v>30</v>
      </c>
      <c r="F793" t="s">
        <v>8102</v>
      </c>
      <c r="G793" t="s">
        <v>10484</v>
      </c>
      <c r="H793" t="s">
        <v>8021</v>
      </c>
      <c r="I793">
        <f>_xlfn.LET(_xlpm.id,TRIM($A793),IF(_xlpm.id="","",SUM(COUNTIF('1. OP'!$M:$M,_xlpm.id),COUNTIF('2. JSEL'!$M:$M,_xlpm.id),COUNTIF('3. PSM'!$M:$M,_xlpm.id),COUNTIF('4. SSP'!$M:$M,_xlpm.id),COUNTIF('5. JSACI'!$M:$M,_xlpm.id),COUNTIF('6. AIN'!$M:$M,_xlpm.id),COUNTIF('7. MS'!$M:$M,_xlpm.id),COUNTIF('8. DS'!$M:$M,_xlpm.id),COUNTIF('9. RMF'!$M:$M,_xlpm.id),COUNTIF('10. PCU'!$M:$M,_xlpm.id))))</f>
        <v>0</v>
      </c>
    </row>
    <row r="794" spans="1:9">
      <c r="A794" t="s">
        <v>6389</v>
      </c>
      <c r="B794" t="s">
        <v>8792</v>
      </c>
      <c r="C794">
        <v>1825</v>
      </c>
      <c r="D794">
        <v>1</v>
      </c>
      <c r="E794" s="23">
        <v>1</v>
      </c>
      <c r="F794" t="s">
        <v>8102</v>
      </c>
      <c r="G794" t="s">
        <v>10490</v>
      </c>
      <c r="H794" t="s">
        <v>8092</v>
      </c>
      <c r="I794">
        <f>_xlfn.LET(_xlpm.id,TRIM($A794),IF(_xlpm.id="","",SUM(COUNTIF('1. OP'!$M:$M,_xlpm.id),COUNTIF('2. JSEL'!$M:$M,_xlpm.id),COUNTIF('3. PSM'!$M:$M,_xlpm.id),COUNTIF('4. SSP'!$M:$M,_xlpm.id),COUNTIF('5. JSACI'!$M:$M,_xlpm.id),COUNTIF('6. AIN'!$M:$M,_xlpm.id),COUNTIF('7. MS'!$M:$M,_xlpm.id),COUNTIF('8. DS'!$M:$M,_xlpm.id),COUNTIF('9. RMF'!$M:$M,_xlpm.id),COUNTIF('10. PCU'!$M:$M,_xlpm.id))))</f>
        <v>1</v>
      </c>
    </row>
    <row r="795" spans="1:9">
      <c r="A795" t="s">
        <v>6400</v>
      </c>
      <c r="B795" t="s">
        <v>8792</v>
      </c>
      <c r="C795">
        <v>1826</v>
      </c>
      <c r="D795">
        <v>1</v>
      </c>
      <c r="E795" s="23">
        <v>1</v>
      </c>
      <c r="F795" t="s">
        <v>8102</v>
      </c>
      <c r="G795" t="s">
        <v>10490</v>
      </c>
      <c r="H795" t="s">
        <v>8092</v>
      </c>
      <c r="I795">
        <f>_xlfn.LET(_xlpm.id,TRIM($A795),IF(_xlpm.id="","",SUM(COUNTIF('1. OP'!$M:$M,_xlpm.id),COUNTIF('2. JSEL'!$M:$M,_xlpm.id),COUNTIF('3. PSM'!$M:$M,_xlpm.id),COUNTIF('4. SSP'!$M:$M,_xlpm.id),COUNTIF('5. JSACI'!$M:$M,_xlpm.id),COUNTIF('6. AIN'!$M:$M,_xlpm.id),COUNTIF('7. MS'!$M:$M,_xlpm.id),COUNTIF('8. DS'!$M:$M,_xlpm.id),COUNTIF('9. RMF'!$M:$M,_xlpm.id),COUNTIF('10. PCU'!$M:$M,_xlpm.id))))</f>
        <v>3</v>
      </c>
    </row>
    <row r="796" spans="1:9">
      <c r="A796" t="s">
        <v>8793</v>
      </c>
      <c r="B796" t="s">
        <v>8792</v>
      </c>
      <c r="C796">
        <v>1826</v>
      </c>
      <c r="D796">
        <v>1</v>
      </c>
      <c r="E796" s="23">
        <v>2</v>
      </c>
      <c r="F796" t="s">
        <v>8102</v>
      </c>
      <c r="G796" t="s">
        <v>10490</v>
      </c>
      <c r="H796" t="s">
        <v>8092</v>
      </c>
      <c r="I796">
        <f>_xlfn.LET(_xlpm.id,TRIM($A796),IF(_xlpm.id="","",SUM(COUNTIF('1. OP'!$M:$M,_xlpm.id),COUNTIF('2. JSEL'!$M:$M,_xlpm.id),COUNTIF('3. PSM'!$M:$M,_xlpm.id),COUNTIF('4. SSP'!$M:$M,_xlpm.id),COUNTIF('5. JSACI'!$M:$M,_xlpm.id),COUNTIF('6. AIN'!$M:$M,_xlpm.id),COUNTIF('7. MS'!$M:$M,_xlpm.id),COUNTIF('8. DS'!$M:$M,_xlpm.id),COUNTIF('9. RMF'!$M:$M,_xlpm.id),COUNTIF('10. PCU'!$M:$M,_xlpm.id))))</f>
        <v>0</v>
      </c>
    </row>
    <row r="797" spans="1:9">
      <c r="A797" t="s">
        <v>8794</v>
      </c>
      <c r="B797" t="s">
        <v>8792</v>
      </c>
      <c r="C797">
        <v>1827</v>
      </c>
      <c r="D797">
        <v>1</v>
      </c>
      <c r="E797" s="23">
        <v>1</v>
      </c>
      <c r="F797" t="s">
        <v>8102</v>
      </c>
      <c r="G797" t="s">
        <v>10490</v>
      </c>
      <c r="H797" t="s">
        <v>8092</v>
      </c>
      <c r="I797">
        <f>_xlfn.LET(_xlpm.id,TRIM($A797),IF(_xlpm.id="","",SUM(COUNTIF('1. OP'!$M:$M,_xlpm.id),COUNTIF('2. JSEL'!$M:$M,_xlpm.id),COUNTIF('3. PSM'!$M:$M,_xlpm.id),COUNTIF('4. SSP'!$M:$M,_xlpm.id),COUNTIF('5. JSACI'!$M:$M,_xlpm.id),COUNTIF('6. AIN'!$M:$M,_xlpm.id),COUNTIF('7. MS'!$M:$M,_xlpm.id),COUNTIF('8. DS'!$M:$M,_xlpm.id),COUNTIF('9. RMF'!$M:$M,_xlpm.id),COUNTIF('10. PCU'!$M:$M,_xlpm.id))))</f>
        <v>0</v>
      </c>
    </row>
    <row r="798" spans="1:9">
      <c r="A798" t="s">
        <v>8795</v>
      </c>
      <c r="B798" t="s">
        <v>8792</v>
      </c>
      <c r="C798">
        <v>1827</v>
      </c>
      <c r="D798">
        <v>1</v>
      </c>
      <c r="E798" s="23">
        <v>2</v>
      </c>
      <c r="F798" t="s">
        <v>8102</v>
      </c>
      <c r="G798" t="s">
        <v>10490</v>
      </c>
      <c r="H798" t="s">
        <v>8092</v>
      </c>
      <c r="I798">
        <f>_xlfn.LET(_xlpm.id,TRIM($A798),IF(_xlpm.id="","",SUM(COUNTIF('1. OP'!$M:$M,_xlpm.id),COUNTIF('2. JSEL'!$M:$M,_xlpm.id),COUNTIF('3. PSM'!$M:$M,_xlpm.id),COUNTIF('4. SSP'!$M:$M,_xlpm.id),COUNTIF('5. JSACI'!$M:$M,_xlpm.id),COUNTIF('6. AIN'!$M:$M,_xlpm.id),COUNTIF('7. MS'!$M:$M,_xlpm.id),COUNTIF('8. DS'!$M:$M,_xlpm.id),COUNTIF('9. RMF'!$M:$M,_xlpm.id),COUNTIF('10. PCU'!$M:$M,_xlpm.id))))</f>
        <v>0</v>
      </c>
    </row>
    <row r="799" spans="1:9">
      <c r="A799" t="s">
        <v>8796</v>
      </c>
      <c r="B799" t="s">
        <v>8792</v>
      </c>
      <c r="C799">
        <v>1828</v>
      </c>
      <c r="D799">
        <v>1</v>
      </c>
      <c r="E799" s="23">
        <v>1</v>
      </c>
      <c r="F799" t="s">
        <v>8102</v>
      </c>
      <c r="G799" t="s">
        <v>10490</v>
      </c>
      <c r="H799" t="s">
        <v>8092</v>
      </c>
      <c r="I799">
        <f>_xlfn.LET(_xlpm.id,TRIM($A799),IF(_xlpm.id="","",SUM(COUNTIF('1. OP'!$M:$M,_xlpm.id),COUNTIF('2. JSEL'!$M:$M,_xlpm.id),COUNTIF('3. PSM'!$M:$M,_xlpm.id),COUNTIF('4. SSP'!$M:$M,_xlpm.id),COUNTIF('5. JSACI'!$M:$M,_xlpm.id),COUNTIF('6. AIN'!$M:$M,_xlpm.id),COUNTIF('7. MS'!$M:$M,_xlpm.id),COUNTIF('8. DS'!$M:$M,_xlpm.id),COUNTIF('9. RMF'!$M:$M,_xlpm.id),COUNTIF('10. PCU'!$M:$M,_xlpm.id))))</f>
        <v>0</v>
      </c>
    </row>
    <row r="800" spans="1:9">
      <c r="A800" t="s">
        <v>8797</v>
      </c>
      <c r="B800" t="s">
        <v>8792</v>
      </c>
      <c r="C800">
        <v>1828</v>
      </c>
      <c r="D800">
        <v>1</v>
      </c>
      <c r="E800" s="23">
        <v>2</v>
      </c>
      <c r="F800" t="s">
        <v>8102</v>
      </c>
      <c r="G800" t="s">
        <v>10490</v>
      </c>
      <c r="H800" t="s">
        <v>8092</v>
      </c>
      <c r="I800">
        <f>_xlfn.LET(_xlpm.id,TRIM($A800),IF(_xlpm.id="","",SUM(COUNTIF('1. OP'!$M:$M,_xlpm.id),COUNTIF('2. JSEL'!$M:$M,_xlpm.id),COUNTIF('3. PSM'!$M:$M,_xlpm.id),COUNTIF('4. SSP'!$M:$M,_xlpm.id),COUNTIF('5. JSACI'!$M:$M,_xlpm.id),COUNTIF('6. AIN'!$M:$M,_xlpm.id),COUNTIF('7. MS'!$M:$M,_xlpm.id),COUNTIF('8. DS'!$M:$M,_xlpm.id),COUNTIF('9. RMF'!$M:$M,_xlpm.id),COUNTIF('10. PCU'!$M:$M,_xlpm.id))))</f>
        <v>0</v>
      </c>
    </row>
    <row r="801" spans="1:9">
      <c r="A801" t="s">
        <v>8798</v>
      </c>
      <c r="B801" t="s">
        <v>8792</v>
      </c>
      <c r="C801">
        <v>1829</v>
      </c>
      <c r="D801">
        <v>1</v>
      </c>
      <c r="E801" s="23">
        <v>1</v>
      </c>
      <c r="F801" t="s">
        <v>8102</v>
      </c>
      <c r="G801" t="s">
        <v>10490</v>
      </c>
      <c r="H801" t="s">
        <v>8092</v>
      </c>
      <c r="I801">
        <f>_xlfn.LET(_xlpm.id,TRIM($A801),IF(_xlpm.id="","",SUM(COUNTIF('1. OP'!$M:$M,_xlpm.id),COUNTIF('2. JSEL'!$M:$M,_xlpm.id),COUNTIF('3. PSM'!$M:$M,_xlpm.id),COUNTIF('4. SSP'!$M:$M,_xlpm.id),COUNTIF('5. JSACI'!$M:$M,_xlpm.id),COUNTIF('6. AIN'!$M:$M,_xlpm.id),COUNTIF('7. MS'!$M:$M,_xlpm.id),COUNTIF('8. DS'!$M:$M,_xlpm.id),COUNTIF('9. RMF'!$M:$M,_xlpm.id),COUNTIF('10. PCU'!$M:$M,_xlpm.id))))</f>
        <v>0</v>
      </c>
    </row>
    <row r="802" spans="1:9">
      <c r="A802" t="s">
        <v>8799</v>
      </c>
      <c r="B802" t="s">
        <v>8792</v>
      </c>
      <c r="C802">
        <v>1829</v>
      </c>
      <c r="D802">
        <v>1</v>
      </c>
      <c r="E802" s="23">
        <v>2</v>
      </c>
      <c r="F802" t="s">
        <v>8102</v>
      </c>
      <c r="G802" t="s">
        <v>10490</v>
      </c>
      <c r="H802" t="s">
        <v>8092</v>
      </c>
      <c r="I802">
        <f>_xlfn.LET(_xlpm.id,TRIM($A802),IF(_xlpm.id="","",SUM(COUNTIF('1. OP'!$M:$M,_xlpm.id),COUNTIF('2. JSEL'!$M:$M,_xlpm.id),COUNTIF('3. PSM'!$M:$M,_xlpm.id),COUNTIF('4. SSP'!$M:$M,_xlpm.id),COUNTIF('5. JSACI'!$M:$M,_xlpm.id),COUNTIF('6. AIN'!$M:$M,_xlpm.id),COUNTIF('7. MS'!$M:$M,_xlpm.id),COUNTIF('8. DS'!$M:$M,_xlpm.id),COUNTIF('9. RMF'!$M:$M,_xlpm.id),COUNTIF('10. PCU'!$M:$M,_xlpm.id))))</f>
        <v>0</v>
      </c>
    </row>
    <row r="803" spans="1:9">
      <c r="A803" t="s">
        <v>8800</v>
      </c>
      <c r="B803" t="s">
        <v>8792</v>
      </c>
      <c r="C803">
        <v>1830</v>
      </c>
      <c r="D803">
        <v>2</v>
      </c>
      <c r="E803" s="23">
        <v>1</v>
      </c>
      <c r="F803" t="s">
        <v>8102</v>
      </c>
      <c r="G803" t="s">
        <v>10490</v>
      </c>
      <c r="H803" t="s">
        <v>8092</v>
      </c>
      <c r="I803">
        <f>_xlfn.LET(_xlpm.id,TRIM($A803),IF(_xlpm.id="","",SUM(COUNTIF('1. OP'!$M:$M,_xlpm.id),COUNTIF('2. JSEL'!$M:$M,_xlpm.id),COUNTIF('3. PSM'!$M:$M,_xlpm.id),COUNTIF('4. SSP'!$M:$M,_xlpm.id),COUNTIF('5. JSACI'!$M:$M,_xlpm.id),COUNTIF('6. AIN'!$M:$M,_xlpm.id),COUNTIF('7. MS'!$M:$M,_xlpm.id),COUNTIF('8. DS'!$M:$M,_xlpm.id),COUNTIF('9. RMF'!$M:$M,_xlpm.id),COUNTIF('10. PCU'!$M:$M,_xlpm.id))))</f>
        <v>0</v>
      </c>
    </row>
    <row r="804" spans="1:9">
      <c r="A804" t="s">
        <v>7179</v>
      </c>
      <c r="B804" t="s">
        <v>8792</v>
      </c>
      <c r="C804">
        <v>1830</v>
      </c>
      <c r="D804">
        <v>2</v>
      </c>
      <c r="E804" s="23">
        <v>2</v>
      </c>
      <c r="F804" t="s">
        <v>8102</v>
      </c>
      <c r="G804" t="s">
        <v>10490</v>
      </c>
      <c r="H804" t="s">
        <v>8092</v>
      </c>
      <c r="I804">
        <f>_xlfn.LET(_xlpm.id,TRIM($A804),IF(_xlpm.id="","",SUM(COUNTIF('1. OP'!$M:$M,_xlpm.id),COUNTIF('2. JSEL'!$M:$M,_xlpm.id),COUNTIF('3. PSM'!$M:$M,_xlpm.id),COUNTIF('4. SSP'!$M:$M,_xlpm.id),COUNTIF('5. JSACI'!$M:$M,_xlpm.id),COUNTIF('6. AIN'!$M:$M,_xlpm.id),COUNTIF('7. MS'!$M:$M,_xlpm.id),COUNTIF('8. DS'!$M:$M,_xlpm.id),COUNTIF('9. RMF'!$M:$M,_xlpm.id),COUNTIF('10. PCU'!$M:$M,_xlpm.id))))</f>
        <v>1</v>
      </c>
    </row>
    <row r="805" spans="1:9">
      <c r="A805" t="s">
        <v>8801</v>
      </c>
      <c r="B805" t="s">
        <v>8792</v>
      </c>
      <c r="C805">
        <v>1831</v>
      </c>
      <c r="D805">
        <v>2</v>
      </c>
      <c r="E805" s="23">
        <v>4</v>
      </c>
      <c r="F805" t="s">
        <v>8102</v>
      </c>
      <c r="G805" t="s">
        <v>10490</v>
      </c>
      <c r="H805" t="s">
        <v>8092</v>
      </c>
      <c r="I805">
        <f>_xlfn.LET(_xlpm.id,TRIM($A805),IF(_xlpm.id="","",SUM(COUNTIF('1. OP'!$M:$M,_xlpm.id),COUNTIF('2. JSEL'!$M:$M,_xlpm.id),COUNTIF('3. PSM'!$M:$M,_xlpm.id),COUNTIF('4. SSP'!$M:$M,_xlpm.id),COUNTIF('5. JSACI'!$M:$M,_xlpm.id),COUNTIF('6. AIN'!$M:$M,_xlpm.id),COUNTIF('7. MS'!$M:$M,_xlpm.id),COUNTIF('8. DS'!$M:$M,_xlpm.id),COUNTIF('9. RMF'!$M:$M,_xlpm.id),COUNTIF('10. PCU'!$M:$M,_xlpm.id))))</f>
        <v>0</v>
      </c>
    </row>
    <row r="806" spans="1:9">
      <c r="A806" t="s">
        <v>8802</v>
      </c>
      <c r="B806" t="s">
        <v>8792</v>
      </c>
      <c r="C806">
        <v>1832</v>
      </c>
      <c r="D806">
        <v>2</v>
      </c>
      <c r="E806" s="23">
        <v>5</v>
      </c>
      <c r="F806" t="s">
        <v>8102</v>
      </c>
      <c r="G806" t="s">
        <v>10490</v>
      </c>
      <c r="H806" t="s">
        <v>8092</v>
      </c>
      <c r="I806">
        <f>_xlfn.LET(_xlpm.id,TRIM($A806),IF(_xlpm.id="","",SUM(COUNTIF('1. OP'!$M:$M,_xlpm.id),COUNTIF('2. JSEL'!$M:$M,_xlpm.id),COUNTIF('3. PSM'!$M:$M,_xlpm.id),COUNTIF('4. SSP'!$M:$M,_xlpm.id),COUNTIF('5. JSACI'!$M:$M,_xlpm.id),COUNTIF('6. AIN'!$M:$M,_xlpm.id),COUNTIF('7. MS'!$M:$M,_xlpm.id),COUNTIF('8. DS'!$M:$M,_xlpm.id),COUNTIF('9. RMF'!$M:$M,_xlpm.id),COUNTIF('10. PCU'!$M:$M,_xlpm.id))))</f>
        <v>0</v>
      </c>
    </row>
    <row r="807" spans="1:9">
      <c r="A807" t="s">
        <v>8803</v>
      </c>
      <c r="B807" t="s">
        <v>8792</v>
      </c>
      <c r="C807">
        <v>1833</v>
      </c>
      <c r="D807">
        <v>3</v>
      </c>
      <c r="E807" s="23">
        <v>1</v>
      </c>
      <c r="F807" t="s">
        <v>8102</v>
      </c>
      <c r="G807" t="s">
        <v>10490</v>
      </c>
      <c r="H807" t="s">
        <v>8092</v>
      </c>
      <c r="I807">
        <f>_xlfn.LET(_xlpm.id,TRIM($A807),IF(_xlpm.id="","",SUM(COUNTIF('1. OP'!$M:$M,_xlpm.id),COUNTIF('2. JSEL'!$M:$M,_xlpm.id),COUNTIF('3. PSM'!$M:$M,_xlpm.id),COUNTIF('4. SSP'!$M:$M,_xlpm.id),COUNTIF('5. JSACI'!$M:$M,_xlpm.id),COUNTIF('6. AIN'!$M:$M,_xlpm.id),COUNTIF('7. MS'!$M:$M,_xlpm.id),COUNTIF('8. DS'!$M:$M,_xlpm.id),COUNTIF('9. RMF'!$M:$M,_xlpm.id),COUNTIF('10. PCU'!$M:$M,_xlpm.id))))</f>
        <v>0</v>
      </c>
    </row>
    <row r="808" spans="1:9">
      <c r="A808" t="s">
        <v>6523</v>
      </c>
      <c r="B808" t="s">
        <v>8792</v>
      </c>
      <c r="C808">
        <v>1833</v>
      </c>
      <c r="D808">
        <v>3</v>
      </c>
      <c r="E808" s="23">
        <v>2</v>
      </c>
      <c r="F808" t="s">
        <v>8102</v>
      </c>
      <c r="G808" t="s">
        <v>10490</v>
      </c>
      <c r="H808" t="s">
        <v>8092</v>
      </c>
      <c r="I808">
        <f>_xlfn.LET(_xlpm.id,TRIM($A808),IF(_xlpm.id="","",SUM(COUNTIF('1. OP'!$M:$M,_xlpm.id),COUNTIF('2. JSEL'!$M:$M,_xlpm.id),COUNTIF('3. PSM'!$M:$M,_xlpm.id),COUNTIF('4. SSP'!$M:$M,_xlpm.id),COUNTIF('5. JSACI'!$M:$M,_xlpm.id),COUNTIF('6. AIN'!$M:$M,_xlpm.id),COUNTIF('7. MS'!$M:$M,_xlpm.id),COUNTIF('8. DS'!$M:$M,_xlpm.id),COUNTIF('9. RMF'!$M:$M,_xlpm.id),COUNTIF('10. PCU'!$M:$M,_xlpm.id))))</f>
        <v>2</v>
      </c>
    </row>
    <row r="809" spans="1:9">
      <c r="A809" t="s">
        <v>8804</v>
      </c>
      <c r="B809" t="s">
        <v>8792</v>
      </c>
      <c r="C809">
        <v>1834</v>
      </c>
      <c r="D809">
        <v>3</v>
      </c>
      <c r="E809" s="23">
        <v>2</v>
      </c>
      <c r="F809" t="s">
        <v>8102</v>
      </c>
      <c r="G809" t="s">
        <v>10490</v>
      </c>
      <c r="H809" t="s">
        <v>8092</v>
      </c>
      <c r="I809">
        <f>_xlfn.LET(_xlpm.id,TRIM($A809),IF(_xlpm.id="","",SUM(COUNTIF('1. OP'!$M:$M,_xlpm.id),COUNTIF('2. JSEL'!$M:$M,_xlpm.id),COUNTIF('3. PSM'!$M:$M,_xlpm.id),COUNTIF('4. SSP'!$M:$M,_xlpm.id),COUNTIF('5. JSACI'!$M:$M,_xlpm.id),COUNTIF('6. AIN'!$M:$M,_xlpm.id),COUNTIF('7. MS'!$M:$M,_xlpm.id),COUNTIF('8. DS'!$M:$M,_xlpm.id),COUNTIF('9. RMF'!$M:$M,_xlpm.id),COUNTIF('10. PCU'!$M:$M,_xlpm.id))))</f>
        <v>0</v>
      </c>
    </row>
    <row r="810" spans="1:9">
      <c r="A810" t="s">
        <v>6475</v>
      </c>
      <c r="B810" t="s">
        <v>8792</v>
      </c>
      <c r="C810">
        <v>1835</v>
      </c>
      <c r="D810">
        <v>3</v>
      </c>
      <c r="E810" s="23">
        <v>2</v>
      </c>
      <c r="F810" t="s">
        <v>8102</v>
      </c>
      <c r="G810" t="s">
        <v>10490</v>
      </c>
      <c r="H810" t="s">
        <v>8092</v>
      </c>
      <c r="I810">
        <f>_xlfn.LET(_xlpm.id,TRIM($A810),IF(_xlpm.id="","",SUM(COUNTIF('1. OP'!$M:$M,_xlpm.id),COUNTIF('2. JSEL'!$M:$M,_xlpm.id),COUNTIF('3. PSM'!$M:$M,_xlpm.id),COUNTIF('4. SSP'!$M:$M,_xlpm.id),COUNTIF('5. JSACI'!$M:$M,_xlpm.id),COUNTIF('6. AIN'!$M:$M,_xlpm.id),COUNTIF('7. MS'!$M:$M,_xlpm.id),COUNTIF('8. DS'!$M:$M,_xlpm.id),COUNTIF('9. RMF'!$M:$M,_xlpm.id),COUNTIF('10. PCU'!$M:$M,_xlpm.id))))</f>
        <v>1</v>
      </c>
    </row>
    <row r="811" spans="1:9">
      <c r="A811" t="s">
        <v>8805</v>
      </c>
      <c r="B811" t="s">
        <v>8792</v>
      </c>
      <c r="C811">
        <v>1836</v>
      </c>
      <c r="D811">
        <v>4</v>
      </c>
      <c r="E811" s="23">
        <v>1</v>
      </c>
      <c r="F811" t="s">
        <v>8102</v>
      </c>
      <c r="G811" t="s">
        <v>10490</v>
      </c>
      <c r="H811" t="s">
        <v>8092</v>
      </c>
      <c r="I811">
        <f>_xlfn.LET(_xlpm.id,TRIM($A811),IF(_xlpm.id="","",SUM(COUNTIF('1. OP'!$M:$M,_xlpm.id),COUNTIF('2. JSEL'!$M:$M,_xlpm.id),COUNTIF('3. PSM'!$M:$M,_xlpm.id),COUNTIF('4. SSP'!$M:$M,_xlpm.id),COUNTIF('5. JSACI'!$M:$M,_xlpm.id),COUNTIF('6. AIN'!$M:$M,_xlpm.id),COUNTIF('7. MS'!$M:$M,_xlpm.id),COUNTIF('8. DS'!$M:$M,_xlpm.id),COUNTIF('9. RMF'!$M:$M,_xlpm.id),COUNTIF('10. PCU'!$M:$M,_xlpm.id))))</f>
        <v>0</v>
      </c>
    </row>
    <row r="812" spans="1:9">
      <c r="A812" t="s">
        <v>5390</v>
      </c>
      <c r="B812" t="s">
        <v>8792</v>
      </c>
      <c r="C812">
        <v>1837</v>
      </c>
      <c r="D812">
        <v>4</v>
      </c>
      <c r="E812" s="23">
        <v>1</v>
      </c>
      <c r="F812" t="s">
        <v>8102</v>
      </c>
      <c r="G812" t="s">
        <v>10490</v>
      </c>
      <c r="H812" t="s">
        <v>8092</v>
      </c>
      <c r="I812">
        <f>_xlfn.LET(_xlpm.id,TRIM($A812),IF(_xlpm.id="","",SUM(COUNTIF('1. OP'!$M:$M,_xlpm.id),COUNTIF('2. JSEL'!$M:$M,_xlpm.id),COUNTIF('3. PSM'!$M:$M,_xlpm.id),COUNTIF('4. SSP'!$M:$M,_xlpm.id),COUNTIF('5. JSACI'!$M:$M,_xlpm.id),COUNTIF('6. AIN'!$M:$M,_xlpm.id),COUNTIF('7. MS'!$M:$M,_xlpm.id),COUNTIF('8. DS'!$M:$M,_xlpm.id),COUNTIF('9. RMF'!$M:$M,_xlpm.id),COUNTIF('10. PCU'!$M:$M,_xlpm.id))))</f>
        <v>1</v>
      </c>
    </row>
    <row r="813" spans="1:9">
      <c r="A813" t="s">
        <v>8806</v>
      </c>
      <c r="B813" t="s">
        <v>8792</v>
      </c>
      <c r="C813">
        <v>1837</v>
      </c>
      <c r="D813">
        <v>4</v>
      </c>
      <c r="E813" s="23">
        <v>2</v>
      </c>
      <c r="F813" t="s">
        <v>8102</v>
      </c>
      <c r="G813" t="s">
        <v>10490</v>
      </c>
      <c r="H813" t="s">
        <v>8092</v>
      </c>
      <c r="I813">
        <f>_xlfn.LET(_xlpm.id,TRIM($A813),IF(_xlpm.id="","",SUM(COUNTIF('1. OP'!$M:$M,_xlpm.id),COUNTIF('2. JSEL'!$M:$M,_xlpm.id),COUNTIF('3. PSM'!$M:$M,_xlpm.id),COUNTIF('4. SSP'!$M:$M,_xlpm.id),COUNTIF('5. JSACI'!$M:$M,_xlpm.id),COUNTIF('6. AIN'!$M:$M,_xlpm.id),COUNTIF('7. MS'!$M:$M,_xlpm.id),COUNTIF('8. DS'!$M:$M,_xlpm.id),COUNTIF('9. RMF'!$M:$M,_xlpm.id),COUNTIF('10. PCU'!$M:$M,_xlpm.id))))</f>
        <v>0</v>
      </c>
    </row>
    <row r="814" spans="1:9">
      <c r="A814" t="s">
        <v>8807</v>
      </c>
      <c r="B814" t="s">
        <v>8792</v>
      </c>
      <c r="C814">
        <v>1838</v>
      </c>
      <c r="D814">
        <v>4</v>
      </c>
      <c r="E814" s="23">
        <v>1</v>
      </c>
      <c r="F814" t="s">
        <v>8102</v>
      </c>
      <c r="G814" t="s">
        <v>10490</v>
      </c>
      <c r="H814" t="s">
        <v>8092</v>
      </c>
      <c r="I814">
        <f>_xlfn.LET(_xlpm.id,TRIM($A814),IF(_xlpm.id="","",SUM(COUNTIF('1. OP'!$M:$M,_xlpm.id),COUNTIF('2. JSEL'!$M:$M,_xlpm.id),COUNTIF('3. PSM'!$M:$M,_xlpm.id),COUNTIF('4. SSP'!$M:$M,_xlpm.id),COUNTIF('5. JSACI'!$M:$M,_xlpm.id),COUNTIF('6. AIN'!$M:$M,_xlpm.id),COUNTIF('7. MS'!$M:$M,_xlpm.id),COUNTIF('8. DS'!$M:$M,_xlpm.id),COUNTIF('9. RMF'!$M:$M,_xlpm.id),COUNTIF('10. PCU'!$M:$M,_xlpm.id))))</f>
        <v>0</v>
      </c>
    </row>
    <row r="815" spans="1:9">
      <c r="A815" t="s">
        <v>8808</v>
      </c>
      <c r="B815" t="s">
        <v>8792</v>
      </c>
      <c r="C815">
        <v>1838</v>
      </c>
      <c r="D815">
        <v>4</v>
      </c>
      <c r="E815" s="23">
        <v>2</v>
      </c>
      <c r="F815" t="s">
        <v>8102</v>
      </c>
      <c r="G815" t="s">
        <v>10490</v>
      </c>
      <c r="H815" t="s">
        <v>8092</v>
      </c>
      <c r="I815">
        <f>_xlfn.LET(_xlpm.id,TRIM($A815),IF(_xlpm.id="","",SUM(COUNTIF('1. OP'!$M:$M,_xlpm.id),COUNTIF('2. JSEL'!$M:$M,_xlpm.id),COUNTIF('3. PSM'!$M:$M,_xlpm.id),COUNTIF('4. SSP'!$M:$M,_xlpm.id),COUNTIF('5. JSACI'!$M:$M,_xlpm.id),COUNTIF('6. AIN'!$M:$M,_xlpm.id),COUNTIF('7. MS'!$M:$M,_xlpm.id),COUNTIF('8. DS'!$M:$M,_xlpm.id),COUNTIF('9. RMF'!$M:$M,_xlpm.id),COUNTIF('10. PCU'!$M:$M,_xlpm.id))))</f>
        <v>0</v>
      </c>
    </row>
    <row r="816" spans="1:9">
      <c r="A816" t="s">
        <v>8809</v>
      </c>
      <c r="B816" t="s">
        <v>8792</v>
      </c>
      <c r="C816">
        <v>1839</v>
      </c>
      <c r="D816">
        <v>1</v>
      </c>
      <c r="E816" s="23">
        <v>1</v>
      </c>
      <c r="F816" t="s">
        <v>8102</v>
      </c>
      <c r="G816" t="s">
        <v>10490</v>
      </c>
      <c r="H816" t="s">
        <v>8092</v>
      </c>
      <c r="I816">
        <f>_xlfn.LET(_xlpm.id,TRIM($A816),IF(_xlpm.id="","",SUM(COUNTIF('1. OP'!$M:$M,_xlpm.id),COUNTIF('2. JSEL'!$M:$M,_xlpm.id),COUNTIF('3. PSM'!$M:$M,_xlpm.id),COUNTIF('4. SSP'!$M:$M,_xlpm.id),COUNTIF('5. JSACI'!$M:$M,_xlpm.id),COUNTIF('6. AIN'!$M:$M,_xlpm.id),COUNTIF('7. MS'!$M:$M,_xlpm.id),COUNTIF('8. DS'!$M:$M,_xlpm.id),COUNTIF('9. RMF'!$M:$M,_xlpm.id),COUNTIF('10. PCU'!$M:$M,_xlpm.id))))</f>
        <v>0</v>
      </c>
    </row>
    <row r="817" spans="1:9">
      <c r="A817" t="s">
        <v>8810</v>
      </c>
      <c r="B817" t="s">
        <v>8792</v>
      </c>
      <c r="C817">
        <v>1839</v>
      </c>
      <c r="D817">
        <v>1</v>
      </c>
      <c r="E817" s="23">
        <v>2</v>
      </c>
      <c r="F817" t="s">
        <v>8102</v>
      </c>
      <c r="G817" t="s">
        <v>10490</v>
      </c>
      <c r="H817" t="s">
        <v>8092</v>
      </c>
      <c r="I817">
        <f>_xlfn.LET(_xlpm.id,TRIM($A817),IF(_xlpm.id="","",SUM(COUNTIF('1. OP'!$M:$M,_xlpm.id),COUNTIF('2. JSEL'!$M:$M,_xlpm.id),COUNTIF('3. PSM'!$M:$M,_xlpm.id),COUNTIF('4. SSP'!$M:$M,_xlpm.id),COUNTIF('5. JSACI'!$M:$M,_xlpm.id),COUNTIF('6. AIN'!$M:$M,_xlpm.id),COUNTIF('7. MS'!$M:$M,_xlpm.id),COUNTIF('8. DS'!$M:$M,_xlpm.id),COUNTIF('9. RMF'!$M:$M,_xlpm.id),COUNTIF('10. PCU'!$M:$M,_xlpm.id))))</f>
        <v>0</v>
      </c>
    </row>
    <row r="818" spans="1:9">
      <c r="A818" t="s">
        <v>7486</v>
      </c>
      <c r="B818" t="s">
        <v>8792</v>
      </c>
      <c r="C818">
        <v>1840</v>
      </c>
      <c r="D818">
        <v>4</v>
      </c>
      <c r="E818" s="23">
        <v>1</v>
      </c>
      <c r="F818" t="s">
        <v>8102</v>
      </c>
      <c r="G818" t="s">
        <v>10490</v>
      </c>
      <c r="H818" t="s">
        <v>8092</v>
      </c>
      <c r="I818">
        <f>_xlfn.LET(_xlpm.id,TRIM($A818),IF(_xlpm.id="","",SUM(COUNTIF('1. OP'!$M:$M,_xlpm.id),COUNTIF('2. JSEL'!$M:$M,_xlpm.id),COUNTIF('3. PSM'!$M:$M,_xlpm.id),COUNTIF('4. SSP'!$M:$M,_xlpm.id),COUNTIF('5. JSACI'!$M:$M,_xlpm.id),COUNTIF('6. AIN'!$M:$M,_xlpm.id),COUNTIF('7. MS'!$M:$M,_xlpm.id),COUNTIF('8. DS'!$M:$M,_xlpm.id),COUNTIF('9. RMF'!$M:$M,_xlpm.id),COUNTIF('10. PCU'!$M:$M,_xlpm.id))))</f>
        <v>1</v>
      </c>
    </row>
    <row r="819" spans="1:9">
      <c r="A819" t="s">
        <v>7487</v>
      </c>
      <c r="B819" t="s">
        <v>8792</v>
      </c>
      <c r="C819">
        <v>1840</v>
      </c>
      <c r="D819">
        <v>4</v>
      </c>
      <c r="E819" s="23">
        <v>2</v>
      </c>
      <c r="F819" t="s">
        <v>8102</v>
      </c>
      <c r="G819" t="s">
        <v>10490</v>
      </c>
      <c r="H819" t="s">
        <v>8092</v>
      </c>
      <c r="I819">
        <f>_xlfn.LET(_xlpm.id,TRIM($A819),IF(_xlpm.id="","",SUM(COUNTIF('1. OP'!$M:$M,_xlpm.id),COUNTIF('2. JSEL'!$M:$M,_xlpm.id),COUNTIF('3. PSM'!$M:$M,_xlpm.id),COUNTIF('4. SSP'!$M:$M,_xlpm.id),COUNTIF('5. JSACI'!$M:$M,_xlpm.id),COUNTIF('6. AIN'!$M:$M,_xlpm.id),COUNTIF('7. MS'!$M:$M,_xlpm.id),COUNTIF('8. DS'!$M:$M,_xlpm.id),COUNTIF('9. RMF'!$M:$M,_xlpm.id),COUNTIF('10. PCU'!$M:$M,_xlpm.id))))</f>
        <v>1</v>
      </c>
    </row>
    <row r="820" spans="1:9">
      <c r="A820" t="s">
        <v>8811</v>
      </c>
      <c r="B820" t="s">
        <v>8812</v>
      </c>
      <c r="C820">
        <v>1817</v>
      </c>
      <c r="D820">
        <v>1</v>
      </c>
      <c r="E820" s="23">
        <v>1</v>
      </c>
      <c r="F820" t="s">
        <v>8187</v>
      </c>
      <c r="G820" t="s">
        <v>10493</v>
      </c>
      <c r="H820" t="s">
        <v>8034</v>
      </c>
      <c r="I820">
        <f>_xlfn.LET(_xlpm.id,TRIM($A820),IF(_xlpm.id="","",SUM(COUNTIF('1. OP'!$M:$M,_xlpm.id),COUNTIF('2. JSEL'!$M:$M,_xlpm.id),COUNTIF('3. PSM'!$M:$M,_xlpm.id),COUNTIF('4. SSP'!$M:$M,_xlpm.id),COUNTIF('5. JSACI'!$M:$M,_xlpm.id),COUNTIF('6. AIN'!$M:$M,_xlpm.id),COUNTIF('7. MS'!$M:$M,_xlpm.id),COUNTIF('8. DS'!$M:$M,_xlpm.id),COUNTIF('9. RMF'!$M:$M,_xlpm.id),COUNTIF('10. PCU'!$M:$M,_xlpm.id))))</f>
        <v>0</v>
      </c>
    </row>
    <row r="821" spans="1:9">
      <c r="A821" t="s">
        <v>8813</v>
      </c>
      <c r="B821" t="s">
        <v>8812</v>
      </c>
      <c r="C821">
        <v>1817</v>
      </c>
      <c r="D821">
        <v>1</v>
      </c>
      <c r="E821" s="23">
        <v>2</v>
      </c>
      <c r="F821" t="s">
        <v>8187</v>
      </c>
      <c r="G821" t="s">
        <v>10493</v>
      </c>
      <c r="H821" t="s">
        <v>8034</v>
      </c>
      <c r="I821">
        <f>_xlfn.LET(_xlpm.id,TRIM($A821),IF(_xlpm.id="","",SUM(COUNTIF('1. OP'!$M:$M,_xlpm.id),COUNTIF('2. JSEL'!$M:$M,_xlpm.id),COUNTIF('3. PSM'!$M:$M,_xlpm.id),COUNTIF('4. SSP'!$M:$M,_xlpm.id),COUNTIF('5. JSACI'!$M:$M,_xlpm.id),COUNTIF('6. AIN'!$M:$M,_xlpm.id),COUNTIF('7. MS'!$M:$M,_xlpm.id),COUNTIF('8. DS'!$M:$M,_xlpm.id),COUNTIF('9. RMF'!$M:$M,_xlpm.id),COUNTIF('10. PCU'!$M:$M,_xlpm.id))))</f>
        <v>0</v>
      </c>
    </row>
    <row r="822" spans="1:9">
      <c r="A822" t="s">
        <v>8814</v>
      </c>
      <c r="B822" t="s">
        <v>8812</v>
      </c>
      <c r="C822">
        <v>1817</v>
      </c>
      <c r="D822">
        <v>1</v>
      </c>
      <c r="E822" s="23">
        <v>3</v>
      </c>
      <c r="F822" t="s">
        <v>8187</v>
      </c>
      <c r="G822" t="s">
        <v>10493</v>
      </c>
      <c r="H822" t="s">
        <v>8034</v>
      </c>
      <c r="I822">
        <f>_xlfn.LET(_xlpm.id,TRIM($A822),IF(_xlpm.id="","",SUM(COUNTIF('1. OP'!$M:$M,_xlpm.id),COUNTIF('2. JSEL'!$M:$M,_xlpm.id),COUNTIF('3. PSM'!$M:$M,_xlpm.id),COUNTIF('4. SSP'!$M:$M,_xlpm.id),COUNTIF('5. JSACI'!$M:$M,_xlpm.id),COUNTIF('6. AIN'!$M:$M,_xlpm.id),COUNTIF('7. MS'!$M:$M,_xlpm.id),COUNTIF('8. DS'!$M:$M,_xlpm.id),COUNTIF('9. RMF'!$M:$M,_xlpm.id),COUNTIF('10. PCU'!$M:$M,_xlpm.id))))</f>
        <v>0</v>
      </c>
    </row>
    <row r="823" spans="1:9">
      <c r="A823" t="s">
        <v>8815</v>
      </c>
      <c r="B823" t="s">
        <v>8812</v>
      </c>
      <c r="C823">
        <v>1817</v>
      </c>
      <c r="D823">
        <v>1</v>
      </c>
      <c r="E823" s="23">
        <v>4</v>
      </c>
      <c r="F823" t="s">
        <v>8187</v>
      </c>
      <c r="G823" t="s">
        <v>10493</v>
      </c>
      <c r="H823" t="s">
        <v>8034</v>
      </c>
      <c r="I823">
        <f>_xlfn.LET(_xlpm.id,TRIM($A823),IF(_xlpm.id="","",SUM(COUNTIF('1. OP'!$M:$M,_xlpm.id),COUNTIF('2. JSEL'!$M:$M,_xlpm.id),COUNTIF('3. PSM'!$M:$M,_xlpm.id),COUNTIF('4. SSP'!$M:$M,_xlpm.id),COUNTIF('5. JSACI'!$M:$M,_xlpm.id),COUNTIF('6. AIN'!$M:$M,_xlpm.id),COUNTIF('7. MS'!$M:$M,_xlpm.id),COUNTIF('8. DS'!$M:$M,_xlpm.id),COUNTIF('9. RMF'!$M:$M,_xlpm.id),COUNTIF('10. PCU'!$M:$M,_xlpm.id))))</f>
        <v>0</v>
      </c>
    </row>
    <row r="824" spans="1:9">
      <c r="A824" t="s">
        <v>8816</v>
      </c>
      <c r="B824" t="s">
        <v>8812</v>
      </c>
      <c r="C824">
        <v>1818</v>
      </c>
      <c r="D824">
        <v>1</v>
      </c>
      <c r="E824" s="23">
        <v>5</v>
      </c>
      <c r="F824" t="s">
        <v>8187</v>
      </c>
      <c r="G824" t="s">
        <v>10493</v>
      </c>
      <c r="H824" t="s">
        <v>8034</v>
      </c>
      <c r="I824">
        <f>_xlfn.LET(_xlpm.id,TRIM($A824),IF(_xlpm.id="","",SUM(COUNTIF('1. OP'!$M:$M,_xlpm.id),COUNTIF('2. JSEL'!$M:$M,_xlpm.id),COUNTIF('3. PSM'!$M:$M,_xlpm.id),COUNTIF('4. SSP'!$M:$M,_xlpm.id),COUNTIF('5. JSACI'!$M:$M,_xlpm.id),COUNTIF('6. AIN'!$M:$M,_xlpm.id),COUNTIF('7. MS'!$M:$M,_xlpm.id),COUNTIF('8. DS'!$M:$M,_xlpm.id),COUNTIF('9. RMF'!$M:$M,_xlpm.id),COUNTIF('10. PCU'!$M:$M,_xlpm.id))))</f>
        <v>0</v>
      </c>
    </row>
    <row r="825" spans="1:9">
      <c r="A825" t="s">
        <v>8817</v>
      </c>
      <c r="B825" t="s">
        <v>8812</v>
      </c>
      <c r="C825">
        <v>1818</v>
      </c>
      <c r="D825">
        <v>1</v>
      </c>
      <c r="E825" s="23">
        <v>6</v>
      </c>
      <c r="F825" t="s">
        <v>8187</v>
      </c>
      <c r="G825" t="s">
        <v>10493</v>
      </c>
      <c r="H825" t="s">
        <v>8034</v>
      </c>
      <c r="I825">
        <f>_xlfn.LET(_xlpm.id,TRIM($A825),IF(_xlpm.id="","",SUM(COUNTIF('1. OP'!$M:$M,_xlpm.id),COUNTIF('2. JSEL'!$M:$M,_xlpm.id),COUNTIF('3. PSM'!$M:$M,_xlpm.id),COUNTIF('4. SSP'!$M:$M,_xlpm.id),COUNTIF('5. JSACI'!$M:$M,_xlpm.id),COUNTIF('6. AIN'!$M:$M,_xlpm.id),COUNTIF('7. MS'!$M:$M,_xlpm.id),COUNTIF('8. DS'!$M:$M,_xlpm.id),COUNTIF('9. RMF'!$M:$M,_xlpm.id),COUNTIF('10. PCU'!$M:$M,_xlpm.id))))</f>
        <v>0</v>
      </c>
    </row>
    <row r="826" spans="1:9">
      <c r="A826" t="s">
        <v>8818</v>
      </c>
      <c r="B826" t="s">
        <v>8812</v>
      </c>
      <c r="C826">
        <v>1818</v>
      </c>
      <c r="D826">
        <v>1</v>
      </c>
      <c r="E826" s="23">
        <v>7</v>
      </c>
      <c r="F826" t="s">
        <v>8187</v>
      </c>
      <c r="G826" t="s">
        <v>10493</v>
      </c>
      <c r="H826" t="s">
        <v>8034</v>
      </c>
      <c r="I826">
        <f>_xlfn.LET(_xlpm.id,TRIM($A826),IF(_xlpm.id="","",SUM(COUNTIF('1. OP'!$M:$M,_xlpm.id),COUNTIF('2. JSEL'!$M:$M,_xlpm.id),COUNTIF('3. PSM'!$M:$M,_xlpm.id),COUNTIF('4. SSP'!$M:$M,_xlpm.id),COUNTIF('5. JSACI'!$M:$M,_xlpm.id),COUNTIF('6. AIN'!$M:$M,_xlpm.id),COUNTIF('7. MS'!$M:$M,_xlpm.id),COUNTIF('8. DS'!$M:$M,_xlpm.id),COUNTIF('9. RMF'!$M:$M,_xlpm.id),COUNTIF('10. PCU'!$M:$M,_xlpm.id))))</f>
        <v>0</v>
      </c>
    </row>
    <row r="827" spans="1:9">
      <c r="A827" t="s">
        <v>8819</v>
      </c>
      <c r="B827" t="s">
        <v>8812</v>
      </c>
      <c r="C827">
        <v>1818</v>
      </c>
      <c r="D827">
        <v>1</v>
      </c>
      <c r="E827" s="23">
        <v>8</v>
      </c>
      <c r="F827" t="s">
        <v>8187</v>
      </c>
      <c r="G827" t="s">
        <v>10493</v>
      </c>
      <c r="H827" t="s">
        <v>8034</v>
      </c>
      <c r="I827">
        <f>_xlfn.LET(_xlpm.id,TRIM($A827),IF(_xlpm.id="","",SUM(COUNTIF('1. OP'!$M:$M,_xlpm.id),COUNTIF('2. JSEL'!$M:$M,_xlpm.id),COUNTIF('3. PSM'!$M:$M,_xlpm.id),COUNTIF('4. SSP'!$M:$M,_xlpm.id),COUNTIF('5. JSACI'!$M:$M,_xlpm.id),COUNTIF('6. AIN'!$M:$M,_xlpm.id),COUNTIF('7. MS'!$M:$M,_xlpm.id),COUNTIF('8. DS'!$M:$M,_xlpm.id),COUNTIF('9. RMF'!$M:$M,_xlpm.id),COUNTIF('10. PCU'!$M:$M,_xlpm.id))))</f>
        <v>0</v>
      </c>
    </row>
    <row r="828" spans="1:9">
      <c r="A828" t="s">
        <v>8820</v>
      </c>
      <c r="B828" t="s">
        <v>8812</v>
      </c>
      <c r="C828">
        <v>1819</v>
      </c>
      <c r="D828">
        <v>1</v>
      </c>
      <c r="E828" s="23">
        <v>9</v>
      </c>
      <c r="F828" t="s">
        <v>8187</v>
      </c>
      <c r="G828" t="s">
        <v>10493</v>
      </c>
      <c r="H828" t="s">
        <v>8034</v>
      </c>
      <c r="I828">
        <f>_xlfn.LET(_xlpm.id,TRIM($A828),IF(_xlpm.id="","",SUM(COUNTIF('1. OP'!$M:$M,_xlpm.id),COUNTIF('2. JSEL'!$M:$M,_xlpm.id),COUNTIF('3. PSM'!$M:$M,_xlpm.id),COUNTIF('4. SSP'!$M:$M,_xlpm.id),COUNTIF('5. JSACI'!$M:$M,_xlpm.id),COUNTIF('6. AIN'!$M:$M,_xlpm.id),COUNTIF('7. MS'!$M:$M,_xlpm.id),COUNTIF('8. DS'!$M:$M,_xlpm.id),COUNTIF('9. RMF'!$M:$M,_xlpm.id),COUNTIF('10. PCU'!$M:$M,_xlpm.id))))</f>
        <v>0</v>
      </c>
    </row>
    <row r="829" spans="1:9">
      <c r="A829" t="s">
        <v>8821</v>
      </c>
      <c r="B829" t="s">
        <v>8812</v>
      </c>
      <c r="C829">
        <v>1819</v>
      </c>
      <c r="D829">
        <v>1</v>
      </c>
      <c r="E829" s="23">
        <v>10</v>
      </c>
      <c r="F829" t="s">
        <v>8187</v>
      </c>
      <c r="G829" t="s">
        <v>10493</v>
      </c>
      <c r="H829" t="s">
        <v>8034</v>
      </c>
      <c r="I829">
        <f>_xlfn.LET(_xlpm.id,TRIM($A829),IF(_xlpm.id="","",SUM(COUNTIF('1. OP'!$M:$M,_xlpm.id),COUNTIF('2. JSEL'!$M:$M,_xlpm.id),COUNTIF('3. PSM'!$M:$M,_xlpm.id),COUNTIF('4. SSP'!$M:$M,_xlpm.id),COUNTIF('5. JSACI'!$M:$M,_xlpm.id),COUNTIF('6. AIN'!$M:$M,_xlpm.id),COUNTIF('7. MS'!$M:$M,_xlpm.id),COUNTIF('8. DS'!$M:$M,_xlpm.id),COUNTIF('9. RMF'!$M:$M,_xlpm.id),COUNTIF('10. PCU'!$M:$M,_xlpm.id))))</f>
        <v>0</v>
      </c>
    </row>
    <row r="830" spans="1:9">
      <c r="A830" t="s">
        <v>8822</v>
      </c>
      <c r="B830" t="s">
        <v>8812</v>
      </c>
      <c r="C830">
        <v>1819</v>
      </c>
      <c r="D830">
        <v>1</v>
      </c>
      <c r="E830" s="23">
        <v>11</v>
      </c>
      <c r="F830" t="s">
        <v>8187</v>
      </c>
      <c r="G830" t="s">
        <v>10493</v>
      </c>
      <c r="H830" t="s">
        <v>8034</v>
      </c>
      <c r="I830">
        <f>_xlfn.LET(_xlpm.id,TRIM($A830),IF(_xlpm.id="","",SUM(COUNTIF('1. OP'!$M:$M,_xlpm.id),COUNTIF('2. JSEL'!$M:$M,_xlpm.id),COUNTIF('3. PSM'!$M:$M,_xlpm.id),COUNTIF('4. SSP'!$M:$M,_xlpm.id),COUNTIF('5. JSACI'!$M:$M,_xlpm.id),COUNTIF('6. AIN'!$M:$M,_xlpm.id),COUNTIF('7. MS'!$M:$M,_xlpm.id),COUNTIF('8. DS'!$M:$M,_xlpm.id),COUNTIF('9. RMF'!$M:$M,_xlpm.id),COUNTIF('10. PCU'!$M:$M,_xlpm.id))))</f>
        <v>0</v>
      </c>
    </row>
    <row r="831" spans="1:9">
      <c r="A831" t="s">
        <v>8823</v>
      </c>
      <c r="B831" t="s">
        <v>8812</v>
      </c>
      <c r="C831">
        <v>1819</v>
      </c>
      <c r="D831">
        <v>1</v>
      </c>
      <c r="E831" s="23">
        <v>12</v>
      </c>
      <c r="F831" t="s">
        <v>8187</v>
      </c>
      <c r="G831" t="s">
        <v>10493</v>
      </c>
      <c r="H831" t="s">
        <v>8034</v>
      </c>
      <c r="I831">
        <f>_xlfn.LET(_xlpm.id,TRIM($A831),IF(_xlpm.id="","",SUM(COUNTIF('1. OP'!$M:$M,_xlpm.id),COUNTIF('2. JSEL'!$M:$M,_xlpm.id),COUNTIF('3. PSM'!$M:$M,_xlpm.id),COUNTIF('4. SSP'!$M:$M,_xlpm.id),COUNTIF('5. JSACI'!$M:$M,_xlpm.id),COUNTIF('6. AIN'!$M:$M,_xlpm.id),COUNTIF('7. MS'!$M:$M,_xlpm.id),COUNTIF('8. DS'!$M:$M,_xlpm.id),COUNTIF('9. RMF'!$M:$M,_xlpm.id),COUNTIF('10. PCU'!$M:$M,_xlpm.id))))</f>
        <v>0</v>
      </c>
    </row>
    <row r="832" spans="1:9">
      <c r="A832" t="s">
        <v>8824</v>
      </c>
      <c r="B832" t="s">
        <v>8812</v>
      </c>
      <c r="C832">
        <v>1820</v>
      </c>
      <c r="D832">
        <v>1</v>
      </c>
      <c r="E832" s="23">
        <v>13</v>
      </c>
      <c r="F832" t="s">
        <v>8187</v>
      </c>
      <c r="G832" t="s">
        <v>10493</v>
      </c>
      <c r="H832" t="s">
        <v>8034</v>
      </c>
      <c r="I832">
        <f>_xlfn.LET(_xlpm.id,TRIM($A832),IF(_xlpm.id="","",SUM(COUNTIF('1. OP'!$M:$M,_xlpm.id),COUNTIF('2. JSEL'!$M:$M,_xlpm.id),COUNTIF('3. PSM'!$M:$M,_xlpm.id),COUNTIF('4. SSP'!$M:$M,_xlpm.id),COUNTIF('5. JSACI'!$M:$M,_xlpm.id),COUNTIF('6. AIN'!$M:$M,_xlpm.id),COUNTIF('7. MS'!$M:$M,_xlpm.id),COUNTIF('8. DS'!$M:$M,_xlpm.id),COUNTIF('9. RMF'!$M:$M,_xlpm.id),COUNTIF('10. PCU'!$M:$M,_xlpm.id))))</f>
        <v>0</v>
      </c>
    </row>
    <row r="833" spans="1:9">
      <c r="A833" t="s">
        <v>8825</v>
      </c>
      <c r="B833" t="s">
        <v>8812</v>
      </c>
      <c r="C833">
        <v>1820</v>
      </c>
      <c r="D833">
        <v>1</v>
      </c>
      <c r="E833" s="23">
        <v>14</v>
      </c>
      <c r="F833" t="s">
        <v>8187</v>
      </c>
      <c r="G833" t="s">
        <v>10493</v>
      </c>
      <c r="H833" t="s">
        <v>8034</v>
      </c>
      <c r="I833">
        <f>_xlfn.LET(_xlpm.id,TRIM($A833),IF(_xlpm.id="","",SUM(COUNTIF('1. OP'!$M:$M,_xlpm.id),COUNTIF('2. JSEL'!$M:$M,_xlpm.id),COUNTIF('3. PSM'!$M:$M,_xlpm.id),COUNTIF('4. SSP'!$M:$M,_xlpm.id),COUNTIF('5. JSACI'!$M:$M,_xlpm.id),COUNTIF('6. AIN'!$M:$M,_xlpm.id),COUNTIF('7. MS'!$M:$M,_xlpm.id),COUNTIF('8. DS'!$M:$M,_xlpm.id),COUNTIF('9. RMF'!$M:$M,_xlpm.id),COUNTIF('10. PCU'!$M:$M,_xlpm.id))))</f>
        <v>0</v>
      </c>
    </row>
    <row r="834" spans="1:9">
      <c r="A834" t="s">
        <v>8826</v>
      </c>
      <c r="B834" t="s">
        <v>8812</v>
      </c>
      <c r="C834">
        <v>1820</v>
      </c>
      <c r="D834">
        <v>1</v>
      </c>
      <c r="E834" s="23">
        <v>15</v>
      </c>
      <c r="F834" t="s">
        <v>8187</v>
      </c>
      <c r="G834" t="s">
        <v>10493</v>
      </c>
      <c r="H834" t="s">
        <v>8034</v>
      </c>
      <c r="I834">
        <f>_xlfn.LET(_xlpm.id,TRIM($A834),IF(_xlpm.id="","",SUM(COUNTIF('1. OP'!$M:$M,_xlpm.id),COUNTIF('2. JSEL'!$M:$M,_xlpm.id),COUNTIF('3. PSM'!$M:$M,_xlpm.id),COUNTIF('4. SSP'!$M:$M,_xlpm.id),COUNTIF('5. JSACI'!$M:$M,_xlpm.id),COUNTIF('6. AIN'!$M:$M,_xlpm.id),COUNTIF('7. MS'!$M:$M,_xlpm.id),COUNTIF('8. DS'!$M:$M,_xlpm.id),COUNTIF('9. RMF'!$M:$M,_xlpm.id),COUNTIF('10. PCU'!$M:$M,_xlpm.id))))</f>
        <v>0</v>
      </c>
    </row>
    <row r="835" spans="1:9">
      <c r="A835" t="s">
        <v>8827</v>
      </c>
      <c r="B835" t="s">
        <v>8812</v>
      </c>
      <c r="C835">
        <v>1820</v>
      </c>
      <c r="D835">
        <v>1</v>
      </c>
      <c r="E835" s="23">
        <v>16</v>
      </c>
      <c r="F835" t="s">
        <v>8187</v>
      </c>
      <c r="G835" t="s">
        <v>10493</v>
      </c>
      <c r="H835" t="s">
        <v>8034</v>
      </c>
      <c r="I835">
        <f>_xlfn.LET(_xlpm.id,TRIM($A835),IF(_xlpm.id="","",SUM(COUNTIF('1. OP'!$M:$M,_xlpm.id),COUNTIF('2. JSEL'!$M:$M,_xlpm.id),COUNTIF('3. PSM'!$M:$M,_xlpm.id),COUNTIF('4. SSP'!$M:$M,_xlpm.id),COUNTIF('5. JSACI'!$M:$M,_xlpm.id),COUNTIF('6. AIN'!$M:$M,_xlpm.id),COUNTIF('7. MS'!$M:$M,_xlpm.id),COUNTIF('8. DS'!$M:$M,_xlpm.id),COUNTIF('9. RMF'!$M:$M,_xlpm.id),COUNTIF('10. PCU'!$M:$M,_xlpm.id))))</f>
        <v>0</v>
      </c>
    </row>
    <row r="836" spans="1:9">
      <c r="A836" t="s">
        <v>8828</v>
      </c>
      <c r="B836" t="s">
        <v>8812</v>
      </c>
      <c r="C836">
        <v>1821</v>
      </c>
      <c r="D836">
        <v>1</v>
      </c>
      <c r="E836" s="23">
        <v>17</v>
      </c>
      <c r="F836" t="s">
        <v>8187</v>
      </c>
      <c r="G836" t="s">
        <v>10493</v>
      </c>
      <c r="H836" t="s">
        <v>8034</v>
      </c>
      <c r="I836">
        <f>_xlfn.LET(_xlpm.id,TRIM($A836),IF(_xlpm.id="","",SUM(COUNTIF('1. OP'!$M:$M,_xlpm.id),COUNTIF('2. JSEL'!$M:$M,_xlpm.id),COUNTIF('3. PSM'!$M:$M,_xlpm.id),COUNTIF('4. SSP'!$M:$M,_xlpm.id),COUNTIF('5. JSACI'!$M:$M,_xlpm.id),COUNTIF('6. AIN'!$M:$M,_xlpm.id),COUNTIF('7. MS'!$M:$M,_xlpm.id),COUNTIF('8. DS'!$M:$M,_xlpm.id),COUNTIF('9. RMF'!$M:$M,_xlpm.id),COUNTIF('10. PCU'!$M:$M,_xlpm.id))))</f>
        <v>0</v>
      </c>
    </row>
    <row r="837" spans="1:9">
      <c r="A837" t="s">
        <v>8829</v>
      </c>
      <c r="B837" t="s">
        <v>8812</v>
      </c>
      <c r="C837">
        <v>1821</v>
      </c>
      <c r="D837">
        <v>1</v>
      </c>
      <c r="E837" s="23">
        <v>18</v>
      </c>
      <c r="F837" t="s">
        <v>8187</v>
      </c>
      <c r="G837" t="s">
        <v>10493</v>
      </c>
      <c r="H837" t="s">
        <v>8034</v>
      </c>
      <c r="I837">
        <f>_xlfn.LET(_xlpm.id,TRIM($A837),IF(_xlpm.id="","",SUM(COUNTIF('1. OP'!$M:$M,_xlpm.id),COUNTIF('2. JSEL'!$M:$M,_xlpm.id),COUNTIF('3. PSM'!$M:$M,_xlpm.id),COUNTIF('4. SSP'!$M:$M,_xlpm.id),COUNTIF('5. JSACI'!$M:$M,_xlpm.id),COUNTIF('6. AIN'!$M:$M,_xlpm.id),COUNTIF('7. MS'!$M:$M,_xlpm.id),COUNTIF('8. DS'!$M:$M,_xlpm.id),COUNTIF('9. RMF'!$M:$M,_xlpm.id),COUNTIF('10. PCU'!$M:$M,_xlpm.id))))</f>
        <v>0</v>
      </c>
    </row>
    <row r="838" spans="1:9">
      <c r="A838" t="s">
        <v>8830</v>
      </c>
      <c r="B838" t="s">
        <v>8812</v>
      </c>
      <c r="C838">
        <v>1821</v>
      </c>
      <c r="D838">
        <v>1</v>
      </c>
      <c r="E838" s="23">
        <v>19</v>
      </c>
      <c r="F838" t="s">
        <v>8187</v>
      </c>
      <c r="G838" t="s">
        <v>10493</v>
      </c>
      <c r="H838" t="s">
        <v>8034</v>
      </c>
      <c r="I838">
        <f>_xlfn.LET(_xlpm.id,TRIM($A838),IF(_xlpm.id="","",SUM(COUNTIF('1. OP'!$M:$M,_xlpm.id),COUNTIF('2. JSEL'!$M:$M,_xlpm.id),COUNTIF('3. PSM'!$M:$M,_xlpm.id),COUNTIF('4. SSP'!$M:$M,_xlpm.id),COUNTIF('5. JSACI'!$M:$M,_xlpm.id),COUNTIF('6. AIN'!$M:$M,_xlpm.id),COUNTIF('7. MS'!$M:$M,_xlpm.id),COUNTIF('8. DS'!$M:$M,_xlpm.id),COUNTIF('9. RMF'!$M:$M,_xlpm.id),COUNTIF('10. PCU'!$M:$M,_xlpm.id))))</f>
        <v>0</v>
      </c>
    </row>
    <row r="839" spans="1:9">
      <c r="A839" t="s">
        <v>8831</v>
      </c>
      <c r="B839" t="s">
        <v>8812</v>
      </c>
      <c r="C839">
        <v>1821</v>
      </c>
      <c r="D839">
        <v>1</v>
      </c>
      <c r="E839" s="23">
        <v>20</v>
      </c>
      <c r="F839" t="s">
        <v>8187</v>
      </c>
      <c r="G839" t="s">
        <v>10493</v>
      </c>
      <c r="H839" t="s">
        <v>8034</v>
      </c>
      <c r="I839">
        <f>_xlfn.LET(_xlpm.id,TRIM($A839),IF(_xlpm.id="","",SUM(COUNTIF('1. OP'!$M:$M,_xlpm.id),COUNTIF('2. JSEL'!$M:$M,_xlpm.id),COUNTIF('3. PSM'!$M:$M,_xlpm.id),COUNTIF('4. SSP'!$M:$M,_xlpm.id),COUNTIF('5. JSACI'!$M:$M,_xlpm.id),COUNTIF('6. AIN'!$M:$M,_xlpm.id),COUNTIF('7. MS'!$M:$M,_xlpm.id),COUNTIF('8. DS'!$M:$M,_xlpm.id),COUNTIF('9. RMF'!$M:$M,_xlpm.id),COUNTIF('10. PCU'!$M:$M,_xlpm.id))))</f>
        <v>0</v>
      </c>
    </row>
    <row r="840" spans="1:9">
      <c r="A840" t="s">
        <v>8832</v>
      </c>
      <c r="B840" t="s">
        <v>8812</v>
      </c>
      <c r="C840">
        <v>1822</v>
      </c>
      <c r="D840">
        <v>1</v>
      </c>
      <c r="E840" s="23">
        <v>21</v>
      </c>
      <c r="F840" t="s">
        <v>8187</v>
      </c>
      <c r="G840" t="s">
        <v>10493</v>
      </c>
      <c r="H840" t="s">
        <v>8034</v>
      </c>
      <c r="I840">
        <f>_xlfn.LET(_xlpm.id,TRIM($A840),IF(_xlpm.id="","",SUM(COUNTIF('1. OP'!$M:$M,_xlpm.id),COUNTIF('2. JSEL'!$M:$M,_xlpm.id),COUNTIF('3. PSM'!$M:$M,_xlpm.id),COUNTIF('4. SSP'!$M:$M,_xlpm.id),COUNTIF('5. JSACI'!$M:$M,_xlpm.id),COUNTIF('6. AIN'!$M:$M,_xlpm.id),COUNTIF('7. MS'!$M:$M,_xlpm.id),COUNTIF('8. DS'!$M:$M,_xlpm.id),COUNTIF('9. RMF'!$M:$M,_xlpm.id),COUNTIF('10. PCU'!$M:$M,_xlpm.id))))</f>
        <v>0</v>
      </c>
    </row>
    <row r="841" spans="1:9">
      <c r="A841" t="s">
        <v>8833</v>
      </c>
      <c r="B841" t="s">
        <v>8812</v>
      </c>
      <c r="C841">
        <v>1822</v>
      </c>
      <c r="D841">
        <v>1</v>
      </c>
      <c r="E841" s="23">
        <v>22</v>
      </c>
      <c r="F841" t="s">
        <v>8187</v>
      </c>
      <c r="G841" t="s">
        <v>10493</v>
      </c>
      <c r="H841" t="s">
        <v>8034</v>
      </c>
      <c r="I841">
        <f>_xlfn.LET(_xlpm.id,TRIM($A841),IF(_xlpm.id="","",SUM(COUNTIF('1. OP'!$M:$M,_xlpm.id),COUNTIF('2. JSEL'!$M:$M,_xlpm.id),COUNTIF('3. PSM'!$M:$M,_xlpm.id),COUNTIF('4. SSP'!$M:$M,_xlpm.id),COUNTIF('5. JSACI'!$M:$M,_xlpm.id),COUNTIF('6. AIN'!$M:$M,_xlpm.id),COUNTIF('7. MS'!$M:$M,_xlpm.id),COUNTIF('8. DS'!$M:$M,_xlpm.id),COUNTIF('9. RMF'!$M:$M,_xlpm.id),COUNTIF('10. PCU'!$M:$M,_xlpm.id))))</f>
        <v>0</v>
      </c>
    </row>
    <row r="842" spans="1:9">
      <c r="A842" t="s">
        <v>8834</v>
      </c>
      <c r="B842" t="s">
        <v>8812</v>
      </c>
      <c r="C842">
        <v>1822</v>
      </c>
      <c r="D842">
        <v>1</v>
      </c>
      <c r="E842" s="23">
        <v>23</v>
      </c>
      <c r="F842" t="s">
        <v>8187</v>
      </c>
      <c r="G842" t="s">
        <v>10493</v>
      </c>
      <c r="H842" t="s">
        <v>8034</v>
      </c>
      <c r="I842">
        <f>_xlfn.LET(_xlpm.id,TRIM($A842),IF(_xlpm.id="","",SUM(COUNTIF('1. OP'!$M:$M,_xlpm.id),COUNTIF('2. JSEL'!$M:$M,_xlpm.id),COUNTIF('3. PSM'!$M:$M,_xlpm.id),COUNTIF('4. SSP'!$M:$M,_xlpm.id),COUNTIF('5. JSACI'!$M:$M,_xlpm.id),COUNTIF('6. AIN'!$M:$M,_xlpm.id),COUNTIF('7. MS'!$M:$M,_xlpm.id),COUNTIF('8. DS'!$M:$M,_xlpm.id),COUNTIF('9. RMF'!$M:$M,_xlpm.id),COUNTIF('10. PCU'!$M:$M,_xlpm.id))))</f>
        <v>0</v>
      </c>
    </row>
    <row r="843" spans="1:9">
      <c r="A843" t="s">
        <v>8835</v>
      </c>
      <c r="B843" t="s">
        <v>8812</v>
      </c>
      <c r="C843">
        <v>1822</v>
      </c>
      <c r="D843">
        <v>1</v>
      </c>
      <c r="E843" s="23">
        <v>24</v>
      </c>
      <c r="F843" t="s">
        <v>8187</v>
      </c>
      <c r="G843" t="s">
        <v>10493</v>
      </c>
      <c r="H843" t="s">
        <v>8034</v>
      </c>
      <c r="I843">
        <f>_xlfn.LET(_xlpm.id,TRIM($A843),IF(_xlpm.id="","",SUM(COUNTIF('1. OP'!$M:$M,_xlpm.id),COUNTIF('2. JSEL'!$M:$M,_xlpm.id),COUNTIF('3. PSM'!$M:$M,_xlpm.id),COUNTIF('4. SSP'!$M:$M,_xlpm.id),COUNTIF('5. JSACI'!$M:$M,_xlpm.id),COUNTIF('6. AIN'!$M:$M,_xlpm.id),COUNTIF('7. MS'!$M:$M,_xlpm.id),COUNTIF('8. DS'!$M:$M,_xlpm.id),COUNTIF('9. RMF'!$M:$M,_xlpm.id),COUNTIF('10. PCU'!$M:$M,_xlpm.id))))</f>
        <v>0</v>
      </c>
    </row>
    <row r="844" spans="1:9">
      <c r="A844" t="s">
        <v>8836</v>
      </c>
      <c r="B844" t="s">
        <v>8812</v>
      </c>
      <c r="C844">
        <v>1823</v>
      </c>
      <c r="D844">
        <v>1</v>
      </c>
      <c r="E844" s="23">
        <v>25</v>
      </c>
      <c r="F844" t="s">
        <v>8187</v>
      </c>
      <c r="G844" t="s">
        <v>10493</v>
      </c>
      <c r="H844" t="s">
        <v>8034</v>
      </c>
      <c r="I844">
        <f>_xlfn.LET(_xlpm.id,TRIM($A844),IF(_xlpm.id="","",SUM(COUNTIF('1. OP'!$M:$M,_xlpm.id),COUNTIF('2. JSEL'!$M:$M,_xlpm.id),COUNTIF('3. PSM'!$M:$M,_xlpm.id),COUNTIF('4. SSP'!$M:$M,_xlpm.id),COUNTIF('5. JSACI'!$M:$M,_xlpm.id),COUNTIF('6. AIN'!$M:$M,_xlpm.id),COUNTIF('7. MS'!$M:$M,_xlpm.id),COUNTIF('8. DS'!$M:$M,_xlpm.id),COUNTIF('9. RMF'!$M:$M,_xlpm.id),COUNTIF('10. PCU'!$M:$M,_xlpm.id))))</f>
        <v>0</v>
      </c>
    </row>
    <row r="845" spans="1:9">
      <c r="A845" t="s">
        <v>8837</v>
      </c>
      <c r="B845" t="s">
        <v>8812</v>
      </c>
      <c r="C845">
        <v>1823</v>
      </c>
      <c r="D845">
        <v>1</v>
      </c>
      <c r="E845" s="23">
        <v>26</v>
      </c>
      <c r="F845" t="s">
        <v>8187</v>
      </c>
      <c r="G845" t="s">
        <v>10493</v>
      </c>
      <c r="H845" t="s">
        <v>8034</v>
      </c>
      <c r="I845">
        <f>_xlfn.LET(_xlpm.id,TRIM($A845),IF(_xlpm.id="","",SUM(COUNTIF('1. OP'!$M:$M,_xlpm.id),COUNTIF('2. JSEL'!$M:$M,_xlpm.id),COUNTIF('3. PSM'!$M:$M,_xlpm.id),COUNTIF('4. SSP'!$M:$M,_xlpm.id),COUNTIF('5. JSACI'!$M:$M,_xlpm.id),COUNTIF('6. AIN'!$M:$M,_xlpm.id),COUNTIF('7. MS'!$M:$M,_xlpm.id),COUNTIF('8. DS'!$M:$M,_xlpm.id),COUNTIF('9. RMF'!$M:$M,_xlpm.id),COUNTIF('10. PCU'!$M:$M,_xlpm.id))))</f>
        <v>0</v>
      </c>
    </row>
    <row r="846" spans="1:9">
      <c r="A846" t="s">
        <v>8838</v>
      </c>
      <c r="B846" t="s">
        <v>8812</v>
      </c>
      <c r="C846">
        <v>1823</v>
      </c>
      <c r="D846">
        <v>1</v>
      </c>
      <c r="E846" s="23">
        <v>27</v>
      </c>
      <c r="F846" t="s">
        <v>8187</v>
      </c>
      <c r="G846" t="s">
        <v>10493</v>
      </c>
      <c r="H846" t="s">
        <v>8034</v>
      </c>
      <c r="I846">
        <f>_xlfn.LET(_xlpm.id,TRIM($A846),IF(_xlpm.id="","",SUM(COUNTIF('1. OP'!$M:$M,_xlpm.id),COUNTIF('2. JSEL'!$M:$M,_xlpm.id),COUNTIF('3. PSM'!$M:$M,_xlpm.id),COUNTIF('4. SSP'!$M:$M,_xlpm.id),COUNTIF('5. JSACI'!$M:$M,_xlpm.id),COUNTIF('6. AIN'!$M:$M,_xlpm.id),COUNTIF('7. MS'!$M:$M,_xlpm.id),COUNTIF('8. DS'!$M:$M,_xlpm.id),COUNTIF('9. RMF'!$M:$M,_xlpm.id),COUNTIF('10. PCU'!$M:$M,_xlpm.id))))</f>
        <v>0</v>
      </c>
    </row>
    <row r="847" spans="1:9">
      <c r="A847" t="s">
        <v>8839</v>
      </c>
      <c r="B847" t="s">
        <v>8812</v>
      </c>
      <c r="C847">
        <v>1823</v>
      </c>
      <c r="D847">
        <v>1</v>
      </c>
      <c r="E847" s="23">
        <v>28</v>
      </c>
      <c r="F847" t="s">
        <v>8187</v>
      </c>
      <c r="G847" t="s">
        <v>10493</v>
      </c>
      <c r="H847" t="s">
        <v>8034</v>
      </c>
      <c r="I847">
        <f>_xlfn.LET(_xlpm.id,TRIM($A847),IF(_xlpm.id="","",SUM(COUNTIF('1. OP'!$M:$M,_xlpm.id),COUNTIF('2. JSEL'!$M:$M,_xlpm.id),COUNTIF('3. PSM'!$M:$M,_xlpm.id),COUNTIF('4. SSP'!$M:$M,_xlpm.id),COUNTIF('5. JSACI'!$M:$M,_xlpm.id),COUNTIF('6. AIN'!$M:$M,_xlpm.id),COUNTIF('7. MS'!$M:$M,_xlpm.id),COUNTIF('8. DS'!$M:$M,_xlpm.id),COUNTIF('9. RMF'!$M:$M,_xlpm.id),COUNTIF('10. PCU'!$M:$M,_xlpm.id))))</f>
        <v>0</v>
      </c>
    </row>
    <row r="848" spans="1:9">
      <c r="A848" t="s">
        <v>7244</v>
      </c>
      <c r="B848" t="s">
        <v>8812</v>
      </c>
      <c r="C848">
        <v>1824</v>
      </c>
      <c r="D848">
        <v>1</v>
      </c>
      <c r="E848" s="23">
        <v>29</v>
      </c>
      <c r="F848" t="s">
        <v>8187</v>
      </c>
      <c r="G848" t="s">
        <v>10493</v>
      </c>
      <c r="H848" t="s">
        <v>8034</v>
      </c>
      <c r="I848">
        <f>_xlfn.LET(_xlpm.id,TRIM($A848),IF(_xlpm.id="","",SUM(COUNTIF('1. OP'!$M:$M,_xlpm.id),COUNTIF('2. JSEL'!$M:$M,_xlpm.id),COUNTIF('3. PSM'!$M:$M,_xlpm.id),COUNTIF('4. SSP'!$M:$M,_xlpm.id),COUNTIF('5. JSACI'!$M:$M,_xlpm.id),COUNTIF('6. AIN'!$M:$M,_xlpm.id),COUNTIF('7. MS'!$M:$M,_xlpm.id),COUNTIF('8. DS'!$M:$M,_xlpm.id),COUNTIF('9. RMF'!$M:$M,_xlpm.id),COUNTIF('10. PCU'!$M:$M,_xlpm.id))))</f>
        <v>1</v>
      </c>
    </row>
    <row r="849" spans="1:9">
      <c r="A849" t="s">
        <v>8840</v>
      </c>
      <c r="B849" t="s">
        <v>8812</v>
      </c>
      <c r="C849">
        <v>1824</v>
      </c>
      <c r="D849">
        <v>1</v>
      </c>
      <c r="E849" s="23">
        <v>30</v>
      </c>
      <c r="F849" t="s">
        <v>8187</v>
      </c>
      <c r="G849" t="s">
        <v>10493</v>
      </c>
      <c r="H849" t="s">
        <v>8034</v>
      </c>
      <c r="I849">
        <f>_xlfn.LET(_xlpm.id,TRIM($A849),IF(_xlpm.id="","",SUM(COUNTIF('1. OP'!$M:$M,_xlpm.id),COUNTIF('2. JSEL'!$M:$M,_xlpm.id),COUNTIF('3. PSM'!$M:$M,_xlpm.id),COUNTIF('4. SSP'!$M:$M,_xlpm.id),COUNTIF('5. JSACI'!$M:$M,_xlpm.id),COUNTIF('6. AIN'!$M:$M,_xlpm.id),COUNTIF('7. MS'!$M:$M,_xlpm.id),COUNTIF('8. DS'!$M:$M,_xlpm.id),COUNTIF('9. RMF'!$M:$M,_xlpm.id),COUNTIF('10. PCU'!$M:$M,_xlpm.id))))</f>
        <v>0</v>
      </c>
    </row>
    <row r="850" spans="1:9">
      <c r="A850" t="s">
        <v>8841</v>
      </c>
      <c r="B850" t="s">
        <v>8812</v>
      </c>
      <c r="C850">
        <v>1824</v>
      </c>
      <c r="D850">
        <v>1</v>
      </c>
      <c r="E850" s="23">
        <v>31</v>
      </c>
      <c r="F850" t="s">
        <v>8187</v>
      </c>
      <c r="G850" t="s">
        <v>10493</v>
      </c>
      <c r="H850" t="s">
        <v>8034</v>
      </c>
      <c r="I850">
        <f>_xlfn.LET(_xlpm.id,TRIM($A850),IF(_xlpm.id="","",SUM(COUNTIF('1. OP'!$M:$M,_xlpm.id),COUNTIF('2. JSEL'!$M:$M,_xlpm.id),COUNTIF('3. PSM'!$M:$M,_xlpm.id),COUNTIF('4. SSP'!$M:$M,_xlpm.id),COUNTIF('5. JSACI'!$M:$M,_xlpm.id),COUNTIF('6. AIN'!$M:$M,_xlpm.id),COUNTIF('7. MS'!$M:$M,_xlpm.id),COUNTIF('8. DS'!$M:$M,_xlpm.id),COUNTIF('9. RMF'!$M:$M,_xlpm.id),COUNTIF('10. PCU'!$M:$M,_xlpm.id))))</f>
        <v>0</v>
      </c>
    </row>
    <row r="851" spans="1:9">
      <c r="A851" t="s">
        <v>8842</v>
      </c>
      <c r="B851" t="s">
        <v>8812</v>
      </c>
      <c r="C851">
        <v>1824</v>
      </c>
      <c r="D851">
        <v>1</v>
      </c>
      <c r="E851" s="23">
        <v>32</v>
      </c>
      <c r="F851" t="s">
        <v>8187</v>
      </c>
      <c r="G851" t="s">
        <v>10493</v>
      </c>
      <c r="H851" t="s">
        <v>8034</v>
      </c>
      <c r="I851">
        <f>_xlfn.LET(_xlpm.id,TRIM($A851),IF(_xlpm.id="","",SUM(COUNTIF('1. OP'!$M:$M,_xlpm.id),COUNTIF('2. JSEL'!$M:$M,_xlpm.id),COUNTIF('3. PSM'!$M:$M,_xlpm.id),COUNTIF('4. SSP'!$M:$M,_xlpm.id),COUNTIF('5. JSACI'!$M:$M,_xlpm.id),COUNTIF('6. AIN'!$M:$M,_xlpm.id),COUNTIF('7. MS'!$M:$M,_xlpm.id),COUNTIF('8. DS'!$M:$M,_xlpm.id),COUNTIF('9. RMF'!$M:$M,_xlpm.id),COUNTIF('10. PCU'!$M:$M,_xlpm.id))))</f>
        <v>0</v>
      </c>
    </row>
    <row r="852" spans="1:9">
      <c r="A852" t="s">
        <v>8843</v>
      </c>
      <c r="B852" t="s">
        <v>8812</v>
      </c>
      <c r="C852">
        <v>1825</v>
      </c>
      <c r="D852">
        <v>1</v>
      </c>
      <c r="E852" s="23">
        <v>33</v>
      </c>
      <c r="F852" t="s">
        <v>8187</v>
      </c>
      <c r="G852" t="s">
        <v>10493</v>
      </c>
      <c r="H852" t="s">
        <v>8034</v>
      </c>
      <c r="I852">
        <f>_xlfn.LET(_xlpm.id,TRIM($A852),IF(_xlpm.id="","",SUM(COUNTIF('1. OP'!$M:$M,_xlpm.id),COUNTIF('2. JSEL'!$M:$M,_xlpm.id),COUNTIF('3. PSM'!$M:$M,_xlpm.id),COUNTIF('4. SSP'!$M:$M,_xlpm.id),COUNTIF('5. JSACI'!$M:$M,_xlpm.id),COUNTIF('6. AIN'!$M:$M,_xlpm.id),COUNTIF('7. MS'!$M:$M,_xlpm.id),COUNTIF('8. DS'!$M:$M,_xlpm.id),COUNTIF('9. RMF'!$M:$M,_xlpm.id),COUNTIF('10. PCU'!$M:$M,_xlpm.id))))</f>
        <v>0</v>
      </c>
    </row>
    <row r="853" spans="1:9">
      <c r="A853" t="s">
        <v>8844</v>
      </c>
      <c r="B853" t="s">
        <v>8812</v>
      </c>
      <c r="C853">
        <v>1825</v>
      </c>
      <c r="D853">
        <v>1</v>
      </c>
      <c r="E853" s="23">
        <v>34</v>
      </c>
      <c r="F853" t="s">
        <v>8187</v>
      </c>
      <c r="G853" t="s">
        <v>10493</v>
      </c>
      <c r="H853" t="s">
        <v>8034</v>
      </c>
      <c r="I853">
        <f>_xlfn.LET(_xlpm.id,TRIM($A853),IF(_xlpm.id="","",SUM(COUNTIF('1. OP'!$M:$M,_xlpm.id),COUNTIF('2. JSEL'!$M:$M,_xlpm.id),COUNTIF('3. PSM'!$M:$M,_xlpm.id),COUNTIF('4. SSP'!$M:$M,_xlpm.id),COUNTIF('5. JSACI'!$M:$M,_xlpm.id),COUNTIF('6. AIN'!$M:$M,_xlpm.id),COUNTIF('7. MS'!$M:$M,_xlpm.id),COUNTIF('8. DS'!$M:$M,_xlpm.id),COUNTIF('9. RMF'!$M:$M,_xlpm.id),COUNTIF('10. PCU'!$M:$M,_xlpm.id))))</f>
        <v>0</v>
      </c>
    </row>
    <row r="854" spans="1:9">
      <c r="A854" t="s">
        <v>8845</v>
      </c>
      <c r="B854" t="s">
        <v>8812</v>
      </c>
      <c r="C854">
        <v>1825</v>
      </c>
      <c r="D854">
        <v>1</v>
      </c>
      <c r="E854" s="23">
        <v>35</v>
      </c>
      <c r="F854" t="s">
        <v>8187</v>
      </c>
      <c r="G854" t="s">
        <v>10493</v>
      </c>
      <c r="H854" t="s">
        <v>8034</v>
      </c>
      <c r="I854">
        <f>_xlfn.LET(_xlpm.id,TRIM($A854),IF(_xlpm.id="","",SUM(COUNTIF('1. OP'!$M:$M,_xlpm.id),COUNTIF('2. JSEL'!$M:$M,_xlpm.id),COUNTIF('3. PSM'!$M:$M,_xlpm.id),COUNTIF('4. SSP'!$M:$M,_xlpm.id),COUNTIF('5. JSACI'!$M:$M,_xlpm.id),COUNTIF('6. AIN'!$M:$M,_xlpm.id),COUNTIF('7. MS'!$M:$M,_xlpm.id),COUNTIF('8. DS'!$M:$M,_xlpm.id),COUNTIF('9. RMF'!$M:$M,_xlpm.id),COUNTIF('10. PCU'!$M:$M,_xlpm.id))))</f>
        <v>0</v>
      </c>
    </row>
    <row r="855" spans="1:9">
      <c r="A855" t="s">
        <v>8846</v>
      </c>
      <c r="B855" t="s">
        <v>8812</v>
      </c>
      <c r="C855">
        <v>1825</v>
      </c>
      <c r="D855">
        <v>1</v>
      </c>
      <c r="E855" s="23">
        <v>36</v>
      </c>
      <c r="F855" t="s">
        <v>8187</v>
      </c>
      <c r="G855" t="s">
        <v>10493</v>
      </c>
      <c r="H855" t="s">
        <v>8034</v>
      </c>
      <c r="I855">
        <f>_xlfn.LET(_xlpm.id,TRIM($A855),IF(_xlpm.id="","",SUM(COUNTIF('1. OP'!$M:$M,_xlpm.id),COUNTIF('2. JSEL'!$M:$M,_xlpm.id),COUNTIF('3. PSM'!$M:$M,_xlpm.id),COUNTIF('4. SSP'!$M:$M,_xlpm.id),COUNTIF('5. JSACI'!$M:$M,_xlpm.id),COUNTIF('6. AIN'!$M:$M,_xlpm.id),COUNTIF('7. MS'!$M:$M,_xlpm.id),COUNTIF('8. DS'!$M:$M,_xlpm.id),COUNTIF('9. RMF'!$M:$M,_xlpm.id),COUNTIF('10. PCU'!$M:$M,_xlpm.id))))</f>
        <v>0</v>
      </c>
    </row>
    <row r="856" spans="1:9">
      <c r="A856" t="s">
        <v>8847</v>
      </c>
      <c r="B856" t="s">
        <v>8812</v>
      </c>
      <c r="C856">
        <v>1826</v>
      </c>
      <c r="D856">
        <v>1</v>
      </c>
      <c r="E856" s="23">
        <v>37</v>
      </c>
      <c r="F856" t="s">
        <v>8187</v>
      </c>
      <c r="G856" t="s">
        <v>10493</v>
      </c>
      <c r="H856" t="s">
        <v>8034</v>
      </c>
      <c r="I856">
        <f>_xlfn.LET(_xlpm.id,TRIM($A856),IF(_xlpm.id="","",SUM(COUNTIF('1. OP'!$M:$M,_xlpm.id),COUNTIF('2. JSEL'!$M:$M,_xlpm.id),COUNTIF('3. PSM'!$M:$M,_xlpm.id),COUNTIF('4. SSP'!$M:$M,_xlpm.id),COUNTIF('5. JSACI'!$M:$M,_xlpm.id),COUNTIF('6. AIN'!$M:$M,_xlpm.id),COUNTIF('7. MS'!$M:$M,_xlpm.id),COUNTIF('8. DS'!$M:$M,_xlpm.id),COUNTIF('9. RMF'!$M:$M,_xlpm.id),COUNTIF('10. PCU'!$M:$M,_xlpm.id))))</f>
        <v>0</v>
      </c>
    </row>
    <row r="857" spans="1:9">
      <c r="A857" t="s">
        <v>8848</v>
      </c>
      <c r="B857" t="s">
        <v>8812</v>
      </c>
      <c r="C857">
        <v>1826</v>
      </c>
      <c r="D857">
        <v>1</v>
      </c>
      <c r="E857" s="23">
        <v>38</v>
      </c>
      <c r="F857" t="s">
        <v>8187</v>
      </c>
      <c r="G857" t="s">
        <v>10493</v>
      </c>
      <c r="H857" t="s">
        <v>8034</v>
      </c>
      <c r="I857">
        <f>_xlfn.LET(_xlpm.id,TRIM($A857),IF(_xlpm.id="","",SUM(COUNTIF('1. OP'!$M:$M,_xlpm.id),COUNTIF('2. JSEL'!$M:$M,_xlpm.id),COUNTIF('3. PSM'!$M:$M,_xlpm.id),COUNTIF('4. SSP'!$M:$M,_xlpm.id),COUNTIF('5. JSACI'!$M:$M,_xlpm.id),COUNTIF('6. AIN'!$M:$M,_xlpm.id),COUNTIF('7. MS'!$M:$M,_xlpm.id),COUNTIF('8. DS'!$M:$M,_xlpm.id),COUNTIF('9. RMF'!$M:$M,_xlpm.id),COUNTIF('10. PCU'!$M:$M,_xlpm.id))))</f>
        <v>0</v>
      </c>
    </row>
    <row r="858" spans="1:9">
      <c r="A858" t="s">
        <v>8849</v>
      </c>
      <c r="B858" t="s">
        <v>8812</v>
      </c>
      <c r="C858">
        <v>1826</v>
      </c>
      <c r="D858">
        <v>1</v>
      </c>
      <c r="E858" s="23">
        <v>39</v>
      </c>
      <c r="F858" t="s">
        <v>8187</v>
      </c>
      <c r="G858" t="s">
        <v>10493</v>
      </c>
      <c r="H858" t="s">
        <v>8034</v>
      </c>
      <c r="I858">
        <f>_xlfn.LET(_xlpm.id,TRIM($A858),IF(_xlpm.id="","",SUM(COUNTIF('1. OP'!$M:$M,_xlpm.id),COUNTIF('2. JSEL'!$M:$M,_xlpm.id),COUNTIF('3. PSM'!$M:$M,_xlpm.id),COUNTIF('4. SSP'!$M:$M,_xlpm.id),COUNTIF('5. JSACI'!$M:$M,_xlpm.id),COUNTIF('6. AIN'!$M:$M,_xlpm.id),COUNTIF('7. MS'!$M:$M,_xlpm.id),COUNTIF('8. DS'!$M:$M,_xlpm.id),COUNTIF('9. RMF'!$M:$M,_xlpm.id),COUNTIF('10. PCU'!$M:$M,_xlpm.id))))</f>
        <v>0</v>
      </c>
    </row>
    <row r="859" spans="1:9">
      <c r="A859" t="s">
        <v>8850</v>
      </c>
      <c r="B859" t="s">
        <v>8812</v>
      </c>
      <c r="C859">
        <v>1826</v>
      </c>
      <c r="D859">
        <v>1</v>
      </c>
      <c r="E859" s="23">
        <v>40</v>
      </c>
      <c r="F859" t="s">
        <v>8187</v>
      </c>
      <c r="G859" t="s">
        <v>10493</v>
      </c>
      <c r="H859" t="s">
        <v>8034</v>
      </c>
      <c r="I859">
        <f>_xlfn.LET(_xlpm.id,TRIM($A859),IF(_xlpm.id="","",SUM(COUNTIF('1. OP'!$M:$M,_xlpm.id),COUNTIF('2. JSEL'!$M:$M,_xlpm.id),COUNTIF('3. PSM'!$M:$M,_xlpm.id),COUNTIF('4. SSP'!$M:$M,_xlpm.id),COUNTIF('5. JSACI'!$M:$M,_xlpm.id),COUNTIF('6. AIN'!$M:$M,_xlpm.id),COUNTIF('7. MS'!$M:$M,_xlpm.id),COUNTIF('8. DS'!$M:$M,_xlpm.id),COUNTIF('9. RMF'!$M:$M,_xlpm.id),COUNTIF('10. PCU'!$M:$M,_xlpm.id))))</f>
        <v>0</v>
      </c>
    </row>
    <row r="860" spans="1:9">
      <c r="A860" t="s">
        <v>8851</v>
      </c>
      <c r="B860" t="s">
        <v>8812</v>
      </c>
      <c r="C860">
        <v>1827</v>
      </c>
      <c r="D860">
        <v>1</v>
      </c>
      <c r="E860" s="23">
        <v>41</v>
      </c>
      <c r="F860" t="s">
        <v>8187</v>
      </c>
      <c r="G860" t="s">
        <v>10493</v>
      </c>
      <c r="H860" t="s">
        <v>8034</v>
      </c>
      <c r="I860">
        <f>_xlfn.LET(_xlpm.id,TRIM($A860),IF(_xlpm.id="","",SUM(COUNTIF('1. OP'!$M:$M,_xlpm.id),COUNTIF('2. JSEL'!$M:$M,_xlpm.id),COUNTIF('3. PSM'!$M:$M,_xlpm.id),COUNTIF('4. SSP'!$M:$M,_xlpm.id),COUNTIF('5. JSACI'!$M:$M,_xlpm.id),COUNTIF('6. AIN'!$M:$M,_xlpm.id),COUNTIF('7. MS'!$M:$M,_xlpm.id),COUNTIF('8. DS'!$M:$M,_xlpm.id),COUNTIF('9. RMF'!$M:$M,_xlpm.id),COUNTIF('10. PCU'!$M:$M,_xlpm.id))))</f>
        <v>0</v>
      </c>
    </row>
    <row r="861" spans="1:9">
      <c r="A861" t="s">
        <v>8852</v>
      </c>
      <c r="B861" t="s">
        <v>8812</v>
      </c>
      <c r="C861">
        <v>1827</v>
      </c>
      <c r="D861">
        <v>1</v>
      </c>
      <c r="E861" s="23">
        <v>42</v>
      </c>
      <c r="F861" t="s">
        <v>8187</v>
      </c>
      <c r="G861" t="s">
        <v>10493</v>
      </c>
      <c r="H861" t="s">
        <v>8034</v>
      </c>
      <c r="I861">
        <f>_xlfn.LET(_xlpm.id,TRIM($A861),IF(_xlpm.id="","",SUM(COUNTIF('1. OP'!$M:$M,_xlpm.id),COUNTIF('2. JSEL'!$M:$M,_xlpm.id),COUNTIF('3. PSM'!$M:$M,_xlpm.id),COUNTIF('4. SSP'!$M:$M,_xlpm.id),COUNTIF('5. JSACI'!$M:$M,_xlpm.id),COUNTIF('6. AIN'!$M:$M,_xlpm.id),COUNTIF('7. MS'!$M:$M,_xlpm.id),COUNTIF('8. DS'!$M:$M,_xlpm.id),COUNTIF('9. RMF'!$M:$M,_xlpm.id),COUNTIF('10. PCU'!$M:$M,_xlpm.id))))</f>
        <v>0</v>
      </c>
    </row>
    <row r="862" spans="1:9">
      <c r="A862" t="s">
        <v>8853</v>
      </c>
      <c r="B862" t="s">
        <v>8812</v>
      </c>
      <c r="C862">
        <v>1827</v>
      </c>
      <c r="D862">
        <v>1</v>
      </c>
      <c r="E862" s="23">
        <v>43</v>
      </c>
      <c r="F862" t="s">
        <v>8187</v>
      </c>
      <c r="G862" t="s">
        <v>10493</v>
      </c>
      <c r="H862" t="s">
        <v>8034</v>
      </c>
      <c r="I862">
        <f>_xlfn.LET(_xlpm.id,TRIM($A862),IF(_xlpm.id="","",SUM(COUNTIF('1. OP'!$M:$M,_xlpm.id),COUNTIF('2. JSEL'!$M:$M,_xlpm.id),COUNTIF('3. PSM'!$M:$M,_xlpm.id),COUNTIF('4. SSP'!$M:$M,_xlpm.id),COUNTIF('5. JSACI'!$M:$M,_xlpm.id),COUNTIF('6. AIN'!$M:$M,_xlpm.id),COUNTIF('7. MS'!$M:$M,_xlpm.id),COUNTIF('8. DS'!$M:$M,_xlpm.id),COUNTIF('9. RMF'!$M:$M,_xlpm.id),COUNTIF('10. PCU'!$M:$M,_xlpm.id))))</f>
        <v>0</v>
      </c>
    </row>
    <row r="863" spans="1:9">
      <c r="A863" t="s">
        <v>8854</v>
      </c>
      <c r="B863" t="s">
        <v>8812</v>
      </c>
      <c r="C863">
        <v>1827</v>
      </c>
      <c r="D863">
        <v>1</v>
      </c>
      <c r="E863" s="23">
        <v>44</v>
      </c>
      <c r="F863" t="s">
        <v>8187</v>
      </c>
      <c r="G863" t="s">
        <v>10493</v>
      </c>
      <c r="H863" t="s">
        <v>8034</v>
      </c>
      <c r="I863">
        <f>_xlfn.LET(_xlpm.id,TRIM($A863),IF(_xlpm.id="","",SUM(COUNTIF('1. OP'!$M:$M,_xlpm.id),COUNTIF('2. JSEL'!$M:$M,_xlpm.id),COUNTIF('3. PSM'!$M:$M,_xlpm.id),COUNTIF('4. SSP'!$M:$M,_xlpm.id),COUNTIF('5. JSACI'!$M:$M,_xlpm.id),COUNTIF('6. AIN'!$M:$M,_xlpm.id),COUNTIF('7. MS'!$M:$M,_xlpm.id),COUNTIF('8. DS'!$M:$M,_xlpm.id),COUNTIF('9. RMF'!$M:$M,_xlpm.id),COUNTIF('10. PCU'!$M:$M,_xlpm.id))))</f>
        <v>0</v>
      </c>
    </row>
    <row r="864" spans="1:9">
      <c r="A864" t="s">
        <v>8855</v>
      </c>
      <c r="B864" t="s">
        <v>8812</v>
      </c>
      <c r="C864">
        <v>1828</v>
      </c>
      <c r="D864">
        <v>1</v>
      </c>
      <c r="E864" s="23">
        <v>45</v>
      </c>
      <c r="F864" t="s">
        <v>8187</v>
      </c>
      <c r="G864" t="s">
        <v>10493</v>
      </c>
      <c r="H864" t="s">
        <v>8034</v>
      </c>
      <c r="I864">
        <f>_xlfn.LET(_xlpm.id,TRIM($A864),IF(_xlpm.id="","",SUM(COUNTIF('1. OP'!$M:$M,_xlpm.id),COUNTIF('2. JSEL'!$M:$M,_xlpm.id),COUNTIF('3. PSM'!$M:$M,_xlpm.id),COUNTIF('4. SSP'!$M:$M,_xlpm.id),COUNTIF('5. JSACI'!$M:$M,_xlpm.id),COUNTIF('6. AIN'!$M:$M,_xlpm.id),COUNTIF('7. MS'!$M:$M,_xlpm.id),COUNTIF('8. DS'!$M:$M,_xlpm.id),COUNTIF('9. RMF'!$M:$M,_xlpm.id),COUNTIF('10. PCU'!$M:$M,_xlpm.id))))</f>
        <v>0</v>
      </c>
    </row>
    <row r="865" spans="1:9">
      <c r="A865" t="s">
        <v>8856</v>
      </c>
      <c r="B865" t="s">
        <v>8812</v>
      </c>
      <c r="C865">
        <v>1828</v>
      </c>
      <c r="D865">
        <v>1</v>
      </c>
      <c r="E865" s="23">
        <v>46</v>
      </c>
      <c r="F865" t="s">
        <v>8187</v>
      </c>
      <c r="G865" t="s">
        <v>10493</v>
      </c>
      <c r="H865" t="s">
        <v>8034</v>
      </c>
      <c r="I865">
        <f>_xlfn.LET(_xlpm.id,TRIM($A865),IF(_xlpm.id="","",SUM(COUNTIF('1. OP'!$M:$M,_xlpm.id),COUNTIF('2. JSEL'!$M:$M,_xlpm.id),COUNTIF('3. PSM'!$M:$M,_xlpm.id),COUNTIF('4. SSP'!$M:$M,_xlpm.id),COUNTIF('5. JSACI'!$M:$M,_xlpm.id),COUNTIF('6. AIN'!$M:$M,_xlpm.id),COUNTIF('7. MS'!$M:$M,_xlpm.id),COUNTIF('8. DS'!$M:$M,_xlpm.id),COUNTIF('9. RMF'!$M:$M,_xlpm.id),COUNTIF('10. PCU'!$M:$M,_xlpm.id))))</f>
        <v>0</v>
      </c>
    </row>
    <row r="866" spans="1:9">
      <c r="A866" t="s">
        <v>8857</v>
      </c>
      <c r="B866" t="s">
        <v>8812</v>
      </c>
      <c r="C866">
        <v>1828</v>
      </c>
      <c r="D866">
        <v>1</v>
      </c>
      <c r="E866" s="23">
        <v>47</v>
      </c>
      <c r="F866" t="s">
        <v>8187</v>
      </c>
      <c r="G866" t="s">
        <v>10493</v>
      </c>
      <c r="H866" t="s">
        <v>8034</v>
      </c>
      <c r="I866">
        <f>_xlfn.LET(_xlpm.id,TRIM($A866),IF(_xlpm.id="","",SUM(COUNTIF('1. OP'!$M:$M,_xlpm.id),COUNTIF('2. JSEL'!$M:$M,_xlpm.id),COUNTIF('3. PSM'!$M:$M,_xlpm.id),COUNTIF('4. SSP'!$M:$M,_xlpm.id),COUNTIF('5. JSACI'!$M:$M,_xlpm.id),COUNTIF('6. AIN'!$M:$M,_xlpm.id),COUNTIF('7. MS'!$M:$M,_xlpm.id),COUNTIF('8. DS'!$M:$M,_xlpm.id),COUNTIF('9. RMF'!$M:$M,_xlpm.id),COUNTIF('10. PCU'!$M:$M,_xlpm.id))))</f>
        <v>0</v>
      </c>
    </row>
    <row r="867" spans="1:9">
      <c r="A867" t="s">
        <v>8858</v>
      </c>
      <c r="B867" t="s">
        <v>8812</v>
      </c>
      <c r="C867">
        <v>1828</v>
      </c>
      <c r="D867">
        <v>1</v>
      </c>
      <c r="E867" s="23">
        <v>48</v>
      </c>
      <c r="F867" t="s">
        <v>8187</v>
      </c>
      <c r="G867" t="s">
        <v>10493</v>
      </c>
      <c r="H867" t="s">
        <v>8034</v>
      </c>
      <c r="I867">
        <f>_xlfn.LET(_xlpm.id,TRIM($A867),IF(_xlpm.id="","",SUM(COUNTIF('1. OP'!$M:$M,_xlpm.id),COUNTIF('2. JSEL'!$M:$M,_xlpm.id),COUNTIF('3. PSM'!$M:$M,_xlpm.id),COUNTIF('4. SSP'!$M:$M,_xlpm.id),COUNTIF('5. JSACI'!$M:$M,_xlpm.id),COUNTIF('6. AIN'!$M:$M,_xlpm.id),COUNTIF('7. MS'!$M:$M,_xlpm.id),COUNTIF('8. DS'!$M:$M,_xlpm.id),COUNTIF('9. RMF'!$M:$M,_xlpm.id),COUNTIF('10. PCU'!$M:$M,_xlpm.id))))</f>
        <v>0</v>
      </c>
    </row>
    <row r="868" spans="1:9">
      <c r="A868" t="s">
        <v>8859</v>
      </c>
      <c r="B868" t="s">
        <v>8812</v>
      </c>
      <c r="C868">
        <v>1829</v>
      </c>
      <c r="D868">
        <v>1</v>
      </c>
      <c r="E868" s="23">
        <v>49</v>
      </c>
      <c r="F868" t="s">
        <v>8187</v>
      </c>
      <c r="G868" t="s">
        <v>10493</v>
      </c>
      <c r="H868" t="s">
        <v>8034</v>
      </c>
      <c r="I868">
        <f>_xlfn.LET(_xlpm.id,TRIM($A868),IF(_xlpm.id="","",SUM(COUNTIF('1. OP'!$M:$M,_xlpm.id),COUNTIF('2. JSEL'!$M:$M,_xlpm.id),COUNTIF('3. PSM'!$M:$M,_xlpm.id),COUNTIF('4. SSP'!$M:$M,_xlpm.id),COUNTIF('5. JSACI'!$M:$M,_xlpm.id),COUNTIF('6. AIN'!$M:$M,_xlpm.id),COUNTIF('7. MS'!$M:$M,_xlpm.id),COUNTIF('8. DS'!$M:$M,_xlpm.id),COUNTIF('9. RMF'!$M:$M,_xlpm.id),COUNTIF('10. PCU'!$M:$M,_xlpm.id))))</f>
        <v>0</v>
      </c>
    </row>
    <row r="869" spans="1:9">
      <c r="A869" t="s">
        <v>8860</v>
      </c>
      <c r="B869" t="s">
        <v>8812</v>
      </c>
      <c r="C869">
        <v>1829</v>
      </c>
      <c r="D869">
        <v>1</v>
      </c>
      <c r="E869" s="23">
        <v>50</v>
      </c>
      <c r="F869" t="s">
        <v>8187</v>
      </c>
      <c r="G869" t="s">
        <v>10493</v>
      </c>
      <c r="H869" t="s">
        <v>8034</v>
      </c>
      <c r="I869">
        <f>_xlfn.LET(_xlpm.id,TRIM($A869),IF(_xlpm.id="","",SUM(COUNTIF('1. OP'!$M:$M,_xlpm.id),COUNTIF('2. JSEL'!$M:$M,_xlpm.id),COUNTIF('3. PSM'!$M:$M,_xlpm.id),COUNTIF('4. SSP'!$M:$M,_xlpm.id),COUNTIF('5. JSACI'!$M:$M,_xlpm.id),COUNTIF('6. AIN'!$M:$M,_xlpm.id),COUNTIF('7. MS'!$M:$M,_xlpm.id),COUNTIF('8. DS'!$M:$M,_xlpm.id),COUNTIF('9. RMF'!$M:$M,_xlpm.id),COUNTIF('10. PCU'!$M:$M,_xlpm.id))))</f>
        <v>0</v>
      </c>
    </row>
    <row r="870" spans="1:9">
      <c r="A870" t="s">
        <v>8861</v>
      </c>
      <c r="B870" t="s">
        <v>8812</v>
      </c>
      <c r="C870">
        <v>1829</v>
      </c>
      <c r="D870">
        <v>1</v>
      </c>
      <c r="E870" s="23">
        <v>51</v>
      </c>
      <c r="F870" t="s">
        <v>8187</v>
      </c>
      <c r="G870" t="s">
        <v>10493</v>
      </c>
      <c r="H870" t="s">
        <v>8034</v>
      </c>
      <c r="I870">
        <f>_xlfn.LET(_xlpm.id,TRIM($A870),IF(_xlpm.id="","",SUM(COUNTIF('1. OP'!$M:$M,_xlpm.id),COUNTIF('2. JSEL'!$M:$M,_xlpm.id),COUNTIF('3. PSM'!$M:$M,_xlpm.id),COUNTIF('4. SSP'!$M:$M,_xlpm.id),COUNTIF('5. JSACI'!$M:$M,_xlpm.id),COUNTIF('6. AIN'!$M:$M,_xlpm.id),COUNTIF('7. MS'!$M:$M,_xlpm.id),COUNTIF('8. DS'!$M:$M,_xlpm.id),COUNTIF('9. RMF'!$M:$M,_xlpm.id),COUNTIF('10. PCU'!$M:$M,_xlpm.id))))</f>
        <v>0</v>
      </c>
    </row>
    <row r="871" spans="1:9">
      <c r="A871" t="s">
        <v>5014</v>
      </c>
      <c r="B871" t="s">
        <v>8812</v>
      </c>
      <c r="C871">
        <v>1829</v>
      </c>
      <c r="D871">
        <v>1</v>
      </c>
      <c r="E871" s="23">
        <v>52</v>
      </c>
      <c r="F871" t="s">
        <v>8187</v>
      </c>
      <c r="G871" t="s">
        <v>10493</v>
      </c>
      <c r="H871" t="s">
        <v>8034</v>
      </c>
      <c r="I871">
        <f>_xlfn.LET(_xlpm.id,TRIM($A871),IF(_xlpm.id="","",SUM(COUNTIF('1. OP'!$M:$M,_xlpm.id),COUNTIF('2. JSEL'!$M:$M,_xlpm.id),COUNTIF('3. PSM'!$M:$M,_xlpm.id),COUNTIF('4. SSP'!$M:$M,_xlpm.id),COUNTIF('5. JSACI'!$M:$M,_xlpm.id),COUNTIF('6. AIN'!$M:$M,_xlpm.id),COUNTIF('7. MS'!$M:$M,_xlpm.id),COUNTIF('8. DS'!$M:$M,_xlpm.id),COUNTIF('9. RMF'!$M:$M,_xlpm.id),COUNTIF('10. PCU'!$M:$M,_xlpm.id))))</f>
        <v>2</v>
      </c>
    </row>
    <row r="872" spans="1:9">
      <c r="A872" t="s">
        <v>8862</v>
      </c>
      <c r="B872" t="s">
        <v>8812</v>
      </c>
      <c r="C872">
        <v>1830</v>
      </c>
      <c r="D872">
        <v>1</v>
      </c>
      <c r="E872" s="23">
        <v>53</v>
      </c>
      <c r="F872" t="s">
        <v>8187</v>
      </c>
      <c r="G872" t="s">
        <v>10493</v>
      </c>
      <c r="H872" t="s">
        <v>8034</v>
      </c>
      <c r="I872">
        <f>_xlfn.LET(_xlpm.id,TRIM($A872),IF(_xlpm.id="","",SUM(COUNTIF('1. OP'!$M:$M,_xlpm.id),COUNTIF('2. JSEL'!$M:$M,_xlpm.id),COUNTIF('3. PSM'!$M:$M,_xlpm.id),COUNTIF('4. SSP'!$M:$M,_xlpm.id),COUNTIF('5. JSACI'!$M:$M,_xlpm.id),COUNTIF('6. AIN'!$M:$M,_xlpm.id),COUNTIF('7. MS'!$M:$M,_xlpm.id),COUNTIF('8. DS'!$M:$M,_xlpm.id),COUNTIF('9. RMF'!$M:$M,_xlpm.id),COUNTIF('10. PCU'!$M:$M,_xlpm.id))))</f>
        <v>0</v>
      </c>
    </row>
    <row r="873" spans="1:9">
      <c r="A873" t="s">
        <v>8863</v>
      </c>
      <c r="B873" t="s">
        <v>8812</v>
      </c>
      <c r="C873">
        <v>1830</v>
      </c>
      <c r="D873">
        <v>1</v>
      </c>
      <c r="E873" s="23">
        <v>54</v>
      </c>
      <c r="F873" t="s">
        <v>8187</v>
      </c>
      <c r="G873" t="s">
        <v>10493</v>
      </c>
      <c r="H873" t="s">
        <v>8034</v>
      </c>
      <c r="I873">
        <f>_xlfn.LET(_xlpm.id,TRIM($A873),IF(_xlpm.id="","",SUM(COUNTIF('1. OP'!$M:$M,_xlpm.id),COUNTIF('2. JSEL'!$M:$M,_xlpm.id),COUNTIF('3. PSM'!$M:$M,_xlpm.id),COUNTIF('4. SSP'!$M:$M,_xlpm.id),COUNTIF('5. JSACI'!$M:$M,_xlpm.id),COUNTIF('6. AIN'!$M:$M,_xlpm.id),COUNTIF('7. MS'!$M:$M,_xlpm.id),COUNTIF('8. DS'!$M:$M,_xlpm.id),COUNTIF('9. RMF'!$M:$M,_xlpm.id),COUNTIF('10. PCU'!$M:$M,_xlpm.id))))</f>
        <v>0</v>
      </c>
    </row>
    <row r="874" spans="1:9">
      <c r="A874" t="s">
        <v>8864</v>
      </c>
      <c r="B874" t="s">
        <v>8812</v>
      </c>
      <c r="C874">
        <v>1830</v>
      </c>
      <c r="D874">
        <v>1</v>
      </c>
      <c r="E874" s="23">
        <v>55</v>
      </c>
      <c r="F874" t="s">
        <v>8187</v>
      </c>
      <c r="G874" t="s">
        <v>10493</v>
      </c>
      <c r="H874" t="s">
        <v>8034</v>
      </c>
      <c r="I874">
        <f>_xlfn.LET(_xlpm.id,TRIM($A874),IF(_xlpm.id="","",SUM(COUNTIF('1. OP'!$M:$M,_xlpm.id),COUNTIF('2. JSEL'!$M:$M,_xlpm.id),COUNTIF('3. PSM'!$M:$M,_xlpm.id),COUNTIF('4. SSP'!$M:$M,_xlpm.id),COUNTIF('5. JSACI'!$M:$M,_xlpm.id),COUNTIF('6. AIN'!$M:$M,_xlpm.id),COUNTIF('7. MS'!$M:$M,_xlpm.id),COUNTIF('8. DS'!$M:$M,_xlpm.id),COUNTIF('9. RMF'!$M:$M,_xlpm.id),COUNTIF('10. PCU'!$M:$M,_xlpm.id))))</f>
        <v>0</v>
      </c>
    </row>
    <row r="875" spans="1:9">
      <c r="A875" t="s">
        <v>8865</v>
      </c>
      <c r="B875" t="s">
        <v>8812</v>
      </c>
      <c r="C875">
        <v>1830</v>
      </c>
      <c r="D875">
        <v>1</v>
      </c>
      <c r="E875" s="23">
        <v>56</v>
      </c>
      <c r="F875" t="s">
        <v>8187</v>
      </c>
      <c r="G875" t="s">
        <v>10493</v>
      </c>
      <c r="H875" t="s">
        <v>8034</v>
      </c>
      <c r="I875">
        <f>_xlfn.LET(_xlpm.id,TRIM($A875),IF(_xlpm.id="","",SUM(COUNTIF('1. OP'!$M:$M,_xlpm.id),COUNTIF('2. JSEL'!$M:$M,_xlpm.id),COUNTIF('3. PSM'!$M:$M,_xlpm.id),COUNTIF('4. SSP'!$M:$M,_xlpm.id),COUNTIF('5. JSACI'!$M:$M,_xlpm.id),COUNTIF('6. AIN'!$M:$M,_xlpm.id),COUNTIF('7. MS'!$M:$M,_xlpm.id),COUNTIF('8. DS'!$M:$M,_xlpm.id),COUNTIF('9. RMF'!$M:$M,_xlpm.id),COUNTIF('10. PCU'!$M:$M,_xlpm.id))))</f>
        <v>0</v>
      </c>
    </row>
    <row r="876" spans="1:9">
      <c r="A876" t="s">
        <v>8866</v>
      </c>
      <c r="B876" t="s">
        <v>8812</v>
      </c>
      <c r="C876">
        <v>1831</v>
      </c>
      <c r="D876">
        <v>1</v>
      </c>
      <c r="E876" s="23">
        <v>57</v>
      </c>
      <c r="F876" t="s">
        <v>8187</v>
      </c>
      <c r="G876" t="s">
        <v>10493</v>
      </c>
      <c r="H876" t="s">
        <v>8034</v>
      </c>
      <c r="I876">
        <f>_xlfn.LET(_xlpm.id,TRIM($A876),IF(_xlpm.id="","",SUM(COUNTIF('1. OP'!$M:$M,_xlpm.id),COUNTIF('2. JSEL'!$M:$M,_xlpm.id),COUNTIF('3. PSM'!$M:$M,_xlpm.id),COUNTIF('4. SSP'!$M:$M,_xlpm.id),COUNTIF('5. JSACI'!$M:$M,_xlpm.id),COUNTIF('6. AIN'!$M:$M,_xlpm.id),COUNTIF('7. MS'!$M:$M,_xlpm.id),COUNTIF('8. DS'!$M:$M,_xlpm.id),COUNTIF('9. RMF'!$M:$M,_xlpm.id),COUNTIF('10. PCU'!$M:$M,_xlpm.id))))</f>
        <v>0</v>
      </c>
    </row>
    <row r="877" spans="1:9">
      <c r="A877" t="s">
        <v>7253</v>
      </c>
      <c r="B877" t="s">
        <v>8812</v>
      </c>
      <c r="C877">
        <v>1831</v>
      </c>
      <c r="D877">
        <v>1</v>
      </c>
      <c r="E877" s="23">
        <v>58</v>
      </c>
      <c r="F877" t="s">
        <v>8187</v>
      </c>
      <c r="G877" t="s">
        <v>10493</v>
      </c>
      <c r="H877" t="s">
        <v>8034</v>
      </c>
      <c r="I877">
        <f>_xlfn.LET(_xlpm.id,TRIM($A877),IF(_xlpm.id="","",SUM(COUNTIF('1. OP'!$M:$M,_xlpm.id),COUNTIF('2. JSEL'!$M:$M,_xlpm.id),COUNTIF('3. PSM'!$M:$M,_xlpm.id),COUNTIF('4. SSP'!$M:$M,_xlpm.id),COUNTIF('5. JSACI'!$M:$M,_xlpm.id),COUNTIF('6. AIN'!$M:$M,_xlpm.id),COUNTIF('7. MS'!$M:$M,_xlpm.id),COUNTIF('8. DS'!$M:$M,_xlpm.id),COUNTIF('9. RMF'!$M:$M,_xlpm.id),COUNTIF('10. PCU'!$M:$M,_xlpm.id))))</f>
        <v>1</v>
      </c>
    </row>
    <row r="878" spans="1:9">
      <c r="A878" t="s">
        <v>8867</v>
      </c>
      <c r="B878" t="s">
        <v>8812</v>
      </c>
      <c r="C878">
        <v>1831</v>
      </c>
      <c r="D878">
        <v>1</v>
      </c>
      <c r="E878" s="23">
        <v>59</v>
      </c>
      <c r="F878" t="s">
        <v>8187</v>
      </c>
      <c r="G878" t="s">
        <v>10493</v>
      </c>
      <c r="H878" t="s">
        <v>8034</v>
      </c>
      <c r="I878">
        <f>_xlfn.LET(_xlpm.id,TRIM($A878),IF(_xlpm.id="","",SUM(COUNTIF('1. OP'!$M:$M,_xlpm.id),COUNTIF('2. JSEL'!$M:$M,_xlpm.id),COUNTIF('3. PSM'!$M:$M,_xlpm.id),COUNTIF('4. SSP'!$M:$M,_xlpm.id),COUNTIF('5. JSACI'!$M:$M,_xlpm.id),COUNTIF('6. AIN'!$M:$M,_xlpm.id),COUNTIF('7. MS'!$M:$M,_xlpm.id),COUNTIF('8. DS'!$M:$M,_xlpm.id),COUNTIF('9. RMF'!$M:$M,_xlpm.id),COUNTIF('10. PCU'!$M:$M,_xlpm.id))))</f>
        <v>0</v>
      </c>
    </row>
    <row r="879" spans="1:9">
      <c r="A879" t="s">
        <v>8868</v>
      </c>
      <c r="B879" t="s">
        <v>8812</v>
      </c>
      <c r="C879">
        <v>1831</v>
      </c>
      <c r="D879">
        <v>1</v>
      </c>
      <c r="E879" s="23">
        <v>60</v>
      </c>
      <c r="F879" t="s">
        <v>8187</v>
      </c>
      <c r="G879" t="s">
        <v>10493</v>
      </c>
      <c r="H879" t="s">
        <v>8034</v>
      </c>
      <c r="I879">
        <f>_xlfn.LET(_xlpm.id,TRIM($A879),IF(_xlpm.id="","",SUM(COUNTIF('1. OP'!$M:$M,_xlpm.id),COUNTIF('2. JSEL'!$M:$M,_xlpm.id),COUNTIF('3. PSM'!$M:$M,_xlpm.id),COUNTIF('4. SSP'!$M:$M,_xlpm.id),COUNTIF('5. JSACI'!$M:$M,_xlpm.id),COUNTIF('6. AIN'!$M:$M,_xlpm.id),COUNTIF('7. MS'!$M:$M,_xlpm.id),COUNTIF('8. DS'!$M:$M,_xlpm.id),COUNTIF('9. RMF'!$M:$M,_xlpm.id),COUNTIF('10. PCU'!$M:$M,_xlpm.id))))</f>
        <v>0</v>
      </c>
    </row>
    <row r="880" spans="1:9">
      <c r="A880" t="s">
        <v>5059</v>
      </c>
      <c r="B880" t="s">
        <v>8812</v>
      </c>
      <c r="C880">
        <v>1832</v>
      </c>
      <c r="D880">
        <v>1</v>
      </c>
      <c r="E880" s="23">
        <v>61</v>
      </c>
      <c r="F880" t="s">
        <v>8187</v>
      </c>
      <c r="G880" t="s">
        <v>10493</v>
      </c>
      <c r="H880" t="s">
        <v>8034</v>
      </c>
      <c r="I880">
        <f>_xlfn.LET(_xlpm.id,TRIM($A880),IF(_xlpm.id="","",SUM(COUNTIF('1. OP'!$M:$M,_xlpm.id),COUNTIF('2. JSEL'!$M:$M,_xlpm.id),COUNTIF('3. PSM'!$M:$M,_xlpm.id),COUNTIF('4. SSP'!$M:$M,_xlpm.id),COUNTIF('5. JSACI'!$M:$M,_xlpm.id),COUNTIF('6. AIN'!$M:$M,_xlpm.id),COUNTIF('7. MS'!$M:$M,_xlpm.id),COUNTIF('8. DS'!$M:$M,_xlpm.id),COUNTIF('9. RMF'!$M:$M,_xlpm.id),COUNTIF('10. PCU'!$M:$M,_xlpm.id))))</f>
        <v>1</v>
      </c>
    </row>
    <row r="881" spans="1:9">
      <c r="A881" t="s">
        <v>8869</v>
      </c>
      <c r="B881" t="s">
        <v>8812</v>
      </c>
      <c r="C881">
        <v>1832</v>
      </c>
      <c r="D881">
        <v>1</v>
      </c>
      <c r="E881" s="23">
        <v>62</v>
      </c>
      <c r="F881" t="s">
        <v>8187</v>
      </c>
      <c r="G881" t="s">
        <v>10493</v>
      </c>
      <c r="H881" t="s">
        <v>8034</v>
      </c>
      <c r="I881">
        <f>_xlfn.LET(_xlpm.id,TRIM($A881),IF(_xlpm.id="","",SUM(COUNTIF('1. OP'!$M:$M,_xlpm.id),COUNTIF('2. JSEL'!$M:$M,_xlpm.id),COUNTIF('3. PSM'!$M:$M,_xlpm.id),COUNTIF('4. SSP'!$M:$M,_xlpm.id),COUNTIF('5. JSACI'!$M:$M,_xlpm.id),COUNTIF('6. AIN'!$M:$M,_xlpm.id),COUNTIF('7. MS'!$M:$M,_xlpm.id),COUNTIF('8. DS'!$M:$M,_xlpm.id),COUNTIF('9. RMF'!$M:$M,_xlpm.id),COUNTIF('10. PCU'!$M:$M,_xlpm.id))))</f>
        <v>0</v>
      </c>
    </row>
    <row r="882" spans="1:9">
      <c r="A882" t="s">
        <v>8870</v>
      </c>
      <c r="B882" t="s">
        <v>8812</v>
      </c>
      <c r="C882">
        <v>1832</v>
      </c>
      <c r="D882">
        <v>1</v>
      </c>
      <c r="E882" s="23">
        <v>63</v>
      </c>
      <c r="F882" t="s">
        <v>8187</v>
      </c>
      <c r="G882" t="s">
        <v>10493</v>
      </c>
      <c r="H882" t="s">
        <v>8034</v>
      </c>
      <c r="I882">
        <f>_xlfn.LET(_xlpm.id,TRIM($A882),IF(_xlpm.id="","",SUM(COUNTIF('1. OP'!$M:$M,_xlpm.id),COUNTIF('2. JSEL'!$M:$M,_xlpm.id),COUNTIF('3. PSM'!$M:$M,_xlpm.id),COUNTIF('4. SSP'!$M:$M,_xlpm.id),COUNTIF('5. JSACI'!$M:$M,_xlpm.id),COUNTIF('6. AIN'!$M:$M,_xlpm.id),COUNTIF('7. MS'!$M:$M,_xlpm.id),COUNTIF('8. DS'!$M:$M,_xlpm.id),COUNTIF('9. RMF'!$M:$M,_xlpm.id),COUNTIF('10. PCU'!$M:$M,_xlpm.id))))</f>
        <v>0</v>
      </c>
    </row>
    <row r="883" spans="1:9">
      <c r="A883" t="s">
        <v>8871</v>
      </c>
      <c r="B883" t="s">
        <v>8812</v>
      </c>
      <c r="C883">
        <v>1832</v>
      </c>
      <c r="D883">
        <v>1</v>
      </c>
      <c r="E883" s="23">
        <v>64</v>
      </c>
      <c r="F883" t="s">
        <v>8187</v>
      </c>
      <c r="G883" t="s">
        <v>10493</v>
      </c>
      <c r="H883" t="s">
        <v>8034</v>
      </c>
      <c r="I883">
        <f>_xlfn.LET(_xlpm.id,TRIM($A883),IF(_xlpm.id="","",SUM(COUNTIF('1. OP'!$M:$M,_xlpm.id),COUNTIF('2. JSEL'!$M:$M,_xlpm.id),COUNTIF('3. PSM'!$M:$M,_xlpm.id),COUNTIF('4. SSP'!$M:$M,_xlpm.id),COUNTIF('5. JSACI'!$M:$M,_xlpm.id),COUNTIF('6. AIN'!$M:$M,_xlpm.id),COUNTIF('7. MS'!$M:$M,_xlpm.id),COUNTIF('8. DS'!$M:$M,_xlpm.id),COUNTIF('9. RMF'!$M:$M,_xlpm.id),COUNTIF('10. PCU'!$M:$M,_xlpm.id))))</f>
        <v>0</v>
      </c>
    </row>
    <row r="884" spans="1:9">
      <c r="A884" t="s">
        <v>8872</v>
      </c>
      <c r="B884" t="s">
        <v>8812</v>
      </c>
      <c r="C884">
        <v>1833</v>
      </c>
      <c r="D884">
        <v>1</v>
      </c>
      <c r="E884" s="23">
        <v>65</v>
      </c>
      <c r="F884" t="s">
        <v>8187</v>
      </c>
      <c r="G884" t="s">
        <v>10493</v>
      </c>
      <c r="H884" t="s">
        <v>8034</v>
      </c>
      <c r="I884">
        <f>_xlfn.LET(_xlpm.id,TRIM($A884),IF(_xlpm.id="","",SUM(COUNTIF('1. OP'!$M:$M,_xlpm.id),COUNTIF('2. JSEL'!$M:$M,_xlpm.id),COUNTIF('3. PSM'!$M:$M,_xlpm.id),COUNTIF('4. SSP'!$M:$M,_xlpm.id),COUNTIF('5. JSACI'!$M:$M,_xlpm.id),COUNTIF('6. AIN'!$M:$M,_xlpm.id),COUNTIF('7. MS'!$M:$M,_xlpm.id),COUNTIF('8. DS'!$M:$M,_xlpm.id),COUNTIF('9. RMF'!$M:$M,_xlpm.id),COUNTIF('10. PCU'!$M:$M,_xlpm.id))))</f>
        <v>0</v>
      </c>
    </row>
    <row r="885" spans="1:9">
      <c r="A885" t="s">
        <v>8873</v>
      </c>
      <c r="B885" t="s">
        <v>8812</v>
      </c>
      <c r="C885">
        <v>1833</v>
      </c>
      <c r="D885">
        <v>1</v>
      </c>
      <c r="E885" s="23">
        <v>66</v>
      </c>
      <c r="F885" t="s">
        <v>8187</v>
      </c>
      <c r="G885" t="s">
        <v>10493</v>
      </c>
      <c r="H885" t="s">
        <v>8034</v>
      </c>
      <c r="I885">
        <f>_xlfn.LET(_xlpm.id,TRIM($A885),IF(_xlpm.id="","",SUM(COUNTIF('1. OP'!$M:$M,_xlpm.id),COUNTIF('2. JSEL'!$M:$M,_xlpm.id),COUNTIF('3. PSM'!$M:$M,_xlpm.id),COUNTIF('4. SSP'!$M:$M,_xlpm.id),COUNTIF('5. JSACI'!$M:$M,_xlpm.id),COUNTIF('6. AIN'!$M:$M,_xlpm.id),COUNTIF('7. MS'!$M:$M,_xlpm.id),COUNTIF('8. DS'!$M:$M,_xlpm.id),COUNTIF('9. RMF'!$M:$M,_xlpm.id),COUNTIF('10. PCU'!$M:$M,_xlpm.id))))</f>
        <v>0</v>
      </c>
    </row>
    <row r="886" spans="1:9">
      <c r="A886" t="s">
        <v>8874</v>
      </c>
      <c r="B886" t="s">
        <v>8812</v>
      </c>
      <c r="C886">
        <v>1833</v>
      </c>
      <c r="D886">
        <v>1</v>
      </c>
      <c r="E886" s="23">
        <v>67</v>
      </c>
      <c r="F886" t="s">
        <v>8187</v>
      </c>
      <c r="G886" t="s">
        <v>10493</v>
      </c>
      <c r="H886" t="s">
        <v>8034</v>
      </c>
      <c r="I886">
        <f>_xlfn.LET(_xlpm.id,TRIM($A886),IF(_xlpm.id="","",SUM(COUNTIF('1. OP'!$M:$M,_xlpm.id),COUNTIF('2. JSEL'!$M:$M,_xlpm.id),COUNTIF('3. PSM'!$M:$M,_xlpm.id),COUNTIF('4. SSP'!$M:$M,_xlpm.id),COUNTIF('5. JSACI'!$M:$M,_xlpm.id),COUNTIF('6. AIN'!$M:$M,_xlpm.id),COUNTIF('7. MS'!$M:$M,_xlpm.id),COUNTIF('8. DS'!$M:$M,_xlpm.id),COUNTIF('9. RMF'!$M:$M,_xlpm.id),COUNTIF('10. PCU'!$M:$M,_xlpm.id))))</f>
        <v>0</v>
      </c>
    </row>
    <row r="887" spans="1:9">
      <c r="A887" t="s">
        <v>8875</v>
      </c>
      <c r="B887" t="s">
        <v>8812</v>
      </c>
      <c r="C887">
        <v>1833</v>
      </c>
      <c r="D887">
        <v>1</v>
      </c>
      <c r="E887" s="23">
        <v>68</v>
      </c>
      <c r="F887" t="s">
        <v>8187</v>
      </c>
      <c r="G887" t="s">
        <v>10493</v>
      </c>
      <c r="H887" t="s">
        <v>8034</v>
      </c>
      <c r="I887">
        <f>_xlfn.LET(_xlpm.id,TRIM($A887),IF(_xlpm.id="","",SUM(COUNTIF('1. OP'!$M:$M,_xlpm.id),COUNTIF('2. JSEL'!$M:$M,_xlpm.id),COUNTIF('3. PSM'!$M:$M,_xlpm.id),COUNTIF('4. SSP'!$M:$M,_xlpm.id),COUNTIF('5. JSACI'!$M:$M,_xlpm.id),COUNTIF('6. AIN'!$M:$M,_xlpm.id),COUNTIF('7. MS'!$M:$M,_xlpm.id),COUNTIF('8. DS'!$M:$M,_xlpm.id),COUNTIF('9. RMF'!$M:$M,_xlpm.id),COUNTIF('10. PCU'!$M:$M,_xlpm.id))))</f>
        <v>0</v>
      </c>
    </row>
    <row r="888" spans="1:9">
      <c r="A888" t="s">
        <v>8876</v>
      </c>
      <c r="B888" t="s">
        <v>8812</v>
      </c>
      <c r="C888">
        <v>1834</v>
      </c>
      <c r="D888">
        <v>1</v>
      </c>
      <c r="E888" s="23">
        <v>69</v>
      </c>
      <c r="F888" t="s">
        <v>8187</v>
      </c>
      <c r="G888" t="s">
        <v>10493</v>
      </c>
      <c r="H888" t="s">
        <v>8034</v>
      </c>
      <c r="I888">
        <f>_xlfn.LET(_xlpm.id,TRIM($A888),IF(_xlpm.id="","",SUM(COUNTIF('1. OP'!$M:$M,_xlpm.id),COUNTIF('2. JSEL'!$M:$M,_xlpm.id),COUNTIF('3. PSM'!$M:$M,_xlpm.id),COUNTIF('4. SSP'!$M:$M,_xlpm.id),COUNTIF('5. JSACI'!$M:$M,_xlpm.id),COUNTIF('6. AIN'!$M:$M,_xlpm.id),COUNTIF('7. MS'!$M:$M,_xlpm.id),COUNTIF('8. DS'!$M:$M,_xlpm.id),COUNTIF('9. RMF'!$M:$M,_xlpm.id),COUNTIF('10. PCU'!$M:$M,_xlpm.id))))</f>
        <v>0</v>
      </c>
    </row>
    <row r="889" spans="1:9">
      <c r="A889" t="s">
        <v>8877</v>
      </c>
      <c r="B889" t="s">
        <v>8812</v>
      </c>
      <c r="C889">
        <v>1834</v>
      </c>
      <c r="D889">
        <v>1</v>
      </c>
      <c r="E889" s="23">
        <v>70</v>
      </c>
      <c r="F889" t="s">
        <v>8187</v>
      </c>
      <c r="G889" t="s">
        <v>10493</v>
      </c>
      <c r="H889" t="s">
        <v>8034</v>
      </c>
      <c r="I889">
        <f>_xlfn.LET(_xlpm.id,TRIM($A889),IF(_xlpm.id="","",SUM(COUNTIF('1. OP'!$M:$M,_xlpm.id),COUNTIF('2. JSEL'!$M:$M,_xlpm.id),COUNTIF('3. PSM'!$M:$M,_xlpm.id),COUNTIF('4. SSP'!$M:$M,_xlpm.id),COUNTIF('5. JSACI'!$M:$M,_xlpm.id),COUNTIF('6. AIN'!$M:$M,_xlpm.id),COUNTIF('7. MS'!$M:$M,_xlpm.id),COUNTIF('8. DS'!$M:$M,_xlpm.id),COUNTIF('9. RMF'!$M:$M,_xlpm.id),COUNTIF('10. PCU'!$M:$M,_xlpm.id))))</f>
        <v>0</v>
      </c>
    </row>
    <row r="890" spans="1:9">
      <c r="A890" t="s">
        <v>8878</v>
      </c>
      <c r="B890" t="s">
        <v>8812</v>
      </c>
      <c r="C890">
        <v>1834</v>
      </c>
      <c r="D890">
        <v>1</v>
      </c>
      <c r="E890" s="23">
        <v>71</v>
      </c>
      <c r="F890" t="s">
        <v>8187</v>
      </c>
      <c r="G890" t="s">
        <v>10493</v>
      </c>
      <c r="H890" t="s">
        <v>8034</v>
      </c>
      <c r="I890">
        <f>_xlfn.LET(_xlpm.id,TRIM($A890),IF(_xlpm.id="","",SUM(COUNTIF('1. OP'!$M:$M,_xlpm.id),COUNTIF('2. JSEL'!$M:$M,_xlpm.id),COUNTIF('3. PSM'!$M:$M,_xlpm.id),COUNTIF('4. SSP'!$M:$M,_xlpm.id),COUNTIF('5. JSACI'!$M:$M,_xlpm.id),COUNTIF('6. AIN'!$M:$M,_xlpm.id),COUNTIF('7. MS'!$M:$M,_xlpm.id),COUNTIF('8. DS'!$M:$M,_xlpm.id),COUNTIF('9. RMF'!$M:$M,_xlpm.id),COUNTIF('10. PCU'!$M:$M,_xlpm.id))))</f>
        <v>0</v>
      </c>
    </row>
    <row r="891" spans="1:9">
      <c r="A891" t="s">
        <v>8879</v>
      </c>
      <c r="B891" t="s">
        <v>8812</v>
      </c>
      <c r="C891">
        <v>1834</v>
      </c>
      <c r="D891">
        <v>1</v>
      </c>
      <c r="E891" s="23">
        <v>72</v>
      </c>
      <c r="F891" t="s">
        <v>8187</v>
      </c>
      <c r="G891" t="s">
        <v>10493</v>
      </c>
      <c r="H891" t="s">
        <v>8034</v>
      </c>
      <c r="I891">
        <f>_xlfn.LET(_xlpm.id,TRIM($A891),IF(_xlpm.id="","",SUM(COUNTIF('1. OP'!$M:$M,_xlpm.id),COUNTIF('2. JSEL'!$M:$M,_xlpm.id),COUNTIF('3. PSM'!$M:$M,_xlpm.id),COUNTIF('4. SSP'!$M:$M,_xlpm.id),COUNTIF('5. JSACI'!$M:$M,_xlpm.id),COUNTIF('6. AIN'!$M:$M,_xlpm.id),COUNTIF('7. MS'!$M:$M,_xlpm.id),COUNTIF('8. DS'!$M:$M,_xlpm.id),COUNTIF('9. RMF'!$M:$M,_xlpm.id),COUNTIF('10. PCU'!$M:$M,_xlpm.id))))</f>
        <v>0</v>
      </c>
    </row>
    <row r="892" spans="1:9">
      <c r="A892" t="s">
        <v>8880</v>
      </c>
      <c r="B892" t="s">
        <v>8812</v>
      </c>
      <c r="C892">
        <v>1835</v>
      </c>
      <c r="D892">
        <v>1</v>
      </c>
      <c r="E892" s="23">
        <v>73</v>
      </c>
      <c r="F892" t="s">
        <v>8187</v>
      </c>
      <c r="G892" t="s">
        <v>10493</v>
      </c>
      <c r="H892" t="s">
        <v>8034</v>
      </c>
      <c r="I892">
        <f>_xlfn.LET(_xlpm.id,TRIM($A892),IF(_xlpm.id="","",SUM(COUNTIF('1. OP'!$M:$M,_xlpm.id),COUNTIF('2. JSEL'!$M:$M,_xlpm.id),COUNTIF('3. PSM'!$M:$M,_xlpm.id),COUNTIF('4. SSP'!$M:$M,_xlpm.id),COUNTIF('5. JSACI'!$M:$M,_xlpm.id),COUNTIF('6. AIN'!$M:$M,_xlpm.id),COUNTIF('7. MS'!$M:$M,_xlpm.id),COUNTIF('8. DS'!$M:$M,_xlpm.id),COUNTIF('9. RMF'!$M:$M,_xlpm.id),COUNTIF('10. PCU'!$M:$M,_xlpm.id))))</f>
        <v>0</v>
      </c>
    </row>
    <row r="893" spans="1:9">
      <c r="A893" t="s">
        <v>8881</v>
      </c>
      <c r="B893" t="s">
        <v>8812</v>
      </c>
      <c r="C893">
        <v>1835</v>
      </c>
      <c r="D893">
        <v>1</v>
      </c>
      <c r="E893" s="23">
        <v>74</v>
      </c>
      <c r="F893" t="s">
        <v>8187</v>
      </c>
      <c r="G893" t="s">
        <v>10493</v>
      </c>
      <c r="H893" t="s">
        <v>8034</v>
      </c>
      <c r="I893">
        <f>_xlfn.LET(_xlpm.id,TRIM($A893),IF(_xlpm.id="","",SUM(COUNTIF('1. OP'!$M:$M,_xlpm.id),COUNTIF('2. JSEL'!$M:$M,_xlpm.id),COUNTIF('3. PSM'!$M:$M,_xlpm.id),COUNTIF('4. SSP'!$M:$M,_xlpm.id),COUNTIF('5. JSACI'!$M:$M,_xlpm.id),COUNTIF('6. AIN'!$M:$M,_xlpm.id),COUNTIF('7. MS'!$M:$M,_xlpm.id),COUNTIF('8. DS'!$M:$M,_xlpm.id),COUNTIF('9. RMF'!$M:$M,_xlpm.id),COUNTIF('10. PCU'!$M:$M,_xlpm.id))))</f>
        <v>0</v>
      </c>
    </row>
    <row r="894" spans="1:9">
      <c r="A894" t="s">
        <v>8882</v>
      </c>
      <c r="B894" t="s">
        <v>8812</v>
      </c>
      <c r="C894">
        <v>1835</v>
      </c>
      <c r="D894">
        <v>1</v>
      </c>
      <c r="E894" s="23">
        <v>75</v>
      </c>
      <c r="F894" t="s">
        <v>8187</v>
      </c>
      <c r="G894" t="s">
        <v>10493</v>
      </c>
      <c r="H894" t="s">
        <v>8034</v>
      </c>
      <c r="I894">
        <f>_xlfn.LET(_xlpm.id,TRIM($A894),IF(_xlpm.id="","",SUM(COUNTIF('1. OP'!$M:$M,_xlpm.id),COUNTIF('2. JSEL'!$M:$M,_xlpm.id),COUNTIF('3. PSM'!$M:$M,_xlpm.id),COUNTIF('4. SSP'!$M:$M,_xlpm.id),COUNTIF('5. JSACI'!$M:$M,_xlpm.id),COUNTIF('6. AIN'!$M:$M,_xlpm.id),COUNTIF('7. MS'!$M:$M,_xlpm.id),COUNTIF('8. DS'!$M:$M,_xlpm.id),COUNTIF('9. RMF'!$M:$M,_xlpm.id),COUNTIF('10. PCU'!$M:$M,_xlpm.id))))</f>
        <v>0</v>
      </c>
    </row>
    <row r="895" spans="1:9">
      <c r="A895" t="s">
        <v>8883</v>
      </c>
      <c r="B895" t="s">
        <v>8812</v>
      </c>
      <c r="C895">
        <v>1835</v>
      </c>
      <c r="D895">
        <v>1</v>
      </c>
      <c r="E895" s="23">
        <v>76</v>
      </c>
      <c r="F895" t="s">
        <v>8187</v>
      </c>
      <c r="G895" t="s">
        <v>10493</v>
      </c>
      <c r="H895" t="s">
        <v>8034</v>
      </c>
      <c r="I895">
        <f>_xlfn.LET(_xlpm.id,TRIM($A895),IF(_xlpm.id="","",SUM(COUNTIF('1. OP'!$M:$M,_xlpm.id),COUNTIF('2. JSEL'!$M:$M,_xlpm.id),COUNTIF('3. PSM'!$M:$M,_xlpm.id),COUNTIF('4. SSP'!$M:$M,_xlpm.id),COUNTIF('5. JSACI'!$M:$M,_xlpm.id),COUNTIF('6. AIN'!$M:$M,_xlpm.id),COUNTIF('7. MS'!$M:$M,_xlpm.id),COUNTIF('8. DS'!$M:$M,_xlpm.id),COUNTIF('9. RMF'!$M:$M,_xlpm.id),COUNTIF('10. PCU'!$M:$M,_xlpm.id))))</f>
        <v>0</v>
      </c>
    </row>
    <row r="896" spans="1:9">
      <c r="A896" t="s">
        <v>8884</v>
      </c>
      <c r="B896" t="s">
        <v>8812</v>
      </c>
      <c r="C896">
        <v>1836</v>
      </c>
      <c r="D896">
        <v>1</v>
      </c>
      <c r="E896" s="23">
        <v>77</v>
      </c>
      <c r="F896" t="s">
        <v>8187</v>
      </c>
      <c r="G896" t="s">
        <v>10493</v>
      </c>
      <c r="H896" t="s">
        <v>8034</v>
      </c>
      <c r="I896">
        <f>_xlfn.LET(_xlpm.id,TRIM($A896),IF(_xlpm.id="","",SUM(COUNTIF('1. OP'!$M:$M,_xlpm.id),COUNTIF('2. JSEL'!$M:$M,_xlpm.id),COUNTIF('3. PSM'!$M:$M,_xlpm.id),COUNTIF('4. SSP'!$M:$M,_xlpm.id),COUNTIF('5. JSACI'!$M:$M,_xlpm.id),COUNTIF('6. AIN'!$M:$M,_xlpm.id),COUNTIF('7. MS'!$M:$M,_xlpm.id),COUNTIF('8. DS'!$M:$M,_xlpm.id),COUNTIF('9. RMF'!$M:$M,_xlpm.id),COUNTIF('10. PCU'!$M:$M,_xlpm.id))))</f>
        <v>0</v>
      </c>
    </row>
    <row r="897" spans="1:9">
      <c r="A897" t="s">
        <v>8885</v>
      </c>
      <c r="B897" t="s">
        <v>8812</v>
      </c>
      <c r="C897">
        <v>1836</v>
      </c>
      <c r="D897">
        <v>1</v>
      </c>
      <c r="E897" s="23">
        <v>78</v>
      </c>
      <c r="F897" t="s">
        <v>8187</v>
      </c>
      <c r="G897" t="s">
        <v>10493</v>
      </c>
      <c r="H897" t="s">
        <v>8034</v>
      </c>
      <c r="I897">
        <f>_xlfn.LET(_xlpm.id,TRIM($A897),IF(_xlpm.id="","",SUM(COUNTIF('1. OP'!$M:$M,_xlpm.id),COUNTIF('2. JSEL'!$M:$M,_xlpm.id),COUNTIF('3. PSM'!$M:$M,_xlpm.id),COUNTIF('4. SSP'!$M:$M,_xlpm.id),COUNTIF('5. JSACI'!$M:$M,_xlpm.id),COUNTIF('6. AIN'!$M:$M,_xlpm.id),COUNTIF('7. MS'!$M:$M,_xlpm.id),COUNTIF('8. DS'!$M:$M,_xlpm.id),COUNTIF('9. RMF'!$M:$M,_xlpm.id),COUNTIF('10. PCU'!$M:$M,_xlpm.id))))</f>
        <v>0</v>
      </c>
    </row>
    <row r="898" spans="1:9">
      <c r="A898" t="s">
        <v>8886</v>
      </c>
      <c r="B898" t="s">
        <v>8812</v>
      </c>
      <c r="C898">
        <v>1836</v>
      </c>
      <c r="D898">
        <v>1</v>
      </c>
      <c r="E898" s="23">
        <v>79</v>
      </c>
      <c r="F898" t="s">
        <v>8187</v>
      </c>
      <c r="G898" t="s">
        <v>10493</v>
      </c>
      <c r="H898" t="s">
        <v>8034</v>
      </c>
      <c r="I898">
        <f>_xlfn.LET(_xlpm.id,TRIM($A898),IF(_xlpm.id="","",SUM(COUNTIF('1. OP'!$M:$M,_xlpm.id),COUNTIF('2. JSEL'!$M:$M,_xlpm.id),COUNTIF('3. PSM'!$M:$M,_xlpm.id),COUNTIF('4. SSP'!$M:$M,_xlpm.id),COUNTIF('5. JSACI'!$M:$M,_xlpm.id),COUNTIF('6. AIN'!$M:$M,_xlpm.id),COUNTIF('7. MS'!$M:$M,_xlpm.id),COUNTIF('8. DS'!$M:$M,_xlpm.id),COUNTIF('9. RMF'!$M:$M,_xlpm.id),COUNTIF('10. PCU'!$M:$M,_xlpm.id))))</f>
        <v>0</v>
      </c>
    </row>
    <row r="899" spans="1:9">
      <c r="A899" t="s">
        <v>8887</v>
      </c>
      <c r="B899" t="s">
        <v>8812</v>
      </c>
      <c r="C899">
        <v>1836</v>
      </c>
      <c r="D899">
        <v>1</v>
      </c>
      <c r="E899" s="23">
        <v>80</v>
      </c>
      <c r="F899" t="s">
        <v>8187</v>
      </c>
      <c r="G899" t="s">
        <v>10493</v>
      </c>
      <c r="H899" t="s">
        <v>8034</v>
      </c>
      <c r="I899">
        <f>_xlfn.LET(_xlpm.id,TRIM($A899),IF(_xlpm.id="","",SUM(COUNTIF('1. OP'!$M:$M,_xlpm.id),COUNTIF('2. JSEL'!$M:$M,_xlpm.id),COUNTIF('3. PSM'!$M:$M,_xlpm.id),COUNTIF('4. SSP'!$M:$M,_xlpm.id),COUNTIF('5. JSACI'!$M:$M,_xlpm.id),COUNTIF('6. AIN'!$M:$M,_xlpm.id),COUNTIF('7. MS'!$M:$M,_xlpm.id),COUNTIF('8. DS'!$M:$M,_xlpm.id),COUNTIF('9. RMF'!$M:$M,_xlpm.id),COUNTIF('10. PCU'!$M:$M,_xlpm.id))))</f>
        <v>0</v>
      </c>
    </row>
    <row r="900" spans="1:9">
      <c r="A900" t="s">
        <v>8888</v>
      </c>
      <c r="B900" t="s">
        <v>8812</v>
      </c>
      <c r="C900">
        <v>1837</v>
      </c>
      <c r="D900">
        <v>1</v>
      </c>
      <c r="E900" s="23">
        <v>81</v>
      </c>
      <c r="F900" t="s">
        <v>8187</v>
      </c>
      <c r="G900" t="s">
        <v>10493</v>
      </c>
      <c r="H900" t="s">
        <v>8034</v>
      </c>
      <c r="I900">
        <f>_xlfn.LET(_xlpm.id,TRIM($A900),IF(_xlpm.id="","",SUM(COUNTIF('1. OP'!$M:$M,_xlpm.id),COUNTIF('2. JSEL'!$M:$M,_xlpm.id),COUNTIF('3. PSM'!$M:$M,_xlpm.id),COUNTIF('4. SSP'!$M:$M,_xlpm.id),COUNTIF('5. JSACI'!$M:$M,_xlpm.id),COUNTIF('6. AIN'!$M:$M,_xlpm.id),COUNTIF('7. MS'!$M:$M,_xlpm.id),COUNTIF('8. DS'!$M:$M,_xlpm.id),COUNTIF('9. RMF'!$M:$M,_xlpm.id),COUNTIF('10. PCU'!$M:$M,_xlpm.id))))</f>
        <v>0</v>
      </c>
    </row>
    <row r="901" spans="1:9">
      <c r="A901" t="s">
        <v>8889</v>
      </c>
      <c r="B901" t="s">
        <v>8812</v>
      </c>
      <c r="C901">
        <v>1837</v>
      </c>
      <c r="D901">
        <v>1</v>
      </c>
      <c r="E901" s="23">
        <v>82</v>
      </c>
      <c r="F901" t="s">
        <v>8187</v>
      </c>
      <c r="G901" t="s">
        <v>10493</v>
      </c>
      <c r="H901" t="s">
        <v>8034</v>
      </c>
      <c r="I901">
        <f>_xlfn.LET(_xlpm.id,TRIM($A901),IF(_xlpm.id="","",SUM(COUNTIF('1. OP'!$M:$M,_xlpm.id),COUNTIF('2. JSEL'!$M:$M,_xlpm.id),COUNTIF('3. PSM'!$M:$M,_xlpm.id),COUNTIF('4. SSP'!$M:$M,_xlpm.id),COUNTIF('5. JSACI'!$M:$M,_xlpm.id),COUNTIF('6. AIN'!$M:$M,_xlpm.id),COUNTIF('7. MS'!$M:$M,_xlpm.id),COUNTIF('8. DS'!$M:$M,_xlpm.id),COUNTIF('9. RMF'!$M:$M,_xlpm.id),COUNTIF('10. PCU'!$M:$M,_xlpm.id))))</f>
        <v>0</v>
      </c>
    </row>
    <row r="902" spans="1:9">
      <c r="A902" t="s">
        <v>8890</v>
      </c>
      <c r="B902" t="s">
        <v>8812</v>
      </c>
      <c r="C902">
        <v>1837</v>
      </c>
      <c r="D902">
        <v>1</v>
      </c>
      <c r="E902" s="23">
        <v>83</v>
      </c>
      <c r="F902" t="s">
        <v>8187</v>
      </c>
      <c r="G902" t="s">
        <v>10493</v>
      </c>
      <c r="H902" t="s">
        <v>8034</v>
      </c>
      <c r="I902">
        <f>_xlfn.LET(_xlpm.id,TRIM($A902),IF(_xlpm.id="","",SUM(COUNTIF('1. OP'!$M:$M,_xlpm.id),COUNTIF('2. JSEL'!$M:$M,_xlpm.id),COUNTIF('3. PSM'!$M:$M,_xlpm.id),COUNTIF('4. SSP'!$M:$M,_xlpm.id),COUNTIF('5. JSACI'!$M:$M,_xlpm.id),COUNTIF('6. AIN'!$M:$M,_xlpm.id),COUNTIF('7. MS'!$M:$M,_xlpm.id),COUNTIF('8. DS'!$M:$M,_xlpm.id),COUNTIF('9. RMF'!$M:$M,_xlpm.id),COUNTIF('10. PCU'!$M:$M,_xlpm.id))))</f>
        <v>0</v>
      </c>
    </row>
    <row r="903" spans="1:9">
      <c r="A903" t="s">
        <v>8891</v>
      </c>
      <c r="B903" t="s">
        <v>8812</v>
      </c>
      <c r="C903">
        <v>1837</v>
      </c>
      <c r="D903">
        <v>1</v>
      </c>
      <c r="E903" s="23">
        <v>84</v>
      </c>
      <c r="F903" t="s">
        <v>8187</v>
      </c>
      <c r="G903" t="s">
        <v>10493</v>
      </c>
      <c r="H903" t="s">
        <v>8034</v>
      </c>
      <c r="I903">
        <f>_xlfn.LET(_xlpm.id,TRIM($A903),IF(_xlpm.id="","",SUM(COUNTIF('1. OP'!$M:$M,_xlpm.id),COUNTIF('2. JSEL'!$M:$M,_xlpm.id),COUNTIF('3. PSM'!$M:$M,_xlpm.id),COUNTIF('4. SSP'!$M:$M,_xlpm.id),COUNTIF('5. JSACI'!$M:$M,_xlpm.id),COUNTIF('6. AIN'!$M:$M,_xlpm.id),COUNTIF('7. MS'!$M:$M,_xlpm.id),COUNTIF('8. DS'!$M:$M,_xlpm.id),COUNTIF('9. RMF'!$M:$M,_xlpm.id),COUNTIF('10. PCU'!$M:$M,_xlpm.id))))</f>
        <v>0</v>
      </c>
    </row>
    <row r="904" spans="1:9">
      <c r="A904" t="s">
        <v>8892</v>
      </c>
      <c r="B904" t="s">
        <v>8812</v>
      </c>
      <c r="C904">
        <v>1838</v>
      </c>
      <c r="D904">
        <v>1</v>
      </c>
      <c r="E904" s="23">
        <v>85</v>
      </c>
      <c r="F904" t="s">
        <v>8187</v>
      </c>
      <c r="G904" t="s">
        <v>10493</v>
      </c>
      <c r="H904" t="s">
        <v>8034</v>
      </c>
      <c r="I904">
        <f>_xlfn.LET(_xlpm.id,TRIM($A904),IF(_xlpm.id="","",SUM(COUNTIF('1. OP'!$M:$M,_xlpm.id),COUNTIF('2. JSEL'!$M:$M,_xlpm.id),COUNTIF('3. PSM'!$M:$M,_xlpm.id),COUNTIF('4. SSP'!$M:$M,_xlpm.id),COUNTIF('5. JSACI'!$M:$M,_xlpm.id),COUNTIF('6. AIN'!$M:$M,_xlpm.id),COUNTIF('7. MS'!$M:$M,_xlpm.id),COUNTIF('8. DS'!$M:$M,_xlpm.id),COUNTIF('9. RMF'!$M:$M,_xlpm.id),COUNTIF('10. PCU'!$M:$M,_xlpm.id))))</f>
        <v>0</v>
      </c>
    </row>
    <row r="905" spans="1:9">
      <c r="A905" t="s">
        <v>8893</v>
      </c>
      <c r="B905" t="s">
        <v>8812</v>
      </c>
      <c r="C905">
        <v>1838</v>
      </c>
      <c r="D905">
        <v>1</v>
      </c>
      <c r="E905" s="23">
        <v>86</v>
      </c>
      <c r="F905" t="s">
        <v>8187</v>
      </c>
      <c r="G905" t="s">
        <v>10493</v>
      </c>
      <c r="H905" t="s">
        <v>8034</v>
      </c>
      <c r="I905">
        <f>_xlfn.LET(_xlpm.id,TRIM($A905),IF(_xlpm.id="","",SUM(COUNTIF('1. OP'!$M:$M,_xlpm.id),COUNTIF('2. JSEL'!$M:$M,_xlpm.id),COUNTIF('3. PSM'!$M:$M,_xlpm.id),COUNTIF('4. SSP'!$M:$M,_xlpm.id),COUNTIF('5. JSACI'!$M:$M,_xlpm.id),COUNTIF('6. AIN'!$M:$M,_xlpm.id),COUNTIF('7. MS'!$M:$M,_xlpm.id),COUNTIF('8. DS'!$M:$M,_xlpm.id),COUNTIF('9. RMF'!$M:$M,_xlpm.id),COUNTIF('10. PCU'!$M:$M,_xlpm.id))))</f>
        <v>0</v>
      </c>
    </row>
    <row r="906" spans="1:9">
      <c r="A906" t="s">
        <v>8894</v>
      </c>
      <c r="B906" t="s">
        <v>8812</v>
      </c>
      <c r="C906">
        <v>1838</v>
      </c>
      <c r="D906">
        <v>1</v>
      </c>
      <c r="E906" s="23">
        <v>87</v>
      </c>
      <c r="F906" t="s">
        <v>8187</v>
      </c>
      <c r="G906" t="s">
        <v>10493</v>
      </c>
      <c r="H906" t="s">
        <v>8034</v>
      </c>
      <c r="I906">
        <f>_xlfn.LET(_xlpm.id,TRIM($A906),IF(_xlpm.id="","",SUM(COUNTIF('1. OP'!$M:$M,_xlpm.id),COUNTIF('2. JSEL'!$M:$M,_xlpm.id),COUNTIF('3. PSM'!$M:$M,_xlpm.id),COUNTIF('4. SSP'!$M:$M,_xlpm.id),COUNTIF('5. JSACI'!$M:$M,_xlpm.id),COUNTIF('6. AIN'!$M:$M,_xlpm.id),COUNTIF('7. MS'!$M:$M,_xlpm.id),COUNTIF('8. DS'!$M:$M,_xlpm.id),COUNTIF('9. RMF'!$M:$M,_xlpm.id),COUNTIF('10. PCU'!$M:$M,_xlpm.id))))</f>
        <v>0</v>
      </c>
    </row>
    <row r="907" spans="1:9">
      <c r="A907" t="s">
        <v>8895</v>
      </c>
      <c r="B907" t="s">
        <v>8812</v>
      </c>
      <c r="C907">
        <v>1838</v>
      </c>
      <c r="D907">
        <v>1</v>
      </c>
      <c r="E907" s="23">
        <v>88</v>
      </c>
      <c r="F907" t="s">
        <v>8187</v>
      </c>
      <c r="G907" t="s">
        <v>10493</v>
      </c>
      <c r="H907" t="s">
        <v>8034</v>
      </c>
      <c r="I907">
        <f>_xlfn.LET(_xlpm.id,TRIM($A907),IF(_xlpm.id="","",SUM(COUNTIF('1. OP'!$M:$M,_xlpm.id),COUNTIF('2. JSEL'!$M:$M,_xlpm.id),COUNTIF('3. PSM'!$M:$M,_xlpm.id),COUNTIF('4. SSP'!$M:$M,_xlpm.id),COUNTIF('5. JSACI'!$M:$M,_xlpm.id),COUNTIF('6. AIN'!$M:$M,_xlpm.id),COUNTIF('7. MS'!$M:$M,_xlpm.id),COUNTIF('8. DS'!$M:$M,_xlpm.id),COUNTIF('9. RMF'!$M:$M,_xlpm.id),COUNTIF('10. PCU'!$M:$M,_xlpm.id))))</f>
        <v>0</v>
      </c>
    </row>
    <row r="908" spans="1:9">
      <c r="A908" t="s">
        <v>8896</v>
      </c>
      <c r="B908" t="s">
        <v>8812</v>
      </c>
      <c r="C908">
        <v>1839</v>
      </c>
      <c r="D908">
        <v>1</v>
      </c>
      <c r="E908" s="23">
        <v>89</v>
      </c>
      <c r="F908" t="s">
        <v>8187</v>
      </c>
      <c r="G908" t="s">
        <v>10493</v>
      </c>
      <c r="H908" t="s">
        <v>8034</v>
      </c>
      <c r="I908">
        <f>_xlfn.LET(_xlpm.id,TRIM($A908),IF(_xlpm.id="","",SUM(COUNTIF('1. OP'!$M:$M,_xlpm.id),COUNTIF('2. JSEL'!$M:$M,_xlpm.id),COUNTIF('3. PSM'!$M:$M,_xlpm.id),COUNTIF('4. SSP'!$M:$M,_xlpm.id),COUNTIF('5. JSACI'!$M:$M,_xlpm.id),COUNTIF('6. AIN'!$M:$M,_xlpm.id),COUNTIF('7. MS'!$M:$M,_xlpm.id),COUNTIF('8. DS'!$M:$M,_xlpm.id),COUNTIF('9. RMF'!$M:$M,_xlpm.id),COUNTIF('10. PCU'!$M:$M,_xlpm.id))))</f>
        <v>0</v>
      </c>
    </row>
    <row r="909" spans="1:9">
      <c r="A909" t="s">
        <v>8897</v>
      </c>
      <c r="B909" t="s">
        <v>8812</v>
      </c>
      <c r="C909">
        <v>1839</v>
      </c>
      <c r="D909">
        <v>1</v>
      </c>
      <c r="E909" s="23">
        <v>90</v>
      </c>
      <c r="F909" t="s">
        <v>8187</v>
      </c>
      <c r="G909" t="s">
        <v>10493</v>
      </c>
      <c r="H909" t="s">
        <v>8034</v>
      </c>
      <c r="I909">
        <f>_xlfn.LET(_xlpm.id,TRIM($A909),IF(_xlpm.id="","",SUM(COUNTIF('1. OP'!$M:$M,_xlpm.id),COUNTIF('2. JSEL'!$M:$M,_xlpm.id),COUNTIF('3. PSM'!$M:$M,_xlpm.id),COUNTIF('4. SSP'!$M:$M,_xlpm.id),COUNTIF('5. JSACI'!$M:$M,_xlpm.id),COUNTIF('6. AIN'!$M:$M,_xlpm.id),COUNTIF('7. MS'!$M:$M,_xlpm.id),COUNTIF('8. DS'!$M:$M,_xlpm.id),COUNTIF('9. RMF'!$M:$M,_xlpm.id),COUNTIF('10. PCU'!$M:$M,_xlpm.id))))</f>
        <v>0</v>
      </c>
    </row>
    <row r="910" spans="1:9">
      <c r="A910" t="s">
        <v>8898</v>
      </c>
      <c r="B910" t="s">
        <v>8812</v>
      </c>
      <c r="C910">
        <v>1839</v>
      </c>
      <c r="D910">
        <v>1</v>
      </c>
      <c r="E910" s="23">
        <v>91</v>
      </c>
      <c r="F910" t="s">
        <v>8187</v>
      </c>
      <c r="G910" t="s">
        <v>10493</v>
      </c>
      <c r="H910" t="s">
        <v>8034</v>
      </c>
      <c r="I910">
        <f>_xlfn.LET(_xlpm.id,TRIM($A910),IF(_xlpm.id="","",SUM(COUNTIF('1. OP'!$M:$M,_xlpm.id),COUNTIF('2. JSEL'!$M:$M,_xlpm.id),COUNTIF('3. PSM'!$M:$M,_xlpm.id),COUNTIF('4. SSP'!$M:$M,_xlpm.id),COUNTIF('5. JSACI'!$M:$M,_xlpm.id),COUNTIF('6. AIN'!$M:$M,_xlpm.id),COUNTIF('7. MS'!$M:$M,_xlpm.id),COUNTIF('8. DS'!$M:$M,_xlpm.id),COUNTIF('9. RMF'!$M:$M,_xlpm.id),COUNTIF('10. PCU'!$M:$M,_xlpm.id))))</f>
        <v>0</v>
      </c>
    </row>
    <row r="911" spans="1:9">
      <c r="A911" t="s">
        <v>8899</v>
      </c>
      <c r="B911" t="s">
        <v>8812</v>
      </c>
      <c r="C911">
        <v>1839</v>
      </c>
      <c r="D911">
        <v>1</v>
      </c>
      <c r="E911" s="23">
        <v>92</v>
      </c>
      <c r="F911" t="s">
        <v>8187</v>
      </c>
      <c r="G911" t="s">
        <v>10493</v>
      </c>
      <c r="H911" t="s">
        <v>8034</v>
      </c>
      <c r="I911">
        <f>_xlfn.LET(_xlpm.id,TRIM($A911),IF(_xlpm.id="","",SUM(COUNTIF('1. OP'!$M:$M,_xlpm.id),COUNTIF('2. JSEL'!$M:$M,_xlpm.id),COUNTIF('3. PSM'!$M:$M,_xlpm.id),COUNTIF('4. SSP'!$M:$M,_xlpm.id),COUNTIF('5. JSACI'!$M:$M,_xlpm.id),COUNTIF('6. AIN'!$M:$M,_xlpm.id),COUNTIF('7. MS'!$M:$M,_xlpm.id),COUNTIF('8. DS'!$M:$M,_xlpm.id),COUNTIF('9. RMF'!$M:$M,_xlpm.id),COUNTIF('10. PCU'!$M:$M,_xlpm.id))))</f>
        <v>0</v>
      </c>
    </row>
    <row r="912" spans="1:9">
      <c r="A912" t="s">
        <v>8900</v>
      </c>
      <c r="B912" t="s">
        <v>8812</v>
      </c>
      <c r="C912">
        <v>1840</v>
      </c>
      <c r="D912">
        <v>1</v>
      </c>
      <c r="E912" s="23">
        <v>93</v>
      </c>
      <c r="F912" t="s">
        <v>8187</v>
      </c>
      <c r="G912" t="s">
        <v>10493</v>
      </c>
      <c r="H912" t="s">
        <v>8034</v>
      </c>
      <c r="I912">
        <f>_xlfn.LET(_xlpm.id,TRIM($A912),IF(_xlpm.id="","",SUM(COUNTIF('1. OP'!$M:$M,_xlpm.id),COUNTIF('2. JSEL'!$M:$M,_xlpm.id),COUNTIF('3. PSM'!$M:$M,_xlpm.id),COUNTIF('4. SSP'!$M:$M,_xlpm.id),COUNTIF('5. JSACI'!$M:$M,_xlpm.id),COUNTIF('6. AIN'!$M:$M,_xlpm.id),COUNTIF('7. MS'!$M:$M,_xlpm.id),COUNTIF('8. DS'!$M:$M,_xlpm.id),COUNTIF('9. RMF'!$M:$M,_xlpm.id),COUNTIF('10. PCU'!$M:$M,_xlpm.id))))</f>
        <v>0</v>
      </c>
    </row>
    <row r="913" spans="1:9">
      <c r="A913" t="s">
        <v>8901</v>
      </c>
      <c r="B913" t="s">
        <v>8812</v>
      </c>
      <c r="C913">
        <v>1840</v>
      </c>
      <c r="D913">
        <v>1</v>
      </c>
      <c r="E913" s="23">
        <v>94</v>
      </c>
      <c r="F913" t="s">
        <v>8187</v>
      </c>
      <c r="G913" t="s">
        <v>10493</v>
      </c>
      <c r="H913" t="s">
        <v>8034</v>
      </c>
      <c r="I913">
        <f>_xlfn.LET(_xlpm.id,TRIM($A913),IF(_xlpm.id="","",SUM(COUNTIF('1. OP'!$M:$M,_xlpm.id),COUNTIF('2. JSEL'!$M:$M,_xlpm.id),COUNTIF('3. PSM'!$M:$M,_xlpm.id),COUNTIF('4. SSP'!$M:$M,_xlpm.id),COUNTIF('5. JSACI'!$M:$M,_xlpm.id),COUNTIF('6. AIN'!$M:$M,_xlpm.id),COUNTIF('7. MS'!$M:$M,_xlpm.id),COUNTIF('8. DS'!$M:$M,_xlpm.id),COUNTIF('9. RMF'!$M:$M,_xlpm.id),COUNTIF('10. PCU'!$M:$M,_xlpm.id))))</f>
        <v>0</v>
      </c>
    </row>
    <row r="914" spans="1:9">
      <c r="A914" t="s">
        <v>8902</v>
      </c>
      <c r="B914" t="s">
        <v>8812</v>
      </c>
      <c r="C914">
        <v>1840</v>
      </c>
      <c r="D914">
        <v>1</v>
      </c>
      <c r="E914" s="23">
        <v>95</v>
      </c>
      <c r="F914" t="s">
        <v>8187</v>
      </c>
      <c r="G914" t="s">
        <v>10493</v>
      </c>
      <c r="H914" t="s">
        <v>8034</v>
      </c>
      <c r="I914">
        <f>_xlfn.LET(_xlpm.id,TRIM($A914),IF(_xlpm.id="","",SUM(COUNTIF('1. OP'!$M:$M,_xlpm.id),COUNTIF('2. JSEL'!$M:$M,_xlpm.id),COUNTIF('3. PSM'!$M:$M,_xlpm.id),COUNTIF('4. SSP'!$M:$M,_xlpm.id),COUNTIF('5. JSACI'!$M:$M,_xlpm.id),COUNTIF('6. AIN'!$M:$M,_xlpm.id),COUNTIF('7. MS'!$M:$M,_xlpm.id),COUNTIF('8. DS'!$M:$M,_xlpm.id),COUNTIF('9. RMF'!$M:$M,_xlpm.id),COUNTIF('10. PCU'!$M:$M,_xlpm.id))))</f>
        <v>0</v>
      </c>
    </row>
    <row r="915" spans="1:9">
      <c r="A915" t="s">
        <v>8903</v>
      </c>
      <c r="B915" t="s">
        <v>8812</v>
      </c>
      <c r="C915">
        <v>1840</v>
      </c>
      <c r="D915">
        <v>1</v>
      </c>
      <c r="E915" s="23">
        <v>96</v>
      </c>
      <c r="F915" t="s">
        <v>8187</v>
      </c>
      <c r="G915" t="s">
        <v>10493</v>
      </c>
      <c r="H915" t="s">
        <v>8034</v>
      </c>
      <c r="I915">
        <f>_xlfn.LET(_xlpm.id,TRIM($A915),IF(_xlpm.id="","",SUM(COUNTIF('1. OP'!$M:$M,_xlpm.id),COUNTIF('2. JSEL'!$M:$M,_xlpm.id),COUNTIF('3. PSM'!$M:$M,_xlpm.id),COUNTIF('4. SSP'!$M:$M,_xlpm.id),COUNTIF('5. JSACI'!$M:$M,_xlpm.id),COUNTIF('6. AIN'!$M:$M,_xlpm.id),COUNTIF('7. MS'!$M:$M,_xlpm.id),COUNTIF('8. DS'!$M:$M,_xlpm.id),COUNTIF('9. RMF'!$M:$M,_xlpm.id),COUNTIF('10. PCU'!$M:$M,_xlpm.id))))</f>
        <v>0</v>
      </c>
    </row>
    <row r="916" spans="1:9">
      <c r="A916" t="s">
        <v>8904</v>
      </c>
      <c r="B916" t="s">
        <v>8905</v>
      </c>
      <c r="C916">
        <v>1839</v>
      </c>
      <c r="D916">
        <v>1</v>
      </c>
      <c r="E916" s="23" t="s">
        <v>8651</v>
      </c>
      <c r="F916" t="s">
        <v>8459</v>
      </c>
      <c r="G916" t="s">
        <v>10488</v>
      </c>
      <c r="H916" t="s">
        <v>8020</v>
      </c>
      <c r="I916">
        <f>_xlfn.LET(_xlpm.id,TRIM($A916),IF(_xlpm.id="","",SUM(COUNTIF('1. OP'!$M:$M,_xlpm.id),COUNTIF('2. JSEL'!$M:$M,_xlpm.id),COUNTIF('3. PSM'!$M:$M,_xlpm.id),COUNTIF('4. SSP'!$M:$M,_xlpm.id),COUNTIF('5. JSACI'!$M:$M,_xlpm.id),COUNTIF('6. AIN'!$M:$M,_xlpm.id),COUNTIF('7. MS'!$M:$M,_xlpm.id),COUNTIF('8. DS'!$M:$M,_xlpm.id),COUNTIF('9. RMF'!$M:$M,_xlpm.id),COUNTIF('10. PCU'!$M:$M,_xlpm.id))))</f>
        <v>0</v>
      </c>
    </row>
    <row r="917" spans="1:9">
      <c r="A917" t="s">
        <v>8906</v>
      </c>
      <c r="B917" t="s">
        <v>8907</v>
      </c>
      <c r="C917">
        <v>1831</v>
      </c>
      <c r="D917">
        <v>1</v>
      </c>
      <c r="E917" s="23">
        <v>1</v>
      </c>
      <c r="F917" t="s">
        <v>8102</v>
      </c>
      <c r="G917" t="s">
        <v>10484</v>
      </c>
      <c r="H917" t="s">
        <v>8021</v>
      </c>
      <c r="I917">
        <f>_xlfn.LET(_xlpm.id,TRIM($A917),IF(_xlpm.id="","",SUM(COUNTIF('1. OP'!$M:$M,_xlpm.id),COUNTIF('2. JSEL'!$M:$M,_xlpm.id),COUNTIF('3. PSM'!$M:$M,_xlpm.id),COUNTIF('4. SSP'!$M:$M,_xlpm.id),COUNTIF('5. JSACI'!$M:$M,_xlpm.id),COUNTIF('6. AIN'!$M:$M,_xlpm.id),COUNTIF('7. MS'!$M:$M,_xlpm.id),COUNTIF('8. DS'!$M:$M,_xlpm.id),COUNTIF('9. RMF'!$M:$M,_xlpm.id),COUNTIF('10. PCU'!$M:$M,_xlpm.id))))</f>
        <v>0</v>
      </c>
    </row>
    <row r="918" spans="1:9">
      <c r="A918" t="s">
        <v>8908</v>
      </c>
      <c r="B918" t="s">
        <v>8907</v>
      </c>
      <c r="C918">
        <v>1831</v>
      </c>
      <c r="D918">
        <v>1</v>
      </c>
      <c r="E918" s="23">
        <v>2</v>
      </c>
      <c r="F918" t="s">
        <v>8102</v>
      </c>
      <c r="G918" t="s">
        <v>10484</v>
      </c>
      <c r="H918" t="s">
        <v>8021</v>
      </c>
      <c r="I918">
        <f>_xlfn.LET(_xlpm.id,TRIM($A918),IF(_xlpm.id="","",SUM(COUNTIF('1. OP'!$M:$M,_xlpm.id),COUNTIF('2. JSEL'!$M:$M,_xlpm.id),COUNTIF('3. PSM'!$M:$M,_xlpm.id),COUNTIF('4. SSP'!$M:$M,_xlpm.id),COUNTIF('5. JSACI'!$M:$M,_xlpm.id),COUNTIF('6. AIN'!$M:$M,_xlpm.id),COUNTIF('7. MS'!$M:$M,_xlpm.id),COUNTIF('8. DS'!$M:$M,_xlpm.id),COUNTIF('9. RMF'!$M:$M,_xlpm.id),COUNTIF('10. PCU'!$M:$M,_xlpm.id))))</f>
        <v>0</v>
      </c>
    </row>
    <row r="919" spans="1:9">
      <c r="A919" t="s">
        <v>8909</v>
      </c>
      <c r="B919" t="s">
        <v>8907</v>
      </c>
      <c r="C919">
        <v>1831</v>
      </c>
      <c r="D919">
        <v>1</v>
      </c>
      <c r="E919" s="23">
        <v>3</v>
      </c>
      <c r="F919" t="s">
        <v>8102</v>
      </c>
      <c r="G919" t="s">
        <v>10484</v>
      </c>
      <c r="H919" t="s">
        <v>8021</v>
      </c>
      <c r="I919">
        <f>_xlfn.LET(_xlpm.id,TRIM($A919),IF(_xlpm.id="","",SUM(COUNTIF('1. OP'!$M:$M,_xlpm.id),COUNTIF('2. JSEL'!$M:$M,_xlpm.id),COUNTIF('3. PSM'!$M:$M,_xlpm.id),COUNTIF('4. SSP'!$M:$M,_xlpm.id),COUNTIF('5. JSACI'!$M:$M,_xlpm.id),COUNTIF('6. AIN'!$M:$M,_xlpm.id),COUNTIF('7. MS'!$M:$M,_xlpm.id),COUNTIF('8. DS'!$M:$M,_xlpm.id),COUNTIF('9. RMF'!$M:$M,_xlpm.id),COUNTIF('10. PCU'!$M:$M,_xlpm.id))))</f>
        <v>0</v>
      </c>
    </row>
    <row r="920" spans="1:9">
      <c r="A920" t="s">
        <v>8910</v>
      </c>
      <c r="B920" t="s">
        <v>8907</v>
      </c>
      <c r="C920">
        <v>1831</v>
      </c>
      <c r="D920">
        <v>1</v>
      </c>
      <c r="E920" s="23">
        <v>4</v>
      </c>
      <c r="F920" t="s">
        <v>8102</v>
      </c>
      <c r="G920" t="s">
        <v>10484</v>
      </c>
      <c r="H920" t="s">
        <v>8021</v>
      </c>
      <c r="I920">
        <f>_xlfn.LET(_xlpm.id,TRIM($A920),IF(_xlpm.id="","",SUM(COUNTIF('1. OP'!$M:$M,_xlpm.id),COUNTIF('2. JSEL'!$M:$M,_xlpm.id),COUNTIF('3. PSM'!$M:$M,_xlpm.id),COUNTIF('4. SSP'!$M:$M,_xlpm.id),COUNTIF('5. JSACI'!$M:$M,_xlpm.id),COUNTIF('6. AIN'!$M:$M,_xlpm.id),COUNTIF('7. MS'!$M:$M,_xlpm.id),COUNTIF('8. DS'!$M:$M,_xlpm.id),COUNTIF('9. RMF'!$M:$M,_xlpm.id),COUNTIF('10. PCU'!$M:$M,_xlpm.id))))</f>
        <v>0</v>
      </c>
    </row>
    <row r="921" spans="1:9">
      <c r="A921" t="s">
        <v>8911</v>
      </c>
      <c r="B921" t="s">
        <v>8907</v>
      </c>
      <c r="C921">
        <v>1832</v>
      </c>
      <c r="D921">
        <v>1</v>
      </c>
      <c r="E921" s="23">
        <v>5</v>
      </c>
      <c r="F921" t="s">
        <v>8102</v>
      </c>
      <c r="G921" t="s">
        <v>10484</v>
      </c>
      <c r="H921" t="s">
        <v>8021</v>
      </c>
      <c r="I921">
        <f>_xlfn.LET(_xlpm.id,TRIM($A921),IF(_xlpm.id="","",SUM(COUNTIF('1. OP'!$M:$M,_xlpm.id),COUNTIF('2. JSEL'!$M:$M,_xlpm.id),COUNTIF('3. PSM'!$M:$M,_xlpm.id),COUNTIF('4. SSP'!$M:$M,_xlpm.id),COUNTIF('5. JSACI'!$M:$M,_xlpm.id),COUNTIF('6. AIN'!$M:$M,_xlpm.id),COUNTIF('7. MS'!$M:$M,_xlpm.id),COUNTIF('8. DS'!$M:$M,_xlpm.id),COUNTIF('9. RMF'!$M:$M,_xlpm.id),COUNTIF('10. PCU'!$M:$M,_xlpm.id))))</f>
        <v>0</v>
      </c>
    </row>
    <row r="922" spans="1:9">
      <c r="A922" t="s">
        <v>8912</v>
      </c>
      <c r="B922" t="s">
        <v>8907</v>
      </c>
      <c r="C922">
        <v>1832</v>
      </c>
      <c r="D922">
        <v>1</v>
      </c>
      <c r="E922" s="23">
        <v>6</v>
      </c>
      <c r="F922" t="s">
        <v>8102</v>
      </c>
      <c r="G922" t="s">
        <v>10484</v>
      </c>
      <c r="H922" t="s">
        <v>8021</v>
      </c>
      <c r="I922">
        <f>_xlfn.LET(_xlpm.id,TRIM($A922),IF(_xlpm.id="","",SUM(COUNTIF('1. OP'!$M:$M,_xlpm.id),COUNTIF('2. JSEL'!$M:$M,_xlpm.id),COUNTIF('3. PSM'!$M:$M,_xlpm.id),COUNTIF('4. SSP'!$M:$M,_xlpm.id),COUNTIF('5. JSACI'!$M:$M,_xlpm.id),COUNTIF('6. AIN'!$M:$M,_xlpm.id),COUNTIF('7. MS'!$M:$M,_xlpm.id),COUNTIF('8. DS'!$M:$M,_xlpm.id),COUNTIF('9. RMF'!$M:$M,_xlpm.id),COUNTIF('10. PCU'!$M:$M,_xlpm.id))))</f>
        <v>0</v>
      </c>
    </row>
    <row r="923" spans="1:9">
      <c r="A923" t="s">
        <v>8913</v>
      </c>
      <c r="B923" t="s">
        <v>8907</v>
      </c>
      <c r="C923">
        <v>1832</v>
      </c>
      <c r="D923">
        <v>1</v>
      </c>
      <c r="E923" s="23">
        <v>7</v>
      </c>
      <c r="F923" t="s">
        <v>8102</v>
      </c>
      <c r="G923" t="s">
        <v>10484</v>
      </c>
      <c r="H923" t="s">
        <v>8021</v>
      </c>
      <c r="I923">
        <f>_xlfn.LET(_xlpm.id,TRIM($A923),IF(_xlpm.id="","",SUM(COUNTIF('1. OP'!$M:$M,_xlpm.id),COUNTIF('2. JSEL'!$M:$M,_xlpm.id),COUNTIF('3. PSM'!$M:$M,_xlpm.id),COUNTIF('4. SSP'!$M:$M,_xlpm.id),COUNTIF('5. JSACI'!$M:$M,_xlpm.id),COUNTIF('6. AIN'!$M:$M,_xlpm.id),COUNTIF('7. MS'!$M:$M,_xlpm.id),COUNTIF('8. DS'!$M:$M,_xlpm.id),COUNTIF('9. RMF'!$M:$M,_xlpm.id),COUNTIF('10. PCU'!$M:$M,_xlpm.id))))</f>
        <v>0</v>
      </c>
    </row>
    <row r="924" spans="1:9">
      <c r="A924" t="s">
        <v>8914</v>
      </c>
      <c r="B924" t="s">
        <v>8907</v>
      </c>
      <c r="C924">
        <v>1832</v>
      </c>
      <c r="D924">
        <v>1</v>
      </c>
      <c r="E924" s="23">
        <v>8</v>
      </c>
      <c r="F924" t="s">
        <v>8102</v>
      </c>
      <c r="G924" t="s">
        <v>10484</v>
      </c>
      <c r="H924" t="s">
        <v>8021</v>
      </c>
      <c r="I924">
        <f>_xlfn.LET(_xlpm.id,TRIM($A924),IF(_xlpm.id="","",SUM(COUNTIF('1. OP'!$M:$M,_xlpm.id),COUNTIF('2. JSEL'!$M:$M,_xlpm.id),COUNTIF('3. PSM'!$M:$M,_xlpm.id),COUNTIF('4. SSP'!$M:$M,_xlpm.id),COUNTIF('5. JSACI'!$M:$M,_xlpm.id),COUNTIF('6. AIN'!$M:$M,_xlpm.id),COUNTIF('7. MS'!$M:$M,_xlpm.id),COUNTIF('8. DS'!$M:$M,_xlpm.id),COUNTIF('9. RMF'!$M:$M,_xlpm.id),COUNTIF('10. PCU'!$M:$M,_xlpm.id))))</f>
        <v>0</v>
      </c>
    </row>
    <row r="925" spans="1:9">
      <c r="A925" t="s">
        <v>8915</v>
      </c>
      <c r="B925" t="s">
        <v>8907</v>
      </c>
      <c r="C925">
        <v>1833</v>
      </c>
      <c r="D925">
        <v>2</v>
      </c>
      <c r="E925" s="23">
        <v>1</v>
      </c>
      <c r="F925" t="s">
        <v>8102</v>
      </c>
      <c r="G925" t="s">
        <v>10484</v>
      </c>
      <c r="H925" t="s">
        <v>8021</v>
      </c>
      <c r="I925">
        <f>_xlfn.LET(_xlpm.id,TRIM($A925),IF(_xlpm.id="","",SUM(COUNTIF('1. OP'!$M:$M,_xlpm.id),COUNTIF('2. JSEL'!$M:$M,_xlpm.id),COUNTIF('3. PSM'!$M:$M,_xlpm.id),COUNTIF('4. SSP'!$M:$M,_xlpm.id),COUNTIF('5. JSACI'!$M:$M,_xlpm.id),COUNTIF('6. AIN'!$M:$M,_xlpm.id),COUNTIF('7. MS'!$M:$M,_xlpm.id),COUNTIF('8. DS'!$M:$M,_xlpm.id),COUNTIF('9. RMF'!$M:$M,_xlpm.id),COUNTIF('10. PCU'!$M:$M,_xlpm.id))))</f>
        <v>0</v>
      </c>
    </row>
    <row r="926" spans="1:9">
      <c r="A926" t="s">
        <v>8916</v>
      </c>
      <c r="B926" t="s">
        <v>8907</v>
      </c>
      <c r="C926">
        <v>1833</v>
      </c>
      <c r="D926">
        <v>2</v>
      </c>
      <c r="E926" s="23">
        <v>2</v>
      </c>
      <c r="F926" t="s">
        <v>8102</v>
      </c>
      <c r="G926" t="s">
        <v>10484</v>
      </c>
      <c r="H926" t="s">
        <v>8021</v>
      </c>
      <c r="I926">
        <f>_xlfn.LET(_xlpm.id,TRIM($A926),IF(_xlpm.id="","",SUM(COUNTIF('1. OP'!$M:$M,_xlpm.id),COUNTIF('2. JSEL'!$M:$M,_xlpm.id),COUNTIF('3. PSM'!$M:$M,_xlpm.id),COUNTIF('4. SSP'!$M:$M,_xlpm.id),COUNTIF('5. JSACI'!$M:$M,_xlpm.id),COUNTIF('6. AIN'!$M:$M,_xlpm.id),COUNTIF('7. MS'!$M:$M,_xlpm.id),COUNTIF('8. DS'!$M:$M,_xlpm.id),COUNTIF('9. RMF'!$M:$M,_xlpm.id),COUNTIF('10. PCU'!$M:$M,_xlpm.id))))</f>
        <v>0</v>
      </c>
    </row>
    <row r="927" spans="1:9">
      <c r="A927" t="s">
        <v>8917</v>
      </c>
      <c r="B927" t="s">
        <v>8907</v>
      </c>
      <c r="C927">
        <v>1833</v>
      </c>
      <c r="D927">
        <v>2</v>
      </c>
      <c r="E927" s="23">
        <v>3</v>
      </c>
      <c r="F927" t="s">
        <v>8102</v>
      </c>
      <c r="G927" t="s">
        <v>10484</v>
      </c>
      <c r="H927" t="s">
        <v>8021</v>
      </c>
      <c r="I927">
        <f>_xlfn.LET(_xlpm.id,TRIM($A927),IF(_xlpm.id="","",SUM(COUNTIF('1. OP'!$M:$M,_xlpm.id),COUNTIF('2. JSEL'!$M:$M,_xlpm.id),COUNTIF('3. PSM'!$M:$M,_xlpm.id),COUNTIF('4. SSP'!$M:$M,_xlpm.id),COUNTIF('5. JSACI'!$M:$M,_xlpm.id),COUNTIF('6. AIN'!$M:$M,_xlpm.id),COUNTIF('7. MS'!$M:$M,_xlpm.id),COUNTIF('8. DS'!$M:$M,_xlpm.id),COUNTIF('9. RMF'!$M:$M,_xlpm.id),COUNTIF('10. PCU'!$M:$M,_xlpm.id))))</f>
        <v>0</v>
      </c>
    </row>
    <row r="928" spans="1:9">
      <c r="A928" t="s">
        <v>8918</v>
      </c>
      <c r="B928" t="s">
        <v>8907</v>
      </c>
      <c r="C928">
        <v>1833</v>
      </c>
      <c r="D928">
        <v>2</v>
      </c>
      <c r="E928" s="23">
        <v>4</v>
      </c>
      <c r="F928" t="s">
        <v>8102</v>
      </c>
      <c r="G928" t="s">
        <v>10484</v>
      </c>
      <c r="H928" t="s">
        <v>8021</v>
      </c>
      <c r="I928">
        <f>_xlfn.LET(_xlpm.id,TRIM($A928),IF(_xlpm.id="","",SUM(COUNTIF('1. OP'!$M:$M,_xlpm.id),COUNTIF('2. JSEL'!$M:$M,_xlpm.id),COUNTIF('3. PSM'!$M:$M,_xlpm.id),COUNTIF('4. SSP'!$M:$M,_xlpm.id),COUNTIF('5. JSACI'!$M:$M,_xlpm.id),COUNTIF('6. AIN'!$M:$M,_xlpm.id),COUNTIF('7. MS'!$M:$M,_xlpm.id),COUNTIF('8. DS'!$M:$M,_xlpm.id),COUNTIF('9. RMF'!$M:$M,_xlpm.id),COUNTIF('10. PCU'!$M:$M,_xlpm.id))))</f>
        <v>0</v>
      </c>
    </row>
    <row r="929" spans="1:9">
      <c r="A929" t="s">
        <v>8919</v>
      </c>
      <c r="B929" t="s">
        <v>8907</v>
      </c>
      <c r="C929">
        <v>1834</v>
      </c>
      <c r="D929">
        <v>3</v>
      </c>
      <c r="E929" s="23">
        <v>1</v>
      </c>
      <c r="F929" t="s">
        <v>8102</v>
      </c>
      <c r="G929" t="s">
        <v>10484</v>
      </c>
      <c r="H929" t="s">
        <v>8021</v>
      </c>
      <c r="I929">
        <f>_xlfn.LET(_xlpm.id,TRIM($A929),IF(_xlpm.id="","",SUM(COUNTIF('1. OP'!$M:$M,_xlpm.id),COUNTIF('2. JSEL'!$M:$M,_xlpm.id),COUNTIF('3. PSM'!$M:$M,_xlpm.id),COUNTIF('4. SSP'!$M:$M,_xlpm.id),COUNTIF('5. JSACI'!$M:$M,_xlpm.id),COUNTIF('6. AIN'!$M:$M,_xlpm.id),COUNTIF('7. MS'!$M:$M,_xlpm.id),COUNTIF('8. DS'!$M:$M,_xlpm.id),COUNTIF('9. RMF'!$M:$M,_xlpm.id),COUNTIF('10. PCU'!$M:$M,_xlpm.id))))</f>
        <v>0</v>
      </c>
    </row>
    <row r="930" spans="1:9">
      <c r="A930" t="s">
        <v>8920</v>
      </c>
      <c r="B930" t="s">
        <v>8907</v>
      </c>
      <c r="C930">
        <v>1834</v>
      </c>
      <c r="D930">
        <v>3</v>
      </c>
      <c r="E930" s="23">
        <v>2</v>
      </c>
      <c r="F930" t="s">
        <v>8102</v>
      </c>
      <c r="G930" t="s">
        <v>10484</v>
      </c>
      <c r="H930" t="s">
        <v>8021</v>
      </c>
      <c r="I930">
        <f>_xlfn.LET(_xlpm.id,TRIM($A930),IF(_xlpm.id="","",SUM(COUNTIF('1. OP'!$M:$M,_xlpm.id),COUNTIF('2. JSEL'!$M:$M,_xlpm.id),COUNTIF('3. PSM'!$M:$M,_xlpm.id),COUNTIF('4. SSP'!$M:$M,_xlpm.id),COUNTIF('5. JSACI'!$M:$M,_xlpm.id),COUNTIF('6. AIN'!$M:$M,_xlpm.id),COUNTIF('7. MS'!$M:$M,_xlpm.id),COUNTIF('8. DS'!$M:$M,_xlpm.id),COUNTIF('9. RMF'!$M:$M,_xlpm.id),COUNTIF('10. PCU'!$M:$M,_xlpm.id))))</f>
        <v>0</v>
      </c>
    </row>
    <row r="931" spans="1:9">
      <c r="A931" t="s">
        <v>8921</v>
      </c>
      <c r="B931" t="s">
        <v>8907</v>
      </c>
      <c r="C931">
        <v>1834</v>
      </c>
      <c r="D931">
        <v>3</v>
      </c>
      <c r="E931" s="23">
        <v>3</v>
      </c>
      <c r="F931" t="s">
        <v>8102</v>
      </c>
      <c r="G931" t="s">
        <v>10484</v>
      </c>
      <c r="H931" t="s">
        <v>8021</v>
      </c>
      <c r="I931">
        <f>_xlfn.LET(_xlpm.id,TRIM($A931),IF(_xlpm.id="","",SUM(COUNTIF('1. OP'!$M:$M,_xlpm.id),COUNTIF('2. JSEL'!$M:$M,_xlpm.id),COUNTIF('3. PSM'!$M:$M,_xlpm.id),COUNTIF('4. SSP'!$M:$M,_xlpm.id),COUNTIF('5. JSACI'!$M:$M,_xlpm.id),COUNTIF('6. AIN'!$M:$M,_xlpm.id),COUNTIF('7. MS'!$M:$M,_xlpm.id),COUNTIF('8. DS'!$M:$M,_xlpm.id),COUNTIF('9. RMF'!$M:$M,_xlpm.id),COUNTIF('10. PCU'!$M:$M,_xlpm.id))))</f>
        <v>0</v>
      </c>
    </row>
    <row r="932" spans="1:9">
      <c r="A932" t="s">
        <v>8922</v>
      </c>
      <c r="B932" t="s">
        <v>8907</v>
      </c>
      <c r="C932">
        <v>1834</v>
      </c>
      <c r="D932">
        <v>3</v>
      </c>
      <c r="E932" s="23">
        <v>4</v>
      </c>
      <c r="F932" t="s">
        <v>8102</v>
      </c>
      <c r="G932" t="s">
        <v>10484</v>
      </c>
      <c r="H932" t="s">
        <v>8021</v>
      </c>
      <c r="I932">
        <f>_xlfn.LET(_xlpm.id,TRIM($A932),IF(_xlpm.id="","",SUM(COUNTIF('1. OP'!$M:$M,_xlpm.id),COUNTIF('2. JSEL'!$M:$M,_xlpm.id),COUNTIF('3. PSM'!$M:$M,_xlpm.id),COUNTIF('4. SSP'!$M:$M,_xlpm.id),COUNTIF('5. JSACI'!$M:$M,_xlpm.id),COUNTIF('6. AIN'!$M:$M,_xlpm.id),COUNTIF('7. MS'!$M:$M,_xlpm.id),COUNTIF('8. DS'!$M:$M,_xlpm.id),COUNTIF('9. RMF'!$M:$M,_xlpm.id),COUNTIF('10. PCU'!$M:$M,_xlpm.id))))</f>
        <v>0</v>
      </c>
    </row>
    <row r="933" spans="1:9">
      <c r="A933" t="s">
        <v>8923</v>
      </c>
      <c r="B933" t="s">
        <v>8907</v>
      </c>
      <c r="C933">
        <v>1835</v>
      </c>
      <c r="D933">
        <v>4</v>
      </c>
      <c r="E933" s="23">
        <v>1</v>
      </c>
      <c r="F933" t="s">
        <v>8102</v>
      </c>
      <c r="G933" t="s">
        <v>10484</v>
      </c>
      <c r="H933" t="s">
        <v>8021</v>
      </c>
      <c r="I933">
        <f>_xlfn.LET(_xlpm.id,TRIM($A933),IF(_xlpm.id="","",SUM(COUNTIF('1. OP'!$M:$M,_xlpm.id),COUNTIF('2. JSEL'!$M:$M,_xlpm.id),COUNTIF('3. PSM'!$M:$M,_xlpm.id),COUNTIF('4. SSP'!$M:$M,_xlpm.id),COUNTIF('5. JSACI'!$M:$M,_xlpm.id),COUNTIF('6. AIN'!$M:$M,_xlpm.id),COUNTIF('7. MS'!$M:$M,_xlpm.id),COUNTIF('8. DS'!$M:$M,_xlpm.id),COUNTIF('9. RMF'!$M:$M,_xlpm.id),COUNTIF('10. PCU'!$M:$M,_xlpm.id))))</f>
        <v>0</v>
      </c>
    </row>
    <row r="934" spans="1:9">
      <c r="A934" t="s">
        <v>8924</v>
      </c>
      <c r="B934" t="s">
        <v>8907</v>
      </c>
      <c r="C934">
        <v>1835</v>
      </c>
      <c r="D934">
        <v>4</v>
      </c>
      <c r="E934" s="23">
        <v>2</v>
      </c>
      <c r="F934" t="s">
        <v>8102</v>
      </c>
      <c r="G934" t="s">
        <v>10484</v>
      </c>
      <c r="H934" t="s">
        <v>8021</v>
      </c>
      <c r="I934">
        <f>_xlfn.LET(_xlpm.id,TRIM($A934),IF(_xlpm.id="","",SUM(COUNTIF('1. OP'!$M:$M,_xlpm.id),COUNTIF('2. JSEL'!$M:$M,_xlpm.id),COUNTIF('3. PSM'!$M:$M,_xlpm.id),COUNTIF('4. SSP'!$M:$M,_xlpm.id),COUNTIF('5. JSACI'!$M:$M,_xlpm.id),COUNTIF('6. AIN'!$M:$M,_xlpm.id),COUNTIF('7. MS'!$M:$M,_xlpm.id),COUNTIF('8. DS'!$M:$M,_xlpm.id),COUNTIF('9. RMF'!$M:$M,_xlpm.id),COUNTIF('10. PCU'!$M:$M,_xlpm.id))))</f>
        <v>0</v>
      </c>
    </row>
    <row r="935" spans="1:9">
      <c r="A935" t="s">
        <v>8925</v>
      </c>
      <c r="B935" t="s">
        <v>8907</v>
      </c>
      <c r="C935">
        <v>1835</v>
      </c>
      <c r="D935">
        <v>4</v>
      </c>
      <c r="E935" s="23">
        <v>3</v>
      </c>
      <c r="F935" t="s">
        <v>8102</v>
      </c>
      <c r="G935" t="s">
        <v>10484</v>
      </c>
      <c r="H935" t="s">
        <v>8021</v>
      </c>
      <c r="I935">
        <f>_xlfn.LET(_xlpm.id,TRIM($A935),IF(_xlpm.id="","",SUM(COUNTIF('1. OP'!$M:$M,_xlpm.id),COUNTIF('2. JSEL'!$M:$M,_xlpm.id),COUNTIF('3. PSM'!$M:$M,_xlpm.id),COUNTIF('4. SSP'!$M:$M,_xlpm.id),COUNTIF('5. JSACI'!$M:$M,_xlpm.id),COUNTIF('6. AIN'!$M:$M,_xlpm.id),COUNTIF('7. MS'!$M:$M,_xlpm.id),COUNTIF('8. DS'!$M:$M,_xlpm.id),COUNTIF('9. RMF'!$M:$M,_xlpm.id),COUNTIF('10. PCU'!$M:$M,_xlpm.id))))</f>
        <v>0</v>
      </c>
    </row>
    <row r="936" spans="1:9">
      <c r="A936" t="s">
        <v>8926</v>
      </c>
      <c r="B936" t="s">
        <v>8907</v>
      </c>
      <c r="C936">
        <v>1835</v>
      </c>
      <c r="D936">
        <v>4</v>
      </c>
      <c r="E936" s="23">
        <v>4</v>
      </c>
      <c r="F936" t="s">
        <v>8102</v>
      </c>
      <c r="G936" t="s">
        <v>10484</v>
      </c>
      <c r="H936" t="s">
        <v>8021</v>
      </c>
      <c r="I936">
        <f>_xlfn.LET(_xlpm.id,TRIM($A936),IF(_xlpm.id="","",SUM(COUNTIF('1. OP'!$M:$M,_xlpm.id),COUNTIF('2. JSEL'!$M:$M,_xlpm.id),COUNTIF('3. PSM'!$M:$M,_xlpm.id),COUNTIF('4. SSP'!$M:$M,_xlpm.id),COUNTIF('5. JSACI'!$M:$M,_xlpm.id),COUNTIF('6. AIN'!$M:$M,_xlpm.id),COUNTIF('7. MS'!$M:$M,_xlpm.id),COUNTIF('8. DS'!$M:$M,_xlpm.id),COUNTIF('9. RMF'!$M:$M,_xlpm.id),COUNTIF('10. PCU'!$M:$M,_xlpm.id))))</f>
        <v>0</v>
      </c>
    </row>
    <row r="937" spans="1:9">
      <c r="A937" t="s">
        <v>8927</v>
      </c>
      <c r="B937" t="s">
        <v>8907</v>
      </c>
      <c r="C937">
        <v>1836</v>
      </c>
      <c r="D937">
        <v>4</v>
      </c>
      <c r="E937" s="23">
        <v>5</v>
      </c>
      <c r="F937" t="s">
        <v>8102</v>
      </c>
      <c r="G937" t="s">
        <v>10484</v>
      </c>
      <c r="H937" t="s">
        <v>8021</v>
      </c>
      <c r="I937">
        <f>_xlfn.LET(_xlpm.id,TRIM($A937),IF(_xlpm.id="","",SUM(COUNTIF('1. OP'!$M:$M,_xlpm.id),COUNTIF('2. JSEL'!$M:$M,_xlpm.id),COUNTIF('3. PSM'!$M:$M,_xlpm.id),COUNTIF('4. SSP'!$M:$M,_xlpm.id),COUNTIF('5. JSACI'!$M:$M,_xlpm.id),COUNTIF('6. AIN'!$M:$M,_xlpm.id),COUNTIF('7. MS'!$M:$M,_xlpm.id),COUNTIF('8. DS'!$M:$M,_xlpm.id),COUNTIF('9. RMF'!$M:$M,_xlpm.id),COUNTIF('10. PCU'!$M:$M,_xlpm.id))))</f>
        <v>0</v>
      </c>
    </row>
    <row r="938" spans="1:9">
      <c r="A938" t="s">
        <v>6477</v>
      </c>
      <c r="B938" t="s">
        <v>8907</v>
      </c>
      <c r="C938">
        <v>1836</v>
      </c>
      <c r="D938">
        <v>4</v>
      </c>
      <c r="E938" s="23">
        <v>6</v>
      </c>
      <c r="F938" t="s">
        <v>8102</v>
      </c>
      <c r="G938" t="s">
        <v>10484</v>
      </c>
      <c r="H938" t="s">
        <v>8021</v>
      </c>
      <c r="I938">
        <f>_xlfn.LET(_xlpm.id,TRIM($A938),IF(_xlpm.id="","",SUM(COUNTIF('1. OP'!$M:$M,_xlpm.id),COUNTIF('2. JSEL'!$M:$M,_xlpm.id),COUNTIF('3. PSM'!$M:$M,_xlpm.id),COUNTIF('4. SSP'!$M:$M,_xlpm.id),COUNTIF('5. JSACI'!$M:$M,_xlpm.id),COUNTIF('6. AIN'!$M:$M,_xlpm.id),COUNTIF('7. MS'!$M:$M,_xlpm.id),COUNTIF('8. DS'!$M:$M,_xlpm.id),COUNTIF('9. RMF'!$M:$M,_xlpm.id),COUNTIF('10. PCU'!$M:$M,_xlpm.id))))</f>
        <v>1</v>
      </c>
    </row>
    <row r="939" spans="1:9">
      <c r="A939" t="s">
        <v>8928</v>
      </c>
      <c r="B939" t="s">
        <v>8907</v>
      </c>
      <c r="C939">
        <v>1836</v>
      </c>
      <c r="D939">
        <v>4</v>
      </c>
      <c r="E939" s="23">
        <v>7</v>
      </c>
      <c r="F939" t="s">
        <v>8102</v>
      </c>
      <c r="G939" t="s">
        <v>10484</v>
      </c>
      <c r="H939" t="s">
        <v>8021</v>
      </c>
      <c r="I939">
        <f>_xlfn.LET(_xlpm.id,TRIM($A939),IF(_xlpm.id="","",SUM(COUNTIF('1. OP'!$M:$M,_xlpm.id),COUNTIF('2. JSEL'!$M:$M,_xlpm.id),COUNTIF('3. PSM'!$M:$M,_xlpm.id),COUNTIF('4. SSP'!$M:$M,_xlpm.id),COUNTIF('5. JSACI'!$M:$M,_xlpm.id),COUNTIF('6. AIN'!$M:$M,_xlpm.id),COUNTIF('7. MS'!$M:$M,_xlpm.id),COUNTIF('8. DS'!$M:$M,_xlpm.id),COUNTIF('9. RMF'!$M:$M,_xlpm.id),COUNTIF('10. PCU'!$M:$M,_xlpm.id))))</f>
        <v>0</v>
      </c>
    </row>
    <row r="940" spans="1:9">
      <c r="A940" t="s">
        <v>8929</v>
      </c>
      <c r="B940" t="s">
        <v>8907</v>
      </c>
      <c r="C940">
        <v>1836</v>
      </c>
      <c r="D940">
        <v>4</v>
      </c>
      <c r="E940" s="23">
        <v>8</v>
      </c>
      <c r="F940" t="s">
        <v>8102</v>
      </c>
      <c r="G940" t="s">
        <v>10484</v>
      </c>
      <c r="H940" t="s">
        <v>8021</v>
      </c>
      <c r="I940">
        <f>_xlfn.LET(_xlpm.id,TRIM($A940),IF(_xlpm.id="","",SUM(COUNTIF('1. OP'!$M:$M,_xlpm.id),COUNTIF('2. JSEL'!$M:$M,_xlpm.id),COUNTIF('3. PSM'!$M:$M,_xlpm.id),COUNTIF('4. SSP'!$M:$M,_xlpm.id),COUNTIF('5. JSACI'!$M:$M,_xlpm.id),COUNTIF('6. AIN'!$M:$M,_xlpm.id),COUNTIF('7. MS'!$M:$M,_xlpm.id),COUNTIF('8. DS'!$M:$M,_xlpm.id),COUNTIF('9. RMF'!$M:$M,_xlpm.id),COUNTIF('10. PCU'!$M:$M,_xlpm.id))))</f>
        <v>0</v>
      </c>
    </row>
    <row r="941" spans="1:9">
      <c r="A941" t="s">
        <v>8930</v>
      </c>
      <c r="B941" t="s">
        <v>8907</v>
      </c>
      <c r="C941">
        <v>1837</v>
      </c>
      <c r="D941">
        <v>4</v>
      </c>
      <c r="E941" s="23">
        <v>9</v>
      </c>
      <c r="F941" t="s">
        <v>8102</v>
      </c>
      <c r="G941" t="s">
        <v>10484</v>
      </c>
      <c r="H941" t="s">
        <v>8021</v>
      </c>
      <c r="I941">
        <f>_xlfn.LET(_xlpm.id,TRIM($A941),IF(_xlpm.id="","",SUM(COUNTIF('1. OP'!$M:$M,_xlpm.id),COUNTIF('2. JSEL'!$M:$M,_xlpm.id),COUNTIF('3. PSM'!$M:$M,_xlpm.id),COUNTIF('4. SSP'!$M:$M,_xlpm.id),COUNTIF('5. JSACI'!$M:$M,_xlpm.id),COUNTIF('6. AIN'!$M:$M,_xlpm.id),COUNTIF('7. MS'!$M:$M,_xlpm.id),COUNTIF('8. DS'!$M:$M,_xlpm.id),COUNTIF('9. RMF'!$M:$M,_xlpm.id),COUNTIF('10. PCU'!$M:$M,_xlpm.id))))</f>
        <v>0</v>
      </c>
    </row>
    <row r="942" spans="1:9">
      <c r="A942" t="s">
        <v>8931</v>
      </c>
      <c r="B942" t="s">
        <v>8907</v>
      </c>
      <c r="C942">
        <v>1837</v>
      </c>
      <c r="D942">
        <v>4</v>
      </c>
      <c r="E942" s="23">
        <v>10</v>
      </c>
      <c r="F942" t="s">
        <v>8102</v>
      </c>
      <c r="G942" t="s">
        <v>10484</v>
      </c>
      <c r="H942" t="s">
        <v>8021</v>
      </c>
      <c r="I942">
        <f>_xlfn.LET(_xlpm.id,TRIM($A942),IF(_xlpm.id="","",SUM(COUNTIF('1. OP'!$M:$M,_xlpm.id),COUNTIF('2. JSEL'!$M:$M,_xlpm.id),COUNTIF('3. PSM'!$M:$M,_xlpm.id),COUNTIF('4. SSP'!$M:$M,_xlpm.id),COUNTIF('5. JSACI'!$M:$M,_xlpm.id),COUNTIF('6. AIN'!$M:$M,_xlpm.id),COUNTIF('7. MS'!$M:$M,_xlpm.id),COUNTIF('8. DS'!$M:$M,_xlpm.id),COUNTIF('9. RMF'!$M:$M,_xlpm.id),COUNTIF('10. PCU'!$M:$M,_xlpm.id))))</f>
        <v>0</v>
      </c>
    </row>
    <row r="943" spans="1:9">
      <c r="A943" t="s">
        <v>8932</v>
      </c>
      <c r="B943" t="s">
        <v>8907</v>
      </c>
      <c r="C943">
        <v>1837</v>
      </c>
      <c r="D943">
        <v>4</v>
      </c>
      <c r="E943" s="23">
        <v>11</v>
      </c>
      <c r="F943" t="s">
        <v>8102</v>
      </c>
      <c r="G943" t="s">
        <v>10484</v>
      </c>
      <c r="H943" t="s">
        <v>8021</v>
      </c>
      <c r="I943">
        <f>_xlfn.LET(_xlpm.id,TRIM($A943),IF(_xlpm.id="","",SUM(COUNTIF('1. OP'!$M:$M,_xlpm.id),COUNTIF('2. JSEL'!$M:$M,_xlpm.id),COUNTIF('3. PSM'!$M:$M,_xlpm.id),COUNTIF('4. SSP'!$M:$M,_xlpm.id),COUNTIF('5. JSACI'!$M:$M,_xlpm.id),COUNTIF('6. AIN'!$M:$M,_xlpm.id),COUNTIF('7. MS'!$M:$M,_xlpm.id),COUNTIF('8. DS'!$M:$M,_xlpm.id),COUNTIF('9. RMF'!$M:$M,_xlpm.id),COUNTIF('10. PCU'!$M:$M,_xlpm.id))))</f>
        <v>0</v>
      </c>
    </row>
    <row r="944" spans="1:9">
      <c r="A944" t="s">
        <v>8933</v>
      </c>
      <c r="B944" t="s">
        <v>8907</v>
      </c>
      <c r="C944">
        <v>1837</v>
      </c>
      <c r="D944">
        <v>4</v>
      </c>
      <c r="E944" s="23">
        <v>12</v>
      </c>
      <c r="F944" t="s">
        <v>8102</v>
      </c>
      <c r="G944" t="s">
        <v>10484</v>
      </c>
      <c r="H944" t="s">
        <v>8021</v>
      </c>
      <c r="I944">
        <f>_xlfn.LET(_xlpm.id,TRIM($A944),IF(_xlpm.id="","",SUM(COUNTIF('1. OP'!$M:$M,_xlpm.id),COUNTIF('2. JSEL'!$M:$M,_xlpm.id),COUNTIF('3. PSM'!$M:$M,_xlpm.id),COUNTIF('4. SSP'!$M:$M,_xlpm.id),COUNTIF('5. JSACI'!$M:$M,_xlpm.id),COUNTIF('6. AIN'!$M:$M,_xlpm.id),COUNTIF('7. MS'!$M:$M,_xlpm.id),COUNTIF('8. DS'!$M:$M,_xlpm.id),COUNTIF('9. RMF'!$M:$M,_xlpm.id),COUNTIF('10. PCU'!$M:$M,_xlpm.id))))</f>
        <v>0</v>
      </c>
    </row>
    <row r="945" spans="1:9">
      <c r="A945" t="s">
        <v>8934</v>
      </c>
      <c r="B945" t="s">
        <v>8907</v>
      </c>
      <c r="C945">
        <v>1838</v>
      </c>
      <c r="D945">
        <v>4</v>
      </c>
      <c r="E945" s="23">
        <v>13</v>
      </c>
      <c r="F945" t="s">
        <v>8102</v>
      </c>
      <c r="G945" t="s">
        <v>10484</v>
      </c>
      <c r="H945" t="s">
        <v>8021</v>
      </c>
      <c r="I945">
        <f>_xlfn.LET(_xlpm.id,TRIM($A945),IF(_xlpm.id="","",SUM(COUNTIF('1. OP'!$M:$M,_xlpm.id),COUNTIF('2. JSEL'!$M:$M,_xlpm.id),COUNTIF('3. PSM'!$M:$M,_xlpm.id),COUNTIF('4. SSP'!$M:$M,_xlpm.id),COUNTIF('5. JSACI'!$M:$M,_xlpm.id),COUNTIF('6. AIN'!$M:$M,_xlpm.id),COUNTIF('7. MS'!$M:$M,_xlpm.id),COUNTIF('8. DS'!$M:$M,_xlpm.id),COUNTIF('9. RMF'!$M:$M,_xlpm.id),COUNTIF('10. PCU'!$M:$M,_xlpm.id))))</f>
        <v>0</v>
      </c>
    </row>
    <row r="946" spans="1:9">
      <c r="A946" t="s">
        <v>8935</v>
      </c>
      <c r="B946" t="s">
        <v>8907</v>
      </c>
      <c r="C946">
        <v>1838</v>
      </c>
      <c r="D946">
        <v>4</v>
      </c>
      <c r="E946" s="23">
        <v>14</v>
      </c>
      <c r="F946" t="s">
        <v>8102</v>
      </c>
      <c r="G946" t="s">
        <v>10484</v>
      </c>
      <c r="H946" t="s">
        <v>8021</v>
      </c>
      <c r="I946">
        <f>_xlfn.LET(_xlpm.id,TRIM($A946),IF(_xlpm.id="","",SUM(COUNTIF('1. OP'!$M:$M,_xlpm.id),COUNTIF('2. JSEL'!$M:$M,_xlpm.id),COUNTIF('3. PSM'!$M:$M,_xlpm.id),COUNTIF('4. SSP'!$M:$M,_xlpm.id),COUNTIF('5. JSACI'!$M:$M,_xlpm.id),COUNTIF('6. AIN'!$M:$M,_xlpm.id),COUNTIF('7. MS'!$M:$M,_xlpm.id),COUNTIF('8. DS'!$M:$M,_xlpm.id),COUNTIF('9. RMF'!$M:$M,_xlpm.id),COUNTIF('10. PCU'!$M:$M,_xlpm.id))))</f>
        <v>0</v>
      </c>
    </row>
    <row r="947" spans="1:9">
      <c r="A947" t="s">
        <v>8936</v>
      </c>
      <c r="B947" t="s">
        <v>8907</v>
      </c>
      <c r="C947">
        <v>1838</v>
      </c>
      <c r="D947">
        <v>4</v>
      </c>
      <c r="E947" s="23">
        <v>15</v>
      </c>
      <c r="F947" t="s">
        <v>8102</v>
      </c>
      <c r="G947" t="s">
        <v>10484</v>
      </c>
      <c r="H947" t="s">
        <v>8021</v>
      </c>
      <c r="I947">
        <f>_xlfn.LET(_xlpm.id,TRIM($A947),IF(_xlpm.id="","",SUM(COUNTIF('1. OP'!$M:$M,_xlpm.id),COUNTIF('2. JSEL'!$M:$M,_xlpm.id),COUNTIF('3. PSM'!$M:$M,_xlpm.id),COUNTIF('4. SSP'!$M:$M,_xlpm.id),COUNTIF('5. JSACI'!$M:$M,_xlpm.id),COUNTIF('6. AIN'!$M:$M,_xlpm.id),COUNTIF('7. MS'!$M:$M,_xlpm.id),COUNTIF('8. DS'!$M:$M,_xlpm.id),COUNTIF('9. RMF'!$M:$M,_xlpm.id),COUNTIF('10. PCU'!$M:$M,_xlpm.id))))</f>
        <v>0</v>
      </c>
    </row>
    <row r="948" spans="1:9">
      <c r="A948" t="s">
        <v>8937</v>
      </c>
      <c r="B948" t="s">
        <v>8907</v>
      </c>
      <c r="C948">
        <v>1838</v>
      </c>
      <c r="D948">
        <v>4</v>
      </c>
      <c r="E948" s="23">
        <v>16</v>
      </c>
      <c r="F948" t="s">
        <v>8102</v>
      </c>
      <c r="G948" t="s">
        <v>10484</v>
      </c>
      <c r="H948" t="s">
        <v>8021</v>
      </c>
      <c r="I948">
        <f>_xlfn.LET(_xlpm.id,TRIM($A948),IF(_xlpm.id="","",SUM(COUNTIF('1. OP'!$M:$M,_xlpm.id),COUNTIF('2. JSEL'!$M:$M,_xlpm.id),COUNTIF('3. PSM'!$M:$M,_xlpm.id),COUNTIF('4. SSP'!$M:$M,_xlpm.id),COUNTIF('5. JSACI'!$M:$M,_xlpm.id),COUNTIF('6. AIN'!$M:$M,_xlpm.id),COUNTIF('7. MS'!$M:$M,_xlpm.id),COUNTIF('8. DS'!$M:$M,_xlpm.id),COUNTIF('9. RMF'!$M:$M,_xlpm.id),COUNTIF('10. PCU'!$M:$M,_xlpm.id))))</f>
        <v>0</v>
      </c>
    </row>
    <row r="949" spans="1:9">
      <c r="A949" t="s">
        <v>8938</v>
      </c>
      <c r="B949" t="s">
        <v>8907</v>
      </c>
      <c r="C949">
        <v>1839</v>
      </c>
      <c r="D949">
        <v>4</v>
      </c>
      <c r="E949" s="23">
        <v>17</v>
      </c>
      <c r="F949" t="s">
        <v>8102</v>
      </c>
      <c r="G949" t="s">
        <v>10484</v>
      </c>
      <c r="H949" t="s">
        <v>8021</v>
      </c>
      <c r="I949">
        <f>_xlfn.LET(_xlpm.id,TRIM($A949),IF(_xlpm.id="","",SUM(COUNTIF('1. OP'!$M:$M,_xlpm.id),COUNTIF('2. JSEL'!$M:$M,_xlpm.id),COUNTIF('3. PSM'!$M:$M,_xlpm.id),COUNTIF('4. SSP'!$M:$M,_xlpm.id),COUNTIF('5. JSACI'!$M:$M,_xlpm.id),COUNTIF('6. AIN'!$M:$M,_xlpm.id),COUNTIF('7. MS'!$M:$M,_xlpm.id),COUNTIF('8. DS'!$M:$M,_xlpm.id),COUNTIF('9. RMF'!$M:$M,_xlpm.id),COUNTIF('10. PCU'!$M:$M,_xlpm.id))))</f>
        <v>0</v>
      </c>
    </row>
    <row r="950" spans="1:9">
      <c r="A950" t="s">
        <v>8939</v>
      </c>
      <c r="B950" t="s">
        <v>8907</v>
      </c>
      <c r="C950">
        <v>1839</v>
      </c>
      <c r="D950">
        <v>4</v>
      </c>
      <c r="E950" s="23">
        <v>18</v>
      </c>
      <c r="F950" t="s">
        <v>8102</v>
      </c>
      <c r="G950" t="s">
        <v>10484</v>
      </c>
      <c r="H950" t="s">
        <v>8021</v>
      </c>
      <c r="I950">
        <f>_xlfn.LET(_xlpm.id,TRIM($A950),IF(_xlpm.id="","",SUM(COUNTIF('1. OP'!$M:$M,_xlpm.id),COUNTIF('2. JSEL'!$M:$M,_xlpm.id),COUNTIF('3. PSM'!$M:$M,_xlpm.id),COUNTIF('4. SSP'!$M:$M,_xlpm.id),COUNTIF('5. JSACI'!$M:$M,_xlpm.id),COUNTIF('6. AIN'!$M:$M,_xlpm.id),COUNTIF('7. MS'!$M:$M,_xlpm.id),COUNTIF('8. DS'!$M:$M,_xlpm.id),COUNTIF('9. RMF'!$M:$M,_xlpm.id),COUNTIF('10. PCU'!$M:$M,_xlpm.id))))</f>
        <v>0</v>
      </c>
    </row>
    <row r="951" spans="1:9">
      <c r="A951" t="s">
        <v>8940</v>
      </c>
      <c r="B951" t="s">
        <v>8907</v>
      </c>
      <c r="C951">
        <v>1839</v>
      </c>
      <c r="D951">
        <v>4</v>
      </c>
      <c r="E951" s="23">
        <v>19</v>
      </c>
      <c r="F951" t="s">
        <v>8102</v>
      </c>
      <c r="G951" t="s">
        <v>10484</v>
      </c>
      <c r="H951" t="s">
        <v>8021</v>
      </c>
      <c r="I951">
        <f>_xlfn.LET(_xlpm.id,TRIM($A951),IF(_xlpm.id="","",SUM(COUNTIF('1. OP'!$M:$M,_xlpm.id),COUNTIF('2. JSEL'!$M:$M,_xlpm.id),COUNTIF('3. PSM'!$M:$M,_xlpm.id),COUNTIF('4. SSP'!$M:$M,_xlpm.id),COUNTIF('5. JSACI'!$M:$M,_xlpm.id),COUNTIF('6. AIN'!$M:$M,_xlpm.id),COUNTIF('7. MS'!$M:$M,_xlpm.id),COUNTIF('8. DS'!$M:$M,_xlpm.id),COUNTIF('9. RMF'!$M:$M,_xlpm.id),COUNTIF('10. PCU'!$M:$M,_xlpm.id))))</f>
        <v>0</v>
      </c>
    </row>
    <row r="952" spans="1:9">
      <c r="A952" t="s">
        <v>8941</v>
      </c>
      <c r="B952" t="s">
        <v>8907</v>
      </c>
      <c r="C952">
        <v>1839</v>
      </c>
      <c r="D952">
        <v>4</v>
      </c>
      <c r="E952" s="23">
        <v>20</v>
      </c>
      <c r="F952" t="s">
        <v>8102</v>
      </c>
      <c r="G952" t="s">
        <v>10484</v>
      </c>
      <c r="H952" t="s">
        <v>8021</v>
      </c>
      <c r="I952">
        <f>_xlfn.LET(_xlpm.id,TRIM($A952),IF(_xlpm.id="","",SUM(COUNTIF('1. OP'!$M:$M,_xlpm.id),COUNTIF('2. JSEL'!$M:$M,_xlpm.id),COUNTIF('3. PSM'!$M:$M,_xlpm.id),COUNTIF('4. SSP'!$M:$M,_xlpm.id),COUNTIF('5. JSACI'!$M:$M,_xlpm.id),COUNTIF('6. AIN'!$M:$M,_xlpm.id),COUNTIF('7. MS'!$M:$M,_xlpm.id),COUNTIF('8. DS'!$M:$M,_xlpm.id),COUNTIF('9. RMF'!$M:$M,_xlpm.id),COUNTIF('10. PCU'!$M:$M,_xlpm.id))))</f>
        <v>0</v>
      </c>
    </row>
    <row r="953" spans="1:9">
      <c r="A953" t="s">
        <v>8942</v>
      </c>
      <c r="B953" t="s">
        <v>8907</v>
      </c>
      <c r="C953">
        <v>1840</v>
      </c>
      <c r="D953">
        <v>4</v>
      </c>
      <c r="E953" s="23">
        <v>21</v>
      </c>
      <c r="F953" t="s">
        <v>8102</v>
      </c>
      <c r="G953" t="s">
        <v>10484</v>
      </c>
      <c r="H953" t="s">
        <v>8021</v>
      </c>
      <c r="I953">
        <f>_xlfn.LET(_xlpm.id,TRIM($A953),IF(_xlpm.id="","",SUM(COUNTIF('1. OP'!$M:$M,_xlpm.id),COUNTIF('2. JSEL'!$M:$M,_xlpm.id),COUNTIF('3. PSM'!$M:$M,_xlpm.id),COUNTIF('4. SSP'!$M:$M,_xlpm.id),COUNTIF('5. JSACI'!$M:$M,_xlpm.id),COUNTIF('6. AIN'!$M:$M,_xlpm.id),COUNTIF('7. MS'!$M:$M,_xlpm.id),COUNTIF('8. DS'!$M:$M,_xlpm.id),COUNTIF('9. RMF'!$M:$M,_xlpm.id),COUNTIF('10. PCU'!$M:$M,_xlpm.id))))</f>
        <v>0</v>
      </c>
    </row>
    <row r="954" spans="1:9">
      <c r="A954" t="s">
        <v>8943</v>
      </c>
      <c r="B954" t="s">
        <v>8907</v>
      </c>
      <c r="C954">
        <v>1840</v>
      </c>
      <c r="D954">
        <v>4</v>
      </c>
      <c r="E954" s="23">
        <v>22</v>
      </c>
      <c r="F954" t="s">
        <v>8102</v>
      </c>
      <c r="G954" t="s">
        <v>10484</v>
      </c>
      <c r="H954" t="s">
        <v>8021</v>
      </c>
      <c r="I954">
        <f>_xlfn.LET(_xlpm.id,TRIM($A954),IF(_xlpm.id="","",SUM(COUNTIF('1. OP'!$M:$M,_xlpm.id),COUNTIF('2. JSEL'!$M:$M,_xlpm.id),COUNTIF('3. PSM'!$M:$M,_xlpm.id),COUNTIF('4. SSP'!$M:$M,_xlpm.id),COUNTIF('5. JSACI'!$M:$M,_xlpm.id),COUNTIF('6. AIN'!$M:$M,_xlpm.id),COUNTIF('7. MS'!$M:$M,_xlpm.id),COUNTIF('8. DS'!$M:$M,_xlpm.id),COUNTIF('9. RMF'!$M:$M,_xlpm.id),COUNTIF('10. PCU'!$M:$M,_xlpm.id))))</f>
        <v>0</v>
      </c>
    </row>
    <row r="955" spans="1:9">
      <c r="A955" t="s">
        <v>8944</v>
      </c>
      <c r="B955" t="s">
        <v>8907</v>
      </c>
      <c r="C955">
        <v>1840</v>
      </c>
      <c r="D955">
        <v>4</v>
      </c>
      <c r="E955" s="23">
        <v>23</v>
      </c>
      <c r="F955" t="s">
        <v>8102</v>
      </c>
      <c r="G955" t="s">
        <v>10484</v>
      </c>
      <c r="H955" t="s">
        <v>8021</v>
      </c>
      <c r="I955">
        <f>_xlfn.LET(_xlpm.id,TRIM($A955),IF(_xlpm.id="","",SUM(COUNTIF('1. OP'!$M:$M,_xlpm.id),COUNTIF('2. JSEL'!$M:$M,_xlpm.id),COUNTIF('3. PSM'!$M:$M,_xlpm.id),COUNTIF('4. SSP'!$M:$M,_xlpm.id),COUNTIF('5. JSACI'!$M:$M,_xlpm.id),COUNTIF('6. AIN'!$M:$M,_xlpm.id),COUNTIF('7. MS'!$M:$M,_xlpm.id),COUNTIF('8. DS'!$M:$M,_xlpm.id),COUNTIF('9. RMF'!$M:$M,_xlpm.id),COUNTIF('10. PCU'!$M:$M,_xlpm.id))))</f>
        <v>0</v>
      </c>
    </row>
    <row r="956" spans="1:9">
      <c r="A956" t="s">
        <v>8945</v>
      </c>
      <c r="B956" t="s">
        <v>8907</v>
      </c>
      <c r="C956">
        <v>1840</v>
      </c>
      <c r="D956">
        <v>4</v>
      </c>
      <c r="E956" s="23">
        <v>24</v>
      </c>
      <c r="F956" t="s">
        <v>8102</v>
      </c>
      <c r="G956" t="s">
        <v>10484</v>
      </c>
      <c r="H956" t="s">
        <v>8021</v>
      </c>
      <c r="I956">
        <f>_xlfn.LET(_xlpm.id,TRIM($A956),IF(_xlpm.id="","",SUM(COUNTIF('1. OP'!$M:$M,_xlpm.id),COUNTIF('2. JSEL'!$M:$M,_xlpm.id),COUNTIF('3. PSM'!$M:$M,_xlpm.id),COUNTIF('4. SSP'!$M:$M,_xlpm.id),COUNTIF('5. JSACI'!$M:$M,_xlpm.id),COUNTIF('6. AIN'!$M:$M,_xlpm.id),COUNTIF('7. MS'!$M:$M,_xlpm.id),COUNTIF('8. DS'!$M:$M,_xlpm.id),COUNTIF('9. RMF'!$M:$M,_xlpm.id),COUNTIF('10. PCU'!$M:$M,_xlpm.id))))</f>
        <v>0</v>
      </c>
    </row>
    <row r="957" spans="1:9">
      <c r="A957" t="s">
        <v>8946</v>
      </c>
      <c r="B957" t="s">
        <v>8947</v>
      </c>
      <c r="C957">
        <v>1823</v>
      </c>
      <c r="D957">
        <v>1</v>
      </c>
      <c r="E957" s="23">
        <v>1</v>
      </c>
      <c r="F957" t="s">
        <v>8265</v>
      </c>
      <c r="G957" t="s">
        <v>10486</v>
      </c>
      <c r="H957" t="s">
        <v>8019</v>
      </c>
      <c r="I957">
        <f>_xlfn.LET(_xlpm.id,TRIM($A957),IF(_xlpm.id="","",SUM(COUNTIF('1. OP'!$M:$M,_xlpm.id),COUNTIF('2. JSEL'!$M:$M,_xlpm.id),COUNTIF('3. PSM'!$M:$M,_xlpm.id),COUNTIF('4. SSP'!$M:$M,_xlpm.id),COUNTIF('5. JSACI'!$M:$M,_xlpm.id),COUNTIF('6. AIN'!$M:$M,_xlpm.id),COUNTIF('7. MS'!$M:$M,_xlpm.id),COUNTIF('8. DS'!$M:$M,_xlpm.id),COUNTIF('9. RMF'!$M:$M,_xlpm.id),COUNTIF('10. PCU'!$M:$M,_xlpm.id))))</f>
        <v>0</v>
      </c>
    </row>
    <row r="958" spans="1:9">
      <c r="A958" t="s">
        <v>8948</v>
      </c>
      <c r="B958" t="s">
        <v>8947</v>
      </c>
      <c r="C958">
        <v>1824</v>
      </c>
      <c r="D958">
        <v>1</v>
      </c>
      <c r="E958" s="23">
        <v>2</v>
      </c>
      <c r="F958" t="s">
        <v>8265</v>
      </c>
      <c r="G958" t="s">
        <v>10486</v>
      </c>
      <c r="H958" t="s">
        <v>8019</v>
      </c>
      <c r="I958">
        <f>_xlfn.LET(_xlpm.id,TRIM($A958),IF(_xlpm.id="","",SUM(COUNTIF('1. OP'!$M:$M,_xlpm.id),COUNTIF('2. JSEL'!$M:$M,_xlpm.id),COUNTIF('3. PSM'!$M:$M,_xlpm.id),COUNTIF('4. SSP'!$M:$M,_xlpm.id),COUNTIF('5. JSACI'!$M:$M,_xlpm.id),COUNTIF('6. AIN'!$M:$M,_xlpm.id),COUNTIF('7. MS'!$M:$M,_xlpm.id),COUNTIF('8. DS'!$M:$M,_xlpm.id),COUNTIF('9. RMF'!$M:$M,_xlpm.id),COUNTIF('10. PCU'!$M:$M,_xlpm.id))))</f>
        <v>0</v>
      </c>
    </row>
    <row r="959" spans="1:9">
      <c r="A959" t="s">
        <v>8949</v>
      </c>
      <c r="B959" t="s">
        <v>8947</v>
      </c>
      <c r="C959">
        <v>1825</v>
      </c>
      <c r="D959">
        <v>1</v>
      </c>
      <c r="E959" s="23">
        <v>3</v>
      </c>
      <c r="F959" t="s">
        <v>8265</v>
      </c>
      <c r="G959" t="s">
        <v>10486</v>
      </c>
      <c r="H959" t="s">
        <v>8019</v>
      </c>
      <c r="I959">
        <f>_xlfn.LET(_xlpm.id,TRIM($A959),IF(_xlpm.id="","",SUM(COUNTIF('1. OP'!$M:$M,_xlpm.id),COUNTIF('2. JSEL'!$M:$M,_xlpm.id),COUNTIF('3. PSM'!$M:$M,_xlpm.id),COUNTIF('4. SSP'!$M:$M,_xlpm.id),COUNTIF('5. JSACI'!$M:$M,_xlpm.id),COUNTIF('6. AIN'!$M:$M,_xlpm.id),COUNTIF('7. MS'!$M:$M,_xlpm.id),COUNTIF('8. DS'!$M:$M,_xlpm.id),COUNTIF('9. RMF'!$M:$M,_xlpm.id),COUNTIF('10. PCU'!$M:$M,_xlpm.id))))</f>
        <v>0</v>
      </c>
    </row>
    <row r="960" spans="1:9">
      <c r="A960" t="s">
        <v>8950</v>
      </c>
      <c r="B960" t="s">
        <v>8947</v>
      </c>
      <c r="C960">
        <v>1825</v>
      </c>
      <c r="D960">
        <v>1</v>
      </c>
      <c r="E960" s="23">
        <v>4</v>
      </c>
      <c r="F960" t="s">
        <v>8265</v>
      </c>
      <c r="G960" t="s">
        <v>10486</v>
      </c>
      <c r="H960" t="s">
        <v>8019</v>
      </c>
      <c r="I960">
        <f>_xlfn.LET(_xlpm.id,TRIM($A960),IF(_xlpm.id="","",SUM(COUNTIF('1. OP'!$M:$M,_xlpm.id),COUNTIF('2. JSEL'!$M:$M,_xlpm.id),COUNTIF('3. PSM'!$M:$M,_xlpm.id),COUNTIF('4. SSP'!$M:$M,_xlpm.id),COUNTIF('5. JSACI'!$M:$M,_xlpm.id),COUNTIF('6. AIN'!$M:$M,_xlpm.id),COUNTIF('7. MS'!$M:$M,_xlpm.id),COUNTIF('8. DS'!$M:$M,_xlpm.id),COUNTIF('9. RMF'!$M:$M,_xlpm.id),COUNTIF('10. PCU'!$M:$M,_xlpm.id))))</f>
        <v>0</v>
      </c>
    </row>
    <row r="961" spans="1:9">
      <c r="A961" t="s">
        <v>8951</v>
      </c>
      <c r="B961" t="s">
        <v>8947</v>
      </c>
      <c r="C961">
        <v>1826</v>
      </c>
      <c r="D961">
        <v>1</v>
      </c>
      <c r="E961" s="23">
        <v>5</v>
      </c>
      <c r="F961" t="s">
        <v>8265</v>
      </c>
      <c r="G961" t="s">
        <v>10486</v>
      </c>
      <c r="H961" t="s">
        <v>8019</v>
      </c>
      <c r="I961">
        <f>_xlfn.LET(_xlpm.id,TRIM($A961),IF(_xlpm.id="","",SUM(COUNTIF('1. OP'!$M:$M,_xlpm.id),COUNTIF('2. JSEL'!$M:$M,_xlpm.id),COUNTIF('3. PSM'!$M:$M,_xlpm.id),COUNTIF('4. SSP'!$M:$M,_xlpm.id),COUNTIF('5. JSACI'!$M:$M,_xlpm.id),COUNTIF('6. AIN'!$M:$M,_xlpm.id),COUNTIF('7. MS'!$M:$M,_xlpm.id),COUNTIF('8. DS'!$M:$M,_xlpm.id),COUNTIF('9. RMF'!$M:$M,_xlpm.id),COUNTIF('10. PCU'!$M:$M,_xlpm.id))))</f>
        <v>0</v>
      </c>
    </row>
    <row r="962" spans="1:9">
      <c r="A962" t="s">
        <v>8952</v>
      </c>
      <c r="B962" t="s">
        <v>8947</v>
      </c>
      <c r="C962">
        <v>1827</v>
      </c>
      <c r="D962">
        <v>1</v>
      </c>
      <c r="E962" s="23">
        <v>6</v>
      </c>
      <c r="F962" t="s">
        <v>8265</v>
      </c>
      <c r="G962" t="s">
        <v>10486</v>
      </c>
      <c r="H962" t="s">
        <v>8019</v>
      </c>
      <c r="I962">
        <f>_xlfn.LET(_xlpm.id,TRIM($A962),IF(_xlpm.id="","",SUM(COUNTIF('1. OP'!$M:$M,_xlpm.id),COUNTIF('2. JSEL'!$M:$M,_xlpm.id),COUNTIF('3. PSM'!$M:$M,_xlpm.id),COUNTIF('4. SSP'!$M:$M,_xlpm.id),COUNTIF('5. JSACI'!$M:$M,_xlpm.id),COUNTIF('6. AIN'!$M:$M,_xlpm.id),COUNTIF('7. MS'!$M:$M,_xlpm.id),COUNTIF('8. DS'!$M:$M,_xlpm.id),COUNTIF('9. RMF'!$M:$M,_xlpm.id),COUNTIF('10. PCU'!$M:$M,_xlpm.id))))</f>
        <v>0</v>
      </c>
    </row>
    <row r="963" spans="1:9">
      <c r="A963" t="s">
        <v>8953</v>
      </c>
      <c r="B963" t="s">
        <v>8947</v>
      </c>
      <c r="C963">
        <v>1827</v>
      </c>
      <c r="D963">
        <v>1</v>
      </c>
      <c r="E963" s="23">
        <v>7</v>
      </c>
      <c r="F963" t="s">
        <v>8265</v>
      </c>
      <c r="G963" t="s">
        <v>10486</v>
      </c>
      <c r="H963" t="s">
        <v>8019</v>
      </c>
      <c r="I963">
        <f>_xlfn.LET(_xlpm.id,TRIM($A963),IF(_xlpm.id="","",SUM(COUNTIF('1. OP'!$M:$M,_xlpm.id),COUNTIF('2. JSEL'!$M:$M,_xlpm.id),COUNTIF('3. PSM'!$M:$M,_xlpm.id),COUNTIF('4. SSP'!$M:$M,_xlpm.id),COUNTIF('5. JSACI'!$M:$M,_xlpm.id),COUNTIF('6. AIN'!$M:$M,_xlpm.id),COUNTIF('7. MS'!$M:$M,_xlpm.id),COUNTIF('8. DS'!$M:$M,_xlpm.id),COUNTIF('9. RMF'!$M:$M,_xlpm.id),COUNTIF('10. PCU'!$M:$M,_xlpm.id))))</f>
        <v>0</v>
      </c>
    </row>
    <row r="964" spans="1:9">
      <c r="A964" t="s">
        <v>8954</v>
      </c>
      <c r="B964" t="s">
        <v>8947</v>
      </c>
      <c r="C964">
        <v>1828</v>
      </c>
      <c r="D964">
        <v>1</v>
      </c>
      <c r="E964" s="23">
        <v>8</v>
      </c>
      <c r="F964" t="s">
        <v>8265</v>
      </c>
      <c r="G964" t="s">
        <v>10486</v>
      </c>
      <c r="H964" t="s">
        <v>8019</v>
      </c>
      <c r="I964">
        <f>_xlfn.LET(_xlpm.id,TRIM($A964),IF(_xlpm.id="","",SUM(COUNTIF('1. OP'!$M:$M,_xlpm.id),COUNTIF('2. JSEL'!$M:$M,_xlpm.id),COUNTIF('3. PSM'!$M:$M,_xlpm.id),COUNTIF('4. SSP'!$M:$M,_xlpm.id),COUNTIF('5. JSACI'!$M:$M,_xlpm.id),COUNTIF('6. AIN'!$M:$M,_xlpm.id),COUNTIF('7. MS'!$M:$M,_xlpm.id),COUNTIF('8. DS'!$M:$M,_xlpm.id),COUNTIF('9. RMF'!$M:$M,_xlpm.id),COUNTIF('10. PCU'!$M:$M,_xlpm.id))))</f>
        <v>0</v>
      </c>
    </row>
    <row r="965" spans="1:9">
      <c r="A965" t="s">
        <v>8955</v>
      </c>
      <c r="B965" t="s">
        <v>8947</v>
      </c>
      <c r="C965">
        <v>1828</v>
      </c>
      <c r="D965">
        <v>1</v>
      </c>
      <c r="E965" s="23">
        <v>9</v>
      </c>
      <c r="F965" t="s">
        <v>8265</v>
      </c>
      <c r="G965" t="s">
        <v>10486</v>
      </c>
      <c r="H965" t="s">
        <v>8019</v>
      </c>
      <c r="I965">
        <f>_xlfn.LET(_xlpm.id,TRIM($A965),IF(_xlpm.id="","",SUM(COUNTIF('1. OP'!$M:$M,_xlpm.id),COUNTIF('2. JSEL'!$M:$M,_xlpm.id),COUNTIF('3. PSM'!$M:$M,_xlpm.id),COUNTIF('4. SSP'!$M:$M,_xlpm.id),COUNTIF('5. JSACI'!$M:$M,_xlpm.id),COUNTIF('6. AIN'!$M:$M,_xlpm.id),COUNTIF('7. MS'!$M:$M,_xlpm.id),COUNTIF('8. DS'!$M:$M,_xlpm.id),COUNTIF('9. RMF'!$M:$M,_xlpm.id),COUNTIF('10. PCU'!$M:$M,_xlpm.id))))</f>
        <v>0</v>
      </c>
    </row>
    <row r="966" spans="1:9">
      <c r="A966" t="s">
        <v>8956</v>
      </c>
      <c r="B966" t="s">
        <v>8947</v>
      </c>
      <c r="C966">
        <v>1829</v>
      </c>
      <c r="D966">
        <v>1</v>
      </c>
      <c r="E966" s="23">
        <v>10</v>
      </c>
      <c r="F966" t="s">
        <v>8265</v>
      </c>
      <c r="G966" t="s">
        <v>10486</v>
      </c>
      <c r="H966" t="s">
        <v>8019</v>
      </c>
      <c r="I966">
        <f>_xlfn.LET(_xlpm.id,TRIM($A966),IF(_xlpm.id="","",SUM(COUNTIF('1. OP'!$M:$M,_xlpm.id),COUNTIF('2. JSEL'!$M:$M,_xlpm.id),COUNTIF('3. PSM'!$M:$M,_xlpm.id),COUNTIF('4. SSP'!$M:$M,_xlpm.id),COUNTIF('5. JSACI'!$M:$M,_xlpm.id),COUNTIF('6. AIN'!$M:$M,_xlpm.id),COUNTIF('7. MS'!$M:$M,_xlpm.id),COUNTIF('8. DS'!$M:$M,_xlpm.id),COUNTIF('9. RMF'!$M:$M,_xlpm.id),COUNTIF('10. PCU'!$M:$M,_xlpm.id))))</f>
        <v>0</v>
      </c>
    </row>
    <row r="967" spans="1:9">
      <c r="A967" t="s">
        <v>8957</v>
      </c>
      <c r="B967" t="s">
        <v>8947</v>
      </c>
      <c r="C967">
        <v>1829</v>
      </c>
      <c r="D967">
        <v>1</v>
      </c>
      <c r="E967" s="23">
        <v>11</v>
      </c>
      <c r="F967" t="s">
        <v>8265</v>
      </c>
      <c r="G967" t="s">
        <v>10486</v>
      </c>
      <c r="H967" t="s">
        <v>8019</v>
      </c>
      <c r="I967">
        <f>_xlfn.LET(_xlpm.id,TRIM($A967),IF(_xlpm.id="","",SUM(COUNTIF('1. OP'!$M:$M,_xlpm.id),COUNTIF('2. JSEL'!$M:$M,_xlpm.id),COUNTIF('3. PSM'!$M:$M,_xlpm.id),COUNTIF('4. SSP'!$M:$M,_xlpm.id),COUNTIF('5. JSACI'!$M:$M,_xlpm.id),COUNTIF('6. AIN'!$M:$M,_xlpm.id),COUNTIF('7. MS'!$M:$M,_xlpm.id),COUNTIF('8. DS'!$M:$M,_xlpm.id),COUNTIF('9. RMF'!$M:$M,_xlpm.id),COUNTIF('10. PCU'!$M:$M,_xlpm.id))))</f>
        <v>0</v>
      </c>
    </row>
    <row r="968" spans="1:9">
      <c r="A968" t="s">
        <v>8958</v>
      </c>
      <c r="B968" t="s">
        <v>8947</v>
      </c>
      <c r="C968">
        <v>1830</v>
      </c>
      <c r="D968">
        <v>1</v>
      </c>
      <c r="E968" s="23">
        <v>12</v>
      </c>
      <c r="F968" t="s">
        <v>8265</v>
      </c>
      <c r="G968" t="s">
        <v>10486</v>
      </c>
      <c r="H968" t="s">
        <v>8019</v>
      </c>
      <c r="I968">
        <f>_xlfn.LET(_xlpm.id,TRIM($A968),IF(_xlpm.id="","",SUM(COUNTIF('1. OP'!$M:$M,_xlpm.id),COUNTIF('2. JSEL'!$M:$M,_xlpm.id),COUNTIF('3. PSM'!$M:$M,_xlpm.id),COUNTIF('4. SSP'!$M:$M,_xlpm.id),COUNTIF('5. JSACI'!$M:$M,_xlpm.id),COUNTIF('6. AIN'!$M:$M,_xlpm.id),COUNTIF('7. MS'!$M:$M,_xlpm.id),COUNTIF('8. DS'!$M:$M,_xlpm.id),COUNTIF('9. RMF'!$M:$M,_xlpm.id),COUNTIF('10. PCU'!$M:$M,_xlpm.id))))</f>
        <v>0</v>
      </c>
    </row>
    <row r="969" spans="1:9">
      <c r="A969" t="s">
        <v>8959</v>
      </c>
      <c r="B969" t="s">
        <v>8947</v>
      </c>
      <c r="C969">
        <v>1830</v>
      </c>
      <c r="D969">
        <v>1</v>
      </c>
      <c r="E969" s="23">
        <v>13</v>
      </c>
      <c r="F969" t="s">
        <v>8265</v>
      </c>
      <c r="G969" t="s">
        <v>10486</v>
      </c>
      <c r="H969" t="s">
        <v>8019</v>
      </c>
      <c r="I969">
        <f>_xlfn.LET(_xlpm.id,TRIM($A969),IF(_xlpm.id="","",SUM(COUNTIF('1. OP'!$M:$M,_xlpm.id),COUNTIF('2. JSEL'!$M:$M,_xlpm.id),COUNTIF('3. PSM'!$M:$M,_xlpm.id),COUNTIF('4. SSP'!$M:$M,_xlpm.id),COUNTIF('5. JSACI'!$M:$M,_xlpm.id),COUNTIF('6. AIN'!$M:$M,_xlpm.id),COUNTIF('7. MS'!$M:$M,_xlpm.id),COUNTIF('8. DS'!$M:$M,_xlpm.id),COUNTIF('9. RMF'!$M:$M,_xlpm.id),COUNTIF('10. PCU'!$M:$M,_xlpm.id))))</f>
        <v>0</v>
      </c>
    </row>
    <row r="970" spans="1:9">
      <c r="A970" t="s">
        <v>8960</v>
      </c>
      <c r="B970" t="s">
        <v>8947</v>
      </c>
      <c r="C970">
        <v>1831</v>
      </c>
      <c r="D970">
        <v>1</v>
      </c>
      <c r="E970" s="23">
        <v>14</v>
      </c>
      <c r="F970" t="s">
        <v>8265</v>
      </c>
      <c r="G970" t="s">
        <v>10486</v>
      </c>
      <c r="H970" t="s">
        <v>8019</v>
      </c>
      <c r="I970">
        <f>_xlfn.LET(_xlpm.id,TRIM($A970),IF(_xlpm.id="","",SUM(COUNTIF('1. OP'!$M:$M,_xlpm.id),COUNTIF('2. JSEL'!$M:$M,_xlpm.id),COUNTIF('3. PSM'!$M:$M,_xlpm.id),COUNTIF('4. SSP'!$M:$M,_xlpm.id),COUNTIF('5. JSACI'!$M:$M,_xlpm.id),COUNTIF('6. AIN'!$M:$M,_xlpm.id),COUNTIF('7. MS'!$M:$M,_xlpm.id),COUNTIF('8. DS'!$M:$M,_xlpm.id),COUNTIF('9. RMF'!$M:$M,_xlpm.id),COUNTIF('10. PCU'!$M:$M,_xlpm.id))))</f>
        <v>0</v>
      </c>
    </row>
    <row r="971" spans="1:9">
      <c r="A971" t="s">
        <v>8961</v>
      </c>
      <c r="B971" t="s">
        <v>8947</v>
      </c>
      <c r="C971">
        <v>1831</v>
      </c>
      <c r="D971">
        <v>1</v>
      </c>
      <c r="E971" s="23">
        <v>15</v>
      </c>
      <c r="F971" t="s">
        <v>8265</v>
      </c>
      <c r="G971" t="s">
        <v>10486</v>
      </c>
      <c r="H971" t="s">
        <v>8019</v>
      </c>
      <c r="I971">
        <f>_xlfn.LET(_xlpm.id,TRIM($A971),IF(_xlpm.id="","",SUM(COUNTIF('1. OP'!$M:$M,_xlpm.id),COUNTIF('2. JSEL'!$M:$M,_xlpm.id),COUNTIF('3. PSM'!$M:$M,_xlpm.id),COUNTIF('4. SSP'!$M:$M,_xlpm.id),COUNTIF('5. JSACI'!$M:$M,_xlpm.id),COUNTIF('6. AIN'!$M:$M,_xlpm.id),COUNTIF('7. MS'!$M:$M,_xlpm.id),COUNTIF('8. DS'!$M:$M,_xlpm.id),COUNTIF('9. RMF'!$M:$M,_xlpm.id),COUNTIF('10. PCU'!$M:$M,_xlpm.id))))</f>
        <v>0</v>
      </c>
    </row>
    <row r="972" spans="1:9">
      <c r="A972" t="s">
        <v>8962</v>
      </c>
      <c r="B972" t="s">
        <v>8947</v>
      </c>
      <c r="C972">
        <v>1832</v>
      </c>
      <c r="D972">
        <v>1</v>
      </c>
      <c r="E972" s="23">
        <v>16</v>
      </c>
      <c r="F972" t="s">
        <v>8265</v>
      </c>
      <c r="G972" t="s">
        <v>10486</v>
      </c>
      <c r="H972" t="s">
        <v>8019</v>
      </c>
      <c r="I972">
        <f>_xlfn.LET(_xlpm.id,TRIM($A972),IF(_xlpm.id="","",SUM(COUNTIF('1. OP'!$M:$M,_xlpm.id),COUNTIF('2. JSEL'!$M:$M,_xlpm.id),COUNTIF('3. PSM'!$M:$M,_xlpm.id),COUNTIF('4. SSP'!$M:$M,_xlpm.id),COUNTIF('5. JSACI'!$M:$M,_xlpm.id),COUNTIF('6. AIN'!$M:$M,_xlpm.id),COUNTIF('7. MS'!$M:$M,_xlpm.id),COUNTIF('8. DS'!$M:$M,_xlpm.id),COUNTIF('9. RMF'!$M:$M,_xlpm.id),COUNTIF('10. PCU'!$M:$M,_xlpm.id))))</f>
        <v>0</v>
      </c>
    </row>
    <row r="973" spans="1:9">
      <c r="A973" t="s">
        <v>8963</v>
      </c>
      <c r="B973" t="s">
        <v>8947</v>
      </c>
      <c r="C973">
        <v>1832</v>
      </c>
      <c r="D973">
        <v>1</v>
      </c>
      <c r="E973" s="23">
        <v>17</v>
      </c>
      <c r="F973" t="s">
        <v>8265</v>
      </c>
      <c r="G973" t="s">
        <v>10486</v>
      </c>
      <c r="H973" t="s">
        <v>8019</v>
      </c>
      <c r="I973">
        <f>_xlfn.LET(_xlpm.id,TRIM($A973),IF(_xlpm.id="","",SUM(COUNTIF('1. OP'!$M:$M,_xlpm.id),COUNTIF('2. JSEL'!$M:$M,_xlpm.id),COUNTIF('3. PSM'!$M:$M,_xlpm.id),COUNTIF('4. SSP'!$M:$M,_xlpm.id),COUNTIF('5. JSACI'!$M:$M,_xlpm.id),COUNTIF('6. AIN'!$M:$M,_xlpm.id),COUNTIF('7. MS'!$M:$M,_xlpm.id),COUNTIF('8. DS'!$M:$M,_xlpm.id),COUNTIF('9. RMF'!$M:$M,_xlpm.id),COUNTIF('10. PCU'!$M:$M,_xlpm.id))))</f>
        <v>0</v>
      </c>
    </row>
    <row r="974" spans="1:9">
      <c r="A974" t="s">
        <v>8964</v>
      </c>
      <c r="B974" t="s">
        <v>8947</v>
      </c>
      <c r="C974">
        <v>1833</v>
      </c>
      <c r="D974">
        <v>1</v>
      </c>
      <c r="E974" s="23">
        <v>18</v>
      </c>
      <c r="F974" t="s">
        <v>8265</v>
      </c>
      <c r="G974" t="s">
        <v>10486</v>
      </c>
      <c r="H974" t="s">
        <v>8019</v>
      </c>
      <c r="I974">
        <f>_xlfn.LET(_xlpm.id,TRIM($A974),IF(_xlpm.id="","",SUM(COUNTIF('1. OP'!$M:$M,_xlpm.id),COUNTIF('2. JSEL'!$M:$M,_xlpm.id),COUNTIF('3. PSM'!$M:$M,_xlpm.id),COUNTIF('4. SSP'!$M:$M,_xlpm.id),COUNTIF('5. JSACI'!$M:$M,_xlpm.id),COUNTIF('6. AIN'!$M:$M,_xlpm.id),COUNTIF('7. MS'!$M:$M,_xlpm.id),COUNTIF('8. DS'!$M:$M,_xlpm.id),COUNTIF('9. RMF'!$M:$M,_xlpm.id),COUNTIF('10. PCU'!$M:$M,_xlpm.id))))</f>
        <v>0</v>
      </c>
    </row>
    <row r="975" spans="1:9">
      <c r="A975" t="s">
        <v>8965</v>
      </c>
      <c r="B975" t="s">
        <v>8947</v>
      </c>
      <c r="C975">
        <v>1833</v>
      </c>
      <c r="D975">
        <v>1</v>
      </c>
      <c r="E975" s="23">
        <v>19</v>
      </c>
      <c r="F975" t="s">
        <v>8265</v>
      </c>
      <c r="G975" t="s">
        <v>10486</v>
      </c>
      <c r="H975" t="s">
        <v>8019</v>
      </c>
      <c r="I975">
        <f>_xlfn.LET(_xlpm.id,TRIM($A975),IF(_xlpm.id="","",SUM(COUNTIF('1. OP'!$M:$M,_xlpm.id),COUNTIF('2. JSEL'!$M:$M,_xlpm.id),COUNTIF('3. PSM'!$M:$M,_xlpm.id),COUNTIF('4. SSP'!$M:$M,_xlpm.id),COUNTIF('5. JSACI'!$M:$M,_xlpm.id),COUNTIF('6. AIN'!$M:$M,_xlpm.id),COUNTIF('7. MS'!$M:$M,_xlpm.id),COUNTIF('8. DS'!$M:$M,_xlpm.id),COUNTIF('9. RMF'!$M:$M,_xlpm.id),COUNTIF('10. PCU'!$M:$M,_xlpm.id))))</f>
        <v>0</v>
      </c>
    </row>
    <row r="976" spans="1:9">
      <c r="A976" t="s">
        <v>8966</v>
      </c>
      <c r="B976" t="s">
        <v>8947</v>
      </c>
      <c r="C976">
        <v>1834</v>
      </c>
      <c r="D976">
        <v>1</v>
      </c>
      <c r="E976" s="23">
        <v>20</v>
      </c>
      <c r="F976" t="s">
        <v>8265</v>
      </c>
      <c r="G976" t="s">
        <v>10486</v>
      </c>
      <c r="H976" t="s">
        <v>8019</v>
      </c>
      <c r="I976">
        <f>_xlfn.LET(_xlpm.id,TRIM($A976),IF(_xlpm.id="","",SUM(COUNTIF('1. OP'!$M:$M,_xlpm.id),COUNTIF('2. JSEL'!$M:$M,_xlpm.id),COUNTIF('3. PSM'!$M:$M,_xlpm.id),COUNTIF('4. SSP'!$M:$M,_xlpm.id),COUNTIF('5. JSACI'!$M:$M,_xlpm.id),COUNTIF('6. AIN'!$M:$M,_xlpm.id),COUNTIF('7. MS'!$M:$M,_xlpm.id),COUNTIF('8. DS'!$M:$M,_xlpm.id),COUNTIF('9. RMF'!$M:$M,_xlpm.id),COUNTIF('10. PCU'!$M:$M,_xlpm.id))))</f>
        <v>0</v>
      </c>
    </row>
    <row r="977" spans="1:9">
      <c r="A977" t="s">
        <v>8967</v>
      </c>
      <c r="B977" t="s">
        <v>8947</v>
      </c>
      <c r="C977">
        <v>1834</v>
      </c>
      <c r="D977">
        <v>1</v>
      </c>
      <c r="E977" s="23">
        <v>21</v>
      </c>
      <c r="F977" t="s">
        <v>8265</v>
      </c>
      <c r="G977" t="s">
        <v>10486</v>
      </c>
      <c r="H977" t="s">
        <v>8019</v>
      </c>
      <c r="I977">
        <f>_xlfn.LET(_xlpm.id,TRIM($A977),IF(_xlpm.id="","",SUM(COUNTIF('1. OP'!$M:$M,_xlpm.id),COUNTIF('2. JSEL'!$M:$M,_xlpm.id),COUNTIF('3. PSM'!$M:$M,_xlpm.id),COUNTIF('4. SSP'!$M:$M,_xlpm.id),COUNTIF('5. JSACI'!$M:$M,_xlpm.id),COUNTIF('6. AIN'!$M:$M,_xlpm.id),COUNTIF('7. MS'!$M:$M,_xlpm.id),COUNTIF('8. DS'!$M:$M,_xlpm.id),COUNTIF('9. RMF'!$M:$M,_xlpm.id),COUNTIF('10. PCU'!$M:$M,_xlpm.id))))</f>
        <v>0</v>
      </c>
    </row>
    <row r="978" spans="1:9">
      <c r="A978" t="s">
        <v>8968</v>
      </c>
      <c r="B978" t="s">
        <v>8947</v>
      </c>
      <c r="C978">
        <v>1835</v>
      </c>
      <c r="D978">
        <v>1</v>
      </c>
      <c r="E978" s="23">
        <v>22</v>
      </c>
      <c r="F978" t="s">
        <v>8265</v>
      </c>
      <c r="G978" t="s">
        <v>10486</v>
      </c>
      <c r="H978" t="s">
        <v>8019</v>
      </c>
      <c r="I978">
        <f>_xlfn.LET(_xlpm.id,TRIM($A978),IF(_xlpm.id="","",SUM(COUNTIF('1. OP'!$M:$M,_xlpm.id),COUNTIF('2. JSEL'!$M:$M,_xlpm.id),COUNTIF('3. PSM'!$M:$M,_xlpm.id),COUNTIF('4. SSP'!$M:$M,_xlpm.id),COUNTIF('5. JSACI'!$M:$M,_xlpm.id),COUNTIF('6. AIN'!$M:$M,_xlpm.id),COUNTIF('7. MS'!$M:$M,_xlpm.id),COUNTIF('8. DS'!$M:$M,_xlpm.id),COUNTIF('9. RMF'!$M:$M,_xlpm.id),COUNTIF('10. PCU'!$M:$M,_xlpm.id))))</f>
        <v>0</v>
      </c>
    </row>
    <row r="979" spans="1:9">
      <c r="A979" t="s">
        <v>8969</v>
      </c>
      <c r="B979" t="s">
        <v>8947</v>
      </c>
      <c r="C979">
        <v>1835</v>
      </c>
      <c r="D979">
        <v>1</v>
      </c>
      <c r="E979" s="23">
        <v>23</v>
      </c>
      <c r="F979" t="s">
        <v>8265</v>
      </c>
      <c r="G979" t="s">
        <v>10486</v>
      </c>
      <c r="H979" t="s">
        <v>8019</v>
      </c>
      <c r="I979">
        <f>_xlfn.LET(_xlpm.id,TRIM($A979),IF(_xlpm.id="","",SUM(COUNTIF('1. OP'!$M:$M,_xlpm.id),COUNTIF('2. JSEL'!$M:$M,_xlpm.id),COUNTIF('3. PSM'!$M:$M,_xlpm.id),COUNTIF('4. SSP'!$M:$M,_xlpm.id),COUNTIF('5. JSACI'!$M:$M,_xlpm.id),COUNTIF('6. AIN'!$M:$M,_xlpm.id),COUNTIF('7. MS'!$M:$M,_xlpm.id),COUNTIF('8. DS'!$M:$M,_xlpm.id),COUNTIF('9. RMF'!$M:$M,_xlpm.id),COUNTIF('10. PCU'!$M:$M,_xlpm.id))))</f>
        <v>0</v>
      </c>
    </row>
    <row r="980" spans="1:9">
      <c r="A980" t="s">
        <v>8970</v>
      </c>
      <c r="B980" t="s">
        <v>8947</v>
      </c>
      <c r="C980">
        <v>1836</v>
      </c>
      <c r="D980">
        <v>1</v>
      </c>
      <c r="E980" s="23">
        <v>24</v>
      </c>
      <c r="F980" t="s">
        <v>8265</v>
      </c>
      <c r="G980" t="s">
        <v>10486</v>
      </c>
      <c r="H980" t="s">
        <v>8019</v>
      </c>
      <c r="I980">
        <f>_xlfn.LET(_xlpm.id,TRIM($A980),IF(_xlpm.id="","",SUM(COUNTIF('1. OP'!$M:$M,_xlpm.id),COUNTIF('2. JSEL'!$M:$M,_xlpm.id),COUNTIF('3. PSM'!$M:$M,_xlpm.id),COUNTIF('4. SSP'!$M:$M,_xlpm.id),COUNTIF('5. JSACI'!$M:$M,_xlpm.id),COUNTIF('6. AIN'!$M:$M,_xlpm.id),COUNTIF('7. MS'!$M:$M,_xlpm.id),COUNTIF('8. DS'!$M:$M,_xlpm.id),COUNTIF('9. RMF'!$M:$M,_xlpm.id),COUNTIF('10. PCU'!$M:$M,_xlpm.id))))</f>
        <v>0</v>
      </c>
    </row>
    <row r="981" spans="1:9">
      <c r="A981" t="s">
        <v>8971</v>
      </c>
      <c r="B981" t="s">
        <v>8947</v>
      </c>
      <c r="C981">
        <v>1836</v>
      </c>
      <c r="D981">
        <v>1</v>
      </c>
      <c r="E981" s="23">
        <v>25</v>
      </c>
      <c r="F981" t="s">
        <v>8265</v>
      </c>
      <c r="G981" t="s">
        <v>10486</v>
      </c>
      <c r="H981" t="s">
        <v>8019</v>
      </c>
      <c r="I981">
        <f>_xlfn.LET(_xlpm.id,TRIM($A981),IF(_xlpm.id="","",SUM(COUNTIF('1. OP'!$M:$M,_xlpm.id),COUNTIF('2. JSEL'!$M:$M,_xlpm.id),COUNTIF('3. PSM'!$M:$M,_xlpm.id),COUNTIF('4. SSP'!$M:$M,_xlpm.id),COUNTIF('5. JSACI'!$M:$M,_xlpm.id),COUNTIF('6. AIN'!$M:$M,_xlpm.id),COUNTIF('7. MS'!$M:$M,_xlpm.id),COUNTIF('8. DS'!$M:$M,_xlpm.id),COUNTIF('9. RMF'!$M:$M,_xlpm.id),COUNTIF('10. PCU'!$M:$M,_xlpm.id))))</f>
        <v>0</v>
      </c>
    </row>
    <row r="982" spans="1:9">
      <c r="A982" t="s">
        <v>8972</v>
      </c>
      <c r="B982" t="s">
        <v>8947</v>
      </c>
      <c r="C982">
        <v>1837</v>
      </c>
      <c r="D982">
        <v>1</v>
      </c>
      <c r="E982" s="23">
        <v>26</v>
      </c>
      <c r="F982" t="s">
        <v>8265</v>
      </c>
      <c r="G982" t="s">
        <v>10486</v>
      </c>
      <c r="H982" t="s">
        <v>8019</v>
      </c>
      <c r="I982">
        <f>_xlfn.LET(_xlpm.id,TRIM($A982),IF(_xlpm.id="","",SUM(COUNTIF('1. OP'!$M:$M,_xlpm.id),COUNTIF('2. JSEL'!$M:$M,_xlpm.id),COUNTIF('3. PSM'!$M:$M,_xlpm.id),COUNTIF('4. SSP'!$M:$M,_xlpm.id),COUNTIF('5. JSACI'!$M:$M,_xlpm.id),COUNTIF('6. AIN'!$M:$M,_xlpm.id),COUNTIF('7. MS'!$M:$M,_xlpm.id),COUNTIF('8. DS'!$M:$M,_xlpm.id),COUNTIF('9. RMF'!$M:$M,_xlpm.id),COUNTIF('10. PCU'!$M:$M,_xlpm.id))))</f>
        <v>0</v>
      </c>
    </row>
    <row r="983" spans="1:9">
      <c r="A983" t="s">
        <v>8973</v>
      </c>
      <c r="B983" t="s">
        <v>8947</v>
      </c>
      <c r="C983">
        <v>1837</v>
      </c>
      <c r="D983">
        <v>1</v>
      </c>
      <c r="E983" s="23">
        <v>27</v>
      </c>
      <c r="F983" t="s">
        <v>8265</v>
      </c>
      <c r="G983" t="s">
        <v>10486</v>
      </c>
      <c r="H983" t="s">
        <v>8019</v>
      </c>
      <c r="I983">
        <f>_xlfn.LET(_xlpm.id,TRIM($A983),IF(_xlpm.id="","",SUM(COUNTIF('1. OP'!$M:$M,_xlpm.id),COUNTIF('2. JSEL'!$M:$M,_xlpm.id),COUNTIF('3. PSM'!$M:$M,_xlpm.id),COUNTIF('4. SSP'!$M:$M,_xlpm.id),COUNTIF('5. JSACI'!$M:$M,_xlpm.id),COUNTIF('6. AIN'!$M:$M,_xlpm.id),COUNTIF('7. MS'!$M:$M,_xlpm.id),COUNTIF('8. DS'!$M:$M,_xlpm.id),COUNTIF('9. RMF'!$M:$M,_xlpm.id),COUNTIF('10. PCU'!$M:$M,_xlpm.id))))</f>
        <v>0</v>
      </c>
    </row>
    <row r="984" spans="1:9">
      <c r="A984" t="s">
        <v>8974</v>
      </c>
      <c r="B984" t="s">
        <v>8947</v>
      </c>
      <c r="C984">
        <v>1838</v>
      </c>
      <c r="D984">
        <v>1</v>
      </c>
      <c r="E984" s="23">
        <v>28</v>
      </c>
      <c r="F984" t="s">
        <v>8265</v>
      </c>
      <c r="G984" t="s">
        <v>10486</v>
      </c>
      <c r="H984" t="s">
        <v>8019</v>
      </c>
      <c r="I984">
        <f>_xlfn.LET(_xlpm.id,TRIM($A984),IF(_xlpm.id="","",SUM(COUNTIF('1. OP'!$M:$M,_xlpm.id),COUNTIF('2. JSEL'!$M:$M,_xlpm.id),COUNTIF('3. PSM'!$M:$M,_xlpm.id),COUNTIF('4. SSP'!$M:$M,_xlpm.id),COUNTIF('5. JSACI'!$M:$M,_xlpm.id),COUNTIF('6. AIN'!$M:$M,_xlpm.id),COUNTIF('7. MS'!$M:$M,_xlpm.id),COUNTIF('8. DS'!$M:$M,_xlpm.id),COUNTIF('9. RMF'!$M:$M,_xlpm.id),COUNTIF('10. PCU'!$M:$M,_xlpm.id))))</f>
        <v>0</v>
      </c>
    </row>
    <row r="985" spans="1:9">
      <c r="A985" t="s">
        <v>8975</v>
      </c>
      <c r="B985" t="s">
        <v>8947</v>
      </c>
      <c r="C985">
        <v>1838</v>
      </c>
      <c r="D985">
        <v>1</v>
      </c>
      <c r="E985" s="23">
        <v>29</v>
      </c>
      <c r="F985" t="s">
        <v>8265</v>
      </c>
      <c r="G985" t="s">
        <v>10486</v>
      </c>
      <c r="H985" t="s">
        <v>8019</v>
      </c>
      <c r="I985">
        <f>_xlfn.LET(_xlpm.id,TRIM($A985),IF(_xlpm.id="","",SUM(COUNTIF('1. OP'!$M:$M,_xlpm.id),COUNTIF('2. JSEL'!$M:$M,_xlpm.id),COUNTIF('3. PSM'!$M:$M,_xlpm.id),COUNTIF('4. SSP'!$M:$M,_xlpm.id),COUNTIF('5. JSACI'!$M:$M,_xlpm.id),COUNTIF('6. AIN'!$M:$M,_xlpm.id),COUNTIF('7. MS'!$M:$M,_xlpm.id),COUNTIF('8. DS'!$M:$M,_xlpm.id),COUNTIF('9. RMF'!$M:$M,_xlpm.id),COUNTIF('10. PCU'!$M:$M,_xlpm.id))))</f>
        <v>0</v>
      </c>
    </row>
    <row r="986" spans="1:9">
      <c r="A986" t="s">
        <v>8976</v>
      </c>
      <c r="B986" t="s">
        <v>8947</v>
      </c>
      <c r="C986">
        <v>1839</v>
      </c>
      <c r="D986">
        <v>1</v>
      </c>
      <c r="E986" s="23">
        <v>30</v>
      </c>
      <c r="F986" t="s">
        <v>8265</v>
      </c>
      <c r="G986" t="s">
        <v>10486</v>
      </c>
      <c r="H986" t="s">
        <v>8019</v>
      </c>
      <c r="I986">
        <f>_xlfn.LET(_xlpm.id,TRIM($A986),IF(_xlpm.id="","",SUM(COUNTIF('1. OP'!$M:$M,_xlpm.id),COUNTIF('2. JSEL'!$M:$M,_xlpm.id),COUNTIF('3. PSM'!$M:$M,_xlpm.id),COUNTIF('4. SSP'!$M:$M,_xlpm.id),COUNTIF('5. JSACI'!$M:$M,_xlpm.id),COUNTIF('6. AIN'!$M:$M,_xlpm.id),COUNTIF('7. MS'!$M:$M,_xlpm.id),COUNTIF('8. DS'!$M:$M,_xlpm.id),COUNTIF('9. RMF'!$M:$M,_xlpm.id),COUNTIF('10. PCU'!$M:$M,_xlpm.id))))</f>
        <v>0</v>
      </c>
    </row>
    <row r="987" spans="1:9">
      <c r="A987" t="s">
        <v>8977</v>
      </c>
      <c r="B987" t="s">
        <v>8947</v>
      </c>
      <c r="C987">
        <v>1839</v>
      </c>
      <c r="D987">
        <v>1</v>
      </c>
      <c r="E987" s="23">
        <v>31</v>
      </c>
      <c r="F987" t="s">
        <v>8265</v>
      </c>
      <c r="G987" t="s">
        <v>10486</v>
      </c>
      <c r="H987" t="s">
        <v>8019</v>
      </c>
      <c r="I987">
        <f>_xlfn.LET(_xlpm.id,TRIM($A987),IF(_xlpm.id="","",SUM(COUNTIF('1. OP'!$M:$M,_xlpm.id),COUNTIF('2. JSEL'!$M:$M,_xlpm.id),COUNTIF('3. PSM'!$M:$M,_xlpm.id),COUNTIF('4. SSP'!$M:$M,_xlpm.id),COUNTIF('5. JSACI'!$M:$M,_xlpm.id),COUNTIF('6. AIN'!$M:$M,_xlpm.id),COUNTIF('7. MS'!$M:$M,_xlpm.id),COUNTIF('8. DS'!$M:$M,_xlpm.id),COUNTIF('9. RMF'!$M:$M,_xlpm.id),COUNTIF('10. PCU'!$M:$M,_xlpm.id))))</f>
        <v>0</v>
      </c>
    </row>
    <row r="988" spans="1:9">
      <c r="A988" t="s">
        <v>8978</v>
      </c>
      <c r="B988" t="s">
        <v>8947</v>
      </c>
      <c r="C988">
        <v>1840</v>
      </c>
      <c r="D988">
        <v>1</v>
      </c>
      <c r="E988" s="23">
        <v>32</v>
      </c>
      <c r="F988" t="s">
        <v>8265</v>
      </c>
      <c r="G988" t="s">
        <v>10486</v>
      </c>
      <c r="H988" t="s">
        <v>8019</v>
      </c>
      <c r="I988">
        <f>_xlfn.LET(_xlpm.id,TRIM($A988),IF(_xlpm.id="","",SUM(COUNTIF('1. OP'!$M:$M,_xlpm.id),COUNTIF('2. JSEL'!$M:$M,_xlpm.id),COUNTIF('3. PSM'!$M:$M,_xlpm.id),COUNTIF('4. SSP'!$M:$M,_xlpm.id),COUNTIF('5. JSACI'!$M:$M,_xlpm.id),COUNTIF('6. AIN'!$M:$M,_xlpm.id),COUNTIF('7. MS'!$M:$M,_xlpm.id),COUNTIF('8. DS'!$M:$M,_xlpm.id),COUNTIF('9. RMF'!$M:$M,_xlpm.id),COUNTIF('10. PCU'!$M:$M,_xlpm.id))))</f>
        <v>0</v>
      </c>
    </row>
    <row r="989" spans="1:9">
      <c r="A989" t="s">
        <v>8979</v>
      </c>
      <c r="B989" t="s">
        <v>8947</v>
      </c>
      <c r="C989">
        <v>1840</v>
      </c>
      <c r="D989">
        <v>1</v>
      </c>
      <c r="E989" s="23">
        <v>33</v>
      </c>
      <c r="F989" t="s">
        <v>8265</v>
      </c>
      <c r="G989" t="s">
        <v>10486</v>
      </c>
      <c r="H989" t="s">
        <v>8019</v>
      </c>
      <c r="I989">
        <f>_xlfn.LET(_xlpm.id,TRIM($A989),IF(_xlpm.id="","",SUM(COUNTIF('1. OP'!$M:$M,_xlpm.id),COUNTIF('2. JSEL'!$M:$M,_xlpm.id),COUNTIF('3. PSM'!$M:$M,_xlpm.id),COUNTIF('4. SSP'!$M:$M,_xlpm.id),COUNTIF('5. JSACI'!$M:$M,_xlpm.id),COUNTIF('6. AIN'!$M:$M,_xlpm.id),COUNTIF('7. MS'!$M:$M,_xlpm.id),COUNTIF('8. DS'!$M:$M,_xlpm.id),COUNTIF('9. RMF'!$M:$M,_xlpm.id),COUNTIF('10. PCU'!$M:$M,_xlpm.id))))</f>
        <v>0</v>
      </c>
    </row>
    <row r="990" spans="1:9">
      <c r="A990" t="s">
        <v>8980</v>
      </c>
      <c r="B990" t="s">
        <v>8981</v>
      </c>
      <c r="C990">
        <v>1803</v>
      </c>
      <c r="D990">
        <v>1</v>
      </c>
      <c r="E990" s="23">
        <v>1</v>
      </c>
      <c r="F990" t="s">
        <v>8265</v>
      </c>
      <c r="G990" t="s">
        <v>10494</v>
      </c>
      <c r="H990" t="s">
        <v>8019</v>
      </c>
      <c r="I990">
        <f>_xlfn.LET(_xlpm.id,TRIM($A990),IF(_xlpm.id="","",SUM(COUNTIF('1. OP'!$M:$M,_xlpm.id),COUNTIF('2. JSEL'!$M:$M,_xlpm.id),COUNTIF('3. PSM'!$M:$M,_xlpm.id),COUNTIF('4. SSP'!$M:$M,_xlpm.id),COUNTIF('5. JSACI'!$M:$M,_xlpm.id),COUNTIF('6. AIN'!$M:$M,_xlpm.id),COUNTIF('7. MS'!$M:$M,_xlpm.id),COUNTIF('8. DS'!$M:$M,_xlpm.id),COUNTIF('9. RMF'!$M:$M,_xlpm.id),COUNTIF('10. PCU'!$M:$M,_xlpm.id))))</f>
        <v>0</v>
      </c>
    </row>
    <row r="991" spans="1:9">
      <c r="A991" t="s">
        <v>8982</v>
      </c>
      <c r="B991" t="s">
        <v>8981</v>
      </c>
      <c r="C991">
        <v>1803</v>
      </c>
      <c r="D991">
        <v>1</v>
      </c>
      <c r="E991" s="23">
        <v>2</v>
      </c>
      <c r="F991" t="s">
        <v>8265</v>
      </c>
      <c r="G991" t="s">
        <v>10494</v>
      </c>
      <c r="H991" t="s">
        <v>8019</v>
      </c>
      <c r="I991">
        <f>_xlfn.LET(_xlpm.id,TRIM($A991),IF(_xlpm.id="","",SUM(COUNTIF('1. OP'!$M:$M,_xlpm.id),COUNTIF('2. JSEL'!$M:$M,_xlpm.id),COUNTIF('3. PSM'!$M:$M,_xlpm.id),COUNTIF('4. SSP'!$M:$M,_xlpm.id),COUNTIF('5. JSACI'!$M:$M,_xlpm.id),COUNTIF('6. AIN'!$M:$M,_xlpm.id),COUNTIF('7. MS'!$M:$M,_xlpm.id),COUNTIF('8. DS'!$M:$M,_xlpm.id),COUNTIF('9. RMF'!$M:$M,_xlpm.id),COUNTIF('10. PCU'!$M:$M,_xlpm.id))))</f>
        <v>0</v>
      </c>
    </row>
    <row r="992" spans="1:9">
      <c r="A992" t="s">
        <v>8983</v>
      </c>
      <c r="B992" t="s">
        <v>8981</v>
      </c>
      <c r="C992">
        <v>1804</v>
      </c>
      <c r="D992">
        <v>1</v>
      </c>
      <c r="E992" s="23">
        <v>3</v>
      </c>
      <c r="F992" t="s">
        <v>8265</v>
      </c>
      <c r="G992" t="s">
        <v>10494</v>
      </c>
      <c r="H992" t="s">
        <v>8019</v>
      </c>
      <c r="I992">
        <f>_xlfn.LET(_xlpm.id,TRIM($A992),IF(_xlpm.id="","",SUM(COUNTIF('1. OP'!$M:$M,_xlpm.id),COUNTIF('2. JSEL'!$M:$M,_xlpm.id),COUNTIF('3. PSM'!$M:$M,_xlpm.id),COUNTIF('4. SSP'!$M:$M,_xlpm.id),COUNTIF('5. JSACI'!$M:$M,_xlpm.id),COUNTIF('6. AIN'!$M:$M,_xlpm.id),COUNTIF('7. MS'!$M:$M,_xlpm.id),COUNTIF('8. DS'!$M:$M,_xlpm.id),COUNTIF('9. RMF'!$M:$M,_xlpm.id),COUNTIF('10. PCU'!$M:$M,_xlpm.id))))</f>
        <v>0</v>
      </c>
    </row>
    <row r="993" spans="1:9">
      <c r="A993" t="s">
        <v>8984</v>
      </c>
      <c r="B993" t="s">
        <v>8981</v>
      </c>
      <c r="C993">
        <v>1804</v>
      </c>
      <c r="D993">
        <v>1</v>
      </c>
      <c r="E993" s="23">
        <v>4</v>
      </c>
      <c r="F993" t="s">
        <v>8265</v>
      </c>
      <c r="G993" t="s">
        <v>10494</v>
      </c>
      <c r="H993" t="s">
        <v>8019</v>
      </c>
      <c r="I993">
        <f>_xlfn.LET(_xlpm.id,TRIM($A993),IF(_xlpm.id="","",SUM(COUNTIF('1. OP'!$M:$M,_xlpm.id),COUNTIF('2. JSEL'!$M:$M,_xlpm.id),COUNTIF('3. PSM'!$M:$M,_xlpm.id),COUNTIF('4. SSP'!$M:$M,_xlpm.id),COUNTIF('5. JSACI'!$M:$M,_xlpm.id),COUNTIF('6. AIN'!$M:$M,_xlpm.id),COUNTIF('7. MS'!$M:$M,_xlpm.id),COUNTIF('8. DS'!$M:$M,_xlpm.id),COUNTIF('9. RMF'!$M:$M,_xlpm.id),COUNTIF('10. PCU'!$M:$M,_xlpm.id))))</f>
        <v>0</v>
      </c>
    </row>
    <row r="994" spans="1:9">
      <c r="A994" t="s">
        <v>8985</v>
      </c>
      <c r="B994" t="s">
        <v>8981</v>
      </c>
      <c r="C994">
        <v>1805</v>
      </c>
      <c r="D994">
        <v>1</v>
      </c>
      <c r="E994" s="23">
        <v>5</v>
      </c>
      <c r="F994" t="s">
        <v>8265</v>
      </c>
      <c r="G994" t="s">
        <v>10494</v>
      </c>
      <c r="H994" t="s">
        <v>8019</v>
      </c>
      <c r="I994">
        <f>_xlfn.LET(_xlpm.id,TRIM($A994),IF(_xlpm.id="","",SUM(COUNTIF('1. OP'!$M:$M,_xlpm.id),COUNTIF('2. JSEL'!$M:$M,_xlpm.id),COUNTIF('3. PSM'!$M:$M,_xlpm.id),COUNTIF('4. SSP'!$M:$M,_xlpm.id),COUNTIF('5. JSACI'!$M:$M,_xlpm.id),COUNTIF('6. AIN'!$M:$M,_xlpm.id),COUNTIF('7. MS'!$M:$M,_xlpm.id),COUNTIF('8. DS'!$M:$M,_xlpm.id),COUNTIF('9. RMF'!$M:$M,_xlpm.id),COUNTIF('10. PCU'!$M:$M,_xlpm.id))))</f>
        <v>0</v>
      </c>
    </row>
    <row r="995" spans="1:9">
      <c r="A995" t="s">
        <v>8986</v>
      </c>
      <c r="B995" t="s">
        <v>8981</v>
      </c>
      <c r="C995">
        <v>1805</v>
      </c>
      <c r="D995">
        <v>1</v>
      </c>
      <c r="E995" s="23">
        <v>6</v>
      </c>
      <c r="F995" t="s">
        <v>8265</v>
      </c>
      <c r="G995" t="s">
        <v>10494</v>
      </c>
      <c r="H995" t="s">
        <v>8019</v>
      </c>
      <c r="I995">
        <f>_xlfn.LET(_xlpm.id,TRIM($A995),IF(_xlpm.id="","",SUM(COUNTIF('1. OP'!$M:$M,_xlpm.id),COUNTIF('2. JSEL'!$M:$M,_xlpm.id),COUNTIF('3. PSM'!$M:$M,_xlpm.id),COUNTIF('4. SSP'!$M:$M,_xlpm.id),COUNTIF('5. JSACI'!$M:$M,_xlpm.id),COUNTIF('6. AIN'!$M:$M,_xlpm.id),COUNTIF('7. MS'!$M:$M,_xlpm.id),COUNTIF('8. DS'!$M:$M,_xlpm.id),COUNTIF('9. RMF'!$M:$M,_xlpm.id),COUNTIF('10. PCU'!$M:$M,_xlpm.id))))</f>
        <v>0</v>
      </c>
    </row>
    <row r="996" spans="1:9">
      <c r="A996" t="s">
        <v>8987</v>
      </c>
      <c r="B996" t="s">
        <v>8981</v>
      </c>
      <c r="C996">
        <v>1806</v>
      </c>
      <c r="D996">
        <v>1</v>
      </c>
      <c r="E996" s="23">
        <v>7</v>
      </c>
      <c r="F996" t="s">
        <v>8265</v>
      </c>
      <c r="G996" t="s">
        <v>10494</v>
      </c>
      <c r="H996" t="s">
        <v>8019</v>
      </c>
      <c r="I996">
        <f>_xlfn.LET(_xlpm.id,TRIM($A996),IF(_xlpm.id="","",SUM(COUNTIF('1. OP'!$M:$M,_xlpm.id),COUNTIF('2. JSEL'!$M:$M,_xlpm.id),COUNTIF('3. PSM'!$M:$M,_xlpm.id),COUNTIF('4. SSP'!$M:$M,_xlpm.id),COUNTIF('5. JSACI'!$M:$M,_xlpm.id),COUNTIF('6. AIN'!$M:$M,_xlpm.id),COUNTIF('7. MS'!$M:$M,_xlpm.id),COUNTIF('8. DS'!$M:$M,_xlpm.id),COUNTIF('9. RMF'!$M:$M,_xlpm.id),COUNTIF('10. PCU'!$M:$M,_xlpm.id))))</f>
        <v>0</v>
      </c>
    </row>
    <row r="997" spans="1:9">
      <c r="A997" t="s">
        <v>8988</v>
      </c>
      <c r="B997" t="s">
        <v>8981</v>
      </c>
      <c r="C997">
        <v>1806</v>
      </c>
      <c r="D997">
        <v>1</v>
      </c>
      <c r="E997" s="23">
        <v>8</v>
      </c>
      <c r="F997" t="s">
        <v>8265</v>
      </c>
      <c r="G997" t="s">
        <v>10494</v>
      </c>
      <c r="H997" t="s">
        <v>8019</v>
      </c>
      <c r="I997">
        <f>_xlfn.LET(_xlpm.id,TRIM($A997),IF(_xlpm.id="","",SUM(COUNTIF('1. OP'!$M:$M,_xlpm.id),COUNTIF('2. JSEL'!$M:$M,_xlpm.id),COUNTIF('3. PSM'!$M:$M,_xlpm.id),COUNTIF('4. SSP'!$M:$M,_xlpm.id),COUNTIF('5. JSACI'!$M:$M,_xlpm.id),COUNTIF('6. AIN'!$M:$M,_xlpm.id),COUNTIF('7. MS'!$M:$M,_xlpm.id),COUNTIF('8. DS'!$M:$M,_xlpm.id),COUNTIF('9. RMF'!$M:$M,_xlpm.id),COUNTIF('10. PCU'!$M:$M,_xlpm.id))))</f>
        <v>0</v>
      </c>
    </row>
    <row r="998" spans="1:9">
      <c r="A998" t="s">
        <v>8989</v>
      </c>
      <c r="B998" t="s">
        <v>8981</v>
      </c>
      <c r="C998">
        <v>1807</v>
      </c>
      <c r="D998">
        <v>1</v>
      </c>
      <c r="E998" s="23">
        <v>9</v>
      </c>
      <c r="F998" t="s">
        <v>8265</v>
      </c>
      <c r="G998" t="s">
        <v>10494</v>
      </c>
      <c r="H998" t="s">
        <v>8019</v>
      </c>
      <c r="I998">
        <f>_xlfn.LET(_xlpm.id,TRIM($A998),IF(_xlpm.id="","",SUM(COUNTIF('1. OP'!$M:$M,_xlpm.id),COUNTIF('2. JSEL'!$M:$M,_xlpm.id),COUNTIF('3. PSM'!$M:$M,_xlpm.id),COUNTIF('4. SSP'!$M:$M,_xlpm.id),COUNTIF('5. JSACI'!$M:$M,_xlpm.id),COUNTIF('6. AIN'!$M:$M,_xlpm.id),COUNTIF('7. MS'!$M:$M,_xlpm.id),COUNTIF('8. DS'!$M:$M,_xlpm.id),COUNTIF('9. RMF'!$M:$M,_xlpm.id),COUNTIF('10. PCU'!$M:$M,_xlpm.id))))</f>
        <v>0</v>
      </c>
    </row>
    <row r="999" spans="1:9">
      <c r="A999" t="s">
        <v>8990</v>
      </c>
      <c r="B999" t="s">
        <v>8981</v>
      </c>
      <c r="C999">
        <v>1807</v>
      </c>
      <c r="D999">
        <v>1</v>
      </c>
      <c r="E999" s="23">
        <v>10</v>
      </c>
      <c r="F999" t="s">
        <v>8265</v>
      </c>
      <c r="G999" t="s">
        <v>10494</v>
      </c>
      <c r="H999" t="s">
        <v>8019</v>
      </c>
      <c r="I999">
        <f>_xlfn.LET(_xlpm.id,TRIM($A999),IF(_xlpm.id="","",SUM(COUNTIF('1. OP'!$M:$M,_xlpm.id),COUNTIF('2. JSEL'!$M:$M,_xlpm.id),COUNTIF('3. PSM'!$M:$M,_xlpm.id),COUNTIF('4. SSP'!$M:$M,_xlpm.id),COUNTIF('5. JSACI'!$M:$M,_xlpm.id),COUNTIF('6. AIN'!$M:$M,_xlpm.id),COUNTIF('7. MS'!$M:$M,_xlpm.id),COUNTIF('8. DS'!$M:$M,_xlpm.id),COUNTIF('9. RMF'!$M:$M,_xlpm.id),COUNTIF('10. PCU'!$M:$M,_xlpm.id))))</f>
        <v>0</v>
      </c>
    </row>
    <row r="1000" spans="1:9">
      <c r="A1000" t="s">
        <v>8991</v>
      </c>
      <c r="B1000" t="s">
        <v>8981</v>
      </c>
      <c r="C1000">
        <v>1808</v>
      </c>
      <c r="D1000">
        <v>1</v>
      </c>
      <c r="E1000" s="23">
        <v>11</v>
      </c>
      <c r="F1000" t="s">
        <v>8265</v>
      </c>
      <c r="G1000" t="s">
        <v>10494</v>
      </c>
      <c r="H1000" t="s">
        <v>8019</v>
      </c>
      <c r="I1000">
        <f>_xlfn.LET(_xlpm.id,TRIM($A1000),IF(_xlpm.id="","",SUM(COUNTIF('1. OP'!$M:$M,_xlpm.id),COUNTIF('2. JSEL'!$M:$M,_xlpm.id),COUNTIF('3. PSM'!$M:$M,_xlpm.id),COUNTIF('4. SSP'!$M:$M,_xlpm.id),COUNTIF('5. JSACI'!$M:$M,_xlpm.id),COUNTIF('6. AIN'!$M:$M,_xlpm.id),COUNTIF('7. MS'!$M:$M,_xlpm.id),COUNTIF('8. DS'!$M:$M,_xlpm.id),COUNTIF('9. RMF'!$M:$M,_xlpm.id),COUNTIF('10. PCU'!$M:$M,_xlpm.id))))</f>
        <v>0</v>
      </c>
    </row>
    <row r="1001" spans="1:9">
      <c r="A1001" t="s">
        <v>8992</v>
      </c>
      <c r="B1001" t="s">
        <v>8981</v>
      </c>
      <c r="C1001">
        <v>1808</v>
      </c>
      <c r="D1001">
        <v>1</v>
      </c>
      <c r="E1001" s="23">
        <v>12</v>
      </c>
      <c r="F1001" t="s">
        <v>8265</v>
      </c>
      <c r="G1001" t="s">
        <v>10494</v>
      </c>
      <c r="H1001" t="s">
        <v>8019</v>
      </c>
      <c r="I1001">
        <f>_xlfn.LET(_xlpm.id,TRIM($A1001),IF(_xlpm.id="","",SUM(COUNTIF('1. OP'!$M:$M,_xlpm.id),COUNTIF('2. JSEL'!$M:$M,_xlpm.id),COUNTIF('3. PSM'!$M:$M,_xlpm.id),COUNTIF('4. SSP'!$M:$M,_xlpm.id),COUNTIF('5. JSACI'!$M:$M,_xlpm.id),COUNTIF('6. AIN'!$M:$M,_xlpm.id),COUNTIF('7. MS'!$M:$M,_xlpm.id),COUNTIF('8. DS'!$M:$M,_xlpm.id),COUNTIF('9. RMF'!$M:$M,_xlpm.id),COUNTIF('10. PCU'!$M:$M,_xlpm.id))))</f>
        <v>0</v>
      </c>
    </row>
    <row r="1002" spans="1:9">
      <c r="A1002" t="s">
        <v>8993</v>
      </c>
      <c r="B1002" t="s">
        <v>8981</v>
      </c>
      <c r="C1002">
        <v>1809</v>
      </c>
      <c r="D1002">
        <v>1</v>
      </c>
      <c r="E1002" s="23">
        <v>13</v>
      </c>
      <c r="F1002" t="s">
        <v>8265</v>
      </c>
      <c r="G1002" t="s">
        <v>10494</v>
      </c>
      <c r="H1002" t="s">
        <v>8019</v>
      </c>
      <c r="I1002">
        <f>_xlfn.LET(_xlpm.id,TRIM($A1002),IF(_xlpm.id="","",SUM(COUNTIF('1. OP'!$M:$M,_xlpm.id),COUNTIF('2. JSEL'!$M:$M,_xlpm.id),COUNTIF('3. PSM'!$M:$M,_xlpm.id),COUNTIF('4. SSP'!$M:$M,_xlpm.id),COUNTIF('5. JSACI'!$M:$M,_xlpm.id),COUNTIF('6. AIN'!$M:$M,_xlpm.id),COUNTIF('7. MS'!$M:$M,_xlpm.id),COUNTIF('8. DS'!$M:$M,_xlpm.id),COUNTIF('9. RMF'!$M:$M,_xlpm.id),COUNTIF('10. PCU'!$M:$M,_xlpm.id))))</f>
        <v>0</v>
      </c>
    </row>
    <row r="1003" spans="1:9">
      <c r="A1003" t="s">
        <v>8994</v>
      </c>
      <c r="B1003" t="s">
        <v>8981</v>
      </c>
      <c r="C1003">
        <v>1809</v>
      </c>
      <c r="D1003">
        <v>1</v>
      </c>
      <c r="E1003" s="23">
        <v>14</v>
      </c>
      <c r="F1003" t="s">
        <v>8265</v>
      </c>
      <c r="G1003" t="s">
        <v>10494</v>
      </c>
      <c r="H1003" t="s">
        <v>8019</v>
      </c>
      <c r="I1003">
        <f>_xlfn.LET(_xlpm.id,TRIM($A1003),IF(_xlpm.id="","",SUM(COUNTIF('1. OP'!$M:$M,_xlpm.id),COUNTIF('2. JSEL'!$M:$M,_xlpm.id),COUNTIF('3. PSM'!$M:$M,_xlpm.id),COUNTIF('4. SSP'!$M:$M,_xlpm.id),COUNTIF('5. JSACI'!$M:$M,_xlpm.id),COUNTIF('6. AIN'!$M:$M,_xlpm.id),COUNTIF('7. MS'!$M:$M,_xlpm.id),COUNTIF('8. DS'!$M:$M,_xlpm.id),COUNTIF('9. RMF'!$M:$M,_xlpm.id),COUNTIF('10. PCU'!$M:$M,_xlpm.id))))</f>
        <v>0</v>
      </c>
    </row>
    <row r="1004" spans="1:9">
      <c r="A1004" t="s">
        <v>8995</v>
      </c>
      <c r="B1004" t="s">
        <v>8981</v>
      </c>
      <c r="C1004">
        <v>1810</v>
      </c>
      <c r="D1004">
        <v>1</v>
      </c>
      <c r="E1004" s="23">
        <v>15</v>
      </c>
      <c r="F1004" t="s">
        <v>8265</v>
      </c>
      <c r="G1004" t="s">
        <v>10494</v>
      </c>
      <c r="H1004" t="s">
        <v>8019</v>
      </c>
      <c r="I1004">
        <f>_xlfn.LET(_xlpm.id,TRIM($A1004),IF(_xlpm.id="","",SUM(COUNTIF('1. OP'!$M:$M,_xlpm.id),COUNTIF('2. JSEL'!$M:$M,_xlpm.id),COUNTIF('3. PSM'!$M:$M,_xlpm.id),COUNTIF('4. SSP'!$M:$M,_xlpm.id),COUNTIF('5. JSACI'!$M:$M,_xlpm.id),COUNTIF('6. AIN'!$M:$M,_xlpm.id),COUNTIF('7. MS'!$M:$M,_xlpm.id),COUNTIF('8. DS'!$M:$M,_xlpm.id),COUNTIF('9. RMF'!$M:$M,_xlpm.id),COUNTIF('10. PCU'!$M:$M,_xlpm.id))))</f>
        <v>0</v>
      </c>
    </row>
    <row r="1005" spans="1:9">
      <c r="A1005" t="s">
        <v>8996</v>
      </c>
      <c r="B1005" t="s">
        <v>8981</v>
      </c>
      <c r="C1005">
        <v>1810</v>
      </c>
      <c r="D1005">
        <v>1</v>
      </c>
      <c r="E1005" s="23">
        <v>16</v>
      </c>
      <c r="F1005" t="s">
        <v>8265</v>
      </c>
      <c r="G1005" t="s">
        <v>10494</v>
      </c>
      <c r="H1005" t="s">
        <v>8019</v>
      </c>
      <c r="I1005">
        <f>_xlfn.LET(_xlpm.id,TRIM($A1005),IF(_xlpm.id="","",SUM(COUNTIF('1. OP'!$M:$M,_xlpm.id),COUNTIF('2. JSEL'!$M:$M,_xlpm.id),COUNTIF('3. PSM'!$M:$M,_xlpm.id),COUNTIF('4. SSP'!$M:$M,_xlpm.id),COUNTIF('5. JSACI'!$M:$M,_xlpm.id),COUNTIF('6. AIN'!$M:$M,_xlpm.id),COUNTIF('7. MS'!$M:$M,_xlpm.id),COUNTIF('8. DS'!$M:$M,_xlpm.id),COUNTIF('9. RMF'!$M:$M,_xlpm.id),COUNTIF('10. PCU'!$M:$M,_xlpm.id))))</f>
        <v>0</v>
      </c>
    </row>
    <row r="1006" spans="1:9">
      <c r="A1006" t="s">
        <v>8997</v>
      </c>
      <c r="B1006" t="s">
        <v>8981</v>
      </c>
      <c r="C1006">
        <v>1810</v>
      </c>
      <c r="D1006">
        <v>1</v>
      </c>
      <c r="E1006" s="23">
        <v>17</v>
      </c>
      <c r="F1006" t="s">
        <v>8265</v>
      </c>
      <c r="G1006" t="s">
        <v>10494</v>
      </c>
      <c r="H1006" t="s">
        <v>8019</v>
      </c>
      <c r="I1006">
        <f>_xlfn.LET(_xlpm.id,TRIM($A1006),IF(_xlpm.id="","",SUM(COUNTIF('1. OP'!$M:$M,_xlpm.id),COUNTIF('2. JSEL'!$M:$M,_xlpm.id),COUNTIF('3. PSM'!$M:$M,_xlpm.id),COUNTIF('4. SSP'!$M:$M,_xlpm.id),COUNTIF('5. JSACI'!$M:$M,_xlpm.id),COUNTIF('6. AIN'!$M:$M,_xlpm.id),COUNTIF('7. MS'!$M:$M,_xlpm.id),COUNTIF('8. DS'!$M:$M,_xlpm.id),COUNTIF('9. RMF'!$M:$M,_xlpm.id),COUNTIF('10. PCU'!$M:$M,_xlpm.id))))</f>
        <v>0</v>
      </c>
    </row>
    <row r="1007" spans="1:9">
      <c r="A1007" t="s">
        <v>8998</v>
      </c>
      <c r="B1007" t="s">
        <v>8981</v>
      </c>
      <c r="C1007">
        <v>1811</v>
      </c>
      <c r="D1007">
        <v>1</v>
      </c>
      <c r="E1007" s="23">
        <v>18</v>
      </c>
      <c r="F1007" t="s">
        <v>8265</v>
      </c>
      <c r="G1007" t="s">
        <v>10494</v>
      </c>
      <c r="H1007" t="s">
        <v>8019</v>
      </c>
      <c r="I1007">
        <f>_xlfn.LET(_xlpm.id,TRIM($A1007),IF(_xlpm.id="","",SUM(COUNTIF('1. OP'!$M:$M,_xlpm.id),COUNTIF('2. JSEL'!$M:$M,_xlpm.id),COUNTIF('3. PSM'!$M:$M,_xlpm.id),COUNTIF('4. SSP'!$M:$M,_xlpm.id),COUNTIF('5. JSACI'!$M:$M,_xlpm.id),COUNTIF('6. AIN'!$M:$M,_xlpm.id),COUNTIF('7. MS'!$M:$M,_xlpm.id),COUNTIF('8. DS'!$M:$M,_xlpm.id),COUNTIF('9. RMF'!$M:$M,_xlpm.id),COUNTIF('10. PCU'!$M:$M,_xlpm.id))))</f>
        <v>0</v>
      </c>
    </row>
    <row r="1008" spans="1:9">
      <c r="A1008" t="s">
        <v>8999</v>
      </c>
      <c r="B1008" t="s">
        <v>8981</v>
      </c>
      <c r="C1008">
        <v>1811</v>
      </c>
      <c r="D1008">
        <v>1</v>
      </c>
      <c r="E1008" s="23">
        <v>19</v>
      </c>
      <c r="F1008" t="s">
        <v>8265</v>
      </c>
      <c r="G1008" t="s">
        <v>10494</v>
      </c>
      <c r="H1008" t="s">
        <v>8019</v>
      </c>
      <c r="I1008">
        <f>_xlfn.LET(_xlpm.id,TRIM($A1008),IF(_xlpm.id="","",SUM(COUNTIF('1. OP'!$M:$M,_xlpm.id),COUNTIF('2. JSEL'!$M:$M,_xlpm.id),COUNTIF('3. PSM'!$M:$M,_xlpm.id),COUNTIF('4. SSP'!$M:$M,_xlpm.id),COUNTIF('5. JSACI'!$M:$M,_xlpm.id),COUNTIF('6. AIN'!$M:$M,_xlpm.id),COUNTIF('7. MS'!$M:$M,_xlpm.id),COUNTIF('8. DS'!$M:$M,_xlpm.id),COUNTIF('9. RMF'!$M:$M,_xlpm.id),COUNTIF('10. PCU'!$M:$M,_xlpm.id))))</f>
        <v>0</v>
      </c>
    </row>
    <row r="1009" spans="1:9">
      <c r="A1009" t="s">
        <v>9000</v>
      </c>
      <c r="B1009" t="s">
        <v>8981</v>
      </c>
      <c r="C1009">
        <v>1812</v>
      </c>
      <c r="D1009">
        <v>1</v>
      </c>
      <c r="E1009" s="23">
        <v>20</v>
      </c>
      <c r="F1009" t="s">
        <v>8265</v>
      </c>
      <c r="G1009" t="s">
        <v>10494</v>
      </c>
      <c r="H1009" t="s">
        <v>8019</v>
      </c>
      <c r="I1009">
        <f>_xlfn.LET(_xlpm.id,TRIM($A1009),IF(_xlpm.id="","",SUM(COUNTIF('1. OP'!$M:$M,_xlpm.id),COUNTIF('2. JSEL'!$M:$M,_xlpm.id),COUNTIF('3. PSM'!$M:$M,_xlpm.id),COUNTIF('4. SSP'!$M:$M,_xlpm.id),COUNTIF('5. JSACI'!$M:$M,_xlpm.id),COUNTIF('6. AIN'!$M:$M,_xlpm.id),COUNTIF('7. MS'!$M:$M,_xlpm.id),COUNTIF('8. DS'!$M:$M,_xlpm.id),COUNTIF('9. RMF'!$M:$M,_xlpm.id),COUNTIF('10. PCU'!$M:$M,_xlpm.id))))</f>
        <v>0</v>
      </c>
    </row>
    <row r="1010" spans="1:9">
      <c r="A1010" t="s">
        <v>9001</v>
      </c>
      <c r="B1010" t="s">
        <v>8981</v>
      </c>
      <c r="C1010">
        <v>1813</v>
      </c>
      <c r="D1010">
        <v>1</v>
      </c>
      <c r="E1010" s="23">
        <v>21</v>
      </c>
      <c r="F1010" t="s">
        <v>8265</v>
      </c>
      <c r="G1010" t="s">
        <v>10494</v>
      </c>
      <c r="H1010" t="s">
        <v>8019</v>
      </c>
      <c r="I1010">
        <f>_xlfn.LET(_xlpm.id,TRIM($A1010),IF(_xlpm.id="","",SUM(COUNTIF('1. OP'!$M:$M,_xlpm.id),COUNTIF('2. JSEL'!$M:$M,_xlpm.id),COUNTIF('3. PSM'!$M:$M,_xlpm.id),COUNTIF('4. SSP'!$M:$M,_xlpm.id),COUNTIF('5. JSACI'!$M:$M,_xlpm.id),COUNTIF('6. AIN'!$M:$M,_xlpm.id),COUNTIF('7. MS'!$M:$M,_xlpm.id),COUNTIF('8. DS'!$M:$M,_xlpm.id),COUNTIF('9. RMF'!$M:$M,_xlpm.id),COUNTIF('10. PCU'!$M:$M,_xlpm.id))))</f>
        <v>0</v>
      </c>
    </row>
    <row r="1011" spans="1:9">
      <c r="A1011" t="s">
        <v>9002</v>
      </c>
      <c r="B1011" t="s">
        <v>8981</v>
      </c>
      <c r="C1011">
        <v>1813</v>
      </c>
      <c r="D1011">
        <v>1</v>
      </c>
      <c r="E1011" s="23">
        <v>22</v>
      </c>
      <c r="F1011" t="s">
        <v>8265</v>
      </c>
      <c r="G1011" t="s">
        <v>10494</v>
      </c>
      <c r="H1011" t="s">
        <v>8019</v>
      </c>
      <c r="I1011">
        <f>_xlfn.LET(_xlpm.id,TRIM($A1011),IF(_xlpm.id="","",SUM(COUNTIF('1. OP'!$M:$M,_xlpm.id),COUNTIF('2. JSEL'!$M:$M,_xlpm.id),COUNTIF('3. PSM'!$M:$M,_xlpm.id),COUNTIF('4. SSP'!$M:$M,_xlpm.id),COUNTIF('5. JSACI'!$M:$M,_xlpm.id),COUNTIF('6. AIN'!$M:$M,_xlpm.id),COUNTIF('7. MS'!$M:$M,_xlpm.id),COUNTIF('8. DS'!$M:$M,_xlpm.id),COUNTIF('9. RMF'!$M:$M,_xlpm.id),COUNTIF('10. PCU'!$M:$M,_xlpm.id))))</f>
        <v>0</v>
      </c>
    </row>
    <row r="1012" spans="1:9">
      <c r="A1012" t="s">
        <v>9003</v>
      </c>
      <c r="B1012" t="s">
        <v>8981</v>
      </c>
      <c r="C1012">
        <v>1814</v>
      </c>
      <c r="D1012">
        <v>1</v>
      </c>
      <c r="E1012" s="23">
        <v>23</v>
      </c>
      <c r="F1012" t="s">
        <v>8265</v>
      </c>
      <c r="G1012" t="s">
        <v>10494</v>
      </c>
      <c r="H1012" t="s">
        <v>8019</v>
      </c>
      <c r="I1012">
        <f>_xlfn.LET(_xlpm.id,TRIM($A1012),IF(_xlpm.id="","",SUM(COUNTIF('1. OP'!$M:$M,_xlpm.id),COUNTIF('2. JSEL'!$M:$M,_xlpm.id),COUNTIF('3. PSM'!$M:$M,_xlpm.id),COUNTIF('4. SSP'!$M:$M,_xlpm.id),COUNTIF('5. JSACI'!$M:$M,_xlpm.id),COUNTIF('6. AIN'!$M:$M,_xlpm.id),COUNTIF('7. MS'!$M:$M,_xlpm.id),COUNTIF('8. DS'!$M:$M,_xlpm.id),COUNTIF('9. RMF'!$M:$M,_xlpm.id),COUNTIF('10. PCU'!$M:$M,_xlpm.id))))</f>
        <v>0</v>
      </c>
    </row>
    <row r="1013" spans="1:9">
      <c r="A1013" t="s">
        <v>9004</v>
      </c>
      <c r="B1013" t="s">
        <v>8981</v>
      </c>
      <c r="C1013">
        <v>1814</v>
      </c>
      <c r="D1013">
        <v>1</v>
      </c>
      <c r="E1013" s="23">
        <v>24</v>
      </c>
      <c r="F1013" t="s">
        <v>8265</v>
      </c>
      <c r="G1013" t="s">
        <v>10494</v>
      </c>
      <c r="H1013" t="s">
        <v>8019</v>
      </c>
      <c r="I1013">
        <f>_xlfn.LET(_xlpm.id,TRIM($A1013),IF(_xlpm.id="","",SUM(COUNTIF('1. OP'!$M:$M,_xlpm.id),COUNTIF('2. JSEL'!$M:$M,_xlpm.id),COUNTIF('3. PSM'!$M:$M,_xlpm.id),COUNTIF('4. SSP'!$M:$M,_xlpm.id),COUNTIF('5. JSACI'!$M:$M,_xlpm.id),COUNTIF('6. AIN'!$M:$M,_xlpm.id),COUNTIF('7. MS'!$M:$M,_xlpm.id),COUNTIF('8. DS'!$M:$M,_xlpm.id),COUNTIF('9. RMF'!$M:$M,_xlpm.id),COUNTIF('10. PCU'!$M:$M,_xlpm.id))))</f>
        <v>0</v>
      </c>
    </row>
    <row r="1014" spans="1:9">
      <c r="A1014" t="s">
        <v>9005</v>
      </c>
      <c r="B1014" t="s">
        <v>8981</v>
      </c>
      <c r="C1014">
        <v>1815</v>
      </c>
      <c r="D1014">
        <v>1</v>
      </c>
      <c r="E1014" s="23">
        <v>25</v>
      </c>
      <c r="F1014" t="s">
        <v>8265</v>
      </c>
      <c r="G1014" t="s">
        <v>10494</v>
      </c>
      <c r="H1014" t="s">
        <v>8019</v>
      </c>
      <c r="I1014">
        <f>_xlfn.LET(_xlpm.id,TRIM($A1014),IF(_xlpm.id="","",SUM(COUNTIF('1. OP'!$M:$M,_xlpm.id),COUNTIF('2. JSEL'!$M:$M,_xlpm.id),COUNTIF('3. PSM'!$M:$M,_xlpm.id),COUNTIF('4. SSP'!$M:$M,_xlpm.id),COUNTIF('5. JSACI'!$M:$M,_xlpm.id),COUNTIF('6. AIN'!$M:$M,_xlpm.id),COUNTIF('7. MS'!$M:$M,_xlpm.id),COUNTIF('8. DS'!$M:$M,_xlpm.id),COUNTIF('9. RMF'!$M:$M,_xlpm.id),COUNTIF('10. PCU'!$M:$M,_xlpm.id))))</f>
        <v>0</v>
      </c>
    </row>
    <row r="1015" spans="1:9">
      <c r="A1015" t="s">
        <v>9006</v>
      </c>
      <c r="B1015" t="s">
        <v>8981</v>
      </c>
      <c r="C1015">
        <v>1816</v>
      </c>
      <c r="D1015">
        <v>1</v>
      </c>
      <c r="E1015" s="23">
        <v>26</v>
      </c>
      <c r="F1015" t="s">
        <v>8265</v>
      </c>
      <c r="G1015" t="s">
        <v>10494</v>
      </c>
      <c r="H1015" t="s">
        <v>8019</v>
      </c>
      <c r="I1015">
        <f>_xlfn.LET(_xlpm.id,TRIM($A1015),IF(_xlpm.id="","",SUM(COUNTIF('1. OP'!$M:$M,_xlpm.id),COUNTIF('2. JSEL'!$M:$M,_xlpm.id),COUNTIF('3. PSM'!$M:$M,_xlpm.id),COUNTIF('4. SSP'!$M:$M,_xlpm.id),COUNTIF('5. JSACI'!$M:$M,_xlpm.id),COUNTIF('6. AIN'!$M:$M,_xlpm.id),COUNTIF('7. MS'!$M:$M,_xlpm.id),COUNTIF('8. DS'!$M:$M,_xlpm.id),COUNTIF('9. RMF'!$M:$M,_xlpm.id),COUNTIF('10. PCU'!$M:$M,_xlpm.id))))</f>
        <v>0</v>
      </c>
    </row>
    <row r="1016" spans="1:9">
      <c r="A1016" t="s">
        <v>9007</v>
      </c>
      <c r="B1016" t="s">
        <v>8981</v>
      </c>
      <c r="C1016">
        <v>1816</v>
      </c>
      <c r="D1016">
        <v>1</v>
      </c>
      <c r="E1016" s="23">
        <v>27</v>
      </c>
      <c r="F1016" t="s">
        <v>8265</v>
      </c>
      <c r="G1016" t="s">
        <v>10494</v>
      </c>
      <c r="H1016" t="s">
        <v>8019</v>
      </c>
      <c r="I1016">
        <f>_xlfn.LET(_xlpm.id,TRIM($A1016),IF(_xlpm.id="","",SUM(COUNTIF('1. OP'!$M:$M,_xlpm.id),COUNTIF('2. JSEL'!$M:$M,_xlpm.id),COUNTIF('3. PSM'!$M:$M,_xlpm.id),COUNTIF('4. SSP'!$M:$M,_xlpm.id),COUNTIF('5. JSACI'!$M:$M,_xlpm.id),COUNTIF('6. AIN'!$M:$M,_xlpm.id),COUNTIF('7. MS'!$M:$M,_xlpm.id),COUNTIF('8. DS'!$M:$M,_xlpm.id),COUNTIF('9. RMF'!$M:$M,_xlpm.id),COUNTIF('10. PCU'!$M:$M,_xlpm.id))))</f>
        <v>0</v>
      </c>
    </row>
    <row r="1017" spans="1:9">
      <c r="A1017" t="s">
        <v>9008</v>
      </c>
      <c r="B1017" t="s">
        <v>8981</v>
      </c>
      <c r="C1017">
        <v>1817</v>
      </c>
      <c r="D1017">
        <v>1</v>
      </c>
      <c r="E1017" s="23">
        <v>28</v>
      </c>
      <c r="F1017" t="s">
        <v>8265</v>
      </c>
      <c r="G1017" t="s">
        <v>10494</v>
      </c>
      <c r="H1017" t="s">
        <v>8019</v>
      </c>
      <c r="I1017">
        <f>_xlfn.LET(_xlpm.id,TRIM($A1017),IF(_xlpm.id="","",SUM(COUNTIF('1. OP'!$M:$M,_xlpm.id),COUNTIF('2. JSEL'!$M:$M,_xlpm.id),COUNTIF('3. PSM'!$M:$M,_xlpm.id),COUNTIF('4. SSP'!$M:$M,_xlpm.id),COUNTIF('5. JSACI'!$M:$M,_xlpm.id),COUNTIF('6. AIN'!$M:$M,_xlpm.id),COUNTIF('7. MS'!$M:$M,_xlpm.id),COUNTIF('8. DS'!$M:$M,_xlpm.id),COUNTIF('9. RMF'!$M:$M,_xlpm.id),COUNTIF('10. PCU'!$M:$M,_xlpm.id))))</f>
        <v>0</v>
      </c>
    </row>
    <row r="1018" spans="1:9">
      <c r="A1018" t="s">
        <v>9009</v>
      </c>
      <c r="B1018" t="s">
        <v>8981</v>
      </c>
      <c r="C1018">
        <v>1817</v>
      </c>
      <c r="D1018">
        <v>1</v>
      </c>
      <c r="E1018" s="23">
        <v>29</v>
      </c>
      <c r="F1018" t="s">
        <v>8265</v>
      </c>
      <c r="G1018" t="s">
        <v>10494</v>
      </c>
      <c r="H1018" t="s">
        <v>8019</v>
      </c>
      <c r="I1018">
        <f>_xlfn.LET(_xlpm.id,TRIM($A1018),IF(_xlpm.id="","",SUM(COUNTIF('1. OP'!$M:$M,_xlpm.id),COUNTIF('2. JSEL'!$M:$M,_xlpm.id),COUNTIF('3. PSM'!$M:$M,_xlpm.id),COUNTIF('4. SSP'!$M:$M,_xlpm.id),COUNTIF('5. JSACI'!$M:$M,_xlpm.id),COUNTIF('6. AIN'!$M:$M,_xlpm.id),COUNTIF('7. MS'!$M:$M,_xlpm.id),COUNTIF('8. DS'!$M:$M,_xlpm.id),COUNTIF('9. RMF'!$M:$M,_xlpm.id),COUNTIF('10. PCU'!$M:$M,_xlpm.id))))</f>
        <v>0</v>
      </c>
    </row>
    <row r="1019" spans="1:9">
      <c r="A1019" t="s">
        <v>9010</v>
      </c>
      <c r="B1019" t="s">
        <v>8981</v>
      </c>
      <c r="C1019">
        <v>1818</v>
      </c>
      <c r="D1019">
        <v>1</v>
      </c>
      <c r="E1019" s="23">
        <v>30</v>
      </c>
      <c r="F1019" t="s">
        <v>8265</v>
      </c>
      <c r="G1019" t="s">
        <v>10494</v>
      </c>
      <c r="H1019" t="s">
        <v>8019</v>
      </c>
      <c r="I1019">
        <f>_xlfn.LET(_xlpm.id,TRIM($A1019),IF(_xlpm.id="","",SUM(COUNTIF('1. OP'!$M:$M,_xlpm.id),COUNTIF('2. JSEL'!$M:$M,_xlpm.id),COUNTIF('3. PSM'!$M:$M,_xlpm.id),COUNTIF('4. SSP'!$M:$M,_xlpm.id),COUNTIF('5. JSACI'!$M:$M,_xlpm.id),COUNTIF('6. AIN'!$M:$M,_xlpm.id),COUNTIF('7. MS'!$M:$M,_xlpm.id),COUNTIF('8. DS'!$M:$M,_xlpm.id),COUNTIF('9. RMF'!$M:$M,_xlpm.id),COUNTIF('10. PCU'!$M:$M,_xlpm.id))))</f>
        <v>0</v>
      </c>
    </row>
    <row r="1020" spans="1:9">
      <c r="A1020" t="s">
        <v>9011</v>
      </c>
      <c r="B1020" t="s">
        <v>8981</v>
      </c>
      <c r="C1020">
        <v>1819</v>
      </c>
      <c r="D1020">
        <v>1</v>
      </c>
      <c r="E1020" s="23">
        <v>31</v>
      </c>
      <c r="F1020" t="s">
        <v>8265</v>
      </c>
      <c r="G1020" t="s">
        <v>10494</v>
      </c>
      <c r="H1020" t="s">
        <v>8019</v>
      </c>
      <c r="I1020">
        <f>_xlfn.LET(_xlpm.id,TRIM($A1020),IF(_xlpm.id="","",SUM(COUNTIF('1. OP'!$M:$M,_xlpm.id),COUNTIF('2. JSEL'!$M:$M,_xlpm.id),COUNTIF('3. PSM'!$M:$M,_xlpm.id),COUNTIF('4. SSP'!$M:$M,_xlpm.id),COUNTIF('5. JSACI'!$M:$M,_xlpm.id),COUNTIF('6. AIN'!$M:$M,_xlpm.id),COUNTIF('7. MS'!$M:$M,_xlpm.id),COUNTIF('8. DS'!$M:$M,_xlpm.id),COUNTIF('9. RMF'!$M:$M,_xlpm.id),COUNTIF('10. PCU'!$M:$M,_xlpm.id))))</f>
        <v>0</v>
      </c>
    </row>
    <row r="1021" spans="1:9">
      <c r="A1021" t="s">
        <v>9012</v>
      </c>
      <c r="B1021" t="s">
        <v>8981</v>
      </c>
      <c r="C1021">
        <v>1819</v>
      </c>
      <c r="D1021">
        <v>1</v>
      </c>
      <c r="E1021" s="23">
        <v>32</v>
      </c>
      <c r="F1021" t="s">
        <v>8265</v>
      </c>
      <c r="G1021" t="s">
        <v>10494</v>
      </c>
      <c r="H1021" t="s">
        <v>8019</v>
      </c>
      <c r="I1021">
        <f>_xlfn.LET(_xlpm.id,TRIM($A1021),IF(_xlpm.id="","",SUM(COUNTIF('1. OP'!$M:$M,_xlpm.id),COUNTIF('2. JSEL'!$M:$M,_xlpm.id),COUNTIF('3. PSM'!$M:$M,_xlpm.id),COUNTIF('4. SSP'!$M:$M,_xlpm.id),COUNTIF('5. JSACI'!$M:$M,_xlpm.id),COUNTIF('6. AIN'!$M:$M,_xlpm.id),COUNTIF('7. MS'!$M:$M,_xlpm.id),COUNTIF('8. DS'!$M:$M,_xlpm.id),COUNTIF('9. RMF'!$M:$M,_xlpm.id),COUNTIF('10. PCU'!$M:$M,_xlpm.id))))</f>
        <v>0</v>
      </c>
    </row>
    <row r="1022" spans="1:9">
      <c r="A1022" t="s">
        <v>9013</v>
      </c>
      <c r="B1022" t="s">
        <v>8981</v>
      </c>
      <c r="C1022">
        <v>1820</v>
      </c>
      <c r="D1022">
        <v>1</v>
      </c>
      <c r="E1022" s="23">
        <v>33</v>
      </c>
      <c r="F1022" t="s">
        <v>8265</v>
      </c>
      <c r="G1022" t="s">
        <v>10494</v>
      </c>
      <c r="H1022" t="s">
        <v>8019</v>
      </c>
      <c r="I1022">
        <f>_xlfn.LET(_xlpm.id,TRIM($A1022),IF(_xlpm.id="","",SUM(COUNTIF('1. OP'!$M:$M,_xlpm.id),COUNTIF('2. JSEL'!$M:$M,_xlpm.id),COUNTIF('3. PSM'!$M:$M,_xlpm.id),COUNTIF('4. SSP'!$M:$M,_xlpm.id),COUNTIF('5. JSACI'!$M:$M,_xlpm.id),COUNTIF('6. AIN'!$M:$M,_xlpm.id),COUNTIF('7. MS'!$M:$M,_xlpm.id),COUNTIF('8. DS'!$M:$M,_xlpm.id),COUNTIF('9. RMF'!$M:$M,_xlpm.id),COUNTIF('10. PCU'!$M:$M,_xlpm.id))))</f>
        <v>0</v>
      </c>
    </row>
    <row r="1023" spans="1:9">
      <c r="A1023" t="s">
        <v>9014</v>
      </c>
      <c r="B1023" t="s">
        <v>8981</v>
      </c>
      <c r="C1023">
        <v>1820</v>
      </c>
      <c r="D1023">
        <v>1</v>
      </c>
      <c r="E1023" s="23">
        <v>34</v>
      </c>
      <c r="F1023" t="s">
        <v>8265</v>
      </c>
      <c r="G1023" t="s">
        <v>10494</v>
      </c>
      <c r="H1023" t="s">
        <v>8019</v>
      </c>
      <c r="I1023">
        <f>_xlfn.LET(_xlpm.id,TRIM($A1023),IF(_xlpm.id="","",SUM(COUNTIF('1. OP'!$M:$M,_xlpm.id),COUNTIF('2. JSEL'!$M:$M,_xlpm.id),COUNTIF('3. PSM'!$M:$M,_xlpm.id),COUNTIF('4. SSP'!$M:$M,_xlpm.id),COUNTIF('5. JSACI'!$M:$M,_xlpm.id),COUNTIF('6. AIN'!$M:$M,_xlpm.id),COUNTIF('7. MS'!$M:$M,_xlpm.id),COUNTIF('8. DS'!$M:$M,_xlpm.id),COUNTIF('9. RMF'!$M:$M,_xlpm.id),COUNTIF('10. PCU'!$M:$M,_xlpm.id))))</f>
        <v>0</v>
      </c>
    </row>
    <row r="1024" spans="1:9">
      <c r="A1024" t="s">
        <v>9015</v>
      </c>
      <c r="B1024" t="s">
        <v>8981</v>
      </c>
      <c r="C1024">
        <v>1821</v>
      </c>
      <c r="D1024">
        <v>1</v>
      </c>
      <c r="E1024" s="23">
        <v>35</v>
      </c>
      <c r="F1024" t="s">
        <v>8265</v>
      </c>
      <c r="G1024" t="s">
        <v>10494</v>
      </c>
      <c r="H1024" t="s">
        <v>8019</v>
      </c>
      <c r="I1024">
        <f>_xlfn.LET(_xlpm.id,TRIM($A1024),IF(_xlpm.id="","",SUM(COUNTIF('1. OP'!$M:$M,_xlpm.id),COUNTIF('2. JSEL'!$M:$M,_xlpm.id),COUNTIF('3. PSM'!$M:$M,_xlpm.id),COUNTIF('4. SSP'!$M:$M,_xlpm.id),COUNTIF('5. JSACI'!$M:$M,_xlpm.id),COUNTIF('6. AIN'!$M:$M,_xlpm.id),COUNTIF('7. MS'!$M:$M,_xlpm.id),COUNTIF('8. DS'!$M:$M,_xlpm.id),COUNTIF('9. RMF'!$M:$M,_xlpm.id),COUNTIF('10. PCU'!$M:$M,_xlpm.id))))</f>
        <v>0</v>
      </c>
    </row>
    <row r="1025" spans="1:9">
      <c r="A1025" t="s">
        <v>9016</v>
      </c>
      <c r="B1025" t="s">
        <v>8981</v>
      </c>
      <c r="C1025">
        <v>1822</v>
      </c>
      <c r="D1025">
        <v>1</v>
      </c>
      <c r="E1025" s="23">
        <v>36</v>
      </c>
      <c r="F1025" t="s">
        <v>8265</v>
      </c>
      <c r="G1025" t="s">
        <v>10494</v>
      </c>
      <c r="H1025" t="s">
        <v>8019</v>
      </c>
      <c r="I1025">
        <f>_xlfn.LET(_xlpm.id,TRIM($A1025),IF(_xlpm.id="","",SUM(COUNTIF('1. OP'!$M:$M,_xlpm.id),COUNTIF('2. JSEL'!$M:$M,_xlpm.id),COUNTIF('3. PSM'!$M:$M,_xlpm.id),COUNTIF('4. SSP'!$M:$M,_xlpm.id),COUNTIF('5. JSACI'!$M:$M,_xlpm.id),COUNTIF('6. AIN'!$M:$M,_xlpm.id),COUNTIF('7. MS'!$M:$M,_xlpm.id),COUNTIF('8. DS'!$M:$M,_xlpm.id),COUNTIF('9. RMF'!$M:$M,_xlpm.id),COUNTIF('10. PCU'!$M:$M,_xlpm.id))))</f>
        <v>0</v>
      </c>
    </row>
    <row r="1026" spans="1:9">
      <c r="A1026" t="s">
        <v>9017</v>
      </c>
      <c r="B1026" t="s">
        <v>8981</v>
      </c>
      <c r="C1026">
        <v>1822</v>
      </c>
      <c r="D1026">
        <v>1</v>
      </c>
      <c r="E1026" s="23">
        <v>37</v>
      </c>
      <c r="F1026" t="s">
        <v>8265</v>
      </c>
      <c r="G1026" t="s">
        <v>10494</v>
      </c>
      <c r="H1026" t="s">
        <v>8019</v>
      </c>
      <c r="I1026">
        <f>_xlfn.LET(_xlpm.id,TRIM($A1026),IF(_xlpm.id="","",SUM(COUNTIF('1. OP'!$M:$M,_xlpm.id),COUNTIF('2. JSEL'!$M:$M,_xlpm.id),COUNTIF('3. PSM'!$M:$M,_xlpm.id),COUNTIF('4. SSP'!$M:$M,_xlpm.id),COUNTIF('5. JSACI'!$M:$M,_xlpm.id),COUNTIF('6. AIN'!$M:$M,_xlpm.id),COUNTIF('7. MS'!$M:$M,_xlpm.id),COUNTIF('8. DS'!$M:$M,_xlpm.id),COUNTIF('9. RMF'!$M:$M,_xlpm.id),COUNTIF('10. PCU'!$M:$M,_xlpm.id))))</f>
        <v>0</v>
      </c>
    </row>
    <row r="1027" spans="1:9">
      <c r="A1027" t="s">
        <v>9018</v>
      </c>
      <c r="B1027" t="s">
        <v>8981</v>
      </c>
      <c r="C1027">
        <v>1823</v>
      </c>
      <c r="D1027">
        <v>1</v>
      </c>
      <c r="E1027" s="23">
        <v>38</v>
      </c>
      <c r="F1027" t="s">
        <v>8265</v>
      </c>
      <c r="G1027" t="s">
        <v>10494</v>
      </c>
      <c r="H1027" t="s">
        <v>8019</v>
      </c>
      <c r="I1027">
        <f>_xlfn.LET(_xlpm.id,TRIM($A1027),IF(_xlpm.id="","",SUM(COUNTIF('1. OP'!$M:$M,_xlpm.id),COUNTIF('2. JSEL'!$M:$M,_xlpm.id),COUNTIF('3. PSM'!$M:$M,_xlpm.id),COUNTIF('4. SSP'!$M:$M,_xlpm.id),COUNTIF('5. JSACI'!$M:$M,_xlpm.id),COUNTIF('6. AIN'!$M:$M,_xlpm.id),COUNTIF('7. MS'!$M:$M,_xlpm.id),COUNTIF('8. DS'!$M:$M,_xlpm.id),COUNTIF('9. RMF'!$M:$M,_xlpm.id),COUNTIF('10. PCU'!$M:$M,_xlpm.id))))</f>
        <v>0</v>
      </c>
    </row>
    <row r="1028" spans="1:9">
      <c r="A1028" t="s">
        <v>9019</v>
      </c>
      <c r="B1028" t="s">
        <v>8981</v>
      </c>
      <c r="C1028">
        <v>1823</v>
      </c>
      <c r="D1028">
        <v>1</v>
      </c>
      <c r="E1028" s="23">
        <v>39</v>
      </c>
      <c r="F1028" t="s">
        <v>8265</v>
      </c>
      <c r="G1028" t="s">
        <v>10494</v>
      </c>
      <c r="H1028" t="s">
        <v>8019</v>
      </c>
      <c r="I1028">
        <f>_xlfn.LET(_xlpm.id,TRIM($A1028),IF(_xlpm.id="","",SUM(COUNTIF('1. OP'!$M:$M,_xlpm.id),COUNTIF('2. JSEL'!$M:$M,_xlpm.id),COUNTIF('3. PSM'!$M:$M,_xlpm.id),COUNTIF('4. SSP'!$M:$M,_xlpm.id),COUNTIF('5. JSACI'!$M:$M,_xlpm.id),COUNTIF('6. AIN'!$M:$M,_xlpm.id),COUNTIF('7. MS'!$M:$M,_xlpm.id),COUNTIF('8. DS'!$M:$M,_xlpm.id),COUNTIF('9. RMF'!$M:$M,_xlpm.id),COUNTIF('10. PCU'!$M:$M,_xlpm.id))))</f>
        <v>0</v>
      </c>
    </row>
    <row r="1029" spans="1:9">
      <c r="A1029" t="s">
        <v>9020</v>
      </c>
      <c r="B1029" t="s">
        <v>8981</v>
      </c>
      <c r="C1029">
        <v>1824</v>
      </c>
      <c r="D1029">
        <v>1</v>
      </c>
      <c r="E1029" s="23">
        <v>40</v>
      </c>
      <c r="F1029" t="s">
        <v>8265</v>
      </c>
      <c r="G1029" t="s">
        <v>10494</v>
      </c>
      <c r="H1029" t="s">
        <v>8019</v>
      </c>
      <c r="I1029">
        <f>_xlfn.LET(_xlpm.id,TRIM($A1029),IF(_xlpm.id="","",SUM(COUNTIF('1. OP'!$M:$M,_xlpm.id),COUNTIF('2. JSEL'!$M:$M,_xlpm.id),COUNTIF('3. PSM'!$M:$M,_xlpm.id),COUNTIF('4. SSP'!$M:$M,_xlpm.id),COUNTIF('5. JSACI'!$M:$M,_xlpm.id),COUNTIF('6. AIN'!$M:$M,_xlpm.id),COUNTIF('7. MS'!$M:$M,_xlpm.id),COUNTIF('8. DS'!$M:$M,_xlpm.id),COUNTIF('9. RMF'!$M:$M,_xlpm.id),COUNTIF('10. PCU'!$M:$M,_xlpm.id))))</f>
        <v>0</v>
      </c>
    </row>
    <row r="1030" spans="1:9">
      <c r="A1030" t="s">
        <v>9021</v>
      </c>
      <c r="B1030" t="s">
        <v>8981</v>
      </c>
      <c r="C1030">
        <v>1825</v>
      </c>
      <c r="D1030">
        <v>1</v>
      </c>
      <c r="E1030" s="23">
        <v>41</v>
      </c>
      <c r="F1030" t="s">
        <v>8265</v>
      </c>
      <c r="G1030" t="s">
        <v>10494</v>
      </c>
      <c r="H1030" t="s">
        <v>8019</v>
      </c>
      <c r="I1030">
        <f>_xlfn.LET(_xlpm.id,TRIM($A1030),IF(_xlpm.id="","",SUM(COUNTIF('1. OP'!$M:$M,_xlpm.id),COUNTIF('2. JSEL'!$M:$M,_xlpm.id),COUNTIF('3. PSM'!$M:$M,_xlpm.id),COUNTIF('4. SSP'!$M:$M,_xlpm.id),COUNTIF('5. JSACI'!$M:$M,_xlpm.id),COUNTIF('6. AIN'!$M:$M,_xlpm.id),COUNTIF('7. MS'!$M:$M,_xlpm.id),COUNTIF('8. DS'!$M:$M,_xlpm.id),COUNTIF('9. RMF'!$M:$M,_xlpm.id),COUNTIF('10. PCU'!$M:$M,_xlpm.id))))</f>
        <v>0</v>
      </c>
    </row>
    <row r="1031" spans="1:9">
      <c r="A1031" t="s">
        <v>9022</v>
      </c>
      <c r="B1031" t="s">
        <v>8981</v>
      </c>
      <c r="C1031">
        <v>1825</v>
      </c>
      <c r="D1031">
        <v>1</v>
      </c>
      <c r="E1031" s="23">
        <v>42</v>
      </c>
      <c r="F1031" t="s">
        <v>8265</v>
      </c>
      <c r="G1031" t="s">
        <v>10494</v>
      </c>
      <c r="H1031" t="s">
        <v>8019</v>
      </c>
      <c r="I1031">
        <f>_xlfn.LET(_xlpm.id,TRIM($A1031),IF(_xlpm.id="","",SUM(COUNTIF('1. OP'!$M:$M,_xlpm.id),COUNTIF('2. JSEL'!$M:$M,_xlpm.id),COUNTIF('3. PSM'!$M:$M,_xlpm.id),COUNTIF('4. SSP'!$M:$M,_xlpm.id),COUNTIF('5. JSACI'!$M:$M,_xlpm.id),COUNTIF('6. AIN'!$M:$M,_xlpm.id),COUNTIF('7. MS'!$M:$M,_xlpm.id),COUNTIF('8. DS'!$M:$M,_xlpm.id),COUNTIF('9. RMF'!$M:$M,_xlpm.id),COUNTIF('10. PCU'!$M:$M,_xlpm.id))))</f>
        <v>0</v>
      </c>
    </row>
    <row r="1032" spans="1:9">
      <c r="A1032" t="s">
        <v>9023</v>
      </c>
      <c r="B1032" t="s">
        <v>8981</v>
      </c>
      <c r="C1032">
        <v>1826</v>
      </c>
      <c r="D1032">
        <v>1</v>
      </c>
      <c r="E1032" s="23">
        <v>43</v>
      </c>
      <c r="F1032" t="s">
        <v>8265</v>
      </c>
      <c r="G1032" t="s">
        <v>10494</v>
      </c>
      <c r="H1032" t="s">
        <v>8019</v>
      </c>
      <c r="I1032">
        <f>_xlfn.LET(_xlpm.id,TRIM($A1032),IF(_xlpm.id="","",SUM(COUNTIF('1. OP'!$M:$M,_xlpm.id),COUNTIF('2. JSEL'!$M:$M,_xlpm.id),COUNTIF('3. PSM'!$M:$M,_xlpm.id),COUNTIF('4. SSP'!$M:$M,_xlpm.id),COUNTIF('5. JSACI'!$M:$M,_xlpm.id),COUNTIF('6. AIN'!$M:$M,_xlpm.id),COUNTIF('7. MS'!$M:$M,_xlpm.id),COUNTIF('8. DS'!$M:$M,_xlpm.id),COUNTIF('9. RMF'!$M:$M,_xlpm.id),COUNTIF('10. PCU'!$M:$M,_xlpm.id))))</f>
        <v>0</v>
      </c>
    </row>
    <row r="1033" spans="1:9">
      <c r="A1033" t="s">
        <v>9024</v>
      </c>
      <c r="B1033" t="s">
        <v>8981</v>
      </c>
      <c r="C1033">
        <v>1826</v>
      </c>
      <c r="D1033">
        <v>1</v>
      </c>
      <c r="E1033" s="23">
        <v>44</v>
      </c>
      <c r="F1033" t="s">
        <v>8265</v>
      </c>
      <c r="G1033" t="s">
        <v>10494</v>
      </c>
      <c r="H1033" t="s">
        <v>8019</v>
      </c>
      <c r="I1033">
        <f>_xlfn.LET(_xlpm.id,TRIM($A1033),IF(_xlpm.id="","",SUM(COUNTIF('1. OP'!$M:$M,_xlpm.id),COUNTIF('2. JSEL'!$M:$M,_xlpm.id),COUNTIF('3. PSM'!$M:$M,_xlpm.id),COUNTIF('4. SSP'!$M:$M,_xlpm.id),COUNTIF('5. JSACI'!$M:$M,_xlpm.id),COUNTIF('6. AIN'!$M:$M,_xlpm.id),COUNTIF('7. MS'!$M:$M,_xlpm.id),COUNTIF('8. DS'!$M:$M,_xlpm.id),COUNTIF('9. RMF'!$M:$M,_xlpm.id),COUNTIF('10. PCU'!$M:$M,_xlpm.id))))</f>
        <v>0</v>
      </c>
    </row>
    <row r="1034" spans="1:9">
      <c r="A1034" t="s">
        <v>9025</v>
      </c>
      <c r="B1034" t="s">
        <v>8981</v>
      </c>
      <c r="C1034">
        <v>1827</v>
      </c>
      <c r="D1034">
        <v>1</v>
      </c>
      <c r="E1034" s="23">
        <v>45</v>
      </c>
      <c r="F1034" t="s">
        <v>8265</v>
      </c>
      <c r="G1034" t="s">
        <v>10494</v>
      </c>
      <c r="H1034" t="s">
        <v>8019</v>
      </c>
      <c r="I1034">
        <f>_xlfn.LET(_xlpm.id,TRIM($A1034),IF(_xlpm.id="","",SUM(COUNTIF('1. OP'!$M:$M,_xlpm.id),COUNTIF('2. JSEL'!$M:$M,_xlpm.id),COUNTIF('3. PSM'!$M:$M,_xlpm.id),COUNTIF('4. SSP'!$M:$M,_xlpm.id),COUNTIF('5. JSACI'!$M:$M,_xlpm.id),COUNTIF('6. AIN'!$M:$M,_xlpm.id),COUNTIF('7. MS'!$M:$M,_xlpm.id),COUNTIF('8. DS'!$M:$M,_xlpm.id),COUNTIF('9. RMF'!$M:$M,_xlpm.id),COUNTIF('10. PCU'!$M:$M,_xlpm.id))))</f>
        <v>0</v>
      </c>
    </row>
    <row r="1035" spans="1:9">
      <c r="A1035" t="s">
        <v>9026</v>
      </c>
      <c r="B1035" t="s">
        <v>8981</v>
      </c>
      <c r="C1035">
        <v>1827</v>
      </c>
      <c r="D1035">
        <v>1</v>
      </c>
      <c r="E1035" s="23">
        <v>46</v>
      </c>
      <c r="F1035" t="s">
        <v>8265</v>
      </c>
      <c r="G1035" t="s">
        <v>10494</v>
      </c>
      <c r="H1035" t="s">
        <v>8019</v>
      </c>
      <c r="I1035">
        <f>_xlfn.LET(_xlpm.id,TRIM($A1035),IF(_xlpm.id="","",SUM(COUNTIF('1. OP'!$M:$M,_xlpm.id),COUNTIF('2. JSEL'!$M:$M,_xlpm.id),COUNTIF('3. PSM'!$M:$M,_xlpm.id),COUNTIF('4. SSP'!$M:$M,_xlpm.id),COUNTIF('5. JSACI'!$M:$M,_xlpm.id),COUNTIF('6. AIN'!$M:$M,_xlpm.id),COUNTIF('7. MS'!$M:$M,_xlpm.id),COUNTIF('8. DS'!$M:$M,_xlpm.id),COUNTIF('9. RMF'!$M:$M,_xlpm.id),COUNTIF('10. PCU'!$M:$M,_xlpm.id))))</f>
        <v>0</v>
      </c>
    </row>
    <row r="1036" spans="1:9">
      <c r="A1036" t="s">
        <v>9027</v>
      </c>
      <c r="B1036" t="s">
        <v>8981</v>
      </c>
      <c r="C1036">
        <v>1828</v>
      </c>
      <c r="D1036">
        <v>1</v>
      </c>
      <c r="E1036" s="23">
        <v>47</v>
      </c>
      <c r="F1036" t="s">
        <v>8265</v>
      </c>
      <c r="G1036" t="s">
        <v>10494</v>
      </c>
      <c r="H1036" t="s">
        <v>8019</v>
      </c>
      <c r="I1036">
        <f>_xlfn.LET(_xlpm.id,TRIM($A1036),IF(_xlpm.id="","",SUM(COUNTIF('1. OP'!$M:$M,_xlpm.id),COUNTIF('2. JSEL'!$M:$M,_xlpm.id),COUNTIF('3. PSM'!$M:$M,_xlpm.id),COUNTIF('4. SSP'!$M:$M,_xlpm.id),COUNTIF('5. JSACI'!$M:$M,_xlpm.id),COUNTIF('6. AIN'!$M:$M,_xlpm.id),COUNTIF('7. MS'!$M:$M,_xlpm.id),COUNTIF('8. DS'!$M:$M,_xlpm.id),COUNTIF('9. RMF'!$M:$M,_xlpm.id),COUNTIF('10. PCU'!$M:$M,_xlpm.id))))</f>
        <v>0</v>
      </c>
    </row>
    <row r="1037" spans="1:9">
      <c r="A1037" t="s">
        <v>9028</v>
      </c>
      <c r="B1037" t="s">
        <v>8981</v>
      </c>
      <c r="C1037">
        <v>1828</v>
      </c>
      <c r="D1037">
        <v>1</v>
      </c>
      <c r="E1037" s="23">
        <v>48</v>
      </c>
      <c r="F1037" t="s">
        <v>8265</v>
      </c>
      <c r="G1037" t="s">
        <v>10494</v>
      </c>
      <c r="H1037" t="s">
        <v>8019</v>
      </c>
      <c r="I1037">
        <f>_xlfn.LET(_xlpm.id,TRIM($A1037),IF(_xlpm.id="","",SUM(COUNTIF('1. OP'!$M:$M,_xlpm.id),COUNTIF('2. JSEL'!$M:$M,_xlpm.id),COUNTIF('3. PSM'!$M:$M,_xlpm.id),COUNTIF('4. SSP'!$M:$M,_xlpm.id),COUNTIF('5. JSACI'!$M:$M,_xlpm.id),COUNTIF('6. AIN'!$M:$M,_xlpm.id),COUNTIF('7. MS'!$M:$M,_xlpm.id),COUNTIF('8. DS'!$M:$M,_xlpm.id),COUNTIF('9. RMF'!$M:$M,_xlpm.id),COUNTIF('10. PCU'!$M:$M,_xlpm.id))))</f>
        <v>0</v>
      </c>
    </row>
    <row r="1038" spans="1:9">
      <c r="A1038" t="s">
        <v>9029</v>
      </c>
      <c r="B1038" t="s">
        <v>8981</v>
      </c>
      <c r="C1038">
        <v>1829</v>
      </c>
      <c r="D1038">
        <v>1</v>
      </c>
      <c r="E1038" s="23">
        <v>49</v>
      </c>
      <c r="F1038" t="s">
        <v>8265</v>
      </c>
      <c r="G1038" t="s">
        <v>10494</v>
      </c>
      <c r="H1038" t="s">
        <v>8019</v>
      </c>
      <c r="I1038">
        <f>_xlfn.LET(_xlpm.id,TRIM($A1038),IF(_xlpm.id="","",SUM(COUNTIF('1. OP'!$M:$M,_xlpm.id),COUNTIF('2. JSEL'!$M:$M,_xlpm.id),COUNTIF('3. PSM'!$M:$M,_xlpm.id),COUNTIF('4. SSP'!$M:$M,_xlpm.id),COUNTIF('5. JSACI'!$M:$M,_xlpm.id),COUNTIF('6. AIN'!$M:$M,_xlpm.id),COUNTIF('7. MS'!$M:$M,_xlpm.id),COUNTIF('8. DS'!$M:$M,_xlpm.id),COUNTIF('9. RMF'!$M:$M,_xlpm.id),COUNTIF('10. PCU'!$M:$M,_xlpm.id))))</f>
        <v>0</v>
      </c>
    </row>
    <row r="1039" spans="1:9">
      <c r="A1039" t="s">
        <v>9030</v>
      </c>
      <c r="B1039" t="s">
        <v>8981</v>
      </c>
      <c r="C1039">
        <v>1830</v>
      </c>
      <c r="D1039">
        <v>1</v>
      </c>
      <c r="E1039" s="23">
        <v>50</v>
      </c>
      <c r="F1039" t="s">
        <v>8265</v>
      </c>
      <c r="G1039" t="s">
        <v>10494</v>
      </c>
      <c r="H1039" t="s">
        <v>8019</v>
      </c>
      <c r="I1039">
        <f>_xlfn.LET(_xlpm.id,TRIM($A1039),IF(_xlpm.id="","",SUM(COUNTIF('1. OP'!$M:$M,_xlpm.id),COUNTIF('2. JSEL'!$M:$M,_xlpm.id),COUNTIF('3. PSM'!$M:$M,_xlpm.id),COUNTIF('4. SSP'!$M:$M,_xlpm.id),COUNTIF('5. JSACI'!$M:$M,_xlpm.id),COUNTIF('6. AIN'!$M:$M,_xlpm.id),COUNTIF('7. MS'!$M:$M,_xlpm.id),COUNTIF('8. DS'!$M:$M,_xlpm.id),COUNTIF('9. RMF'!$M:$M,_xlpm.id),COUNTIF('10. PCU'!$M:$M,_xlpm.id))))</f>
        <v>0</v>
      </c>
    </row>
    <row r="1040" spans="1:9">
      <c r="A1040" t="s">
        <v>9031</v>
      </c>
      <c r="B1040" t="s">
        <v>8981</v>
      </c>
      <c r="C1040">
        <v>1830</v>
      </c>
      <c r="D1040">
        <v>1</v>
      </c>
      <c r="E1040" s="23">
        <v>51</v>
      </c>
      <c r="F1040" t="s">
        <v>8265</v>
      </c>
      <c r="G1040" t="s">
        <v>10494</v>
      </c>
      <c r="H1040" t="s">
        <v>8019</v>
      </c>
      <c r="I1040">
        <f>_xlfn.LET(_xlpm.id,TRIM($A1040),IF(_xlpm.id="","",SUM(COUNTIF('1. OP'!$M:$M,_xlpm.id),COUNTIF('2. JSEL'!$M:$M,_xlpm.id),COUNTIF('3. PSM'!$M:$M,_xlpm.id),COUNTIF('4. SSP'!$M:$M,_xlpm.id),COUNTIF('5. JSACI'!$M:$M,_xlpm.id),COUNTIF('6. AIN'!$M:$M,_xlpm.id),COUNTIF('7. MS'!$M:$M,_xlpm.id),COUNTIF('8. DS'!$M:$M,_xlpm.id),COUNTIF('9. RMF'!$M:$M,_xlpm.id),COUNTIF('10. PCU'!$M:$M,_xlpm.id))))</f>
        <v>0</v>
      </c>
    </row>
    <row r="1041" spans="1:9">
      <c r="A1041" t="s">
        <v>9032</v>
      </c>
      <c r="B1041" t="s">
        <v>8981</v>
      </c>
      <c r="C1041">
        <v>1831</v>
      </c>
      <c r="D1041">
        <v>1</v>
      </c>
      <c r="E1041" s="23">
        <v>52</v>
      </c>
      <c r="F1041" t="s">
        <v>8265</v>
      </c>
      <c r="G1041" t="s">
        <v>10494</v>
      </c>
      <c r="H1041" t="s">
        <v>8019</v>
      </c>
      <c r="I1041">
        <f>_xlfn.LET(_xlpm.id,TRIM($A1041),IF(_xlpm.id="","",SUM(COUNTIF('1. OP'!$M:$M,_xlpm.id),COUNTIF('2. JSEL'!$M:$M,_xlpm.id),COUNTIF('3. PSM'!$M:$M,_xlpm.id),COUNTIF('4. SSP'!$M:$M,_xlpm.id),COUNTIF('5. JSACI'!$M:$M,_xlpm.id),COUNTIF('6. AIN'!$M:$M,_xlpm.id),COUNTIF('7. MS'!$M:$M,_xlpm.id),COUNTIF('8. DS'!$M:$M,_xlpm.id),COUNTIF('9. RMF'!$M:$M,_xlpm.id),COUNTIF('10. PCU'!$M:$M,_xlpm.id))))</f>
        <v>0</v>
      </c>
    </row>
    <row r="1042" spans="1:9">
      <c r="A1042" t="s">
        <v>9033</v>
      </c>
      <c r="B1042" t="s">
        <v>8981</v>
      </c>
      <c r="C1042">
        <v>1831</v>
      </c>
      <c r="D1042">
        <v>1</v>
      </c>
      <c r="E1042" s="23">
        <v>53</v>
      </c>
      <c r="F1042" t="s">
        <v>8265</v>
      </c>
      <c r="G1042" t="s">
        <v>10494</v>
      </c>
      <c r="H1042" t="s">
        <v>8019</v>
      </c>
      <c r="I1042">
        <f>_xlfn.LET(_xlpm.id,TRIM($A1042),IF(_xlpm.id="","",SUM(COUNTIF('1. OP'!$M:$M,_xlpm.id),COUNTIF('2. JSEL'!$M:$M,_xlpm.id),COUNTIF('3. PSM'!$M:$M,_xlpm.id),COUNTIF('4. SSP'!$M:$M,_xlpm.id),COUNTIF('5. JSACI'!$M:$M,_xlpm.id),COUNTIF('6. AIN'!$M:$M,_xlpm.id),COUNTIF('7. MS'!$M:$M,_xlpm.id),COUNTIF('8. DS'!$M:$M,_xlpm.id),COUNTIF('9. RMF'!$M:$M,_xlpm.id),COUNTIF('10. PCU'!$M:$M,_xlpm.id))))</f>
        <v>0</v>
      </c>
    </row>
    <row r="1043" spans="1:9">
      <c r="A1043" t="s">
        <v>9034</v>
      </c>
      <c r="B1043" t="s">
        <v>8981</v>
      </c>
      <c r="C1043">
        <v>1831</v>
      </c>
      <c r="D1043">
        <v>1</v>
      </c>
      <c r="E1043" s="23">
        <v>54</v>
      </c>
      <c r="F1043" t="s">
        <v>8265</v>
      </c>
      <c r="G1043" t="s">
        <v>10494</v>
      </c>
      <c r="H1043" t="s">
        <v>8019</v>
      </c>
      <c r="I1043">
        <f>_xlfn.LET(_xlpm.id,TRIM($A1043),IF(_xlpm.id="","",SUM(COUNTIF('1. OP'!$M:$M,_xlpm.id),COUNTIF('2. JSEL'!$M:$M,_xlpm.id),COUNTIF('3. PSM'!$M:$M,_xlpm.id),COUNTIF('4. SSP'!$M:$M,_xlpm.id),COUNTIF('5. JSACI'!$M:$M,_xlpm.id),COUNTIF('6. AIN'!$M:$M,_xlpm.id),COUNTIF('7. MS'!$M:$M,_xlpm.id),COUNTIF('8. DS'!$M:$M,_xlpm.id),COUNTIF('9. RMF'!$M:$M,_xlpm.id),COUNTIF('10. PCU'!$M:$M,_xlpm.id))))</f>
        <v>0</v>
      </c>
    </row>
    <row r="1044" spans="1:9">
      <c r="A1044" t="s">
        <v>9035</v>
      </c>
      <c r="B1044" t="s">
        <v>8981</v>
      </c>
      <c r="C1044">
        <v>1832</v>
      </c>
      <c r="D1044">
        <v>1</v>
      </c>
      <c r="E1044" s="23">
        <v>55</v>
      </c>
      <c r="F1044" t="s">
        <v>8265</v>
      </c>
      <c r="G1044" t="s">
        <v>10494</v>
      </c>
      <c r="H1044" t="s">
        <v>8019</v>
      </c>
      <c r="I1044">
        <f>_xlfn.LET(_xlpm.id,TRIM($A1044),IF(_xlpm.id="","",SUM(COUNTIF('1. OP'!$M:$M,_xlpm.id),COUNTIF('2. JSEL'!$M:$M,_xlpm.id),COUNTIF('3. PSM'!$M:$M,_xlpm.id),COUNTIF('4. SSP'!$M:$M,_xlpm.id),COUNTIF('5. JSACI'!$M:$M,_xlpm.id),COUNTIF('6. AIN'!$M:$M,_xlpm.id),COUNTIF('7. MS'!$M:$M,_xlpm.id),COUNTIF('8. DS'!$M:$M,_xlpm.id),COUNTIF('9. RMF'!$M:$M,_xlpm.id),COUNTIF('10. PCU'!$M:$M,_xlpm.id))))</f>
        <v>0</v>
      </c>
    </row>
    <row r="1045" spans="1:9">
      <c r="A1045" t="s">
        <v>9036</v>
      </c>
      <c r="B1045" t="s">
        <v>8981</v>
      </c>
      <c r="C1045">
        <v>1833</v>
      </c>
      <c r="D1045">
        <v>1</v>
      </c>
      <c r="E1045" s="23">
        <v>56</v>
      </c>
      <c r="F1045" t="s">
        <v>8265</v>
      </c>
      <c r="G1045" t="s">
        <v>10494</v>
      </c>
      <c r="H1045" t="s">
        <v>8019</v>
      </c>
      <c r="I1045">
        <f>_xlfn.LET(_xlpm.id,TRIM($A1045),IF(_xlpm.id="","",SUM(COUNTIF('1. OP'!$M:$M,_xlpm.id),COUNTIF('2. JSEL'!$M:$M,_xlpm.id),COUNTIF('3. PSM'!$M:$M,_xlpm.id),COUNTIF('4. SSP'!$M:$M,_xlpm.id),COUNTIF('5. JSACI'!$M:$M,_xlpm.id),COUNTIF('6. AIN'!$M:$M,_xlpm.id),COUNTIF('7. MS'!$M:$M,_xlpm.id),COUNTIF('8. DS'!$M:$M,_xlpm.id),COUNTIF('9. RMF'!$M:$M,_xlpm.id),COUNTIF('10. PCU'!$M:$M,_xlpm.id))))</f>
        <v>0</v>
      </c>
    </row>
    <row r="1046" spans="1:9">
      <c r="A1046" t="s">
        <v>9037</v>
      </c>
      <c r="B1046" t="s">
        <v>8981</v>
      </c>
      <c r="C1046">
        <v>1833</v>
      </c>
      <c r="D1046">
        <v>1</v>
      </c>
      <c r="E1046" s="23">
        <v>57</v>
      </c>
      <c r="F1046" t="s">
        <v>8265</v>
      </c>
      <c r="G1046" t="s">
        <v>10494</v>
      </c>
      <c r="H1046" t="s">
        <v>8019</v>
      </c>
      <c r="I1046">
        <f>_xlfn.LET(_xlpm.id,TRIM($A1046),IF(_xlpm.id="","",SUM(COUNTIF('1. OP'!$M:$M,_xlpm.id),COUNTIF('2. JSEL'!$M:$M,_xlpm.id),COUNTIF('3. PSM'!$M:$M,_xlpm.id),COUNTIF('4. SSP'!$M:$M,_xlpm.id),COUNTIF('5. JSACI'!$M:$M,_xlpm.id),COUNTIF('6. AIN'!$M:$M,_xlpm.id),COUNTIF('7. MS'!$M:$M,_xlpm.id),COUNTIF('8. DS'!$M:$M,_xlpm.id),COUNTIF('9. RMF'!$M:$M,_xlpm.id),COUNTIF('10. PCU'!$M:$M,_xlpm.id))))</f>
        <v>0</v>
      </c>
    </row>
    <row r="1047" spans="1:9">
      <c r="A1047" t="s">
        <v>9038</v>
      </c>
      <c r="B1047" t="s">
        <v>8981</v>
      </c>
      <c r="C1047">
        <v>1834</v>
      </c>
      <c r="D1047">
        <v>1</v>
      </c>
      <c r="E1047" s="23">
        <v>58</v>
      </c>
      <c r="F1047" t="s">
        <v>8265</v>
      </c>
      <c r="G1047" t="s">
        <v>10494</v>
      </c>
      <c r="H1047" t="s">
        <v>8019</v>
      </c>
      <c r="I1047">
        <f>_xlfn.LET(_xlpm.id,TRIM($A1047),IF(_xlpm.id="","",SUM(COUNTIF('1. OP'!$M:$M,_xlpm.id),COUNTIF('2. JSEL'!$M:$M,_xlpm.id),COUNTIF('3. PSM'!$M:$M,_xlpm.id),COUNTIF('4. SSP'!$M:$M,_xlpm.id),COUNTIF('5. JSACI'!$M:$M,_xlpm.id),COUNTIF('6. AIN'!$M:$M,_xlpm.id),COUNTIF('7. MS'!$M:$M,_xlpm.id),COUNTIF('8. DS'!$M:$M,_xlpm.id),COUNTIF('9. RMF'!$M:$M,_xlpm.id),COUNTIF('10. PCU'!$M:$M,_xlpm.id))))</f>
        <v>0</v>
      </c>
    </row>
    <row r="1048" spans="1:9">
      <c r="A1048" t="s">
        <v>9039</v>
      </c>
      <c r="B1048" t="s">
        <v>8981</v>
      </c>
      <c r="C1048">
        <v>1834</v>
      </c>
      <c r="D1048">
        <v>1</v>
      </c>
      <c r="E1048" s="23">
        <v>59</v>
      </c>
      <c r="F1048" t="s">
        <v>8265</v>
      </c>
      <c r="G1048" t="s">
        <v>10494</v>
      </c>
      <c r="H1048" t="s">
        <v>8019</v>
      </c>
      <c r="I1048">
        <f>_xlfn.LET(_xlpm.id,TRIM($A1048),IF(_xlpm.id="","",SUM(COUNTIF('1. OP'!$M:$M,_xlpm.id),COUNTIF('2. JSEL'!$M:$M,_xlpm.id),COUNTIF('3. PSM'!$M:$M,_xlpm.id),COUNTIF('4. SSP'!$M:$M,_xlpm.id),COUNTIF('5. JSACI'!$M:$M,_xlpm.id),COUNTIF('6. AIN'!$M:$M,_xlpm.id),COUNTIF('7. MS'!$M:$M,_xlpm.id),COUNTIF('8. DS'!$M:$M,_xlpm.id),COUNTIF('9. RMF'!$M:$M,_xlpm.id),COUNTIF('10. PCU'!$M:$M,_xlpm.id))))</f>
        <v>0</v>
      </c>
    </row>
    <row r="1049" spans="1:9">
      <c r="A1049" t="s">
        <v>9040</v>
      </c>
      <c r="B1049" t="s">
        <v>8981</v>
      </c>
      <c r="C1049">
        <v>1835</v>
      </c>
      <c r="D1049">
        <v>1</v>
      </c>
      <c r="E1049" s="23">
        <v>60</v>
      </c>
      <c r="F1049" t="s">
        <v>8265</v>
      </c>
      <c r="G1049" t="s">
        <v>10494</v>
      </c>
      <c r="H1049" t="s">
        <v>8019</v>
      </c>
      <c r="I1049">
        <f>_xlfn.LET(_xlpm.id,TRIM($A1049),IF(_xlpm.id="","",SUM(COUNTIF('1. OP'!$M:$M,_xlpm.id),COUNTIF('2. JSEL'!$M:$M,_xlpm.id),COUNTIF('3. PSM'!$M:$M,_xlpm.id),COUNTIF('4. SSP'!$M:$M,_xlpm.id),COUNTIF('5. JSACI'!$M:$M,_xlpm.id),COUNTIF('6. AIN'!$M:$M,_xlpm.id),COUNTIF('7. MS'!$M:$M,_xlpm.id),COUNTIF('8. DS'!$M:$M,_xlpm.id),COUNTIF('9. RMF'!$M:$M,_xlpm.id),COUNTIF('10. PCU'!$M:$M,_xlpm.id))))</f>
        <v>0</v>
      </c>
    </row>
    <row r="1050" spans="1:9">
      <c r="A1050" t="s">
        <v>9041</v>
      </c>
      <c r="B1050" t="s">
        <v>8981</v>
      </c>
      <c r="C1050">
        <v>1835</v>
      </c>
      <c r="D1050">
        <v>1</v>
      </c>
      <c r="E1050" s="23">
        <v>61</v>
      </c>
      <c r="F1050" t="s">
        <v>8265</v>
      </c>
      <c r="G1050" t="s">
        <v>10494</v>
      </c>
      <c r="H1050" t="s">
        <v>8019</v>
      </c>
      <c r="I1050">
        <f>_xlfn.LET(_xlpm.id,TRIM($A1050),IF(_xlpm.id="","",SUM(COUNTIF('1. OP'!$M:$M,_xlpm.id),COUNTIF('2. JSEL'!$M:$M,_xlpm.id),COUNTIF('3. PSM'!$M:$M,_xlpm.id),COUNTIF('4. SSP'!$M:$M,_xlpm.id),COUNTIF('5. JSACI'!$M:$M,_xlpm.id),COUNTIF('6. AIN'!$M:$M,_xlpm.id),COUNTIF('7. MS'!$M:$M,_xlpm.id),COUNTIF('8. DS'!$M:$M,_xlpm.id),COUNTIF('9. RMF'!$M:$M,_xlpm.id),COUNTIF('10. PCU'!$M:$M,_xlpm.id))))</f>
        <v>0</v>
      </c>
    </row>
    <row r="1051" spans="1:9">
      <c r="A1051" t="s">
        <v>9042</v>
      </c>
      <c r="B1051" t="s">
        <v>8981</v>
      </c>
      <c r="C1051">
        <v>1836</v>
      </c>
      <c r="D1051">
        <v>1</v>
      </c>
      <c r="E1051" s="23">
        <v>62</v>
      </c>
      <c r="F1051" t="s">
        <v>8265</v>
      </c>
      <c r="G1051" t="s">
        <v>10494</v>
      </c>
      <c r="H1051" t="s">
        <v>8019</v>
      </c>
      <c r="I1051">
        <f>_xlfn.LET(_xlpm.id,TRIM($A1051),IF(_xlpm.id="","",SUM(COUNTIF('1. OP'!$M:$M,_xlpm.id),COUNTIF('2. JSEL'!$M:$M,_xlpm.id),COUNTIF('3. PSM'!$M:$M,_xlpm.id),COUNTIF('4. SSP'!$M:$M,_xlpm.id),COUNTIF('5. JSACI'!$M:$M,_xlpm.id),COUNTIF('6. AIN'!$M:$M,_xlpm.id),COUNTIF('7. MS'!$M:$M,_xlpm.id),COUNTIF('8. DS'!$M:$M,_xlpm.id),COUNTIF('9. RMF'!$M:$M,_xlpm.id),COUNTIF('10. PCU'!$M:$M,_xlpm.id))))</f>
        <v>0</v>
      </c>
    </row>
    <row r="1052" spans="1:9">
      <c r="A1052" t="s">
        <v>9043</v>
      </c>
      <c r="B1052" t="s">
        <v>8981</v>
      </c>
      <c r="C1052">
        <v>1836</v>
      </c>
      <c r="D1052">
        <v>1</v>
      </c>
      <c r="E1052" s="23">
        <v>63</v>
      </c>
      <c r="F1052" t="s">
        <v>8265</v>
      </c>
      <c r="G1052" t="s">
        <v>10494</v>
      </c>
      <c r="H1052" t="s">
        <v>8019</v>
      </c>
      <c r="I1052">
        <f>_xlfn.LET(_xlpm.id,TRIM($A1052),IF(_xlpm.id="","",SUM(COUNTIF('1. OP'!$M:$M,_xlpm.id),COUNTIF('2. JSEL'!$M:$M,_xlpm.id),COUNTIF('3. PSM'!$M:$M,_xlpm.id),COUNTIF('4. SSP'!$M:$M,_xlpm.id),COUNTIF('5. JSACI'!$M:$M,_xlpm.id),COUNTIF('6. AIN'!$M:$M,_xlpm.id),COUNTIF('7. MS'!$M:$M,_xlpm.id),COUNTIF('8. DS'!$M:$M,_xlpm.id),COUNTIF('9. RMF'!$M:$M,_xlpm.id),COUNTIF('10. PCU'!$M:$M,_xlpm.id))))</f>
        <v>0</v>
      </c>
    </row>
    <row r="1053" spans="1:9">
      <c r="A1053" t="s">
        <v>9044</v>
      </c>
      <c r="B1053" t="s">
        <v>8981</v>
      </c>
      <c r="C1053">
        <v>1837</v>
      </c>
      <c r="D1053">
        <v>1</v>
      </c>
      <c r="E1053" s="23">
        <v>64</v>
      </c>
      <c r="F1053" t="s">
        <v>8265</v>
      </c>
      <c r="G1053" t="s">
        <v>10494</v>
      </c>
      <c r="H1053" t="s">
        <v>8019</v>
      </c>
      <c r="I1053">
        <f>_xlfn.LET(_xlpm.id,TRIM($A1053),IF(_xlpm.id="","",SUM(COUNTIF('1. OP'!$M:$M,_xlpm.id),COUNTIF('2. JSEL'!$M:$M,_xlpm.id),COUNTIF('3. PSM'!$M:$M,_xlpm.id),COUNTIF('4. SSP'!$M:$M,_xlpm.id),COUNTIF('5. JSACI'!$M:$M,_xlpm.id),COUNTIF('6. AIN'!$M:$M,_xlpm.id),COUNTIF('7. MS'!$M:$M,_xlpm.id),COUNTIF('8. DS'!$M:$M,_xlpm.id),COUNTIF('9. RMF'!$M:$M,_xlpm.id),COUNTIF('10. PCU'!$M:$M,_xlpm.id))))</f>
        <v>0</v>
      </c>
    </row>
    <row r="1054" spans="1:9">
      <c r="A1054" t="s">
        <v>9045</v>
      </c>
      <c r="B1054" t="s">
        <v>8981</v>
      </c>
      <c r="C1054">
        <v>1837</v>
      </c>
      <c r="D1054">
        <v>1</v>
      </c>
      <c r="E1054" s="23">
        <v>65</v>
      </c>
      <c r="F1054" t="s">
        <v>8265</v>
      </c>
      <c r="G1054" t="s">
        <v>10494</v>
      </c>
      <c r="H1054" t="s">
        <v>8019</v>
      </c>
      <c r="I1054">
        <f>_xlfn.LET(_xlpm.id,TRIM($A1054),IF(_xlpm.id="","",SUM(COUNTIF('1. OP'!$M:$M,_xlpm.id),COUNTIF('2. JSEL'!$M:$M,_xlpm.id),COUNTIF('3. PSM'!$M:$M,_xlpm.id),COUNTIF('4. SSP'!$M:$M,_xlpm.id),COUNTIF('5. JSACI'!$M:$M,_xlpm.id),COUNTIF('6. AIN'!$M:$M,_xlpm.id),COUNTIF('7. MS'!$M:$M,_xlpm.id),COUNTIF('8. DS'!$M:$M,_xlpm.id),COUNTIF('9. RMF'!$M:$M,_xlpm.id),COUNTIF('10. PCU'!$M:$M,_xlpm.id))))</f>
        <v>0</v>
      </c>
    </row>
    <row r="1055" spans="1:9">
      <c r="A1055" t="s">
        <v>9046</v>
      </c>
      <c r="B1055" t="s">
        <v>8981</v>
      </c>
      <c r="C1055">
        <v>1838</v>
      </c>
      <c r="D1055">
        <v>1</v>
      </c>
      <c r="E1055" s="23">
        <v>66</v>
      </c>
      <c r="F1055" t="s">
        <v>8265</v>
      </c>
      <c r="G1055" t="s">
        <v>10494</v>
      </c>
      <c r="H1055" t="s">
        <v>8019</v>
      </c>
      <c r="I1055">
        <f>_xlfn.LET(_xlpm.id,TRIM($A1055),IF(_xlpm.id="","",SUM(COUNTIF('1. OP'!$M:$M,_xlpm.id),COUNTIF('2. JSEL'!$M:$M,_xlpm.id),COUNTIF('3. PSM'!$M:$M,_xlpm.id),COUNTIF('4. SSP'!$M:$M,_xlpm.id),COUNTIF('5. JSACI'!$M:$M,_xlpm.id),COUNTIF('6. AIN'!$M:$M,_xlpm.id),COUNTIF('7. MS'!$M:$M,_xlpm.id),COUNTIF('8. DS'!$M:$M,_xlpm.id),COUNTIF('9. RMF'!$M:$M,_xlpm.id),COUNTIF('10. PCU'!$M:$M,_xlpm.id))))</f>
        <v>0</v>
      </c>
    </row>
    <row r="1056" spans="1:9">
      <c r="A1056" t="s">
        <v>9047</v>
      </c>
      <c r="B1056" t="s">
        <v>8981</v>
      </c>
      <c r="C1056">
        <v>1838</v>
      </c>
      <c r="D1056">
        <v>1</v>
      </c>
      <c r="E1056" s="23">
        <v>67</v>
      </c>
      <c r="F1056" t="s">
        <v>8265</v>
      </c>
      <c r="G1056" t="s">
        <v>10494</v>
      </c>
      <c r="H1056" t="s">
        <v>8019</v>
      </c>
      <c r="I1056">
        <f>_xlfn.LET(_xlpm.id,TRIM($A1056),IF(_xlpm.id="","",SUM(COUNTIF('1. OP'!$M:$M,_xlpm.id),COUNTIF('2. JSEL'!$M:$M,_xlpm.id),COUNTIF('3. PSM'!$M:$M,_xlpm.id),COUNTIF('4. SSP'!$M:$M,_xlpm.id),COUNTIF('5. JSACI'!$M:$M,_xlpm.id),COUNTIF('6. AIN'!$M:$M,_xlpm.id),COUNTIF('7. MS'!$M:$M,_xlpm.id),COUNTIF('8. DS'!$M:$M,_xlpm.id),COUNTIF('9. RMF'!$M:$M,_xlpm.id),COUNTIF('10. PCU'!$M:$M,_xlpm.id))))</f>
        <v>0</v>
      </c>
    </row>
    <row r="1057" spans="1:9">
      <c r="A1057" t="s">
        <v>9048</v>
      </c>
      <c r="B1057" t="s">
        <v>8981</v>
      </c>
      <c r="C1057">
        <v>1839</v>
      </c>
      <c r="D1057">
        <v>1</v>
      </c>
      <c r="E1057" s="23">
        <v>68</v>
      </c>
      <c r="F1057" t="s">
        <v>8265</v>
      </c>
      <c r="G1057" t="s">
        <v>10494</v>
      </c>
      <c r="H1057" t="s">
        <v>8019</v>
      </c>
      <c r="I1057">
        <f>_xlfn.LET(_xlpm.id,TRIM($A1057),IF(_xlpm.id="","",SUM(COUNTIF('1. OP'!$M:$M,_xlpm.id),COUNTIF('2. JSEL'!$M:$M,_xlpm.id),COUNTIF('3. PSM'!$M:$M,_xlpm.id),COUNTIF('4. SSP'!$M:$M,_xlpm.id),COUNTIF('5. JSACI'!$M:$M,_xlpm.id),COUNTIF('6. AIN'!$M:$M,_xlpm.id),COUNTIF('7. MS'!$M:$M,_xlpm.id),COUNTIF('8. DS'!$M:$M,_xlpm.id),COUNTIF('9. RMF'!$M:$M,_xlpm.id),COUNTIF('10. PCU'!$M:$M,_xlpm.id))))</f>
        <v>0</v>
      </c>
    </row>
    <row r="1058" spans="1:9">
      <c r="A1058" t="s">
        <v>9049</v>
      </c>
      <c r="B1058" t="s">
        <v>8981</v>
      </c>
      <c r="C1058">
        <v>1839</v>
      </c>
      <c r="D1058">
        <v>1</v>
      </c>
      <c r="E1058" s="23">
        <v>69</v>
      </c>
      <c r="F1058" t="s">
        <v>8265</v>
      </c>
      <c r="G1058" t="s">
        <v>10494</v>
      </c>
      <c r="H1058" t="s">
        <v>8019</v>
      </c>
      <c r="I1058">
        <f>_xlfn.LET(_xlpm.id,TRIM($A1058),IF(_xlpm.id="","",SUM(COUNTIF('1. OP'!$M:$M,_xlpm.id),COUNTIF('2. JSEL'!$M:$M,_xlpm.id),COUNTIF('3. PSM'!$M:$M,_xlpm.id),COUNTIF('4. SSP'!$M:$M,_xlpm.id),COUNTIF('5. JSACI'!$M:$M,_xlpm.id),COUNTIF('6. AIN'!$M:$M,_xlpm.id),COUNTIF('7. MS'!$M:$M,_xlpm.id),COUNTIF('8. DS'!$M:$M,_xlpm.id),COUNTIF('9. RMF'!$M:$M,_xlpm.id),COUNTIF('10. PCU'!$M:$M,_xlpm.id))))</f>
        <v>0</v>
      </c>
    </row>
    <row r="1059" spans="1:9">
      <c r="A1059" t="s">
        <v>9050</v>
      </c>
      <c r="B1059" t="s">
        <v>8981</v>
      </c>
      <c r="C1059">
        <v>1840</v>
      </c>
      <c r="D1059">
        <v>1</v>
      </c>
      <c r="E1059" s="23">
        <v>70</v>
      </c>
      <c r="F1059" t="s">
        <v>8265</v>
      </c>
      <c r="G1059" t="s">
        <v>10494</v>
      </c>
      <c r="H1059" t="s">
        <v>8019</v>
      </c>
      <c r="I1059">
        <f>_xlfn.LET(_xlpm.id,TRIM($A1059),IF(_xlpm.id="","",SUM(COUNTIF('1. OP'!$M:$M,_xlpm.id),COUNTIF('2. JSEL'!$M:$M,_xlpm.id),COUNTIF('3. PSM'!$M:$M,_xlpm.id),COUNTIF('4. SSP'!$M:$M,_xlpm.id),COUNTIF('5. JSACI'!$M:$M,_xlpm.id),COUNTIF('6. AIN'!$M:$M,_xlpm.id),COUNTIF('7. MS'!$M:$M,_xlpm.id),COUNTIF('8. DS'!$M:$M,_xlpm.id),COUNTIF('9. RMF'!$M:$M,_xlpm.id),COUNTIF('10. PCU'!$M:$M,_xlpm.id))))</f>
        <v>0</v>
      </c>
    </row>
    <row r="1060" spans="1:9">
      <c r="A1060" t="s">
        <v>9051</v>
      </c>
      <c r="B1060" t="s">
        <v>8981</v>
      </c>
      <c r="C1060">
        <v>1840</v>
      </c>
      <c r="D1060">
        <v>1</v>
      </c>
      <c r="E1060" s="23">
        <v>71</v>
      </c>
      <c r="F1060" t="s">
        <v>8265</v>
      </c>
      <c r="G1060" t="s">
        <v>10494</v>
      </c>
      <c r="H1060" t="s">
        <v>8019</v>
      </c>
      <c r="I1060">
        <f>_xlfn.LET(_xlpm.id,TRIM($A1060),IF(_xlpm.id="","",SUM(COUNTIF('1. OP'!$M:$M,_xlpm.id),COUNTIF('2. JSEL'!$M:$M,_xlpm.id),COUNTIF('3. PSM'!$M:$M,_xlpm.id),COUNTIF('4. SSP'!$M:$M,_xlpm.id),COUNTIF('5. JSACI'!$M:$M,_xlpm.id),COUNTIF('6. AIN'!$M:$M,_xlpm.id),COUNTIF('7. MS'!$M:$M,_xlpm.id),COUNTIF('8. DS'!$M:$M,_xlpm.id),COUNTIF('9. RMF'!$M:$M,_xlpm.id),COUNTIF('10. PCU'!$M:$M,_xlpm.id))))</f>
        <v>0</v>
      </c>
    </row>
    <row r="1061" spans="1:9">
      <c r="A1061" t="s">
        <v>9052</v>
      </c>
      <c r="B1061" t="s">
        <v>9053</v>
      </c>
      <c r="C1061" t="s">
        <v>9054</v>
      </c>
      <c r="D1061">
        <v>1</v>
      </c>
      <c r="E1061" s="23">
        <v>1</v>
      </c>
      <c r="F1061" t="s">
        <v>8265</v>
      </c>
      <c r="G1061" t="s">
        <v>10494</v>
      </c>
      <c r="H1061" t="s">
        <v>8019</v>
      </c>
      <c r="I1061">
        <f>_xlfn.LET(_xlpm.id,TRIM($A1061),IF(_xlpm.id="","",SUM(COUNTIF('1. OP'!$M:$M,_xlpm.id),COUNTIF('2. JSEL'!$M:$M,_xlpm.id),COUNTIF('3. PSM'!$M:$M,_xlpm.id),COUNTIF('4. SSP'!$M:$M,_xlpm.id),COUNTIF('5. JSACI'!$M:$M,_xlpm.id),COUNTIF('6. AIN'!$M:$M,_xlpm.id),COUNTIF('7. MS'!$M:$M,_xlpm.id),COUNTIF('8. DS'!$M:$M,_xlpm.id),COUNTIF('9. RMF'!$M:$M,_xlpm.id),COUNTIF('10. PCU'!$M:$M,_xlpm.id))))</f>
        <v>0</v>
      </c>
    </row>
    <row r="1062" spans="1:9">
      <c r="A1062" t="s">
        <v>9055</v>
      </c>
      <c r="B1062" t="s">
        <v>9053</v>
      </c>
      <c r="C1062" t="s">
        <v>9056</v>
      </c>
      <c r="D1062">
        <v>1</v>
      </c>
      <c r="E1062" s="23">
        <v>2</v>
      </c>
      <c r="F1062" t="s">
        <v>8265</v>
      </c>
      <c r="G1062" t="s">
        <v>10494</v>
      </c>
      <c r="H1062" t="s">
        <v>8019</v>
      </c>
      <c r="I1062">
        <f>_xlfn.LET(_xlpm.id,TRIM($A1062),IF(_xlpm.id="","",SUM(COUNTIF('1. OP'!$M:$M,_xlpm.id),COUNTIF('2. JSEL'!$M:$M,_xlpm.id),COUNTIF('3. PSM'!$M:$M,_xlpm.id),COUNTIF('4. SSP'!$M:$M,_xlpm.id),COUNTIF('5. JSACI'!$M:$M,_xlpm.id),COUNTIF('6. AIN'!$M:$M,_xlpm.id),COUNTIF('7. MS'!$M:$M,_xlpm.id),COUNTIF('8. DS'!$M:$M,_xlpm.id),COUNTIF('9. RMF'!$M:$M,_xlpm.id),COUNTIF('10. PCU'!$M:$M,_xlpm.id))))</f>
        <v>0</v>
      </c>
    </row>
    <row r="1063" spans="1:9">
      <c r="A1063" t="s">
        <v>9057</v>
      </c>
      <c r="B1063" t="s">
        <v>9053</v>
      </c>
      <c r="C1063" t="s">
        <v>8529</v>
      </c>
      <c r="D1063">
        <v>1</v>
      </c>
      <c r="E1063" s="23">
        <v>3</v>
      </c>
      <c r="F1063" t="s">
        <v>8265</v>
      </c>
      <c r="G1063" t="s">
        <v>10494</v>
      </c>
      <c r="H1063" t="s">
        <v>8019</v>
      </c>
      <c r="I1063">
        <f>_xlfn.LET(_xlpm.id,TRIM($A1063),IF(_xlpm.id="","",SUM(COUNTIF('1. OP'!$M:$M,_xlpm.id),COUNTIF('2. JSEL'!$M:$M,_xlpm.id),COUNTIF('3. PSM'!$M:$M,_xlpm.id),COUNTIF('4. SSP'!$M:$M,_xlpm.id),COUNTIF('5. JSACI'!$M:$M,_xlpm.id),COUNTIF('6. AIN'!$M:$M,_xlpm.id),COUNTIF('7. MS'!$M:$M,_xlpm.id),COUNTIF('8. DS'!$M:$M,_xlpm.id),COUNTIF('9. RMF'!$M:$M,_xlpm.id),COUNTIF('10. PCU'!$M:$M,_xlpm.id))))</f>
        <v>0</v>
      </c>
    </row>
    <row r="1064" spans="1:9">
      <c r="A1064" t="s">
        <v>9058</v>
      </c>
      <c r="B1064" t="s">
        <v>9053</v>
      </c>
      <c r="C1064" t="s">
        <v>9059</v>
      </c>
      <c r="D1064">
        <v>1</v>
      </c>
      <c r="E1064" s="23">
        <v>4</v>
      </c>
      <c r="F1064" t="s">
        <v>8265</v>
      </c>
      <c r="G1064" t="s">
        <v>10494</v>
      </c>
      <c r="H1064" t="s">
        <v>8019</v>
      </c>
      <c r="I1064">
        <f>_xlfn.LET(_xlpm.id,TRIM($A1064),IF(_xlpm.id="","",SUM(COUNTIF('1. OP'!$M:$M,_xlpm.id),COUNTIF('2. JSEL'!$M:$M,_xlpm.id),COUNTIF('3. PSM'!$M:$M,_xlpm.id),COUNTIF('4. SSP'!$M:$M,_xlpm.id),COUNTIF('5. JSACI'!$M:$M,_xlpm.id),COUNTIF('6. AIN'!$M:$M,_xlpm.id),COUNTIF('7. MS'!$M:$M,_xlpm.id),COUNTIF('8. DS'!$M:$M,_xlpm.id),COUNTIF('9. RMF'!$M:$M,_xlpm.id),COUNTIF('10. PCU'!$M:$M,_xlpm.id))))</f>
        <v>0</v>
      </c>
    </row>
    <row r="1065" spans="1:9">
      <c r="A1065" t="s">
        <v>9060</v>
      </c>
      <c r="B1065" t="s">
        <v>9053</v>
      </c>
      <c r="C1065" t="s">
        <v>8259</v>
      </c>
      <c r="D1065">
        <v>1</v>
      </c>
      <c r="E1065" s="23">
        <v>5</v>
      </c>
      <c r="F1065" t="s">
        <v>8265</v>
      </c>
      <c r="G1065" t="s">
        <v>10494</v>
      </c>
      <c r="H1065" t="s">
        <v>8019</v>
      </c>
      <c r="I1065">
        <f>_xlfn.LET(_xlpm.id,TRIM($A1065),IF(_xlpm.id="","",SUM(COUNTIF('1. OP'!$M:$M,_xlpm.id),COUNTIF('2. JSEL'!$M:$M,_xlpm.id),COUNTIF('3. PSM'!$M:$M,_xlpm.id),COUNTIF('4. SSP'!$M:$M,_xlpm.id),COUNTIF('5. JSACI'!$M:$M,_xlpm.id),COUNTIF('6. AIN'!$M:$M,_xlpm.id),COUNTIF('7. MS'!$M:$M,_xlpm.id),COUNTIF('8. DS'!$M:$M,_xlpm.id),COUNTIF('9. RMF'!$M:$M,_xlpm.id),COUNTIF('10. PCU'!$M:$M,_xlpm.id))))</f>
        <v>0</v>
      </c>
    </row>
    <row r="1066" spans="1:9">
      <c r="A1066" t="s">
        <v>9061</v>
      </c>
      <c r="B1066" t="s">
        <v>9053</v>
      </c>
      <c r="C1066" t="s">
        <v>8260</v>
      </c>
      <c r="D1066">
        <v>1</v>
      </c>
      <c r="E1066" s="23">
        <v>6</v>
      </c>
      <c r="F1066" t="s">
        <v>8265</v>
      </c>
      <c r="G1066" t="s">
        <v>10494</v>
      </c>
      <c r="H1066" t="s">
        <v>8019</v>
      </c>
      <c r="I1066">
        <f>_xlfn.LET(_xlpm.id,TRIM($A1066),IF(_xlpm.id="","",SUM(COUNTIF('1. OP'!$M:$M,_xlpm.id),COUNTIF('2. JSEL'!$M:$M,_xlpm.id),COUNTIF('3. PSM'!$M:$M,_xlpm.id),COUNTIF('4. SSP'!$M:$M,_xlpm.id),COUNTIF('5. JSACI'!$M:$M,_xlpm.id),COUNTIF('6. AIN'!$M:$M,_xlpm.id),COUNTIF('7. MS'!$M:$M,_xlpm.id),COUNTIF('8. DS'!$M:$M,_xlpm.id),COUNTIF('9. RMF'!$M:$M,_xlpm.id),COUNTIF('10. PCU'!$M:$M,_xlpm.id))))</f>
        <v>0</v>
      </c>
    </row>
    <row r="1067" spans="1:9">
      <c r="A1067" t="s">
        <v>6713</v>
      </c>
      <c r="B1067" t="s">
        <v>9053</v>
      </c>
      <c r="C1067" t="s">
        <v>8254</v>
      </c>
      <c r="D1067">
        <v>1</v>
      </c>
      <c r="E1067" s="23">
        <v>7</v>
      </c>
      <c r="F1067" t="s">
        <v>8265</v>
      </c>
      <c r="G1067" t="s">
        <v>10494</v>
      </c>
      <c r="H1067" t="s">
        <v>8019</v>
      </c>
      <c r="I1067">
        <f>_xlfn.LET(_xlpm.id,TRIM($A1067),IF(_xlpm.id="","",SUM(COUNTIF('1. OP'!$M:$M,_xlpm.id),COUNTIF('2. JSEL'!$M:$M,_xlpm.id),COUNTIF('3. PSM'!$M:$M,_xlpm.id),COUNTIF('4. SSP'!$M:$M,_xlpm.id),COUNTIF('5. JSACI'!$M:$M,_xlpm.id),COUNTIF('6. AIN'!$M:$M,_xlpm.id),COUNTIF('7. MS'!$M:$M,_xlpm.id),COUNTIF('8. DS'!$M:$M,_xlpm.id),COUNTIF('9. RMF'!$M:$M,_xlpm.id),COUNTIF('10. PCU'!$M:$M,_xlpm.id))))</f>
        <v>1</v>
      </c>
    </row>
    <row r="1068" spans="1:9">
      <c r="A1068" t="s">
        <v>9062</v>
      </c>
      <c r="B1068" t="s">
        <v>9053</v>
      </c>
      <c r="C1068" t="s">
        <v>3040</v>
      </c>
      <c r="D1068">
        <v>1</v>
      </c>
      <c r="E1068" s="23">
        <v>8</v>
      </c>
      <c r="F1068" t="s">
        <v>8265</v>
      </c>
      <c r="G1068" t="s">
        <v>10494</v>
      </c>
      <c r="H1068" t="s">
        <v>8019</v>
      </c>
      <c r="I1068">
        <f>_xlfn.LET(_xlpm.id,TRIM($A1068),IF(_xlpm.id="","",SUM(COUNTIF('1. OP'!$M:$M,_xlpm.id),COUNTIF('2. JSEL'!$M:$M,_xlpm.id),COUNTIF('3. PSM'!$M:$M,_xlpm.id),COUNTIF('4. SSP'!$M:$M,_xlpm.id),COUNTIF('5. JSACI'!$M:$M,_xlpm.id),COUNTIF('6. AIN'!$M:$M,_xlpm.id),COUNTIF('7. MS'!$M:$M,_xlpm.id),COUNTIF('8. DS'!$M:$M,_xlpm.id),COUNTIF('9. RMF'!$M:$M,_xlpm.id),COUNTIF('10. PCU'!$M:$M,_xlpm.id))))</f>
        <v>0</v>
      </c>
    </row>
    <row r="1069" spans="1:9">
      <c r="A1069" t="s">
        <v>9063</v>
      </c>
      <c r="B1069" t="s">
        <v>9053</v>
      </c>
      <c r="C1069" t="s">
        <v>3041</v>
      </c>
      <c r="D1069">
        <v>1</v>
      </c>
      <c r="E1069" s="23">
        <v>9</v>
      </c>
      <c r="F1069" t="s">
        <v>8265</v>
      </c>
      <c r="G1069" t="s">
        <v>10494</v>
      </c>
      <c r="H1069" t="s">
        <v>8019</v>
      </c>
      <c r="I1069">
        <f>_xlfn.LET(_xlpm.id,TRIM($A1069),IF(_xlpm.id="","",SUM(COUNTIF('1. OP'!$M:$M,_xlpm.id),COUNTIF('2. JSEL'!$M:$M,_xlpm.id),COUNTIF('3. PSM'!$M:$M,_xlpm.id),COUNTIF('4. SSP'!$M:$M,_xlpm.id),COUNTIF('5. JSACI'!$M:$M,_xlpm.id),COUNTIF('6. AIN'!$M:$M,_xlpm.id),COUNTIF('7. MS'!$M:$M,_xlpm.id),COUNTIF('8. DS'!$M:$M,_xlpm.id),COUNTIF('9. RMF'!$M:$M,_xlpm.id),COUNTIF('10. PCU'!$M:$M,_xlpm.id))))</f>
        <v>0</v>
      </c>
    </row>
    <row r="1070" spans="1:9">
      <c r="A1070" t="s">
        <v>9064</v>
      </c>
      <c r="B1070" t="s">
        <v>9053</v>
      </c>
      <c r="C1070" t="s">
        <v>3042</v>
      </c>
      <c r="D1070">
        <v>1</v>
      </c>
      <c r="E1070" s="23">
        <v>10</v>
      </c>
      <c r="F1070" t="s">
        <v>8265</v>
      </c>
      <c r="G1070" t="s">
        <v>10494</v>
      </c>
      <c r="H1070" t="s">
        <v>8019</v>
      </c>
      <c r="I1070">
        <f>_xlfn.LET(_xlpm.id,TRIM($A1070),IF(_xlpm.id="","",SUM(COUNTIF('1. OP'!$M:$M,_xlpm.id),COUNTIF('2. JSEL'!$M:$M,_xlpm.id),COUNTIF('3. PSM'!$M:$M,_xlpm.id),COUNTIF('4. SSP'!$M:$M,_xlpm.id),COUNTIF('5. JSACI'!$M:$M,_xlpm.id),COUNTIF('6. AIN'!$M:$M,_xlpm.id),COUNTIF('7. MS'!$M:$M,_xlpm.id),COUNTIF('8. DS'!$M:$M,_xlpm.id),COUNTIF('9. RMF'!$M:$M,_xlpm.id),COUNTIF('10. PCU'!$M:$M,_xlpm.id))))</f>
        <v>0</v>
      </c>
    </row>
    <row r="1071" spans="1:9">
      <c r="A1071" t="s">
        <v>9065</v>
      </c>
      <c r="B1071" t="s">
        <v>9066</v>
      </c>
      <c r="C1071">
        <v>1824</v>
      </c>
      <c r="D1071">
        <v>1</v>
      </c>
      <c r="E1071" s="23">
        <v>1</v>
      </c>
      <c r="F1071" t="s">
        <v>8102</v>
      </c>
      <c r="G1071" t="s">
        <v>10484</v>
      </c>
      <c r="H1071" t="s">
        <v>8021</v>
      </c>
      <c r="I1071">
        <f>_xlfn.LET(_xlpm.id,TRIM($A1071),IF(_xlpm.id="","",SUM(COUNTIF('1. OP'!$M:$M,_xlpm.id),COUNTIF('2. JSEL'!$M:$M,_xlpm.id),COUNTIF('3. PSM'!$M:$M,_xlpm.id),COUNTIF('4. SSP'!$M:$M,_xlpm.id),COUNTIF('5. JSACI'!$M:$M,_xlpm.id),COUNTIF('6. AIN'!$M:$M,_xlpm.id),COUNTIF('7. MS'!$M:$M,_xlpm.id),COUNTIF('8. DS'!$M:$M,_xlpm.id),COUNTIF('9. RMF'!$M:$M,_xlpm.id),COUNTIF('10. PCU'!$M:$M,_xlpm.id))))</f>
        <v>0</v>
      </c>
    </row>
    <row r="1072" spans="1:9">
      <c r="A1072" t="s">
        <v>9067</v>
      </c>
      <c r="B1072" t="s">
        <v>9066</v>
      </c>
      <c r="C1072">
        <v>1825</v>
      </c>
      <c r="D1072">
        <v>1</v>
      </c>
      <c r="E1072" s="23">
        <v>2</v>
      </c>
      <c r="F1072" t="s">
        <v>8102</v>
      </c>
      <c r="G1072" t="s">
        <v>10484</v>
      </c>
      <c r="H1072" t="s">
        <v>8021</v>
      </c>
      <c r="I1072">
        <f>_xlfn.LET(_xlpm.id,TRIM($A1072),IF(_xlpm.id="","",SUM(COUNTIF('1. OP'!$M:$M,_xlpm.id),COUNTIF('2. JSEL'!$M:$M,_xlpm.id),COUNTIF('3. PSM'!$M:$M,_xlpm.id),COUNTIF('4. SSP'!$M:$M,_xlpm.id),COUNTIF('5. JSACI'!$M:$M,_xlpm.id),COUNTIF('6. AIN'!$M:$M,_xlpm.id),COUNTIF('7. MS'!$M:$M,_xlpm.id),COUNTIF('8. DS'!$M:$M,_xlpm.id),COUNTIF('9. RMF'!$M:$M,_xlpm.id),COUNTIF('10. PCU'!$M:$M,_xlpm.id))))</f>
        <v>0</v>
      </c>
    </row>
    <row r="1073" spans="1:9">
      <c r="A1073" t="s">
        <v>9068</v>
      </c>
      <c r="B1073" t="s">
        <v>9066</v>
      </c>
      <c r="C1073">
        <v>1826</v>
      </c>
      <c r="D1073">
        <v>1</v>
      </c>
      <c r="E1073" s="23">
        <v>3</v>
      </c>
      <c r="F1073" t="s">
        <v>8102</v>
      </c>
      <c r="G1073" t="s">
        <v>10484</v>
      </c>
      <c r="H1073" t="s">
        <v>8021</v>
      </c>
      <c r="I1073">
        <f>_xlfn.LET(_xlpm.id,TRIM($A1073),IF(_xlpm.id="","",SUM(COUNTIF('1. OP'!$M:$M,_xlpm.id),COUNTIF('2. JSEL'!$M:$M,_xlpm.id),COUNTIF('3. PSM'!$M:$M,_xlpm.id),COUNTIF('4. SSP'!$M:$M,_xlpm.id),COUNTIF('5. JSACI'!$M:$M,_xlpm.id),COUNTIF('6. AIN'!$M:$M,_xlpm.id),COUNTIF('7. MS'!$M:$M,_xlpm.id),COUNTIF('8. DS'!$M:$M,_xlpm.id),COUNTIF('9. RMF'!$M:$M,_xlpm.id),COUNTIF('10. PCU'!$M:$M,_xlpm.id))))</f>
        <v>0</v>
      </c>
    </row>
    <row r="1074" spans="1:9">
      <c r="A1074" t="s">
        <v>9069</v>
      </c>
      <c r="B1074" t="s">
        <v>9066</v>
      </c>
      <c r="C1074">
        <v>1827</v>
      </c>
      <c r="D1074">
        <v>1</v>
      </c>
      <c r="E1074" s="23">
        <v>4</v>
      </c>
      <c r="F1074" t="s">
        <v>8102</v>
      </c>
      <c r="G1074" t="s">
        <v>10484</v>
      </c>
      <c r="H1074" t="s">
        <v>8021</v>
      </c>
      <c r="I1074">
        <f>_xlfn.LET(_xlpm.id,TRIM($A1074),IF(_xlpm.id="","",SUM(COUNTIF('1. OP'!$M:$M,_xlpm.id),COUNTIF('2. JSEL'!$M:$M,_xlpm.id),COUNTIF('3. PSM'!$M:$M,_xlpm.id),COUNTIF('4. SSP'!$M:$M,_xlpm.id),COUNTIF('5. JSACI'!$M:$M,_xlpm.id),COUNTIF('6. AIN'!$M:$M,_xlpm.id),COUNTIF('7. MS'!$M:$M,_xlpm.id),COUNTIF('8. DS'!$M:$M,_xlpm.id),COUNTIF('9. RMF'!$M:$M,_xlpm.id),COUNTIF('10. PCU'!$M:$M,_xlpm.id))))</f>
        <v>0</v>
      </c>
    </row>
    <row r="1075" spans="1:9">
      <c r="A1075" t="s">
        <v>9070</v>
      </c>
      <c r="B1075" t="s">
        <v>9066</v>
      </c>
      <c r="C1075">
        <v>1828</v>
      </c>
      <c r="D1075">
        <v>1</v>
      </c>
      <c r="E1075" s="23">
        <v>5</v>
      </c>
      <c r="F1075" t="s">
        <v>8102</v>
      </c>
      <c r="G1075" t="s">
        <v>10484</v>
      </c>
      <c r="H1075" t="s">
        <v>8021</v>
      </c>
      <c r="I1075">
        <f>_xlfn.LET(_xlpm.id,TRIM($A1075),IF(_xlpm.id="","",SUM(COUNTIF('1. OP'!$M:$M,_xlpm.id),COUNTIF('2. JSEL'!$M:$M,_xlpm.id),COUNTIF('3. PSM'!$M:$M,_xlpm.id),COUNTIF('4. SSP'!$M:$M,_xlpm.id),COUNTIF('5. JSACI'!$M:$M,_xlpm.id),COUNTIF('6. AIN'!$M:$M,_xlpm.id),COUNTIF('7. MS'!$M:$M,_xlpm.id),COUNTIF('8. DS'!$M:$M,_xlpm.id),COUNTIF('9. RMF'!$M:$M,_xlpm.id),COUNTIF('10. PCU'!$M:$M,_xlpm.id))))</f>
        <v>0</v>
      </c>
    </row>
    <row r="1076" spans="1:9">
      <c r="A1076" t="s">
        <v>9071</v>
      </c>
      <c r="B1076" t="s">
        <v>9072</v>
      </c>
      <c r="C1076">
        <v>1821</v>
      </c>
      <c r="D1076">
        <v>1</v>
      </c>
      <c r="E1076" s="23">
        <v>1</v>
      </c>
      <c r="F1076" t="s">
        <v>8102</v>
      </c>
      <c r="G1076" t="s">
        <v>10484</v>
      </c>
      <c r="H1076" t="s">
        <v>8021</v>
      </c>
      <c r="I1076">
        <f>_xlfn.LET(_xlpm.id,TRIM($A1076),IF(_xlpm.id="","",SUM(COUNTIF('1. OP'!$M:$M,_xlpm.id),COUNTIF('2. JSEL'!$M:$M,_xlpm.id),COUNTIF('3. PSM'!$M:$M,_xlpm.id),COUNTIF('4. SSP'!$M:$M,_xlpm.id),COUNTIF('5. JSACI'!$M:$M,_xlpm.id),COUNTIF('6. AIN'!$M:$M,_xlpm.id),COUNTIF('7. MS'!$M:$M,_xlpm.id),COUNTIF('8. DS'!$M:$M,_xlpm.id),COUNTIF('9. RMF'!$M:$M,_xlpm.id),COUNTIF('10. PCU'!$M:$M,_xlpm.id))))</f>
        <v>0</v>
      </c>
    </row>
    <row r="1077" spans="1:9">
      <c r="A1077" t="s">
        <v>9073</v>
      </c>
      <c r="B1077" t="s">
        <v>9072</v>
      </c>
      <c r="C1077">
        <v>1822</v>
      </c>
      <c r="D1077">
        <v>1</v>
      </c>
      <c r="E1077" s="23">
        <v>2</v>
      </c>
      <c r="F1077" t="s">
        <v>8102</v>
      </c>
      <c r="G1077" t="s">
        <v>10484</v>
      </c>
      <c r="H1077" t="s">
        <v>8021</v>
      </c>
      <c r="I1077">
        <f>_xlfn.LET(_xlpm.id,TRIM($A1077),IF(_xlpm.id="","",SUM(COUNTIF('1. OP'!$M:$M,_xlpm.id),COUNTIF('2. JSEL'!$M:$M,_xlpm.id),COUNTIF('3. PSM'!$M:$M,_xlpm.id),COUNTIF('4. SSP'!$M:$M,_xlpm.id),COUNTIF('5. JSACI'!$M:$M,_xlpm.id),COUNTIF('6. AIN'!$M:$M,_xlpm.id),COUNTIF('7. MS'!$M:$M,_xlpm.id),COUNTIF('8. DS'!$M:$M,_xlpm.id),COUNTIF('9. RMF'!$M:$M,_xlpm.id),COUNTIF('10. PCU'!$M:$M,_xlpm.id))))</f>
        <v>0</v>
      </c>
    </row>
    <row r="1078" spans="1:9">
      <c r="A1078" t="s">
        <v>9074</v>
      </c>
      <c r="B1078" t="s">
        <v>9072</v>
      </c>
      <c r="C1078">
        <v>1823</v>
      </c>
      <c r="D1078">
        <v>1</v>
      </c>
      <c r="E1078" s="23">
        <v>3</v>
      </c>
      <c r="F1078" t="s">
        <v>8102</v>
      </c>
      <c r="G1078" t="s">
        <v>10484</v>
      </c>
      <c r="H1078" t="s">
        <v>8021</v>
      </c>
      <c r="I1078">
        <f>_xlfn.LET(_xlpm.id,TRIM($A1078),IF(_xlpm.id="","",SUM(COUNTIF('1. OP'!$M:$M,_xlpm.id),COUNTIF('2. JSEL'!$M:$M,_xlpm.id),COUNTIF('3. PSM'!$M:$M,_xlpm.id),COUNTIF('4. SSP'!$M:$M,_xlpm.id),COUNTIF('5. JSACI'!$M:$M,_xlpm.id),COUNTIF('6. AIN'!$M:$M,_xlpm.id),COUNTIF('7. MS'!$M:$M,_xlpm.id),COUNTIF('8. DS'!$M:$M,_xlpm.id),COUNTIF('9. RMF'!$M:$M,_xlpm.id),COUNTIF('10. PCU'!$M:$M,_xlpm.id))))</f>
        <v>0</v>
      </c>
    </row>
    <row r="1079" spans="1:9">
      <c r="A1079" t="s">
        <v>9075</v>
      </c>
      <c r="B1079" t="s">
        <v>9072</v>
      </c>
      <c r="C1079">
        <v>1824</v>
      </c>
      <c r="D1079">
        <v>1</v>
      </c>
      <c r="E1079" s="23">
        <v>4</v>
      </c>
      <c r="F1079" t="s">
        <v>8102</v>
      </c>
      <c r="G1079" t="s">
        <v>10484</v>
      </c>
      <c r="H1079" t="s">
        <v>8021</v>
      </c>
      <c r="I1079">
        <f>_xlfn.LET(_xlpm.id,TRIM($A1079),IF(_xlpm.id="","",SUM(COUNTIF('1. OP'!$M:$M,_xlpm.id),COUNTIF('2. JSEL'!$M:$M,_xlpm.id),COUNTIF('3. PSM'!$M:$M,_xlpm.id),COUNTIF('4. SSP'!$M:$M,_xlpm.id),COUNTIF('5. JSACI'!$M:$M,_xlpm.id),COUNTIF('6. AIN'!$M:$M,_xlpm.id),COUNTIF('7. MS'!$M:$M,_xlpm.id),COUNTIF('8. DS'!$M:$M,_xlpm.id),COUNTIF('9. RMF'!$M:$M,_xlpm.id),COUNTIF('10. PCU'!$M:$M,_xlpm.id))))</f>
        <v>0</v>
      </c>
    </row>
    <row r="1080" spans="1:9">
      <c r="A1080" t="s">
        <v>9076</v>
      </c>
      <c r="B1080" t="s">
        <v>9072</v>
      </c>
      <c r="C1080">
        <v>1825</v>
      </c>
      <c r="D1080">
        <v>1</v>
      </c>
      <c r="E1080" s="23">
        <v>5</v>
      </c>
      <c r="F1080" t="s">
        <v>8102</v>
      </c>
      <c r="G1080" t="s">
        <v>10484</v>
      </c>
      <c r="H1080" t="s">
        <v>8021</v>
      </c>
      <c r="I1080">
        <f>_xlfn.LET(_xlpm.id,TRIM($A1080),IF(_xlpm.id="","",SUM(COUNTIF('1. OP'!$M:$M,_xlpm.id),COUNTIF('2. JSEL'!$M:$M,_xlpm.id),COUNTIF('3. PSM'!$M:$M,_xlpm.id),COUNTIF('4. SSP'!$M:$M,_xlpm.id),COUNTIF('5. JSACI'!$M:$M,_xlpm.id),COUNTIF('6. AIN'!$M:$M,_xlpm.id),COUNTIF('7. MS'!$M:$M,_xlpm.id),COUNTIF('8. DS'!$M:$M,_xlpm.id),COUNTIF('9. RMF'!$M:$M,_xlpm.id),COUNTIF('10. PCU'!$M:$M,_xlpm.id))))</f>
        <v>0</v>
      </c>
    </row>
    <row r="1081" spans="1:9">
      <c r="A1081" t="s">
        <v>5021</v>
      </c>
      <c r="B1081" t="s">
        <v>9072</v>
      </c>
      <c r="C1081">
        <v>1826</v>
      </c>
      <c r="D1081">
        <v>1</v>
      </c>
      <c r="E1081" s="23">
        <v>6</v>
      </c>
      <c r="F1081" t="s">
        <v>8102</v>
      </c>
      <c r="G1081" t="s">
        <v>10484</v>
      </c>
      <c r="H1081" t="s">
        <v>8021</v>
      </c>
      <c r="I1081">
        <f>_xlfn.LET(_xlpm.id,TRIM($A1081),IF(_xlpm.id="","",SUM(COUNTIF('1. OP'!$M:$M,_xlpm.id),COUNTIF('2. JSEL'!$M:$M,_xlpm.id),COUNTIF('3. PSM'!$M:$M,_xlpm.id),COUNTIF('4. SSP'!$M:$M,_xlpm.id),COUNTIF('5. JSACI'!$M:$M,_xlpm.id),COUNTIF('6. AIN'!$M:$M,_xlpm.id),COUNTIF('7. MS'!$M:$M,_xlpm.id),COUNTIF('8. DS'!$M:$M,_xlpm.id),COUNTIF('9. RMF'!$M:$M,_xlpm.id),COUNTIF('10. PCU'!$M:$M,_xlpm.id))))</f>
        <v>4</v>
      </c>
    </row>
    <row r="1082" spans="1:9">
      <c r="A1082" t="s">
        <v>9077</v>
      </c>
      <c r="B1082" t="s">
        <v>9072</v>
      </c>
      <c r="C1082">
        <v>1827</v>
      </c>
      <c r="D1082">
        <v>1</v>
      </c>
      <c r="E1082" s="23">
        <v>7</v>
      </c>
      <c r="F1082" t="s">
        <v>8102</v>
      </c>
      <c r="G1082" t="s">
        <v>10484</v>
      </c>
      <c r="H1082" t="s">
        <v>8021</v>
      </c>
      <c r="I1082">
        <f>_xlfn.LET(_xlpm.id,TRIM($A1082),IF(_xlpm.id="","",SUM(COUNTIF('1. OP'!$M:$M,_xlpm.id),COUNTIF('2. JSEL'!$M:$M,_xlpm.id),COUNTIF('3. PSM'!$M:$M,_xlpm.id),COUNTIF('4. SSP'!$M:$M,_xlpm.id),COUNTIF('5. JSACI'!$M:$M,_xlpm.id),COUNTIF('6. AIN'!$M:$M,_xlpm.id),COUNTIF('7. MS'!$M:$M,_xlpm.id),COUNTIF('8. DS'!$M:$M,_xlpm.id),COUNTIF('9. RMF'!$M:$M,_xlpm.id),COUNTIF('10. PCU'!$M:$M,_xlpm.id))))</f>
        <v>0</v>
      </c>
    </row>
    <row r="1083" spans="1:9">
      <c r="A1083" t="s">
        <v>9078</v>
      </c>
      <c r="B1083" t="s">
        <v>9072</v>
      </c>
      <c r="C1083">
        <v>1828</v>
      </c>
      <c r="D1083">
        <v>1</v>
      </c>
      <c r="E1083" s="23">
        <v>8</v>
      </c>
      <c r="F1083" t="s">
        <v>8102</v>
      </c>
      <c r="G1083" t="s">
        <v>10484</v>
      </c>
      <c r="H1083" t="s">
        <v>8021</v>
      </c>
      <c r="I1083">
        <f>_xlfn.LET(_xlpm.id,TRIM($A1083),IF(_xlpm.id="","",SUM(COUNTIF('1. OP'!$M:$M,_xlpm.id),COUNTIF('2. JSEL'!$M:$M,_xlpm.id),COUNTIF('3. PSM'!$M:$M,_xlpm.id),COUNTIF('4. SSP'!$M:$M,_xlpm.id),COUNTIF('5. JSACI'!$M:$M,_xlpm.id),COUNTIF('6. AIN'!$M:$M,_xlpm.id),COUNTIF('7. MS'!$M:$M,_xlpm.id),COUNTIF('8. DS'!$M:$M,_xlpm.id),COUNTIF('9. RMF'!$M:$M,_xlpm.id),COUNTIF('10. PCU'!$M:$M,_xlpm.id))))</f>
        <v>0</v>
      </c>
    </row>
    <row r="1084" spans="1:9">
      <c r="A1084" t="s">
        <v>9079</v>
      </c>
      <c r="B1084" t="s">
        <v>9072</v>
      </c>
      <c r="C1084">
        <v>1829</v>
      </c>
      <c r="D1084">
        <v>1</v>
      </c>
      <c r="E1084" s="23">
        <v>9</v>
      </c>
      <c r="F1084" t="s">
        <v>8102</v>
      </c>
      <c r="G1084" t="s">
        <v>10484</v>
      </c>
      <c r="H1084" t="s">
        <v>8021</v>
      </c>
      <c r="I1084">
        <f>_xlfn.LET(_xlpm.id,TRIM($A1084),IF(_xlpm.id="","",SUM(COUNTIF('1. OP'!$M:$M,_xlpm.id),COUNTIF('2. JSEL'!$M:$M,_xlpm.id),COUNTIF('3. PSM'!$M:$M,_xlpm.id),COUNTIF('4. SSP'!$M:$M,_xlpm.id),COUNTIF('5. JSACI'!$M:$M,_xlpm.id),COUNTIF('6. AIN'!$M:$M,_xlpm.id),COUNTIF('7. MS'!$M:$M,_xlpm.id),COUNTIF('8. DS'!$M:$M,_xlpm.id),COUNTIF('9. RMF'!$M:$M,_xlpm.id),COUNTIF('10. PCU'!$M:$M,_xlpm.id))))</f>
        <v>0</v>
      </c>
    </row>
    <row r="1085" spans="1:9">
      <c r="A1085" t="s">
        <v>9080</v>
      </c>
      <c r="B1085" t="s">
        <v>9072</v>
      </c>
      <c r="C1085">
        <v>1830</v>
      </c>
      <c r="D1085">
        <v>1</v>
      </c>
      <c r="E1085" s="23">
        <v>10</v>
      </c>
      <c r="F1085" t="s">
        <v>8102</v>
      </c>
      <c r="G1085" t="s">
        <v>10484</v>
      </c>
      <c r="H1085" t="s">
        <v>8021</v>
      </c>
      <c r="I1085">
        <f>_xlfn.LET(_xlpm.id,TRIM($A1085),IF(_xlpm.id="","",SUM(COUNTIF('1. OP'!$M:$M,_xlpm.id),COUNTIF('2. JSEL'!$M:$M,_xlpm.id),COUNTIF('3. PSM'!$M:$M,_xlpm.id),COUNTIF('4. SSP'!$M:$M,_xlpm.id),COUNTIF('5. JSACI'!$M:$M,_xlpm.id),COUNTIF('6. AIN'!$M:$M,_xlpm.id),COUNTIF('7. MS'!$M:$M,_xlpm.id),COUNTIF('8. DS'!$M:$M,_xlpm.id),COUNTIF('9. RMF'!$M:$M,_xlpm.id),COUNTIF('10. PCU'!$M:$M,_xlpm.id))))</f>
        <v>0</v>
      </c>
    </row>
    <row r="1086" spans="1:9">
      <c r="A1086" t="s">
        <v>9081</v>
      </c>
      <c r="B1086" t="s">
        <v>9072</v>
      </c>
      <c r="C1086">
        <v>1831</v>
      </c>
      <c r="D1086">
        <v>1</v>
      </c>
      <c r="E1086" s="23">
        <v>11</v>
      </c>
      <c r="F1086" t="s">
        <v>8102</v>
      </c>
      <c r="G1086" t="s">
        <v>10484</v>
      </c>
      <c r="H1086" t="s">
        <v>8021</v>
      </c>
      <c r="I1086">
        <f>_xlfn.LET(_xlpm.id,TRIM($A1086),IF(_xlpm.id="","",SUM(COUNTIF('1. OP'!$M:$M,_xlpm.id),COUNTIF('2. JSEL'!$M:$M,_xlpm.id),COUNTIF('3. PSM'!$M:$M,_xlpm.id),COUNTIF('4. SSP'!$M:$M,_xlpm.id),COUNTIF('5. JSACI'!$M:$M,_xlpm.id),COUNTIF('6. AIN'!$M:$M,_xlpm.id),COUNTIF('7. MS'!$M:$M,_xlpm.id),COUNTIF('8. DS'!$M:$M,_xlpm.id),COUNTIF('9. RMF'!$M:$M,_xlpm.id),COUNTIF('10. PCU'!$M:$M,_xlpm.id))))</f>
        <v>0</v>
      </c>
    </row>
    <row r="1087" spans="1:9">
      <c r="A1087" t="s">
        <v>9082</v>
      </c>
      <c r="B1087" t="s">
        <v>9083</v>
      </c>
      <c r="C1087">
        <v>1820</v>
      </c>
      <c r="D1087">
        <v>1</v>
      </c>
      <c r="E1087" s="23">
        <v>1</v>
      </c>
      <c r="F1087" t="s">
        <v>8102</v>
      </c>
      <c r="G1087" t="s">
        <v>10484</v>
      </c>
      <c r="H1087" t="s">
        <v>8021</v>
      </c>
      <c r="I1087">
        <f>_xlfn.LET(_xlpm.id,TRIM($A1087),IF(_xlpm.id="","",SUM(COUNTIF('1. OP'!$M:$M,_xlpm.id),COUNTIF('2. JSEL'!$M:$M,_xlpm.id),COUNTIF('3. PSM'!$M:$M,_xlpm.id),COUNTIF('4. SSP'!$M:$M,_xlpm.id),COUNTIF('5. JSACI'!$M:$M,_xlpm.id),COUNTIF('6. AIN'!$M:$M,_xlpm.id),COUNTIF('7. MS'!$M:$M,_xlpm.id),COUNTIF('8. DS'!$M:$M,_xlpm.id),COUNTIF('9. RMF'!$M:$M,_xlpm.id),COUNTIF('10. PCU'!$M:$M,_xlpm.id))))</f>
        <v>0</v>
      </c>
    </row>
    <row r="1088" spans="1:9">
      <c r="A1088" t="s">
        <v>9084</v>
      </c>
      <c r="B1088" t="s">
        <v>9083</v>
      </c>
      <c r="C1088">
        <v>1820</v>
      </c>
      <c r="D1088">
        <v>1</v>
      </c>
      <c r="E1088" s="23">
        <v>2</v>
      </c>
      <c r="F1088" t="s">
        <v>8102</v>
      </c>
      <c r="G1088" t="s">
        <v>10484</v>
      </c>
      <c r="H1088" t="s">
        <v>8021</v>
      </c>
      <c r="I1088">
        <f>_xlfn.LET(_xlpm.id,TRIM($A1088),IF(_xlpm.id="","",SUM(COUNTIF('1. OP'!$M:$M,_xlpm.id),COUNTIF('2. JSEL'!$M:$M,_xlpm.id),COUNTIF('3. PSM'!$M:$M,_xlpm.id),COUNTIF('4. SSP'!$M:$M,_xlpm.id),COUNTIF('5. JSACI'!$M:$M,_xlpm.id),COUNTIF('6. AIN'!$M:$M,_xlpm.id),COUNTIF('7. MS'!$M:$M,_xlpm.id),COUNTIF('8. DS'!$M:$M,_xlpm.id),COUNTIF('9. RMF'!$M:$M,_xlpm.id),COUNTIF('10. PCU'!$M:$M,_xlpm.id))))</f>
        <v>0</v>
      </c>
    </row>
    <row r="1089" spans="1:9">
      <c r="A1089" t="s">
        <v>9085</v>
      </c>
      <c r="B1089" t="s">
        <v>9083</v>
      </c>
      <c r="C1089">
        <v>1821</v>
      </c>
      <c r="D1089">
        <v>1</v>
      </c>
      <c r="E1089" s="23">
        <v>3</v>
      </c>
      <c r="F1089" t="s">
        <v>8102</v>
      </c>
      <c r="G1089" t="s">
        <v>10484</v>
      </c>
      <c r="H1089" t="s">
        <v>8021</v>
      </c>
      <c r="I1089">
        <f>_xlfn.LET(_xlpm.id,TRIM($A1089),IF(_xlpm.id="","",SUM(COUNTIF('1. OP'!$M:$M,_xlpm.id),COUNTIF('2. JSEL'!$M:$M,_xlpm.id),COUNTIF('3. PSM'!$M:$M,_xlpm.id),COUNTIF('4. SSP'!$M:$M,_xlpm.id),COUNTIF('5. JSACI'!$M:$M,_xlpm.id),COUNTIF('6. AIN'!$M:$M,_xlpm.id),COUNTIF('7. MS'!$M:$M,_xlpm.id),COUNTIF('8. DS'!$M:$M,_xlpm.id),COUNTIF('9. RMF'!$M:$M,_xlpm.id),COUNTIF('10. PCU'!$M:$M,_xlpm.id))))</f>
        <v>0</v>
      </c>
    </row>
    <row r="1090" spans="1:9">
      <c r="A1090" t="s">
        <v>9086</v>
      </c>
      <c r="B1090" t="s">
        <v>9083</v>
      </c>
      <c r="C1090">
        <v>1821</v>
      </c>
      <c r="D1090">
        <v>1</v>
      </c>
      <c r="E1090" s="23">
        <v>4</v>
      </c>
      <c r="F1090" t="s">
        <v>8102</v>
      </c>
      <c r="G1090" t="s">
        <v>10484</v>
      </c>
      <c r="H1090" t="s">
        <v>8021</v>
      </c>
      <c r="I1090">
        <f>_xlfn.LET(_xlpm.id,TRIM($A1090),IF(_xlpm.id="","",SUM(COUNTIF('1. OP'!$M:$M,_xlpm.id),COUNTIF('2. JSEL'!$M:$M,_xlpm.id),COUNTIF('3. PSM'!$M:$M,_xlpm.id),COUNTIF('4. SSP'!$M:$M,_xlpm.id),COUNTIF('5. JSACI'!$M:$M,_xlpm.id),COUNTIF('6. AIN'!$M:$M,_xlpm.id),COUNTIF('7. MS'!$M:$M,_xlpm.id),COUNTIF('8. DS'!$M:$M,_xlpm.id),COUNTIF('9. RMF'!$M:$M,_xlpm.id),COUNTIF('10. PCU'!$M:$M,_xlpm.id))))</f>
        <v>0</v>
      </c>
    </row>
    <row r="1091" spans="1:9">
      <c r="A1091" t="s">
        <v>9087</v>
      </c>
      <c r="B1091" t="s">
        <v>9083</v>
      </c>
      <c r="C1091">
        <v>1822</v>
      </c>
      <c r="D1091">
        <v>1</v>
      </c>
      <c r="E1091" s="23">
        <v>5</v>
      </c>
      <c r="F1091" t="s">
        <v>8102</v>
      </c>
      <c r="G1091" t="s">
        <v>10484</v>
      </c>
      <c r="H1091" t="s">
        <v>8021</v>
      </c>
      <c r="I1091">
        <f>_xlfn.LET(_xlpm.id,TRIM($A1091),IF(_xlpm.id="","",SUM(COUNTIF('1. OP'!$M:$M,_xlpm.id),COUNTIF('2. JSEL'!$M:$M,_xlpm.id),COUNTIF('3. PSM'!$M:$M,_xlpm.id),COUNTIF('4. SSP'!$M:$M,_xlpm.id),COUNTIF('5. JSACI'!$M:$M,_xlpm.id),COUNTIF('6. AIN'!$M:$M,_xlpm.id),COUNTIF('7. MS'!$M:$M,_xlpm.id),COUNTIF('8. DS'!$M:$M,_xlpm.id),COUNTIF('9. RMF'!$M:$M,_xlpm.id),COUNTIF('10. PCU'!$M:$M,_xlpm.id))))</f>
        <v>0</v>
      </c>
    </row>
    <row r="1092" spans="1:9">
      <c r="A1092" t="s">
        <v>6439</v>
      </c>
      <c r="B1092" t="s">
        <v>9083</v>
      </c>
      <c r="C1092">
        <v>1822</v>
      </c>
      <c r="D1092">
        <v>1</v>
      </c>
      <c r="E1092" s="23">
        <v>6</v>
      </c>
      <c r="F1092" t="s">
        <v>8102</v>
      </c>
      <c r="G1092" t="s">
        <v>10484</v>
      </c>
      <c r="H1092" t="s">
        <v>8021</v>
      </c>
      <c r="I1092">
        <f>_xlfn.LET(_xlpm.id,TRIM($A1092),IF(_xlpm.id="","",SUM(COUNTIF('1. OP'!$M:$M,_xlpm.id),COUNTIF('2. JSEL'!$M:$M,_xlpm.id),COUNTIF('3. PSM'!$M:$M,_xlpm.id),COUNTIF('4. SSP'!$M:$M,_xlpm.id),COUNTIF('5. JSACI'!$M:$M,_xlpm.id),COUNTIF('6. AIN'!$M:$M,_xlpm.id),COUNTIF('7. MS'!$M:$M,_xlpm.id),COUNTIF('8. DS'!$M:$M,_xlpm.id),COUNTIF('9. RMF'!$M:$M,_xlpm.id),COUNTIF('10. PCU'!$M:$M,_xlpm.id))))</f>
        <v>1</v>
      </c>
    </row>
    <row r="1093" spans="1:9">
      <c r="A1093" t="s">
        <v>9088</v>
      </c>
      <c r="B1093" t="s">
        <v>9083</v>
      </c>
      <c r="C1093">
        <v>1822</v>
      </c>
      <c r="D1093">
        <v>1</v>
      </c>
      <c r="E1093" s="23">
        <v>7</v>
      </c>
      <c r="F1093" t="s">
        <v>8102</v>
      </c>
      <c r="G1093" t="s">
        <v>10484</v>
      </c>
      <c r="H1093" t="s">
        <v>8021</v>
      </c>
      <c r="I1093">
        <f>_xlfn.LET(_xlpm.id,TRIM($A1093),IF(_xlpm.id="","",SUM(COUNTIF('1. OP'!$M:$M,_xlpm.id),COUNTIF('2. JSEL'!$M:$M,_xlpm.id),COUNTIF('3. PSM'!$M:$M,_xlpm.id),COUNTIF('4. SSP'!$M:$M,_xlpm.id),COUNTIF('5. JSACI'!$M:$M,_xlpm.id),COUNTIF('6. AIN'!$M:$M,_xlpm.id),COUNTIF('7. MS'!$M:$M,_xlpm.id),COUNTIF('8. DS'!$M:$M,_xlpm.id),COUNTIF('9. RMF'!$M:$M,_xlpm.id),COUNTIF('10. PCU'!$M:$M,_xlpm.id))))</f>
        <v>0</v>
      </c>
    </row>
    <row r="1094" spans="1:9">
      <c r="A1094" t="s">
        <v>9089</v>
      </c>
      <c r="B1094" t="s">
        <v>9083</v>
      </c>
      <c r="C1094">
        <v>1822</v>
      </c>
      <c r="D1094">
        <v>1</v>
      </c>
      <c r="E1094" s="23">
        <v>8</v>
      </c>
      <c r="F1094" t="s">
        <v>8102</v>
      </c>
      <c r="G1094" t="s">
        <v>10484</v>
      </c>
      <c r="H1094" t="s">
        <v>8021</v>
      </c>
      <c r="I1094">
        <f>_xlfn.LET(_xlpm.id,TRIM($A1094),IF(_xlpm.id="","",SUM(COUNTIF('1. OP'!$M:$M,_xlpm.id),COUNTIF('2. JSEL'!$M:$M,_xlpm.id),COUNTIF('3. PSM'!$M:$M,_xlpm.id),COUNTIF('4. SSP'!$M:$M,_xlpm.id),COUNTIF('5. JSACI'!$M:$M,_xlpm.id),COUNTIF('6. AIN'!$M:$M,_xlpm.id),COUNTIF('7. MS'!$M:$M,_xlpm.id),COUNTIF('8. DS'!$M:$M,_xlpm.id),COUNTIF('9. RMF'!$M:$M,_xlpm.id),COUNTIF('10. PCU'!$M:$M,_xlpm.id))))</f>
        <v>0</v>
      </c>
    </row>
    <row r="1095" spans="1:9">
      <c r="A1095" t="s">
        <v>9090</v>
      </c>
      <c r="B1095" t="s">
        <v>9083</v>
      </c>
      <c r="C1095">
        <v>1823</v>
      </c>
      <c r="D1095">
        <v>1</v>
      </c>
      <c r="E1095" s="23">
        <v>9</v>
      </c>
      <c r="F1095" t="s">
        <v>8102</v>
      </c>
      <c r="G1095" t="s">
        <v>10484</v>
      </c>
      <c r="H1095" t="s">
        <v>8021</v>
      </c>
      <c r="I1095">
        <f>_xlfn.LET(_xlpm.id,TRIM($A1095),IF(_xlpm.id="","",SUM(COUNTIF('1. OP'!$M:$M,_xlpm.id),COUNTIF('2. JSEL'!$M:$M,_xlpm.id),COUNTIF('3. PSM'!$M:$M,_xlpm.id),COUNTIF('4. SSP'!$M:$M,_xlpm.id),COUNTIF('5. JSACI'!$M:$M,_xlpm.id),COUNTIF('6. AIN'!$M:$M,_xlpm.id),COUNTIF('7. MS'!$M:$M,_xlpm.id),COUNTIF('8. DS'!$M:$M,_xlpm.id),COUNTIF('9. RMF'!$M:$M,_xlpm.id),COUNTIF('10. PCU'!$M:$M,_xlpm.id))))</f>
        <v>0</v>
      </c>
    </row>
    <row r="1096" spans="1:9">
      <c r="A1096" t="s">
        <v>9091</v>
      </c>
      <c r="B1096" t="s">
        <v>9083</v>
      </c>
      <c r="C1096">
        <v>1823</v>
      </c>
      <c r="D1096">
        <v>1</v>
      </c>
      <c r="E1096" s="23">
        <v>10</v>
      </c>
      <c r="F1096" t="s">
        <v>8102</v>
      </c>
      <c r="G1096" t="s">
        <v>10484</v>
      </c>
      <c r="H1096" t="s">
        <v>8021</v>
      </c>
      <c r="I1096">
        <f>_xlfn.LET(_xlpm.id,TRIM($A1096),IF(_xlpm.id="","",SUM(COUNTIF('1. OP'!$M:$M,_xlpm.id),COUNTIF('2. JSEL'!$M:$M,_xlpm.id),COUNTIF('3. PSM'!$M:$M,_xlpm.id),COUNTIF('4. SSP'!$M:$M,_xlpm.id),COUNTIF('5. JSACI'!$M:$M,_xlpm.id),COUNTIF('6. AIN'!$M:$M,_xlpm.id),COUNTIF('7. MS'!$M:$M,_xlpm.id),COUNTIF('8. DS'!$M:$M,_xlpm.id),COUNTIF('9. RMF'!$M:$M,_xlpm.id),COUNTIF('10. PCU'!$M:$M,_xlpm.id))))</f>
        <v>0</v>
      </c>
    </row>
    <row r="1097" spans="1:9">
      <c r="A1097" t="s">
        <v>9092</v>
      </c>
      <c r="B1097" t="s">
        <v>9083</v>
      </c>
      <c r="C1097">
        <v>1823</v>
      </c>
      <c r="D1097">
        <v>1</v>
      </c>
      <c r="E1097" s="23">
        <v>11</v>
      </c>
      <c r="F1097" t="s">
        <v>8102</v>
      </c>
      <c r="G1097" t="s">
        <v>10484</v>
      </c>
      <c r="H1097" t="s">
        <v>8021</v>
      </c>
      <c r="I1097">
        <f>_xlfn.LET(_xlpm.id,TRIM($A1097),IF(_xlpm.id="","",SUM(COUNTIF('1. OP'!$M:$M,_xlpm.id),COUNTIF('2. JSEL'!$M:$M,_xlpm.id),COUNTIF('3. PSM'!$M:$M,_xlpm.id),COUNTIF('4. SSP'!$M:$M,_xlpm.id),COUNTIF('5. JSACI'!$M:$M,_xlpm.id),COUNTIF('6. AIN'!$M:$M,_xlpm.id),COUNTIF('7. MS'!$M:$M,_xlpm.id),COUNTIF('8. DS'!$M:$M,_xlpm.id),COUNTIF('9. RMF'!$M:$M,_xlpm.id),COUNTIF('10. PCU'!$M:$M,_xlpm.id))))</f>
        <v>0</v>
      </c>
    </row>
    <row r="1098" spans="1:9">
      <c r="A1098" t="s">
        <v>9093</v>
      </c>
      <c r="B1098" t="s">
        <v>9083</v>
      </c>
      <c r="C1098">
        <v>1823</v>
      </c>
      <c r="D1098">
        <v>1</v>
      </c>
      <c r="E1098" s="23">
        <v>12</v>
      </c>
      <c r="F1098" t="s">
        <v>8102</v>
      </c>
      <c r="G1098" t="s">
        <v>10484</v>
      </c>
      <c r="H1098" t="s">
        <v>8021</v>
      </c>
      <c r="I1098">
        <f>_xlfn.LET(_xlpm.id,TRIM($A1098),IF(_xlpm.id="","",SUM(COUNTIF('1. OP'!$M:$M,_xlpm.id),COUNTIF('2. JSEL'!$M:$M,_xlpm.id),COUNTIF('3. PSM'!$M:$M,_xlpm.id),COUNTIF('4. SSP'!$M:$M,_xlpm.id),COUNTIF('5. JSACI'!$M:$M,_xlpm.id),COUNTIF('6. AIN'!$M:$M,_xlpm.id),COUNTIF('7. MS'!$M:$M,_xlpm.id),COUNTIF('8. DS'!$M:$M,_xlpm.id),COUNTIF('9. RMF'!$M:$M,_xlpm.id),COUNTIF('10. PCU'!$M:$M,_xlpm.id))))</f>
        <v>0</v>
      </c>
    </row>
    <row r="1099" spans="1:9">
      <c r="A1099" t="s">
        <v>9094</v>
      </c>
      <c r="B1099" t="s">
        <v>9083</v>
      </c>
      <c r="C1099">
        <v>1824</v>
      </c>
      <c r="D1099">
        <v>1</v>
      </c>
      <c r="E1099" s="23">
        <v>13</v>
      </c>
      <c r="F1099" t="s">
        <v>8102</v>
      </c>
      <c r="G1099" t="s">
        <v>10484</v>
      </c>
      <c r="H1099" t="s">
        <v>8021</v>
      </c>
      <c r="I1099">
        <f>_xlfn.LET(_xlpm.id,TRIM($A1099),IF(_xlpm.id="","",SUM(COUNTIF('1. OP'!$M:$M,_xlpm.id),COUNTIF('2. JSEL'!$M:$M,_xlpm.id),COUNTIF('3. PSM'!$M:$M,_xlpm.id),COUNTIF('4. SSP'!$M:$M,_xlpm.id),COUNTIF('5. JSACI'!$M:$M,_xlpm.id),COUNTIF('6. AIN'!$M:$M,_xlpm.id),COUNTIF('7. MS'!$M:$M,_xlpm.id),COUNTIF('8. DS'!$M:$M,_xlpm.id),COUNTIF('9. RMF'!$M:$M,_xlpm.id),COUNTIF('10. PCU'!$M:$M,_xlpm.id))))</f>
        <v>0</v>
      </c>
    </row>
    <row r="1100" spans="1:9">
      <c r="A1100" t="s">
        <v>9095</v>
      </c>
      <c r="B1100" t="s">
        <v>9083</v>
      </c>
      <c r="C1100">
        <v>1824</v>
      </c>
      <c r="D1100">
        <v>1</v>
      </c>
      <c r="E1100" s="23">
        <v>14</v>
      </c>
      <c r="F1100" t="s">
        <v>8102</v>
      </c>
      <c r="G1100" t="s">
        <v>10484</v>
      </c>
      <c r="H1100" t="s">
        <v>8021</v>
      </c>
      <c r="I1100">
        <f>_xlfn.LET(_xlpm.id,TRIM($A1100),IF(_xlpm.id="","",SUM(COUNTIF('1. OP'!$M:$M,_xlpm.id),COUNTIF('2. JSEL'!$M:$M,_xlpm.id),COUNTIF('3. PSM'!$M:$M,_xlpm.id),COUNTIF('4. SSP'!$M:$M,_xlpm.id),COUNTIF('5. JSACI'!$M:$M,_xlpm.id),COUNTIF('6. AIN'!$M:$M,_xlpm.id),COUNTIF('7. MS'!$M:$M,_xlpm.id),COUNTIF('8. DS'!$M:$M,_xlpm.id),COUNTIF('9. RMF'!$M:$M,_xlpm.id),COUNTIF('10. PCU'!$M:$M,_xlpm.id))))</f>
        <v>0</v>
      </c>
    </row>
    <row r="1101" spans="1:9">
      <c r="A1101" t="s">
        <v>9096</v>
      </c>
      <c r="B1101" t="s">
        <v>9083</v>
      </c>
      <c r="C1101">
        <v>1824</v>
      </c>
      <c r="D1101">
        <v>1</v>
      </c>
      <c r="E1101" s="23">
        <v>15</v>
      </c>
      <c r="F1101" t="s">
        <v>8102</v>
      </c>
      <c r="G1101" t="s">
        <v>10484</v>
      </c>
      <c r="H1101" t="s">
        <v>8021</v>
      </c>
      <c r="I1101">
        <f>_xlfn.LET(_xlpm.id,TRIM($A1101),IF(_xlpm.id="","",SUM(COUNTIF('1. OP'!$M:$M,_xlpm.id),COUNTIF('2. JSEL'!$M:$M,_xlpm.id),COUNTIF('3. PSM'!$M:$M,_xlpm.id),COUNTIF('4. SSP'!$M:$M,_xlpm.id),COUNTIF('5. JSACI'!$M:$M,_xlpm.id),COUNTIF('6. AIN'!$M:$M,_xlpm.id),COUNTIF('7. MS'!$M:$M,_xlpm.id),COUNTIF('8. DS'!$M:$M,_xlpm.id),COUNTIF('9. RMF'!$M:$M,_xlpm.id),COUNTIF('10. PCU'!$M:$M,_xlpm.id))))</f>
        <v>0</v>
      </c>
    </row>
    <row r="1102" spans="1:9">
      <c r="A1102" t="s">
        <v>9097</v>
      </c>
      <c r="B1102" t="s">
        <v>9083</v>
      </c>
      <c r="C1102">
        <v>1824</v>
      </c>
      <c r="D1102">
        <v>1</v>
      </c>
      <c r="E1102" s="23">
        <v>16</v>
      </c>
      <c r="F1102" t="s">
        <v>8102</v>
      </c>
      <c r="G1102" t="s">
        <v>10484</v>
      </c>
      <c r="H1102" t="s">
        <v>8021</v>
      </c>
      <c r="I1102">
        <f>_xlfn.LET(_xlpm.id,TRIM($A1102),IF(_xlpm.id="","",SUM(COUNTIF('1. OP'!$M:$M,_xlpm.id),COUNTIF('2. JSEL'!$M:$M,_xlpm.id),COUNTIF('3. PSM'!$M:$M,_xlpm.id),COUNTIF('4. SSP'!$M:$M,_xlpm.id),COUNTIF('5. JSACI'!$M:$M,_xlpm.id),COUNTIF('6. AIN'!$M:$M,_xlpm.id),COUNTIF('7. MS'!$M:$M,_xlpm.id),COUNTIF('8. DS'!$M:$M,_xlpm.id),COUNTIF('9. RMF'!$M:$M,_xlpm.id),COUNTIF('10. PCU'!$M:$M,_xlpm.id))))</f>
        <v>0</v>
      </c>
    </row>
    <row r="1103" spans="1:9">
      <c r="A1103" t="s">
        <v>9098</v>
      </c>
      <c r="B1103" t="s">
        <v>9083</v>
      </c>
      <c r="C1103">
        <v>1825</v>
      </c>
      <c r="D1103">
        <v>1</v>
      </c>
      <c r="E1103" s="23">
        <v>17</v>
      </c>
      <c r="F1103" t="s">
        <v>8102</v>
      </c>
      <c r="G1103" t="s">
        <v>10484</v>
      </c>
      <c r="H1103" t="s">
        <v>8021</v>
      </c>
      <c r="I1103">
        <f>_xlfn.LET(_xlpm.id,TRIM($A1103),IF(_xlpm.id="","",SUM(COUNTIF('1. OP'!$M:$M,_xlpm.id),COUNTIF('2. JSEL'!$M:$M,_xlpm.id),COUNTIF('3. PSM'!$M:$M,_xlpm.id),COUNTIF('4. SSP'!$M:$M,_xlpm.id),COUNTIF('5. JSACI'!$M:$M,_xlpm.id),COUNTIF('6. AIN'!$M:$M,_xlpm.id),COUNTIF('7. MS'!$M:$M,_xlpm.id),COUNTIF('8. DS'!$M:$M,_xlpm.id),COUNTIF('9. RMF'!$M:$M,_xlpm.id),COUNTIF('10. PCU'!$M:$M,_xlpm.id))))</f>
        <v>0</v>
      </c>
    </row>
    <row r="1104" spans="1:9">
      <c r="A1104" t="s">
        <v>9099</v>
      </c>
      <c r="B1104" t="s">
        <v>9083</v>
      </c>
      <c r="C1104">
        <v>1825</v>
      </c>
      <c r="D1104">
        <v>1</v>
      </c>
      <c r="E1104" s="23">
        <v>18</v>
      </c>
      <c r="F1104" t="s">
        <v>8102</v>
      </c>
      <c r="G1104" t="s">
        <v>10484</v>
      </c>
      <c r="H1104" t="s">
        <v>8021</v>
      </c>
      <c r="I1104">
        <f>_xlfn.LET(_xlpm.id,TRIM($A1104),IF(_xlpm.id="","",SUM(COUNTIF('1. OP'!$M:$M,_xlpm.id),COUNTIF('2. JSEL'!$M:$M,_xlpm.id),COUNTIF('3. PSM'!$M:$M,_xlpm.id),COUNTIF('4. SSP'!$M:$M,_xlpm.id),COUNTIF('5. JSACI'!$M:$M,_xlpm.id),COUNTIF('6. AIN'!$M:$M,_xlpm.id),COUNTIF('7. MS'!$M:$M,_xlpm.id),COUNTIF('8. DS'!$M:$M,_xlpm.id),COUNTIF('9. RMF'!$M:$M,_xlpm.id),COUNTIF('10. PCU'!$M:$M,_xlpm.id))))</f>
        <v>0</v>
      </c>
    </row>
    <row r="1105" spans="1:9">
      <c r="A1105" t="s">
        <v>9100</v>
      </c>
      <c r="B1105" t="s">
        <v>9083</v>
      </c>
      <c r="C1105">
        <v>1825</v>
      </c>
      <c r="D1105">
        <v>1</v>
      </c>
      <c r="E1105" s="23">
        <v>19</v>
      </c>
      <c r="F1105" t="s">
        <v>8102</v>
      </c>
      <c r="G1105" t="s">
        <v>10484</v>
      </c>
      <c r="H1105" t="s">
        <v>8021</v>
      </c>
      <c r="I1105">
        <f>_xlfn.LET(_xlpm.id,TRIM($A1105),IF(_xlpm.id="","",SUM(COUNTIF('1. OP'!$M:$M,_xlpm.id),COUNTIF('2. JSEL'!$M:$M,_xlpm.id),COUNTIF('3. PSM'!$M:$M,_xlpm.id),COUNTIF('4. SSP'!$M:$M,_xlpm.id),COUNTIF('5. JSACI'!$M:$M,_xlpm.id),COUNTIF('6. AIN'!$M:$M,_xlpm.id),COUNTIF('7. MS'!$M:$M,_xlpm.id),COUNTIF('8. DS'!$M:$M,_xlpm.id),COUNTIF('9. RMF'!$M:$M,_xlpm.id),COUNTIF('10. PCU'!$M:$M,_xlpm.id))))</f>
        <v>0</v>
      </c>
    </row>
    <row r="1106" spans="1:9">
      <c r="A1106" t="s">
        <v>9101</v>
      </c>
      <c r="B1106" t="s">
        <v>9083</v>
      </c>
      <c r="C1106">
        <v>1825</v>
      </c>
      <c r="D1106">
        <v>1</v>
      </c>
      <c r="E1106" s="23">
        <v>20</v>
      </c>
      <c r="F1106" t="s">
        <v>8102</v>
      </c>
      <c r="G1106" t="s">
        <v>10484</v>
      </c>
      <c r="H1106" t="s">
        <v>8021</v>
      </c>
      <c r="I1106">
        <f>_xlfn.LET(_xlpm.id,TRIM($A1106),IF(_xlpm.id="","",SUM(COUNTIF('1. OP'!$M:$M,_xlpm.id),COUNTIF('2. JSEL'!$M:$M,_xlpm.id),COUNTIF('3. PSM'!$M:$M,_xlpm.id),COUNTIF('4. SSP'!$M:$M,_xlpm.id),COUNTIF('5. JSACI'!$M:$M,_xlpm.id),COUNTIF('6. AIN'!$M:$M,_xlpm.id),COUNTIF('7. MS'!$M:$M,_xlpm.id),COUNTIF('8. DS'!$M:$M,_xlpm.id),COUNTIF('9. RMF'!$M:$M,_xlpm.id),COUNTIF('10. PCU'!$M:$M,_xlpm.id))))</f>
        <v>0</v>
      </c>
    </row>
    <row r="1107" spans="1:9">
      <c r="A1107" t="s">
        <v>9102</v>
      </c>
      <c r="B1107" t="s">
        <v>9083</v>
      </c>
      <c r="C1107">
        <v>1826</v>
      </c>
      <c r="D1107">
        <v>1</v>
      </c>
      <c r="E1107" s="23">
        <v>21</v>
      </c>
      <c r="F1107" t="s">
        <v>8102</v>
      </c>
      <c r="G1107" t="s">
        <v>10484</v>
      </c>
      <c r="H1107" t="s">
        <v>8021</v>
      </c>
      <c r="I1107">
        <f>_xlfn.LET(_xlpm.id,TRIM($A1107),IF(_xlpm.id="","",SUM(COUNTIF('1. OP'!$M:$M,_xlpm.id),COUNTIF('2. JSEL'!$M:$M,_xlpm.id),COUNTIF('3. PSM'!$M:$M,_xlpm.id),COUNTIF('4. SSP'!$M:$M,_xlpm.id),COUNTIF('5. JSACI'!$M:$M,_xlpm.id),COUNTIF('6. AIN'!$M:$M,_xlpm.id),COUNTIF('7. MS'!$M:$M,_xlpm.id),COUNTIF('8. DS'!$M:$M,_xlpm.id),COUNTIF('9. RMF'!$M:$M,_xlpm.id),COUNTIF('10. PCU'!$M:$M,_xlpm.id))))</f>
        <v>0</v>
      </c>
    </row>
    <row r="1108" spans="1:9">
      <c r="A1108" t="s">
        <v>9103</v>
      </c>
      <c r="B1108" t="s">
        <v>9083</v>
      </c>
      <c r="C1108">
        <v>1826</v>
      </c>
      <c r="D1108">
        <v>1</v>
      </c>
      <c r="E1108" s="23">
        <v>22</v>
      </c>
      <c r="F1108" t="s">
        <v>8102</v>
      </c>
      <c r="G1108" t="s">
        <v>10484</v>
      </c>
      <c r="H1108" t="s">
        <v>8021</v>
      </c>
      <c r="I1108">
        <f>_xlfn.LET(_xlpm.id,TRIM($A1108),IF(_xlpm.id="","",SUM(COUNTIF('1. OP'!$M:$M,_xlpm.id),COUNTIF('2. JSEL'!$M:$M,_xlpm.id),COUNTIF('3. PSM'!$M:$M,_xlpm.id),COUNTIF('4. SSP'!$M:$M,_xlpm.id),COUNTIF('5. JSACI'!$M:$M,_xlpm.id),COUNTIF('6. AIN'!$M:$M,_xlpm.id),COUNTIF('7. MS'!$M:$M,_xlpm.id),COUNTIF('8. DS'!$M:$M,_xlpm.id),COUNTIF('9. RMF'!$M:$M,_xlpm.id),COUNTIF('10. PCU'!$M:$M,_xlpm.id))))</f>
        <v>0</v>
      </c>
    </row>
    <row r="1109" spans="1:9">
      <c r="A1109" t="s">
        <v>9104</v>
      </c>
      <c r="B1109" t="s">
        <v>9083</v>
      </c>
      <c r="C1109">
        <v>1826</v>
      </c>
      <c r="D1109">
        <v>1</v>
      </c>
      <c r="E1109" s="23">
        <v>23</v>
      </c>
      <c r="F1109" t="s">
        <v>8102</v>
      </c>
      <c r="G1109" t="s">
        <v>10484</v>
      </c>
      <c r="H1109" t="s">
        <v>8021</v>
      </c>
      <c r="I1109">
        <f>_xlfn.LET(_xlpm.id,TRIM($A1109),IF(_xlpm.id="","",SUM(COUNTIF('1. OP'!$M:$M,_xlpm.id),COUNTIF('2. JSEL'!$M:$M,_xlpm.id),COUNTIF('3. PSM'!$M:$M,_xlpm.id),COUNTIF('4. SSP'!$M:$M,_xlpm.id),COUNTIF('5. JSACI'!$M:$M,_xlpm.id),COUNTIF('6. AIN'!$M:$M,_xlpm.id),COUNTIF('7. MS'!$M:$M,_xlpm.id),COUNTIF('8. DS'!$M:$M,_xlpm.id),COUNTIF('9. RMF'!$M:$M,_xlpm.id),COUNTIF('10. PCU'!$M:$M,_xlpm.id))))</f>
        <v>0</v>
      </c>
    </row>
    <row r="1110" spans="1:9">
      <c r="A1110" t="s">
        <v>9105</v>
      </c>
      <c r="B1110" t="s">
        <v>9083</v>
      </c>
      <c r="C1110">
        <v>1827</v>
      </c>
      <c r="D1110">
        <v>1</v>
      </c>
      <c r="E1110" s="23">
        <v>24</v>
      </c>
      <c r="F1110" t="s">
        <v>8102</v>
      </c>
      <c r="G1110" t="s">
        <v>10484</v>
      </c>
      <c r="H1110" t="s">
        <v>8021</v>
      </c>
      <c r="I1110">
        <f>_xlfn.LET(_xlpm.id,TRIM($A1110),IF(_xlpm.id="","",SUM(COUNTIF('1. OP'!$M:$M,_xlpm.id),COUNTIF('2. JSEL'!$M:$M,_xlpm.id),COUNTIF('3. PSM'!$M:$M,_xlpm.id),COUNTIF('4. SSP'!$M:$M,_xlpm.id),COUNTIF('5. JSACI'!$M:$M,_xlpm.id),COUNTIF('6. AIN'!$M:$M,_xlpm.id),COUNTIF('7. MS'!$M:$M,_xlpm.id),COUNTIF('8. DS'!$M:$M,_xlpm.id),COUNTIF('9. RMF'!$M:$M,_xlpm.id),COUNTIF('10. PCU'!$M:$M,_xlpm.id))))</f>
        <v>0</v>
      </c>
    </row>
    <row r="1111" spans="1:9">
      <c r="A1111" t="s">
        <v>9106</v>
      </c>
      <c r="B1111" t="s">
        <v>4518</v>
      </c>
      <c r="C1111">
        <v>1818</v>
      </c>
      <c r="D1111">
        <v>1</v>
      </c>
      <c r="E1111" s="23">
        <v>1</v>
      </c>
      <c r="F1111" t="s">
        <v>8102</v>
      </c>
      <c r="G1111" t="s">
        <v>10484</v>
      </c>
      <c r="H1111" t="s">
        <v>8021</v>
      </c>
      <c r="I1111">
        <f>_xlfn.LET(_xlpm.id,TRIM($A1111),IF(_xlpm.id="","",SUM(COUNTIF('1. OP'!$M:$M,_xlpm.id),COUNTIF('2. JSEL'!$M:$M,_xlpm.id),COUNTIF('3. PSM'!$M:$M,_xlpm.id),COUNTIF('4. SSP'!$M:$M,_xlpm.id),COUNTIF('5. JSACI'!$M:$M,_xlpm.id),COUNTIF('6. AIN'!$M:$M,_xlpm.id),COUNTIF('7. MS'!$M:$M,_xlpm.id),COUNTIF('8. DS'!$M:$M,_xlpm.id),COUNTIF('9. RMF'!$M:$M,_xlpm.id),COUNTIF('10. PCU'!$M:$M,_xlpm.id))))</f>
        <v>0</v>
      </c>
    </row>
    <row r="1112" spans="1:9">
      <c r="A1112" t="s">
        <v>9107</v>
      </c>
      <c r="B1112" t="s">
        <v>4518</v>
      </c>
      <c r="C1112">
        <v>1818</v>
      </c>
      <c r="D1112">
        <v>1</v>
      </c>
      <c r="E1112" s="23">
        <v>2</v>
      </c>
      <c r="F1112" t="s">
        <v>8102</v>
      </c>
      <c r="G1112" t="s">
        <v>10484</v>
      </c>
      <c r="H1112" t="s">
        <v>8021</v>
      </c>
      <c r="I1112">
        <f>_xlfn.LET(_xlpm.id,TRIM($A1112),IF(_xlpm.id="","",SUM(COUNTIF('1. OP'!$M:$M,_xlpm.id),COUNTIF('2. JSEL'!$M:$M,_xlpm.id),COUNTIF('3. PSM'!$M:$M,_xlpm.id),COUNTIF('4. SSP'!$M:$M,_xlpm.id),COUNTIF('5. JSACI'!$M:$M,_xlpm.id),COUNTIF('6. AIN'!$M:$M,_xlpm.id),COUNTIF('7. MS'!$M:$M,_xlpm.id),COUNTIF('8. DS'!$M:$M,_xlpm.id),COUNTIF('9. RMF'!$M:$M,_xlpm.id),COUNTIF('10. PCU'!$M:$M,_xlpm.id))))</f>
        <v>0</v>
      </c>
    </row>
    <row r="1113" spans="1:9">
      <c r="A1113" t="s">
        <v>9108</v>
      </c>
      <c r="B1113" t="s">
        <v>4518</v>
      </c>
      <c r="C1113">
        <v>1819</v>
      </c>
      <c r="D1113">
        <v>1</v>
      </c>
      <c r="E1113" s="23">
        <v>3</v>
      </c>
      <c r="F1113" t="s">
        <v>8102</v>
      </c>
      <c r="G1113" t="s">
        <v>10484</v>
      </c>
      <c r="H1113" t="s">
        <v>8021</v>
      </c>
      <c r="I1113">
        <f>_xlfn.LET(_xlpm.id,TRIM($A1113),IF(_xlpm.id="","",SUM(COUNTIF('1. OP'!$M:$M,_xlpm.id),COUNTIF('2. JSEL'!$M:$M,_xlpm.id),COUNTIF('3. PSM'!$M:$M,_xlpm.id),COUNTIF('4. SSP'!$M:$M,_xlpm.id),COUNTIF('5. JSACI'!$M:$M,_xlpm.id),COUNTIF('6. AIN'!$M:$M,_xlpm.id),COUNTIF('7. MS'!$M:$M,_xlpm.id),COUNTIF('8. DS'!$M:$M,_xlpm.id),COUNTIF('9. RMF'!$M:$M,_xlpm.id),COUNTIF('10. PCU'!$M:$M,_xlpm.id))))</f>
        <v>0</v>
      </c>
    </row>
    <row r="1114" spans="1:9">
      <c r="A1114" t="s">
        <v>9109</v>
      </c>
      <c r="B1114" t="s">
        <v>4518</v>
      </c>
      <c r="C1114">
        <v>1819</v>
      </c>
      <c r="D1114">
        <v>1</v>
      </c>
      <c r="E1114" s="23">
        <v>4</v>
      </c>
      <c r="F1114" t="s">
        <v>8102</v>
      </c>
      <c r="G1114" t="s">
        <v>10484</v>
      </c>
      <c r="H1114" t="s">
        <v>8021</v>
      </c>
      <c r="I1114">
        <f>_xlfn.LET(_xlpm.id,TRIM($A1114),IF(_xlpm.id="","",SUM(COUNTIF('1. OP'!$M:$M,_xlpm.id),COUNTIF('2. JSEL'!$M:$M,_xlpm.id),COUNTIF('3. PSM'!$M:$M,_xlpm.id),COUNTIF('4. SSP'!$M:$M,_xlpm.id),COUNTIF('5. JSACI'!$M:$M,_xlpm.id),COUNTIF('6. AIN'!$M:$M,_xlpm.id),COUNTIF('7. MS'!$M:$M,_xlpm.id),COUNTIF('8. DS'!$M:$M,_xlpm.id),COUNTIF('9. RMF'!$M:$M,_xlpm.id),COUNTIF('10. PCU'!$M:$M,_xlpm.id))))</f>
        <v>0</v>
      </c>
    </row>
    <row r="1115" spans="1:9">
      <c r="A1115" t="s">
        <v>9110</v>
      </c>
      <c r="B1115" t="s">
        <v>4518</v>
      </c>
      <c r="C1115">
        <v>1819</v>
      </c>
      <c r="D1115">
        <v>1</v>
      </c>
      <c r="E1115" s="23">
        <v>5</v>
      </c>
      <c r="F1115" t="s">
        <v>8102</v>
      </c>
      <c r="G1115" t="s">
        <v>10484</v>
      </c>
      <c r="H1115" t="s">
        <v>8021</v>
      </c>
      <c r="I1115">
        <f>_xlfn.LET(_xlpm.id,TRIM($A1115),IF(_xlpm.id="","",SUM(COUNTIF('1. OP'!$M:$M,_xlpm.id),COUNTIF('2. JSEL'!$M:$M,_xlpm.id),COUNTIF('3. PSM'!$M:$M,_xlpm.id),COUNTIF('4. SSP'!$M:$M,_xlpm.id),COUNTIF('5. JSACI'!$M:$M,_xlpm.id),COUNTIF('6. AIN'!$M:$M,_xlpm.id),COUNTIF('7. MS'!$M:$M,_xlpm.id),COUNTIF('8. DS'!$M:$M,_xlpm.id),COUNTIF('9. RMF'!$M:$M,_xlpm.id),COUNTIF('10. PCU'!$M:$M,_xlpm.id))))</f>
        <v>0</v>
      </c>
    </row>
    <row r="1116" spans="1:9">
      <c r="A1116" t="s">
        <v>9111</v>
      </c>
      <c r="B1116" t="s">
        <v>4518</v>
      </c>
      <c r="C1116">
        <v>1820</v>
      </c>
      <c r="D1116">
        <v>1</v>
      </c>
      <c r="E1116" s="23">
        <v>6</v>
      </c>
      <c r="F1116" t="s">
        <v>8102</v>
      </c>
      <c r="G1116" t="s">
        <v>10484</v>
      </c>
      <c r="H1116" t="s">
        <v>8021</v>
      </c>
      <c r="I1116">
        <f>_xlfn.LET(_xlpm.id,TRIM($A1116),IF(_xlpm.id="","",SUM(COUNTIF('1. OP'!$M:$M,_xlpm.id),COUNTIF('2. JSEL'!$M:$M,_xlpm.id),COUNTIF('3. PSM'!$M:$M,_xlpm.id),COUNTIF('4. SSP'!$M:$M,_xlpm.id),COUNTIF('5. JSACI'!$M:$M,_xlpm.id),COUNTIF('6. AIN'!$M:$M,_xlpm.id),COUNTIF('7. MS'!$M:$M,_xlpm.id),COUNTIF('8. DS'!$M:$M,_xlpm.id),COUNTIF('9. RMF'!$M:$M,_xlpm.id),COUNTIF('10. PCU'!$M:$M,_xlpm.id))))</f>
        <v>0</v>
      </c>
    </row>
    <row r="1117" spans="1:9">
      <c r="A1117" t="s">
        <v>9112</v>
      </c>
      <c r="B1117" t="s">
        <v>4518</v>
      </c>
      <c r="C1117">
        <v>1820</v>
      </c>
      <c r="D1117">
        <v>1</v>
      </c>
      <c r="E1117" s="23">
        <v>7</v>
      </c>
      <c r="F1117" t="s">
        <v>8102</v>
      </c>
      <c r="G1117" t="s">
        <v>10484</v>
      </c>
      <c r="H1117" t="s">
        <v>8021</v>
      </c>
      <c r="I1117">
        <f>_xlfn.LET(_xlpm.id,TRIM($A1117),IF(_xlpm.id="","",SUM(COUNTIF('1. OP'!$M:$M,_xlpm.id),COUNTIF('2. JSEL'!$M:$M,_xlpm.id),COUNTIF('3. PSM'!$M:$M,_xlpm.id),COUNTIF('4. SSP'!$M:$M,_xlpm.id),COUNTIF('5. JSACI'!$M:$M,_xlpm.id),COUNTIF('6. AIN'!$M:$M,_xlpm.id),COUNTIF('7. MS'!$M:$M,_xlpm.id),COUNTIF('8. DS'!$M:$M,_xlpm.id),COUNTIF('9. RMF'!$M:$M,_xlpm.id),COUNTIF('10. PCU'!$M:$M,_xlpm.id))))</f>
        <v>0</v>
      </c>
    </row>
    <row r="1118" spans="1:9">
      <c r="A1118" t="s">
        <v>9113</v>
      </c>
      <c r="B1118" t="s">
        <v>4518</v>
      </c>
      <c r="C1118">
        <v>1820</v>
      </c>
      <c r="D1118">
        <v>1</v>
      </c>
      <c r="E1118" s="23">
        <v>8</v>
      </c>
      <c r="F1118" t="s">
        <v>8102</v>
      </c>
      <c r="G1118" t="s">
        <v>10484</v>
      </c>
      <c r="H1118" t="s">
        <v>8021</v>
      </c>
      <c r="I1118">
        <f>_xlfn.LET(_xlpm.id,TRIM($A1118),IF(_xlpm.id="","",SUM(COUNTIF('1. OP'!$M:$M,_xlpm.id),COUNTIF('2. JSEL'!$M:$M,_xlpm.id),COUNTIF('3. PSM'!$M:$M,_xlpm.id),COUNTIF('4. SSP'!$M:$M,_xlpm.id),COUNTIF('5. JSACI'!$M:$M,_xlpm.id),COUNTIF('6. AIN'!$M:$M,_xlpm.id),COUNTIF('7. MS'!$M:$M,_xlpm.id),COUNTIF('8. DS'!$M:$M,_xlpm.id),COUNTIF('9. RMF'!$M:$M,_xlpm.id),COUNTIF('10. PCU'!$M:$M,_xlpm.id))))</f>
        <v>0</v>
      </c>
    </row>
    <row r="1119" spans="1:9">
      <c r="A1119" t="s">
        <v>9114</v>
      </c>
      <c r="B1119" t="s">
        <v>4518</v>
      </c>
      <c r="C1119">
        <v>1821</v>
      </c>
      <c r="D1119">
        <v>1</v>
      </c>
      <c r="E1119" s="23">
        <v>9</v>
      </c>
      <c r="F1119" t="s">
        <v>8102</v>
      </c>
      <c r="G1119" t="s">
        <v>10484</v>
      </c>
      <c r="H1119" t="s">
        <v>8021</v>
      </c>
      <c r="I1119">
        <f>_xlfn.LET(_xlpm.id,TRIM($A1119),IF(_xlpm.id="","",SUM(COUNTIF('1. OP'!$M:$M,_xlpm.id),COUNTIF('2. JSEL'!$M:$M,_xlpm.id),COUNTIF('3. PSM'!$M:$M,_xlpm.id),COUNTIF('4. SSP'!$M:$M,_xlpm.id),COUNTIF('5. JSACI'!$M:$M,_xlpm.id),COUNTIF('6. AIN'!$M:$M,_xlpm.id),COUNTIF('7. MS'!$M:$M,_xlpm.id),COUNTIF('8. DS'!$M:$M,_xlpm.id),COUNTIF('9. RMF'!$M:$M,_xlpm.id),COUNTIF('10. PCU'!$M:$M,_xlpm.id))))</f>
        <v>0</v>
      </c>
    </row>
    <row r="1120" spans="1:9">
      <c r="A1120" t="s">
        <v>9115</v>
      </c>
      <c r="B1120" t="s">
        <v>4518</v>
      </c>
      <c r="C1120">
        <v>1821</v>
      </c>
      <c r="D1120">
        <v>1</v>
      </c>
      <c r="E1120" s="23">
        <v>10</v>
      </c>
      <c r="F1120" t="s">
        <v>8102</v>
      </c>
      <c r="G1120" t="s">
        <v>10484</v>
      </c>
      <c r="H1120" t="s">
        <v>8021</v>
      </c>
      <c r="I1120">
        <f>_xlfn.LET(_xlpm.id,TRIM($A1120),IF(_xlpm.id="","",SUM(COUNTIF('1. OP'!$M:$M,_xlpm.id),COUNTIF('2. JSEL'!$M:$M,_xlpm.id),COUNTIF('3. PSM'!$M:$M,_xlpm.id),COUNTIF('4. SSP'!$M:$M,_xlpm.id),COUNTIF('5. JSACI'!$M:$M,_xlpm.id),COUNTIF('6. AIN'!$M:$M,_xlpm.id),COUNTIF('7. MS'!$M:$M,_xlpm.id),COUNTIF('8. DS'!$M:$M,_xlpm.id),COUNTIF('9. RMF'!$M:$M,_xlpm.id),COUNTIF('10. PCU'!$M:$M,_xlpm.id))))</f>
        <v>0</v>
      </c>
    </row>
    <row r="1121" spans="1:9">
      <c r="A1121" t="s">
        <v>9116</v>
      </c>
      <c r="B1121" t="s">
        <v>4518</v>
      </c>
      <c r="C1121">
        <v>1821</v>
      </c>
      <c r="D1121">
        <v>1</v>
      </c>
      <c r="E1121" s="23">
        <v>11</v>
      </c>
      <c r="F1121" t="s">
        <v>8102</v>
      </c>
      <c r="G1121" t="s">
        <v>10484</v>
      </c>
      <c r="H1121" t="s">
        <v>8021</v>
      </c>
      <c r="I1121">
        <f>_xlfn.LET(_xlpm.id,TRIM($A1121),IF(_xlpm.id="","",SUM(COUNTIF('1. OP'!$M:$M,_xlpm.id),COUNTIF('2. JSEL'!$M:$M,_xlpm.id),COUNTIF('3. PSM'!$M:$M,_xlpm.id),COUNTIF('4. SSP'!$M:$M,_xlpm.id),COUNTIF('5. JSACI'!$M:$M,_xlpm.id),COUNTIF('6. AIN'!$M:$M,_xlpm.id),COUNTIF('7. MS'!$M:$M,_xlpm.id),COUNTIF('8. DS'!$M:$M,_xlpm.id),COUNTIF('9. RMF'!$M:$M,_xlpm.id),COUNTIF('10. PCU'!$M:$M,_xlpm.id))))</f>
        <v>0</v>
      </c>
    </row>
    <row r="1122" spans="1:9">
      <c r="A1122" t="s">
        <v>9117</v>
      </c>
      <c r="B1122" t="s">
        <v>4518</v>
      </c>
      <c r="C1122">
        <v>1822</v>
      </c>
      <c r="D1122">
        <v>1</v>
      </c>
      <c r="E1122" s="23">
        <v>12</v>
      </c>
      <c r="F1122" t="s">
        <v>8102</v>
      </c>
      <c r="G1122" t="s">
        <v>10484</v>
      </c>
      <c r="H1122" t="s">
        <v>8021</v>
      </c>
      <c r="I1122">
        <f>_xlfn.LET(_xlpm.id,TRIM($A1122),IF(_xlpm.id="","",SUM(COUNTIF('1. OP'!$M:$M,_xlpm.id),COUNTIF('2. JSEL'!$M:$M,_xlpm.id),COUNTIF('3. PSM'!$M:$M,_xlpm.id),COUNTIF('4. SSP'!$M:$M,_xlpm.id),COUNTIF('5. JSACI'!$M:$M,_xlpm.id),COUNTIF('6. AIN'!$M:$M,_xlpm.id),COUNTIF('7. MS'!$M:$M,_xlpm.id),COUNTIF('8. DS'!$M:$M,_xlpm.id),COUNTIF('9. RMF'!$M:$M,_xlpm.id),COUNTIF('10. PCU'!$M:$M,_xlpm.id))))</f>
        <v>0</v>
      </c>
    </row>
    <row r="1123" spans="1:9">
      <c r="A1123" t="s">
        <v>9118</v>
      </c>
      <c r="B1123" t="s">
        <v>4518</v>
      </c>
      <c r="C1123">
        <v>1822</v>
      </c>
      <c r="D1123">
        <v>1</v>
      </c>
      <c r="E1123" s="23">
        <v>13</v>
      </c>
      <c r="F1123" t="s">
        <v>8102</v>
      </c>
      <c r="G1123" t="s">
        <v>10484</v>
      </c>
      <c r="H1123" t="s">
        <v>8021</v>
      </c>
      <c r="I1123">
        <f>_xlfn.LET(_xlpm.id,TRIM($A1123),IF(_xlpm.id="","",SUM(COUNTIF('1. OP'!$M:$M,_xlpm.id),COUNTIF('2. JSEL'!$M:$M,_xlpm.id),COUNTIF('3. PSM'!$M:$M,_xlpm.id),COUNTIF('4. SSP'!$M:$M,_xlpm.id),COUNTIF('5. JSACI'!$M:$M,_xlpm.id),COUNTIF('6. AIN'!$M:$M,_xlpm.id),COUNTIF('7. MS'!$M:$M,_xlpm.id),COUNTIF('8. DS'!$M:$M,_xlpm.id),COUNTIF('9. RMF'!$M:$M,_xlpm.id),COUNTIF('10. PCU'!$M:$M,_xlpm.id))))</f>
        <v>0</v>
      </c>
    </row>
    <row r="1124" spans="1:9">
      <c r="A1124" t="s">
        <v>9119</v>
      </c>
      <c r="B1124" t="s">
        <v>4518</v>
      </c>
      <c r="C1124">
        <v>1822</v>
      </c>
      <c r="D1124">
        <v>1</v>
      </c>
      <c r="E1124" s="23">
        <v>14</v>
      </c>
      <c r="F1124" t="s">
        <v>8102</v>
      </c>
      <c r="G1124" t="s">
        <v>10484</v>
      </c>
      <c r="H1124" t="s">
        <v>8021</v>
      </c>
      <c r="I1124">
        <f>_xlfn.LET(_xlpm.id,TRIM($A1124),IF(_xlpm.id="","",SUM(COUNTIF('1. OP'!$M:$M,_xlpm.id),COUNTIF('2. JSEL'!$M:$M,_xlpm.id),COUNTIF('3. PSM'!$M:$M,_xlpm.id),COUNTIF('4. SSP'!$M:$M,_xlpm.id),COUNTIF('5. JSACI'!$M:$M,_xlpm.id),COUNTIF('6. AIN'!$M:$M,_xlpm.id),COUNTIF('7. MS'!$M:$M,_xlpm.id),COUNTIF('8. DS'!$M:$M,_xlpm.id),COUNTIF('9. RMF'!$M:$M,_xlpm.id),COUNTIF('10. PCU'!$M:$M,_xlpm.id))))</f>
        <v>0</v>
      </c>
    </row>
    <row r="1125" spans="1:9">
      <c r="A1125" t="s">
        <v>9120</v>
      </c>
      <c r="B1125" t="s">
        <v>4518</v>
      </c>
      <c r="C1125">
        <v>1823</v>
      </c>
      <c r="D1125">
        <v>1</v>
      </c>
      <c r="E1125" s="23">
        <v>15</v>
      </c>
      <c r="F1125" t="s">
        <v>8102</v>
      </c>
      <c r="G1125" t="s">
        <v>10484</v>
      </c>
      <c r="H1125" t="s">
        <v>8021</v>
      </c>
      <c r="I1125">
        <f>_xlfn.LET(_xlpm.id,TRIM($A1125),IF(_xlpm.id="","",SUM(COUNTIF('1. OP'!$M:$M,_xlpm.id),COUNTIF('2. JSEL'!$M:$M,_xlpm.id),COUNTIF('3. PSM'!$M:$M,_xlpm.id),COUNTIF('4. SSP'!$M:$M,_xlpm.id),COUNTIF('5. JSACI'!$M:$M,_xlpm.id),COUNTIF('6. AIN'!$M:$M,_xlpm.id),COUNTIF('7. MS'!$M:$M,_xlpm.id),COUNTIF('8. DS'!$M:$M,_xlpm.id),COUNTIF('9. RMF'!$M:$M,_xlpm.id),COUNTIF('10. PCU'!$M:$M,_xlpm.id))))</f>
        <v>0</v>
      </c>
    </row>
    <row r="1126" spans="1:9">
      <c r="A1126" t="s">
        <v>9121</v>
      </c>
      <c r="B1126" t="s">
        <v>4518</v>
      </c>
      <c r="C1126">
        <v>1823</v>
      </c>
      <c r="D1126">
        <v>1</v>
      </c>
      <c r="E1126" s="23">
        <v>16</v>
      </c>
      <c r="F1126" t="s">
        <v>8102</v>
      </c>
      <c r="G1126" t="s">
        <v>10484</v>
      </c>
      <c r="H1126" t="s">
        <v>8021</v>
      </c>
      <c r="I1126">
        <f>_xlfn.LET(_xlpm.id,TRIM($A1126),IF(_xlpm.id="","",SUM(COUNTIF('1. OP'!$M:$M,_xlpm.id),COUNTIF('2. JSEL'!$M:$M,_xlpm.id),COUNTIF('3. PSM'!$M:$M,_xlpm.id),COUNTIF('4. SSP'!$M:$M,_xlpm.id),COUNTIF('5. JSACI'!$M:$M,_xlpm.id),COUNTIF('6. AIN'!$M:$M,_xlpm.id),COUNTIF('7. MS'!$M:$M,_xlpm.id),COUNTIF('8. DS'!$M:$M,_xlpm.id),COUNTIF('9. RMF'!$M:$M,_xlpm.id),COUNTIF('10. PCU'!$M:$M,_xlpm.id))))</f>
        <v>0</v>
      </c>
    </row>
    <row r="1127" spans="1:9">
      <c r="A1127" t="s">
        <v>9122</v>
      </c>
      <c r="B1127" t="s">
        <v>4518</v>
      </c>
      <c r="C1127">
        <v>1823</v>
      </c>
      <c r="D1127">
        <v>1</v>
      </c>
      <c r="E1127" s="23">
        <v>17</v>
      </c>
      <c r="F1127" t="s">
        <v>8102</v>
      </c>
      <c r="G1127" t="s">
        <v>10484</v>
      </c>
      <c r="H1127" t="s">
        <v>8021</v>
      </c>
      <c r="I1127">
        <f>_xlfn.LET(_xlpm.id,TRIM($A1127),IF(_xlpm.id="","",SUM(COUNTIF('1. OP'!$M:$M,_xlpm.id),COUNTIF('2. JSEL'!$M:$M,_xlpm.id),COUNTIF('3. PSM'!$M:$M,_xlpm.id),COUNTIF('4. SSP'!$M:$M,_xlpm.id),COUNTIF('5. JSACI'!$M:$M,_xlpm.id),COUNTIF('6. AIN'!$M:$M,_xlpm.id),COUNTIF('7. MS'!$M:$M,_xlpm.id),COUNTIF('8. DS'!$M:$M,_xlpm.id),COUNTIF('9. RMF'!$M:$M,_xlpm.id),COUNTIF('10. PCU'!$M:$M,_xlpm.id))))</f>
        <v>0</v>
      </c>
    </row>
    <row r="1128" spans="1:9">
      <c r="A1128" t="s">
        <v>9123</v>
      </c>
      <c r="B1128" t="s">
        <v>4518</v>
      </c>
      <c r="C1128">
        <v>1824</v>
      </c>
      <c r="D1128">
        <v>1</v>
      </c>
      <c r="E1128" s="23">
        <v>18</v>
      </c>
      <c r="F1128" t="s">
        <v>8102</v>
      </c>
      <c r="G1128" t="s">
        <v>10484</v>
      </c>
      <c r="H1128" t="s">
        <v>8021</v>
      </c>
      <c r="I1128">
        <f>_xlfn.LET(_xlpm.id,TRIM($A1128),IF(_xlpm.id="","",SUM(COUNTIF('1. OP'!$M:$M,_xlpm.id),COUNTIF('2. JSEL'!$M:$M,_xlpm.id),COUNTIF('3. PSM'!$M:$M,_xlpm.id),COUNTIF('4. SSP'!$M:$M,_xlpm.id),COUNTIF('5. JSACI'!$M:$M,_xlpm.id),COUNTIF('6. AIN'!$M:$M,_xlpm.id),COUNTIF('7. MS'!$M:$M,_xlpm.id),COUNTIF('8. DS'!$M:$M,_xlpm.id),COUNTIF('9. RMF'!$M:$M,_xlpm.id),COUNTIF('10. PCU'!$M:$M,_xlpm.id))))</f>
        <v>0</v>
      </c>
    </row>
    <row r="1129" spans="1:9">
      <c r="A1129" t="s">
        <v>9124</v>
      </c>
      <c r="B1129" t="s">
        <v>4518</v>
      </c>
      <c r="C1129">
        <v>1824</v>
      </c>
      <c r="D1129">
        <v>1</v>
      </c>
      <c r="E1129" s="23">
        <v>19</v>
      </c>
      <c r="F1129" t="s">
        <v>8102</v>
      </c>
      <c r="G1129" t="s">
        <v>10484</v>
      </c>
      <c r="H1129" t="s">
        <v>8021</v>
      </c>
      <c r="I1129">
        <f>_xlfn.LET(_xlpm.id,TRIM($A1129),IF(_xlpm.id="","",SUM(COUNTIF('1. OP'!$M:$M,_xlpm.id),COUNTIF('2. JSEL'!$M:$M,_xlpm.id),COUNTIF('3. PSM'!$M:$M,_xlpm.id),COUNTIF('4. SSP'!$M:$M,_xlpm.id),COUNTIF('5. JSACI'!$M:$M,_xlpm.id),COUNTIF('6. AIN'!$M:$M,_xlpm.id),COUNTIF('7. MS'!$M:$M,_xlpm.id),COUNTIF('8. DS'!$M:$M,_xlpm.id),COUNTIF('9. RMF'!$M:$M,_xlpm.id),COUNTIF('10. PCU'!$M:$M,_xlpm.id))))</f>
        <v>0</v>
      </c>
    </row>
    <row r="1130" spans="1:9">
      <c r="A1130" t="s">
        <v>9125</v>
      </c>
      <c r="B1130" t="s">
        <v>4518</v>
      </c>
      <c r="C1130">
        <v>1824</v>
      </c>
      <c r="D1130">
        <v>1</v>
      </c>
      <c r="E1130" s="23">
        <v>20</v>
      </c>
      <c r="F1130" t="s">
        <v>8102</v>
      </c>
      <c r="G1130" t="s">
        <v>10484</v>
      </c>
      <c r="H1130" t="s">
        <v>8021</v>
      </c>
      <c r="I1130">
        <f>_xlfn.LET(_xlpm.id,TRIM($A1130),IF(_xlpm.id="","",SUM(COUNTIF('1. OP'!$M:$M,_xlpm.id),COUNTIF('2. JSEL'!$M:$M,_xlpm.id),COUNTIF('3. PSM'!$M:$M,_xlpm.id),COUNTIF('4. SSP'!$M:$M,_xlpm.id),COUNTIF('5. JSACI'!$M:$M,_xlpm.id),COUNTIF('6. AIN'!$M:$M,_xlpm.id),COUNTIF('7. MS'!$M:$M,_xlpm.id),COUNTIF('8. DS'!$M:$M,_xlpm.id),COUNTIF('9. RMF'!$M:$M,_xlpm.id),COUNTIF('10. PCU'!$M:$M,_xlpm.id))))</f>
        <v>0</v>
      </c>
    </row>
    <row r="1131" spans="1:9">
      <c r="A1131" t="s">
        <v>9126</v>
      </c>
      <c r="B1131" t="s">
        <v>4518</v>
      </c>
      <c r="C1131">
        <v>1825</v>
      </c>
      <c r="D1131">
        <v>1</v>
      </c>
      <c r="E1131" s="23">
        <v>21</v>
      </c>
      <c r="F1131" t="s">
        <v>8102</v>
      </c>
      <c r="G1131" t="s">
        <v>10484</v>
      </c>
      <c r="H1131" t="s">
        <v>8021</v>
      </c>
      <c r="I1131">
        <f>_xlfn.LET(_xlpm.id,TRIM($A1131),IF(_xlpm.id="","",SUM(COUNTIF('1. OP'!$M:$M,_xlpm.id),COUNTIF('2. JSEL'!$M:$M,_xlpm.id),COUNTIF('3. PSM'!$M:$M,_xlpm.id),COUNTIF('4. SSP'!$M:$M,_xlpm.id),COUNTIF('5. JSACI'!$M:$M,_xlpm.id),COUNTIF('6. AIN'!$M:$M,_xlpm.id),COUNTIF('7. MS'!$M:$M,_xlpm.id),COUNTIF('8. DS'!$M:$M,_xlpm.id),COUNTIF('9. RMF'!$M:$M,_xlpm.id),COUNTIF('10. PCU'!$M:$M,_xlpm.id))))</f>
        <v>0</v>
      </c>
    </row>
    <row r="1132" spans="1:9">
      <c r="A1132" t="s">
        <v>9127</v>
      </c>
      <c r="B1132" t="s">
        <v>4518</v>
      </c>
      <c r="C1132">
        <v>1825</v>
      </c>
      <c r="D1132">
        <v>1</v>
      </c>
      <c r="E1132" s="23">
        <v>22</v>
      </c>
      <c r="F1132" t="s">
        <v>8102</v>
      </c>
      <c r="G1132" t="s">
        <v>10484</v>
      </c>
      <c r="H1132" t="s">
        <v>8021</v>
      </c>
      <c r="I1132">
        <f>_xlfn.LET(_xlpm.id,TRIM($A1132),IF(_xlpm.id="","",SUM(COUNTIF('1. OP'!$M:$M,_xlpm.id),COUNTIF('2. JSEL'!$M:$M,_xlpm.id),COUNTIF('3. PSM'!$M:$M,_xlpm.id),COUNTIF('4. SSP'!$M:$M,_xlpm.id),COUNTIF('5. JSACI'!$M:$M,_xlpm.id),COUNTIF('6. AIN'!$M:$M,_xlpm.id),COUNTIF('7. MS'!$M:$M,_xlpm.id),COUNTIF('8. DS'!$M:$M,_xlpm.id),COUNTIF('9. RMF'!$M:$M,_xlpm.id),COUNTIF('10. PCU'!$M:$M,_xlpm.id))))</f>
        <v>0</v>
      </c>
    </row>
    <row r="1133" spans="1:9">
      <c r="A1133" t="s">
        <v>9128</v>
      </c>
      <c r="B1133" t="s">
        <v>4518</v>
      </c>
      <c r="C1133">
        <v>1825</v>
      </c>
      <c r="D1133">
        <v>1</v>
      </c>
      <c r="E1133" s="23">
        <v>23</v>
      </c>
      <c r="F1133" t="s">
        <v>8102</v>
      </c>
      <c r="G1133" t="s">
        <v>10484</v>
      </c>
      <c r="H1133" t="s">
        <v>8021</v>
      </c>
      <c r="I1133">
        <f>_xlfn.LET(_xlpm.id,TRIM($A1133),IF(_xlpm.id="","",SUM(COUNTIF('1. OP'!$M:$M,_xlpm.id),COUNTIF('2. JSEL'!$M:$M,_xlpm.id),COUNTIF('3. PSM'!$M:$M,_xlpm.id),COUNTIF('4. SSP'!$M:$M,_xlpm.id),COUNTIF('5. JSACI'!$M:$M,_xlpm.id),COUNTIF('6. AIN'!$M:$M,_xlpm.id),COUNTIF('7. MS'!$M:$M,_xlpm.id),COUNTIF('8. DS'!$M:$M,_xlpm.id),COUNTIF('9. RMF'!$M:$M,_xlpm.id),COUNTIF('10. PCU'!$M:$M,_xlpm.id))))</f>
        <v>0</v>
      </c>
    </row>
    <row r="1134" spans="1:9">
      <c r="A1134" t="s">
        <v>9129</v>
      </c>
      <c r="B1134" t="s">
        <v>4518</v>
      </c>
      <c r="C1134">
        <v>1826</v>
      </c>
      <c r="D1134">
        <v>1</v>
      </c>
      <c r="E1134" s="23">
        <v>24</v>
      </c>
      <c r="F1134" t="s">
        <v>8102</v>
      </c>
      <c r="G1134" t="s">
        <v>10484</v>
      </c>
      <c r="H1134" t="s">
        <v>8021</v>
      </c>
      <c r="I1134">
        <f>_xlfn.LET(_xlpm.id,TRIM($A1134),IF(_xlpm.id="","",SUM(COUNTIF('1. OP'!$M:$M,_xlpm.id),COUNTIF('2. JSEL'!$M:$M,_xlpm.id),COUNTIF('3. PSM'!$M:$M,_xlpm.id),COUNTIF('4. SSP'!$M:$M,_xlpm.id),COUNTIF('5. JSACI'!$M:$M,_xlpm.id),COUNTIF('6. AIN'!$M:$M,_xlpm.id),COUNTIF('7. MS'!$M:$M,_xlpm.id),COUNTIF('8. DS'!$M:$M,_xlpm.id),COUNTIF('9. RMF'!$M:$M,_xlpm.id),COUNTIF('10. PCU'!$M:$M,_xlpm.id))))</f>
        <v>0</v>
      </c>
    </row>
    <row r="1135" spans="1:9">
      <c r="A1135" t="s">
        <v>9130</v>
      </c>
      <c r="B1135" t="s">
        <v>4518</v>
      </c>
      <c r="C1135">
        <v>1826</v>
      </c>
      <c r="D1135">
        <v>1</v>
      </c>
      <c r="E1135" s="23">
        <v>25</v>
      </c>
      <c r="F1135" t="s">
        <v>8102</v>
      </c>
      <c r="G1135" t="s">
        <v>10484</v>
      </c>
      <c r="H1135" t="s">
        <v>8021</v>
      </c>
      <c r="I1135">
        <f>_xlfn.LET(_xlpm.id,TRIM($A1135),IF(_xlpm.id="","",SUM(COUNTIF('1. OP'!$M:$M,_xlpm.id),COUNTIF('2. JSEL'!$M:$M,_xlpm.id),COUNTIF('3. PSM'!$M:$M,_xlpm.id),COUNTIF('4. SSP'!$M:$M,_xlpm.id),COUNTIF('5. JSACI'!$M:$M,_xlpm.id),COUNTIF('6. AIN'!$M:$M,_xlpm.id),COUNTIF('7. MS'!$M:$M,_xlpm.id),COUNTIF('8. DS'!$M:$M,_xlpm.id),COUNTIF('9. RMF'!$M:$M,_xlpm.id),COUNTIF('10. PCU'!$M:$M,_xlpm.id))))</f>
        <v>0</v>
      </c>
    </row>
    <row r="1136" spans="1:9">
      <c r="A1136" t="s">
        <v>9131</v>
      </c>
      <c r="B1136" t="s">
        <v>4518</v>
      </c>
      <c r="C1136">
        <v>1826</v>
      </c>
      <c r="D1136">
        <v>1</v>
      </c>
      <c r="E1136" s="23">
        <v>26</v>
      </c>
      <c r="F1136" t="s">
        <v>8102</v>
      </c>
      <c r="G1136" t="s">
        <v>10484</v>
      </c>
      <c r="H1136" t="s">
        <v>8021</v>
      </c>
      <c r="I1136">
        <f>_xlfn.LET(_xlpm.id,TRIM($A1136),IF(_xlpm.id="","",SUM(COUNTIF('1. OP'!$M:$M,_xlpm.id),COUNTIF('2. JSEL'!$M:$M,_xlpm.id),COUNTIF('3. PSM'!$M:$M,_xlpm.id),COUNTIF('4. SSP'!$M:$M,_xlpm.id),COUNTIF('5. JSACI'!$M:$M,_xlpm.id),COUNTIF('6. AIN'!$M:$M,_xlpm.id),COUNTIF('7. MS'!$M:$M,_xlpm.id),COUNTIF('8. DS'!$M:$M,_xlpm.id),COUNTIF('9. RMF'!$M:$M,_xlpm.id),COUNTIF('10. PCU'!$M:$M,_xlpm.id))))</f>
        <v>0</v>
      </c>
    </row>
    <row r="1137" spans="1:9">
      <c r="A1137" t="s">
        <v>9132</v>
      </c>
      <c r="B1137" t="s">
        <v>4518</v>
      </c>
      <c r="C1137">
        <v>1827</v>
      </c>
      <c r="D1137">
        <v>1</v>
      </c>
      <c r="E1137" s="23">
        <v>27</v>
      </c>
      <c r="F1137" t="s">
        <v>8102</v>
      </c>
      <c r="G1137" t="s">
        <v>10484</v>
      </c>
      <c r="H1137" t="s">
        <v>8021</v>
      </c>
      <c r="I1137">
        <f>_xlfn.LET(_xlpm.id,TRIM($A1137),IF(_xlpm.id="","",SUM(COUNTIF('1. OP'!$M:$M,_xlpm.id),COUNTIF('2. JSEL'!$M:$M,_xlpm.id),COUNTIF('3. PSM'!$M:$M,_xlpm.id),COUNTIF('4. SSP'!$M:$M,_xlpm.id),COUNTIF('5. JSACI'!$M:$M,_xlpm.id),COUNTIF('6. AIN'!$M:$M,_xlpm.id),COUNTIF('7. MS'!$M:$M,_xlpm.id),COUNTIF('8. DS'!$M:$M,_xlpm.id),COUNTIF('9. RMF'!$M:$M,_xlpm.id),COUNTIF('10. PCU'!$M:$M,_xlpm.id))))</f>
        <v>0</v>
      </c>
    </row>
    <row r="1138" spans="1:9">
      <c r="A1138" t="s">
        <v>9133</v>
      </c>
      <c r="B1138" t="s">
        <v>4518</v>
      </c>
      <c r="C1138">
        <v>1827</v>
      </c>
      <c r="D1138">
        <v>1</v>
      </c>
      <c r="E1138" s="23">
        <v>28</v>
      </c>
      <c r="F1138" t="s">
        <v>8102</v>
      </c>
      <c r="G1138" t="s">
        <v>10484</v>
      </c>
      <c r="H1138" t="s">
        <v>8021</v>
      </c>
      <c r="I1138">
        <f>_xlfn.LET(_xlpm.id,TRIM($A1138),IF(_xlpm.id="","",SUM(COUNTIF('1. OP'!$M:$M,_xlpm.id),COUNTIF('2. JSEL'!$M:$M,_xlpm.id),COUNTIF('3. PSM'!$M:$M,_xlpm.id),COUNTIF('4. SSP'!$M:$M,_xlpm.id),COUNTIF('5. JSACI'!$M:$M,_xlpm.id),COUNTIF('6. AIN'!$M:$M,_xlpm.id),COUNTIF('7. MS'!$M:$M,_xlpm.id),COUNTIF('8. DS'!$M:$M,_xlpm.id),COUNTIF('9. RMF'!$M:$M,_xlpm.id),COUNTIF('10. PCU'!$M:$M,_xlpm.id))))</f>
        <v>0</v>
      </c>
    </row>
    <row r="1139" spans="1:9">
      <c r="A1139" t="s">
        <v>9134</v>
      </c>
      <c r="B1139" t="s">
        <v>4518</v>
      </c>
      <c r="C1139">
        <v>1827</v>
      </c>
      <c r="D1139">
        <v>1</v>
      </c>
      <c r="E1139" s="23">
        <v>29</v>
      </c>
      <c r="F1139" t="s">
        <v>8102</v>
      </c>
      <c r="G1139" t="s">
        <v>10484</v>
      </c>
      <c r="H1139" t="s">
        <v>8021</v>
      </c>
      <c r="I1139">
        <f>_xlfn.LET(_xlpm.id,TRIM($A1139),IF(_xlpm.id="","",SUM(COUNTIF('1. OP'!$M:$M,_xlpm.id),COUNTIF('2. JSEL'!$M:$M,_xlpm.id),COUNTIF('3. PSM'!$M:$M,_xlpm.id),COUNTIF('4. SSP'!$M:$M,_xlpm.id),COUNTIF('5. JSACI'!$M:$M,_xlpm.id),COUNTIF('6. AIN'!$M:$M,_xlpm.id),COUNTIF('7. MS'!$M:$M,_xlpm.id),COUNTIF('8. DS'!$M:$M,_xlpm.id),COUNTIF('9. RMF'!$M:$M,_xlpm.id),COUNTIF('10. PCU'!$M:$M,_xlpm.id))))</f>
        <v>0</v>
      </c>
    </row>
    <row r="1140" spans="1:9">
      <c r="A1140" t="s">
        <v>9135</v>
      </c>
      <c r="B1140" t="s">
        <v>4518</v>
      </c>
      <c r="C1140">
        <v>1828</v>
      </c>
      <c r="D1140">
        <v>1</v>
      </c>
      <c r="E1140" s="23">
        <v>30</v>
      </c>
      <c r="F1140" t="s">
        <v>8102</v>
      </c>
      <c r="G1140" t="s">
        <v>10484</v>
      </c>
      <c r="H1140" t="s">
        <v>8021</v>
      </c>
      <c r="I1140">
        <f>_xlfn.LET(_xlpm.id,TRIM($A1140),IF(_xlpm.id="","",SUM(COUNTIF('1. OP'!$M:$M,_xlpm.id),COUNTIF('2. JSEL'!$M:$M,_xlpm.id),COUNTIF('3. PSM'!$M:$M,_xlpm.id),COUNTIF('4. SSP'!$M:$M,_xlpm.id),COUNTIF('5. JSACI'!$M:$M,_xlpm.id),COUNTIF('6. AIN'!$M:$M,_xlpm.id),COUNTIF('7. MS'!$M:$M,_xlpm.id),COUNTIF('8. DS'!$M:$M,_xlpm.id),COUNTIF('9. RMF'!$M:$M,_xlpm.id),COUNTIF('10. PCU'!$M:$M,_xlpm.id))))</f>
        <v>0</v>
      </c>
    </row>
    <row r="1141" spans="1:9">
      <c r="A1141" t="s">
        <v>9136</v>
      </c>
      <c r="B1141" t="s">
        <v>4518</v>
      </c>
      <c r="C1141">
        <v>1828</v>
      </c>
      <c r="D1141">
        <v>1</v>
      </c>
      <c r="E1141" s="23">
        <v>31</v>
      </c>
      <c r="F1141" t="s">
        <v>8102</v>
      </c>
      <c r="G1141" t="s">
        <v>10484</v>
      </c>
      <c r="H1141" t="s">
        <v>8021</v>
      </c>
      <c r="I1141">
        <f>_xlfn.LET(_xlpm.id,TRIM($A1141),IF(_xlpm.id="","",SUM(COUNTIF('1. OP'!$M:$M,_xlpm.id),COUNTIF('2. JSEL'!$M:$M,_xlpm.id),COUNTIF('3. PSM'!$M:$M,_xlpm.id),COUNTIF('4. SSP'!$M:$M,_xlpm.id),COUNTIF('5. JSACI'!$M:$M,_xlpm.id),COUNTIF('6. AIN'!$M:$M,_xlpm.id),COUNTIF('7. MS'!$M:$M,_xlpm.id),COUNTIF('8. DS'!$M:$M,_xlpm.id),COUNTIF('9. RMF'!$M:$M,_xlpm.id),COUNTIF('10. PCU'!$M:$M,_xlpm.id))))</f>
        <v>0</v>
      </c>
    </row>
    <row r="1142" spans="1:9">
      <c r="A1142" t="s">
        <v>9137</v>
      </c>
      <c r="B1142" t="s">
        <v>4518</v>
      </c>
      <c r="C1142">
        <v>1828</v>
      </c>
      <c r="D1142">
        <v>1</v>
      </c>
      <c r="E1142" s="23">
        <v>32</v>
      </c>
      <c r="F1142" t="s">
        <v>8102</v>
      </c>
      <c r="G1142" t="s">
        <v>10484</v>
      </c>
      <c r="H1142" t="s">
        <v>8021</v>
      </c>
      <c r="I1142">
        <f>_xlfn.LET(_xlpm.id,TRIM($A1142),IF(_xlpm.id="","",SUM(COUNTIF('1. OP'!$M:$M,_xlpm.id),COUNTIF('2. JSEL'!$M:$M,_xlpm.id),COUNTIF('3. PSM'!$M:$M,_xlpm.id),COUNTIF('4. SSP'!$M:$M,_xlpm.id),COUNTIF('5. JSACI'!$M:$M,_xlpm.id),COUNTIF('6. AIN'!$M:$M,_xlpm.id),COUNTIF('7. MS'!$M:$M,_xlpm.id),COUNTIF('8. DS'!$M:$M,_xlpm.id),COUNTIF('9. RMF'!$M:$M,_xlpm.id),COUNTIF('10. PCU'!$M:$M,_xlpm.id))))</f>
        <v>0</v>
      </c>
    </row>
    <row r="1143" spans="1:9">
      <c r="A1143" t="s">
        <v>9138</v>
      </c>
      <c r="B1143" t="s">
        <v>4518</v>
      </c>
      <c r="C1143">
        <v>1829</v>
      </c>
      <c r="D1143">
        <v>1</v>
      </c>
      <c r="E1143" s="23">
        <v>33</v>
      </c>
      <c r="F1143" t="s">
        <v>8102</v>
      </c>
      <c r="G1143" t="s">
        <v>10484</v>
      </c>
      <c r="H1143" t="s">
        <v>8021</v>
      </c>
      <c r="I1143">
        <f>_xlfn.LET(_xlpm.id,TRIM($A1143),IF(_xlpm.id="","",SUM(COUNTIF('1. OP'!$M:$M,_xlpm.id),COUNTIF('2. JSEL'!$M:$M,_xlpm.id),COUNTIF('3. PSM'!$M:$M,_xlpm.id),COUNTIF('4. SSP'!$M:$M,_xlpm.id),COUNTIF('5. JSACI'!$M:$M,_xlpm.id),COUNTIF('6. AIN'!$M:$M,_xlpm.id),COUNTIF('7. MS'!$M:$M,_xlpm.id),COUNTIF('8. DS'!$M:$M,_xlpm.id),COUNTIF('9. RMF'!$M:$M,_xlpm.id),COUNTIF('10. PCU'!$M:$M,_xlpm.id))))</f>
        <v>0</v>
      </c>
    </row>
    <row r="1144" spans="1:9">
      <c r="A1144" t="s">
        <v>9139</v>
      </c>
      <c r="B1144" t="s">
        <v>4518</v>
      </c>
      <c r="C1144">
        <v>1829</v>
      </c>
      <c r="D1144">
        <v>1</v>
      </c>
      <c r="E1144" s="23">
        <v>34</v>
      </c>
      <c r="F1144" t="s">
        <v>8102</v>
      </c>
      <c r="G1144" t="s">
        <v>10484</v>
      </c>
      <c r="H1144" t="s">
        <v>8021</v>
      </c>
      <c r="I1144">
        <f>_xlfn.LET(_xlpm.id,TRIM($A1144),IF(_xlpm.id="","",SUM(COUNTIF('1. OP'!$M:$M,_xlpm.id),COUNTIF('2. JSEL'!$M:$M,_xlpm.id),COUNTIF('3. PSM'!$M:$M,_xlpm.id),COUNTIF('4. SSP'!$M:$M,_xlpm.id),COUNTIF('5. JSACI'!$M:$M,_xlpm.id),COUNTIF('6. AIN'!$M:$M,_xlpm.id),COUNTIF('7. MS'!$M:$M,_xlpm.id),COUNTIF('8. DS'!$M:$M,_xlpm.id),COUNTIF('9. RMF'!$M:$M,_xlpm.id),COUNTIF('10. PCU'!$M:$M,_xlpm.id))))</f>
        <v>0</v>
      </c>
    </row>
    <row r="1145" spans="1:9">
      <c r="A1145" t="s">
        <v>9140</v>
      </c>
      <c r="B1145" t="s">
        <v>4518</v>
      </c>
      <c r="C1145">
        <v>1830</v>
      </c>
      <c r="D1145">
        <v>1</v>
      </c>
      <c r="E1145" s="23">
        <v>35</v>
      </c>
      <c r="F1145" t="s">
        <v>8102</v>
      </c>
      <c r="G1145" t="s">
        <v>10484</v>
      </c>
      <c r="H1145" t="s">
        <v>8021</v>
      </c>
      <c r="I1145">
        <f>_xlfn.LET(_xlpm.id,TRIM($A1145),IF(_xlpm.id="","",SUM(COUNTIF('1. OP'!$M:$M,_xlpm.id),COUNTIF('2. JSEL'!$M:$M,_xlpm.id),COUNTIF('3. PSM'!$M:$M,_xlpm.id),COUNTIF('4. SSP'!$M:$M,_xlpm.id),COUNTIF('5. JSACI'!$M:$M,_xlpm.id),COUNTIF('6. AIN'!$M:$M,_xlpm.id),COUNTIF('7. MS'!$M:$M,_xlpm.id),COUNTIF('8. DS'!$M:$M,_xlpm.id),COUNTIF('9. RMF'!$M:$M,_xlpm.id),COUNTIF('10. PCU'!$M:$M,_xlpm.id))))</f>
        <v>0</v>
      </c>
    </row>
    <row r="1146" spans="1:9">
      <c r="A1146" t="s">
        <v>9141</v>
      </c>
      <c r="B1146" t="s">
        <v>4518</v>
      </c>
      <c r="C1146">
        <v>1830</v>
      </c>
      <c r="D1146">
        <v>1</v>
      </c>
      <c r="E1146" s="23">
        <v>36</v>
      </c>
      <c r="F1146" t="s">
        <v>8102</v>
      </c>
      <c r="G1146" t="s">
        <v>10484</v>
      </c>
      <c r="H1146" t="s">
        <v>8021</v>
      </c>
      <c r="I1146">
        <f>_xlfn.LET(_xlpm.id,TRIM($A1146),IF(_xlpm.id="","",SUM(COUNTIF('1. OP'!$M:$M,_xlpm.id),COUNTIF('2. JSEL'!$M:$M,_xlpm.id),COUNTIF('3. PSM'!$M:$M,_xlpm.id),COUNTIF('4. SSP'!$M:$M,_xlpm.id),COUNTIF('5. JSACI'!$M:$M,_xlpm.id),COUNTIF('6. AIN'!$M:$M,_xlpm.id),COUNTIF('7. MS'!$M:$M,_xlpm.id),COUNTIF('8. DS'!$M:$M,_xlpm.id),COUNTIF('9. RMF'!$M:$M,_xlpm.id),COUNTIF('10. PCU'!$M:$M,_xlpm.id))))</f>
        <v>0</v>
      </c>
    </row>
    <row r="1147" spans="1:9">
      <c r="A1147" t="s">
        <v>9142</v>
      </c>
      <c r="B1147" t="s">
        <v>4518</v>
      </c>
      <c r="C1147">
        <v>1830</v>
      </c>
      <c r="D1147">
        <v>1</v>
      </c>
      <c r="E1147" s="23">
        <v>37</v>
      </c>
      <c r="F1147" t="s">
        <v>8102</v>
      </c>
      <c r="G1147" t="s">
        <v>10484</v>
      </c>
      <c r="H1147" t="s">
        <v>8021</v>
      </c>
      <c r="I1147">
        <f>_xlfn.LET(_xlpm.id,TRIM($A1147),IF(_xlpm.id="","",SUM(COUNTIF('1. OP'!$M:$M,_xlpm.id),COUNTIF('2. JSEL'!$M:$M,_xlpm.id),COUNTIF('3. PSM'!$M:$M,_xlpm.id),COUNTIF('4. SSP'!$M:$M,_xlpm.id),COUNTIF('5. JSACI'!$M:$M,_xlpm.id),COUNTIF('6. AIN'!$M:$M,_xlpm.id),COUNTIF('7. MS'!$M:$M,_xlpm.id),COUNTIF('8. DS'!$M:$M,_xlpm.id),COUNTIF('9. RMF'!$M:$M,_xlpm.id),COUNTIF('10. PCU'!$M:$M,_xlpm.id))))</f>
        <v>0</v>
      </c>
    </row>
    <row r="1148" spans="1:9">
      <c r="A1148" t="s">
        <v>9143</v>
      </c>
      <c r="B1148" t="s">
        <v>4518</v>
      </c>
      <c r="C1148">
        <v>1830</v>
      </c>
      <c r="D1148">
        <v>1</v>
      </c>
      <c r="E1148" s="23">
        <v>38</v>
      </c>
      <c r="F1148" t="s">
        <v>8102</v>
      </c>
      <c r="G1148" t="s">
        <v>10484</v>
      </c>
      <c r="H1148" t="s">
        <v>8021</v>
      </c>
      <c r="I1148">
        <f>_xlfn.LET(_xlpm.id,TRIM($A1148),IF(_xlpm.id="","",SUM(COUNTIF('1. OP'!$M:$M,_xlpm.id),COUNTIF('2. JSEL'!$M:$M,_xlpm.id),COUNTIF('3. PSM'!$M:$M,_xlpm.id),COUNTIF('4. SSP'!$M:$M,_xlpm.id),COUNTIF('5. JSACI'!$M:$M,_xlpm.id),COUNTIF('6. AIN'!$M:$M,_xlpm.id),COUNTIF('7. MS'!$M:$M,_xlpm.id),COUNTIF('8. DS'!$M:$M,_xlpm.id),COUNTIF('9. RMF'!$M:$M,_xlpm.id),COUNTIF('10. PCU'!$M:$M,_xlpm.id))))</f>
        <v>0</v>
      </c>
    </row>
    <row r="1149" spans="1:9">
      <c r="A1149" t="s">
        <v>9144</v>
      </c>
      <c r="B1149" t="s">
        <v>4518</v>
      </c>
      <c r="C1149">
        <v>1831</v>
      </c>
      <c r="D1149">
        <v>1</v>
      </c>
      <c r="E1149" s="23">
        <v>39</v>
      </c>
      <c r="F1149" t="s">
        <v>8102</v>
      </c>
      <c r="G1149" t="s">
        <v>10484</v>
      </c>
      <c r="H1149" t="s">
        <v>8021</v>
      </c>
      <c r="I1149">
        <f>_xlfn.LET(_xlpm.id,TRIM($A1149),IF(_xlpm.id="","",SUM(COUNTIF('1. OP'!$M:$M,_xlpm.id),COUNTIF('2. JSEL'!$M:$M,_xlpm.id),COUNTIF('3. PSM'!$M:$M,_xlpm.id),COUNTIF('4. SSP'!$M:$M,_xlpm.id),COUNTIF('5. JSACI'!$M:$M,_xlpm.id),COUNTIF('6. AIN'!$M:$M,_xlpm.id),COUNTIF('7. MS'!$M:$M,_xlpm.id),COUNTIF('8. DS'!$M:$M,_xlpm.id),COUNTIF('9. RMF'!$M:$M,_xlpm.id),COUNTIF('10. PCU'!$M:$M,_xlpm.id))))</f>
        <v>0</v>
      </c>
    </row>
    <row r="1150" spans="1:9">
      <c r="A1150" t="s">
        <v>9145</v>
      </c>
      <c r="B1150" t="s">
        <v>4518</v>
      </c>
      <c r="C1150">
        <v>1831</v>
      </c>
      <c r="D1150">
        <v>1</v>
      </c>
      <c r="E1150" s="23">
        <v>40</v>
      </c>
      <c r="F1150" t="s">
        <v>8102</v>
      </c>
      <c r="G1150" t="s">
        <v>10484</v>
      </c>
      <c r="H1150" t="s">
        <v>8021</v>
      </c>
      <c r="I1150">
        <f>_xlfn.LET(_xlpm.id,TRIM($A1150),IF(_xlpm.id="","",SUM(COUNTIF('1. OP'!$M:$M,_xlpm.id),COUNTIF('2. JSEL'!$M:$M,_xlpm.id),COUNTIF('3. PSM'!$M:$M,_xlpm.id),COUNTIF('4. SSP'!$M:$M,_xlpm.id),COUNTIF('5. JSACI'!$M:$M,_xlpm.id),COUNTIF('6. AIN'!$M:$M,_xlpm.id),COUNTIF('7. MS'!$M:$M,_xlpm.id),COUNTIF('8. DS'!$M:$M,_xlpm.id),COUNTIF('9. RMF'!$M:$M,_xlpm.id),COUNTIF('10. PCU'!$M:$M,_xlpm.id))))</f>
        <v>0</v>
      </c>
    </row>
    <row r="1151" spans="1:9">
      <c r="A1151" t="s">
        <v>9146</v>
      </c>
      <c r="B1151" t="s">
        <v>4518</v>
      </c>
      <c r="C1151">
        <v>1831</v>
      </c>
      <c r="D1151">
        <v>1</v>
      </c>
      <c r="E1151" s="23">
        <v>41</v>
      </c>
      <c r="F1151" t="s">
        <v>8102</v>
      </c>
      <c r="G1151" t="s">
        <v>10484</v>
      </c>
      <c r="H1151" t="s">
        <v>8021</v>
      </c>
      <c r="I1151">
        <f>_xlfn.LET(_xlpm.id,TRIM($A1151),IF(_xlpm.id="","",SUM(COUNTIF('1. OP'!$M:$M,_xlpm.id),COUNTIF('2. JSEL'!$M:$M,_xlpm.id),COUNTIF('3. PSM'!$M:$M,_xlpm.id),COUNTIF('4. SSP'!$M:$M,_xlpm.id),COUNTIF('5. JSACI'!$M:$M,_xlpm.id),COUNTIF('6. AIN'!$M:$M,_xlpm.id),COUNTIF('7. MS'!$M:$M,_xlpm.id),COUNTIF('8. DS'!$M:$M,_xlpm.id),COUNTIF('9. RMF'!$M:$M,_xlpm.id),COUNTIF('10. PCU'!$M:$M,_xlpm.id))))</f>
        <v>0</v>
      </c>
    </row>
    <row r="1152" spans="1:9">
      <c r="A1152" t="s">
        <v>9147</v>
      </c>
      <c r="B1152" t="s">
        <v>4518</v>
      </c>
      <c r="C1152">
        <v>1832</v>
      </c>
      <c r="D1152">
        <v>1</v>
      </c>
      <c r="E1152" s="23">
        <v>42</v>
      </c>
      <c r="F1152" t="s">
        <v>8102</v>
      </c>
      <c r="G1152" t="s">
        <v>10484</v>
      </c>
      <c r="H1152" t="s">
        <v>8021</v>
      </c>
      <c r="I1152">
        <f>_xlfn.LET(_xlpm.id,TRIM($A1152),IF(_xlpm.id="","",SUM(COUNTIF('1. OP'!$M:$M,_xlpm.id),COUNTIF('2. JSEL'!$M:$M,_xlpm.id),COUNTIF('3. PSM'!$M:$M,_xlpm.id),COUNTIF('4. SSP'!$M:$M,_xlpm.id),COUNTIF('5. JSACI'!$M:$M,_xlpm.id),COUNTIF('6. AIN'!$M:$M,_xlpm.id),COUNTIF('7. MS'!$M:$M,_xlpm.id),COUNTIF('8. DS'!$M:$M,_xlpm.id),COUNTIF('9. RMF'!$M:$M,_xlpm.id),COUNTIF('10. PCU'!$M:$M,_xlpm.id))))</f>
        <v>0</v>
      </c>
    </row>
    <row r="1153" spans="1:9">
      <c r="A1153" t="s">
        <v>9148</v>
      </c>
      <c r="B1153" t="s">
        <v>4518</v>
      </c>
      <c r="C1153">
        <v>1832</v>
      </c>
      <c r="D1153">
        <v>1</v>
      </c>
      <c r="E1153" s="23">
        <v>43</v>
      </c>
      <c r="F1153" t="s">
        <v>8102</v>
      </c>
      <c r="G1153" t="s">
        <v>10484</v>
      </c>
      <c r="H1153" t="s">
        <v>8021</v>
      </c>
      <c r="I1153">
        <f>_xlfn.LET(_xlpm.id,TRIM($A1153),IF(_xlpm.id="","",SUM(COUNTIF('1. OP'!$M:$M,_xlpm.id),COUNTIF('2. JSEL'!$M:$M,_xlpm.id),COUNTIF('3. PSM'!$M:$M,_xlpm.id),COUNTIF('4. SSP'!$M:$M,_xlpm.id),COUNTIF('5. JSACI'!$M:$M,_xlpm.id),COUNTIF('6. AIN'!$M:$M,_xlpm.id),COUNTIF('7. MS'!$M:$M,_xlpm.id),COUNTIF('8. DS'!$M:$M,_xlpm.id),COUNTIF('9. RMF'!$M:$M,_xlpm.id),COUNTIF('10. PCU'!$M:$M,_xlpm.id))))</f>
        <v>0</v>
      </c>
    </row>
    <row r="1154" spans="1:9">
      <c r="A1154" t="s">
        <v>9149</v>
      </c>
      <c r="B1154" t="s">
        <v>4518</v>
      </c>
      <c r="C1154">
        <v>1832</v>
      </c>
      <c r="D1154">
        <v>1</v>
      </c>
      <c r="E1154" s="23">
        <v>44</v>
      </c>
      <c r="F1154" t="s">
        <v>8102</v>
      </c>
      <c r="G1154" t="s">
        <v>10484</v>
      </c>
      <c r="H1154" t="s">
        <v>8021</v>
      </c>
      <c r="I1154">
        <f>_xlfn.LET(_xlpm.id,TRIM($A1154),IF(_xlpm.id="","",SUM(COUNTIF('1. OP'!$M:$M,_xlpm.id),COUNTIF('2. JSEL'!$M:$M,_xlpm.id),COUNTIF('3. PSM'!$M:$M,_xlpm.id),COUNTIF('4. SSP'!$M:$M,_xlpm.id),COUNTIF('5. JSACI'!$M:$M,_xlpm.id),COUNTIF('6. AIN'!$M:$M,_xlpm.id),COUNTIF('7. MS'!$M:$M,_xlpm.id),COUNTIF('8. DS'!$M:$M,_xlpm.id),COUNTIF('9. RMF'!$M:$M,_xlpm.id),COUNTIF('10. PCU'!$M:$M,_xlpm.id))))</f>
        <v>0</v>
      </c>
    </row>
    <row r="1155" spans="1:9">
      <c r="A1155" t="s">
        <v>9150</v>
      </c>
      <c r="B1155" t="s">
        <v>9152</v>
      </c>
      <c r="C1155">
        <v>1831</v>
      </c>
      <c r="D1155">
        <v>1</v>
      </c>
      <c r="E1155" s="23">
        <v>1</v>
      </c>
      <c r="F1155" t="s">
        <v>9151</v>
      </c>
      <c r="G1155" t="s">
        <v>10495</v>
      </c>
      <c r="H1155" t="s">
        <v>8036</v>
      </c>
      <c r="I1155">
        <f>_xlfn.LET(_xlpm.id,TRIM($A1155),IF(_xlpm.id="","",SUM(COUNTIF('1. OP'!$M:$M,_xlpm.id),COUNTIF('2. JSEL'!$M:$M,_xlpm.id),COUNTIF('3. PSM'!$M:$M,_xlpm.id),COUNTIF('4. SSP'!$M:$M,_xlpm.id),COUNTIF('5. JSACI'!$M:$M,_xlpm.id),COUNTIF('6. AIN'!$M:$M,_xlpm.id),COUNTIF('7. MS'!$M:$M,_xlpm.id),COUNTIF('8. DS'!$M:$M,_xlpm.id),COUNTIF('9. RMF'!$M:$M,_xlpm.id),COUNTIF('10. PCU'!$M:$M,_xlpm.id))))</f>
        <v>0</v>
      </c>
    </row>
    <row r="1156" spans="1:9">
      <c r="A1156" t="s">
        <v>9153</v>
      </c>
      <c r="B1156" t="s">
        <v>9152</v>
      </c>
      <c r="C1156">
        <v>1832</v>
      </c>
      <c r="D1156">
        <v>1</v>
      </c>
      <c r="E1156" s="23">
        <v>2</v>
      </c>
      <c r="F1156" t="s">
        <v>9151</v>
      </c>
      <c r="G1156" t="s">
        <v>10495</v>
      </c>
      <c r="H1156" t="s">
        <v>8036</v>
      </c>
      <c r="I1156">
        <f>_xlfn.LET(_xlpm.id,TRIM($A1156),IF(_xlpm.id="","",SUM(COUNTIF('1. OP'!$M:$M,_xlpm.id),COUNTIF('2. JSEL'!$M:$M,_xlpm.id),COUNTIF('3. PSM'!$M:$M,_xlpm.id),COUNTIF('4. SSP'!$M:$M,_xlpm.id),COUNTIF('5. JSACI'!$M:$M,_xlpm.id),COUNTIF('6. AIN'!$M:$M,_xlpm.id),COUNTIF('7. MS'!$M:$M,_xlpm.id),COUNTIF('8. DS'!$M:$M,_xlpm.id),COUNTIF('9. RMF'!$M:$M,_xlpm.id),COUNTIF('10. PCU'!$M:$M,_xlpm.id))))</f>
        <v>0</v>
      </c>
    </row>
    <row r="1157" spans="1:9">
      <c r="A1157" t="s">
        <v>9154</v>
      </c>
      <c r="B1157" t="s">
        <v>9152</v>
      </c>
      <c r="C1157">
        <v>1833</v>
      </c>
      <c r="D1157">
        <v>1</v>
      </c>
      <c r="E1157" s="23">
        <v>3</v>
      </c>
      <c r="F1157" t="s">
        <v>9151</v>
      </c>
      <c r="G1157" t="s">
        <v>10495</v>
      </c>
      <c r="H1157" t="s">
        <v>8036</v>
      </c>
      <c r="I1157">
        <f>_xlfn.LET(_xlpm.id,TRIM($A1157),IF(_xlpm.id="","",SUM(COUNTIF('1. OP'!$M:$M,_xlpm.id),COUNTIF('2. JSEL'!$M:$M,_xlpm.id),COUNTIF('3. PSM'!$M:$M,_xlpm.id),COUNTIF('4. SSP'!$M:$M,_xlpm.id),COUNTIF('5. JSACI'!$M:$M,_xlpm.id),COUNTIF('6. AIN'!$M:$M,_xlpm.id),COUNTIF('7. MS'!$M:$M,_xlpm.id),COUNTIF('8. DS'!$M:$M,_xlpm.id),COUNTIF('9. RMF'!$M:$M,_xlpm.id),COUNTIF('10. PCU'!$M:$M,_xlpm.id))))</f>
        <v>0</v>
      </c>
    </row>
    <row r="1158" spans="1:9">
      <c r="A1158" t="s">
        <v>9155</v>
      </c>
      <c r="B1158" t="s">
        <v>9152</v>
      </c>
      <c r="C1158">
        <v>1834</v>
      </c>
      <c r="D1158">
        <v>1</v>
      </c>
      <c r="E1158" s="23">
        <v>4</v>
      </c>
      <c r="F1158" t="s">
        <v>9151</v>
      </c>
      <c r="G1158" t="s">
        <v>10495</v>
      </c>
      <c r="H1158" t="s">
        <v>8036</v>
      </c>
      <c r="I1158">
        <f>_xlfn.LET(_xlpm.id,TRIM($A1158),IF(_xlpm.id="","",SUM(COUNTIF('1. OP'!$M:$M,_xlpm.id),COUNTIF('2. JSEL'!$M:$M,_xlpm.id),COUNTIF('3. PSM'!$M:$M,_xlpm.id),COUNTIF('4. SSP'!$M:$M,_xlpm.id),COUNTIF('5. JSACI'!$M:$M,_xlpm.id),COUNTIF('6. AIN'!$M:$M,_xlpm.id),COUNTIF('7. MS'!$M:$M,_xlpm.id),COUNTIF('8. DS'!$M:$M,_xlpm.id),COUNTIF('9. RMF'!$M:$M,_xlpm.id),COUNTIF('10. PCU'!$M:$M,_xlpm.id))))</f>
        <v>0</v>
      </c>
    </row>
    <row r="1159" spans="1:9">
      <c r="A1159" t="s">
        <v>9156</v>
      </c>
      <c r="B1159" t="s">
        <v>9152</v>
      </c>
      <c r="C1159">
        <v>1835</v>
      </c>
      <c r="D1159">
        <v>1</v>
      </c>
      <c r="E1159" s="23">
        <v>5</v>
      </c>
      <c r="F1159" t="s">
        <v>9151</v>
      </c>
      <c r="G1159" t="s">
        <v>10495</v>
      </c>
      <c r="H1159" t="s">
        <v>8036</v>
      </c>
      <c r="I1159">
        <f>_xlfn.LET(_xlpm.id,TRIM($A1159),IF(_xlpm.id="","",SUM(COUNTIF('1. OP'!$M:$M,_xlpm.id),COUNTIF('2. JSEL'!$M:$M,_xlpm.id),COUNTIF('3. PSM'!$M:$M,_xlpm.id),COUNTIF('4. SSP'!$M:$M,_xlpm.id),COUNTIF('5. JSACI'!$M:$M,_xlpm.id),COUNTIF('6. AIN'!$M:$M,_xlpm.id),COUNTIF('7. MS'!$M:$M,_xlpm.id),COUNTIF('8. DS'!$M:$M,_xlpm.id),COUNTIF('9. RMF'!$M:$M,_xlpm.id),COUNTIF('10. PCU'!$M:$M,_xlpm.id))))</f>
        <v>0</v>
      </c>
    </row>
    <row r="1160" spans="1:9">
      <c r="A1160" t="s">
        <v>9157</v>
      </c>
      <c r="B1160" t="s">
        <v>9152</v>
      </c>
      <c r="C1160">
        <v>1836</v>
      </c>
      <c r="D1160">
        <v>1</v>
      </c>
      <c r="E1160" s="23">
        <v>6</v>
      </c>
      <c r="F1160" t="s">
        <v>9151</v>
      </c>
      <c r="G1160" t="s">
        <v>10495</v>
      </c>
      <c r="H1160" t="s">
        <v>8036</v>
      </c>
      <c r="I1160">
        <f>_xlfn.LET(_xlpm.id,TRIM($A1160),IF(_xlpm.id="","",SUM(COUNTIF('1. OP'!$M:$M,_xlpm.id),COUNTIF('2. JSEL'!$M:$M,_xlpm.id),COUNTIF('3. PSM'!$M:$M,_xlpm.id),COUNTIF('4. SSP'!$M:$M,_xlpm.id),COUNTIF('5. JSACI'!$M:$M,_xlpm.id),COUNTIF('6. AIN'!$M:$M,_xlpm.id),COUNTIF('7. MS'!$M:$M,_xlpm.id),COUNTIF('8. DS'!$M:$M,_xlpm.id),COUNTIF('9. RMF'!$M:$M,_xlpm.id),COUNTIF('10. PCU'!$M:$M,_xlpm.id))))</f>
        <v>0</v>
      </c>
    </row>
    <row r="1161" spans="1:9">
      <c r="A1161" t="s">
        <v>9158</v>
      </c>
      <c r="B1161" t="s">
        <v>9152</v>
      </c>
      <c r="C1161">
        <v>1837</v>
      </c>
      <c r="D1161">
        <v>1</v>
      </c>
      <c r="E1161" s="23">
        <v>7</v>
      </c>
      <c r="F1161" t="s">
        <v>9151</v>
      </c>
      <c r="G1161" t="s">
        <v>10495</v>
      </c>
      <c r="H1161" t="s">
        <v>8036</v>
      </c>
      <c r="I1161">
        <f>_xlfn.LET(_xlpm.id,TRIM($A1161),IF(_xlpm.id="","",SUM(COUNTIF('1. OP'!$M:$M,_xlpm.id),COUNTIF('2. JSEL'!$M:$M,_xlpm.id),COUNTIF('3. PSM'!$M:$M,_xlpm.id),COUNTIF('4. SSP'!$M:$M,_xlpm.id),COUNTIF('5. JSACI'!$M:$M,_xlpm.id),COUNTIF('6. AIN'!$M:$M,_xlpm.id),COUNTIF('7. MS'!$M:$M,_xlpm.id),COUNTIF('8. DS'!$M:$M,_xlpm.id),COUNTIF('9. RMF'!$M:$M,_xlpm.id),COUNTIF('10. PCU'!$M:$M,_xlpm.id))))</f>
        <v>0</v>
      </c>
    </row>
    <row r="1162" spans="1:9">
      <c r="A1162" t="s">
        <v>9159</v>
      </c>
      <c r="B1162" t="s">
        <v>9152</v>
      </c>
      <c r="C1162">
        <v>1838</v>
      </c>
      <c r="D1162">
        <v>1</v>
      </c>
      <c r="E1162" s="23">
        <v>8</v>
      </c>
      <c r="F1162" t="s">
        <v>9151</v>
      </c>
      <c r="G1162" t="s">
        <v>10495</v>
      </c>
      <c r="H1162" t="s">
        <v>8036</v>
      </c>
      <c r="I1162">
        <f>_xlfn.LET(_xlpm.id,TRIM($A1162),IF(_xlpm.id="","",SUM(COUNTIF('1. OP'!$M:$M,_xlpm.id),COUNTIF('2. JSEL'!$M:$M,_xlpm.id),COUNTIF('3. PSM'!$M:$M,_xlpm.id),COUNTIF('4. SSP'!$M:$M,_xlpm.id),COUNTIF('5. JSACI'!$M:$M,_xlpm.id),COUNTIF('6. AIN'!$M:$M,_xlpm.id),COUNTIF('7. MS'!$M:$M,_xlpm.id),COUNTIF('8. DS'!$M:$M,_xlpm.id),COUNTIF('9. RMF'!$M:$M,_xlpm.id),COUNTIF('10. PCU'!$M:$M,_xlpm.id))))</f>
        <v>0</v>
      </c>
    </row>
    <row r="1163" spans="1:9">
      <c r="A1163" t="s">
        <v>9160</v>
      </c>
      <c r="B1163" t="s">
        <v>9161</v>
      </c>
      <c r="C1163">
        <v>1827</v>
      </c>
      <c r="D1163">
        <v>1</v>
      </c>
      <c r="E1163" s="23">
        <v>1</v>
      </c>
      <c r="F1163" t="s">
        <v>8265</v>
      </c>
      <c r="G1163" t="s">
        <v>10496</v>
      </c>
      <c r="H1163" t="s">
        <v>10179</v>
      </c>
      <c r="I1163">
        <f>_xlfn.LET(_xlpm.id,TRIM($A1163),IF(_xlpm.id="","",SUM(COUNTIF('1. OP'!$M:$M,_xlpm.id),COUNTIF('2. JSEL'!$M:$M,_xlpm.id),COUNTIF('3. PSM'!$M:$M,_xlpm.id),COUNTIF('4. SSP'!$M:$M,_xlpm.id),COUNTIF('5. JSACI'!$M:$M,_xlpm.id),COUNTIF('6. AIN'!$M:$M,_xlpm.id),COUNTIF('7. MS'!$M:$M,_xlpm.id),COUNTIF('8. DS'!$M:$M,_xlpm.id),COUNTIF('9. RMF'!$M:$M,_xlpm.id),COUNTIF('10. PCU'!$M:$M,_xlpm.id))))</f>
        <v>0</v>
      </c>
    </row>
    <row r="1164" spans="1:9">
      <c r="A1164" t="s">
        <v>9162</v>
      </c>
      <c r="B1164" t="s">
        <v>9161</v>
      </c>
      <c r="C1164">
        <v>1828</v>
      </c>
      <c r="D1164">
        <v>1</v>
      </c>
      <c r="E1164" s="23">
        <v>2</v>
      </c>
      <c r="F1164" t="s">
        <v>8265</v>
      </c>
      <c r="G1164" t="s">
        <v>10496</v>
      </c>
      <c r="H1164" t="s">
        <v>10179</v>
      </c>
      <c r="I1164">
        <f>_xlfn.LET(_xlpm.id,TRIM($A1164),IF(_xlpm.id="","",SUM(COUNTIF('1. OP'!$M:$M,_xlpm.id),COUNTIF('2. JSEL'!$M:$M,_xlpm.id),COUNTIF('3. PSM'!$M:$M,_xlpm.id),COUNTIF('4. SSP'!$M:$M,_xlpm.id),COUNTIF('5. JSACI'!$M:$M,_xlpm.id),COUNTIF('6. AIN'!$M:$M,_xlpm.id),COUNTIF('7. MS'!$M:$M,_xlpm.id),COUNTIF('8. DS'!$M:$M,_xlpm.id),COUNTIF('9. RMF'!$M:$M,_xlpm.id),COUNTIF('10. PCU'!$M:$M,_xlpm.id))))</f>
        <v>0</v>
      </c>
    </row>
    <row r="1165" spans="1:9">
      <c r="A1165" t="s">
        <v>9163</v>
      </c>
      <c r="B1165" t="s">
        <v>9161</v>
      </c>
      <c r="C1165">
        <v>1828</v>
      </c>
      <c r="D1165">
        <v>1</v>
      </c>
      <c r="E1165" s="23">
        <v>3</v>
      </c>
      <c r="F1165" t="s">
        <v>8265</v>
      </c>
      <c r="G1165" t="s">
        <v>10496</v>
      </c>
      <c r="H1165" t="s">
        <v>10179</v>
      </c>
      <c r="I1165">
        <f>_xlfn.LET(_xlpm.id,TRIM($A1165),IF(_xlpm.id="","",SUM(COUNTIF('1. OP'!$M:$M,_xlpm.id),COUNTIF('2. JSEL'!$M:$M,_xlpm.id),COUNTIF('3. PSM'!$M:$M,_xlpm.id),COUNTIF('4. SSP'!$M:$M,_xlpm.id),COUNTIF('5. JSACI'!$M:$M,_xlpm.id),COUNTIF('6. AIN'!$M:$M,_xlpm.id),COUNTIF('7. MS'!$M:$M,_xlpm.id),COUNTIF('8. DS'!$M:$M,_xlpm.id),COUNTIF('9. RMF'!$M:$M,_xlpm.id),COUNTIF('10. PCU'!$M:$M,_xlpm.id))))</f>
        <v>0</v>
      </c>
    </row>
    <row r="1166" spans="1:9">
      <c r="A1166" t="s">
        <v>9164</v>
      </c>
      <c r="B1166" t="s">
        <v>9161</v>
      </c>
      <c r="C1166">
        <v>1829</v>
      </c>
      <c r="D1166">
        <v>1</v>
      </c>
      <c r="E1166" s="23">
        <v>4</v>
      </c>
      <c r="F1166" t="s">
        <v>8265</v>
      </c>
      <c r="G1166" t="s">
        <v>10496</v>
      </c>
      <c r="H1166" t="s">
        <v>10179</v>
      </c>
      <c r="I1166">
        <f>_xlfn.LET(_xlpm.id,TRIM($A1166),IF(_xlpm.id="","",SUM(COUNTIF('1. OP'!$M:$M,_xlpm.id),COUNTIF('2. JSEL'!$M:$M,_xlpm.id),COUNTIF('3. PSM'!$M:$M,_xlpm.id),COUNTIF('4. SSP'!$M:$M,_xlpm.id),COUNTIF('5. JSACI'!$M:$M,_xlpm.id),COUNTIF('6. AIN'!$M:$M,_xlpm.id),COUNTIF('7. MS'!$M:$M,_xlpm.id),COUNTIF('8. DS'!$M:$M,_xlpm.id),COUNTIF('9. RMF'!$M:$M,_xlpm.id),COUNTIF('10. PCU'!$M:$M,_xlpm.id))))</f>
        <v>0</v>
      </c>
    </row>
    <row r="1167" spans="1:9">
      <c r="A1167" t="s">
        <v>9165</v>
      </c>
      <c r="B1167" t="s">
        <v>9161</v>
      </c>
      <c r="C1167">
        <v>1829</v>
      </c>
      <c r="D1167">
        <v>1</v>
      </c>
      <c r="E1167" s="23">
        <v>5</v>
      </c>
      <c r="F1167" t="s">
        <v>8265</v>
      </c>
      <c r="G1167" t="s">
        <v>10496</v>
      </c>
      <c r="H1167" t="s">
        <v>10179</v>
      </c>
      <c r="I1167">
        <f>_xlfn.LET(_xlpm.id,TRIM($A1167),IF(_xlpm.id="","",SUM(COUNTIF('1. OP'!$M:$M,_xlpm.id),COUNTIF('2. JSEL'!$M:$M,_xlpm.id),COUNTIF('3. PSM'!$M:$M,_xlpm.id),COUNTIF('4. SSP'!$M:$M,_xlpm.id),COUNTIF('5. JSACI'!$M:$M,_xlpm.id),COUNTIF('6. AIN'!$M:$M,_xlpm.id),COUNTIF('7. MS'!$M:$M,_xlpm.id),COUNTIF('8. DS'!$M:$M,_xlpm.id),COUNTIF('9. RMF'!$M:$M,_xlpm.id),COUNTIF('10. PCU'!$M:$M,_xlpm.id))))</f>
        <v>0</v>
      </c>
    </row>
    <row r="1168" spans="1:9">
      <c r="A1168" t="s">
        <v>9166</v>
      </c>
      <c r="B1168" t="s">
        <v>9161</v>
      </c>
      <c r="C1168">
        <v>1830</v>
      </c>
      <c r="D1168">
        <v>1</v>
      </c>
      <c r="E1168" s="23">
        <v>6</v>
      </c>
      <c r="F1168" t="s">
        <v>8265</v>
      </c>
      <c r="G1168" t="s">
        <v>10496</v>
      </c>
      <c r="H1168" t="s">
        <v>10179</v>
      </c>
      <c r="I1168">
        <f>_xlfn.LET(_xlpm.id,TRIM($A1168),IF(_xlpm.id="","",SUM(COUNTIF('1. OP'!$M:$M,_xlpm.id),COUNTIF('2. JSEL'!$M:$M,_xlpm.id),COUNTIF('3. PSM'!$M:$M,_xlpm.id),COUNTIF('4. SSP'!$M:$M,_xlpm.id),COUNTIF('5. JSACI'!$M:$M,_xlpm.id),COUNTIF('6. AIN'!$M:$M,_xlpm.id),COUNTIF('7. MS'!$M:$M,_xlpm.id),COUNTIF('8. DS'!$M:$M,_xlpm.id),COUNTIF('9. RMF'!$M:$M,_xlpm.id),COUNTIF('10. PCU'!$M:$M,_xlpm.id))))</f>
        <v>0</v>
      </c>
    </row>
    <row r="1169" spans="1:9">
      <c r="A1169" t="s">
        <v>9167</v>
      </c>
      <c r="B1169" t="s">
        <v>9161</v>
      </c>
      <c r="C1169">
        <v>1830</v>
      </c>
      <c r="D1169">
        <v>1</v>
      </c>
      <c r="E1169" s="23">
        <v>7</v>
      </c>
      <c r="F1169" t="s">
        <v>8265</v>
      </c>
      <c r="G1169" t="s">
        <v>10496</v>
      </c>
      <c r="H1169" t="s">
        <v>10179</v>
      </c>
      <c r="I1169">
        <f>_xlfn.LET(_xlpm.id,TRIM($A1169),IF(_xlpm.id="","",SUM(COUNTIF('1. OP'!$M:$M,_xlpm.id),COUNTIF('2. JSEL'!$M:$M,_xlpm.id),COUNTIF('3. PSM'!$M:$M,_xlpm.id),COUNTIF('4. SSP'!$M:$M,_xlpm.id),COUNTIF('5. JSACI'!$M:$M,_xlpm.id),COUNTIF('6. AIN'!$M:$M,_xlpm.id),COUNTIF('7. MS'!$M:$M,_xlpm.id),COUNTIF('8. DS'!$M:$M,_xlpm.id),COUNTIF('9. RMF'!$M:$M,_xlpm.id),COUNTIF('10. PCU'!$M:$M,_xlpm.id))))</f>
        <v>0</v>
      </c>
    </row>
    <row r="1170" spans="1:9">
      <c r="A1170" t="s">
        <v>9168</v>
      </c>
      <c r="B1170" t="s">
        <v>9161</v>
      </c>
      <c r="C1170">
        <v>1831</v>
      </c>
      <c r="D1170">
        <v>1</v>
      </c>
      <c r="E1170" s="23">
        <v>8</v>
      </c>
      <c r="F1170" t="s">
        <v>8265</v>
      </c>
      <c r="G1170" t="s">
        <v>10496</v>
      </c>
      <c r="H1170" t="s">
        <v>10179</v>
      </c>
      <c r="I1170">
        <f>_xlfn.LET(_xlpm.id,TRIM($A1170),IF(_xlpm.id="","",SUM(COUNTIF('1. OP'!$M:$M,_xlpm.id),COUNTIF('2. JSEL'!$M:$M,_xlpm.id),COUNTIF('3. PSM'!$M:$M,_xlpm.id),COUNTIF('4. SSP'!$M:$M,_xlpm.id),COUNTIF('5. JSACI'!$M:$M,_xlpm.id),COUNTIF('6. AIN'!$M:$M,_xlpm.id),COUNTIF('7. MS'!$M:$M,_xlpm.id),COUNTIF('8. DS'!$M:$M,_xlpm.id),COUNTIF('9. RMF'!$M:$M,_xlpm.id),COUNTIF('10. PCU'!$M:$M,_xlpm.id))))</f>
        <v>0</v>
      </c>
    </row>
    <row r="1171" spans="1:9">
      <c r="A1171" t="s">
        <v>9169</v>
      </c>
      <c r="B1171" t="s">
        <v>9161</v>
      </c>
      <c r="C1171">
        <v>1831</v>
      </c>
      <c r="D1171">
        <v>1</v>
      </c>
      <c r="E1171" s="23">
        <v>9</v>
      </c>
      <c r="F1171" t="s">
        <v>8265</v>
      </c>
      <c r="G1171" t="s">
        <v>10496</v>
      </c>
      <c r="H1171" t="s">
        <v>10179</v>
      </c>
      <c r="I1171">
        <f>_xlfn.LET(_xlpm.id,TRIM($A1171),IF(_xlpm.id="","",SUM(COUNTIF('1. OP'!$M:$M,_xlpm.id),COUNTIF('2. JSEL'!$M:$M,_xlpm.id),COUNTIF('3. PSM'!$M:$M,_xlpm.id),COUNTIF('4. SSP'!$M:$M,_xlpm.id),COUNTIF('5. JSACI'!$M:$M,_xlpm.id),COUNTIF('6. AIN'!$M:$M,_xlpm.id),COUNTIF('7. MS'!$M:$M,_xlpm.id),COUNTIF('8. DS'!$M:$M,_xlpm.id),COUNTIF('9. RMF'!$M:$M,_xlpm.id),COUNTIF('10. PCU'!$M:$M,_xlpm.id))))</f>
        <v>0</v>
      </c>
    </row>
    <row r="1172" spans="1:9">
      <c r="A1172" t="s">
        <v>9170</v>
      </c>
      <c r="B1172" t="s">
        <v>9161</v>
      </c>
      <c r="C1172">
        <v>1832</v>
      </c>
      <c r="D1172">
        <v>1</v>
      </c>
      <c r="E1172" s="23">
        <v>10</v>
      </c>
      <c r="F1172" t="s">
        <v>8265</v>
      </c>
      <c r="G1172" t="s">
        <v>10496</v>
      </c>
      <c r="H1172" t="s">
        <v>10179</v>
      </c>
      <c r="I1172">
        <f>_xlfn.LET(_xlpm.id,TRIM($A1172),IF(_xlpm.id="","",SUM(COUNTIF('1. OP'!$M:$M,_xlpm.id),COUNTIF('2. JSEL'!$M:$M,_xlpm.id),COUNTIF('3. PSM'!$M:$M,_xlpm.id),COUNTIF('4. SSP'!$M:$M,_xlpm.id),COUNTIF('5. JSACI'!$M:$M,_xlpm.id),COUNTIF('6. AIN'!$M:$M,_xlpm.id),COUNTIF('7. MS'!$M:$M,_xlpm.id),COUNTIF('8. DS'!$M:$M,_xlpm.id),COUNTIF('9. RMF'!$M:$M,_xlpm.id),COUNTIF('10. PCU'!$M:$M,_xlpm.id))))</f>
        <v>0</v>
      </c>
    </row>
    <row r="1173" spans="1:9">
      <c r="A1173" t="s">
        <v>9171</v>
      </c>
      <c r="B1173" t="s">
        <v>9161</v>
      </c>
      <c r="C1173">
        <v>1832</v>
      </c>
      <c r="D1173">
        <v>1</v>
      </c>
      <c r="E1173" s="23">
        <v>11</v>
      </c>
      <c r="F1173" t="s">
        <v>8265</v>
      </c>
      <c r="G1173" t="s">
        <v>10496</v>
      </c>
      <c r="H1173" t="s">
        <v>10179</v>
      </c>
      <c r="I1173">
        <f>_xlfn.LET(_xlpm.id,TRIM($A1173),IF(_xlpm.id="","",SUM(COUNTIF('1. OP'!$M:$M,_xlpm.id),COUNTIF('2. JSEL'!$M:$M,_xlpm.id),COUNTIF('3. PSM'!$M:$M,_xlpm.id),COUNTIF('4. SSP'!$M:$M,_xlpm.id),COUNTIF('5. JSACI'!$M:$M,_xlpm.id),COUNTIF('6. AIN'!$M:$M,_xlpm.id),COUNTIF('7. MS'!$M:$M,_xlpm.id),COUNTIF('8. DS'!$M:$M,_xlpm.id),COUNTIF('9. RMF'!$M:$M,_xlpm.id),COUNTIF('10. PCU'!$M:$M,_xlpm.id))))</f>
        <v>0</v>
      </c>
    </row>
    <row r="1174" spans="1:9">
      <c r="A1174" t="s">
        <v>9172</v>
      </c>
      <c r="B1174" t="s">
        <v>9161</v>
      </c>
      <c r="C1174">
        <v>1833</v>
      </c>
      <c r="D1174">
        <v>1</v>
      </c>
      <c r="E1174" s="23">
        <v>12</v>
      </c>
      <c r="F1174" t="s">
        <v>8265</v>
      </c>
      <c r="G1174" t="s">
        <v>10496</v>
      </c>
      <c r="H1174" t="s">
        <v>10179</v>
      </c>
      <c r="I1174">
        <f>_xlfn.LET(_xlpm.id,TRIM($A1174),IF(_xlpm.id="","",SUM(COUNTIF('1. OP'!$M:$M,_xlpm.id),COUNTIF('2. JSEL'!$M:$M,_xlpm.id),COUNTIF('3. PSM'!$M:$M,_xlpm.id),COUNTIF('4. SSP'!$M:$M,_xlpm.id),COUNTIF('5. JSACI'!$M:$M,_xlpm.id),COUNTIF('6. AIN'!$M:$M,_xlpm.id),COUNTIF('7. MS'!$M:$M,_xlpm.id),COUNTIF('8. DS'!$M:$M,_xlpm.id),COUNTIF('9. RMF'!$M:$M,_xlpm.id),COUNTIF('10. PCU'!$M:$M,_xlpm.id))))</f>
        <v>0</v>
      </c>
    </row>
    <row r="1175" spans="1:9">
      <c r="A1175" t="s">
        <v>9173</v>
      </c>
      <c r="B1175" t="s">
        <v>9161</v>
      </c>
      <c r="C1175">
        <v>1833</v>
      </c>
      <c r="D1175">
        <v>1</v>
      </c>
      <c r="E1175" s="23">
        <v>13</v>
      </c>
      <c r="F1175" t="s">
        <v>8265</v>
      </c>
      <c r="G1175" t="s">
        <v>10496</v>
      </c>
      <c r="H1175" t="s">
        <v>10179</v>
      </c>
      <c r="I1175">
        <f>_xlfn.LET(_xlpm.id,TRIM($A1175),IF(_xlpm.id="","",SUM(COUNTIF('1. OP'!$M:$M,_xlpm.id),COUNTIF('2. JSEL'!$M:$M,_xlpm.id),COUNTIF('3. PSM'!$M:$M,_xlpm.id),COUNTIF('4. SSP'!$M:$M,_xlpm.id),COUNTIF('5. JSACI'!$M:$M,_xlpm.id),COUNTIF('6. AIN'!$M:$M,_xlpm.id),COUNTIF('7. MS'!$M:$M,_xlpm.id),COUNTIF('8. DS'!$M:$M,_xlpm.id),COUNTIF('9. RMF'!$M:$M,_xlpm.id),COUNTIF('10. PCU'!$M:$M,_xlpm.id))))</f>
        <v>0</v>
      </c>
    </row>
    <row r="1176" spans="1:9">
      <c r="A1176" t="s">
        <v>9174</v>
      </c>
      <c r="B1176" t="s">
        <v>9161</v>
      </c>
      <c r="C1176">
        <v>1834</v>
      </c>
      <c r="D1176">
        <v>1</v>
      </c>
      <c r="E1176" s="23">
        <v>14</v>
      </c>
      <c r="F1176" t="s">
        <v>8265</v>
      </c>
      <c r="G1176" t="s">
        <v>10496</v>
      </c>
      <c r="H1176" t="s">
        <v>10179</v>
      </c>
      <c r="I1176">
        <f>_xlfn.LET(_xlpm.id,TRIM($A1176),IF(_xlpm.id="","",SUM(COUNTIF('1. OP'!$M:$M,_xlpm.id),COUNTIF('2. JSEL'!$M:$M,_xlpm.id),COUNTIF('3. PSM'!$M:$M,_xlpm.id),COUNTIF('4. SSP'!$M:$M,_xlpm.id),COUNTIF('5. JSACI'!$M:$M,_xlpm.id),COUNTIF('6. AIN'!$M:$M,_xlpm.id),COUNTIF('7. MS'!$M:$M,_xlpm.id),COUNTIF('8. DS'!$M:$M,_xlpm.id),COUNTIF('9. RMF'!$M:$M,_xlpm.id),COUNTIF('10. PCU'!$M:$M,_xlpm.id))))</f>
        <v>0</v>
      </c>
    </row>
    <row r="1177" spans="1:9">
      <c r="A1177" t="s">
        <v>9175</v>
      </c>
      <c r="B1177" t="s">
        <v>9161</v>
      </c>
      <c r="C1177">
        <v>1834</v>
      </c>
      <c r="D1177">
        <v>1</v>
      </c>
      <c r="E1177" s="23">
        <v>15</v>
      </c>
      <c r="F1177" t="s">
        <v>8265</v>
      </c>
      <c r="G1177" t="s">
        <v>10496</v>
      </c>
      <c r="H1177" t="s">
        <v>10179</v>
      </c>
      <c r="I1177">
        <f>_xlfn.LET(_xlpm.id,TRIM($A1177),IF(_xlpm.id="","",SUM(COUNTIF('1. OP'!$M:$M,_xlpm.id),COUNTIF('2. JSEL'!$M:$M,_xlpm.id),COUNTIF('3. PSM'!$M:$M,_xlpm.id),COUNTIF('4. SSP'!$M:$M,_xlpm.id),COUNTIF('5. JSACI'!$M:$M,_xlpm.id),COUNTIF('6. AIN'!$M:$M,_xlpm.id),COUNTIF('7. MS'!$M:$M,_xlpm.id),COUNTIF('8. DS'!$M:$M,_xlpm.id),COUNTIF('9. RMF'!$M:$M,_xlpm.id),COUNTIF('10. PCU'!$M:$M,_xlpm.id))))</f>
        <v>0</v>
      </c>
    </row>
    <row r="1178" spans="1:9">
      <c r="A1178" t="s">
        <v>9176</v>
      </c>
      <c r="B1178" t="s">
        <v>9161</v>
      </c>
      <c r="C1178">
        <v>1835</v>
      </c>
      <c r="D1178">
        <v>1</v>
      </c>
      <c r="E1178" s="23">
        <v>16</v>
      </c>
      <c r="F1178" t="s">
        <v>8265</v>
      </c>
      <c r="G1178" t="s">
        <v>10496</v>
      </c>
      <c r="H1178" t="s">
        <v>10179</v>
      </c>
      <c r="I1178">
        <f>_xlfn.LET(_xlpm.id,TRIM($A1178),IF(_xlpm.id="","",SUM(COUNTIF('1. OP'!$M:$M,_xlpm.id),COUNTIF('2. JSEL'!$M:$M,_xlpm.id),COUNTIF('3. PSM'!$M:$M,_xlpm.id),COUNTIF('4. SSP'!$M:$M,_xlpm.id),COUNTIF('5. JSACI'!$M:$M,_xlpm.id),COUNTIF('6. AIN'!$M:$M,_xlpm.id),COUNTIF('7. MS'!$M:$M,_xlpm.id),COUNTIF('8. DS'!$M:$M,_xlpm.id),COUNTIF('9. RMF'!$M:$M,_xlpm.id),COUNTIF('10. PCU'!$M:$M,_xlpm.id))))</f>
        <v>0</v>
      </c>
    </row>
    <row r="1179" spans="1:9">
      <c r="A1179" t="s">
        <v>9177</v>
      </c>
      <c r="B1179" t="s">
        <v>9161</v>
      </c>
      <c r="C1179">
        <v>1835</v>
      </c>
      <c r="D1179">
        <v>1</v>
      </c>
      <c r="E1179" s="23">
        <v>17</v>
      </c>
      <c r="F1179" t="s">
        <v>8265</v>
      </c>
      <c r="G1179" t="s">
        <v>10496</v>
      </c>
      <c r="H1179" t="s">
        <v>10179</v>
      </c>
      <c r="I1179">
        <f>_xlfn.LET(_xlpm.id,TRIM($A1179),IF(_xlpm.id="","",SUM(COUNTIF('1. OP'!$M:$M,_xlpm.id),COUNTIF('2. JSEL'!$M:$M,_xlpm.id),COUNTIF('3. PSM'!$M:$M,_xlpm.id),COUNTIF('4. SSP'!$M:$M,_xlpm.id),COUNTIF('5. JSACI'!$M:$M,_xlpm.id),COUNTIF('6. AIN'!$M:$M,_xlpm.id),COUNTIF('7. MS'!$M:$M,_xlpm.id),COUNTIF('8. DS'!$M:$M,_xlpm.id),COUNTIF('9. RMF'!$M:$M,_xlpm.id),COUNTIF('10. PCU'!$M:$M,_xlpm.id))))</f>
        <v>0</v>
      </c>
    </row>
    <row r="1180" spans="1:9">
      <c r="A1180" t="s">
        <v>9178</v>
      </c>
      <c r="B1180" t="s">
        <v>9161</v>
      </c>
      <c r="C1180">
        <v>1836</v>
      </c>
      <c r="D1180">
        <v>1</v>
      </c>
      <c r="E1180" s="23">
        <v>18</v>
      </c>
      <c r="F1180" t="s">
        <v>8265</v>
      </c>
      <c r="G1180" t="s">
        <v>10496</v>
      </c>
      <c r="H1180" t="s">
        <v>10179</v>
      </c>
      <c r="I1180">
        <f>_xlfn.LET(_xlpm.id,TRIM($A1180),IF(_xlpm.id="","",SUM(COUNTIF('1. OP'!$M:$M,_xlpm.id),COUNTIF('2. JSEL'!$M:$M,_xlpm.id),COUNTIF('3. PSM'!$M:$M,_xlpm.id),COUNTIF('4. SSP'!$M:$M,_xlpm.id),COUNTIF('5. JSACI'!$M:$M,_xlpm.id),COUNTIF('6. AIN'!$M:$M,_xlpm.id),COUNTIF('7. MS'!$M:$M,_xlpm.id),COUNTIF('8. DS'!$M:$M,_xlpm.id),COUNTIF('9. RMF'!$M:$M,_xlpm.id),COUNTIF('10. PCU'!$M:$M,_xlpm.id))))</f>
        <v>0</v>
      </c>
    </row>
    <row r="1181" spans="1:9">
      <c r="A1181" t="s">
        <v>9179</v>
      </c>
      <c r="B1181" t="s">
        <v>9161</v>
      </c>
      <c r="C1181">
        <v>1836</v>
      </c>
      <c r="D1181">
        <v>1</v>
      </c>
      <c r="E1181" s="23">
        <v>19</v>
      </c>
      <c r="F1181" t="s">
        <v>8265</v>
      </c>
      <c r="G1181" t="s">
        <v>10496</v>
      </c>
      <c r="H1181" t="s">
        <v>10179</v>
      </c>
      <c r="I1181">
        <f>_xlfn.LET(_xlpm.id,TRIM($A1181),IF(_xlpm.id="","",SUM(COUNTIF('1. OP'!$M:$M,_xlpm.id),COUNTIF('2. JSEL'!$M:$M,_xlpm.id),COUNTIF('3. PSM'!$M:$M,_xlpm.id),COUNTIF('4. SSP'!$M:$M,_xlpm.id),COUNTIF('5. JSACI'!$M:$M,_xlpm.id),COUNTIF('6. AIN'!$M:$M,_xlpm.id),COUNTIF('7. MS'!$M:$M,_xlpm.id),COUNTIF('8. DS'!$M:$M,_xlpm.id),COUNTIF('9. RMF'!$M:$M,_xlpm.id),COUNTIF('10. PCU'!$M:$M,_xlpm.id))))</f>
        <v>0</v>
      </c>
    </row>
    <row r="1182" spans="1:9">
      <c r="A1182" t="s">
        <v>9180</v>
      </c>
      <c r="B1182" t="s">
        <v>9161</v>
      </c>
      <c r="C1182">
        <v>1837</v>
      </c>
      <c r="D1182">
        <v>1</v>
      </c>
      <c r="E1182" s="23">
        <v>20</v>
      </c>
      <c r="F1182" t="s">
        <v>8265</v>
      </c>
      <c r="G1182" t="s">
        <v>10496</v>
      </c>
      <c r="H1182" t="s">
        <v>10179</v>
      </c>
      <c r="I1182">
        <f>_xlfn.LET(_xlpm.id,TRIM($A1182),IF(_xlpm.id="","",SUM(COUNTIF('1. OP'!$M:$M,_xlpm.id),COUNTIF('2. JSEL'!$M:$M,_xlpm.id),COUNTIF('3. PSM'!$M:$M,_xlpm.id),COUNTIF('4. SSP'!$M:$M,_xlpm.id),COUNTIF('5. JSACI'!$M:$M,_xlpm.id),COUNTIF('6. AIN'!$M:$M,_xlpm.id),COUNTIF('7. MS'!$M:$M,_xlpm.id),COUNTIF('8. DS'!$M:$M,_xlpm.id),COUNTIF('9. RMF'!$M:$M,_xlpm.id),COUNTIF('10. PCU'!$M:$M,_xlpm.id))))</f>
        <v>0</v>
      </c>
    </row>
    <row r="1183" spans="1:9">
      <c r="A1183" t="s">
        <v>9181</v>
      </c>
      <c r="B1183" t="s">
        <v>9161</v>
      </c>
      <c r="C1183">
        <v>1837</v>
      </c>
      <c r="D1183">
        <v>1</v>
      </c>
      <c r="E1183" s="23">
        <v>21</v>
      </c>
      <c r="F1183" t="s">
        <v>8265</v>
      </c>
      <c r="G1183" t="s">
        <v>10496</v>
      </c>
      <c r="H1183" t="s">
        <v>10179</v>
      </c>
      <c r="I1183">
        <f>_xlfn.LET(_xlpm.id,TRIM($A1183),IF(_xlpm.id="","",SUM(COUNTIF('1. OP'!$M:$M,_xlpm.id),COUNTIF('2. JSEL'!$M:$M,_xlpm.id),COUNTIF('3. PSM'!$M:$M,_xlpm.id),COUNTIF('4. SSP'!$M:$M,_xlpm.id),COUNTIF('5. JSACI'!$M:$M,_xlpm.id),COUNTIF('6. AIN'!$M:$M,_xlpm.id),COUNTIF('7. MS'!$M:$M,_xlpm.id),COUNTIF('8. DS'!$M:$M,_xlpm.id),COUNTIF('9. RMF'!$M:$M,_xlpm.id),COUNTIF('10. PCU'!$M:$M,_xlpm.id))))</f>
        <v>0</v>
      </c>
    </row>
    <row r="1184" spans="1:9">
      <c r="A1184" t="s">
        <v>9182</v>
      </c>
      <c r="B1184" t="s">
        <v>9161</v>
      </c>
      <c r="C1184">
        <v>1838</v>
      </c>
      <c r="D1184">
        <v>1</v>
      </c>
      <c r="E1184" s="23">
        <v>22</v>
      </c>
      <c r="F1184" t="s">
        <v>8265</v>
      </c>
      <c r="G1184" t="s">
        <v>10496</v>
      </c>
      <c r="H1184" t="s">
        <v>10179</v>
      </c>
      <c r="I1184">
        <f>_xlfn.LET(_xlpm.id,TRIM($A1184),IF(_xlpm.id="","",SUM(COUNTIF('1. OP'!$M:$M,_xlpm.id),COUNTIF('2. JSEL'!$M:$M,_xlpm.id),COUNTIF('3. PSM'!$M:$M,_xlpm.id),COUNTIF('4. SSP'!$M:$M,_xlpm.id),COUNTIF('5. JSACI'!$M:$M,_xlpm.id),COUNTIF('6. AIN'!$M:$M,_xlpm.id),COUNTIF('7. MS'!$M:$M,_xlpm.id),COUNTIF('8. DS'!$M:$M,_xlpm.id),COUNTIF('9. RMF'!$M:$M,_xlpm.id),COUNTIF('10. PCU'!$M:$M,_xlpm.id))))</f>
        <v>0</v>
      </c>
    </row>
    <row r="1185" spans="1:9">
      <c r="A1185" t="s">
        <v>9183</v>
      </c>
      <c r="B1185" t="s">
        <v>9161</v>
      </c>
      <c r="C1185">
        <v>1838</v>
      </c>
      <c r="D1185">
        <v>1</v>
      </c>
      <c r="E1185" s="23">
        <v>23</v>
      </c>
      <c r="F1185" t="s">
        <v>8265</v>
      </c>
      <c r="G1185" t="s">
        <v>10496</v>
      </c>
      <c r="H1185" t="s">
        <v>10179</v>
      </c>
      <c r="I1185">
        <f>_xlfn.LET(_xlpm.id,TRIM($A1185),IF(_xlpm.id="","",SUM(COUNTIF('1. OP'!$M:$M,_xlpm.id),COUNTIF('2. JSEL'!$M:$M,_xlpm.id),COUNTIF('3. PSM'!$M:$M,_xlpm.id),COUNTIF('4. SSP'!$M:$M,_xlpm.id),COUNTIF('5. JSACI'!$M:$M,_xlpm.id),COUNTIF('6. AIN'!$M:$M,_xlpm.id),COUNTIF('7. MS'!$M:$M,_xlpm.id),COUNTIF('8. DS'!$M:$M,_xlpm.id),COUNTIF('9. RMF'!$M:$M,_xlpm.id),COUNTIF('10. PCU'!$M:$M,_xlpm.id))))</f>
        <v>0</v>
      </c>
    </row>
    <row r="1186" spans="1:9">
      <c r="A1186" t="s">
        <v>9184</v>
      </c>
      <c r="B1186" t="s">
        <v>9161</v>
      </c>
      <c r="C1186">
        <v>1839</v>
      </c>
      <c r="D1186">
        <v>1</v>
      </c>
      <c r="E1186" s="23">
        <v>24</v>
      </c>
      <c r="F1186" t="s">
        <v>8265</v>
      </c>
      <c r="G1186" t="s">
        <v>10496</v>
      </c>
      <c r="H1186" t="s">
        <v>10179</v>
      </c>
      <c r="I1186">
        <f>_xlfn.LET(_xlpm.id,TRIM($A1186),IF(_xlpm.id="","",SUM(COUNTIF('1. OP'!$M:$M,_xlpm.id),COUNTIF('2. JSEL'!$M:$M,_xlpm.id),COUNTIF('3. PSM'!$M:$M,_xlpm.id),COUNTIF('4. SSP'!$M:$M,_xlpm.id),COUNTIF('5. JSACI'!$M:$M,_xlpm.id),COUNTIF('6. AIN'!$M:$M,_xlpm.id),COUNTIF('7. MS'!$M:$M,_xlpm.id),COUNTIF('8. DS'!$M:$M,_xlpm.id),COUNTIF('9. RMF'!$M:$M,_xlpm.id),COUNTIF('10. PCU'!$M:$M,_xlpm.id))))</f>
        <v>0</v>
      </c>
    </row>
    <row r="1187" spans="1:9">
      <c r="A1187" t="s">
        <v>9185</v>
      </c>
      <c r="B1187" t="s">
        <v>9161</v>
      </c>
      <c r="C1187">
        <v>1839</v>
      </c>
      <c r="D1187">
        <v>1</v>
      </c>
      <c r="E1187" s="23">
        <v>25</v>
      </c>
      <c r="F1187" t="s">
        <v>8265</v>
      </c>
      <c r="G1187" t="s">
        <v>10496</v>
      </c>
      <c r="H1187" t="s">
        <v>10179</v>
      </c>
      <c r="I1187">
        <f>_xlfn.LET(_xlpm.id,TRIM($A1187),IF(_xlpm.id="","",SUM(COUNTIF('1. OP'!$M:$M,_xlpm.id),COUNTIF('2. JSEL'!$M:$M,_xlpm.id),COUNTIF('3. PSM'!$M:$M,_xlpm.id),COUNTIF('4. SSP'!$M:$M,_xlpm.id),COUNTIF('5. JSACI'!$M:$M,_xlpm.id),COUNTIF('6. AIN'!$M:$M,_xlpm.id),COUNTIF('7. MS'!$M:$M,_xlpm.id),COUNTIF('8. DS'!$M:$M,_xlpm.id),COUNTIF('9. RMF'!$M:$M,_xlpm.id),COUNTIF('10. PCU'!$M:$M,_xlpm.id))))</f>
        <v>0</v>
      </c>
    </row>
    <row r="1188" spans="1:9">
      <c r="A1188" t="s">
        <v>9186</v>
      </c>
      <c r="B1188" t="s">
        <v>9161</v>
      </c>
      <c r="C1188">
        <v>1839</v>
      </c>
      <c r="D1188">
        <v>1</v>
      </c>
      <c r="E1188" s="23">
        <v>26</v>
      </c>
      <c r="F1188" t="s">
        <v>8265</v>
      </c>
      <c r="G1188" t="s">
        <v>10496</v>
      </c>
      <c r="H1188" t="s">
        <v>10179</v>
      </c>
      <c r="I1188">
        <f>_xlfn.LET(_xlpm.id,TRIM($A1188),IF(_xlpm.id="","",SUM(COUNTIF('1. OP'!$M:$M,_xlpm.id),COUNTIF('2. JSEL'!$M:$M,_xlpm.id),COUNTIF('3. PSM'!$M:$M,_xlpm.id),COUNTIF('4. SSP'!$M:$M,_xlpm.id),COUNTIF('5. JSACI'!$M:$M,_xlpm.id),COUNTIF('6. AIN'!$M:$M,_xlpm.id),COUNTIF('7. MS'!$M:$M,_xlpm.id),COUNTIF('8. DS'!$M:$M,_xlpm.id),COUNTIF('9. RMF'!$M:$M,_xlpm.id),COUNTIF('10. PCU'!$M:$M,_xlpm.id))))</f>
        <v>0</v>
      </c>
    </row>
    <row r="1189" spans="1:9">
      <c r="A1189" t="s">
        <v>6505</v>
      </c>
      <c r="B1189" t="s">
        <v>9188</v>
      </c>
      <c r="C1189">
        <v>1825</v>
      </c>
      <c r="D1189">
        <v>1</v>
      </c>
      <c r="E1189" s="23">
        <v>1</v>
      </c>
      <c r="F1189" t="s">
        <v>9187</v>
      </c>
      <c r="G1189" t="s">
        <v>10497</v>
      </c>
      <c r="H1189" t="s">
        <v>10162</v>
      </c>
      <c r="I1189">
        <f>_xlfn.LET(_xlpm.id,TRIM($A1189),IF(_xlpm.id="","",SUM(COUNTIF('1. OP'!$M:$M,_xlpm.id),COUNTIF('2. JSEL'!$M:$M,_xlpm.id),COUNTIF('3. PSM'!$M:$M,_xlpm.id),COUNTIF('4. SSP'!$M:$M,_xlpm.id),COUNTIF('5. JSACI'!$M:$M,_xlpm.id),COUNTIF('6. AIN'!$M:$M,_xlpm.id),COUNTIF('7. MS'!$M:$M,_xlpm.id),COUNTIF('8. DS'!$M:$M,_xlpm.id),COUNTIF('9. RMF'!$M:$M,_xlpm.id),COUNTIF('10. PCU'!$M:$M,_xlpm.id))))</f>
        <v>3</v>
      </c>
    </row>
    <row r="1190" spans="1:9">
      <c r="A1190" t="s">
        <v>6534</v>
      </c>
      <c r="B1190" t="s">
        <v>9188</v>
      </c>
      <c r="C1190">
        <v>1826</v>
      </c>
      <c r="D1190">
        <v>1</v>
      </c>
      <c r="E1190" s="23">
        <v>2</v>
      </c>
      <c r="F1190" t="s">
        <v>9187</v>
      </c>
      <c r="G1190" t="s">
        <v>10497</v>
      </c>
      <c r="H1190" t="s">
        <v>10162</v>
      </c>
      <c r="I1190">
        <f>_xlfn.LET(_xlpm.id,TRIM($A1190),IF(_xlpm.id="","",SUM(COUNTIF('1. OP'!$M:$M,_xlpm.id),COUNTIF('2. JSEL'!$M:$M,_xlpm.id),COUNTIF('3. PSM'!$M:$M,_xlpm.id),COUNTIF('4. SSP'!$M:$M,_xlpm.id),COUNTIF('5. JSACI'!$M:$M,_xlpm.id),COUNTIF('6. AIN'!$M:$M,_xlpm.id),COUNTIF('7. MS'!$M:$M,_xlpm.id),COUNTIF('8. DS'!$M:$M,_xlpm.id),COUNTIF('9. RMF'!$M:$M,_xlpm.id),COUNTIF('10. PCU'!$M:$M,_xlpm.id))))</f>
        <v>1</v>
      </c>
    </row>
    <row r="1191" spans="1:9">
      <c r="A1191" t="s">
        <v>9189</v>
      </c>
      <c r="B1191" t="s">
        <v>4610</v>
      </c>
      <c r="C1191">
        <v>1797</v>
      </c>
      <c r="D1191">
        <v>1</v>
      </c>
      <c r="E1191" s="23">
        <v>1</v>
      </c>
      <c r="F1191" t="s">
        <v>9187</v>
      </c>
      <c r="G1191" t="s">
        <v>10497</v>
      </c>
      <c r="H1191" t="s">
        <v>10162</v>
      </c>
      <c r="I1191">
        <f>_xlfn.LET(_xlpm.id,TRIM($A1191),IF(_xlpm.id="","",SUM(COUNTIF('1. OP'!$M:$M,_xlpm.id),COUNTIF('2. JSEL'!$M:$M,_xlpm.id),COUNTIF('3. PSM'!$M:$M,_xlpm.id),COUNTIF('4. SSP'!$M:$M,_xlpm.id),COUNTIF('5. JSACI'!$M:$M,_xlpm.id),COUNTIF('6. AIN'!$M:$M,_xlpm.id),COUNTIF('7. MS'!$M:$M,_xlpm.id),COUNTIF('8. DS'!$M:$M,_xlpm.id),COUNTIF('9. RMF'!$M:$M,_xlpm.id),COUNTIF('10. PCU'!$M:$M,_xlpm.id))))</f>
        <v>0</v>
      </c>
    </row>
    <row r="1192" spans="1:9">
      <c r="A1192" t="s">
        <v>9190</v>
      </c>
      <c r="B1192" t="s">
        <v>4610</v>
      </c>
      <c r="C1192">
        <v>1797</v>
      </c>
      <c r="D1192">
        <v>1</v>
      </c>
      <c r="E1192" s="23">
        <v>2</v>
      </c>
      <c r="F1192" t="s">
        <v>9187</v>
      </c>
      <c r="G1192" t="s">
        <v>10497</v>
      </c>
      <c r="H1192" t="s">
        <v>10162</v>
      </c>
      <c r="I1192">
        <f>_xlfn.LET(_xlpm.id,TRIM($A1192),IF(_xlpm.id="","",SUM(COUNTIF('1. OP'!$M:$M,_xlpm.id),COUNTIF('2. JSEL'!$M:$M,_xlpm.id),COUNTIF('3. PSM'!$M:$M,_xlpm.id),COUNTIF('4. SSP'!$M:$M,_xlpm.id),COUNTIF('5. JSACI'!$M:$M,_xlpm.id),COUNTIF('6. AIN'!$M:$M,_xlpm.id),COUNTIF('7. MS'!$M:$M,_xlpm.id),COUNTIF('8. DS'!$M:$M,_xlpm.id),COUNTIF('9. RMF'!$M:$M,_xlpm.id),COUNTIF('10. PCU'!$M:$M,_xlpm.id))))</f>
        <v>0</v>
      </c>
    </row>
    <row r="1193" spans="1:9">
      <c r="A1193" t="s">
        <v>9191</v>
      </c>
      <c r="B1193" t="s">
        <v>4610</v>
      </c>
      <c r="C1193">
        <v>1798</v>
      </c>
      <c r="D1193">
        <v>1</v>
      </c>
      <c r="E1193" s="23">
        <v>3</v>
      </c>
      <c r="F1193" t="s">
        <v>9187</v>
      </c>
      <c r="G1193" t="s">
        <v>10497</v>
      </c>
      <c r="H1193" t="s">
        <v>10162</v>
      </c>
      <c r="I1193">
        <f>_xlfn.LET(_xlpm.id,TRIM($A1193),IF(_xlpm.id="","",SUM(COUNTIF('1. OP'!$M:$M,_xlpm.id),COUNTIF('2. JSEL'!$M:$M,_xlpm.id),COUNTIF('3. PSM'!$M:$M,_xlpm.id),COUNTIF('4. SSP'!$M:$M,_xlpm.id),COUNTIF('5. JSACI'!$M:$M,_xlpm.id),COUNTIF('6. AIN'!$M:$M,_xlpm.id),COUNTIF('7. MS'!$M:$M,_xlpm.id),COUNTIF('8. DS'!$M:$M,_xlpm.id),COUNTIF('9. RMF'!$M:$M,_xlpm.id),COUNTIF('10. PCU'!$M:$M,_xlpm.id))))</f>
        <v>0</v>
      </c>
    </row>
    <row r="1194" spans="1:9">
      <c r="A1194" t="s">
        <v>9192</v>
      </c>
      <c r="B1194" t="s">
        <v>4610</v>
      </c>
      <c r="C1194">
        <v>1798</v>
      </c>
      <c r="D1194">
        <v>1</v>
      </c>
      <c r="E1194" s="23">
        <v>4</v>
      </c>
      <c r="F1194" t="s">
        <v>9187</v>
      </c>
      <c r="G1194" t="s">
        <v>10497</v>
      </c>
      <c r="H1194" t="s">
        <v>10162</v>
      </c>
      <c r="I1194">
        <f>_xlfn.LET(_xlpm.id,TRIM($A1194),IF(_xlpm.id="","",SUM(COUNTIF('1. OP'!$M:$M,_xlpm.id),COUNTIF('2. JSEL'!$M:$M,_xlpm.id),COUNTIF('3. PSM'!$M:$M,_xlpm.id),COUNTIF('4. SSP'!$M:$M,_xlpm.id),COUNTIF('5. JSACI'!$M:$M,_xlpm.id),COUNTIF('6. AIN'!$M:$M,_xlpm.id),COUNTIF('7. MS'!$M:$M,_xlpm.id),COUNTIF('8. DS'!$M:$M,_xlpm.id),COUNTIF('9. RMF'!$M:$M,_xlpm.id),COUNTIF('10. PCU'!$M:$M,_xlpm.id))))</f>
        <v>0</v>
      </c>
    </row>
    <row r="1195" spans="1:9">
      <c r="A1195" t="s">
        <v>9193</v>
      </c>
      <c r="B1195" t="s">
        <v>4610</v>
      </c>
      <c r="C1195">
        <v>1799</v>
      </c>
      <c r="D1195">
        <v>1</v>
      </c>
      <c r="E1195" s="23">
        <v>5</v>
      </c>
      <c r="F1195" t="s">
        <v>9187</v>
      </c>
      <c r="G1195" t="s">
        <v>10497</v>
      </c>
      <c r="H1195" t="s">
        <v>10162</v>
      </c>
      <c r="I1195">
        <f>_xlfn.LET(_xlpm.id,TRIM($A1195),IF(_xlpm.id="","",SUM(COUNTIF('1. OP'!$M:$M,_xlpm.id),COUNTIF('2. JSEL'!$M:$M,_xlpm.id),COUNTIF('3. PSM'!$M:$M,_xlpm.id),COUNTIF('4. SSP'!$M:$M,_xlpm.id),COUNTIF('5. JSACI'!$M:$M,_xlpm.id),COUNTIF('6. AIN'!$M:$M,_xlpm.id),COUNTIF('7. MS'!$M:$M,_xlpm.id),COUNTIF('8. DS'!$M:$M,_xlpm.id),COUNTIF('9. RMF'!$M:$M,_xlpm.id),COUNTIF('10. PCU'!$M:$M,_xlpm.id))))</f>
        <v>0</v>
      </c>
    </row>
    <row r="1196" spans="1:9">
      <c r="A1196" t="s">
        <v>9194</v>
      </c>
      <c r="B1196" t="s">
        <v>4610</v>
      </c>
      <c r="C1196">
        <v>1799</v>
      </c>
      <c r="D1196">
        <v>1</v>
      </c>
      <c r="E1196" s="23">
        <v>6</v>
      </c>
      <c r="F1196" t="s">
        <v>9187</v>
      </c>
      <c r="G1196" t="s">
        <v>10497</v>
      </c>
      <c r="H1196" t="s">
        <v>10162</v>
      </c>
      <c r="I1196">
        <f>_xlfn.LET(_xlpm.id,TRIM($A1196),IF(_xlpm.id="","",SUM(COUNTIF('1. OP'!$M:$M,_xlpm.id),COUNTIF('2. JSEL'!$M:$M,_xlpm.id),COUNTIF('3. PSM'!$M:$M,_xlpm.id),COUNTIF('4. SSP'!$M:$M,_xlpm.id),COUNTIF('5. JSACI'!$M:$M,_xlpm.id),COUNTIF('6. AIN'!$M:$M,_xlpm.id),COUNTIF('7. MS'!$M:$M,_xlpm.id),COUNTIF('8. DS'!$M:$M,_xlpm.id),COUNTIF('9. RMF'!$M:$M,_xlpm.id),COUNTIF('10. PCU'!$M:$M,_xlpm.id))))</f>
        <v>0</v>
      </c>
    </row>
    <row r="1197" spans="1:9">
      <c r="A1197" t="s">
        <v>9195</v>
      </c>
      <c r="B1197" t="s">
        <v>4610</v>
      </c>
      <c r="C1197">
        <v>1800</v>
      </c>
      <c r="D1197">
        <v>1</v>
      </c>
      <c r="E1197" s="23">
        <v>7</v>
      </c>
      <c r="F1197" t="s">
        <v>9187</v>
      </c>
      <c r="G1197" t="s">
        <v>10497</v>
      </c>
      <c r="H1197" t="s">
        <v>10162</v>
      </c>
      <c r="I1197">
        <f>_xlfn.LET(_xlpm.id,TRIM($A1197),IF(_xlpm.id="","",SUM(COUNTIF('1. OP'!$M:$M,_xlpm.id),COUNTIF('2. JSEL'!$M:$M,_xlpm.id),COUNTIF('3. PSM'!$M:$M,_xlpm.id),COUNTIF('4. SSP'!$M:$M,_xlpm.id),COUNTIF('5. JSACI'!$M:$M,_xlpm.id),COUNTIF('6. AIN'!$M:$M,_xlpm.id),COUNTIF('7. MS'!$M:$M,_xlpm.id),COUNTIF('8. DS'!$M:$M,_xlpm.id),COUNTIF('9. RMF'!$M:$M,_xlpm.id),COUNTIF('10. PCU'!$M:$M,_xlpm.id))))</f>
        <v>0</v>
      </c>
    </row>
    <row r="1198" spans="1:9">
      <c r="A1198" t="s">
        <v>9196</v>
      </c>
      <c r="B1198" t="s">
        <v>4610</v>
      </c>
      <c r="C1198">
        <v>1800</v>
      </c>
      <c r="D1198">
        <v>1</v>
      </c>
      <c r="E1198" s="23">
        <v>8</v>
      </c>
      <c r="F1198" t="s">
        <v>9187</v>
      </c>
      <c r="G1198" t="s">
        <v>10497</v>
      </c>
      <c r="H1198" t="s">
        <v>10162</v>
      </c>
      <c r="I1198">
        <f>_xlfn.LET(_xlpm.id,TRIM($A1198),IF(_xlpm.id="","",SUM(COUNTIF('1. OP'!$M:$M,_xlpm.id),COUNTIF('2. JSEL'!$M:$M,_xlpm.id),COUNTIF('3. PSM'!$M:$M,_xlpm.id),COUNTIF('4. SSP'!$M:$M,_xlpm.id),COUNTIF('5. JSACI'!$M:$M,_xlpm.id),COUNTIF('6. AIN'!$M:$M,_xlpm.id),COUNTIF('7. MS'!$M:$M,_xlpm.id),COUNTIF('8. DS'!$M:$M,_xlpm.id),COUNTIF('9. RMF'!$M:$M,_xlpm.id),COUNTIF('10. PCU'!$M:$M,_xlpm.id))))</f>
        <v>0</v>
      </c>
    </row>
    <row r="1199" spans="1:9">
      <c r="A1199" t="s">
        <v>9197</v>
      </c>
      <c r="B1199" t="s">
        <v>4610</v>
      </c>
      <c r="C1199">
        <v>1801</v>
      </c>
      <c r="D1199">
        <v>1</v>
      </c>
      <c r="E1199" s="23">
        <v>9</v>
      </c>
      <c r="F1199" t="s">
        <v>9187</v>
      </c>
      <c r="G1199" t="s">
        <v>10497</v>
      </c>
      <c r="H1199" t="s">
        <v>10162</v>
      </c>
      <c r="I1199">
        <f>_xlfn.LET(_xlpm.id,TRIM($A1199),IF(_xlpm.id="","",SUM(COUNTIF('1. OP'!$M:$M,_xlpm.id),COUNTIF('2. JSEL'!$M:$M,_xlpm.id),COUNTIF('3. PSM'!$M:$M,_xlpm.id),COUNTIF('4. SSP'!$M:$M,_xlpm.id),COUNTIF('5. JSACI'!$M:$M,_xlpm.id),COUNTIF('6. AIN'!$M:$M,_xlpm.id),COUNTIF('7. MS'!$M:$M,_xlpm.id),COUNTIF('8. DS'!$M:$M,_xlpm.id),COUNTIF('9. RMF'!$M:$M,_xlpm.id),COUNTIF('10. PCU'!$M:$M,_xlpm.id))))</f>
        <v>0</v>
      </c>
    </row>
    <row r="1200" spans="1:9">
      <c r="A1200" t="s">
        <v>9198</v>
      </c>
      <c r="B1200" t="s">
        <v>4610</v>
      </c>
      <c r="C1200">
        <v>1801</v>
      </c>
      <c r="D1200">
        <v>1</v>
      </c>
      <c r="E1200" s="23">
        <v>10</v>
      </c>
      <c r="F1200" t="s">
        <v>9187</v>
      </c>
      <c r="G1200" t="s">
        <v>10497</v>
      </c>
      <c r="H1200" t="s">
        <v>10162</v>
      </c>
      <c r="I1200">
        <f>_xlfn.LET(_xlpm.id,TRIM($A1200),IF(_xlpm.id="","",SUM(COUNTIF('1. OP'!$M:$M,_xlpm.id),COUNTIF('2. JSEL'!$M:$M,_xlpm.id),COUNTIF('3. PSM'!$M:$M,_xlpm.id),COUNTIF('4. SSP'!$M:$M,_xlpm.id),COUNTIF('5. JSACI'!$M:$M,_xlpm.id),COUNTIF('6. AIN'!$M:$M,_xlpm.id),COUNTIF('7. MS'!$M:$M,_xlpm.id),COUNTIF('8. DS'!$M:$M,_xlpm.id),COUNTIF('9. RMF'!$M:$M,_xlpm.id),COUNTIF('10. PCU'!$M:$M,_xlpm.id))))</f>
        <v>0</v>
      </c>
    </row>
    <row r="1201" spans="1:9">
      <c r="A1201" t="s">
        <v>9199</v>
      </c>
      <c r="B1201" t="s">
        <v>4610</v>
      </c>
      <c r="C1201">
        <v>1802</v>
      </c>
      <c r="D1201">
        <v>1</v>
      </c>
      <c r="E1201" s="23">
        <v>11</v>
      </c>
      <c r="F1201" t="s">
        <v>9187</v>
      </c>
      <c r="G1201" t="s">
        <v>10497</v>
      </c>
      <c r="H1201" t="s">
        <v>10162</v>
      </c>
      <c r="I1201">
        <f>_xlfn.LET(_xlpm.id,TRIM($A1201),IF(_xlpm.id="","",SUM(COUNTIF('1. OP'!$M:$M,_xlpm.id),COUNTIF('2. JSEL'!$M:$M,_xlpm.id),COUNTIF('3. PSM'!$M:$M,_xlpm.id),COUNTIF('4. SSP'!$M:$M,_xlpm.id),COUNTIF('5. JSACI'!$M:$M,_xlpm.id),COUNTIF('6. AIN'!$M:$M,_xlpm.id),COUNTIF('7. MS'!$M:$M,_xlpm.id),COUNTIF('8. DS'!$M:$M,_xlpm.id),COUNTIF('9. RMF'!$M:$M,_xlpm.id),COUNTIF('10. PCU'!$M:$M,_xlpm.id))))</f>
        <v>0</v>
      </c>
    </row>
    <row r="1202" spans="1:9">
      <c r="A1202" t="s">
        <v>9200</v>
      </c>
      <c r="B1202" t="s">
        <v>4610</v>
      </c>
      <c r="C1202">
        <v>1802</v>
      </c>
      <c r="D1202">
        <v>1</v>
      </c>
      <c r="E1202" s="23">
        <v>12</v>
      </c>
      <c r="F1202" t="s">
        <v>9187</v>
      </c>
      <c r="G1202" t="s">
        <v>10497</v>
      </c>
      <c r="H1202" t="s">
        <v>10162</v>
      </c>
      <c r="I1202">
        <f>_xlfn.LET(_xlpm.id,TRIM($A1202),IF(_xlpm.id="","",SUM(COUNTIF('1. OP'!$M:$M,_xlpm.id),COUNTIF('2. JSEL'!$M:$M,_xlpm.id),COUNTIF('3. PSM'!$M:$M,_xlpm.id),COUNTIF('4. SSP'!$M:$M,_xlpm.id),COUNTIF('5. JSACI'!$M:$M,_xlpm.id),COUNTIF('6. AIN'!$M:$M,_xlpm.id),COUNTIF('7. MS'!$M:$M,_xlpm.id),COUNTIF('8. DS'!$M:$M,_xlpm.id),COUNTIF('9. RMF'!$M:$M,_xlpm.id),COUNTIF('10. PCU'!$M:$M,_xlpm.id))))</f>
        <v>0</v>
      </c>
    </row>
    <row r="1203" spans="1:9">
      <c r="A1203" t="s">
        <v>9201</v>
      </c>
      <c r="B1203" t="s">
        <v>4610</v>
      </c>
      <c r="C1203">
        <v>1803</v>
      </c>
      <c r="D1203">
        <v>1</v>
      </c>
      <c r="E1203" s="23">
        <v>13</v>
      </c>
      <c r="F1203" t="s">
        <v>9187</v>
      </c>
      <c r="G1203" t="s">
        <v>10497</v>
      </c>
      <c r="H1203" t="s">
        <v>10162</v>
      </c>
      <c r="I1203">
        <f>_xlfn.LET(_xlpm.id,TRIM($A1203),IF(_xlpm.id="","",SUM(COUNTIF('1. OP'!$M:$M,_xlpm.id),COUNTIF('2. JSEL'!$M:$M,_xlpm.id),COUNTIF('3. PSM'!$M:$M,_xlpm.id),COUNTIF('4. SSP'!$M:$M,_xlpm.id),COUNTIF('5. JSACI'!$M:$M,_xlpm.id),COUNTIF('6. AIN'!$M:$M,_xlpm.id),COUNTIF('7. MS'!$M:$M,_xlpm.id),COUNTIF('8. DS'!$M:$M,_xlpm.id),COUNTIF('9. RMF'!$M:$M,_xlpm.id),COUNTIF('10. PCU'!$M:$M,_xlpm.id))))</f>
        <v>0</v>
      </c>
    </row>
    <row r="1204" spans="1:9">
      <c r="A1204" t="s">
        <v>9202</v>
      </c>
      <c r="B1204" t="s">
        <v>4610</v>
      </c>
      <c r="C1204">
        <v>1803</v>
      </c>
      <c r="D1204">
        <v>1</v>
      </c>
      <c r="E1204" s="23">
        <v>14</v>
      </c>
      <c r="F1204" t="s">
        <v>9187</v>
      </c>
      <c r="G1204" t="s">
        <v>10497</v>
      </c>
      <c r="H1204" t="s">
        <v>10162</v>
      </c>
      <c r="I1204">
        <f>_xlfn.LET(_xlpm.id,TRIM($A1204),IF(_xlpm.id="","",SUM(COUNTIF('1. OP'!$M:$M,_xlpm.id),COUNTIF('2. JSEL'!$M:$M,_xlpm.id),COUNTIF('3. PSM'!$M:$M,_xlpm.id),COUNTIF('4. SSP'!$M:$M,_xlpm.id),COUNTIF('5. JSACI'!$M:$M,_xlpm.id),COUNTIF('6. AIN'!$M:$M,_xlpm.id),COUNTIF('7. MS'!$M:$M,_xlpm.id),COUNTIF('8. DS'!$M:$M,_xlpm.id),COUNTIF('9. RMF'!$M:$M,_xlpm.id),COUNTIF('10. PCU'!$M:$M,_xlpm.id))))</f>
        <v>0</v>
      </c>
    </row>
    <row r="1205" spans="1:9">
      <c r="A1205" t="s">
        <v>9203</v>
      </c>
      <c r="B1205" t="s">
        <v>4610</v>
      </c>
      <c r="C1205">
        <v>1804</v>
      </c>
      <c r="D1205">
        <v>1</v>
      </c>
      <c r="E1205" s="23">
        <v>15</v>
      </c>
      <c r="F1205" t="s">
        <v>9187</v>
      </c>
      <c r="G1205" t="s">
        <v>10497</v>
      </c>
      <c r="H1205" t="s">
        <v>10162</v>
      </c>
      <c r="I1205">
        <f>_xlfn.LET(_xlpm.id,TRIM($A1205),IF(_xlpm.id="","",SUM(COUNTIF('1. OP'!$M:$M,_xlpm.id),COUNTIF('2. JSEL'!$M:$M,_xlpm.id),COUNTIF('3. PSM'!$M:$M,_xlpm.id),COUNTIF('4. SSP'!$M:$M,_xlpm.id),COUNTIF('5. JSACI'!$M:$M,_xlpm.id),COUNTIF('6. AIN'!$M:$M,_xlpm.id),COUNTIF('7. MS'!$M:$M,_xlpm.id),COUNTIF('8. DS'!$M:$M,_xlpm.id),COUNTIF('9. RMF'!$M:$M,_xlpm.id),COUNTIF('10. PCU'!$M:$M,_xlpm.id))))</f>
        <v>0</v>
      </c>
    </row>
    <row r="1206" spans="1:9">
      <c r="A1206" t="s">
        <v>9204</v>
      </c>
      <c r="B1206" t="s">
        <v>4610</v>
      </c>
      <c r="C1206">
        <v>1804</v>
      </c>
      <c r="D1206">
        <v>1</v>
      </c>
      <c r="E1206" s="23">
        <v>16</v>
      </c>
      <c r="F1206" t="s">
        <v>9187</v>
      </c>
      <c r="G1206" t="s">
        <v>10497</v>
      </c>
      <c r="H1206" t="s">
        <v>10162</v>
      </c>
      <c r="I1206">
        <f>_xlfn.LET(_xlpm.id,TRIM($A1206),IF(_xlpm.id="","",SUM(COUNTIF('1. OP'!$M:$M,_xlpm.id),COUNTIF('2. JSEL'!$M:$M,_xlpm.id),COUNTIF('3. PSM'!$M:$M,_xlpm.id),COUNTIF('4. SSP'!$M:$M,_xlpm.id),COUNTIF('5. JSACI'!$M:$M,_xlpm.id),COUNTIF('6. AIN'!$M:$M,_xlpm.id),COUNTIF('7. MS'!$M:$M,_xlpm.id),COUNTIF('8. DS'!$M:$M,_xlpm.id),COUNTIF('9. RMF'!$M:$M,_xlpm.id),COUNTIF('10. PCU'!$M:$M,_xlpm.id))))</f>
        <v>0</v>
      </c>
    </row>
    <row r="1207" spans="1:9">
      <c r="A1207" t="s">
        <v>9205</v>
      </c>
      <c r="B1207" t="s">
        <v>4610</v>
      </c>
      <c r="C1207">
        <v>1805</v>
      </c>
      <c r="D1207">
        <v>1</v>
      </c>
      <c r="E1207" s="23">
        <v>17</v>
      </c>
      <c r="F1207" t="s">
        <v>9187</v>
      </c>
      <c r="G1207" t="s">
        <v>10497</v>
      </c>
      <c r="H1207" t="s">
        <v>10162</v>
      </c>
      <c r="I1207">
        <f>_xlfn.LET(_xlpm.id,TRIM($A1207),IF(_xlpm.id="","",SUM(COUNTIF('1. OP'!$M:$M,_xlpm.id),COUNTIF('2. JSEL'!$M:$M,_xlpm.id),COUNTIF('3. PSM'!$M:$M,_xlpm.id),COUNTIF('4. SSP'!$M:$M,_xlpm.id),COUNTIF('5. JSACI'!$M:$M,_xlpm.id),COUNTIF('6. AIN'!$M:$M,_xlpm.id),COUNTIF('7. MS'!$M:$M,_xlpm.id),COUNTIF('8. DS'!$M:$M,_xlpm.id),COUNTIF('9. RMF'!$M:$M,_xlpm.id),COUNTIF('10. PCU'!$M:$M,_xlpm.id))))</f>
        <v>0</v>
      </c>
    </row>
    <row r="1208" spans="1:9">
      <c r="A1208" t="s">
        <v>9206</v>
      </c>
      <c r="B1208" t="s">
        <v>4610</v>
      </c>
      <c r="C1208">
        <v>1805</v>
      </c>
      <c r="D1208">
        <v>1</v>
      </c>
      <c r="E1208" s="23">
        <v>18</v>
      </c>
      <c r="F1208" t="s">
        <v>9187</v>
      </c>
      <c r="G1208" t="s">
        <v>10497</v>
      </c>
      <c r="H1208" t="s">
        <v>10162</v>
      </c>
      <c r="I1208">
        <f>_xlfn.LET(_xlpm.id,TRIM($A1208),IF(_xlpm.id="","",SUM(COUNTIF('1. OP'!$M:$M,_xlpm.id),COUNTIF('2. JSEL'!$M:$M,_xlpm.id),COUNTIF('3. PSM'!$M:$M,_xlpm.id),COUNTIF('4. SSP'!$M:$M,_xlpm.id),COUNTIF('5. JSACI'!$M:$M,_xlpm.id),COUNTIF('6. AIN'!$M:$M,_xlpm.id),COUNTIF('7. MS'!$M:$M,_xlpm.id),COUNTIF('8. DS'!$M:$M,_xlpm.id),COUNTIF('9. RMF'!$M:$M,_xlpm.id),COUNTIF('10. PCU'!$M:$M,_xlpm.id))))</f>
        <v>0</v>
      </c>
    </row>
    <row r="1209" spans="1:9">
      <c r="A1209" t="s">
        <v>9207</v>
      </c>
      <c r="B1209" t="s">
        <v>4610</v>
      </c>
      <c r="C1209">
        <v>1806</v>
      </c>
      <c r="D1209">
        <v>1</v>
      </c>
      <c r="E1209" s="23">
        <v>19</v>
      </c>
      <c r="F1209" t="s">
        <v>9187</v>
      </c>
      <c r="G1209" t="s">
        <v>10497</v>
      </c>
      <c r="H1209" t="s">
        <v>10162</v>
      </c>
      <c r="I1209">
        <f>_xlfn.LET(_xlpm.id,TRIM($A1209),IF(_xlpm.id="","",SUM(COUNTIF('1. OP'!$M:$M,_xlpm.id),COUNTIF('2. JSEL'!$M:$M,_xlpm.id),COUNTIF('3. PSM'!$M:$M,_xlpm.id),COUNTIF('4. SSP'!$M:$M,_xlpm.id),COUNTIF('5. JSACI'!$M:$M,_xlpm.id),COUNTIF('6. AIN'!$M:$M,_xlpm.id),COUNTIF('7. MS'!$M:$M,_xlpm.id),COUNTIF('8. DS'!$M:$M,_xlpm.id),COUNTIF('9. RMF'!$M:$M,_xlpm.id),COUNTIF('10. PCU'!$M:$M,_xlpm.id))))</f>
        <v>0</v>
      </c>
    </row>
    <row r="1210" spans="1:9">
      <c r="A1210" t="s">
        <v>9208</v>
      </c>
      <c r="B1210" t="s">
        <v>4610</v>
      </c>
      <c r="C1210">
        <v>1806</v>
      </c>
      <c r="D1210">
        <v>1</v>
      </c>
      <c r="E1210" s="23">
        <v>20</v>
      </c>
      <c r="F1210" t="s">
        <v>9187</v>
      </c>
      <c r="G1210" t="s">
        <v>10497</v>
      </c>
      <c r="H1210" t="s">
        <v>10162</v>
      </c>
      <c r="I1210">
        <f>_xlfn.LET(_xlpm.id,TRIM($A1210),IF(_xlpm.id="","",SUM(COUNTIF('1. OP'!$M:$M,_xlpm.id),COUNTIF('2. JSEL'!$M:$M,_xlpm.id),COUNTIF('3. PSM'!$M:$M,_xlpm.id),COUNTIF('4. SSP'!$M:$M,_xlpm.id),COUNTIF('5. JSACI'!$M:$M,_xlpm.id),COUNTIF('6. AIN'!$M:$M,_xlpm.id),COUNTIF('7. MS'!$M:$M,_xlpm.id),COUNTIF('8. DS'!$M:$M,_xlpm.id),COUNTIF('9. RMF'!$M:$M,_xlpm.id),COUNTIF('10. PCU'!$M:$M,_xlpm.id))))</f>
        <v>0</v>
      </c>
    </row>
    <row r="1211" spans="1:9">
      <c r="A1211" t="s">
        <v>9209</v>
      </c>
      <c r="B1211" t="s">
        <v>4610</v>
      </c>
      <c r="C1211">
        <v>1807</v>
      </c>
      <c r="D1211">
        <v>1</v>
      </c>
      <c r="E1211" s="23">
        <v>21</v>
      </c>
      <c r="F1211" t="s">
        <v>9187</v>
      </c>
      <c r="G1211" t="s">
        <v>10497</v>
      </c>
      <c r="H1211" t="s">
        <v>10162</v>
      </c>
      <c r="I1211">
        <f>_xlfn.LET(_xlpm.id,TRIM($A1211),IF(_xlpm.id="","",SUM(COUNTIF('1. OP'!$M:$M,_xlpm.id),COUNTIF('2. JSEL'!$M:$M,_xlpm.id),COUNTIF('3. PSM'!$M:$M,_xlpm.id),COUNTIF('4. SSP'!$M:$M,_xlpm.id),COUNTIF('5. JSACI'!$M:$M,_xlpm.id),COUNTIF('6. AIN'!$M:$M,_xlpm.id),COUNTIF('7. MS'!$M:$M,_xlpm.id),COUNTIF('8. DS'!$M:$M,_xlpm.id),COUNTIF('9. RMF'!$M:$M,_xlpm.id),COUNTIF('10. PCU'!$M:$M,_xlpm.id))))</f>
        <v>0</v>
      </c>
    </row>
    <row r="1212" spans="1:9">
      <c r="A1212" t="s">
        <v>9210</v>
      </c>
      <c r="B1212" t="s">
        <v>4610</v>
      </c>
      <c r="C1212">
        <v>1807</v>
      </c>
      <c r="D1212">
        <v>1</v>
      </c>
      <c r="E1212" s="23">
        <v>22</v>
      </c>
      <c r="F1212" t="s">
        <v>9187</v>
      </c>
      <c r="G1212" t="s">
        <v>10497</v>
      </c>
      <c r="H1212" t="s">
        <v>10162</v>
      </c>
      <c r="I1212">
        <f>_xlfn.LET(_xlpm.id,TRIM($A1212),IF(_xlpm.id="","",SUM(COUNTIF('1. OP'!$M:$M,_xlpm.id),COUNTIF('2. JSEL'!$M:$M,_xlpm.id),COUNTIF('3. PSM'!$M:$M,_xlpm.id),COUNTIF('4. SSP'!$M:$M,_xlpm.id),COUNTIF('5. JSACI'!$M:$M,_xlpm.id),COUNTIF('6. AIN'!$M:$M,_xlpm.id),COUNTIF('7. MS'!$M:$M,_xlpm.id),COUNTIF('8. DS'!$M:$M,_xlpm.id),COUNTIF('9. RMF'!$M:$M,_xlpm.id),COUNTIF('10. PCU'!$M:$M,_xlpm.id))))</f>
        <v>0</v>
      </c>
    </row>
    <row r="1213" spans="1:9">
      <c r="A1213" t="s">
        <v>9211</v>
      </c>
      <c r="B1213" t="s">
        <v>4610</v>
      </c>
      <c r="C1213">
        <v>1808</v>
      </c>
      <c r="D1213">
        <v>1</v>
      </c>
      <c r="E1213" s="23">
        <v>23</v>
      </c>
      <c r="F1213" t="s">
        <v>9187</v>
      </c>
      <c r="G1213" t="s">
        <v>10497</v>
      </c>
      <c r="H1213" t="s">
        <v>10162</v>
      </c>
      <c r="I1213">
        <f>_xlfn.LET(_xlpm.id,TRIM($A1213),IF(_xlpm.id="","",SUM(COUNTIF('1. OP'!$M:$M,_xlpm.id),COUNTIF('2. JSEL'!$M:$M,_xlpm.id),COUNTIF('3. PSM'!$M:$M,_xlpm.id),COUNTIF('4. SSP'!$M:$M,_xlpm.id),COUNTIF('5. JSACI'!$M:$M,_xlpm.id),COUNTIF('6. AIN'!$M:$M,_xlpm.id),COUNTIF('7. MS'!$M:$M,_xlpm.id),COUNTIF('8. DS'!$M:$M,_xlpm.id),COUNTIF('9. RMF'!$M:$M,_xlpm.id),COUNTIF('10. PCU'!$M:$M,_xlpm.id))))</f>
        <v>0</v>
      </c>
    </row>
    <row r="1214" spans="1:9">
      <c r="A1214" t="s">
        <v>9212</v>
      </c>
      <c r="B1214" t="s">
        <v>4610</v>
      </c>
      <c r="C1214" t="s">
        <v>9056</v>
      </c>
      <c r="D1214">
        <v>2</v>
      </c>
      <c r="E1214" s="23">
        <v>1</v>
      </c>
      <c r="F1214" t="s">
        <v>9187</v>
      </c>
      <c r="G1214" t="s">
        <v>10497</v>
      </c>
      <c r="H1214" t="s">
        <v>10162</v>
      </c>
      <c r="I1214">
        <f>_xlfn.LET(_xlpm.id,TRIM($A1214),IF(_xlpm.id="","",SUM(COUNTIF('1. OP'!$M:$M,_xlpm.id),COUNTIF('2. JSEL'!$M:$M,_xlpm.id),COUNTIF('3. PSM'!$M:$M,_xlpm.id),COUNTIF('4. SSP'!$M:$M,_xlpm.id),COUNTIF('5. JSACI'!$M:$M,_xlpm.id),COUNTIF('6. AIN'!$M:$M,_xlpm.id),COUNTIF('7. MS'!$M:$M,_xlpm.id),COUNTIF('8. DS'!$M:$M,_xlpm.id),COUNTIF('9. RMF'!$M:$M,_xlpm.id),COUNTIF('10. PCU'!$M:$M,_xlpm.id))))</f>
        <v>0</v>
      </c>
    </row>
    <row r="1215" spans="1:9">
      <c r="A1215" t="s">
        <v>6943</v>
      </c>
      <c r="B1215" t="s">
        <v>9213</v>
      </c>
      <c r="C1215">
        <v>1835</v>
      </c>
      <c r="D1215">
        <v>0</v>
      </c>
      <c r="E1215" s="23">
        <v>0</v>
      </c>
      <c r="F1215" t="s">
        <v>8459</v>
      </c>
      <c r="G1215" t="s">
        <v>10498</v>
      </c>
      <c r="H1215" t="s">
        <v>8020</v>
      </c>
      <c r="I1215">
        <f>_xlfn.LET(_xlpm.id,TRIM($A1215),IF(_xlpm.id="","",SUM(COUNTIF('1. OP'!$M:$M,_xlpm.id),COUNTIF('2. JSEL'!$M:$M,_xlpm.id),COUNTIF('3. PSM'!$M:$M,_xlpm.id),COUNTIF('4. SSP'!$M:$M,_xlpm.id),COUNTIF('5. JSACI'!$M:$M,_xlpm.id),COUNTIF('6. AIN'!$M:$M,_xlpm.id),COUNTIF('7. MS'!$M:$M,_xlpm.id),COUNTIF('8. DS'!$M:$M,_xlpm.id),COUNTIF('9. RMF'!$M:$M,_xlpm.id),COUNTIF('10. PCU'!$M:$M,_xlpm.id))))</f>
        <v>3</v>
      </c>
    </row>
    <row r="1216" spans="1:9">
      <c r="A1216" t="s">
        <v>9214</v>
      </c>
      <c r="B1216" t="s">
        <v>9215</v>
      </c>
      <c r="C1216">
        <v>1826</v>
      </c>
      <c r="D1216">
        <v>1</v>
      </c>
      <c r="E1216" s="23">
        <v>1</v>
      </c>
      <c r="F1216" t="s">
        <v>8265</v>
      </c>
      <c r="G1216" t="s">
        <v>10486</v>
      </c>
      <c r="H1216" t="s">
        <v>8019</v>
      </c>
      <c r="I1216">
        <f>_xlfn.LET(_xlpm.id,TRIM($A1216),IF(_xlpm.id="","",SUM(COUNTIF('1. OP'!$M:$M,_xlpm.id),COUNTIF('2. JSEL'!$M:$M,_xlpm.id),COUNTIF('3. PSM'!$M:$M,_xlpm.id),COUNTIF('4. SSP'!$M:$M,_xlpm.id),COUNTIF('5. JSACI'!$M:$M,_xlpm.id),COUNTIF('6. AIN'!$M:$M,_xlpm.id),COUNTIF('7. MS'!$M:$M,_xlpm.id),COUNTIF('8. DS'!$M:$M,_xlpm.id),COUNTIF('9. RMF'!$M:$M,_xlpm.id),COUNTIF('10. PCU'!$M:$M,_xlpm.id))))</f>
        <v>0</v>
      </c>
    </row>
    <row r="1217" spans="1:9">
      <c r="A1217" t="s">
        <v>9216</v>
      </c>
      <c r="B1217" t="s">
        <v>9215</v>
      </c>
      <c r="C1217">
        <v>1826</v>
      </c>
      <c r="D1217">
        <v>1</v>
      </c>
      <c r="E1217" s="23">
        <v>2</v>
      </c>
      <c r="F1217" t="s">
        <v>8265</v>
      </c>
      <c r="G1217" t="s">
        <v>10486</v>
      </c>
      <c r="H1217" t="s">
        <v>8019</v>
      </c>
      <c r="I1217">
        <f>_xlfn.LET(_xlpm.id,TRIM($A1217),IF(_xlpm.id="","",SUM(COUNTIF('1. OP'!$M:$M,_xlpm.id),COUNTIF('2. JSEL'!$M:$M,_xlpm.id),COUNTIF('3. PSM'!$M:$M,_xlpm.id),COUNTIF('4. SSP'!$M:$M,_xlpm.id),COUNTIF('5. JSACI'!$M:$M,_xlpm.id),COUNTIF('6. AIN'!$M:$M,_xlpm.id),COUNTIF('7. MS'!$M:$M,_xlpm.id),COUNTIF('8. DS'!$M:$M,_xlpm.id),COUNTIF('9. RMF'!$M:$M,_xlpm.id),COUNTIF('10. PCU'!$M:$M,_xlpm.id))))</f>
        <v>0</v>
      </c>
    </row>
    <row r="1218" spans="1:9">
      <c r="A1218" t="s">
        <v>9217</v>
      </c>
      <c r="B1218" t="s">
        <v>9215</v>
      </c>
      <c r="C1218">
        <v>1827</v>
      </c>
      <c r="D1218">
        <v>1</v>
      </c>
      <c r="E1218" s="23">
        <v>3</v>
      </c>
      <c r="F1218" t="s">
        <v>8265</v>
      </c>
      <c r="G1218" t="s">
        <v>10486</v>
      </c>
      <c r="H1218" t="s">
        <v>8019</v>
      </c>
      <c r="I1218">
        <f>_xlfn.LET(_xlpm.id,TRIM($A1218),IF(_xlpm.id="","",SUM(COUNTIF('1. OP'!$M:$M,_xlpm.id),COUNTIF('2. JSEL'!$M:$M,_xlpm.id),COUNTIF('3. PSM'!$M:$M,_xlpm.id),COUNTIF('4. SSP'!$M:$M,_xlpm.id),COUNTIF('5. JSACI'!$M:$M,_xlpm.id),COUNTIF('6. AIN'!$M:$M,_xlpm.id),COUNTIF('7. MS'!$M:$M,_xlpm.id),COUNTIF('8. DS'!$M:$M,_xlpm.id),COUNTIF('9. RMF'!$M:$M,_xlpm.id),COUNTIF('10. PCU'!$M:$M,_xlpm.id))))</f>
        <v>0</v>
      </c>
    </row>
    <row r="1219" spans="1:9">
      <c r="A1219" t="s">
        <v>9218</v>
      </c>
      <c r="B1219" t="s">
        <v>9215</v>
      </c>
      <c r="C1219">
        <v>1827</v>
      </c>
      <c r="D1219">
        <v>1</v>
      </c>
      <c r="E1219" s="23">
        <v>4</v>
      </c>
      <c r="F1219" t="s">
        <v>8265</v>
      </c>
      <c r="G1219" t="s">
        <v>10486</v>
      </c>
      <c r="H1219" t="s">
        <v>8019</v>
      </c>
      <c r="I1219">
        <f>_xlfn.LET(_xlpm.id,TRIM($A1219),IF(_xlpm.id="","",SUM(COUNTIF('1. OP'!$M:$M,_xlpm.id),COUNTIF('2. JSEL'!$M:$M,_xlpm.id),COUNTIF('3. PSM'!$M:$M,_xlpm.id),COUNTIF('4. SSP'!$M:$M,_xlpm.id),COUNTIF('5. JSACI'!$M:$M,_xlpm.id),COUNTIF('6. AIN'!$M:$M,_xlpm.id),COUNTIF('7. MS'!$M:$M,_xlpm.id),COUNTIF('8. DS'!$M:$M,_xlpm.id),COUNTIF('9. RMF'!$M:$M,_xlpm.id),COUNTIF('10. PCU'!$M:$M,_xlpm.id))))</f>
        <v>0</v>
      </c>
    </row>
    <row r="1220" spans="1:9">
      <c r="A1220" t="s">
        <v>9219</v>
      </c>
      <c r="B1220" t="s">
        <v>9215</v>
      </c>
      <c r="C1220">
        <v>1828</v>
      </c>
      <c r="D1220">
        <v>1</v>
      </c>
      <c r="E1220" s="23">
        <v>5</v>
      </c>
      <c r="F1220" t="s">
        <v>8265</v>
      </c>
      <c r="G1220" t="s">
        <v>10486</v>
      </c>
      <c r="H1220" t="s">
        <v>8019</v>
      </c>
      <c r="I1220">
        <f>_xlfn.LET(_xlpm.id,TRIM($A1220),IF(_xlpm.id="","",SUM(COUNTIF('1. OP'!$M:$M,_xlpm.id),COUNTIF('2. JSEL'!$M:$M,_xlpm.id),COUNTIF('3. PSM'!$M:$M,_xlpm.id),COUNTIF('4. SSP'!$M:$M,_xlpm.id),COUNTIF('5. JSACI'!$M:$M,_xlpm.id),COUNTIF('6. AIN'!$M:$M,_xlpm.id),COUNTIF('7. MS'!$M:$M,_xlpm.id),COUNTIF('8. DS'!$M:$M,_xlpm.id),COUNTIF('9. RMF'!$M:$M,_xlpm.id),COUNTIF('10. PCU'!$M:$M,_xlpm.id))))</f>
        <v>0</v>
      </c>
    </row>
    <row r="1221" spans="1:9">
      <c r="A1221" t="s">
        <v>9220</v>
      </c>
      <c r="B1221" t="s">
        <v>9215</v>
      </c>
      <c r="C1221">
        <v>1828</v>
      </c>
      <c r="D1221">
        <v>1</v>
      </c>
      <c r="E1221" s="23">
        <v>6</v>
      </c>
      <c r="F1221" t="s">
        <v>8265</v>
      </c>
      <c r="G1221" t="s">
        <v>10486</v>
      </c>
      <c r="H1221" t="s">
        <v>8019</v>
      </c>
      <c r="I1221">
        <f>_xlfn.LET(_xlpm.id,TRIM($A1221),IF(_xlpm.id="","",SUM(COUNTIF('1. OP'!$M:$M,_xlpm.id),COUNTIF('2. JSEL'!$M:$M,_xlpm.id),COUNTIF('3. PSM'!$M:$M,_xlpm.id),COUNTIF('4. SSP'!$M:$M,_xlpm.id),COUNTIF('5. JSACI'!$M:$M,_xlpm.id),COUNTIF('6. AIN'!$M:$M,_xlpm.id),COUNTIF('7. MS'!$M:$M,_xlpm.id),COUNTIF('8. DS'!$M:$M,_xlpm.id),COUNTIF('9. RMF'!$M:$M,_xlpm.id),COUNTIF('10. PCU'!$M:$M,_xlpm.id))))</f>
        <v>0</v>
      </c>
    </row>
    <row r="1222" spans="1:9">
      <c r="A1222" t="s">
        <v>9221</v>
      </c>
      <c r="B1222" t="s">
        <v>9215</v>
      </c>
      <c r="C1222">
        <v>1829</v>
      </c>
      <c r="D1222">
        <v>1</v>
      </c>
      <c r="E1222" s="23">
        <v>7</v>
      </c>
      <c r="F1222" t="s">
        <v>8265</v>
      </c>
      <c r="G1222" t="s">
        <v>10486</v>
      </c>
      <c r="H1222" t="s">
        <v>8019</v>
      </c>
      <c r="I1222">
        <f>_xlfn.LET(_xlpm.id,TRIM($A1222),IF(_xlpm.id="","",SUM(COUNTIF('1. OP'!$M:$M,_xlpm.id),COUNTIF('2. JSEL'!$M:$M,_xlpm.id),COUNTIF('3. PSM'!$M:$M,_xlpm.id),COUNTIF('4. SSP'!$M:$M,_xlpm.id),COUNTIF('5. JSACI'!$M:$M,_xlpm.id),COUNTIF('6. AIN'!$M:$M,_xlpm.id),COUNTIF('7. MS'!$M:$M,_xlpm.id),COUNTIF('8. DS'!$M:$M,_xlpm.id),COUNTIF('9. RMF'!$M:$M,_xlpm.id),COUNTIF('10. PCU'!$M:$M,_xlpm.id))))</f>
        <v>0</v>
      </c>
    </row>
    <row r="1223" spans="1:9">
      <c r="A1223" t="s">
        <v>9222</v>
      </c>
      <c r="B1223" t="s">
        <v>9215</v>
      </c>
      <c r="C1223">
        <v>1829</v>
      </c>
      <c r="D1223">
        <v>1</v>
      </c>
      <c r="E1223" s="23">
        <v>8</v>
      </c>
      <c r="F1223" t="s">
        <v>8265</v>
      </c>
      <c r="G1223" t="s">
        <v>10486</v>
      </c>
      <c r="H1223" t="s">
        <v>8019</v>
      </c>
      <c r="I1223">
        <f>_xlfn.LET(_xlpm.id,TRIM($A1223),IF(_xlpm.id="","",SUM(COUNTIF('1. OP'!$M:$M,_xlpm.id),COUNTIF('2. JSEL'!$M:$M,_xlpm.id),COUNTIF('3. PSM'!$M:$M,_xlpm.id),COUNTIF('4. SSP'!$M:$M,_xlpm.id),COUNTIF('5. JSACI'!$M:$M,_xlpm.id),COUNTIF('6. AIN'!$M:$M,_xlpm.id),COUNTIF('7. MS'!$M:$M,_xlpm.id),COUNTIF('8. DS'!$M:$M,_xlpm.id),COUNTIF('9. RMF'!$M:$M,_xlpm.id),COUNTIF('10. PCU'!$M:$M,_xlpm.id))))</f>
        <v>0</v>
      </c>
    </row>
    <row r="1224" spans="1:9">
      <c r="A1224" t="s">
        <v>9223</v>
      </c>
      <c r="B1224" t="s">
        <v>9215</v>
      </c>
      <c r="C1224">
        <v>1831</v>
      </c>
      <c r="D1224">
        <v>1</v>
      </c>
      <c r="E1224" s="23">
        <v>11</v>
      </c>
      <c r="F1224" t="s">
        <v>8265</v>
      </c>
      <c r="G1224" t="s">
        <v>10486</v>
      </c>
      <c r="H1224" t="s">
        <v>8019</v>
      </c>
      <c r="I1224">
        <f>_xlfn.LET(_xlpm.id,TRIM($A1224),IF(_xlpm.id="","",SUM(COUNTIF('1. OP'!$M:$M,_xlpm.id),COUNTIF('2. JSEL'!$M:$M,_xlpm.id),COUNTIF('3. PSM'!$M:$M,_xlpm.id),COUNTIF('4. SSP'!$M:$M,_xlpm.id),COUNTIF('5. JSACI'!$M:$M,_xlpm.id),COUNTIF('6. AIN'!$M:$M,_xlpm.id),COUNTIF('7. MS'!$M:$M,_xlpm.id),COUNTIF('8. DS'!$M:$M,_xlpm.id),COUNTIF('9. RMF'!$M:$M,_xlpm.id),COUNTIF('10. PCU'!$M:$M,_xlpm.id))))</f>
        <v>0</v>
      </c>
    </row>
    <row r="1225" spans="1:9">
      <c r="A1225" t="s">
        <v>9224</v>
      </c>
      <c r="B1225" t="s">
        <v>9215</v>
      </c>
      <c r="C1225">
        <v>1831</v>
      </c>
      <c r="D1225">
        <v>1</v>
      </c>
      <c r="E1225" s="23">
        <v>12</v>
      </c>
      <c r="F1225" t="s">
        <v>8265</v>
      </c>
      <c r="G1225" t="s">
        <v>10486</v>
      </c>
      <c r="H1225" t="s">
        <v>8019</v>
      </c>
      <c r="I1225">
        <f>_xlfn.LET(_xlpm.id,TRIM($A1225),IF(_xlpm.id="","",SUM(COUNTIF('1. OP'!$M:$M,_xlpm.id),COUNTIF('2. JSEL'!$M:$M,_xlpm.id),COUNTIF('3. PSM'!$M:$M,_xlpm.id),COUNTIF('4. SSP'!$M:$M,_xlpm.id),COUNTIF('5. JSACI'!$M:$M,_xlpm.id),COUNTIF('6. AIN'!$M:$M,_xlpm.id),COUNTIF('7. MS'!$M:$M,_xlpm.id),COUNTIF('8. DS'!$M:$M,_xlpm.id),COUNTIF('9. RMF'!$M:$M,_xlpm.id),COUNTIF('10. PCU'!$M:$M,_xlpm.id))))</f>
        <v>0</v>
      </c>
    </row>
    <row r="1226" spans="1:9">
      <c r="A1226" t="s">
        <v>9225</v>
      </c>
      <c r="B1226" t="s">
        <v>9226</v>
      </c>
      <c r="C1226">
        <v>1818</v>
      </c>
      <c r="D1226">
        <v>1</v>
      </c>
      <c r="E1226" s="23">
        <v>1</v>
      </c>
      <c r="F1226" t="s">
        <v>8265</v>
      </c>
      <c r="G1226" t="s">
        <v>10499</v>
      </c>
      <c r="H1226" t="s">
        <v>10179</v>
      </c>
      <c r="I1226">
        <f>_xlfn.LET(_xlpm.id,TRIM($A1226),IF(_xlpm.id="","",SUM(COUNTIF('1. OP'!$M:$M,_xlpm.id),COUNTIF('2. JSEL'!$M:$M,_xlpm.id),COUNTIF('3. PSM'!$M:$M,_xlpm.id),COUNTIF('4. SSP'!$M:$M,_xlpm.id),COUNTIF('5. JSACI'!$M:$M,_xlpm.id),COUNTIF('6. AIN'!$M:$M,_xlpm.id),COUNTIF('7. MS'!$M:$M,_xlpm.id),COUNTIF('8. DS'!$M:$M,_xlpm.id),COUNTIF('9. RMF'!$M:$M,_xlpm.id),COUNTIF('10. PCU'!$M:$M,_xlpm.id))))</f>
        <v>0</v>
      </c>
    </row>
    <row r="1227" spans="1:9">
      <c r="A1227" t="s">
        <v>9227</v>
      </c>
      <c r="B1227" t="s">
        <v>9226</v>
      </c>
      <c r="C1227">
        <v>1820</v>
      </c>
      <c r="D1227">
        <v>1</v>
      </c>
      <c r="E1227" s="23">
        <v>2</v>
      </c>
      <c r="F1227" t="s">
        <v>8265</v>
      </c>
      <c r="G1227" t="s">
        <v>10499</v>
      </c>
      <c r="H1227" t="s">
        <v>10179</v>
      </c>
      <c r="I1227">
        <f>_xlfn.LET(_xlpm.id,TRIM($A1227),IF(_xlpm.id="","",SUM(COUNTIF('1. OP'!$M:$M,_xlpm.id),COUNTIF('2. JSEL'!$M:$M,_xlpm.id),COUNTIF('3. PSM'!$M:$M,_xlpm.id),COUNTIF('4. SSP'!$M:$M,_xlpm.id),COUNTIF('5. JSACI'!$M:$M,_xlpm.id),COUNTIF('6. AIN'!$M:$M,_xlpm.id),COUNTIF('7. MS'!$M:$M,_xlpm.id),COUNTIF('8. DS'!$M:$M,_xlpm.id),COUNTIF('9. RMF'!$M:$M,_xlpm.id),COUNTIF('10. PCU'!$M:$M,_xlpm.id))))</f>
        <v>0</v>
      </c>
    </row>
    <row r="1228" spans="1:9">
      <c r="A1228" t="s">
        <v>9228</v>
      </c>
      <c r="B1228" t="s">
        <v>9226</v>
      </c>
      <c r="C1228">
        <v>1821</v>
      </c>
      <c r="D1228">
        <v>1</v>
      </c>
      <c r="E1228" s="23">
        <v>3</v>
      </c>
      <c r="F1228" t="s">
        <v>8265</v>
      </c>
      <c r="G1228" t="s">
        <v>10499</v>
      </c>
      <c r="H1228" t="s">
        <v>10179</v>
      </c>
      <c r="I1228">
        <f>_xlfn.LET(_xlpm.id,TRIM($A1228),IF(_xlpm.id="","",SUM(COUNTIF('1. OP'!$M:$M,_xlpm.id),COUNTIF('2. JSEL'!$M:$M,_xlpm.id),COUNTIF('3. PSM'!$M:$M,_xlpm.id),COUNTIF('4. SSP'!$M:$M,_xlpm.id),COUNTIF('5. JSACI'!$M:$M,_xlpm.id),COUNTIF('6. AIN'!$M:$M,_xlpm.id),COUNTIF('7. MS'!$M:$M,_xlpm.id),COUNTIF('8. DS'!$M:$M,_xlpm.id),COUNTIF('9. RMF'!$M:$M,_xlpm.id),COUNTIF('10. PCU'!$M:$M,_xlpm.id))))</f>
        <v>0</v>
      </c>
    </row>
    <row r="1229" spans="1:9">
      <c r="A1229" t="s">
        <v>9229</v>
      </c>
      <c r="B1229" t="s">
        <v>9226</v>
      </c>
      <c r="C1229">
        <v>1822</v>
      </c>
      <c r="D1229">
        <v>1</v>
      </c>
      <c r="E1229" s="23">
        <v>4</v>
      </c>
      <c r="F1229" t="s">
        <v>8265</v>
      </c>
      <c r="G1229" t="s">
        <v>10499</v>
      </c>
      <c r="H1229" t="s">
        <v>10179</v>
      </c>
      <c r="I1229">
        <f>_xlfn.LET(_xlpm.id,TRIM($A1229),IF(_xlpm.id="","",SUM(COUNTIF('1. OP'!$M:$M,_xlpm.id),COUNTIF('2. JSEL'!$M:$M,_xlpm.id),COUNTIF('3. PSM'!$M:$M,_xlpm.id),COUNTIF('4. SSP'!$M:$M,_xlpm.id),COUNTIF('5. JSACI'!$M:$M,_xlpm.id),COUNTIF('6. AIN'!$M:$M,_xlpm.id),COUNTIF('7. MS'!$M:$M,_xlpm.id),COUNTIF('8. DS'!$M:$M,_xlpm.id),COUNTIF('9. RMF'!$M:$M,_xlpm.id),COUNTIF('10. PCU'!$M:$M,_xlpm.id))))</f>
        <v>0</v>
      </c>
    </row>
    <row r="1230" spans="1:9">
      <c r="A1230" t="s">
        <v>9230</v>
      </c>
      <c r="B1230" t="s">
        <v>9226</v>
      </c>
      <c r="C1230">
        <v>1822</v>
      </c>
      <c r="D1230">
        <v>1</v>
      </c>
      <c r="E1230" s="23">
        <v>5</v>
      </c>
      <c r="F1230" t="s">
        <v>8265</v>
      </c>
      <c r="G1230" t="s">
        <v>10499</v>
      </c>
      <c r="H1230" t="s">
        <v>10179</v>
      </c>
      <c r="I1230">
        <f>_xlfn.LET(_xlpm.id,TRIM($A1230),IF(_xlpm.id="","",SUM(COUNTIF('1. OP'!$M:$M,_xlpm.id),COUNTIF('2. JSEL'!$M:$M,_xlpm.id),COUNTIF('3. PSM'!$M:$M,_xlpm.id),COUNTIF('4. SSP'!$M:$M,_xlpm.id),COUNTIF('5. JSACI'!$M:$M,_xlpm.id),COUNTIF('6. AIN'!$M:$M,_xlpm.id),COUNTIF('7. MS'!$M:$M,_xlpm.id),COUNTIF('8. DS'!$M:$M,_xlpm.id),COUNTIF('9. RMF'!$M:$M,_xlpm.id),COUNTIF('10. PCU'!$M:$M,_xlpm.id))))</f>
        <v>0</v>
      </c>
    </row>
    <row r="1231" spans="1:9">
      <c r="A1231" t="s">
        <v>9231</v>
      </c>
      <c r="B1231" t="s">
        <v>9226</v>
      </c>
      <c r="C1231">
        <v>1823</v>
      </c>
      <c r="D1231">
        <v>1</v>
      </c>
      <c r="E1231" s="23">
        <v>6</v>
      </c>
      <c r="F1231" t="s">
        <v>8265</v>
      </c>
      <c r="G1231" t="s">
        <v>10499</v>
      </c>
      <c r="H1231" t="s">
        <v>10179</v>
      </c>
      <c r="I1231">
        <f>_xlfn.LET(_xlpm.id,TRIM($A1231),IF(_xlpm.id="","",SUM(COUNTIF('1. OP'!$M:$M,_xlpm.id),COUNTIF('2. JSEL'!$M:$M,_xlpm.id),COUNTIF('3. PSM'!$M:$M,_xlpm.id),COUNTIF('4. SSP'!$M:$M,_xlpm.id),COUNTIF('5. JSACI'!$M:$M,_xlpm.id),COUNTIF('6. AIN'!$M:$M,_xlpm.id),COUNTIF('7. MS'!$M:$M,_xlpm.id),COUNTIF('8. DS'!$M:$M,_xlpm.id),COUNTIF('9. RMF'!$M:$M,_xlpm.id),COUNTIF('10. PCU'!$M:$M,_xlpm.id))))</f>
        <v>0</v>
      </c>
    </row>
    <row r="1232" spans="1:9">
      <c r="A1232" t="s">
        <v>9232</v>
      </c>
      <c r="B1232" t="s">
        <v>9226</v>
      </c>
      <c r="C1232">
        <v>1824</v>
      </c>
      <c r="D1232">
        <v>1</v>
      </c>
      <c r="E1232" s="23">
        <v>7</v>
      </c>
      <c r="F1232" t="s">
        <v>8265</v>
      </c>
      <c r="G1232" t="s">
        <v>10499</v>
      </c>
      <c r="H1232" t="s">
        <v>10179</v>
      </c>
      <c r="I1232">
        <f>_xlfn.LET(_xlpm.id,TRIM($A1232),IF(_xlpm.id="","",SUM(COUNTIF('1. OP'!$M:$M,_xlpm.id),COUNTIF('2. JSEL'!$M:$M,_xlpm.id),COUNTIF('3. PSM'!$M:$M,_xlpm.id),COUNTIF('4. SSP'!$M:$M,_xlpm.id),COUNTIF('5. JSACI'!$M:$M,_xlpm.id),COUNTIF('6. AIN'!$M:$M,_xlpm.id),COUNTIF('7. MS'!$M:$M,_xlpm.id),COUNTIF('8. DS'!$M:$M,_xlpm.id),COUNTIF('9. RMF'!$M:$M,_xlpm.id),COUNTIF('10. PCU'!$M:$M,_xlpm.id))))</f>
        <v>0</v>
      </c>
    </row>
    <row r="1233" spans="1:9">
      <c r="A1233" t="s">
        <v>9233</v>
      </c>
      <c r="B1233" t="s">
        <v>9226</v>
      </c>
      <c r="C1233">
        <v>1824</v>
      </c>
      <c r="D1233">
        <v>1</v>
      </c>
      <c r="E1233" s="23">
        <v>8</v>
      </c>
      <c r="F1233" t="s">
        <v>8265</v>
      </c>
      <c r="G1233" t="s">
        <v>10499</v>
      </c>
      <c r="H1233" t="s">
        <v>10179</v>
      </c>
      <c r="I1233">
        <f>_xlfn.LET(_xlpm.id,TRIM($A1233),IF(_xlpm.id="","",SUM(COUNTIF('1. OP'!$M:$M,_xlpm.id),COUNTIF('2. JSEL'!$M:$M,_xlpm.id),COUNTIF('3. PSM'!$M:$M,_xlpm.id),COUNTIF('4. SSP'!$M:$M,_xlpm.id),COUNTIF('5. JSACI'!$M:$M,_xlpm.id),COUNTIF('6. AIN'!$M:$M,_xlpm.id),COUNTIF('7. MS'!$M:$M,_xlpm.id),COUNTIF('8. DS'!$M:$M,_xlpm.id),COUNTIF('9. RMF'!$M:$M,_xlpm.id),COUNTIF('10. PCU'!$M:$M,_xlpm.id))))</f>
        <v>0</v>
      </c>
    </row>
    <row r="1234" spans="1:9">
      <c r="A1234" t="s">
        <v>9234</v>
      </c>
      <c r="B1234" t="s">
        <v>9226</v>
      </c>
      <c r="C1234">
        <v>1825</v>
      </c>
      <c r="D1234">
        <v>1</v>
      </c>
      <c r="E1234" s="23">
        <v>9</v>
      </c>
      <c r="F1234" t="s">
        <v>8265</v>
      </c>
      <c r="G1234" t="s">
        <v>10499</v>
      </c>
      <c r="H1234" t="s">
        <v>10179</v>
      </c>
      <c r="I1234">
        <f>_xlfn.LET(_xlpm.id,TRIM($A1234),IF(_xlpm.id="","",SUM(COUNTIF('1. OP'!$M:$M,_xlpm.id),COUNTIF('2. JSEL'!$M:$M,_xlpm.id),COUNTIF('3. PSM'!$M:$M,_xlpm.id),COUNTIF('4. SSP'!$M:$M,_xlpm.id),COUNTIF('5. JSACI'!$M:$M,_xlpm.id),COUNTIF('6. AIN'!$M:$M,_xlpm.id),COUNTIF('7. MS'!$M:$M,_xlpm.id),COUNTIF('8. DS'!$M:$M,_xlpm.id),COUNTIF('9. RMF'!$M:$M,_xlpm.id),COUNTIF('10. PCU'!$M:$M,_xlpm.id))))</f>
        <v>0</v>
      </c>
    </row>
    <row r="1235" spans="1:9">
      <c r="A1235" t="s">
        <v>9235</v>
      </c>
      <c r="B1235" t="s">
        <v>9226</v>
      </c>
      <c r="C1235">
        <v>1826</v>
      </c>
      <c r="D1235">
        <v>1</v>
      </c>
      <c r="E1235" s="23">
        <v>10</v>
      </c>
      <c r="F1235" t="s">
        <v>8265</v>
      </c>
      <c r="G1235" t="s">
        <v>10499</v>
      </c>
      <c r="H1235" t="s">
        <v>10179</v>
      </c>
      <c r="I1235">
        <f>_xlfn.LET(_xlpm.id,TRIM($A1235),IF(_xlpm.id="","",SUM(COUNTIF('1. OP'!$M:$M,_xlpm.id),COUNTIF('2. JSEL'!$M:$M,_xlpm.id),COUNTIF('3. PSM'!$M:$M,_xlpm.id),COUNTIF('4. SSP'!$M:$M,_xlpm.id),COUNTIF('5. JSACI'!$M:$M,_xlpm.id),COUNTIF('6. AIN'!$M:$M,_xlpm.id),COUNTIF('7. MS'!$M:$M,_xlpm.id),COUNTIF('8. DS'!$M:$M,_xlpm.id),COUNTIF('9. RMF'!$M:$M,_xlpm.id),COUNTIF('10. PCU'!$M:$M,_xlpm.id))))</f>
        <v>0</v>
      </c>
    </row>
    <row r="1236" spans="1:9">
      <c r="A1236" t="s">
        <v>9236</v>
      </c>
      <c r="B1236" t="s">
        <v>9226</v>
      </c>
      <c r="C1236">
        <v>1826</v>
      </c>
      <c r="D1236">
        <v>1</v>
      </c>
      <c r="E1236" s="23">
        <v>11</v>
      </c>
      <c r="F1236" t="s">
        <v>8265</v>
      </c>
      <c r="G1236" t="s">
        <v>10499</v>
      </c>
      <c r="H1236" t="s">
        <v>10179</v>
      </c>
      <c r="I1236">
        <f>_xlfn.LET(_xlpm.id,TRIM($A1236),IF(_xlpm.id="","",SUM(COUNTIF('1. OP'!$M:$M,_xlpm.id),COUNTIF('2. JSEL'!$M:$M,_xlpm.id),COUNTIF('3. PSM'!$M:$M,_xlpm.id),COUNTIF('4. SSP'!$M:$M,_xlpm.id),COUNTIF('5. JSACI'!$M:$M,_xlpm.id),COUNTIF('6. AIN'!$M:$M,_xlpm.id),COUNTIF('7. MS'!$M:$M,_xlpm.id),COUNTIF('8. DS'!$M:$M,_xlpm.id),COUNTIF('9. RMF'!$M:$M,_xlpm.id),COUNTIF('10. PCU'!$M:$M,_xlpm.id))))</f>
        <v>0</v>
      </c>
    </row>
    <row r="1237" spans="1:9">
      <c r="A1237" t="s">
        <v>9237</v>
      </c>
      <c r="B1237" t="s">
        <v>9226</v>
      </c>
      <c r="C1237">
        <v>1827</v>
      </c>
      <c r="D1237">
        <v>1</v>
      </c>
      <c r="E1237" s="23">
        <v>12</v>
      </c>
      <c r="F1237" t="s">
        <v>8265</v>
      </c>
      <c r="G1237" t="s">
        <v>10499</v>
      </c>
      <c r="H1237" t="s">
        <v>10179</v>
      </c>
      <c r="I1237">
        <f>_xlfn.LET(_xlpm.id,TRIM($A1237),IF(_xlpm.id="","",SUM(COUNTIF('1. OP'!$M:$M,_xlpm.id),COUNTIF('2. JSEL'!$M:$M,_xlpm.id),COUNTIF('3. PSM'!$M:$M,_xlpm.id),COUNTIF('4. SSP'!$M:$M,_xlpm.id),COUNTIF('5. JSACI'!$M:$M,_xlpm.id),COUNTIF('6. AIN'!$M:$M,_xlpm.id),COUNTIF('7. MS'!$M:$M,_xlpm.id),COUNTIF('8. DS'!$M:$M,_xlpm.id),COUNTIF('9. RMF'!$M:$M,_xlpm.id),COUNTIF('10. PCU'!$M:$M,_xlpm.id))))</f>
        <v>0</v>
      </c>
    </row>
    <row r="1238" spans="1:9">
      <c r="A1238" t="s">
        <v>9238</v>
      </c>
      <c r="B1238" t="s">
        <v>9226</v>
      </c>
      <c r="C1238">
        <v>1828</v>
      </c>
      <c r="D1238">
        <v>1</v>
      </c>
      <c r="E1238" s="23">
        <v>13</v>
      </c>
      <c r="F1238" t="s">
        <v>8265</v>
      </c>
      <c r="G1238" t="s">
        <v>10499</v>
      </c>
      <c r="H1238" t="s">
        <v>10179</v>
      </c>
      <c r="I1238">
        <f>_xlfn.LET(_xlpm.id,TRIM($A1238),IF(_xlpm.id="","",SUM(COUNTIF('1. OP'!$M:$M,_xlpm.id),COUNTIF('2. JSEL'!$M:$M,_xlpm.id),COUNTIF('3. PSM'!$M:$M,_xlpm.id),COUNTIF('4. SSP'!$M:$M,_xlpm.id),COUNTIF('5. JSACI'!$M:$M,_xlpm.id),COUNTIF('6. AIN'!$M:$M,_xlpm.id),COUNTIF('7. MS'!$M:$M,_xlpm.id),COUNTIF('8. DS'!$M:$M,_xlpm.id),COUNTIF('9. RMF'!$M:$M,_xlpm.id),COUNTIF('10. PCU'!$M:$M,_xlpm.id))))</f>
        <v>0</v>
      </c>
    </row>
    <row r="1239" spans="1:9">
      <c r="A1239" t="s">
        <v>9239</v>
      </c>
      <c r="B1239" t="s">
        <v>9226</v>
      </c>
      <c r="C1239">
        <v>1828</v>
      </c>
      <c r="D1239">
        <v>1</v>
      </c>
      <c r="E1239" s="23">
        <v>14</v>
      </c>
      <c r="F1239" t="s">
        <v>8265</v>
      </c>
      <c r="G1239" t="s">
        <v>10499</v>
      </c>
      <c r="H1239" t="s">
        <v>10179</v>
      </c>
      <c r="I1239">
        <f>_xlfn.LET(_xlpm.id,TRIM($A1239),IF(_xlpm.id="","",SUM(COUNTIF('1. OP'!$M:$M,_xlpm.id),COUNTIF('2. JSEL'!$M:$M,_xlpm.id),COUNTIF('3. PSM'!$M:$M,_xlpm.id),COUNTIF('4. SSP'!$M:$M,_xlpm.id),COUNTIF('5. JSACI'!$M:$M,_xlpm.id),COUNTIF('6. AIN'!$M:$M,_xlpm.id),COUNTIF('7. MS'!$M:$M,_xlpm.id),COUNTIF('8. DS'!$M:$M,_xlpm.id),COUNTIF('9. RMF'!$M:$M,_xlpm.id),COUNTIF('10. PCU'!$M:$M,_xlpm.id))))</f>
        <v>0</v>
      </c>
    </row>
    <row r="1240" spans="1:9">
      <c r="A1240" t="s">
        <v>9240</v>
      </c>
      <c r="B1240" t="s">
        <v>9226</v>
      </c>
      <c r="C1240">
        <v>1829</v>
      </c>
      <c r="D1240">
        <v>1</v>
      </c>
      <c r="E1240" s="23">
        <v>15</v>
      </c>
      <c r="F1240" t="s">
        <v>8265</v>
      </c>
      <c r="G1240" t="s">
        <v>10499</v>
      </c>
      <c r="H1240" t="s">
        <v>10179</v>
      </c>
      <c r="I1240">
        <f>_xlfn.LET(_xlpm.id,TRIM($A1240),IF(_xlpm.id="","",SUM(COUNTIF('1. OP'!$M:$M,_xlpm.id),COUNTIF('2. JSEL'!$M:$M,_xlpm.id),COUNTIF('3. PSM'!$M:$M,_xlpm.id),COUNTIF('4. SSP'!$M:$M,_xlpm.id),COUNTIF('5. JSACI'!$M:$M,_xlpm.id),COUNTIF('6. AIN'!$M:$M,_xlpm.id),COUNTIF('7. MS'!$M:$M,_xlpm.id),COUNTIF('8. DS'!$M:$M,_xlpm.id),COUNTIF('9. RMF'!$M:$M,_xlpm.id),COUNTIF('10. PCU'!$M:$M,_xlpm.id))))</f>
        <v>0</v>
      </c>
    </row>
    <row r="1241" spans="1:9">
      <c r="A1241" t="s">
        <v>9241</v>
      </c>
      <c r="B1241" t="s">
        <v>9226</v>
      </c>
      <c r="C1241">
        <v>1829</v>
      </c>
      <c r="D1241">
        <v>1</v>
      </c>
      <c r="E1241" s="23">
        <v>16</v>
      </c>
      <c r="F1241" t="s">
        <v>8265</v>
      </c>
      <c r="G1241" t="s">
        <v>10499</v>
      </c>
      <c r="H1241" t="s">
        <v>10179</v>
      </c>
      <c r="I1241">
        <f>_xlfn.LET(_xlpm.id,TRIM($A1241),IF(_xlpm.id="","",SUM(COUNTIF('1. OP'!$M:$M,_xlpm.id),COUNTIF('2. JSEL'!$M:$M,_xlpm.id),COUNTIF('3. PSM'!$M:$M,_xlpm.id),COUNTIF('4. SSP'!$M:$M,_xlpm.id),COUNTIF('5. JSACI'!$M:$M,_xlpm.id),COUNTIF('6. AIN'!$M:$M,_xlpm.id),COUNTIF('7. MS'!$M:$M,_xlpm.id),COUNTIF('8. DS'!$M:$M,_xlpm.id),COUNTIF('9. RMF'!$M:$M,_xlpm.id),COUNTIF('10. PCU'!$M:$M,_xlpm.id))))</f>
        <v>0</v>
      </c>
    </row>
    <row r="1242" spans="1:9">
      <c r="A1242" t="s">
        <v>9242</v>
      </c>
      <c r="B1242" t="s">
        <v>9226</v>
      </c>
      <c r="C1242">
        <v>1830</v>
      </c>
      <c r="D1242">
        <v>1</v>
      </c>
      <c r="E1242" s="23">
        <v>17</v>
      </c>
      <c r="F1242" t="s">
        <v>8265</v>
      </c>
      <c r="G1242" t="s">
        <v>10499</v>
      </c>
      <c r="H1242" t="s">
        <v>10179</v>
      </c>
      <c r="I1242">
        <f>_xlfn.LET(_xlpm.id,TRIM($A1242),IF(_xlpm.id="","",SUM(COUNTIF('1. OP'!$M:$M,_xlpm.id),COUNTIF('2. JSEL'!$M:$M,_xlpm.id),COUNTIF('3. PSM'!$M:$M,_xlpm.id),COUNTIF('4. SSP'!$M:$M,_xlpm.id),COUNTIF('5. JSACI'!$M:$M,_xlpm.id),COUNTIF('6. AIN'!$M:$M,_xlpm.id),COUNTIF('7. MS'!$M:$M,_xlpm.id),COUNTIF('8. DS'!$M:$M,_xlpm.id),COUNTIF('9. RMF'!$M:$M,_xlpm.id),COUNTIF('10. PCU'!$M:$M,_xlpm.id))))</f>
        <v>0</v>
      </c>
    </row>
    <row r="1243" spans="1:9">
      <c r="A1243" t="s">
        <v>5366</v>
      </c>
      <c r="B1243" t="s">
        <v>9226</v>
      </c>
      <c r="C1243">
        <v>1830</v>
      </c>
      <c r="D1243">
        <v>1</v>
      </c>
      <c r="E1243" s="23">
        <v>18</v>
      </c>
      <c r="F1243" t="s">
        <v>8265</v>
      </c>
      <c r="G1243" t="s">
        <v>10499</v>
      </c>
      <c r="H1243" t="s">
        <v>10179</v>
      </c>
      <c r="I1243">
        <f>_xlfn.LET(_xlpm.id,TRIM($A1243),IF(_xlpm.id="","",SUM(COUNTIF('1. OP'!$M:$M,_xlpm.id),COUNTIF('2. JSEL'!$M:$M,_xlpm.id),COUNTIF('3. PSM'!$M:$M,_xlpm.id),COUNTIF('4. SSP'!$M:$M,_xlpm.id),COUNTIF('5. JSACI'!$M:$M,_xlpm.id),COUNTIF('6. AIN'!$M:$M,_xlpm.id),COUNTIF('7. MS'!$M:$M,_xlpm.id),COUNTIF('8. DS'!$M:$M,_xlpm.id),COUNTIF('9. RMF'!$M:$M,_xlpm.id),COUNTIF('10. PCU'!$M:$M,_xlpm.id))))</f>
        <v>1</v>
      </c>
    </row>
    <row r="1244" spans="1:9">
      <c r="A1244" t="s">
        <v>9243</v>
      </c>
      <c r="B1244" t="s">
        <v>9226</v>
      </c>
      <c r="C1244">
        <v>1831</v>
      </c>
      <c r="D1244">
        <v>1</v>
      </c>
      <c r="E1244" s="23">
        <v>19</v>
      </c>
      <c r="F1244" t="s">
        <v>8265</v>
      </c>
      <c r="G1244" t="s">
        <v>10499</v>
      </c>
      <c r="H1244" t="s">
        <v>10179</v>
      </c>
      <c r="I1244">
        <f>_xlfn.LET(_xlpm.id,TRIM($A1244),IF(_xlpm.id="","",SUM(COUNTIF('1. OP'!$M:$M,_xlpm.id),COUNTIF('2. JSEL'!$M:$M,_xlpm.id),COUNTIF('3. PSM'!$M:$M,_xlpm.id),COUNTIF('4. SSP'!$M:$M,_xlpm.id),COUNTIF('5. JSACI'!$M:$M,_xlpm.id),COUNTIF('6. AIN'!$M:$M,_xlpm.id),COUNTIF('7. MS'!$M:$M,_xlpm.id),COUNTIF('8. DS'!$M:$M,_xlpm.id),COUNTIF('9. RMF'!$M:$M,_xlpm.id),COUNTIF('10. PCU'!$M:$M,_xlpm.id))))</f>
        <v>0</v>
      </c>
    </row>
    <row r="1245" spans="1:9">
      <c r="A1245" t="s">
        <v>9244</v>
      </c>
      <c r="B1245" t="s">
        <v>9226</v>
      </c>
      <c r="C1245">
        <v>1831</v>
      </c>
      <c r="D1245">
        <v>1</v>
      </c>
      <c r="E1245" s="23">
        <v>20</v>
      </c>
      <c r="F1245" t="s">
        <v>8265</v>
      </c>
      <c r="G1245" t="s">
        <v>10499</v>
      </c>
      <c r="H1245" t="s">
        <v>10179</v>
      </c>
      <c r="I1245">
        <f>_xlfn.LET(_xlpm.id,TRIM($A1245),IF(_xlpm.id="","",SUM(COUNTIF('1. OP'!$M:$M,_xlpm.id),COUNTIF('2. JSEL'!$M:$M,_xlpm.id),COUNTIF('3. PSM'!$M:$M,_xlpm.id),COUNTIF('4. SSP'!$M:$M,_xlpm.id),COUNTIF('5. JSACI'!$M:$M,_xlpm.id),COUNTIF('6. AIN'!$M:$M,_xlpm.id),COUNTIF('7. MS'!$M:$M,_xlpm.id),COUNTIF('8. DS'!$M:$M,_xlpm.id),COUNTIF('9. RMF'!$M:$M,_xlpm.id),COUNTIF('10. PCU'!$M:$M,_xlpm.id))))</f>
        <v>0</v>
      </c>
    </row>
    <row r="1246" spans="1:9">
      <c r="A1246" t="s">
        <v>9245</v>
      </c>
      <c r="B1246" t="s">
        <v>9226</v>
      </c>
      <c r="C1246">
        <v>1832</v>
      </c>
      <c r="D1246">
        <v>1</v>
      </c>
      <c r="E1246" s="23">
        <v>21</v>
      </c>
      <c r="F1246" t="s">
        <v>8265</v>
      </c>
      <c r="G1246" t="s">
        <v>10499</v>
      </c>
      <c r="H1246" t="s">
        <v>10179</v>
      </c>
      <c r="I1246">
        <f>_xlfn.LET(_xlpm.id,TRIM($A1246),IF(_xlpm.id="","",SUM(COUNTIF('1. OP'!$M:$M,_xlpm.id),COUNTIF('2. JSEL'!$M:$M,_xlpm.id),COUNTIF('3. PSM'!$M:$M,_xlpm.id),COUNTIF('4. SSP'!$M:$M,_xlpm.id),COUNTIF('5. JSACI'!$M:$M,_xlpm.id),COUNTIF('6. AIN'!$M:$M,_xlpm.id),COUNTIF('7. MS'!$M:$M,_xlpm.id),COUNTIF('8. DS'!$M:$M,_xlpm.id),COUNTIF('9. RMF'!$M:$M,_xlpm.id),COUNTIF('10. PCU'!$M:$M,_xlpm.id))))</f>
        <v>0</v>
      </c>
    </row>
    <row r="1247" spans="1:9">
      <c r="A1247" t="s">
        <v>9246</v>
      </c>
      <c r="B1247" t="s">
        <v>9226</v>
      </c>
      <c r="C1247">
        <v>1832</v>
      </c>
      <c r="D1247">
        <v>1</v>
      </c>
      <c r="E1247" s="23">
        <v>22</v>
      </c>
      <c r="F1247" t="s">
        <v>8265</v>
      </c>
      <c r="G1247" t="s">
        <v>10499</v>
      </c>
      <c r="H1247" t="s">
        <v>10179</v>
      </c>
      <c r="I1247">
        <f>_xlfn.LET(_xlpm.id,TRIM($A1247),IF(_xlpm.id="","",SUM(COUNTIF('1. OP'!$M:$M,_xlpm.id),COUNTIF('2. JSEL'!$M:$M,_xlpm.id),COUNTIF('3. PSM'!$M:$M,_xlpm.id),COUNTIF('4. SSP'!$M:$M,_xlpm.id),COUNTIF('5. JSACI'!$M:$M,_xlpm.id),COUNTIF('6. AIN'!$M:$M,_xlpm.id),COUNTIF('7. MS'!$M:$M,_xlpm.id),COUNTIF('8. DS'!$M:$M,_xlpm.id),COUNTIF('9. RMF'!$M:$M,_xlpm.id),COUNTIF('10. PCU'!$M:$M,_xlpm.id))))</f>
        <v>0</v>
      </c>
    </row>
    <row r="1248" spans="1:9">
      <c r="A1248" t="s">
        <v>9247</v>
      </c>
      <c r="B1248" t="s">
        <v>9226</v>
      </c>
      <c r="C1248">
        <v>1833</v>
      </c>
      <c r="D1248">
        <v>1</v>
      </c>
      <c r="E1248" s="23">
        <v>23</v>
      </c>
      <c r="F1248" t="s">
        <v>8265</v>
      </c>
      <c r="G1248" t="s">
        <v>10499</v>
      </c>
      <c r="H1248" t="s">
        <v>10179</v>
      </c>
      <c r="I1248">
        <f>_xlfn.LET(_xlpm.id,TRIM($A1248),IF(_xlpm.id="","",SUM(COUNTIF('1. OP'!$M:$M,_xlpm.id),COUNTIF('2. JSEL'!$M:$M,_xlpm.id),COUNTIF('3. PSM'!$M:$M,_xlpm.id),COUNTIF('4. SSP'!$M:$M,_xlpm.id),COUNTIF('5. JSACI'!$M:$M,_xlpm.id),COUNTIF('6. AIN'!$M:$M,_xlpm.id),COUNTIF('7. MS'!$M:$M,_xlpm.id),COUNTIF('8. DS'!$M:$M,_xlpm.id),COUNTIF('9. RMF'!$M:$M,_xlpm.id),COUNTIF('10. PCU'!$M:$M,_xlpm.id))))</f>
        <v>0</v>
      </c>
    </row>
    <row r="1249" spans="1:9">
      <c r="A1249" t="s">
        <v>9248</v>
      </c>
      <c r="B1249" t="s">
        <v>9226</v>
      </c>
      <c r="C1249">
        <v>1833</v>
      </c>
      <c r="D1249">
        <v>1</v>
      </c>
      <c r="E1249" s="23">
        <v>24</v>
      </c>
      <c r="F1249" t="s">
        <v>8265</v>
      </c>
      <c r="G1249" t="s">
        <v>10499</v>
      </c>
      <c r="H1249" t="s">
        <v>10179</v>
      </c>
      <c r="I1249">
        <f>_xlfn.LET(_xlpm.id,TRIM($A1249),IF(_xlpm.id="","",SUM(COUNTIF('1. OP'!$M:$M,_xlpm.id),COUNTIF('2. JSEL'!$M:$M,_xlpm.id),COUNTIF('3. PSM'!$M:$M,_xlpm.id),COUNTIF('4. SSP'!$M:$M,_xlpm.id),COUNTIF('5. JSACI'!$M:$M,_xlpm.id),COUNTIF('6. AIN'!$M:$M,_xlpm.id),COUNTIF('7. MS'!$M:$M,_xlpm.id),COUNTIF('8. DS'!$M:$M,_xlpm.id),COUNTIF('9. RMF'!$M:$M,_xlpm.id),COUNTIF('10. PCU'!$M:$M,_xlpm.id))))</f>
        <v>0</v>
      </c>
    </row>
    <row r="1250" spans="1:9">
      <c r="A1250" t="s">
        <v>9249</v>
      </c>
      <c r="B1250" t="s">
        <v>9226</v>
      </c>
      <c r="C1250">
        <v>1834</v>
      </c>
      <c r="D1250">
        <v>1</v>
      </c>
      <c r="E1250" s="23">
        <v>25</v>
      </c>
      <c r="F1250" t="s">
        <v>8265</v>
      </c>
      <c r="G1250" t="s">
        <v>10499</v>
      </c>
      <c r="H1250" t="s">
        <v>10179</v>
      </c>
      <c r="I1250">
        <f>_xlfn.LET(_xlpm.id,TRIM($A1250),IF(_xlpm.id="","",SUM(COUNTIF('1. OP'!$M:$M,_xlpm.id),COUNTIF('2. JSEL'!$M:$M,_xlpm.id),COUNTIF('3. PSM'!$M:$M,_xlpm.id),COUNTIF('4. SSP'!$M:$M,_xlpm.id),COUNTIF('5. JSACI'!$M:$M,_xlpm.id),COUNTIF('6. AIN'!$M:$M,_xlpm.id),COUNTIF('7. MS'!$M:$M,_xlpm.id),COUNTIF('8. DS'!$M:$M,_xlpm.id),COUNTIF('9. RMF'!$M:$M,_xlpm.id),COUNTIF('10. PCU'!$M:$M,_xlpm.id))))</f>
        <v>0</v>
      </c>
    </row>
    <row r="1251" spans="1:9">
      <c r="A1251" t="s">
        <v>9250</v>
      </c>
      <c r="B1251" t="s">
        <v>9226</v>
      </c>
      <c r="C1251">
        <v>1834</v>
      </c>
      <c r="D1251">
        <v>1</v>
      </c>
      <c r="E1251" s="23">
        <v>26</v>
      </c>
      <c r="F1251" t="s">
        <v>8265</v>
      </c>
      <c r="G1251" t="s">
        <v>10499</v>
      </c>
      <c r="H1251" t="s">
        <v>10179</v>
      </c>
      <c r="I1251">
        <f>_xlfn.LET(_xlpm.id,TRIM($A1251),IF(_xlpm.id="","",SUM(COUNTIF('1. OP'!$M:$M,_xlpm.id),COUNTIF('2. JSEL'!$M:$M,_xlpm.id),COUNTIF('3. PSM'!$M:$M,_xlpm.id),COUNTIF('4. SSP'!$M:$M,_xlpm.id),COUNTIF('5. JSACI'!$M:$M,_xlpm.id),COUNTIF('6. AIN'!$M:$M,_xlpm.id),COUNTIF('7. MS'!$M:$M,_xlpm.id),COUNTIF('8. DS'!$M:$M,_xlpm.id),COUNTIF('9. RMF'!$M:$M,_xlpm.id),COUNTIF('10. PCU'!$M:$M,_xlpm.id))))</f>
        <v>0</v>
      </c>
    </row>
    <row r="1252" spans="1:9">
      <c r="A1252" t="s">
        <v>9251</v>
      </c>
      <c r="B1252" t="s">
        <v>9226</v>
      </c>
      <c r="C1252">
        <v>1835</v>
      </c>
      <c r="D1252">
        <v>1</v>
      </c>
      <c r="E1252" s="23">
        <v>27</v>
      </c>
      <c r="F1252" t="s">
        <v>8265</v>
      </c>
      <c r="G1252" t="s">
        <v>10499</v>
      </c>
      <c r="H1252" t="s">
        <v>10179</v>
      </c>
      <c r="I1252">
        <f>_xlfn.LET(_xlpm.id,TRIM($A1252),IF(_xlpm.id="","",SUM(COUNTIF('1. OP'!$M:$M,_xlpm.id),COUNTIF('2. JSEL'!$M:$M,_xlpm.id),COUNTIF('3. PSM'!$M:$M,_xlpm.id),COUNTIF('4. SSP'!$M:$M,_xlpm.id),COUNTIF('5. JSACI'!$M:$M,_xlpm.id),COUNTIF('6. AIN'!$M:$M,_xlpm.id),COUNTIF('7. MS'!$M:$M,_xlpm.id),COUNTIF('8. DS'!$M:$M,_xlpm.id),COUNTIF('9. RMF'!$M:$M,_xlpm.id),COUNTIF('10. PCU'!$M:$M,_xlpm.id))))</f>
        <v>0</v>
      </c>
    </row>
    <row r="1253" spans="1:9">
      <c r="A1253" t="s">
        <v>9252</v>
      </c>
      <c r="B1253" t="s">
        <v>9226</v>
      </c>
      <c r="C1253">
        <v>1835</v>
      </c>
      <c r="D1253">
        <v>1</v>
      </c>
      <c r="E1253" s="23">
        <v>28</v>
      </c>
      <c r="F1253" t="s">
        <v>8265</v>
      </c>
      <c r="G1253" t="s">
        <v>10499</v>
      </c>
      <c r="H1253" t="s">
        <v>10179</v>
      </c>
      <c r="I1253">
        <f>_xlfn.LET(_xlpm.id,TRIM($A1253),IF(_xlpm.id="","",SUM(COUNTIF('1. OP'!$M:$M,_xlpm.id),COUNTIF('2. JSEL'!$M:$M,_xlpm.id),COUNTIF('3. PSM'!$M:$M,_xlpm.id),COUNTIF('4. SSP'!$M:$M,_xlpm.id),COUNTIF('5. JSACI'!$M:$M,_xlpm.id),COUNTIF('6. AIN'!$M:$M,_xlpm.id),COUNTIF('7. MS'!$M:$M,_xlpm.id),COUNTIF('8. DS'!$M:$M,_xlpm.id),COUNTIF('9. RMF'!$M:$M,_xlpm.id),COUNTIF('10. PCU'!$M:$M,_xlpm.id))))</f>
        <v>0</v>
      </c>
    </row>
    <row r="1254" spans="1:9">
      <c r="A1254" t="s">
        <v>9253</v>
      </c>
      <c r="B1254" t="s">
        <v>9226</v>
      </c>
      <c r="C1254">
        <v>1836</v>
      </c>
      <c r="D1254">
        <v>1</v>
      </c>
      <c r="E1254" s="23">
        <v>29</v>
      </c>
      <c r="F1254" t="s">
        <v>8265</v>
      </c>
      <c r="G1254" t="s">
        <v>10499</v>
      </c>
      <c r="H1254" t="s">
        <v>10179</v>
      </c>
      <c r="I1254">
        <f>_xlfn.LET(_xlpm.id,TRIM($A1254),IF(_xlpm.id="","",SUM(COUNTIF('1. OP'!$M:$M,_xlpm.id),COUNTIF('2. JSEL'!$M:$M,_xlpm.id),COUNTIF('3. PSM'!$M:$M,_xlpm.id),COUNTIF('4. SSP'!$M:$M,_xlpm.id),COUNTIF('5. JSACI'!$M:$M,_xlpm.id),COUNTIF('6. AIN'!$M:$M,_xlpm.id),COUNTIF('7. MS'!$M:$M,_xlpm.id),COUNTIF('8. DS'!$M:$M,_xlpm.id),COUNTIF('9. RMF'!$M:$M,_xlpm.id),COUNTIF('10. PCU'!$M:$M,_xlpm.id))))</f>
        <v>0</v>
      </c>
    </row>
    <row r="1255" spans="1:9">
      <c r="A1255" t="s">
        <v>9254</v>
      </c>
      <c r="B1255" t="s">
        <v>9226</v>
      </c>
      <c r="C1255">
        <v>1836</v>
      </c>
      <c r="D1255">
        <v>1</v>
      </c>
      <c r="E1255" s="23">
        <v>30</v>
      </c>
      <c r="F1255" t="s">
        <v>8265</v>
      </c>
      <c r="G1255" t="s">
        <v>10499</v>
      </c>
      <c r="H1255" t="s">
        <v>10179</v>
      </c>
      <c r="I1255">
        <f>_xlfn.LET(_xlpm.id,TRIM($A1255),IF(_xlpm.id="","",SUM(COUNTIF('1. OP'!$M:$M,_xlpm.id),COUNTIF('2. JSEL'!$M:$M,_xlpm.id),COUNTIF('3. PSM'!$M:$M,_xlpm.id),COUNTIF('4. SSP'!$M:$M,_xlpm.id),COUNTIF('5. JSACI'!$M:$M,_xlpm.id),COUNTIF('6. AIN'!$M:$M,_xlpm.id),COUNTIF('7. MS'!$M:$M,_xlpm.id),COUNTIF('8. DS'!$M:$M,_xlpm.id),COUNTIF('9. RMF'!$M:$M,_xlpm.id),COUNTIF('10. PCU'!$M:$M,_xlpm.id))))</f>
        <v>0</v>
      </c>
    </row>
    <row r="1256" spans="1:9">
      <c r="A1256" t="s">
        <v>9255</v>
      </c>
      <c r="B1256" t="s">
        <v>9226</v>
      </c>
      <c r="C1256">
        <v>1837</v>
      </c>
      <c r="D1256">
        <v>1</v>
      </c>
      <c r="E1256" s="23">
        <v>31</v>
      </c>
      <c r="F1256" t="s">
        <v>8265</v>
      </c>
      <c r="G1256" t="s">
        <v>10499</v>
      </c>
      <c r="H1256" t="s">
        <v>10179</v>
      </c>
      <c r="I1256">
        <f>_xlfn.LET(_xlpm.id,TRIM($A1256),IF(_xlpm.id="","",SUM(COUNTIF('1. OP'!$M:$M,_xlpm.id),COUNTIF('2. JSEL'!$M:$M,_xlpm.id),COUNTIF('3. PSM'!$M:$M,_xlpm.id),COUNTIF('4. SSP'!$M:$M,_xlpm.id),COUNTIF('5. JSACI'!$M:$M,_xlpm.id),COUNTIF('6. AIN'!$M:$M,_xlpm.id),COUNTIF('7. MS'!$M:$M,_xlpm.id),COUNTIF('8. DS'!$M:$M,_xlpm.id),COUNTIF('9. RMF'!$M:$M,_xlpm.id),COUNTIF('10. PCU'!$M:$M,_xlpm.id))))</f>
        <v>0</v>
      </c>
    </row>
    <row r="1257" spans="1:9">
      <c r="A1257" t="s">
        <v>9256</v>
      </c>
      <c r="B1257" t="s">
        <v>9226</v>
      </c>
      <c r="C1257">
        <v>1837</v>
      </c>
      <c r="D1257">
        <v>1</v>
      </c>
      <c r="E1257" s="23">
        <v>32</v>
      </c>
      <c r="F1257" t="s">
        <v>8265</v>
      </c>
      <c r="G1257" t="s">
        <v>10499</v>
      </c>
      <c r="H1257" t="s">
        <v>10179</v>
      </c>
      <c r="I1257">
        <f>_xlfn.LET(_xlpm.id,TRIM($A1257),IF(_xlpm.id="","",SUM(COUNTIF('1. OP'!$M:$M,_xlpm.id),COUNTIF('2. JSEL'!$M:$M,_xlpm.id),COUNTIF('3. PSM'!$M:$M,_xlpm.id),COUNTIF('4. SSP'!$M:$M,_xlpm.id),COUNTIF('5. JSACI'!$M:$M,_xlpm.id),COUNTIF('6. AIN'!$M:$M,_xlpm.id),COUNTIF('7. MS'!$M:$M,_xlpm.id),COUNTIF('8. DS'!$M:$M,_xlpm.id),COUNTIF('9. RMF'!$M:$M,_xlpm.id),COUNTIF('10. PCU'!$M:$M,_xlpm.id))))</f>
        <v>0</v>
      </c>
    </row>
    <row r="1258" spans="1:9">
      <c r="A1258" t="s">
        <v>9257</v>
      </c>
      <c r="B1258" t="s">
        <v>9226</v>
      </c>
      <c r="C1258">
        <v>1838</v>
      </c>
      <c r="D1258">
        <v>1</v>
      </c>
      <c r="E1258" s="23">
        <v>33</v>
      </c>
      <c r="F1258" t="s">
        <v>8265</v>
      </c>
      <c r="G1258" t="s">
        <v>10499</v>
      </c>
      <c r="H1258" t="s">
        <v>10179</v>
      </c>
      <c r="I1258">
        <f>_xlfn.LET(_xlpm.id,TRIM($A1258),IF(_xlpm.id="","",SUM(COUNTIF('1. OP'!$M:$M,_xlpm.id),COUNTIF('2. JSEL'!$M:$M,_xlpm.id),COUNTIF('3. PSM'!$M:$M,_xlpm.id),COUNTIF('4. SSP'!$M:$M,_xlpm.id),COUNTIF('5. JSACI'!$M:$M,_xlpm.id),COUNTIF('6. AIN'!$M:$M,_xlpm.id),COUNTIF('7. MS'!$M:$M,_xlpm.id),COUNTIF('8. DS'!$M:$M,_xlpm.id),COUNTIF('9. RMF'!$M:$M,_xlpm.id),COUNTIF('10. PCU'!$M:$M,_xlpm.id))))</f>
        <v>0</v>
      </c>
    </row>
    <row r="1259" spans="1:9">
      <c r="A1259" t="s">
        <v>9258</v>
      </c>
      <c r="B1259" t="s">
        <v>9226</v>
      </c>
      <c r="C1259">
        <v>1838</v>
      </c>
      <c r="D1259">
        <v>1</v>
      </c>
      <c r="E1259" s="23">
        <v>34</v>
      </c>
      <c r="F1259" t="s">
        <v>8265</v>
      </c>
      <c r="G1259" t="s">
        <v>10499</v>
      </c>
      <c r="H1259" t="s">
        <v>10179</v>
      </c>
      <c r="I1259">
        <f>_xlfn.LET(_xlpm.id,TRIM($A1259),IF(_xlpm.id="","",SUM(COUNTIF('1. OP'!$M:$M,_xlpm.id),COUNTIF('2. JSEL'!$M:$M,_xlpm.id),COUNTIF('3. PSM'!$M:$M,_xlpm.id),COUNTIF('4. SSP'!$M:$M,_xlpm.id),COUNTIF('5. JSACI'!$M:$M,_xlpm.id),COUNTIF('6. AIN'!$M:$M,_xlpm.id),COUNTIF('7. MS'!$M:$M,_xlpm.id),COUNTIF('8. DS'!$M:$M,_xlpm.id),COUNTIF('9. RMF'!$M:$M,_xlpm.id),COUNTIF('10. PCU'!$M:$M,_xlpm.id))))</f>
        <v>0</v>
      </c>
    </row>
    <row r="1260" spans="1:9">
      <c r="A1260" t="s">
        <v>9259</v>
      </c>
      <c r="B1260" t="s">
        <v>9226</v>
      </c>
      <c r="C1260">
        <v>1839</v>
      </c>
      <c r="D1260">
        <v>1</v>
      </c>
      <c r="E1260" s="23">
        <v>35</v>
      </c>
      <c r="F1260" t="s">
        <v>8265</v>
      </c>
      <c r="G1260" t="s">
        <v>10499</v>
      </c>
      <c r="H1260" t="s">
        <v>10179</v>
      </c>
      <c r="I1260">
        <f>_xlfn.LET(_xlpm.id,TRIM($A1260),IF(_xlpm.id="","",SUM(COUNTIF('1. OP'!$M:$M,_xlpm.id),COUNTIF('2. JSEL'!$M:$M,_xlpm.id),COUNTIF('3. PSM'!$M:$M,_xlpm.id),COUNTIF('4. SSP'!$M:$M,_xlpm.id),COUNTIF('5. JSACI'!$M:$M,_xlpm.id),COUNTIF('6. AIN'!$M:$M,_xlpm.id),COUNTIF('7. MS'!$M:$M,_xlpm.id),COUNTIF('8. DS'!$M:$M,_xlpm.id),COUNTIF('9. RMF'!$M:$M,_xlpm.id),COUNTIF('10. PCU'!$M:$M,_xlpm.id))))</f>
        <v>0</v>
      </c>
    </row>
    <row r="1261" spans="1:9">
      <c r="A1261" t="s">
        <v>9260</v>
      </c>
      <c r="B1261" t="s">
        <v>9226</v>
      </c>
      <c r="C1261">
        <v>1839</v>
      </c>
      <c r="D1261">
        <v>1</v>
      </c>
      <c r="E1261" s="23">
        <v>36</v>
      </c>
      <c r="F1261" t="s">
        <v>8265</v>
      </c>
      <c r="G1261" t="s">
        <v>10499</v>
      </c>
      <c r="H1261" t="s">
        <v>10179</v>
      </c>
      <c r="I1261">
        <f>_xlfn.LET(_xlpm.id,TRIM($A1261),IF(_xlpm.id="","",SUM(COUNTIF('1. OP'!$M:$M,_xlpm.id),COUNTIF('2. JSEL'!$M:$M,_xlpm.id),COUNTIF('3. PSM'!$M:$M,_xlpm.id),COUNTIF('4. SSP'!$M:$M,_xlpm.id),COUNTIF('5. JSACI'!$M:$M,_xlpm.id),COUNTIF('6. AIN'!$M:$M,_xlpm.id),COUNTIF('7. MS'!$M:$M,_xlpm.id),COUNTIF('8. DS'!$M:$M,_xlpm.id),COUNTIF('9. RMF'!$M:$M,_xlpm.id),COUNTIF('10. PCU'!$M:$M,_xlpm.id))))</f>
        <v>0</v>
      </c>
    </row>
    <row r="1262" spans="1:9">
      <c r="A1262" t="s">
        <v>9261</v>
      </c>
      <c r="B1262" t="s">
        <v>9226</v>
      </c>
      <c r="C1262">
        <v>1839</v>
      </c>
      <c r="D1262">
        <v>1</v>
      </c>
      <c r="E1262" s="23">
        <v>37</v>
      </c>
      <c r="F1262" t="s">
        <v>8265</v>
      </c>
      <c r="G1262" t="s">
        <v>10499</v>
      </c>
      <c r="H1262" t="s">
        <v>10179</v>
      </c>
      <c r="I1262">
        <f>_xlfn.LET(_xlpm.id,TRIM($A1262),IF(_xlpm.id="","",SUM(COUNTIF('1. OP'!$M:$M,_xlpm.id),COUNTIF('2. JSEL'!$M:$M,_xlpm.id),COUNTIF('3. PSM'!$M:$M,_xlpm.id),COUNTIF('4. SSP'!$M:$M,_xlpm.id),COUNTIF('5. JSACI'!$M:$M,_xlpm.id),COUNTIF('6. AIN'!$M:$M,_xlpm.id),COUNTIF('7. MS'!$M:$M,_xlpm.id),COUNTIF('8. DS'!$M:$M,_xlpm.id),COUNTIF('9. RMF'!$M:$M,_xlpm.id),COUNTIF('10. PCU'!$M:$M,_xlpm.id))))</f>
        <v>0</v>
      </c>
    </row>
    <row r="1263" spans="1:9">
      <c r="A1263" t="s">
        <v>9262</v>
      </c>
      <c r="B1263" t="s">
        <v>9226</v>
      </c>
      <c r="C1263">
        <v>1840</v>
      </c>
      <c r="D1263">
        <v>1</v>
      </c>
      <c r="E1263" s="23">
        <v>38</v>
      </c>
      <c r="F1263" t="s">
        <v>8265</v>
      </c>
      <c r="G1263" t="s">
        <v>10499</v>
      </c>
      <c r="H1263" t="s">
        <v>10179</v>
      </c>
      <c r="I1263">
        <f>_xlfn.LET(_xlpm.id,TRIM($A1263),IF(_xlpm.id="","",SUM(COUNTIF('1. OP'!$M:$M,_xlpm.id),COUNTIF('2. JSEL'!$M:$M,_xlpm.id),COUNTIF('3. PSM'!$M:$M,_xlpm.id),COUNTIF('4. SSP'!$M:$M,_xlpm.id),COUNTIF('5. JSACI'!$M:$M,_xlpm.id),COUNTIF('6. AIN'!$M:$M,_xlpm.id),COUNTIF('7. MS'!$M:$M,_xlpm.id),COUNTIF('8. DS'!$M:$M,_xlpm.id),COUNTIF('9. RMF'!$M:$M,_xlpm.id),COUNTIF('10. PCU'!$M:$M,_xlpm.id))))</f>
        <v>0</v>
      </c>
    </row>
    <row r="1264" spans="1:9">
      <c r="A1264" t="s">
        <v>9263</v>
      </c>
      <c r="B1264" t="s">
        <v>9226</v>
      </c>
      <c r="C1264">
        <v>1840</v>
      </c>
      <c r="D1264">
        <v>1</v>
      </c>
      <c r="E1264" s="23">
        <v>39</v>
      </c>
      <c r="F1264" t="s">
        <v>8265</v>
      </c>
      <c r="G1264" t="s">
        <v>10499</v>
      </c>
      <c r="H1264" t="s">
        <v>10179</v>
      </c>
      <c r="I1264">
        <f>_xlfn.LET(_xlpm.id,TRIM($A1264),IF(_xlpm.id="","",SUM(COUNTIF('1. OP'!$M:$M,_xlpm.id),COUNTIF('2. JSEL'!$M:$M,_xlpm.id),COUNTIF('3. PSM'!$M:$M,_xlpm.id),COUNTIF('4. SSP'!$M:$M,_xlpm.id),COUNTIF('5. JSACI'!$M:$M,_xlpm.id),COUNTIF('6. AIN'!$M:$M,_xlpm.id),COUNTIF('7. MS'!$M:$M,_xlpm.id),COUNTIF('8. DS'!$M:$M,_xlpm.id),COUNTIF('9. RMF'!$M:$M,_xlpm.id),COUNTIF('10. PCU'!$M:$M,_xlpm.id))))</f>
        <v>0</v>
      </c>
    </row>
    <row r="1265" spans="1:9">
      <c r="A1265" t="s">
        <v>9264</v>
      </c>
      <c r="B1265" t="s">
        <v>9265</v>
      </c>
      <c r="C1265">
        <v>1805</v>
      </c>
      <c r="D1265">
        <v>1</v>
      </c>
      <c r="E1265" s="23">
        <v>1</v>
      </c>
      <c r="F1265" t="s">
        <v>8265</v>
      </c>
      <c r="G1265" t="s">
        <v>10494</v>
      </c>
      <c r="H1265" t="s">
        <v>8019</v>
      </c>
      <c r="I1265">
        <f>_xlfn.LET(_xlpm.id,TRIM($A1265),IF(_xlpm.id="","",SUM(COUNTIF('1. OP'!$M:$M,_xlpm.id),COUNTIF('2. JSEL'!$M:$M,_xlpm.id),COUNTIF('3. PSM'!$M:$M,_xlpm.id),COUNTIF('4. SSP'!$M:$M,_xlpm.id),COUNTIF('5. JSACI'!$M:$M,_xlpm.id),COUNTIF('6. AIN'!$M:$M,_xlpm.id),COUNTIF('7. MS'!$M:$M,_xlpm.id),COUNTIF('8. DS'!$M:$M,_xlpm.id),COUNTIF('9. RMF'!$M:$M,_xlpm.id),COUNTIF('10. PCU'!$M:$M,_xlpm.id))))</f>
        <v>0</v>
      </c>
    </row>
    <row r="1266" spans="1:9">
      <c r="A1266" t="s">
        <v>9266</v>
      </c>
      <c r="B1266" t="s">
        <v>9265</v>
      </c>
      <c r="C1266">
        <v>1806</v>
      </c>
      <c r="D1266">
        <v>1</v>
      </c>
      <c r="E1266" s="23">
        <v>2</v>
      </c>
      <c r="F1266" t="s">
        <v>8265</v>
      </c>
      <c r="G1266" t="s">
        <v>10494</v>
      </c>
      <c r="H1266" t="s">
        <v>8019</v>
      </c>
      <c r="I1266">
        <f>_xlfn.LET(_xlpm.id,TRIM($A1266),IF(_xlpm.id="","",SUM(COUNTIF('1. OP'!$M:$M,_xlpm.id),COUNTIF('2. JSEL'!$M:$M,_xlpm.id),COUNTIF('3. PSM'!$M:$M,_xlpm.id),COUNTIF('4. SSP'!$M:$M,_xlpm.id),COUNTIF('5. JSACI'!$M:$M,_xlpm.id),COUNTIF('6. AIN'!$M:$M,_xlpm.id),COUNTIF('7. MS'!$M:$M,_xlpm.id),COUNTIF('8. DS'!$M:$M,_xlpm.id),COUNTIF('9. RMF'!$M:$M,_xlpm.id),COUNTIF('10. PCU'!$M:$M,_xlpm.id))))</f>
        <v>0</v>
      </c>
    </row>
    <row r="1267" spans="1:9">
      <c r="A1267" t="s">
        <v>9267</v>
      </c>
      <c r="B1267" t="s">
        <v>9265</v>
      </c>
      <c r="C1267">
        <v>1807</v>
      </c>
      <c r="D1267">
        <v>1</v>
      </c>
      <c r="E1267" s="23">
        <v>3</v>
      </c>
      <c r="F1267" t="s">
        <v>8265</v>
      </c>
      <c r="G1267" t="s">
        <v>10494</v>
      </c>
      <c r="H1267" t="s">
        <v>8019</v>
      </c>
      <c r="I1267">
        <f>_xlfn.LET(_xlpm.id,TRIM($A1267),IF(_xlpm.id="","",SUM(COUNTIF('1. OP'!$M:$M,_xlpm.id),COUNTIF('2. JSEL'!$M:$M,_xlpm.id),COUNTIF('3. PSM'!$M:$M,_xlpm.id),COUNTIF('4. SSP'!$M:$M,_xlpm.id),COUNTIF('5. JSACI'!$M:$M,_xlpm.id),COUNTIF('6. AIN'!$M:$M,_xlpm.id),COUNTIF('7. MS'!$M:$M,_xlpm.id),COUNTIF('8. DS'!$M:$M,_xlpm.id),COUNTIF('9. RMF'!$M:$M,_xlpm.id),COUNTIF('10. PCU'!$M:$M,_xlpm.id))))</f>
        <v>0</v>
      </c>
    </row>
    <row r="1268" spans="1:9">
      <c r="A1268" t="s">
        <v>9268</v>
      </c>
      <c r="B1268" t="s">
        <v>9265</v>
      </c>
      <c r="C1268">
        <v>1808</v>
      </c>
      <c r="D1268">
        <v>1</v>
      </c>
      <c r="E1268" s="23">
        <v>4</v>
      </c>
      <c r="F1268" t="s">
        <v>8265</v>
      </c>
      <c r="G1268" t="s">
        <v>10494</v>
      </c>
      <c r="H1268" t="s">
        <v>8019</v>
      </c>
      <c r="I1268">
        <f>_xlfn.LET(_xlpm.id,TRIM($A1268),IF(_xlpm.id="","",SUM(COUNTIF('1. OP'!$M:$M,_xlpm.id),COUNTIF('2. JSEL'!$M:$M,_xlpm.id),COUNTIF('3. PSM'!$M:$M,_xlpm.id),COUNTIF('4. SSP'!$M:$M,_xlpm.id),COUNTIF('5. JSACI'!$M:$M,_xlpm.id),COUNTIF('6. AIN'!$M:$M,_xlpm.id),COUNTIF('7. MS'!$M:$M,_xlpm.id),COUNTIF('8. DS'!$M:$M,_xlpm.id),COUNTIF('9. RMF'!$M:$M,_xlpm.id),COUNTIF('10. PCU'!$M:$M,_xlpm.id))))</f>
        <v>0</v>
      </c>
    </row>
    <row r="1269" spans="1:9">
      <c r="A1269" t="s">
        <v>9269</v>
      </c>
      <c r="B1269" t="s">
        <v>9265</v>
      </c>
      <c r="C1269">
        <v>1809</v>
      </c>
      <c r="D1269">
        <v>1</v>
      </c>
      <c r="E1269" s="23">
        <v>5</v>
      </c>
      <c r="F1269" t="s">
        <v>8265</v>
      </c>
      <c r="G1269" t="s">
        <v>10494</v>
      </c>
      <c r="H1269" t="s">
        <v>8019</v>
      </c>
      <c r="I1269">
        <f>_xlfn.LET(_xlpm.id,TRIM($A1269),IF(_xlpm.id="","",SUM(COUNTIF('1. OP'!$M:$M,_xlpm.id),COUNTIF('2. JSEL'!$M:$M,_xlpm.id),COUNTIF('3. PSM'!$M:$M,_xlpm.id),COUNTIF('4. SSP'!$M:$M,_xlpm.id),COUNTIF('5. JSACI'!$M:$M,_xlpm.id),COUNTIF('6. AIN'!$M:$M,_xlpm.id),COUNTIF('7. MS'!$M:$M,_xlpm.id),COUNTIF('8. DS'!$M:$M,_xlpm.id),COUNTIF('9. RMF'!$M:$M,_xlpm.id),COUNTIF('10. PCU'!$M:$M,_xlpm.id))))</f>
        <v>0</v>
      </c>
    </row>
    <row r="1270" spans="1:9">
      <c r="A1270" t="s">
        <v>9270</v>
      </c>
      <c r="B1270" t="s">
        <v>9265</v>
      </c>
      <c r="C1270">
        <v>1810</v>
      </c>
      <c r="D1270">
        <v>1</v>
      </c>
      <c r="E1270" s="23">
        <v>6</v>
      </c>
      <c r="F1270" t="s">
        <v>8265</v>
      </c>
      <c r="G1270" t="s">
        <v>10494</v>
      </c>
      <c r="H1270" t="s">
        <v>8019</v>
      </c>
      <c r="I1270">
        <f>_xlfn.LET(_xlpm.id,TRIM($A1270),IF(_xlpm.id="","",SUM(COUNTIF('1. OP'!$M:$M,_xlpm.id),COUNTIF('2. JSEL'!$M:$M,_xlpm.id),COUNTIF('3. PSM'!$M:$M,_xlpm.id),COUNTIF('4. SSP'!$M:$M,_xlpm.id),COUNTIF('5. JSACI'!$M:$M,_xlpm.id),COUNTIF('6. AIN'!$M:$M,_xlpm.id),COUNTIF('7. MS'!$M:$M,_xlpm.id),COUNTIF('8. DS'!$M:$M,_xlpm.id),COUNTIF('9. RMF'!$M:$M,_xlpm.id),COUNTIF('10. PCU'!$M:$M,_xlpm.id))))</f>
        <v>0</v>
      </c>
    </row>
    <row r="1271" spans="1:9">
      <c r="A1271" t="s">
        <v>9271</v>
      </c>
      <c r="B1271" t="s">
        <v>9265</v>
      </c>
      <c r="C1271">
        <v>1811</v>
      </c>
      <c r="D1271">
        <v>1</v>
      </c>
      <c r="E1271" s="23">
        <v>7</v>
      </c>
      <c r="F1271" t="s">
        <v>8265</v>
      </c>
      <c r="G1271" t="s">
        <v>10494</v>
      </c>
      <c r="H1271" t="s">
        <v>8019</v>
      </c>
      <c r="I1271">
        <f>_xlfn.LET(_xlpm.id,TRIM($A1271),IF(_xlpm.id="","",SUM(COUNTIF('1. OP'!$M:$M,_xlpm.id),COUNTIF('2. JSEL'!$M:$M,_xlpm.id),COUNTIF('3. PSM'!$M:$M,_xlpm.id),COUNTIF('4. SSP'!$M:$M,_xlpm.id),COUNTIF('5. JSACI'!$M:$M,_xlpm.id),COUNTIF('6. AIN'!$M:$M,_xlpm.id),COUNTIF('7. MS'!$M:$M,_xlpm.id),COUNTIF('8. DS'!$M:$M,_xlpm.id),COUNTIF('9. RMF'!$M:$M,_xlpm.id),COUNTIF('10. PCU'!$M:$M,_xlpm.id))))</f>
        <v>0</v>
      </c>
    </row>
    <row r="1272" spans="1:9">
      <c r="A1272" t="s">
        <v>9272</v>
      </c>
      <c r="B1272" t="s">
        <v>9265</v>
      </c>
      <c r="C1272">
        <v>1812</v>
      </c>
      <c r="D1272">
        <v>1</v>
      </c>
      <c r="E1272" s="23">
        <v>8</v>
      </c>
      <c r="F1272" t="s">
        <v>8265</v>
      </c>
      <c r="G1272" t="s">
        <v>10494</v>
      </c>
      <c r="H1272" t="s">
        <v>8019</v>
      </c>
      <c r="I1272">
        <f>_xlfn.LET(_xlpm.id,TRIM($A1272),IF(_xlpm.id="","",SUM(COUNTIF('1. OP'!$M:$M,_xlpm.id),COUNTIF('2. JSEL'!$M:$M,_xlpm.id),COUNTIF('3. PSM'!$M:$M,_xlpm.id),COUNTIF('4. SSP'!$M:$M,_xlpm.id),COUNTIF('5. JSACI'!$M:$M,_xlpm.id),COUNTIF('6. AIN'!$M:$M,_xlpm.id),COUNTIF('7. MS'!$M:$M,_xlpm.id),COUNTIF('8. DS'!$M:$M,_xlpm.id),COUNTIF('9. RMF'!$M:$M,_xlpm.id),COUNTIF('10. PCU'!$M:$M,_xlpm.id))))</f>
        <v>0</v>
      </c>
    </row>
    <row r="1273" spans="1:9">
      <c r="A1273" t="s">
        <v>9273</v>
      </c>
      <c r="B1273" t="s">
        <v>9265</v>
      </c>
      <c r="C1273">
        <v>1813</v>
      </c>
      <c r="D1273">
        <v>1</v>
      </c>
      <c r="E1273" s="23">
        <v>9</v>
      </c>
      <c r="F1273" t="s">
        <v>8265</v>
      </c>
      <c r="G1273" t="s">
        <v>10494</v>
      </c>
      <c r="H1273" t="s">
        <v>8019</v>
      </c>
      <c r="I1273">
        <f>_xlfn.LET(_xlpm.id,TRIM($A1273),IF(_xlpm.id="","",SUM(COUNTIF('1. OP'!$M:$M,_xlpm.id),COUNTIF('2. JSEL'!$M:$M,_xlpm.id),COUNTIF('3. PSM'!$M:$M,_xlpm.id),COUNTIF('4. SSP'!$M:$M,_xlpm.id),COUNTIF('5. JSACI'!$M:$M,_xlpm.id),COUNTIF('6. AIN'!$M:$M,_xlpm.id),COUNTIF('7. MS'!$M:$M,_xlpm.id),COUNTIF('8. DS'!$M:$M,_xlpm.id),COUNTIF('9. RMF'!$M:$M,_xlpm.id),COUNTIF('10. PCU'!$M:$M,_xlpm.id))))</f>
        <v>0</v>
      </c>
    </row>
    <row r="1274" spans="1:9">
      <c r="A1274" t="s">
        <v>9274</v>
      </c>
      <c r="B1274" t="s">
        <v>9265</v>
      </c>
      <c r="C1274">
        <v>1814</v>
      </c>
      <c r="D1274">
        <v>1</v>
      </c>
      <c r="E1274" s="23">
        <v>10</v>
      </c>
      <c r="F1274" t="s">
        <v>8265</v>
      </c>
      <c r="G1274" t="s">
        <v>10494</v>
      </c>
      <c r="H1274" t="s">
        <v>8019</v>
      </c>
      <c r="I1274">
        <f>_xlfn.LET(_xlpm.id,TRIM($A1274),IF(_xlpm.id="","",SUM(COUNTIF('1. OP'!$M:$M,_xlpm.id),COUNTIF('2. JSEL'!$M:$M,_xlpm.id),COUNTIF('3. PSM'!$M:$M,_xlpm.id),COUNTIF('4. SSP'!$M:$M,_xlpm.id),COUNTIF('5. JSACI'!$M:$M,_xlpm.id),COUNTIF('6. AIN'!$M:$M,_xlpm.id),COUNTIF('7. MS'!$M:$M,_xlpm.id),COUNTIF('8. DS'!$M:$M,_xlpm.id),COUNTIF('9. RMF'!$M:$M,_xlpm.id),COUNTIF('10. PCU'!$M:$M,_xlpm.id))))</f>
        <v>0</v>
      </c>
    </row>
    <row r="1275" spans="1:9">
      <c r="A1275" t="s">
        <v>9275</v>
      </c>
      <c r="B1275" t="s">
        <v>9265</v>
      </c>
      <c r="C1275">
        <v>1815</v>
      </c>
      <c r="D1275">
        <v>1</v>
      </c>
      <c r="E1275" s="23">
        <v>11</v>
      </c>
      <c r="F1275" t="s">
        <v>8265</v>
      </c>
      <c r="G1275" t="s">
        <v>10494</v>
      </c>
      <c r="H1275" t="s">
        <v>8019</v>
      </c>
      <c r="I1275">
        <f>_xlfn.LET(_xlpm.id,TRIM($A1275),IF(_xlpm.id="","",SUM(COUNTIF('1. OP'!$M:$M,_xlpm.id),COUNTIF('2. JSEL'!$M:$M,_xlpm.id),COUNTIF('3. PSM'!$M:$M,_xlpm.id),COUNTIF('4. SSP'!$M:$M,_xlpm.id),COUNTIF('5. JSACI'!$M:$M,_xlpm.id),COUNTIF('6. AIN'!$M:$M,_xlpm.id),COUNTIF('7. MS'!$M:$M,_xlpm.id),COUNTIF('8. DS'!$M:$M,_xlpm.id),COUNTIF('9. RMF'!$M:$M,_xlpm.id),COUNTIF('10. PCU'!$M:$M,_xlpm.id))))</f>
        <v>0</v>
      </c>
    </row>
    <row r="1276" spans="1:9">
      <c r="A1276" t="s">
        <v>9276</v>
      </c>
      <c r="B1276" t="s">
        <v>9265</v>
      </c>
      <c r="C1276">
        <v>1816</v>
      </c>
      <c r="D1276">
        <v>1</v>
      </c>
      <c r="E1276" s="23">
        <v>12</v>
      </c>
      <c r="F1276" t="s">
        <v>8265</v>
      </c>
      <c r="G1276" t="s">
        <v>10494</v>
      </c>
      <c r="H1276" t="s">
        <v>8019</v>
      </c>
      <c r="I1276">
        <f>_xlfn.LET(_xlpm.id,TRIM($A1276),IF(_xlpm.id="","",SUM(COUNTIF('1. OP'!$M:$M,_xlpm.id),COUNTIF('2. JSEL'!$M:$M,_xlpm.id),COUNTIF('3. PSM'!$M:$M,_xlpm.id),COUNTIF('4. SSP'!$M:$M,_xlpm.id),COUNTIF('5. JSACI'!$M:$M,_xlpm.id),COUNTIF('6. AIN'!$M:$M,_xlpm.id),COUNTIF('7. MS'!$M:$M,_xlpm.id),COUNTIF('8. DS'!$M:$M,_xlpm.id),COUNTIF('9. RMF'!$M:$M,_xlpm.id),COUNTIF('10. PCU'!$M:$M,_xlpm.id))))</f>
        <v>0</v>
      </c>
    </row>
    <row r="1277" spans="1:9">
      <c r="A1277" t="s">
        <v>9277</v>
      </c>
      <c r="B1277" t="s">
        <v>9265</v>
      </c>
      <c r="C1277">
        <v>1817</v>
      </c>
      <c r="D1277">
        <v>1</v>
      </c>
      <c r="E1277" s="23">
        <v>13</v>
      </c>
      <c r="F1277" t="s">
        <v>8265</v>
      </c>
      <c r="G1277" t="s">
        <v>10494</v>
      </c>
      <c r="H1277" t="s">
        <v>8019</v>
      </c>
      <c r="I1277">
        <f>_xlfn.LET(_xlpm.id,TRIM($A1277),IF(_xlpm.id="","",SUM(COUNTIF('1. OP'!$M:$M,_xlpm.id),COUNTIF('2. JSEL'!$M:$M,_xlpm.id),COUNTIF('3. PSM'!$M:$M,_xlpm.id),COUNTIF('4. SSP'!$M:$M,_xlpm.id),COUNTIF('5. JSACI'!$M:$M,_xlpm.id),COUNTIF('6. AIN'!$M:$M,_xlpm.id),COUNTIF('7. MS'!$M:$M,_xlpm.id),COUNTIF('8. DS'!$M:$M,_xlpm.id),COUNTIF('9. RMF'!$M:$M,_xlpm.id),COUNTIF('10. PCU'!$M:$M,_xlpm.id))))</f>
        <v>0</v>
      </c>
    </row>
    <row r="1278" spans="1:9">
      <c r="A1278" t="s">
        <v>9278</v>
      </c>
      <c r="B1278" t="s">
        <v>9265</v>
      </c>
      <c r="C1278">
        <v>1818</v>
      </c>
      <c r="D1278">
        <v>1</v>
      </c>
      <c r="E1278" s="23">
        <v>14</v>
      </c>
      <c r="F1278" t="s">
        <v>8265</v>
      </c>
      <c r="G1278" t="s">
        <v>10494</v>
      </c>
      <c r="H1278" t="s">
        <v>8019</v>
      </c>
      <c r="I1278">
        <f>_xlfn.LET(_xlpm.id,TRIM($A1278),IF(_xlpm.id="","",SUM(COUNTIF('1. OP'!$M:$M,_xlpm.id),COUNTIF('2. JSEL'!$M:$M,_xlpm.id),COUNTIF('3. PSM'!$M:$M,_xlpm.id),COUNTIF('4. SSP'!$M:$M,_xlpm.id),COUNTIF('5. JSACI'!$M:$M,_xlpm.id),COUNTIF('6. AIN'!$M:$M,_xlpm.id),COUNTIF('7. MS'!$M:$M,_xlpm.id),COUNTIF('8. DS'!$M:$M,_xlpm.id),COUNTIF('9. RMF'!$M:$M,_xlpm.id),COUNTIF('10. PCU'!$M:$M,_xlpm.id))))</f>
        <v>0</v>
      </c>
    </row>
    <row r="1279" spans="1:9">
      <c r="A1279" t="s">
        <v>9279</v>
      </c>
      <c r="B1279" t="s">
        <v>9265</v>
      </c>
      <c r="C1279">
        <v>1819</v>
      </c>
      <c r="D1279">
        <v>1</v>
      </c>
      <c r="E1279" s="23">
        <v>15</v>
      </c>
      <c r="F1279" t="s">
        <v>8265</v>
      </c>
      <c r="G1279" t="s">
        <v>10494</v>
      </c>
      <c r="H1279" t="s">
        <v>8019</v>
      </c>
      <c r="I1279">
        <f>_xlfn.LET(_xlpm.id,TRIM($A1279),IF(_xlpm.id="","",SUM(COUNTIF('1. OP'!$M:$M,_xlpm.id),COUNTIF('2. JSEL'!$M:$M,_xlpm.id),COUNTIF('3. PSM'!$M:$M,_xlpm.id),COUNTIF('4. SSP'!$M:$M,_xlpm.id),COUNTIF('5. JSACI'!$M:$M,_xlpm.id),COUNTIF('6. AIN'!$M:$M,_xlpm.id),COUNTIF('7. MS'!$M:$M,_xlpm.id),COUNTIF('8. DS'!$M:$M,_xlpm.id),COUNTIF('9. RMF'!$M:$M,_xlpm.id),COUNTIF('10. PCU'!$M:$M,_xlpm.id))))</f>
        <v>0</v>
      </c>
    </row>
    <row r="1280" spans="1:9">
      <c r="A1280" t="s">
        <v>9280</v>
      </c>
      <c r="B1280" t="s">
        <v>9265</v>
      </c>
      <c r="C1280">
        <v>1820</v>
      </c>
      <c r="D1280">
        <v>1</v>
      </c>
      <c r="E1280" s="23">
        <v>16</v>
      </c>
      <c r="F1280" t="s">
        <v>8265</v>
      </c>
      <c r="G1280" t="s">
        <v>10494</v>
      </c>
      <c r="H1280" t="s">
        <v>8019</v>
      </c>
      <c r="I1280">
        <f>_xlfn.LET(_xlpm.id,TRIM($A1280),IF(_xlpm.id="","",SUM(COUNTIF('1. OP'!$M:$M,_xlpm.id),COUNTIF('2. JSEL'!$M:$M,_xlpm.id),COUNTIF('3. PSM'!$M:$M,_xlpm.id),COUNTIF('4. SSP'!$M:$M,_xlpm.id),COUNTIF('5. JSACI'!$M:$M,_xlpm.id),COUNTIF('6. AIN'!$M:$M,_xlpm.id),COUNTIF('7. MS'!$M:$M,_xlpm.id),COUNTIF('8. DS'!$M:$M,_xlpm.id),COUNTIF('9. RMF'!$M:$M,_xlpm.id),COUNTIF('10. PCU'!$M:$M,_xlpm.id))))</f>
        <v>0</v>
      </c>
    </row>
    <row r="1281" spans="1:9">
      <c r="A1281" t="s">
        <v>9281</v>
      </c>
      <c r="B1281" t="s">
        <v>9265</v>
      </c>
      <c r="C1281">
        <v>1821</v>
      </c>
      <c r="D1281">
        <v>1</v>
      </c>
      <c r="E1281" s="23">
        <v>17</v>
      </c>
      <c r="F1281" t="s">
        <v>8265</v>
      </c>
      <c r="G1281" t="s">
        <v>10494</v>
      </c>
      <c r="H1281" t="s">
        <v>8019</v>
      </c>
      <c r="I1281">
        <f>_xlfn.LET(_xlpm.id,TRIM($A1281),IF(_xlpm.id="","",SUM(COUNTIF('1. OP'!$M:$M,_xlpm.id),COUNTIF('2. JSEL'!$M:$M,_xlpm.id),COUNTIF('3. PSM'!$M:$M,_xlpm.id),COUNTIF('4. SSP'!$M:$M,_xlpm.id),COUNTIF('5. JSACI'!$M:$M,_xlpm.id),COUNTIF('6. AIN'!$M:$M,_xlpm.id),COUNTIF('7. MS'!$M:$M,_xlpm.id),COUNTIF('8. DS'!$M:$M,_xlpm.id),COUNTIF('9. RMF'!$M:$M,_xlpm.id),COUNTIF('10. PCU'!$M:$M,_xlpm.id))))</f>
        <v>0</v>
      </c>
    </row>
    <row r="1282" spans="1:9">
      <c r="A1282" t="s">
        <v>9282</v>
      </c>
      <c r="B1282" t="s">
        <v>9265</v>
      </c>
      <c r="C1282">
        <v>1822</v>
      </c>
      <c r="D1282">
        <v>1</v>
      </c>
      <c r="E1282" s="23">
        <v>18</v>
      </c>
      <c r="F1282" t="s">
        <v>8265</v>
      </c>
      <c r="G1282" t="s">
        <v>10494</v>
      </c>
      <c r="H1282" t="s">
        <v>8019</v>
      </c>
      <c r="I1282">
        <f>_xlfn.LET(_xlpm.id,TRIM($A1282),IF(_xlpm.id="","",SUM(COUNTIF('1. OP'!$M:$M,_xlpm.id),COUNTIF('2. JSEL'!$M:$M,_xlpm.id),COUNTIF('3. PSM'!$M:$M,_xlpm.id),COUNTIF('4. SSP'!$M:$M,_xlpm.id),COUNTIF('5. JSACI'!$M:$M,_xlpm.id),COUNTIF('6. AIN'!$M:$M,_xlpm.id),COUNTIF('7. MS'!$M:$M,_xlpm.id),COUNTIF('8. DS'!$M:$M,_xlpm.id),COUNTIF('9. RMF'!$M:$M,_xlpm.id),COUNTIF('10. PCU'!$M:$M,_xlpm.id))))</f>
        <v>0</v>
      </c>
    </row>
    <row r="1283" spans="1:9">
      <c r="A1283" t="s">
        <v>9283</v>
      </c>
      <c r="B1283" t="s">
        <v>9265</v>
      </c>
      <c r="C1283">
        <v>1823</v>
      </c>
      <c r="D1283">
        <v>1</v>
      </c>
      <c r="E1283" s="23">
        <v>19</v>
      </c>
      <c r="F1283" t="s">
        <v>8265</v>
      </c>
      <c r="G1283" t="s">
        <v>10494</v>
      </c>
      <c r="H1283" t="s">
        <v>8019</v>
      </c>
      <c r="I1283">
        <f>_xlfn.LET(_xlpm.id,TRIM($A1283),IF(_xlpm.id="","",SUM(COUNTIF('1. OP'!$M:$M,_xlpm.id),COUNTIF('2. JSEL'!$M:$M,_xlpm.id),COUNTIF('3. PSM'!$M:$M,_xlpm.id),COUNTIF('4. SSP'!$M:$M,_xlpm.id),COUNTIF('5. JSACI'!$M:$M,_xlpm.id),COUNTIF('6. AIN'!$M:$M,_xlpm.id),COUNTIF('7. MS'!$M:$M,_xlpm.id),COUNTIF('8. DS'!$M:$M,_xlpm.id),COUNTIF('9. RMF'!$M:$M,_xlpm.id),COUNTIF('10. PCU'!$M:$M,_xlpm.id))))</f>
        <v>0</v>
      </c>
    </row>
    <row r="1284" spans="1:9">
      <c r="A1284" t="s">
        <v>9284</v>
      </c>
      <c r="B1284" t="s">
        <v>9265</v>
      </c>
      <c r="C1284">
        <v>1824</v>
      </c>
      <c r="D1284">
        <v>1</v>
      </c>
      <c r="E1284" s="23">
        <v>20</v>
      </c>
      <c r="F1284" t="s">
        <v>8265</v>
      </c>
      <c r="G1284" t="s">
        <v>10494</v>
      </c>
      <c r="H1284" t="s">
        <v>8019</v>
      </c>
      <c r="I1284">
        <f>_xlfn.LET(_xlpm.id,TRIM($A1284),IF(_xlpm.id="","",SUM(COUNTIF('1. OP'!$M:$M,_xlpm.id),COUNTIF('2. JSEL'!$M:$M,_xlpm.id),COUNTIF('3. PSM'!$M:$M,_xlpm.id),COUNTIF('4. SSP'!$M:$M,_xlpm.id),COUNTIF('5. JSACI'!$M:$M,_xlpm.id),COUNTIF('6. AIN'!$M:$M,_xlpm.id),COUNTIF('7. MS'!$M:$M,_xlpm.id),COUNTIF('8. DS'!$M:$M,_xlpm.id),COUNTIF('9. RMF'!$M:$M,_xlpm.id),COUNTIF('10. PCU'!$M:$M,_xlpm.id))))</f>
        <v>0</v>
      </c>
    </row>
    <row r="1285" spans="1:9">
      <c r="A1285" t="s">
        <v>9285</v>
      </c>
      <c r="B1285" t="s">
        <v>9265</v>
      </c>
      <c r="C1285">
        <v>1824</v>
      </c>
      <c r="D1285">
        <v>1</v>
      </c>
      <c r="E1285" s="23">
        <v>21</v>
      </c>
      <c r="F1285" t="s">
        <v>8265</v>
      </c>
      <c r="G1285" t="s">
        <v>10494</v>
      </c>
      <c r="H1285" t="s">
        <v>8019</v>
      </c>
      <c r="I1285">
        <f>_xlfn.LET(_xlpm.id,TRIM($A1285),IF(_xlpm.id="","",SUM(COUNTIF('1. OP'!$M:$M,_xlpm.id),COUNTIF('2. JSEL'!$M:$M,_xlpm.id),COUNTIF('3. PSM'!$M:$M,_xlpm.id),COUNTIF('4. SSP'!$M:$M,_xlpm.id),COUNTIF('5. JSACI'!$M:$M,_xlpm.id),COUNTIF('6. AIN'!$M:$M,_xlpm.id),COUNTIF('7. MS'!$M:$M,_xlpm.id),COUNTIF('8. DS'!$M:$M,_xlpm.id),COUNTIF('9. RMF'!$M:$M,_xlpm.id),COUNTIF('10. PCU'!$M:$M,_xlpm.id))))</f>
        <v>0</v>
      </c>
    </row>
    <row r="1286" spans="1:9">
      <c r="A1286" t="s">
        <v>9286</v>
      </c>
      <c r="B1286" t="s">
        <v>9265</v>
      </c>
      <c r="C1286">
        <v>1824</v>
      </c>
      <c r="D1286">
        <v>1</v>
      </c>
      <c r="E1286" s="23">
        <v>22</v>
      </c>
      <c r="F1286" t="s">
        <v>8265</v>
      </c>
      <c r="G1286" t="s">
        <v>10494</v>
      </c>
      <c r="H1286" t="s">
        <v>8019</v>
      </c>
      <c r="I1286">
        <f>_xlfn.LET(_xlpm.id,TRIM($A1286),IF(_xlpm.id="","",SUM(COUNTIF('1. OP'!$M:$M,_xlpm.id),COUNTIF('2. JSEL'!$M:$M,_xlpm.id),COUNTIF('3. PSM'!$M:$M,_xlpm.id),COUNTIF('4. SSP'!$M:$M,_xlpm.id),COUNTIF('5. JSACI'!$M:$M,_xlpm.id),COUNTIF('6. AIN'!$M:$M,_xlpm.id),COUNTIF('7. MS'!$M:$M,_xlpm.id),COUNTIF('8. DS'!$M:$M,_xlpm.id),COUNTIF('9. RMF'!$M:$M,_xlpm.id),COUNTIF('10. PCU'!$M:$M,_xlpm.id))))</f>
        <v>0</v>
      </c>
    </row>
    <row r="1287" spans="1:9">
      <c r="A1287" t="s">
        <v>9287</v>
      </c>
      <c r="B1287" t="s">
        <v>9265</v>
      </c>
      <c r="C1287">
        <v>1825</v>
      </c>
      <c r="D1287">
        <v>1</v>
      </c>
      <c r="E1287" s="23">
        <v>23</v>
      </c>
      <c r="F1287" t="s">
        <v>8265</v>
      </c>
      <c r="G1287" t="s">
        <v>10494</v>
      </c>
      <c r="H1287" t="s">
        <v>8019</v>
      </c>
      <c r="I1287">
        <f>_xlfn.LET(_xlpm.id,TRIM($A1287),IF(_xlpm.id="","",SUM(COUNTIF('1. OP'!$M:$M,_xlpm.id),COUNTIF('2. JSEL'!$M:$M,_xlpm.id),COUNTIF('3. PSM'!$M:$M,_xlpm.id),COUNTIF('4. SSP'!$M:$M,_xlpm.id),COUNTIF('5. JSACI'!$M:$M,_xlpm.id),COUNTIF('6. AIN'!$M:$M,_xlpm.id),COUNTIF('7. MS'!$M:$M,_xlpm.id),COUNTIF('8. DS'!$M:$M,_xlpm.id),COUNTIF('9. RMF'!$M:$M,_xlpm.id),COUNTIF('10. PCU'!$M:$M,_xlpm.id))))</f>
        <v>0</v>
      </c>
    </row>
    <row r="1288" spans="1:9">
      <c r="A1288" t="s">
        <v>9288</v>
      </c>
      <c r="B1288" t="s">
        <v>9265</v>
      </c>
      <c r="C1288">
        <v>1825</v>
      </c>
      <c r="D1288">
        <v>1</v>
      </c>
      <c r="E1288" s="23">
        <v>24</v>
      </c>
      <c r="F1288" t="s">
        <v>8265</v>
      </c>
      <c r="G1288" t="s">
        <v>10494</v>
      </c>
      <c r="H1288" t="s">
        <v>8019</v>
      </c>
      <c r="I1288">
        <f>_xlfn.LET(_xlpm.id,TRIM($A1288),IF(_xlpm.id="","",SUM(COUNTIF('1. OP'!$M:$M,_xlpm.id),COUNTIF('2. JSEL'!$M:$M,_xlpm.id),COUNTIF('3. PSM'!$M:$M,_xlpm.id),COUNTIF('4. SSP'!$M:$M,_xlpm.id),COUNTIF('5. JSACI'!$M:$M,_xlpm.id),COUNTIF('6. AIN'!$M:$M,_xlpm.id),COUNTIF('7. MS'!$M:$M,_xlpm.id),COUNTIF('8. DS'!$M:$M,_xlpm.id),COUNTIF('9. RMF'!$M:$M,_xlpm.id),COUNTIF('10. PCU'!$M:$M,_xlpm.id))))</f>
        <v>0</v>
      </c>
    </row>
    <row r="1289" spans="1:9">
      <c r="A1289" t="s">
        <v>9289</v>
      </c>
      <c r="B1289" t="s">
        <v>9265</v>
      </c>
      <c r="C1289">
        <v>1826</v>
      </c>
      <c r="D1289">
        <v>1</v>
      </c>
      <c r="E1289" s="23">
        <v>25</v>
      </c>
      <c r="F1289" t="s">
        <v>8265</v>
      </c>
      <c r="G1289" t="s">
        <v>10494</v>
      </c>
      <c r="H1289" t="s">
        <v>8019</v>
      </c>
      <c r="I1289">
        <f>_xlfn.LET(_xlpm.id,TRIM($A1289),IF(_xlpm.id="","",SUM(COUNTIF('1. OP'!$M:$M,_xlpm.id),COUNTIF('2. JSEL'!$M:$M,_xlpm.id),COUNTIF('3. PSM'!$M:$M,_xlpm.id),COUNTIF('4. SSP'!$M:$M,_xlpm.id),COUNTIF('5. JSACI'!$M:$M,_xlpm.id),COUNTIF('6. AIN'!$M:$M,_xlpm.id),COUNTIF('7. MS'!$M:$M,_xlpm.id),COUNTIF('8. DS'!$M:$M,_xlpm.id),COUNTIF('9. RMF'!$M:$M,_xlpm.id),COUNTIF('10. PCU'!$M:$M,_xlpm.id))))</f>
        <v>0</v>
      </c>
    </row>
    <row r="1290" spans="1:9">
      <c r="A1290" t="s">
        <v>9290</v>
      </c>
      <c r="B1290" t="s">
        <v>9265</v>
      </c>
      <c r="C1290">
        <v>1826</v>
      </c>
      <c r="D1290">
        <v>1</v>
      </c>
      <c r="E1290" s="23">
        <v>26</v>
      </c>
      <c r="F1290" t="s">
        <v>8265</v>
      </c>
      <c r="G1290" t="s">
        <v>10494</v>
      </c>
      <c r="H1290" t="s">
        <v>8019</v>
      </c>
      <c r="I1290">
        <f>_xlfn.LET(_xlpm.id,TRIM($A1290),IF(_xlpm.id="","",SUM(COUNTIF('1. OP'!$M:$M,_xlpm.id),COUNTIF('2. JSEL'!$M:$M,_xlpm.id),COUNTIF('3. PSM'!$M:$M,_xlpm.id),COUNTIF('4. SSP'!$M:$M,_xlpm.id),COUNTIF('5. JSACI'!$M:$M,_xlpm.id),COUNTIF('6. AIN'!$M:$M,_xlpm.id),COUNTIF('7. MS'!$M:$M,_xlpm.id),COUNTIF('8. DS'!$M:$M,_xlpm.id),COUNTIF('9. RMF'!$M:$M,_xlpm.id),COUNTIF('10. PCU'!$M:$M,_xlpm.id))))</f>
        <v>0</v>
      </c>
    </row>
    <row r="1291" spans="1:9">
      <c r="A1291" t="s">
        <v>9291</v>
      </c>
      <c r="B1291" t="s">
        <v>9265</v>
      </c>
      <c r="C1291">
        <v>1827</v>
      </c>
      <c r="D1291">
        <v>1</v>
      </c>
      <c r="E1291" s="23">
        <v>27</v>
      </c>
      <c r="F1291" t="s">
        <v>8265</v>
      </c>
      <c r="G1291" t="s">
        <v>10494</v>
      </c>
      <c r="H1291" t="s">
        <v>8019</v>
      </c>
      <c r="I1291">
        <f>_xlfn.LET(_xlpm.id,TRIM($A1291),IF(_xlpm.id="","",SUM(COUNTIF('1. OP'!$M:$M,_xlpm.id),COUNTIF('2. JSEL'!$M:$M,_xlpm.id),COUNTIF('3. PSM'!$M:$M,_xlpm.id),COUNTIF('4. SSP'!$M:$M,_xlpm.id),COUNTIF('5. JSACI'!$M:$M,_xlpm.id),COUNTIF('6. AIN'!$M:$M,_xlpm.id),COUNTIF('7. MS'!$M:$M,_xlpm.id),COUNTIF('8. DS'!$M:$M,_xlpm.id),COUNTIF('9. RMF'!$M:$M,_xlpm.id),COUNTIF('10. PCU'!$M:$M,_xlpm.id))))</f>
        <v>0</v>
      </c>
    </row>
    <row r="1292" spans="1:9">
      <c r="A1292" t="s">
        <v>9292</v>
      </c>
      <c r="B1292" t="s">
        <v>9265</v>
      </c>
      <c r="C1292">
        <v>1827</v>
      </c>
      <c r="D1292">
        <v>1</v>
      </c>
      <c r="E1292" s="23">
        <v>28</v>
      </c>
      <c r="F1292" t="s">
        <v>8265</v>
      </c>
      <c r="G1292" t="s">
        <v>10494</v>
      </c>
      <c r="H1292" t="s">
        <v>8019</v>
      </c>
      <c r="I1292">
        <f>_xlfn.LET(_xlpm.id,TRIM($A1292),IF(_xlpm.id="","",SUM(COUNTIF('1. OP'!$M:$M,_xlpm.id),COUNTIF('2. JSEL'!$M:$M,_xlpm.id),COUNTIF('3. PSM'!$M:$M,_xlpm.id),COUNTIF('4. SSP'!$M:$M,_xlpm.id),COUNTIF('5. JSACI'!$M:$M,_xlpm.id),COUNTIF('6. AIN'!$M:$M,_xlpm.id),COUNTIF('7. MS'!$M:$M,_xlpm.id),COUNTIF('8. DS'!$M:$M,_xlpm.id),COUNTIF('9. RMF'!$M:$M,_xlpm.id),COUNTIF('10. PCU'!$M:$M,_xlpm.id))))</f>
        <v>0</v>
      </c>
    </row>
    <row r="1293" spans="1:9">
      <c r="A1293" t="s">
        <v>9293</v>
      </c>
      <c r="B1293" t="s">
        <v>9265</v>
      </c>
      <c r="C1293">
        <v>1828</v>
      </c>
      <c r="D1293">
        <v>1</v>
      </c>
      <c r="E1293" s="23">
        <v>29</v>
      </c>
      <c r="F1293" t="s">
        <v>8265</v>
      </c>
      <c r="G1293" t="s">
        <v>10494</v>
      </c>
      <c r="H1293" t="s">
        <v>8019</v>
      </c>
      <c r="I1293">
        <f>_xlfn.LET(_xlpm.id,TRIM($A1293),IF(_xlpm.id="","",SUM(COUNTIF('1. OP'!$M:$M,_xlpm.id),COUNTIF('2. JSEL'!$M:$M,_xlpm.id),COUNTIF('3. PSM'!$M:$M,_xlpm.id),COUNTIF('4. SSP'!$M:$M,_xlpm.id),COUNTIF('5. JSACI'!$M:$M,_xlpm.id),COUNTIF('6. AIN'!$M:$M,_xlpm.id),COUNTIF('7. MS'!$M:$M,_xlpm.id),COUNTIF('8. DS'!$M:$M,_xlpm.id),COUNTIF('9. RMF'!$M:$M,_xlpm.id),COUNTIF('10. PCU'!$M:$M,_xlpm.id))))</f>
        <v>0</v>
      </c>
    </row>
    <row r="1294" spans="1:9">
      <c r="A1294" t="s">
        <v>9294</v>
      </c>
      <c r="B1294" t="s">
        <v>9265</v>
      </c>
      <c r="C1294">
        <v>1828</v>
      </c>
      <c r="D1294">
        <v>1</v>
      </c>
      <c r="E1294" s="23">
        <v>30</v>
      </c>
      <c r="F1294" t="s">
        <v>8265</v>
      </c>
      <c r="G1294" t="s">
        <v>10494</v>
      </c>
      <c r="H1294" t="s">
        <v>8019</v>
      </c>
      <c r="I1294">
        <f>_xlfn.LET(_xlpm.id,TRIM($A1294),IF(_xlpm.id="","",SUM(COUNTIF('1. OP'!$M:$M,_xlpm.id),COUNTIF('2. JSEL'!$M:$M,_xlpm.id),COUNTIF('3. PSM'!$M:$M,_xlpm.id),COUNTIF('4. SSP'!$M:$M,_xlpm.id),COUNTIF('5. JSACI'!$M:$M,_xlpm.id),COUNTIF('6. AIN'!$M:$M,_xlpm.id),COUNTIF('7. MS'!$M:$M,_xlpm.id),COUNTIF('8. DS'!$M:$M,_xlpm.id),COUNTIF('9. RMF'!$M:$M,_xlpm.id),COUNTIF('10. PCU'!$M:$M,_xlpm.id))))</f>
        <v>0</v>
      </c>
    </row>
    <row r="1295" spans="1:9">
      <c r="A1295" t="s">
        <v>9295</v>
      </c>
      <c r="B1295" t="s">
        <v>9265</v>
      </c>
      <c r="C1295">
        <v>1829</v>
      </c>
      <c r="D1295">
        <v>1</v>
      </c>
      <c r="E1295" s="23">
        <v>31</v>
      </c>
      <c r="F1295" t="s">
        <v>8265</v>
      </c>
      <c r="G1295" t="s">
        <v>10494</v>
      </c>
      <c r="H1295" t="s">
        <v>8019</v>
      </c>
      <c r="I1295">
        <f>_xlfn.LET(_xlpm.id,TRIM($A1295),IF(_xlpm.id="","",SUM(COUNTIF('1. OP'!$M:$M,_xlpm.id),COUNTIF('2. JSEL'!$M:$M,_xlpm.id),COUNTIF('3. PSM'!$M:$M,_xlpm.id),COUNTIF('4. SSP'!$M:$M,_xlpm.id),COUNTIF('5. JSACI'!$M:$M,_xlpm.id),COUNTIF('6. AIN'!$M:$M,_xlpm.id),COUNTIF('7. MS'!$M:$M,_xlpm.id),COUNTIF('8. DS'!$M:$M,_xlpm.id),COUNTIF('9. RMF'!$M:$M,_xlpm.id),COUNTIF('10. PCU'!$M:$M,_xlpm.id))))</f>
        <v>0</v>
      </c>
    </row>
    <row r="1296" spans="1:9">
      <c r="A1296" t="s">
        <v>9296</v>
      </c>
      <c r="B1296" t="s">
        <v>9265</v>
      </c>
      <c r="C1296">
        <v>1829</v>
      </c>
      <c r="D1296">
        <v>1</v>
      </c>
      <c r="E1296" s="23">
        <v>32</v>
      </c>
      <c r="F1296" t="s">
        <v>8265</v>
      </c>
      <c r="G1296" t="s">
        <v>10494</v>
      </c>
      <c r="H1296" t="s">
        <v>8019</v>
      </c>
      <c r="I1296">
        <f>_xlfn.LET(_xlpm.id,TRIM($A1296),IF(_xlpm.id="","",SUM(COUNTIF('1. OP'!$M:$M,_xlpm.id),COUNTIF('2. JSEL'!$M:$M,_xlpm.id),COUNTIF('3. PSM'!$M:$M,_xlpm.id),COUNTIF('4. SSP'!$M:$M,_xlpm.id),COUNTIF('5. JSACI'!$M:$M,_xlpm.id),COUNTIF('6. AIN'!$M:$M,_xlpm.id),COUNTIF('7. MS'!$M:$M,_xlpm.id),COUNTIF('8. DS'!$M:$M,_xlpm.id),COUNTIF('9. RMF'!$M:$M,_xlpm.id),COUNTIF('10. PCU'!$M:$M,_xlpm.id))))</f>
        <v>0</v>
      </c>
    </row>
    <row r="1297" spans="1:9">
      <c r="A1297" t="s">
        <v>9297</v>
      </c>
      <c r="B1297" t="s">
        <v>9265</v>
      </c>
      <c r="C1297">
        <v>1830</v>
      </c>
      <c r="D1297">
        <v>1</v>
      </c>
      <c r="E1297" s="23">
        <v>33</v>
      </c>
      <c r="F1297" t="s">
        <v>8265</v>
      </c>
      <c r="G1297" t="s">
        <v>10494</v>
      </c>
      <c r="H1297" t="s">
        <v>8019</v>
      </c>
      <c r="I1297">
        <f>_xlfn.LET(_xlpm.id,TRIM($A1297),IF(_xlpm.id="","",SUM(COUNTIF('1. OP'!$M:$M,_xlpm.id),COUNTIF('2. JSEL'!$M:$M,_xlpm.id),COUNTIF('3. PSM'!$M:$M,_xlpm.id),COUNTIF('4. SSP'!$M:$M,_xlpm.id),COUNTIF('5. JSACI'!$M:$M,_xlpm.id),COUNTIF('6. AIN'!$M:$M,_xlpm.id),COUNTIF('7. MS'!$M:$M,_xlpm.id),COUNTIF('8. DS'!$M:$M,_xlpm.id),COUNTIF('9. RMF'!$M:$M,_xlpm.id),COUNTIF('10. PCU'!$M:$M,_xlpm.id))))</f>
        <v>0</v>
      </c>
    </row>
    <row r="1298" spans="1:9">
      <c r="A1298" t="s">
        <v>9298</v>
      </c>
      <c r="B1298" t="s">
        <v>9265</v>
      </c>
      <c r="C1298">
        <v>1830</v>
      </c>
      <c r="D1298">
        <v>1</v>
      </c>
      <c r="E1298" s="23">
        <v>34</v>
      </c>
      <c r="F1298" t="s">
        <v>8265</v>
      </c>
      <c r="G1298" t="s">
        <v>10494</v>
      </c>
      <c r="H1298" t="s">
        <v>8019</v>
      </c>
      <c r="I1298">
        <f>_xlfn.LET(_xlpm.id,TRIM($A1298),IF(_xlpm.id="","",SUM(COUNTIF('1. OP'!$M:$M,_xlpm.id),COUNTIF('2. JSEL'!$M:$M,_xlpm.id),COUNTIF('3. PSM'!$M:$M,_xlpm.id),COUNTIF('4. SSP'!$M:$M,_xlpm.id),COUNTIF('5. JSACI'!$M:$M,_xlpm.id),COUNTIF('6. AIN'!$M:$M,_xlpm.id),COUNTIF('7. MS'!$M:$M,_xlpm.id),COUNTIF('8. DS'!$M:$M,_xlpm.id),COUNTIF('9. RMF'!$M:$M,_xlpm.id),COUNTIF('10. PCU'!$M:$M,_xlpm.id))))</f>
        <v>0</v>
      </c>
    </row>
    <row r="1299" spans="1:9">
      <c r="A1299" t="s">
        <v>9299</v>
      </c>
      <c r="B1299" t="s">
        <v>9265</v>
      </c>
      <c r="C1299">
        <v>1831</v>
      </c>
      <c r="D1299">
        <v>1</v>
      </c>
      <c r="E1299" s="23">
        <v>35</v>
      </c>
      <c r="F1299" t="s">
        <v>8265</v>
      </c>
      <c r="G1299" t="s">
        <v>10494</v>
      </c>
      <c r="H1299" t="s">
        <v>8019</v>
      </c>
      <c r="I1299">
        <f>_xlfn.LET(_xlpm.id,TRIM($A1299),IF(_xlpm.id="","",SUM(COUNTIF('1. OP'!$M:$M,_xlpm.id),COUNTIF('2. JSEL'!$M:$M,_xlpm.id),COUNTIF('3. PSM'!$M:$M,_xlpm.id),COUNTIF('4. SSP'!$M:$M,_xlpm.id),COUNTIF('5. JSACI'!$M:$M,_xlpm.id),COUNTIF('6. AIN'!$M:$M,_xlpm.id),COUNTIF('7. MS'!$M:$M,_xlpm.id),COUNTIF('8. DS'!$M:$M,_xlpm.id),COUNTIF('9. RMF'!$M:$M,_xlpm.id),COUNTIF('10. PCU'!$M:$M,_xlpm.id))))</f>
        <v>0</v>
      </c>
    </row>
    <row r="1300" spans="1:9">
      <c r="A1300" t="s">
        <v>9300</v>
      </c>
      <c r="B1300" t="s">
        <v>9265</v>
      </c>
      <c r="C1300">
        <v>1831</v>
      </c>
      <c r="D1300">
        <v>1</v>
      </c>
      <c r="E1300" s="23">
        <v>36</v>
      </c>
      <c r="F1300" t="s">
        <v>8265</v>
      </c>
      <c r="G1300" t="s">
        <v>10494</v>
      </c>
      <c r="H1300" t="s">
        <v>8019</v>
      </c>
      <c r="I1300">
        <f>_xlfn.LET(_xlpm.id,TRIM($A1300),IF(_xlpm.id="","",SUM(COUNTIF('1. OP'!$M:$M,_xlpm.id),COUNTIF('2. JSEL'!$M:$M,_xlpm.id),COUNTIF('3. PSM'!$M:$M,_xlpm.id),COUNTIF('4. SSP'!$M:$M,_xlpm.id),COUNTIF('5. JSACI'!$M:$M,_xlpm.id),COUNTIF('6. AIN'!$M:$M,_xlpm.id),COUNTIF('7. MS'!$M:$M,_xlpm.id),COUNTIF('8. DS'!$M:$M,_xlpm.id),COUNTIF('9. RMF'!$M:$M,_xlpm.id),COUNTIF('10. PCU'!$M:$M,_xlpm.id))))</f>
        <v>0</v>
      </c>
    </row>
    <row r="1301" spans="1:9">
      <c r="A1301" t="s">
        <v>9301</v>
      </c>
      <c r="B1301" t="s">
        <v>9265</v>
      </c>
      <c r="C1301">
        <v>1832</v>
      </c>
      <c r="D1301">
        <v>1</v>
      </c>
      <c r="E1301" s="23">
        <v>37</v>
      </c>
      <c r="F1301" t="s">
        <v>8265</v>
      </c>
      <c r="G1301" t="s">
        <v>10494</v>
      </c>
      <c r="H1301" t="s">
        <v>8019</v>
      </c>
      <c r="I1301">
        <f>_xlfn.LET(_xlpm.id,TRIM($A1301),IF(_xlpm.id="","",SUM(COUNTIF('1. OP'!$M:$M,_xlpm.id),COUNTIF('2. JSEL'!$M:$M,_xlpm.id),COUNTIF('3. PSM'!$M:$M,_xlpm.id),COUNTIF('4. SSP'!$M:$M,_xlpm.id),COUNTIF('5. JSACI'!$M:$M,_xlpm.id),COUNTIF('6. AIN'!$M:$M,_xlpm.id),COUNTIF('7. MS'!$M:$M,_xlpm.id),COUNTIF('8. DS'!$M:$M,_xlpm.id),COUNTIF('9. RMF'!$M:$M,_xlpm.id),COUNTIF('10. PCU'!$M:$M,_xlpm.id))))</f>
        <v>0</v>
      </c>
    </row>
    <row r="1302" spans="1:9">
      <c r="A1302" t="s">
        <v>9302</v>
      </c>
      <c r="B1302" t="s">
        <v>9265</v>
      </c>
      <c r="C1302">
        <v>1832</v>
      </c>
      <c r="D1302">
        <v>1</v>
      </c>
      <c r="E1302" s="23">
        <v>38</v>
      </c>
      <c r="F1302" t="s">
        <v>8265</v>
      </c>
      <c r="G1302" t="s">
        <v>10494</v>
      </c>
      <c r="H1302" t="s">
        <v>8019</v>
      </c>
      <c r="I1302">
        <f>_xlfn.LET(_xlpm.id,TRIM($A1302),IF(_xlpm.id="","",SUM(COUNTIF('1. OP'!$M:$M,_xlpm.id),COUNTIF('2. JSEL'!$M:$M,_xlpm.id),COUNTIF('3. PSM'!$M:$M,_xlpm.id),COUNTIF('4. SSP'!$M:$M,_xlpm.id),COUNTIF('5. JSACI'!$M:$M,_xlpm.id),COUNTIF('6. AIN'!$M:$M,_xlpm.id),COUNTIF('7. MS'!$M:$M,_xlpm.id),COUNTIF('8. DS'!$M:$M,_xlpm.id),COUNTIF('9. RMF'!$M:$M,_xlpm.id),COUNTIF('10. PCU'!$M:$M,_xlpm.id))))</f>
        <v>0</v>
      </c>
    </row>
    <row r="1303" spans="1:9">
      <c r="A1303" t="s">
        <v>9303</v>
      </c>
      <c r="B1303" t="s">
        <v>9265</v>
      </c>
      <c r="C1303">
        <v>1833</v>
      </c>
      <c r="D1303">
        <v>1</v>
      </c>
      <c r="E1303" s="23">
        <v>39</v>
      </c>
      <c r="F1303" t="s">
        <v>8265</v>
      </c>
      <c r="G1303" t="s">
        <v>10494</v>
      </c>
      <c r="H1303" t="s">
        <v>8019</v>
      </c>
      <c r="I1303">
        <f>_xlfn.LET(_xlpm.id,TRIM($A1303),IF(_xlpm.id="","",SUM(COUNTIF('1. OP'!$M:$M,_xlpm.id),COUNTIF('2. JSEL'!$M:$M,_xlpm.id),COUNTIF('3. PSM'!$M:$M,_xlpm.id),COUNTIF('4. SSP'!$M:$M,_xlpm.id),COUNTIF('5. JSACI'!$M:$M,_xlpm.id),COUNTIF('6. AIN'!$M:$M,_xlpm.id),COUNTIF('7. MS'!$M:$M,_xlpm.id),COUNTIF('8. DS'!$M:$M,_xlpm.id),COUNTIF('9. RMF'!$M:$M,_xlpm.id),COUNTIF('10. PCU'!$M:$M,_xlpm.id))))</f>
        <v>0</v>
      </c>
    </row>
    <row r="1304" spans="1:9">
      <c r="A1304" t="s">
        <v>9304</v>
      </c>
      <c r="B1304" t="s">
        <v>9265</v>
      </c>
      <c r="C1304">
        <v>1833</v>
      </c>
      <c r="D1304">
        <v>1</v>
      </c>
      <c r="E1304" s="23">
        <v>40</v>
      </c>
      <c r="F1304" t="s">
        <v>8265</v>
      </c>
      <c r="G1304" t="s">
        <v>10494</v>
      </c>
      <c r="H1304" t="s">
        <v>8019</v>
      </c>
      <c r="I1304">
        <f>_xlfn.LET(_xlpm.id,TRIM($A1304),IF(_xlpm.id="","",SUM(COUNTIF('1. OP'!$M:$M,_xlpm.id),COUNTIF('2. JSEL'!$M:$M,_xlpm.id),COUNTIF('3. PSM'!$M:$M,_xlpm.id),COUNTIF('4. SSP'!$M:$M,_xlpm.id),COUNTIF('5. JSACI'!$M:$M,_xlpm.id),COUNTIF('6. AIN'!$M:$M,_xlpm.id),COUNTIF('7. MS'!$M:$M,_xlpm.id),COUNTIF('8. DS'!$M:$M,_xlpm.id),COUNTIF('9. RMF'!$M:$M,_xlpm.id),COUNTIF('10. PCU'!$M:$M,_xlpm.id))))</f>
        <v>0</v>
      </c>
    </row>
    <row r="1305" spans="1:9">
      <c r="A1305" t="s">
        <v>9305</v>
      </c>
      <c r="B1305" t="s">
        <v>9265</v>
      </c>
      <c r="C1305">
        <v>1834</v>
      </c>
      <c r="D1305">
        <v>1</v>
      </c>
      <c r="E1305" s="23">
        <v>41</v>
      </c>
      <c r="F1305" t="s">
        <v>8265</v>
      </c>
      <c r="G1305" t="s">
        <v>10494</v>
      </c>
      <c r="H1305" t="s">
        <v>8019</v>
      </c>
      <c r="I1305">
        <f>_xlfn.LET(_xlpm.id,TRIM($A1305),IF(_xlpm.id="","",SUM(COUNTIF('1. OP'!$M:$M,_xlpm.id),COUNTIF('2. JSEL'!$M:$M,_xlpm.id),COUNTIF('3. PSM'!$M:$M,_xlpm.id),COUNTIF('4. SSP'!$M:$M,_xlpm.id),COUNTIF('5. JSACI'!$M:$M,_xlpm.id),COUNTIF('6. AIN'!$M:$M,_xlpm.id),COUNTIF('7. MS'!$M:$M,_xlpm.id),COUNTIF('8. DS'!$M:$M,_xlpm.id),COUNTIF('9. RMF'!$M:$M,_xlpm.id),COUNTIF('10. PCU'!$M:$M,_xlpm.id))))</f>
        <v>0</v>
      </c>
    </row>
    <row r="1306" spans="1:9">
      <c r="A1306" t="s">
        <v>9306</v>
      </c>
      <c r="B1306" t="s">
        <v>9265</v>
      </c>
      <c r="C1306">
        <v>1834</v>
      </c>
      <c r="D1306">
        <v>1</v>
      </c>
      <c r="E1306" s="23">
        <v>42</v>
      </c>
      <c r="F1306" t="s">
        <v>8265</v>
      </c>
      <c r="G1306" t="s">
        <v>10494</v>
      </c>
      <c r="H1306" t="s">
        <v>8019</v>
      </c>
      <c r="I1306">
        <f>_xlfn.LET(_xlpm.id,TRIM($A1306),IF(_xlpm.id="","",SUM(COUNTIF('1. OP'!$M:$M,_xlpm.id),COUNTIF('2. JSEL'!$M:$M,_xlpm.id),COUNTIF('3. PSM'!$M:$M,_xlpm.id),COUNTIF('4. SSP'!$M:$M,_xlpm.id),COUNTIF('5. JSACI'!$M:$M,_xlpm.id),COUNTIF('6. AIN'!$M:$M,_xlpm.id),COUNTIF('7. MS'!$M:$M,_xlpm.id),COUNTIF('8. DS'!$M:$M,_xlpm.id),COUNTIF('9. RMF'!$M:$M,_xlpm.id),COUNTIF('10. PCU'!$M:$M,_xlpm.id))))</f>
        <v>0</v>
      </c>
    </row>
    <row r="1307" spans="1:9">
      <c r="A1307" t="s">
        <v>9307</v>
      </c>
      <c r="B1307" t="s">
        <v>9265</v>
      </c>
      <c r="C1307">
        <v>1835</v>
      </c>
      <c r="D1307">
        <v>1</v>
      </c>
      <c r="E1307" s="23">
        <v>43</v>
      </c>
      <c r="F1307" t="s">
        <v>8265</v>
      </c>
      <c r="G1307" t="s">
        <v>10494</v>
      </c>
      <c r="H1307" t="s">
        <v>8019</v>
      </c>
      <c r="I1307">
        <f>_xlfn.LET(_xlpm.id,TRIM($A1307),IF(_xlpm.id="","",SUM(COUNTIF('1. OP'!$M:$M,_xlpm.id),COUNTIF('2. JSEL'!$M:$M,_xlpm.id),COUNTIF('3. PSM'!$M:$M,_xlpm.id),COUNTIF('4. SSP'!$M:$M,_xlpm.id),COUNTIF('5. JSACI'!$M:$M,_xlpm.id),COUNTIF('6. AIN'!$M:$M,_xlpm.id),COUNTIF('7. MS'!$M:$M,_xlpm.id),COUNTIF('8. DS'!$M:$M,_xlpm.id),COUNTIF('9. RMF'!$M:$M,_xlpm.id),COUNTIF('10. PCU'!$M:$M,_xlpm.id))))</f>
        <v>0</v>
      </c>
    </row>
    <row r="1308" spans="1:9">
      <c r="A1308" t="s">
        <v>9308</v>
      </c>
      <c r="B1308" t="s">
        <v>9265</v>
      </c>
      <c r="C1308">
        <v>1835</v>
      </c>
      <c r="D1308">
        <v>1</v>
      </c>
      <c r="E1308" s="23">
        <v>44</v>
      </c>
      <c r="F1308" t="s">
        <v>8265</v>
      </c>
      <c r="G1308" t="s">
        <v>10494</v>
      </c>
      <c r="H1308" t="s">
        <v>8019</v>
      </c>
      <c r="I1308">
        <f>_xlfn.LET(_xlpm.id,TRIM($A1308),IF(_xlpm.id="","",SUM(COUNTIF('1. OP'!$M:$M,_xlpm.id),COUNTIF('2. JSEL'!$M:$M,_xlpm.id),COUNTIF('3. PSM'!$M:$M,_xlpm.id),COUNTIF('4. SSP'!$M:$M,_xlpm.id),COUNTIF('5. JSACI'!$M:$M,_xlpm.id),COUNTIF('6. AIN'!$M:$M,_xlpm.id),COUNTIF('7. MS'!$M:$M,_xlpm.id),COUNTIF('8. DS'!$M:$M,_xlpm.id),COUNTIF('9. RMF'!$M:$M,_xlpm.id),COUNTIF('10. PCU'!$M:$M,_xlpm.id))))</f>
        <v>0</v>
      </c>
    </row>
    <row r="1309" spans="1:9">
      <c r="A1309" t="s">
        <v>9309</v>
      </c>
      <c r="B1309" t="s">
        <v>9265</v>
      </c>
      <c r="C1309">
        <v>1836</v>
      </c>
      <c r="D1309">
        <v>1</v>
      </c>
      <c r="E1309" s="23">
        <v>45</v>
      </c>
      <c r="F1309" t="s">
        <v>8265</v>
      </c>
      <c r="G1309" t="s">
        <v>10494</v>
      </c>
      <c r="H1309" t="s">
        <v>8019</v>
      </c>
      <c r="I1309">
        <f>_xlfn.LET(_xlpm.id,TRIM($A1309),IF(_xlpm.id="","",SUM(COUNTIF('1. OP'!$M:$M,_xlpm.id),COUNTIF('2. JSEL'!$M:$M,_xlpm.id),COUNTIF('3. PSM'!$M:$M,_xlpm.id),COUNTIF('4. SSP'!$M:$M,_xlpm.id),COUNTIF('5. JSACI'!$M:$M,_xlpm.id),COUNTIF('6. AIN'!$M:$M,_xlpm.id),COUNTIF('7. MS'!$M:$M,_xlpm.id),COUNTIF('8. DS'!$M:$M,_xlpm.id),COUNTIF('9. RMF'!$M:$M,_xlpm.id),COUNTIF('10. PCU'!$M:$M,_xlpm.id))))</f>
        <v>0</v>
      </c>
    </row>
    <row r="1310" spans="1:9">
      <c r="A1310" t="s">
        <v>9310</v>
      </c>
      <c r="B1310" t="s">
        <v>9265</v>
      </c>
      <c r="C1310">
        <v>1836</v>
      </c>
      <c r="D1310">
        <v>1</v>
      </c>
      <c r="E1310" s="23">
        <v>46</v>
      </c>
      <c r="F1310" t="s">
        <v>8265</v>
      </c>
      <c r="G1310" t="s">
        <v>10494</v>
      </c>
      <c r="H1310" t="s">
        <v>8019</v>
      </c>
      <c r="I1310">
        <f>_xlfn.LET(_xlpm.id,TRIM($A1310),IF(_xlpm.id="","",SUM(COUNTIF('1. OP'!$M:$M,_xlpm.id),COUNTIF('2. JSEL'!$M:$M,_xlpm.id),COUNTIF('3. PSM'!$M:$M,_xlpm.id),COUNTIF('4. SSP'!$M:$M,_xlpm.id),COUNTIF('5. JSACI'!$M:$M,_xlpm.id),COUNTIF('6. AIN'!$M:$M,_xlpm.id),COUNTIF('7. MS'!$M:$M,_xlpm.id),COUNTIF('8. DS'!$M:$M,_xlpm.id),COUNTIF('9. RMF'!$M:$M,_xlpm.id),COUNTIF('10. PCU'!$M:$M,_xlpm.id))))</f>
        <v>0</v>
      </c>
    </row>
    <row r="1311" spans="1:9">
      <c r="A1311" t="s">
        <v>9311</v>
      </c>
      <c r="B1311" t="s">
        <v>9265</v>
      </c>
      <c r="C1311">
        <v>1837</v>
      </c>
      <c r="D1311">
        <v>1</v>
      </c>
      <c r="E1311" s="23">
        <v>47</v>
      </c>
      <c r="F1311" t="s">
        <v>8265</v>
      </c>
      <c r="G1311" t="s">
        <v>10494</v>
      </c>
      <c r="H1311" t="s">
        <v>8019</v>
      </c>
      <c r="I1311">
        <f>_xlfn.LET(_xlpm.id,TRIM($A1311),IF(_xlpm.id="","",SUM(COUNTIF('1. OP'!$M:$M,_xlpm.id),COUNTIF('2. JSEL'!$M:$M,_xlpm.id),COUNTIF('3. PSM'!$M:$M,_xlpm.id),COUNTIF('4. SSP'!$M:$M,_xlpm.id),COUNTIF('5. JSACI'!$M:$M,_xlpm.id),COUNTIF('6. AIN'!$M:$M,_xlpm.id),COUNTIF('7. MS'!$M:$M,_xlpm.id),COUNTIF('8. DS'!$M:$M,_xlpm.id),COUNTIF('9. RMF'!$M:$M,_xlpm.id),COUNTIF('10. PCU'!$M:$M,_xlpm.id))))</f>
        <v>0</v>
      </c>
    </row>
    <row r="1312" spans="1:9">
      <c r="A1312" t="s">
        <v>9312</v>
      </c>
      <c r="B1312" t="s">
        <v>9265</v>
      </c>
      <c r="C1312">
        <v>1837</v>
      </c>
      <c r="D1312">
        <v>1</v>
      </c>
      <c r="E1312" s="23">
        <v>48</v>
      </c>
      <c r="F1312" t="s">
        <v>8265</v>
      </c>
      <c r="G1312" t="s">
        <v>10494</v>
      </c>
      <c r="H1312" t="s">
        <v>8019</v>
      </c>
      <c r="I1312">
        <f>_xlfn.LET(_xlpm.id,TRIM($A1312),IF(_xlpm.id="","",SUM(COUNTIF('1. OP'!$M:$M,_xlpm.id),COUNTIF('2. JSEL'!$M:$M,_xlpm.id),COUNTIF('3. PSM'!$M:$M,_xlpm.id),COUNTIF('4. SSP'!$M:$M,_xlpm.id),COUNTIF('5. JSACI'!$M:$M,_xlpm.id),COUNTIF('6. AIN'!$M:$M,_xlpm.id),COUNTIF('7. MS'!$M:$M,_xlpm.id),COUNTIF('8. DS'!$M:$M,_xlpm.id),COUNTIF('9. RMF'!$M:$M,_xlpm.id),COUNTIF('10. PCU'!$M:$M,_xlpm.id))))</f>
        <v>0</v>
      </c>
    </row>
    <row r="1313" spans="1:9">
      <c r="A1313" t="s">
        <v>9313</v>
      </c>
      <c r="B1313" t="s">
        <v>9265</v>
      </c>
      <c r="C1313">
        <v>1838</v>
      </c>
      <c r="D1313">
        <v>1</v>
      </c>
      <c r="E1313" s="23">
        <v>49</v>
      </c>
      <c r="F1313" t="s">
        <v>8265</v>
      </c>
      <c r="G1313" t="s">
        <v>10494</v>
      </c>
      <c r="H1313" t="s">
        <v>8019</v>
      </c>
      <c r="I1313">
        <f>_xlfn.LET(_xlpm.id,TRIM($A1313),IF(_xlpm.id="","",SUM(COUNTIF('1. OP'!$M:$M,_xlpm.id),COUNTIF('2. JSEL'!$M:$M,_xlpm.id),COUNTIF('3. PSM'!$M:$M,_xlpm.id),COUNTIF('4. SSP'!$M:$M,_xlpm.id),COUNTIF('5. JSACI'!$M:$M,_xlpm.id),COUNTIF('6. AIN'!$M:$M,_xlpm.id),COUNTIF('7. MS'!$M:$M,_xlpm.id),COUNTIF('8. DS'!$M:$M,_xlpm.id),COUNTIF('9. RMF'!$M:$M,_xlpm.id),COUNTIF('10. PCU'!$M:$M,_xlpm.id))))</f>
        <v>0</v>
      </c>
    </row>
    <row r="1314" spans="1:9">
      <c r="A1314" t="s">
        <v>9314</v>
      </c>
      <c r="B1314" t="s">
        <v>9265</v>
      </c>
      <c r="C1314">
        <v>1838</v>
      </c>
      <c r="D1314">
        <v>1</v>
      </c>
      <c r="E1314" s="23">
        <v>50</v>
      </c>
      <c r="F1314" t="s">
        <v>8265</v>
      </c>
      <c r="G1314" t="s">
        <v>10494</v>
      </c>
      <c r="H1314" t="s">
        <v>8019</v>
      </c>
      <c r="I1314">
        <f>_xlfn.LET(_xlpm.id,TRIM($A1314),IF(_xlpm.id="","",SUM(COUNTIF('1. OP'!$M:$M,_xlpm.id),COUNTIF('2. JSEL'!$M:$M,_xlpm.id),COUNTIF('3. PSM'!$M:$M,_xlpm.id),COUNTIF('4. SSP'!$M:$M,_xlpm.id),COUNTIF('5. JSACI'!$M:$M,_xlpm.id),COUNTIF('6. AIN'!$M:$M,_xlpm.id),COUNTIF('7. MS'!$M:$M,_xlpm.id),COUNTIF('8. DS'!$M:$M,_xlpm.id),COUNTIF('9. RMF'!$M:$M,_xlpm.id),COUNTIF('10. PCU'!$M:$M,_xlpm.id))))</f>
        <v>0</v>
      </c>
    </row>
    <row r="1315" spans="1:9">
      <c r="A1315" t="s">
        <v>9315</v>
      </c>
      <c r="B1315" t="s">
        <v>9265</v>
      </c>
      <c r="C1315">
        <v>1839</v>
      </c>
      <c r="D1315">
        <v>1</v>
      </c>
      <c r="E1315" s="23">
        <v>51</v>
      </c>
      <c r="F1315" t="s">
        <v>8265</v>
      </c>
      <c r="G1315" t="s">
        <v>10494</v>
      </c>
      <c r="H1315" t="s">
        <v>8019</v>
      </c>
      <c r="I1315">
        <f>_xlfn.LET(_xlpm.id,TRIM($A1315),IF(_xlpm.id="","",SUM(COUNTIF('1. OP'!$M:$M,_xlpm.id),COUNTIF('2. JSEL'!$M:$M,_xlpm.id),COUNTIF('3. PSM'!$M:$M,_xlpm.id),COUNTIF('4. SSP'!$M:$M,_xlpm.id),COUNTIF('5. JSACI'!$M:$M,_xlpm.id),COUNTIF('6. AIN'!$M:$M,_xlpm.id),COUNTIF('7. MS'!$M:$M,_xlpm.id),COUNTIF('8. DS'!$M:$M,_xlpm.id),COUNTIF('9. RMF'!$M:$M,_xlpm.id),COUNTIF('10. PCU'!$M:$M,_xlpm.id))))</f>
        <v>0</v>
      </c>
    </row>
    <row r="1316" spans="1:9">
      <c r="A1316" t="s">
        <v>9316</v>
      </c>
      <c r="B1316" t="s">
        <v>9265</v>
      </c>
      <c r="C1316">
        <v>1839</v>
      </c>
      <c r="D1316">
        <v>1</v>
      </c>
      <c r="E1316" s="23">
        <v>52</v>
      </c>
      <c r="F1316" t="s">
        <v>8265</v>
      </c>
      <c r="G1316" t="s">
        <v>10494</v>
      </c>
      <c r="H1316" t="s">
        <v>8019</v>
      </c>
      <c r="I1316">
        <f>_xlfn.LET(_xlpm.id,TRIM($A1316),IF(_xlpm.id="","",SUM(COUNTIF('1. OP'!$M:$M,_xlpm.id),COUNTIF('2. JSEL'!$M:$M,_xlpm.id),COUNTIF('3. PSM'!$M:$M,_xlpm.id),COUNTIF('4. SSP'!$M:$M,_xlpm.id),COUNTIF('5. JSACI'!$M:$M,_xlpm.id),COUNTIF('6. AIN'!$M:$M,_xlpm.id),COUNTIF('7. MS'!$M:$M,_xlpm.id),COUNTIF('8. DS'!$M:$M,_xlpm.id),COUNTIF('9. RMF'!$M:$M,_xlpm.id),COUNTIF('10. PCU'!$M:$M,_xlpm.id))))</f>
        <v>0</v>
      </c>
    </row>
    <row r="1317" spans="1:9">
      <c r="A1317" t="s">
        <v>9317</v>
      </c>
      <c r="B1317" t="s">
        <v>9265</v>
      </c>
      <c r="C1317">
        <v>1840</v>
      </c>
      <c r="D1317">
        <v>1</v>
      </c>
      <c r="E1317" s="23">
        <v>53</v>
      </c>
      <c r="F1317" t="s">
        <v>8265</v>
      </c>
      <c r="G1317" t="s">
        <v>10494</v>
      </c>
      <c r="H1317" t="s">
        <v>8019</v>
      </c>
      <c r="I1317">
        <f>_xlfn.LET(_xlpm.id,TRIM($A1317),IF(_xlpm.id="","",SUM(COUNTIF('1. OP'!$M:$M,_xlpm.id),COUNTIF('2. JSEL'!$M:$M,_xlpm.id),COUNTIF('3. PSM'!$M:$M,_xlpm.id),COUNTIF('4. SSP'!$M:$M,_xlpm.id),COUNTIF('5. JSACI'!$M:$M,_xlpm.id),COUNTIF('6. AIN'!$M:$M,_xlpm.id),COUNTIF('7. MS'!$M:$M,_xlpm.id),COUNTIF('8. DS'!$M:$M,_xlpm.id),COUNTIF('9. RMF'!$M:$M,_xlpm.id),COUNTIF('10. PCU'!$M:$M,_xlpm.id))))</f>
        <v>0</v>
      </c>
    </row>
    <row r="1318" spans="1:9">
      <c r="A1318" t="s">
        <v>9318</v>
      </c>
      <c r="B1318" t="s">
        <v>9265</v>
      </c>
      <c r="C1318">
        <v>1840</v>
      </c>
      <c r="D1318">
        <v>1</v>
      </c>
      <c r="E1318" s="23">
        <v>54</v>
      </c>
      <c r="F1318" t="s">
        <v>8265</v>
      </c>
      <c r="G1318" t="s">
        <v>10494</v>
      </c>
      <c r="H1318" t="s">
        <v>8019</v>
      </c>
      <c r="I1318">
        <f>_xlfn.LET(_xlpm.id,TRIM($A1318),IF(_xlpm.id="","",SUM(COUNTIF('1. OP'!$M:$M,_xlpm.id),COUNTIF('2. JSEL'!$M:$M,_xlpm.id),COUNTIF('3. PSM'!$M:$M,_xlpm.id),COUNTIF('4. SSP'!$M:$M,_xlpm.id),COUNTIF('5. JSACI'!$M:$M,_xlpm.id),COUNTIF('6. AIN'!$M:$M,_xlpm.id),COUNTIF('7. MS'!$M:$M,_xlpm.id),COUNTIF('8. DS'!$M:$M,_xlpm.id),COUNTIF('9. RMF'!$M:$M,_xlpm.id),COUNTIF('10. PCU'!$M:$M,_xlpm.id))))</f>
        <v>0</v>
      </c>
    </row>
    <row r="1319" spans="1:9">
      <c r="A1319" t="s">
        <v>9319</v>
      </c>
      <c r="B1319" t="s">
        <v>9320</v>
      </c>
      <c r="C1319">
        <v>1821</v>
      </c>
      <c r="D1319">
        <v>1</v>
      </c>
      <c r="E1319" s="23">
        <v>1</v>
      </c>
      <c r="F1319" t="s">
        <v>8265</v>
      </c>
      <c r="G1319" t="s">
        <v>10486</v>
      </c>
      <c r="H1319" t="s">
        <v>8019</v>
      </c>
      <c r="I1319">
        <f>_xlfn.LET(_xlpm.id,TRIM($A1319),IF(_xlpm.id="","",SUM(COUNTIF('1. OP'!$M:$M,_xlpm.id),COUNTIF('2. JSEL'!$M:$M,_xlpm.id),COUNTIF('3. PSM'!$M:$M,_xlpm.id),COUNTIF('4. SSP'!$M:$M,_xlpm.id),COUNTIF('5. JSACI'!$M:$M,_xlpm.id),COUNTIF('6. AIN'!$M:$M,_xlpm.id),COUNTIF('7. MS'!$M:$M,_xlpm.id),COUNTIF('8. DS'!$M:$M,_xlpm.id),COUNTIF('9. RMF'!$M:$M,_xlpm.id),COUNTIF('10. PCU'!$M:$M,_xlpm.id))))</f>
        <v>0</v>
      </c>
    </row>
    <row r="1320" spans="1:9">
      <c r="A1320" t="s">
        <v>9321</v>
      </c>
      <c r="B1320" t="s">
        <v>9320</v>
      </c>
      <c r="C1320">
        <v>1822</v>
      </c>
      <c r="D1320">
        <v>1</v>
      </c>
      <c r="E1320" s="23">
        <v>2</v>
      </c>
      <c r="F1320" t="s">
        <v>8265</v>
      </c>
      <c r="G1320" t="s">
        <v>10486</v>
      </c>
      <c r="H1320" t="s">
        <v>8019</v>
      </c>
      <c r="I1320">
        <f>_xlfn.LET(_xlpm.id,TRIM($A1320),IF(_xlpm.id="","",SUM(COUNTIF('1. OP'!$M:$M,_xlpm.id),COUNTIF('2. JSEL'!$M:$M,_xlpm.id),COUNTIF('3. PSM'!$M:$M,_xlpm.id),COUNTIF('4. SSP'!$M:$M,_xlpm.id),COUNTIF('5. JSACI'!$M:$M,_xlpm.id),COUNTIF('6. AIN'!$M:$M,_xlpm.id),COUNTIF('7. MS'!$M:$M,_xlpm.id),COUNTIF('8. DS'!$M:$M,_xlpm.id),COUNTIF('9. RMF'!$M:$M,_xlpm.id),COUNTIF('10. PCU'!$M:$M,_xlpm.id))))</f>
        <v>0</v>
      </c>
    </row>
    <row r="1321" spans="1:9">
      <c r="A1321" t="s">
        <v>9322</v>
      </c>
      <c r="B1321" t="s">
        <v>9320</v>
      </c>
      <c r="C1321">
        <v>1823</v>
      </c>
      <c r="D1321">
        <v>1</v>
      </c>
      <c r="E1321" s="23">
        <v>3</v>
      </c>
      <c r="F1321" t="s">
        <v>8265</v>
      </c>
      <c r="G1321" t="s">
        <v>10486</v>
      </c>
      <c r="H1321" t="s">
        <v>8019</v>
      </c>
      <c r="I1321">
        <f>_xlfn.LET(_xlpm.id,TRIM($A1321),IF(_xlpm.id="","",SUM(COUNTIF('1. OP'!$M:$M,_xlpm.id),COUNTIF('2. JSEL'!$M:$M,_xlpm.id),COUNTIF('3. PSM'!$M:$M,_xlpm.id),COUNTIF('4. SSP'!$M:$M,_xlpm.id),COUNTIF('5. JSACI'!$M:$M,_xlpm.id),COUNTIF('6. AIN'!$M:$M,_xlpm.id),COUNTIF('7. MS'!$M:$M,_xlpm.id),COUNTIF('8. DS'!$M:$M,_xlpm.id),COUNTIF('9. RMF'!$M:$M,_xlpm.id),COUNTIF('10. PCU'!$M:$M,_xlpm.id))))</f>
        <v>0</v>
      </c>
    </row>
    <row r="1322" spans="1:9">
      <c r="A1322" t="s">
        <v>9323</v>
      </c>
      <c r="B1322" t="s">
        <v>9320</v>
      </c>
      <c r="C1322">
        <v>1824</v>
      </c>
      <c r="D1322">
        <v>1</v>
      </c>
      <c r="E1322" s="23">
        <v>4</v>
      </c>
      <c r="F1322" t="s">
        <v>8265</v>
      </c>
      <c r="G1322" t="s">
        <v>10486</v>
      </c>
      <c r="H1322" t="s">
        <v>8019</v>
      </c>
      <c r="I1322">
        <f>_xlfn.LET(_xlpm.id,TRIM($A1322),IF(_xlpm.id="","",SUM(COUNTIF('1. OP'!$M:$M,_xlpm.id),COUNTIF('2. JSEL'!$M:$M,_xlpm.id),COUNTIF('3. PSM'!$M:$M,_xlpm.id),COUNTIF('4. SSP'!$M:$M,_xlpm.id),COUNTIF('5. JSACI'!$M:$M,_xlpm.id),COUNTIF('6. AIN'!$M:$M,_xlpm.id),COUNTIF('7. MS'!$M:$M,_xlpm.id),COUNTIF('8. DS'!$M:$M,_xlpm.id),COUNTIF('9. RMF'!$M:$M,_xlpm.id),COUNTIF('10. PCU'!$M:$M,_xlpm.id))))</f>
        <v>0</v>
      </c>
    </row>
    <row r="1323" spans="1:9">
      <c r="A1323" t="s">
        <v>9324</v>
      </c>
      <c r="B1323" t="s">
        <v>9320</v>
      </c>
      <c r="C1323">
        <v>1824</v>
      </c>
      <c r="D1323">
        <v>1</v>
      </c>
      <c r="E1323" s="23">
        <v>5</v>
      </c>
      <c r="F1323" t="s">
        <v>8265</v>
      </c>
      <c r="G1323" t="s">
        <v>10486</v>
      </c>
      <c r="H1323" t="s">
        <v>8019</v>
      </c>
      <c r="I1323">
        <f>_xlfn.LET(_xlpm.id,TRIM($A1323),IF(_xlpm.id="","",SUM(COUNTIF('1. OP'!$M:$M,_xlpm.id),COUNTIF('2. JSEL'!$M:$M,_xlpm.id),COUNTIF('3. PSM'!$M:$M,_xlpm.id),COUNTIF('4. SSP'!$M:$M,_xlpm.id),COUNTIF('5. JSACI'!$M:$M,_xlpm.id),COUNTIF('6. AIN'!$M:$M,_xlpm.id),COUNTIF('7. MS'!$M:$M,_xlpm.id),COUNTIF('8. DS'!$M:$M,_xlpm.id),COUNTIF('9. RMF'!$M:$M,_xlpm.id),COUNTIF('10. PCU'!$M:$M,_xlpm.id))))</f>
        <v>0</v>
      </c>
    </row>
    <row r="1324" spans="1:9">
      <c r="A1324" t="s">
        <v>9325</v>
      </c>
      <c r="B1324" t="s">
        <v>9320</v>
      </c>
      <c r="C1324">
        <v>1825</v>
      </c>
      <c r="D1324">
        <v>1</v>
      </c>
      <c r="E1324" s="23">
        <v>6</v>
      </c>
      <c r="F1324" t="s">
        <v>8265</v>
      </c>
      <c r="G1324" t="s">
        <v>10486</v>
      </c>
      <c r="H1324" t="s">
        <v>8019</v>
      </c>
      <c r="I1324">
        <f>_xlfn.LET(_xlpm.id,TRIM($A1324),IF(_xlpm.id="","",SUM(COUNTIF('1. OP'!$M:$M,_xlpm.id),COUNTIF('2. JSEL'!$M:$M,_xlpm.id),COUNTIF('3. PSM'!$M:$M,_xlpm.id),COUNTIF('4. SSP'!$M:$M,_xlpm.id),COUNTIF('5. JSACI'!$M:$M,_xlpm.id),COUNTIF('6. AIN'!$M:$M,_xlpm.id),COUNTIF('7. MS'!$M:$M,_xlpm.id),COUNTIF('8. DS'!$M:$M,_xlpm.id),COUNTIF('9. RMF'!$M:$M,_xlpm.id),COUNTIF('10. PCU'!$M:$M,_xlpm.id))))</f>
        <v>0</v>
      </c>
    </row>
    <row r="1325" spans="1:9">
      <c r="A1325" t="s">
        <v>9326</v>
      </c>
      <c r="B1325" t="s">
        <v>9320</v>
      </c>
      <c r="C1325">
        <v>1825</v>
      </c>
      <c r="D1325">
        <v>1</v>
      </c>
      <c r="E1325" s="23">
        <v>7</v>
      </c>
      <c r="F1325" t="s">
        <v>8265</v>
      </c>
      <c r="G1325" t="s">
        <v>10486</v>
      </c>
      <c r="H1325" t="s">
        <v>8019</v>
      </c>
      <c r="I1325">
        <f>_xlfn.LET(_xlpm.id,TRIM($A1325),IF(_xlpm.id="","",SUM(COUNTIF('1. OP'!$M:$M,_xlpm.id),COUNTIF('2. JSEL'!$M:$M,_xlpm.id),COUNTIF('3. PSM'!$M:$M,_xlpm.id),COUNTIF('4. SSP'!$M:$M,_xlpm.id),COUNTIF('5. JSACI'!$M:$M,_xlpm.id),COUNTIF('6. AIN'!$M:$M,_xlpm.id),COUNTIF('7. MS'!$M:$M,_xlpm.id),COUNTIF('8. DS'!$M:$M,_xlpm.id),COUNTIF('9. RMF'!$M:$M,_xlpm.id),COUNTIF('10. PCU'!$M:$M,_xlpm.id))))</f>
        <v>0</v>
      </c>
    </row>
    <row r="1326" spans="1:9">
      <c r="A1326" t="s">
        <v>9327</v>
      </c>
      <c r="B1326" t="s">
        <v>9320</v>
      </c>
      <c r="C1326">
        <v>1826</v>
      </c>
      <c r="D1326">
        <v>1</v>
      </c>
      <c r="E1326" s="23">
        <v>8</v>
      </c>
      <c r="F1326" t="s">
        <v>8265</v>
      </c>
      <c r="G1326" t="s">
        <v>10486</v>
      </c>
      <c r="H1326" t="s">
        <v>8019</v>
      </c>
      <c r="I1326">
        <f>_xlfn.LET(_xlpm.id,TRIM($A1326),IF(_xlpm.id="","",SUM(COUNTIF('1. OP'!$M:$M,_xlpm.id),COUNTIF('2. JSEL'!$M:$M,_xlpm.id),COUNTIF('3. PSM'!$M:$M,_xlpm.id),COUNTIF('4. SSP'!$M:$M,_xlpm.id),COUNTIF('5. JSACI'!$M:$M,_xlpm.id),COUNTIF('6. AIN'!$M:$M,_xlpm.id),COUNTIF('7. MS'!$M:$M,_xlpm.id),COUNTIF('8. DS'!$M:$M,_xlpm.id),COUNTIF('9. RMF'!$M:$M,_xlpm.id),COUNTIF('10. PCU'!$M:$M,_xlpm.id))))</f>
        <v>0</v>
      </c>
    </row>
    <row r="1327" spans="1:9">
      <c r="A1327" t="s">
        <v>9328</v>
      </c>
      <c r="B1327" t="s">
        <v>9320</v>
      </c>
      <c r="C1327">
        <v>1826</v>
      </c>
      <c r="D1327">
        <v>1</v>
      </c>
      <c r="E1327" s="23">
        <v>9</v>
      </c>
      <c r="F1327" t="s">
        <v>8265</v>
      </c>
      <c r="G1327" t="s">
        <v>10486</v>
      </c>
      <c r="H1327" t="s">
        <v>8019</v>
      </c>
      <c r="I1327">
        <f>_xlfn.LET(_xlpm.id,TRIM($A1327),IF(_xlpm.id="","",SUM(COUNTIF('1. OP'!$M:$M,_xlpm.id),COUNTIF('2. JSEL'!$M:$M,_xlpm.id),COUNTIF('3. PSM'!$M:$M,_xlpm.id),COUNTIF('4. SSP'!$M:$M,_xlpm.id),COUNTIF('5. JSACI'!$M:$M,_xlpm.id),COUNTIF('6. AIN'!$M:$M,_xlpm.id),COUNTIF('7. MS'!$M:$M,_xlpm.id),COUNTIF('8. DS'!$M:$M,_xlpm.id),COUNTIF('9. RMF'!$M:$M,_xlpm.id),COUNTIF('10. PCU'!$M:$M,_xlpm.id))))</f>
        <v>0</v>
      </c>
    </row>
    <row r="1328" spans="1:9">
      <c r="A1328" t="s">
        <v>9329</v>
      </c>
      <c r="B1328" t="s">
        <v>9320</v>
      </c>
      <c r="C1328">
        <v>1827</v>
      </c>
      <c r="D1328">
        <v>1</v>
      </c>
      <c r="E1328" s="23">
        <v>10</v>
      </c>
      <c r="F1328" t="s">
        <v>8265</v>
      </c>
      <c r="G1328" t="s">
        <v>10486</v>
      </c>
      <c r="H1328" t="s">
        <v>8019</v>
      </c>
      <c r="I1328">
        <f>_xlfn.LET(_xlpm.id,TRIM($A1328),IF(_xlpm.id="","",SUM(COUNTIF('1. OP'!$M:$M,_xlpm.id),COUNTIF('2. JSEL'!$M:$M,_xlpm.id),COUNTIF('3. PSM'!$M:$M,_xlpm.id),COUNTIF('4. SSP'!$M:$M,_xlpm.id),COUNTIF('5. JSACI'!$M:$M,_xlpm.id),COUNTIF('6. AIN'!$M:$M,_xlpm.id),COUNTIF('7. MS'!$M:$M,_xlpm.id),COUNTIF('8. DS'!$M:$M,_xlpm.id),COUNTIF('9. RMF'!$M:$M,_xlpm.id),COUNTIF('10. PCU'!$M:$M,_xlpm.id))))</f>
        <v>0</v>
      </c>
    </row>
    <row r="1329" spans="1:9">
      <c r="A1329" t="s">
        <v>9330</v>
      </c>
      <c r="B1329" t="s">
        <v>9320</v>
      </c>
      <c r="C1329">
        <v>1827</v>
      </c>
      <c r="D1329">
        <v>1</v>
      </c>
      <c r="E1329" s="23">
        <v>11</v>
      </c>
      <c r="F1329" t="s">
        <v>8265</v>
      </c>
      <c r="G1329" t="s">
        <v>10486</v>
      </c>
      <c r="H1329" t="s">
        <v>8019</v>
      </c>
      <c r="I1329">
        <f>_xlfn.LET(_xlpm.id,TRIM($A1329),IF(_xlpm.id="","",SUM(COUNTIF('1. OP'!$M:$M,_xlpm.id),COUNTIF('2. JSEL'!$M:$M,_xlpm.id),COUNTIF('3. PSM'!$M:$M,_xlpm.id),COUNTIF('4. SSP'!$M:$M,_xlpm.id),COUNTIF('5. JSACI'!$M:$M,_xlpm.id),COUNTIF('6. AIN'!$M:$M,_xlpm.id),COUNTIF('7. MS'!$M:$M,_xlpm.id),COUNTIF('8. DS'!$M:$M,_xlpm.id),COUNTIF('9. RMF'!$M:$M,_xlpm.id),COUNTIF('10. PCU'!$M:$M,_xlpm.id))))</f>
        <v>0</v>
      </c>
    </row>
    <row r="1330" spans="1:9">
      <c r="A1330" t="s">
        <v>9331</v>
      </c>
      <c r="B1330" t="s">
        <v>9320</v>
      </c>
      <c r="C1330">
        <v>1828</v>
      </c>
      <c r="D1330">
        <v>1</v>
      </c>
      <c r="E1330" s="23">
        <v>12</v>
      </c>
      <c r="F1330" t="s">
        <v>8265</v>
      </c>
      <c r="G1330" t="s">
        <v>10486</v>
      </c>
      <c r="H1330" t="s">
        <v>8019</v>
      </c>
      <c r="I1330">
        <f>_xlfn.LET(_xlpm.id,TRIM($A1330),IF(_xlpm.id="","",SUM(COUNTIF('1. OP'!$M:$M,_xlpm.id),COUNTIF('2. JSEL'!$M:$M,_xlpm.id),COUNTIF('3. PSM'!$M:$M,_xlpm.id),COUNTIF('4. SSP'!$M:$M,_xlpm.id),COUNTIF('5. JSACI'!$M:$M,_xlpm.id),COUNTIF('6. AIN'!$M:$M,_xlpm.id),COUNTIF('7. MS'!$M:$M,_xlpm.id),COUNTIF('8. DS'!$M:$M,_xlpm.id),COUNTIF('9. RMF'!$M:$M,_xlpm.id),COUNTIF('10. PCU'!$M:$M,_xlpm.id))))</f>
        <v>0</v>
      </c>
    </row>
    <row r="1331" spans="1:9">
      <c r="A1331" t="s">
        <v>9332</v>
      </c>
      <c r="B1331" t="s">
        <v>9320</v>
      </c>
      <c r="C1331">
        <v>1828</v>
      </c>
      <c r="D1331">
        <v>1</v>
      </c>
      <c r="E1331" s="23">
        <v>13</v>
      </c>
      <c r="F1331" t="s">
        <v>8265</v>
      </c>
      <c r="G1331" t="s">
        <v>10486</v>
      </c>
      <c r="H1331" t="s">
        <v>8019</v>
      </c>
      <c r="I1331">
        <f>_xlfn.LET(_xlpm.id,TRIM($A1331),IF(_xlpm.id="","",SUM(COUNTIF('1. OP'!$M:$M,_xlpm.id),COUNTIF('2. JSEL'!$M:$M,_xlpm.id),COUNTIF('3. PSM'!$M:$M,_xlpm.id),COUNTIF('4. SSP'!$M:$M,_xlpm.id),COUNTIF('5. JSACI'!$M:$M,_xlpm.id),COUNTIF('6. AIN'!$M:$M,_xlpm.id),COUNTIF('7. MS'!$M:$M,_xlpm.id),COUNTIF('8. DS'!$M:$M,_xlpm.id),COUNTIF('9. RMF'!$M:$M,_xlpm.id),COUNTIF('10. PCU'!$M:$M,_xlpm.id))))</f>
        <v>0</v>
      </c>
    </row>
    <row r="1332" spans="1:9">
      <c r="A1332" t="s">
        <v>9333</v>
      </c>
      <c r="B1332" t="s">
        <v>9320</v>
      </c>
      <c r="C1332">
        <v>1829</v>
      </c>
      <c r="D1332">
        <v>1</v>
      </c>
      <c r="E1332" s="23">
        <v>14</v>
      </c>
      <c r="F1332" t="s">
        <v>8265</v>
      </c>
      <c r="G1332" t="s">
        <v>10486</v>
      </c>
      <c r="H1332" t="s">
        <v>8019</v>
      </c>
      <c r="I1332">
        <f>_xlfn.LET(_xlpm.id,TRIM($A1332),IF(_xlpm.id="","",SUM(COUNTIF('1. OP'!$M:$M,_xlpm.id),COUNTIF('2. JSEL'!$M:$M,_xlpm.id),COUNTIF('3. PSM'!$M:$M,_xlpm.id),COUNTIF('4. SSP'!$M:$M,_xlpm.id),COUNTIF('5. JSACI'!$M:$M,_xlpm.id),COUNTIF('6. AIN'!$M:$M,_xlpm.id),COUNTIF('7. MS'!$M:$M,_xlpm.id),COUNTIF('8. DS'!$M:$M,_xlpm.id),COUNTIF('9. RMF'!$M:$M,_xlpm.id),COUNTIF('10. PCU'!$M:$M,_xlpm.id))))</f>
        <v>0</v>
      </c>
    </row>
    <row r="1333" spans="1:9">
      <c r="A1333" t="s">
        <v>9334</v>
      </c>
      <c r="B1333" t="s">
        <v>9320</v>
      </c>
      <c r="C1333">
        <v>1829</v>
      </c>
      <c r="D1333">
        <v>1</v>
      </c>
      <c r="E1333" s="23">
        <v>15</v>
      </c>
      <c r="F1333" t="s">
        <v>8265</v>
      </c>
      <c r="G1333" t="s">
        <v>10486</v>
      </c>
      <c r="H1333" t="s">
        <v>8019</v>
      </c>
      <c r="I1333">
        <f>_xlfn.LET(_xlpm.id,TRIM($A1333),IF(_xlpm.id="","",SUM(COUNTIF('1. OP'!$M:$M,_xlpm.id),COUNTIF('2. JSEL'!$M:$M,_xlpm.id),COUNTIF('3. PSM'!$M:$M,_xlpm.id),COUNTIF('4. SSP'!$M:$M,_xlpm.id),COUNTIF('5. JSACI'!$M:$M,_xlpm.id),COUNTIF('6. AIN'!$M:$M,_xlpm.id),COUNTIF('7. MS'!$M:$M,_xlpm.id),COUNTIF('8. DS'!$M:$M,_xlpm.id),COUNTIF('9. RMF'!$M:$M,_xlpm.id),COUNTIF('10. PCU'!$M:$M,_xlpm.id))))</f>
        <v>0</v>
      </c>
    </row>
    <row r="1334" spans="1:9">
      <c r="A1334" t="s">
        <v>9335</v>
      </c>
      <c r="B1334" t="s">
        <v>9320</v>
      </c>
      <c r="C1334">
        <v>1830</v>
      </c>
      <c r="D1334">
        <v>1</v>
      </c>
      <c r="E1334" s="23">
        <v>16</v>
      </c>
      <c r="F1334" t="s">
        <v>8265</v>
      </c>
      <c r="G1334" t="s">
        <v>10486</v>
      </c>
      <c r="H1334" t="s">
        <v>8019</v>
      </c>
      <c r="I1334">
        <f>_xlfn.LET(_xlpm.id,TRIM($A1334),IF(_xlpm.id="","",SUM(COUNTIF('1. OP'!$M:$M,_xlpm.id),COUNTIF('2. JSEL'!$M:$M,_xlpm.id),COUNTIF('3. PSM'!$M:$M,_xlpm.id),COUNTIF('4. SSP'!$M:$M,_xlpm.id),COUNTIF('5. JSACI'!$M:$M,_xlpm.id),COUNTIF('6. AIN'!$M:$M,_xlpm.id),COUNTIF('7. MS'!$M:$M,_xlpm.id),COUNTIF('8. DS'!$M:$M,_xlpm.id),COUNTIF('9. RMF'!$M:$M,_xlpm.id),COUNTIF('10. PCU'!$M:$M,_xlpm.id))))</f>
        <v>0</v>
      </c>
    </row>
    <row r="1335" spans="1:9">
      <c r="A1335" t="s">
        <v>9336</v>
      </c>
      <c r="B1335" t="s">
        <v>9320</v>
      </c>
      <c r="C1335">
        <v>1830</v>
      </c>
      <c r="D1335">
        <v>1</v>
      </c>
      <c r="E1335" s="23">
        <v>17</v>
      </c>
      <c r="F1335" t="s">
        <v>8265</v>
      </c>
      <c r="G1335" t="s">
        <v>10486</v>
      </c>
      <c r="H1335" t="s">
        <v>8019</v>
      </c>
      <c r="I1335">
        <f>_xlfn.LET(_xlpm.id,TRIM($A1335),IF(_xlpm.id="","",SUM(COUNTIF('1. OP'!$M:$M,_xlpm.id),COUNTIF('2. JSEL'!$M:$M,_xlpm.id),COUNTIF('3. PSM'!$M:$M,_xlpm.id),COUNTIF('4. SSP'!$M:$M,_xlpm.id),COUNTIF('5. JSACI'!$M:$M,_xlpm.id),COUNTIF('6. AIN'!$M:$M,_xlpm.id),COUNTIF('7. MS'!$M:$M,_xlpm.id),COUNTIF('8. DS'!$M:$M,_xlpm.id),COUNTIF('9. RMF'!$M:$M,_xlpm.id),COUNTIF('10. PCU'!$M:$M,_xlpm.id))))</f>
        <v>0</v>
      </c>
    </row>
    <row r="1336" spans="1:9">
      <c r="A1336" t="s">
        <v>9337</v>
      </c>
      <c r="B1336" t="s">
        <v>9320</v>
      </c>
      <c r="C1336">
        <v>1831</v>
      </c>
      <c r="D1336">
        <v>1</v>
      </c>
      <c r="E1336" s="23">
        <v>18</v>
      </c>
      <c r="F1336" t="s">
        <v>8265</v>
      </c>
      <c r="G1336" t="s">
        <v>10486</v>
      </c>
      <c r="H1336" t="s">
        <v>8019</v>
      </c>
      <c r="I1336">
        <f>_xlfn.LET(_xlpm.id,TRIM($A1336),IF(_xlpm.id="","",SUM(COUNTIF('1. OP'!$M:$M,_xlpm.id),COUNTIF('2. JSEL'!$M:$M,_xlpm.id),COUNTIF('3. PSM'!$M:$M,_xlpm.id),COUNTIF('4. SSP'!$M:$M,_xlpm.id),COUNTIF('5. JSACI'!$M:$M,_xlpm.id),COUNTIF('6. AIN'!$M:$M,_xlpm.id),COUNTIF('7. MS'!$M:$M,_xlpm.id),COUNTIF('8. DS'!$M:$M,_xlpm.id),COUNTIF('9. RMF'!$M:$M,_xlpm.id),COUNTIF('10. PCU'!$M:$M,_xlpm.id))))</f>
        <v>0</v>
      </c>
    </row>
    <row r="1337" spans="1:9">
      <c r="A1337" t="s">
        <v>9338</v>
      </c>
      <c r="B1337" t="s">
        <v>9320</v>
      </c>
      <c r="C1337">
        <v>1831</v>
      </c>
      <c r="D1337">
        <v>1</v>
      </c>
      <c r="E1337" s="23">
        <v>19</v>
      </c>
      <c r="F1337" t="s">
        <v>8265</v>
      </c>
      <c r="G1337" t="s">
        <v>10486</v>
      </c>
      <c r="H1337" t="s">
        <v>8019</v>
      </c>
      <c r="I1337">
        <f>_xlfn.LET(_xlpm.id,TRIM($A1337),IF(_xlpm.id="","",SUM(COUNTIF('1. OP'!$M:$M,_xlpm.id),COUNTIF('2. JSEL'!$M:$M,_xlpm.id),COUNTIF('3. PSM'!$M:$M,_xlpm.id),COUNTIF('4. SSP'!$M:$M,_xlpm.id),COUNTIF('5. JSACI'!$M:$M,_xlpm.id),COUNTIF('6. AIN'!$M:$M,_xlpm.id),COUNTIF('7. MS'!$M:$M,_xlpm.id),COUNTIF('8. DS'!$M:$M,_xlpm.id),COUNTIF('9. RMF'!$M:$M,_xlpm.id),COUNTIF('10. PCU'!$M:$M,_xlpm.id))))</f>
        <v>0</v>
      </c>
    </row>
    <row r="1338" spans="1:9">
      <c r="A1338" t="s">
        <v>9339</v>
      </c>
      <c r="B1338" t="s">
        <v>9320</v>
      </c>
      <c r="C1338">
        <v>1832</v>
      </c>
      <c r="D1338">
        <v>1</v>
      </c>
      <c r="E1338" s="23">
        <v>20</v>
      </c>
      <c r="F1338" t="s">
        <v>8265</v>
      </c>
      <c r="G1338" t="s">
        <v>10486</v>
      </c>
      <c r="H1338" t="s">
        <v>8019</v>
      </c>
      <c r="I1338">
        <f>_xlfn.LET(_xlpm.id,TRIM($A1338),IF(_xlpm.id="","",SUM(COUNTIF('1. OP'!$M:$M,_xlpm.id),COUNTIF('2. JSEL'!$M:$M,_xlpm.id),COUNTIF('3. PSM'!$M:$M,_xlpm.id),COUNTIF('4. SSP'!$M:$M,_xlpm.id),COUNTIF('5. JSACI'!$M:$M,_xlpm.id),COUNTIF('6. AIN'!$M:$M,_xlpm.id),COUNTIF('7. MS'!$M:$M,_xlpm.id),COUNTIF('8. DS'!$M:$M,_xlpm.id),COUNTIF('9. RMF'!$M:$M,_xlpm.id),COUNTIF('10. PCU'!$M:$M,_xlpm.id))))</f>
        <v>0</v>
      </c>
    </row>
    <row r="1339" spans="1:9">
      <c r="A1339" t="s">
        <v>9340</v>
      </c>
      <c r="B1339" t="s">
        <v>9320</v>
      </c>
      <c r="C1339">
        <v>1832</v>
      </c>
      <c r="D1339">
        <v>1</v>
      </c>
      <c r="E1339" s="23">
        <v>21</v>
      </c>
      <c r="F1339" t="s">
        <v>8265</v>
      </c>
      <c r="G1339" t="s">
        <v>10486</v>
      </c>
      <c r="H1339" t="s">
        <v>8019</v>
      </c>
      <c r="I1339">
        <f>_xlfn.LET(_xlpm.id,TRIM($A1339),IF(_xlpm.id="","",SUM(COUNTIF('1. OP'!$M:$M,_xlpm.id),COUNTIF('2. JSEL'!$M:$M,_xlpm.id),COUNTIF('3. PSM'!$M:$M,_xlpm.id),COUNTIF('4. SSP'!$M:$M,_xlpm.id),COUNTIF('5. JSACI'!$M:$M,_xlpm.id),COUNTIF('6. AIN'!$M:$M,_xlpm.id),COUNTIF('7. MS'!$M:$M,_xlpm.id),COUNTIF('8. DS'!$M:$M,_xlpm.id),COUNTIF('9. RMF'!$M:$M,_xlpm.id),COUNTIF('10. PCU'!$M:$M,_xlpm.id))))</f>
        <v>0</v>
      </c>
    </row>
    <row r="1340" spans="1:9">
      <c r="A1340" t="s">
        <v>9341</v>
      </c>
      <c r="B1340" t="s">
        <v>9320</v>
      </c>
      <c r="C1340">
        <v>1833</v>
      </c>
      <c r="D1340">
        <v>1</v>
      </c>
      <c r="E1340" s="23">
        <v>22</v>
      </c>
      <c r="F1340" t="s">
        <v>8265</v>
      </c>
      <c r="G1340" t="s">
        <v>10486</v>
      </c>
      <c r="H1340" t="s">
        <v>8019</v>
      </c>
      <c r="I1340">
        <f>_xlfn.LET(_xlpm.id,TRIM($A1340),IF(_xlpm.id="","",SUM(COUNTIF('1. OP'!$M:$M,_xlpm.id),COUNTIF('2. JSEL'!$M:$M,_xlpm.id),COUNTIF('3. PSM'!$M:$M,_xlpm.id),COUNTIF('4. SSP'!$M:$M,_xlpm.id),COUNTIF('5. JSACI'!$M:$M,_xlpm.id),COUNTIF('6. AIN'!$M:$M,_xlpm.id),COUNTIF('7. MS'!$M:$M,_xlpm.id),COUNTIF('8. DS'!$M:$M,_xlpm.id),COUNTIF('9. RMF'!$M:$M,_xlpm.id),COUNTIF('10. PCU'!$M:$M,_xlpm.id))))</f>
        <v>0</v>
      </c>
    </row>
    <row r="1341" spans="1:9">
      <c r="A1341" t="s">
        <v>9342</v>
      </c>
      <c r="B1341" t="s">
        <v>9320</v>
      </c>
      <c r="C1341">
        <v>1833</v>
      </c>
      <c r="D1341">
        <v>1</v>
      </c>
      <c r="E1341" s="23">
        <v>23</v>
      </c>
      <c r="F1341" t="s">
        <v>8265</v>
      </c>
      <c r="G1341" t="s">
        <v>10486</v>
      </c>
      <c r="H1341" t="s">
        <v>8019</v>
      </c>
      <c r="I1341">
        <f>_xlfn.LET(_xlpm.id,TRIM($A1341),IF(_xlpm.id="","",SUM(COUNTIF('1. OP'!$M:$M,_xlpm.id),COUNTIF('2. JSEL'!$M:$M,_xlpm.id),COUNTIF('3. PSM'!$M:$M,_xlpm.id),COUNTIF('4. SSP'!$M:$M,_xlpm.id),COUNTIF('5. JSACI'!$M:$M,_xlpm.id),COUNTIF('6. AIN'!$M:$M,_xlpm.id),COUNTIF('7. MS'!$M:$M,_xlpm.id),COUNTIF('8. DS'!$M:$M,_xlpm.id),COUNTIF('9. RMF'!$M:$M,_xlpm.id),COUNTIF('10. PCU'!$M:$M,_xlpm.id))))</f>
        <v>0</v>
      </c>
    </row>
    <row r="1342" spans="1:9">
      <c r="A1342" t="s">
        <v>9343</v>
      </c>
      <c r="B1342" t="s">
        <v>9320</v>
      </c>
      <c r="C1342">
        <v>1834</v>
      </c>
      <c r="D1342">
        <v>1</v>
      </c>
      <c r="E1342" s="23">
        <v>24</v>
      </c>
      <c r="F1342" t="s">
        <v>8265</v>
      </c>
      <c r="G1342" t="s">
        <v>10486</v>
      </c>
      <c r="H1342" t="s">
        <v>8019</v>
      </c>
      <c r="I1342">
        <f>_xlfn.LET(_xlpm.id,TRIM($A1342),IF(_xlpm.id="","",SUM(COUNTIF('1. OP'!$M:$M,_xlpm.id),COUNTIF('2. JSEL'!$M:$M,_xlpm.id),COUNTIF('3. PSM'!$M:$M,_xlpm.id),COUNTIF('4. SSP'!$M:$M,_xlpm.id),COUNTIF('5. JSACI'!$M:$M,_xlpm.id),COUNTIF('6. AIN'!$M:$M,_xlpm.id),COUNTIF('7. MS'!$M:$M,_xlpm.id),COUNTIF('8. DS'!$M:$M,_xlpm.id),COUNTIF('9. RMF'!$M:$M,_xlpm.id),COUNTIF('10. PCU'!$M:$M,_xlpm.id))))</f>
        <v>0</v>
      </c>
    </row>
    <row r="1343" spans="1:9">
      <c r="A1343" t="s">
        <v>9344</v>
      </c>
      <c r="B1343" t="s">
        <v>9320</v>
      </c>
      <c r="C1343">
        <v>1834</v>
      </c>
      <c r="D1343">
        <v>1</v>
      </c>
      <c r="E1343" s="23">
        <v>25</v>
      </c>
      <c r="F1343" t="s">
        <v>8265</v>
      </c>
      <c r="G1343" t="s">
        <v>10486</v>
      </c>
      <c r="H1343" t="s">
        <v>8019</v>
      </c>
      <c r="I1343">
        <f>_xlfn.LET(_xlpm.id,TRIM($A1343),IF(_xlpm.id="","",SUM(COUNTIF('1. OP'!$M:$M,_xlpm.id),COUNTIF('2. JSEL'!$M:$M,_xlpm.id),COUNTIF('3. PSM'!$M:$M,_xlpm.id),COUNTIF('4. SSP'!$M:$M,_xlpm.id),COUNTIF('5. JSACI'!$M:$M,_xlpm.id),COUNTIF('6. AIN'!$M:$M,_xlpm.id),COUNTIF('7. MS'!$M:$M,_xlpm.id),COUNTIF('8. DS'!$M:$M,_xlpm.id),COUNTIF('9. RMF'!$M:$M,_xlpm.id),COUNTIF('10. PCU'!$M:$M,_xlpm.id))))</f>
        <v>0</v>
      </c>
    </row>
    <row r="1344" spans="1:9">
      <c r="A1344" t="s">
        <v>9345</v>
      </c>
      <c r="B1344" t="s">
        <v>9320</v>
      </c>
      <c r="C1344">
        <v>1835</v>
      </c>
      <c r="D1344">
        <v>1</v>
      </c>
      <c r="E1344" s="23">
        <v>26</v>
      </c>
      <c r="F1344" t="s">
        <v>8265</v>
      </c>
      <c r="G1344" t="s">
        <v>10486</v>
      </c>
      <c r="H1344" t="s">
        <v>8019</v>
      </c>
      <c r="I1344">
        <f>_xlfn.LET(_xlpm.id,TRIM($A1344),IF(_xlpm.id="","",SUM(COUNTIF('1. OP'!$M:$M,_xlpm.id),COUNTIF('2. JSEL'!$M:$M,_xlpm.id),COUNTIF('3. PSM'!$M:$M,_xlpm.id),COUNTIF('4. SSP'!$M:$M,_xlpm.id),COUNTIF('5. JSACI'!$M:$M,_xlpm.id),COUNTIF('6. AIN'!$M:$M,_xlpm.id),COUNTIF('7. MS'!$M:$M,_xlpm.id),COUNTIF('8. DS'!$M:$M,_xlpm.id),COUNTIF('9. RMF'!$M:$M,_xlpm.id),COUNTIF('10. PCU'!$M:$M,_xlpm.id))))</f>
        <v>0</v>
      </c>
    </row>
    <row r="1345" spans="1:9">
      <c r="A1345" t="s">
        <v>9346</v>
      </c>
      <c r="B1345" t="s">
        <v>9320</v>
      </c>
      <c r="C1345">
        <v>1835</v>
      </c>
      <c r="D1345">
        <v>1</v>
      </c>
      <c r="E1345" s="23">
        <v>27</v>
      </c>
      <c r="F1345" t="s">
        <v>8265</v>
      </c>
      <c r="G1345" t="s">
        <v>10486</v>
      </c>
      <c r="H1345" t="s">
        <v>8019</v>
      </c>
      <c r="I1345">
        <f>_xlfn.LET(_xlpm.id,TRIM($A1345),IF(_xlpm.id="","",SUM(COUNTIF('1. OP'!$M:$M,_xlpm.id),COUNTIF('2. JSEL'!$M:$M,_xlpm.id),COUNTIF('3. PSM'!$M:$M,_xlpm.id),COUNTIF('4. SSP'!$M:$M,_xlpm.id),COUNTIF('5. JSACI'!$M:$M,_xlpm.id),COUNTIF('6. AIN'!$M:$M,_xlpm.id),COUNTIF('7. MS'!$M:$M,_xlpm.id),COUNTIF('8. DS'!$M:$M,_xlpm.id),COUNTIF('9. RMF'!$M:$M,_xlpm.id),COUNTIF('10. PCU'!$M:$M,_xlpm.id))))</f>
        <v>0</v>
      </c>
    </row>
    <row r="1346" spans="1:9">
      <c r="A1346" t="s">
        <v>9347</v>
      </c>
      <c r="B1346" t="s">
        <v>9320</v>
      </c>
      <c r="C1346">
        <v>1836</v>
      </c>
      <c r="D1346">
        <v>1</v>
      </c>
      <c r="E1346" s="23">
        <v>28</v>
      </c>
      <c r="F1346" t="s">
        <v>8265</v>
      </c>
      <c r="G1346" t="s">
        <v>10486</v>
      </c>
      <c r="H1346" t="s">
        <v>8019</v>
      </c>
      <c r="I1346">
        <f>_xlfn.LET(_xlpm.id,TRIM($A1346),IF(_xlpm.id="","",SUM(COUNTIF('1. OP'!$M:$M,_xlpm.id),COUNTIF('2. JSEL'!$M:$M,_xlpm.id),COUNTIF('3. PSM'!$M:$M,_xlpm.id),COUNTIF('4. SSP'!$M:$M,_xlpm.id),COUNTIF('5. JSACI'!$M:$M,_xlpm.id),COUNTIF('6. AIN'!$M:$M,_xlpm.id),COUNTIF('7. MS'!$M:$M,_xlpm.id),COUNTIF('8. DS'!$M:$M,_xlpm.id),COUNTIF('9. RMF'!$M:$M,_xlpm.id),COUNTIF('10. PCU'!$M:$M,_xlpm.id))))</f>
        <v>0</v>
      </c>
    </row>
    <row r="1347" spans="1:9">
      <c r="A1347" t="s">
        <v>9348</v>
      </c>
      <c r="B1347" t="s">
        <v>9320</v>
      </c>
      <c r="C1347">
        <v>1836</v>
      </c>
      <c r="D1347">
        <v>1</v>
      </c>
      <c r="E1347" s="23">
        <v>29</v>
      </c>
      <c r="F1347" t="s">
        <v>8265</v>
      </c>
      <c r="G1347" t="s">
        <v>10486</v>
      </c>
      <c r="H1347" t="s">
        <v>8019</v>
      </c>
      <c r="I1347">
        <f>_xlfn.LET(_xlpm.id,TRIM($A1347),IF(_xlpm.id="","",SUM(COUNTIF('1. OP'!$M:$M,_xlpm.id),COUNTIF('2. JSEL'!$M:$M,_xlpm.id),COUNTIF('3. PSM'!$M:$M,_xlpm.id),COUNTIF('4. SSP'!$M:$M,_xlpm.id),COUNTIF('5. JSACI'!$M:$M,_xlpm.id),COUNTIF('6. AIN'!$M:$M,_xlpm.id),COUNTIF('7. MS'!$M:$M,_xlpm.id),COUNTIF('8. DS'!$M:$M,_xlpm.id),COUNTIF('9. RMF'!$M:$M,_xlpm.id),COUNTIF('10. PCU'!$M:$M,_xlpm.id))))</f>
        <v>0</v>
      </c>
    </row>
    <row r="1348" spans="1:9">
      <c r="A1348" t="s">
        <v>9349</v>
      </c>
      <c r="B1348" t="s">
        <v>9320</v>
      </c>
      <c r="C1348">
        <v>1837</v>
      </c>
      <c r="D1348">
        <v>1</v>
      </c>
      <c r="E1348" s="23">
        <v>30</v>
      </c>
      <c r="F1348" t="s">
        <v>8265</v>
      </c>
      <c r="G1348" t="s">
        <v>10486</v>
      </c>
      <c r="H1348" t="s">
        <v>8019</v>
      </c>
      <c r="I1348">
        <f>_xlfn.LET(_xlpm.id,TRIM($A1348),IF(_xlpm.id="","",SUM(COUNTIF('1. OP'!$M:$M,_xlpm.id),COUNTIF('2. JSEL'!$M:$M,_xlpm.id),COUNTIF('3. PSM'!$M:$M,_xlpm.id),COUNTIF('4. SSP'!$M:$M,_xlpm.id),COUNTIF('5. JSACI'!$M:$M,_xlpm.id),COUNTIF('6. AIN'!$M:$M,_xlpm.id),COUNTIF('7. MS'!$M:$M,_xlpm.id),COUNTIF('8. DS'!$M:$M,_xlpm.id),COUNTIF('9. RMF'!$M:$M,_xlpm.id),COUNTIF('10. PCU'!$M:$M,_xlpm.id))))</f>
        <v>0</v>
      </c>
    </row>
    <row r="1349" spans="1:9">
      <c r="A1349" t="s">
        <v>9350</v>
      </c>
      <c r="B1349" t="s">
        <v>9320</v>
      </c>
      <c r="C1349">
        <v>1837</v>
      </c>
      <c r="D1349">
        <v>1</v>
      </c>
      <c r="E1349" s="23">
        <v>31</v>
      </c>
      <c r="F1349" t="s">
        <v>8265</v>
      </c>
      <c r="G1349" t="s">
        <v>10486</v>
      </c>
      <c r="H1349" t="s">
        <v>8019</v>
      </c>
      <c r="I1349">
        <f>_xlfn.LET(_xlpm.id,TRIM($A1349),IF(_xlpm.id="","",SUM(COUNTIF('1. OP'!$M:$M,_xlpm.id),COUNTIF('2. JSEL'!$M:$M,_xlpm.id),COUNTIF('3. PSM'!$M:$M,_xlpm.id),COUNTIF('4. SSP'!$M:$M,_xlpm.id),COUNTIF('5. JSACI'!$M:$M,_xlpm.id),COUNTIF('6. AIN'!$M:$M,_xlpm.id),COUNTIF('7. MS'!$M:$M,_xlpm.id),COUNTIF('8. DS'!$M:$M,_xlpm.id),COUNTIF('9. RMF'!$M:$M,_xlpm.id),COUNTIF('10. PCU'!$M:$M,_xlpm.id))))</f>
        <v>0</v>
      </c>
    </row>
    <row r="1350" spans="1:9">
      <c r="A1350" t="s">
        <v>9351</v>
      </c>
      <c r="B1350" t="s">
        <v>9320</v>
      </c>
      <c r="C1350">
        <v>1838</v>
      </c>
      <c r="D1350">
        <v>1</v>
      </c>
      <c r="E1350" s="23">
        <v>32</v>
      </c>
      <c r="F1350" t="s">
        <v>8265</v>
      </c>
      <c r="G1350" t="s">
        <v>10486</v>
      </c>
      <c r="H1350" t="s">
        <v>8019</v>
      </c>
      <c r="I1350">
        <f>_xlfn.LET(_xlpm.id,TRIM($A1350),IF(_xlpm.id="","",SUM(COUNTIF('1. OP'!$M:$M,_xlpm.id),COUNTIF('2. JSEL'!$M:$M,_xlpm.id),COUNTIF('3. PSM'!$M:$M,_xlpm.id),COUNTIF('4. SSP'!$M:$M,_xlpm.id),COUNTIF('5. JSACI'!$M:$M,_xlpm.id),COUNTIF('6. AIN'!$M:$M,_xlpm.id),COUNTIF('7. MS'!$M:$M,_xlpm.id),COUNTIF('8. DS'!$M:$M,_xlpm.id),COUNTIF('9. RMF'!$M:$M,_xlpm.id),COUNTIF('10. PCU'!$M:$M,_xlpm.id))))</f>
        <v>0</v>
      </c>
    </row>
    <row r="1351" spans="1:9">
      <c r="A1351" t="s">
        <v>7833</v>
      </c>
      <c r="B1351" t="s">
        <v>9320</v>
      </c>
      <c r="C1351">
        <v>1838</v>
      </c>
      <c r="D1351">
        <v>1</v>
      </c>
      <c r="E1351" s="23">
        <v>33</v>
      </c>
      <c r="F1351" t="s">
        <v>8265</v>
      </c>
      <c r="G1351" t="s">
        <v>10486</v>
      </c>
      <c r="H1351" t="s">
        <v>8019</v>
      </c>
      <c r="I1351">
        <f>_xlfn.LET(_xlpm.id,TRIM($A1351),IF(_xlpm.id="","",SUM(COUNTIF('1. OP'!$M:$M,_xlpm.id),COUNTIF('2. JSEL'!$M:$M,_xlpm.id),COUNTIF('3. PSM'!$M:$M,_xlpm.id),COUNTIF('4. SSP'!$M:$M,_xlpm.id),COUNTIF('5. JSACI'!$M:$M,_xlpm.id),COUNTIF('6. AIN'!$M:$M,_xlpm.id),COUNTIF('7. MS'!$M:$M,_xlpm.id),COUNTIF('8. DS'!$M:$M,_xlpm.id),COUNTIF('9. RMF'!$M:$M,_xlpm.id),COUNTIF('10. PCU'!$M:$M,_xlpm.id))))</f>
        <v>0</v>
      </c>
    </row>
    <row r="1352" spans="1:9">
      <c r="A1352" t="s">
        <v>9352</v>
      </c>
      <c r="B1352" t="s">
        <v>9320</v>
      </c>
      <c r="C1352">
        <v>1839</v>
      </c>
      <c r="D1352">
        <v>1</v>
      </c>
      <c r="E1352" s="23">
        <v>34</v>
      </c>
      <c r="F1352" t="s">
        <v>8265</v>
      </c>
      <c r="G1352" t="s">
        <v>10486</v>
      </c>
      <c r="H1352" t="s">
        <v>8019</v>
      </c>
      <c r="I1352">
        <f>_xlfn.LET(_xlpm.id,TRIM($A1352),IF(_xlpm.id="","",SUM(COUNTIF('1. OP'!$M:$M,_xlpm.id),COUNTIF('2. JSEL'!$M:$M,_xlpm.id),COUNTIF('3. PSM'!$M:$M,_xlpm.id),COUNTIF('4. SSP'!$M:$M,_xlpm.id),COUNTIF('5. JSACI'!$M:$M,_xlpm.id),COUNTIF('6. AIN'!$M:$M,_xlpm.id),COUNTIF('7. MS'!$M:$M,_xlpm.id),COUNTIF('8. DS'!$M:$M,_xlpm.id),COUNTIF('9. RMF'!$M:$M,_xlpm.id),COUNTIF('10. PCU'!$M:$M,_xlpm.id))))</f>
        <v>0</v>
      </c>
    </row>
    <row r="1353" spans="1:9">
      <c r="A1353" t="s">
        <v>9353</v>
      </c>
      <c r="B1353" t="s">
        <v>9320</v>
      </c>
      <c r="C1353">
        <v>1839</v>
      </c>
      <c r="D1353">
        <v>1</v>
      </c>
      <c r="E1353" s="23">
        <v>35</v>
      </c>
      <c r="F1353" t="s">
        <v>8265</v>
      </c>
      <c r="G1353" t="s">
        <v>10486</v>
      </c>
      <c r="H1353" t="s">
        <v>8019</v>
      </c>
      <c r="I1353">
        <f>_xlfn.LET(_xlpm.id,TRIM($A1353),IF(_xlpm.id="","",SUM(COUNTIF('1. OP'!$M:$M,_xlpm.id),COUNTIF('2. JSEL'!$M:$M,_xlpm.id),COUNTIF('3. PSM'!$M:$M,_xlpm.id),COUNTIF('4. SSP'!$M:$M,_xlpm.id),COUNTIF('5. JSACI'!$M:$M,_xlpm.id),COUNTIF('6. AIN'!$M:$M,_xlpm.id),COUNTIF('7. MS'!$M:$M,_xlpm.id),COUNTIF('8. DS'!$M:$M,_xlpm.id),COUNTIF('9. RMF'!$M:$M,_xlpm.id),COUNTIF('10. PCU'!$M:$M,_xlpm.id))))</f>
        <v>0</v>
      </c>
    </row>
    <row r="1354" spans="1:9">
      <c r="A1354" t="s">
        <v>9354</v>
      </c>
      <c r="B1354" t="s">
        <v>9320</v>
      </c>
      <c r="C1354">
        <v>1840</v>
      </c>
      <c r="D1354">
        <v>1</v>
      </c>
      <c r="E1354" s="23">
        <v>36</v>
      </c>
      <c r="F1354" t="s">
        <v>8265</v>
      </c>
      <c r="G1354" t="s">
        <v>10486</v>
      </c>
      <c r="H1354" t="s">
        <v>8019</v>
      </c>
      <c r="I1354">
        <f>_xlfn.LET(_xlpm.id,TRIM($A1354),IF(_xlpm.id="","",SUM(COUNTIF('1. OP'!$M:$M,_xlpm.id),COUNTIF('2. JSEL'!$M:$M,_xlpm.id),COUNTIF('3. PSM'!$M:$M,_xlpm.id),COUNTIF('4. SSP'!$M:$M,_xlpm.id),COUNTIF('5. JSACI'!$M:$M,_xlpm.id),COUNTIF('6. AIN'!$M:$M,_xlpm.id),COUNTIF('7. MS'!$M:$M,_xlpm.id),COUNTIF('8. DS'!$M:$M,_xlpm.id),COUNTIF('9. RMF'!$M:$M,_xlpm.id),COUNTIF('10. PCU'!$M:$M,_xlpm.id))))</f>
        <v>0</v>
      </c>
    </row>
    <row r="1355" spans="1:9">
      <c r="A1355" t="s">
        <v>9355</v>
      </c>
      <c r="B1355" t="s">
        <v>9320</v>
      </c>
      <c r="C1355">
        <v>1840</v>
      </c>
      <c r="D1355">
        <v>1</v>
      </c>
      <c r="E1355" s="23">
        <v>37</v>
      </c>
      <c r="F1355" t="s">
        <v>8265</v>
      </c>
      <c r="G1355" t="s">
        <v>10486</v>
      </c>
      <c r="H1355" t="s">
        <v>8019</v>
      </c>
      <c r="I1355">
        <f>_xlfn.LET(_xlpm.id,TRIM($A1355),IF(_xlpm.id="","",SUM(COUNTIF('1. OP'!$M:$M,_xlpm.id),COUNTIF('2. JSEL'!$M:$M,_xlpm.id),COUNTIF('3. PSM'!$M:$M,_xlpm.id),COUNTIF('4. SSP'!$M:$M,_xlpm.id),COUNTIF('5. JSACI'!$M:$M,_xlpm.id),COUNTIF('6. AIN'!$M:$M,_xlpm.id),COUNTIF('7. MS'!$M:$M,_xlpm.id),COUNTIF('8. DS'!$M:$M,_xlpm.id),COUNTIF('9. RMF'!$M:$M,_xlpm.id),COUNTIF('10. PCU'!$M:$M,_xlpm.id))))</f>
        <v>0</v>
      </c>
    </row>
    <row r="1356" spans="1:9">
      <c r="A1356" t="s">
        <v>6366</v>
      </c>
      <c r="B1356" t="s">
        <v>9356</v>
      </c>
      <c r="C1356">
        <v>1827</v>
      </c>
      <c r="D1356">
        <v>1</v>
      </c>
      <c r="E1356" s="23">
        <v>1</v>
      </c>
      <c r="F1356" t="s">
        <v>8102</v>
      </c>
      <c r="G1356" t="s">
        <v>10484</v>
      </c>
      <c r="H1356" t="s">
        <v>8021</v>
      </c>
      <c r="I1356">
        <f>_xlfn.LET(_xlpm.id,TRIM($A1356),IF(_xlpm.id="","",SUM(COUNTIF('1. OP'!$M:$M,_xlpm.id),COUNTIF('2. JSEL'!$M:$M,_xlpm.id),COUNTIF('3. PSM'!$M:$M,_xlpm.id),COUNTIF('4. SSP'!$M:$M,_xlpm.id),COUNTIF('5. JSACI'!$M:$M,_xlpm.id),COUNTIF('6. AIN'!$M:$M,_xlpm.id),COUNTIF('7. MS'!$M:$M,_xlpm.id),COUNTIF('8. DS'!$M:$M,_xlpm.id),COUNTIF('9. RMF'!$M:$M,_xlpm.id),COUNTIF('10. PCU'!$M:$M,_xlpm.id))))</f>
        <v>10</v>
      </c>
    </row>
    <row r="1357" spans="1:9">
      <c r="A1357" t="s">
        <v>9357</v>
      </c>
      <c r="B1357" t="s">
        <v>9356</v>
      </c>
      <c r="C1357">
        <v>1827</v>
      </c>
      <c r="D1357">
        <v>1</v>
      </c>
      <c r="E1357" s="23">
        <v>2</v>
      </c>
      <c r="F1357" t="s">
        <v>8102</v>
      </c>
      <c r="G1357" t="s">
        <v>10484</v>
      </c>
      <c r="H1357" t="s">
        <v>8021</v>
      </c>
      <c r="I1357">
        <f>_xlfn.LET(_xlpm.id,TRIM($A1357),IF(_xlpm.id="","",SUM(COUNTIF('1. OP'!$M:$M,_xlpm.id),COUNTIF('2. JSEL'!$M:$M,_xlpm.id),COUNTIF('3. PSM'!$M:$M,_xlpm.id),COUNTIF('4. SSP'!$M:$M,_xlpm.id),COUNTIF('5. JSACI'!$M:$M,_xlpm.id),COUNTIF('6. AIN'!$M:$M,_xlpm.id),COUNTIF('7. MS'!$M:$M,_xlpm.id),COUNTIF('8. DS'!$M:$M,_xlpm.id),COUNTIF('9. RMF'!$M:$M,_xlpm.id),COUNTIF('10. PCU'!$M:$M,_xlpm.id))))</f>
        <v>0</v>
      </c>
    </row>
    <row r="1358" spans="1:9">
      <c r="A1358" t="s">
        <v>9358</v>
      </c>
      <c r="B1358" t="s">
        <v>9356</v>
      </c>
      <c r="C1358">
        <v>1827</v>
      </c>
      <c r="D1358">
        <v>1</v>
      </c>
      <c r="E1358" s="23">
        <v>3</v>
      </c>
      <c r="F1358" t="s">
        <v>8102</v>
      </c>
      <c r="G1358" t="s">
        <v>10484</v>
      </c>
      <c r="H1358" t="s">
        <v>8021</v>
      </c>
      <c r="I1358">
        <f>_xlfn.LET(_xlpm.id,TRIM($A1358),IF(_xlpm.id="","",SUM(COUNTIF('1. OP'!$M:$M,_xlpm.id),COUNTIF('2. JSEL'!$M:$M,_xlpm.id),COUNTIF('3. PSM'!$M:$M,_xlpm.id),COUNTIF('4. SSP'!$M:$M,_xlpm.id),COUNTIF('5. JSACI'!$M:$M,_xlpm.id),COUNTIF('6. AIN'!$M:$M,_xlpm.id),COUNTIF('7. MS'!$M:$M,_xlpm.id),COUNTIF('8. DS'!$M:$M,_xlpm.id),COUNTIF('9. RMF'!$M:$M,_xlpm.id),COUNTIF('10. PCU'!$M:$M,_xlpm.id))))</f>
        <v>0</v>
      </c>
    </row>
    <row r="1359" spans="1:9">
      <c r="A1359" t="s">
        <v>9359</v>
      </c>
      <c r="B1359" t="s">
        <v>9356</v>
      </c>
      <c r="C1359">
        <v>1827</v>
      </c>
      <c r="D1359">
        <v>1</v>
      </c>
      <c r="E1359" s="23">
        <v>4</v>
      </c>
      <c r="F1359" t="s">
        <v>8102</v>
      </c>
      <c r="G1359" t="s">
        <v>10484</v>
      </c>
      <c r="H1359" t="s">
        <v>8021</v>
      </c>
      <c r="I1359">
        <f>_xlfn.LET(_xlpm.id,TRIM($A1359),IF(_xlpm.id="","",SUM(COUNTIF('1. OP'!$M:$M,_xlpm.id),COUNTIF('2. JSEL'!$M:$M,_xlpm.id),COUNTIF('3. PSM'!$M:$M,_xlpm.id),COUNTIF('4. SSP'!$M:$M,_xlpm.id),COUNTIF('5. JSACI'!$M:$M,_xlpm.id),COUNTIF('6. AIN'!$M:$M,_xlpm.id),COUNTIF('7. MS'!$M:$M,_xlpm.id),COUNTIF('8. DS'!$M:$M,_xlpm.id),COUNTIF('9. RMF'!$M:$M,_xlpm.id),COUNTIF('10. PCU'!$M:$M,_xlpm.id))))</f>
        <v>0</v>
      </c>
    </row>
    <row r="1360" spans="1:9">
      <c r="A1360" t="s">
        <v>9360</v>
      </c>
      <c r="B1360" t="s">
        <v>9356</v>
      </c>
      <c r="C1360">
        <v>1827</v>
      </c>
      <c r="D1360">
        <v>1</v>
      </c>
      <c r="E1360" s="23">
        <v>5</v>
      </c>
      <c r="F1360" t="s">
        <v>8102</v>
      </c>
      <c r="G1360" t="s">
        <v>10484</v>
      </c>
      <c r="H1360" t="s">
        <v>8021</v>
      </c>
      <c r="I1360">
        <f>_xlfn.LET(_xlpm.id,TRIM($A1360),IF(_xlpm.id="","",SUM(COUNTIF('1. OP'!$M:$M,_xlpm.id),COUNTIF('2. JSEL'!$M:$M,_xlpm.id),COUNTIF('3. PSM'!$M:$M,_xlpm.id),COUNTIF('4. SSP'!$M:$M,_xlpm.id),COUNTIF('5. JSACI'!$M:$M,_xlpm.id),COUNTIF('6. AIN'!$M:$M,_xlpm.id),COUNTIF('7. MS'!$M:$M,_xlpm.id),COUNTIF('8. DS'!$M:$M,_xlpm.id),COUNTIF('9. RMF'!$M:$M,_xlpm.id),COUNTIF('10. PCU'!$M:$M,_xlpm.id))))</f>
        <v>0</v>
      </c>
    </row>
    <row r="1361" spans="1:9">
      <c r="A1361" t="s">
        <v>9361</v>
      </c>
      <c r="B1361" t="s">
        <v>9356</v>
      </c>
      <c r="C1361">
        <v>1827</v>
      </c>
      <c r="D1361">
        <v>1</v>
      </c>
      <c r="E1361" s="23">
        <v>6</v>
      </c>
      <c r="F1361" t="s">
        <v>8102</v>
      </c>
      <c r="G1361" t="s">
        <v>10484</v>
      </c>
      <c r="H1361" t="s">
        <v>8021</v>
      </c>
      <c r="I1361">
        <f>_xlfn.LET(_xlpm.id,TRIM($A1361),IF(_xlpm.id="","",SUM(COUNTIF('1. OP'!$M:$M,_xlpm.id),COUNTIF('2. JSEL'!$M:$M,_xlpm.id),COUNTIF('3. PSM'!$M:$M,_xlpm.id),COUNTIF('4. SSP'!$M:$M,_xlpm.id),COUNTIF('5. JSACI'!$M:$M,_xlpm.id),COUNTIF('6. AIN'!$M:$M,_xlpm.id),COUNTIF('7. MS'!$M:$M,_xlpm.id),COUNTIF('8. DS'!$M:$M,_xlpm.id),COUNTIF('9. RMF'!$M:$M,_xlpm.id),COUNTIF('10. PCU'!$M:$M,_xlpm.id))))</f>
        <v>0</v>
      </c>
    </row>
    <row r="1362" spans="1:9">
      <c r="A1362" t="s">
        <v>9362</v>
      </c>
      <c r="B1362" t="s">
        <v>9356</v>
      </c>
      <c r="C1362">
        <v>1828</v>
      </c>
      <c r="D1362">
        <v>1</v>
      </c>
      <c r="E1362" s="23">
        <v>7</v>
      </c>
      <c r="F1362" t="s">
        <v>8102</v>
      </c>
      <c r="G1362" t="s">
        <v>10484</v>
      </c>
      <c r="H1362" t="s">
        <v>8021</v>
      </c>
      <c r="I1362">
        <f>_xlfn.LET(_xlpm.id,TRIM($A1362),IF(_xlpm.id="","",SUM(COUNTIF('1. OP'!$M:$M,_xlpm.id),COUNTIF('2. JSEL'!$M:$M,_xlpm.id),COUNTIF('3. PSM'!$M:$M,_xlpm.id),COUNTIF('4. SSP'!$M:$M,_xlpm.id),COUNTIF('5. JSACI'!$M:$M,_xlpm.id),COUNTIF('6. AIN'!$M:$M,_xlpm.id),COUNTIF('7. MS'!$M:$M,_xlpm.id),COUNTIF('8. DS'!$M:$M,_xlpm.id),COUNTIF('9. RMF'!$M:$M,_xlpm.id),COUNTIF('10. PCU'!$M:$M,_xlpm.id))))</f>
        <v>0</v>
      </c>
    </row>
    <row r="1363" spans="1:9">
      <c r="A1363" t="s">
        <v>7180</v>
      </c>
      <c r="B1363" t="s">
        <v>9356</v>
      </c>
      <c r="C1363">
        <v>1828</v>
      </c>
      <c r="D1363">
        <v>1</v>
      </c>
      <c r="E1363" s="23">
        <v>8</v>
      </c>
      <c r="F1363" t="s">
        <v>8102</v>
      </c>
      <c r="G1363" t="s">
        <v>10484</v>
      </c>
      <c r="H1363" t="s">
        <v>8021</v>
      </c>
      <c r="I1363">
        <f>_xlfn.LET(_xlpm.id,TRIM($A1363),IF(_xlpm.id="","",SUM(COUNTIF('1. OP'!$M:$M,_xlpm.id),COUNTIF('2. JSEL'!$M:$M,_xlpm.id),COUNTIF('3. PSM'!$M:$M,_xlpm.id),COUNTIF('4. SSP'!$M:$M,_xlpm.id),COUNTIF('5. JSACI'!$M:$M,_xlpm.id),COUNTIF('6. AIN'!$M:$M,_xlpm.id),COUNTIF('7. MS'!$M:$M,_xlpm.id),COUNTIF('8. DS'!$M:$M,_xlpm.id),COUNTIF('9. RMF'!$M:$M,_xlpm.id),COUNTIF('10. PCU'!$M:$M,_xlpm.id))))</f>
        <v>1</v>
      </c>
    </row>
    <row r="1364" spans="1:9">
      <c r="A1364" t="s">
        <v>9363</v>
      </c>
      <c r="B1364" t="s">
        <v>9356</v>
      </c>
      <c r="C1364">
        <v>1828</v>
      </c>
      <c r="D1364">
        <v>1</v>
      </c>
      <c r="E1364" s="23">
        <v>9</v>
      </c>
      <c r="F1364" t="s">
        <v>8102</v>
      </c>
      <c r="G1364" t="s">
        <v>10484</v>
      </c>
      <c r="H1364" t="s">
        <v>8021</v>
      </c>
      <c r="I1364">
        <f>_xlfn.LET(_xlpm.id,TRIM($A1364),IF(_xlpm.id="","",SUM(COUNTIF('1. OP'!$M:$M,_xlpm.id),COUNTIF('2. JSEL'!$M:$M,_xlpm.id),COUNTIF('3. PSM'!$M:$M,_xlpm.id),COUNTIF('4. SSP'!$M:$M,_xlpm.id),COUNTIF('5. JSACI'!$M:$M,_xlpm.id),COUNTIF('6. AIN'!$M:$M,_xlpm.id),COUNTIF('7. MS'!$M:$M,_xlpm.id),COUNTIF('8. DS'!$M:$M,_xlpm.id),COUNTIF('9. RMF'!$M:$M,_xlpm.id),COUNTIF('10. PCU'!$M:$M,_xlpm.id))))</f>
        <v>0</v>
      </c>
    </row>
    <row r="1365" spans="1:9">
      <c r="A1365" t="s">
        <v>9364</v>
      </c>
      <c r="B1365" t="s">
        <v>9356</v>
      </c>
      <c r="C1365">
        <v>1828</v>
      </c>
      <c r="D1365">
        <v>1</v>
      </c>
      <c r="E1365" s="23">
        <v>10</v>
      </c>
      <c r="F1365" t="s">
        <v>8102</v>
      </c>
      <c r="G1365" t="s">
        <v>10484</v>
      </c>
      <c r="H1365" t="s">
        <v>8021</v>
      </c>
      <c r="I1365">
        <f>_xlfn.LET(_xlpm.id,TRIM($A1365),IF(_xlpm.id="","",SUM(COUNTIF('1. OP'!$M:$M,_xlpm.id),COUNTIF('2. JSEL'!$M:$M,_xlpm.id),COUNTIF('3. PSM'!$M:$M,_xlpm.id),COUNTIF('4. SSP'!$M:$M,_xlpm.id),COUNTIF('5. JSACI'!$M:$M,_xlpm.id),COUNTIF('6. AIN'!$M:$M,_xlpm.id),COUNTIF('7. MS'!$M:$M,_xlpm.id),COUNTIF('8. DS'!$M:$M,_xlpm.id),COUNTIF('9. RMF'!$M:$M,_xlpm.id),COUNTIF('10. PCU'!$M:$M,_xlpm.id))))</f>
        <v>0</v>
      </c>
    </row>
    <row r="1366" spans="1:9">
      <c r="A1366" t="s">
        <v>9365</v>
      </c>
      <c r="B1366" t="s">
        <v>9356</v>
      </c>
      <c r="C1366">
        <v>1828</v>
      </c>
      <c r="D1366">
        <v>1</v>
      </c>
      <c r="E1366" s="23">
        <v>11</v>
      </c>
      <c r="F1366" t="s">
        <v>8102</v>
      </c>
      <c r="G1366" t="s">
        <v>10484</v>
      </c>
      <c r="H1366" t="s">
        <v>8021</v>
      </c>
      <c r="I1366">
        <f>_xlfn.LET(_xlpm.id,TRIM($A1366),IF(_xlpm.id="","",SUM(COUNTIF('1. OP'!$M:$M,_xlpm.id),COUNTIF('2. JSEL'!$M:$M,_xlpm.id),COUNTIF('3. PSM'!$M:$M,_xlpm.id),COUNTIF('4. SSP'!$M:$M,_xlpm.id),COUNTIF('5. JSACI'!$M:$M,_xlpm.id),COUNTIF('6. AIN'!$M:$M,_xlpm.id),COUNTIF('7. MS'!$M:$M,_xlpm.id),COUNTIF('8. DS'!$M:$M,_xlpm.id),COUNTIF('9. RMF'!$M:$M,_xlpm.id),COUNTIF('10. PCU'!$M:$M,_xlpm.id))))</f>
        <v>0</v>
      </c>
    </row>
    <row r="1367" spans="1:9">
      <c r="A1367" t="s">
        <v>9366</v>
      </c>
      <c r="B1367" t="s">
        <v>9356</v>
      </c>
      <c r="C1367">
        <v>1828</v>
      </c>
      <c r="D1367">
        <v>1</v>
      </c>
      <c r="E1367" s="23">
        <v>12</v>
      </c>
      <c r="F1367" t="s">
        <v>8102</v>
      </c>
      <c r="G1367" t="s">
        <v>10484</v>
      </c>
      <c r="H1367" t="s">
        <v>8021</v>
      </c>
      <c r="I1367">
        <f>_xlfn.LET(_xlpm.id,TRIM($A1367),IF(_xlpm.id="","",SUM(COUNTIF('1. OP'!$M:$M,_xlpm.id),COUNTIF('2. JSEL'!$M:$M,_xlpm.id),COUNTIF('3. PSM'!$M:$M,_xlpm.id),COUNTIF('4. SSP'!$M:$M,_xlpm.id),COUNTIF('5. JSACI'!$M:$M,_xlpm.id),COUNTIF('6. AIN'!$M:$M,_xlpm.id),COUNTIF('7. MS'!$M:$M,_xlpm.id),COUNTIF('8. DS'!$M:$M,_xlpm.id),COUNTIF('9. RMF'!$M:$M,_xlpm.id),COUNTIF('10. PCU'!$M:$M,_xlpm.id))))</f>
        <v>0</v>
      </c>
    </row>
    <row r="1368" spans="1:9">
      <c r="A1368" t="s">
        <v>9367</v>
      </c>
      <c r="B1368" t="s">
        <v>9356</v>
      </c>
      <c r="C1368">
        <v>1829</v>
      </c>
      <c r="D1368">
        <v>1</v>
      </c>
      <c r="E1368" s="23">
        <v>13</v>
      </c>
      <c r="F1368" t="s">
        <v>8102</v>
      </c>
      <c r="G1368" t="s">
        <v>10484</v>
      </c>
      <c r="H1368" t="s">
        <v>8021</v>
      </c>
      <c r="I1368">
        <f>_xlfn.LET(_xlpm.id,TRIM($A1368),IF(_xlpm.id="","",SUM(COUNTIF('1. OP'!$M:$M,_xlpm.id),COUNTIF('2. JSEL'!$M:$M,_xlpm.id),COUNTIF('3. PSM'!$M:$M,_xlpm.id),COUNTIF('4. SSP'!$M:$M,_xlpm.id),COUNTIF('5. JSACI'!$M:$M,_xlpm.id),COUNTIF('6. AIN'!$M:$M,_xlpm.id),COUNTIF('7. MS'!$M:$M,_xlpm.id),COUNTIF('8. DS'!$M:$M,_xlpm.id),COUNTIF('9. RMF'!$M:$M,_xlpm.id),COUNTIF('10. PCU'!$M:$M,_xlpm.id))))</f>
        <v>0</v>
      </c>
    </row>
    <row r="1369" spans="1:9">
      <c r="A1369" t="s">
        <v>9368</v>
      </c>
      <c r="B1369" t="s">
        <v>9356</v>
      </c>
      <c r="C1369">
        <v>1829</v>
      </c>
      <c r="D1369">
        <v>1</v>
      </c>
      <c r="E1369" s="23">
        <v>14</v>
      </c>
      <c r="F1369" t="s">
        <v>8102</v>
      </c>
      <c r="G1369" t="s">
        <v>10484</v>
      </c>
      <c r="H1369" t="s">
        <v>8021</v>
      </c>
      <c r="I1369">
        <f>_xlfn.LET(_xlpm.id,TRIM($A1369),IF(_xlpm.id="","",SUM(COUNTIF('1. OP'!$M:$M,_xlpm.id),COUNTIF('2. JSEL'!$M:$M,_xlpm.id),COUNTIF('3. PSM'!$M:$M,_xlpm.id),COUNTIF('4. SSP'!$M:$M,_xlpm.id),COUNTIF('5. JSACI'!$M:$M,_xlpm.id),COUNTIF('6. AIN'!$M:$M,_xlpm.id),COUNTIF('7. MS'!$M:$M,_xlpm.id),COUNTIF('8. DS'!$M:$M,_xlpm.id),COUNTIF('9. RMF'!$M:$M,_xlpm.id),COUNTIF('10. PCU'!$M:$M,_xlpm.id))))</f>
        <v>0</v>
      </c>
    </row>
    <row r="1370" spans="1:9">
      <c r="A1370" t="s">
        <v>9369</v>
      </c>
      <c r="B1370" t="s">
        <v>9356</v>
      </c>
      <c r="C1370">
        <v>1829</v>
      </c>
      <c r="D1370">
        <v>1</v>
      </c>
      <c r="E1370" s="23">
        <v>15</v>
      </c>
      <c r="F1370" t="s">
        <v>8102</v>
      </c>
      <c r="G1370" t="s">
        <v>10484</v>
      </c>
      <c r="H1370" t="s">
        <v>8021</v>
      </c>
      <c r="I1370">
        <f>_xlfn.LET(_xlpm.id,TRIM($A1370),IF(_xlpm.id="","",SUM(COUNTIF('1. OP'!$M:$M,_xlpm.id),COUNTIF('2. JSEL'!$M:$M,_xlpm.id),COUNTIF('3. PSM'!$M:$M,_xlpm.id),COUNTIF('4. SSP'!$M:$M,_xlpm.id),COUNTIF('5. JSACI'!$M:$M,_xlpm.id),COUNTIF('6. AIN'!$M:$M,_xlpm.id),COUNTIF('7. MS'!$M:$M,_xlpm.id),COUNTIF('8. DS'!$M:$M,_xlpm.id),COUNTIF('9. RMF'!$M:$M,_xlpm.id),COUNTIF('10. PCU'!$M:$M,_xlpm.id))))</f>
        <v>0</v>
      </c>
    </row>
    <row r="1371" spans="1:9">
      <c r="A1371" t="s">
        <v>9370</v>
      </c>
      <c r="B1371" t="s">
        <v>9356</v>
      </c>
      <c r="C1371">
        <v>1829</v>
      </c>
      <c r="D1371">
        <v>1</v>
      </c>
      <c r="E1371" s="23">
        <v>16</v>
      </c>
      <c r="F1371" t="s">
        <v>8102</v>
      </c>
      <c r="G1371" t="s">
        <v>10484</v>
      </c>
      <c r="H1371" t="s">
        <v>8021</v>
      </c>
      <c r="I1371">
        <f>_xlfn.LET(_xlpm.id,TRIM($A1371),IF(_xlpm.id="","",SUM(COUNTIF('1. OP'!$M:$M,_xlpm.id),COUNTIF('2. JSEL'!$M:$M,_xlpm.id),COUNTIF('3. PSM'!$M:$M,_xlpm.id),COUNTIF('4. SSP'!$M:$M,_xlpm.id),COUNTIF('5. JSACI'!$M:$M,_xlpm.id),COUNTIF('6. AIN'!$M:$M,_xlpm.id),COUNTIF('7. MS'!$M:$M,_xlpm.id),COUNTIF('8. DS'!$M:$M,_xlpm.id),COUNTIF('9. RMF'!$M:$M,_xlpm.id),COUNTIF('10. PCU'!$M:$M,_xlpm.id))))</f>
        <v>0</v>
      </c>
    </row>
    <row r="1372" spans="1:9">
      <c r="A1372" t="s">
        <v>9371</v>
      </c>
      <c r="B1372" t="s">
        <v>9356</v>
      </c>
      <c r="C1372">
        <v>1829</v>
      </c>
      <c r="D1372">
        <v>1</v>
      </c>
      <c r="E1372" s="23">
        <v>17</v>
      </c>
      <c r="F1372" t="s">
        <v>8102</v>
      </c>
      <c r="G1372" t="s">
        <v>10484</v>
      </c>
      <c r="H1372" t="s">
        <v>8021</v>
      </c>
      <c r="I1372">
        <f>_xlfn.LET(_xlpm.id,TRIM($A1372),IF(_xlpm.id="","",SUM(COUNTIF('1. OP'!$M:$M,_xlpm.id),COUNTIF('2. JSEL'!$M:$M,_xlpm.id),COUNTIF('3. PSM'!$M:$M,_xlpm.id),COUNTIF('4. SSP'!$M:$M,_xlpm.id),COUNTIF('5. JSACI'!$M:$M,_xlpm.id),COUNTIF('6. AIN'!$M:$M,_xlpm.id),COUNTIF('7. MS'!$M:$M,_xlpm.id),COUNTIF('8. DS'!$M:$M,_xlpm.id),COUNTIF('9. RMF'!$M:$M,_xlpm.id),COUNTIF('10. PCU'!$M:$M,_xlpm.id))))</f>
        <v>0</v>
      </c>
    </row>
    <row r="1373" spans="1:9">
      <c r="A1373" t="s">
        <v>9372</v>
      </c>
      <c r="B1373" t="s">
        <v>9356</v>
      </c>
      <c r="C1373">
        <v>1829</v>
      </c>
      <c r="D1373">
        <v>1</v>
      </c>
      <c r="E1373" s="23">
        <v>18</v>
      </c>
      <c r="F1373" t="s">
        <v>8102</v>
      </c>
      <c r="G1373" t="s">
        <v>10484</v>
      </c>
      <c r="H1373" t="s">
        <v>8021</v>
      </c>
      <c r="I1373">
        <f>_xlfn.LET(_xlpm.id,TRIM($A1373),IF(_xlpm.id="","",SUM(COUNTIF('1. OP'!$M:$M,_xlpm.id),COUNTIF('2. JSEL'!$M:$M,_xlpm.id),COUNTIF('3. PSM'!$M:$M,_xlpm.id),COUNTIF('4. SSP'!$M:$M,_xlpm.id),COUNTIF('5. JSACI'!$M:$M,_xlpm.id),COUNTIF('6. AIN'!$M:$M,_xlpm.id),COUNTIF('7. MS'!$M:$M,_xlpm.id),COUNTIF('8. DS'!$M:$M,_xlpm.id),COUNTIF('9. RMF'!$M:$M,_xlpm.id),COUNTIF('10. PCU'!$M:$M,_xlpm.id))))</f>
        <v>0</v>
      </c>
    </row>
    <row r="1374" spans="1:9">
      <c r="A1374" t="s">
        <v>9373</v>
      </c>
      <c r="B1374" t="s">
        <v>9356</v>
      </c>
      <c r="C1374">
        <v>1830</v>
      </c>
      <c r="D1374">
        <v>2</v>
      </c>
      <c r="E1374" s="23">
        <v>1</v>
      </c>
      <c r="F1374" t="s">
        <v>8102</v>
      </c>
      <c r="G1374" t="s">
        <v>10484</v>
      </c>
      <c r="H1374" t="s">
        <v>8021</v>
      </c>
      <c r="I1374">
        <f>_xlfn.LET(_xlpm.id,TRIM($A1374),IF(_xlpm.id="","",SUM(COUNTIF('1. OP'!$M:$M,_xlpm.id),COUNTIF('2. JSEL'!$M:$M,_xlpm.id),COUNTIF('3. PSM'!$M:$M,_xlpm.id),COUNTIF('4. SSP'!$M:$M,_xlpm.id),COUNTIF('5. JSACI'!$M:$M,_xlpm.id),COUNTIF('6. AIN'!$M:$M,_xlpm.id),COUNTIF('7. MS'!$M:$M,_xlpm.id),COUNTIF('8. DS'!$M:$M,_xlpm.id),COUNTIF('9. RMF'!$M:$M,_xlpm.id),COUNTIF('10. PCU'!$M:$M,_xlpm.id))))</f>
        <v>0</v>
      </c>
    </row>
    <row r="1375" spans="1:9">
      <c r="A1375" t="s">
        <v>9374</v>
      </c>
      <c r="B1375" t="s">
        <v>9356</v>
      </c>
      <c r="C1375">
        <v>1830</v>
      </c>
      <c r="D1375">
        <v>2</v>
      </c>
      <c r="E1375" s="23">
        <v>2</v>
      </c>
      <c r="F1375" t="s">
        <v>8102</v>
      </c>
      <c r="G1375" t="s">
        <v>10484</v>
      </c>
      <c r="H1375" t="s">
        <v>8021</v>
      </c>
      <c r="I1375">
        <f>_xlfn.LET(_xlpm.id,TRIM($A1375),IF(_xlpm.id="","",SUM(COUNTIF('1. OP'!$M:$M,_xlpm.id),COUNTIF('2. JSEL'!$M:$M,_xlpm.id),COUNTIF('3. PSM'!$M:$M,_xlpm.id),COUNTIF('4. SSP'!$M:$M,_xlpm.id),COUNTIF('5. JSACI'!$M:$M,_xlpm.id),COUNTIF('6. AIN'!$M:$M,_xlpm.id),COUNTIF('7. MS'!$M:$M,_xlpm.id),COUNTIF('8. DS'!$M:$M,_xlpm.id),COUNTIF('9. RMF'!$M:$M,_xlpm.id),COUNTIF('10. PCU'!$M:$M,_xlpm.id))))</f>
        <v>0</v>
      </c>
    </row>
    <row r="1376" spans="1:9">
      <c r="A1376" t="s">
        <v>9375</v>
      </c>
      <c r="B1376" t="s">
        <v>9356</v>
      </c>
      <c r="C1376">
        <v>1830</v>
      </c>
      <c r="D1376">
        <v>2</v>
      </c>
      <c r="E1376" s="23">
        <v>3</v>
      </c>
      <c r="F1376" t="s">
        <v>8102</v>
      </c>
      <c r="G1376" t="s">
        <v>10484</v>
      </c>
      <c r="H1376" t="s">
        <v>8021</v>
      </c>
      <c r="I1376">
        <f>_xlfn.LET(_xlpm.id,TRIM($A1376),IF(_xlpm.id="","",SUM(COUNTIF('1. OP'!$M:$M,_xlpm.id),COUNTIF('2. JSEL'!$M:$M,_xlpm.id),COUNTIF('3. PSM'!$M:$M,_xlpm.id),COUNTIF('4. SSP'!$M:$M,_xlpm.id),COUNTIF('5. JSACI'!$M:$M,_xlpm.id),COUNTIF('6. AIN'!$M:$M,_xlpm.id),COUNTIF('7. MS'!$M:$M,_xlpm.id),COUNTIF('8. DS'!$M:$M,_xlpm.id),COUNTIF('9. RMF'!$M:$M,_xlpm.id),COUNTIF('10. PCU'!$M:$M,_xlpm.id))))</f>
        <v>0</v>
      </c>
    </row>
    <row r="1377" spans="1:9">
      <c r="A1377" t="s">
        <v>9376</v>
      </c>
      <c r="B1377" t="s">
        <v>2124</v>
      </c>
      <c r="C1377">
        <v>1804</v>
      </c>
      <c r="D1377">
        <v>1</v>
      </c>
      <c r="E1377" s="23">
        <v>19</v>
      </c>
      <c r="F1377" t="s">
        <v>8102</v>
      </c>
      <c r="G1377" t="s">
        <v>10484</v>
      </c>
      <c r="H1377" t="s">
        <v>8021</v>
      </c>
      <c r="I1377">
        <f>_xlfn.LET(_xlpm.id,TRIM($A1377),IF(_xlpm.id="","",SUM(COUNTIF('1. OP'!$M:$M,_xlpm.id),COUNTIF('2. JSEL'!$M:$M,_xlpm.id),COUNTIF('3. PSM'!$M:$M,_xlpm.id),COUNTIF('4. SSP'!$M:$M,_xlpm.id),COUNTIF('5. JSACI'!$M:$M,_xlpm.id),COUNTIF('6. AIN'!$M:$M,_xlpm.id),COUNTIF('7. MS'!$M:$M,_xlpm.id),COUNTIF('8. DS'!$M:$M,_xlpm.id),COUNTIF('9. RMF'!$M:$M,_xlpm.id),COUNTIF('10. PCU'!$M:$M,_xlpm.id))))</f>
        <v>0</v>
      </c>
    </row>
    <row r="1378" spans="1:9">
      <c r="A1378" t="s">
        <v>9377</v>
      </c>
      <c r="B1378" t="s">
        <v>2124</v>
      </c>
      <c r="C1378">
        <v>1804</v>
      </c>
      <c r="D1378">
        <v>1</v>
      </c>
      <c r="E1378" s="23">
        <v>20</v>
      </c>
      <c r="F1378" t="s">
        <v>8102</v>
      </c>
      <c r="G1378" t="s">
        <v>10484</v>
      </c>
      <c r="H1378" t="s">
        <v>8021</v>
      </c>
      <c r="I1378">
        <f>_xlfn.LET(_xlpm.id,TRIM($A1378),IF(_xlpm.id="","",SUM(COUNTIF('1. OP'!$M:$M,_xlpm.id),COUNTIF('2. JSEL'!$M:$M,_xlpm.id),COUNTIF('3. PSM'!$M:$M,_xlpm.id),COUNTIF('4. SSP'!$M:$M,_xlpm.id),COUNTIF('5. JSACI'!$M:$M,_xlpm.id),COUNTIF('6. AIN'!$M:$M,_xlpm.id),COUNTIF('7. MS'!$M:$M,_xlpm.id),COUNTIF('8. DS'!$M:$M,_xlpm.id),COUNTIF('9. RMF'!$M:$M,_xlpm.id),COUNTIF('10. PCU'!$M:$M,_xlpm.id))))</f>
        <v>0</v>
      </c>
    </row>
    <row r="1379" spans="1:9">
      <c r="A1379" t="s">
        <v>9378</v>
      </c>
      <c r="B1379" t="s">
        <v>2124</v>
      </c>
      <c r="C1379">
        <v>1804</v>
      </c>
      <c r="D1379">
        <v>1</v>
      </c>
      <c r="E1379" s="23">
        <v>21</v>
      </c>
      <c r="F1379" t="s">
        <v>8102</v>
      </c>
      <c r="G1379" t="s">
        <v>10484</v>
      </c>
      <c r="H1379" t="s">
        <v>8021</v>
      </c>
      <c r="I1379">
        <f>_xlfn.LET(_xlpm.id,TRIM($A1379),IF(_xlpm.id="","",SUM(COUNTIF('1. OP'!$M:$M,_xlpm.id),COUNTIF('2. JSEL'!$M:$M,_xlpm.id),COUNTIF('3. PSM'!$M:$M,_xlpm.id),COUNTIF('4. SSP'!$M:$M,_xlpm.id),COUNTIF('5. JSACI'!$M:$M,_xlpm.id),COUNTIF('6. AIN'!$M:$M,_xlpm.id),COUNTIF('7. MS'!$M:$M,_xlpm.id),COUNTIF('8. DS'!$M:$M,_xlpm.id),COUNTIF('9. RMF'!$M:$M,_xlpm.id),COUNTIF('10. PCU'!$M:$M,_xlpm.id))))</f>
        <v>0</v>
      </c>
    </row>
    <row r="1380" spans="1:9">
      <c r="A1380" t="s">
        <v>9379</v>
      </c>
      <c r="B1380" t="s">
        <v>2124</v>
      </c>
      <c r="C1380">
        <v>1805</v>
      </c>
      <c r="D1380">
        <v>1</v>
      </c>
      <c r="E1380" s="23">
        <v>22</v>
      </c>
      <c r="F1380" t="s">
        <v>8102</v>
      </c>
      <c r="G1380" t="s">
        <v>10484</v>
      </c>
      <c r="H1380" t="s">
        <v>8021</v>
      </c>
      <c r="I1380">
        <f>_xlfn.LET(_xlpm.id,TRIM($A1380),IF(_xlpm.id="","",SUM(COUNTIF('1. OP'!$M:$M,_xlpm.id),COUNTIF('2. JSEL'!$M:$M,_xlpm.id),COUNTIF('3. PSM'!$M:$M,_xlpm.id),COUNTIF('4. SSP'!$M:$M,_xlpm.id),COUNTIF('5. JSACI'!$M:$M,_xlpm.id),COUNTIF('6. AIN'!$M:$M,_xlpm.id),COUNTIF('7. MS'!$M:$M,_xlpm.id),COUNTIF('8. DS'!$M:$M,_xlpm.id),COUNTIF('9. RMF'!$M:$M,_xlpm.id),COUNTIF('10. PCU'!$M:$M,_xlpm.id))))</f>
        <v>0</v>
      </c>
    </row>
    <row r="1381" spans="1:9">
      <c r="A1381" t="s">
        <v>9380</v>
      </c>
      <c r="B1381" t="s">
        <v>2124</v>
      </c>
      <c r="C1381">
        <v>1805</v>
      </c>
      <c r="D1381">
        <v>1</v>
      </c>
      <c r="E1381" s="23">
        <v>23</v>
      </c>
      <c r="F1381" t="s">
        <v>8102</v>
      </c>
      <c r="G1381" t="s">
        <v>10484</v>
      </c>
      <c r="H1381" t="s">
        <v>8021</v>
      </c>
      <c r="I1381">
        <f>_xlfn.LET(_xlpm.id,TRIM($A1381),IF(_xlpm.id="","",SUM(COUNTIF('1. OP'!$M:$M,_xlpm.id),COUNTIF('2. JSEL'!$M:$M,_xlpm.id),COUNTIF('3. PSM'!$M:$M,_xlpm.id),COUNTIF('4. SSP'!$M:$M,_xlpm.id),COUNTIF('5. JSACI'!$M:$M,_xlpm.id),COUNTIF('6. AIN'!$M:$M,_xlpm.id),COUNTIF('7. MS'!$M:$M,_xlpm.id),COUNTIF('8. DS'!$M:$M,_xlpm.id),COUNTIF('9. RMF'!$M:$M,_xlpm.id),COUNTIF('10. PCU'!$M:$M,_xlpm.id))))</f>
        <v>0</v>
      </c>
    </row>
    <row r="1382" spans="1:9">
      <c r="A1382" t="s">
        <v>9381</v>
      </c>
      <c r="B1382" t="s">
        <v>2124</v>
      </c>
      <c r="C1382">
        <v>1805</v>
      </c>
      <c r="D1382">
        <v>1</v>
      </c>
      <c r="E1382" s="23">
        <v>24</v>
      </c>
      <c r="F1382" t="s">
        <v>8102</v>
      </c>
      <c r="G1382" t="s">
        <v>10484</v>
      </c>
      <c r="H1382" t="s">
        <v>8021</v>
      </c>
      <c r="I1382">
        <f>_xlfn.LET(_xlpm.id,TRIM($A1382),IF(_xlpm.id="","",SUM(COUNTIF('1. OP'!$M:$M,_xlpm.id),COUNTIF('2. JSEL'!$M:$M,_xlpm.id),COUNTIF('3. PSM'!$M:$M,_xlpm.id),COUNTIF('4. SSP'!$M:$M,_xlpm.id),COUNTIF('5. JSACI'!$M:$M,_xlpm.id),COUNTIF('6. AIN'!$M:$M,_xlpm.id),COUNTIF('7. MS'!$M:$M,_xlpm.id),COUNTIF('8. DS'!$M:$M,_xlpm.id),COUNTIF('9. RMF'!$M:$M,_xlpm.id),COUNTIF('10. PCU'!$M:$M,_xlpm.id))))</f>
        <v>0</v>
      </c>
    </row>
    <row r="1383" spans="1:9">
      <c r="A1383" t="s">
        <v>9382</v>
      </c>
      <c r="B1383" t="s">
        <v>2124</v>
      </c>
      <c r="C1383">
        <v>1806</v>
      </c>
      <c r="D1383">
        <v>1</v>
      </c>
      <c r="E1383" s="23">
        <v>25</v>
      </c>
      <c r="F1383" t="s">
        <v>8102</v>
      </c>
      <c r="G1383" t="s">
        <v>10484</v>
      </c>
      <c r="H1383" t="s">
        <v>8021</v>
      </c>
      <c r="I1383">
        <f>_xlfn.LET(_xlpm.id,TRIM($A1383),IF(_xlpm.id="","",SUM(COUNTIF('1. OP'!$M:$M,_xlpm.id),COUNTIF('2. JSEL'!$M:$M,_xlpm.id),COUNTIF('3. PSM'!$M:$M,_xlpm.id),COUNTIF('4. SSP'!$M:$M,_xlpm.id),COUNTIF('5. JSACI'!$M:$M,_xlpm.id),COUNTIF('6. AIN'!$M:$M,_xlpm.id),COUNTIF('7. MS'!$M:$M,_xlpm.id),COUNTIF('8. DS'!$M:$M,_xlpm.id),COUNTIF('9. RMF'!$M:$M,_xlpm.id),COUNTIF('10. PCU'!$M:$M,_xlpm.id))))</f>
        <v>0</v>
      </c>
    </row>
    <row r="1384" spans="1:9">
      <c r="A1384" t="s">
        <v>9383</v>
      </c>
      <c r="B1384" t="s">
        <v>2124</v>
      </c>
      <c r="C1384">
        <v>1806</v>
      </c>
      <c r="D1384">
        <v>1</v>
      </c>
      <c r="E1384" s="23">
        <v>26</v>
      </c>
      <c r="F1384" t="s">
        <v>8102</v>
      </c>
      <c r="G1384" t="s">
        <v>10484</v>
      </c>
      <c r="H1384" t="s">
        <v>8021</v>
      </c>
      <c r="I1384">
        <f>_xlfn.LET(_xlpm.id,TRIM($A1384),IF(_xlpm.id="","",SUM(COUNTIF('1. OP'!$M:$M,_xlpm.id),COUNTIF('2. JSEL'!$M:$M,_xlpm.id),COUNTIF('3. PSM'!$M:$M,_xlpm.id),COUNTIF('4. SSP'!$M:$M,_xlpm.id),COUNTIF('5. JSACI'!$M:$M,_xlpm.id),COUNTIF('6. AIN'!$M:$M,_xlpm.id),COUNTIF('7. MS'!$M:$M,_xlpm.id),COUNTIF('8. DS'!$M:$M,_xlpm.id),COUNTIF('9. RMF'!$M:$M,_xlpm.id),COUNTIF('10. PCU'!$M:$M,_xlpm.id))))</f>
        <v>0</v>
      </c>
    </row>
    <row r="1385" spans="1:9">
      <c r="A1385" t="s">
        <v>9384</v>
      </c>
      <c r="B1385" t="s">
        <v>2124</v>
      </c>
      <c r="C1385">
        <v>1806</v>
      </c>
      <c r="D1385">
        <v>1</v>
      </c>
      <c r="E1385" s="23">
        <v>27</v>
      </c>
      <c r="F1385" t="s">
        <v>8102</v>
      </c>
      <c r="G1385" t="s">
        <v>10484</v>
      </c>
      <c r="H1385" t="s">
        <v>8021</v>
      </c>
      <c r="I1385">
        <f>_xlfn.LET(_xlpm.id,TRIM($A1385),IF(_xlpm.id="","",SUM(COUNTIF('1. OP'!$M:$M,_xlpm.id),COUNTIF('2. JSEL'!$M:$M,_xlpm.id),COUNTIF('3. PSM'!$M:$M,_xlpm.id),COUNTIF('4. SSP'!$M:$M,_xlpm.id),COUNTIF('5. JSACI'!$M:$M,_xlpm.id),COUNTIF('6. AIN'!$M:$M,_xlpm.id),COUNTIF('7. MS'!$M:$M,_xlpm.id),COUNTIF('8. DS'!$M:$M,_xlpm.id),COUNTIF('9. RMF'!$M:$M,_xlpm.id),COUNTIF('10. PCU'!$M:$M,_xlpm.id))))</f>
        <v>0</v>
      </c>
    </row>
    <row r="1386" spans="1:9">
      <c r="A1386" t="s">
        <v>9385</v>
      </c>
      <c r="B1386" t="s">
        <v>2124</v>
      </c>
      <c r="C1386">
        <v>1807</v>
      </c>
      <c r="D1386">
        <v>1</v>
      </c>
      <c r="E1386" s="23">
        <v>28</v>
      </c>
      <c r="F1386" t="s">
        <v>8102</v>
      </c>
      <c r="G1386" t="s">
        <v>10484</v>
      </c>
      <c r="H1386" t="s">
        <v>8021</v>
      </c>
      <c r="I1386">
        <f>_xlfn.LET(_xlpm.id,TRIM($A1386),IF(_xlpm.id="","",SUM(COUNTIF('1. OP'!$M:$M,_xlpm.id),COUNTIF('2. JSEL'!$M:$M,_xlpm.id),COUNTIF('3. PSM'!$M:$M,_xlpm.id),COUNTIF('4. SSP'!$M:$M,_xlpm.id),COUNTIF('5. JSACI'!$M:$M,_xlpm.id),COUNTIF('6. AIN'!$M:$M,_xlpm.id),COUNTIF('7. MS'!$M:$M,_xlpm.id),COUNTIF('8. DS'!$M:$M,_xlpm.id),COUNTIF('9. RMF'!$M:$M,_xlpm.id),COUNTIF('10. PCU'!$M:$M,_xlpm.id))))</f>
        <v>0</v>
      </c>
    </row>
    <row r="1387" spans="1:9">
      <c r="A1387" t="s">
        <v>9386</v>
      </c>
      <c r="B1387" t="s">
        <v>2124</v>
      </c>
      <c r="C1387">
        <v>1807</v>
      </c>
      <c r="D1387">
        <v>1</v>
      </c>
      <c r="E1387" s="23">
        <v>29</v>
      </c>
      <c r="F1387" t="s">
        <v>8102</v>
      </c>
      <c r="G1387" t="s">
        <v>10484</v>
      </c>
      <c r="H1387" t="s">
        <v>8021</v>
      </c>
      <c r="I1387">
        <f>_xlfn.LET(_xlpm.id,TRIM($A1387),IF(_xlpm.id="","",SUM(COUNTIF('1. OP'!$M:$M,_xlpm.id),COUNTIF('2. JSEL'!$M:$M,_xlpm.id),COUNTIF('3. PSM'!$M:$M,_xlpm.id),COUNTIF('4. SSP'!$M:$M,_xlpm.id),COUNTIF('5. JSACI'!$M:$M,_xlpm.id),COUNTIF('6. AIN'!$M:$M,_xlpm.id),COUNTIF('7. MS'!$M:$M,_xlpm.id),COUNTIF('8. DS'!$M:$M,_xlpm.id),COUNTIF('9. RMF'!$M:$M,_xlpm.id),COUNTIF('10. PCU'!$M:$M,_xlpm.id))))</f>
        <v>0</v>
      </c>
    </row>
    <row r="1388" spans="1:9">
      <c r="A1388" t="s">
        <v>9387</v>
      </c>
      <c r="B1388" t="s">
        <v>2124</v>
      </c>
      <c r="C1388">
        <v>1807</v>
      </c>
      <c r="D1388">
        <v>1</v>
      </c>
      <c r="E1388" s="23">
        <v>30</v>
      </c>
      <c r="F1388" t="s">
        <v>8102</v>
      </c>
      <c r="G1388" t="s">
        <v>10484</v>
      </c>
      <c r="H1388" t="s">
        <v>8021</v>
      </c>
      <c r="I1388">
        <f>_xlfn.LET(_xlpm.id,TRIM($A1388),IF(_xlpm.id="","",SUM(COUNTIF('1. OP'!$M:$M,_xlpm.id),COUNTIF('2. JSEL'!$M:$M,_xlpm.id),COUNTIF('3. PSM'!$M:$M,_xlpm.id),COUNTIF('4. SSP'!$M:$M,_xlpm.id),COUNTIF('5. JSACI'!$M:$M,_xlpm.id),COUNTIF('6. AIN'!$M:$M,_xlpm.id),COUNTIF('7. MS'!$M:$M,_xlpm.id),COUNTIF('8. DS'!$M:$M,_xlpm.id),COUNTIF('9. RMF'!$M:$M,_xlpm.id),COUNTIF('10. PCU'!$M:$M,_xlpm.id))))</f>
        <v>0</v>
      </c>
    </row>
    <row r="1389" spans="1:9">
      <c r="A1389" t="s">
        <v>9388</v>
      </c>
      <c r="B1389" t="s">
        <v>2124</v>
      </c>
      <c r="C1389">
        <v>1808</v>
      </c>
      <c r="D1389">
        <v>1</v>
      </c>
      <c r="E1389" s="23">
        <v>31</v>
      </c>
      <c r="F1389" t="s">
        <v>8102</v>
      </c>
      <c r="G1389" t="s">
        <v>10484</v>
      </c>
      <c r="H1389" t="s">
        <v>8021</v>
      </c>
      <c r="I1389">
        <f>_xlfn.LET(_xlpm.id,TRIM($A1389),IF(_xlpm.id="","",SUM(COUNTIF('1. OP'!$M:$M,_xlpm.id),COUNTIF('2. JSEL'!$M:$M,_xlpm.id),COUNTIF('3. PSM'!$M:$M,_xlpm.id),COUNTIF('4. SSP'!$M:$M,_xlpm.id),COUNTIF('5. JSACI'!$M:$M,_xlpm.id),COUNTIF('6. AIN'!$M:$M,_xlpm.id),COUNTIF('7. MS'!$M:$M,_xlpm.id),COUNTIF('8. DS'!$M:$M,_xlpm.id),COUNTIF('9. RMF'!$M:$M,_xlpm.id),COUNTIF('10. PCU'!$M:$M,_xlpm.id))))</f>
        <v>0</v>
      </c>
    </row>
    <row r="1390" spans="1:9">
      <c r="A1390" t="s">
        <v>9389</v>
      </c>
      <c r="B1390" t="s">
        <v>2124</v>
      </c>
      <c r="C1390">
        <v>1808</v>
      </c>
      <c r="D1390">
        <v>1</v>
      </c>
      <c r="E1390" s="23">
        <v>32</v>
      </c>
      <c r="F1390" t="s">
        <v>8102</v>
      </c>
      <c r="G1390" t="s">
        <v>10484</v>
      </c>
      <c r="H1390" t="s">
        <v>8021</v>
      </c>
      <c r="I1390">
        <f>_xlfn.LET(_xlpm.id,TRIM($A1390),IF(_xlpm.id="","",SUM(COUNTIF('1. OP'!$M:$M,_xlpm.id),COUNTIF('2. JSEL'!$M:$M,_xlpm.id),COUNTIF('3. PSM'!$M:$M,_xlpm.id),COUNTIF('4. SSP'!$M:$M,_xlpm.id),COUNTIF('5. JSACI'!$M:$M,_xlpm.id),COUNTIF('6. AIN'!$M:$M,_xlpm.id),COUNTIF('7. MS'!$M:$M,_xlpm.id),COUNTIF('8. DS'!$M:$M,_xlpm.id),COUNTIF('9. RMF'!$M:$M,_xlpm.id),COUNTIF('10. PCU'!$M:$M,_xlpm.id))))</f>
        <v>0</v>
      </c>
    </row>
    <row r="1391" spans="1:9">
      <c r="A1391" t="s">
        <v>9390</v>
      </c>
      <c r="B1391" t="s">
        <v>2124</v>
      </c>
      <c r="C1391">
        <v>1808</v>
      </c>
      <c r="D1391">
        <v>1</v>
      </c>
      <c r="E1391" s="23">
        <v>33</v>
      </c>
      <c r="F1391" t="s">
        <v>8102</v>
      </c>
      <c r="G1391" t="s">
        <v>10484</v>
      </c>
      <c r="H1391" t="s">
        <v>8021</v>
      </c>
      <c r="I1391">
        <f>_xlfn.LET(_xlpm.id,TRIM($A1391),IF(_xlpm.id="","",SUM(COUNTIF('1. OP'!$M:$M,_xlpm.id),COUNTIF('2. JSEL'!$M:$M,_xlpm.id),COUNTIF('3. PSM'!$M:$M,_xlpm.id),COUNTIF('4. SSP'!$M:$M,_xlpm.id),COUNTIF('5. JSACI'!$M:$M,_xlpm.id),COUNTIF('6. AIN'!$M:$M,_xlpm.id),COUNTIF('7. MS'!$M:$M,_xlpm.id),COUNTIF('8. DS'!$M:$M,_xlpm.id),COUNTIF('9. RMF'!$M:$M,_xlpm.id),COUNTIF('10. PCU'!$M:$M,_xlpm.id))))</f>
        <v>0</v>
      </c>
    </row>
    <row r="1392" spans="1:9">
      <c r="A1392" t="s">
        <v>9391</v>
      </c>
      <c r="B1392" t="s">
        <v>2124</v>
      </c>
      <c r="C1392">
        <v>1809</v>
      </c>
      <c r="D1392">
        <v>1</v>
      </c>
      <c r="E1392" s="23">
        <v>34</v>
      </c>
      <c r="F1392" t="s">
        <v>8102</v>
      </c>
      <c r="G1392" t="s">
        <v>10484</v>
      </c>
      <c r="H1392" t="s">
        <v>8021</v>
      </c>
      <c r="I1392">
        <f>_xlfn.LET(_xlpm.id,TRIM($A1392),IF(_xlpm.id="","",SUM(COUNTIF('1. OP'!$M:$M,_xlpm.id),COUNTIF('2. JSEL'!$M:$M,_xlpm.id),COUNTIF('3. PSM'!$M:$M,_xlpm.id),COUNTIF('4. SSP'!$M:$M,_xlpm.id),COUNTIF('5. JSACI'!$M:$M,_xlpm.id),COUNTIF('6. AIN'!$M:$M,_xlpm.id),COUNTIF('7. MS'!$M:$M,_xlpm.id),COUNTIF('8. DS'!$M:$M,_xlpm.id),COUNTIF('9. RMF'!$M:$M,_xlpm.id),COUNTIF('10. PCU'!$M:$M,_xlpm.id))))</f>
        <v>0</v>
      </c>
    </row>
    <row r="1393" spans="1:9">
      <c r="A1393" t="s">
        <v>9392</v>
      </c>
      <c r="B1393" t="s">
        <v>2124</v>
      </c>
      <c r="C1393">
        <v>1809</v>
      </c>
      <c r="D1393">
        <v>1</v>
      </c>
      <c r="E1393" s="23">
        <v>35</v>
      </c>
      <c r="F1393" t="s">
        <v>8102</v>
      </c>
      <c r="G1393" t="s">
        <v>10484</v>
      </c>
      <c r="H1393" t="s">
        <v>8021</v>
      </c>
      <c r="I1393">
        <f>_xlfn.LET(_xlpm.id,TRIM($A1393),IF(_xlpm.id="","",SUM(COUNTIF('1. OP'!$M:$M,_xlpm.id),COUNTIF('2. JSEL'!$M:$M,_xlpm.id),COUNTIF('3. PSM'!$M:$M,_xlpm.id),COUNTIF('4. SSP'!$M:$M,_xlpm.id),COUNTIF('5. JSACI'!$M:$M,_xlpm.id),COUNTIF('6. AIN'!$M:$M,_xlpm.id),COUNTIF('7. MS'!$M:$M,_xlpm.id),COUNTIF('8. DS'!$M:$M,_xlpm.id),COUNTIF('9. RMF'!$M:$M,_xlpm.id),COUNTIF('10. PCU'!$M:$M,_xlpm.id))))</f>
        <v>0</v>
      </c>
    </row>
    <row r="1394" spans="1:9">
      <c r="A1394" t="s">
        <v>9393</v>
      </c>
      <c r="B1394" t="s">
        <v>2124</v>
      </c>
      <c r="C1394">
        <v>1809</v>
      </c>
      <c r="D1394">
        <v>1</v>
      </c>
      <c r="E1394" s="23">
        <v>36</v>
      </c>
      <c r="F1394" t="s">
        <v>8102</v>
      </c>
      <c r="G1394" t="s">
        <v>10484</v>
      </c>
      <c r="H1394" t="s">
        <v>8021</v>
      </c>
      <c r="I1394">
        <f>_xlfn.LET(_xlpm.id,TRIM($A1394),IF(_xlpm.id="","",SUM(COUNTIF('1. OP'!$M:$M,_xlpm.id),COUNTIF('2. JSEL'!$M:$M,_xlpm.id),COUNTIF('3. PSM'!$M:$M,_xlpm.id),COUNTIF('4. SSP'!$M:$M,_xlpm.id),COUNTIF('5. JSACI'!$M:$M,_xlpm.id),COUNTIF('6. AIN'!$M:$M,_xlpm.id),COUNTIF('7. MS'!$M:$M,_xlpm.id),COUNTIF('8. DS'!$M:$M,_xlpm.id),COUNTIF('9. RMF'!$M:$M,_xlpm.id),COUNTIF('10. PCU'!$M:$M,_xlpm.id))))</f>
        <v>0</v>
      </c>
    </row>
    <row r="1395" spans="1:9">
      <c r="A1395" t="s">
        <v>9394</v>
      </c>
      <c r="B1395" t="s">
        <v>2124</v>
      </c>
      <c r="C1395">
        <v>1810</v>
      </c>
      <c r="D1395">
        <v>1</v>
      </c>
      <c r="E1395" s="23">
        <v>37</v>
      </c>
      <c r="F1395" t="s">
        <v>8102</v>
      </c>
      <c r="G1395" t="s">
        <v>10484</v>
      </c>
      <c r="H1395" t="s">
        <v>8021</v>
      </c>
      <c r="I1395">
        <f>_xlfn.LET(_xlpm.id,TRIM($A1395),IF(_xlpm.id="","",SUM(COUNTIF('1. OP'!$M:$M,_xlpm.id),COUNTIF('2. JSEL'!$M:$M,_xlpm.id),COUNTIF('3. PSM'!$M:$M,_xlpm.id),COUNTIF('4. SSP'!$M:$M,_xlpm.id),COUNTIF('5. JSACI'!$M:$M,_xlpm.id),COUNTIF('6. AIN'!$M:$M,_xlpm.id),COUNTIF('7. MS'!$M:$M,_xlpm.id),COUNTIF('8. DS'!$M:$M,_xlpm.id),COUNTIF('9. RMF'!$M:$M,_xlpm.id),COUNTIF('10. PCU'!$M:$M,_xlpm.id))))</f>
        <v>0</v>
      </c>
    </row>
    <row r="1396" spans="1:9">
      <c r="A1396" t="s">
        <v>9395</v>
      </c>
      <c r="B1396" t="s">
        <v>2124</v>
      </c>
      <c r="C1396">
        <v>1810</v>
      </c>
      <c r="D1396">
        <v>1</v>
      </c>
      <c r="E1396" s="23">
        <v>38</v>
      </c>
      <c r="F1396" t="s">
        <v>8102</v>
      </c>
      <c r="G1396" t="s">
        <v>10484</v>
      </c>
      <c r="H1396" t="s">
        <v>8021</v>
      </c>
      <c r="I1396">
        <f>_xlfn.LET(_xlpm.id,TRIM($A1396),IF(_xlpm.id="","",SUM(COUNTIF('1. OP'!$M:$M,_xlpm.id),COUNTIF('2. JSEL'!$M:$M,_xlpm.id),COUNTIF('3. PSM'!$M:$M,_xlpm.id),COUNTIF('4. SSP'!$M:$M,_xlpm.id),COUNTIF('5. JSACI'!$M:$M,_xlpm.id),COUNTIF('6. AIN'!$M:$M,_xlpm.id),COUNTIF('7. MS'!$M:$M,_xlpm.id),COUNTIF('8. DS'!$M:$M,_xlpm.id),COUNTIF('9. RMF'!$M:$M,_xlpm.id),COUNTIF('10. PCU'!$M:$M,_xlpm.id))))</f>
        <v>0</v>
      </c>
    </row>
    <row r="1397" spans="1:9">
      <c r="A1397" t="s">
        <v>9396</v>
      </c>
      <c r="B1397" t="s">
        <v>2124</v>
      </c>
      <c r="C1397">
        <v>1810</v>
      </c>
      <c r="D1397">
        <v>1</v>
      </c>
      <c r="E1397" s="23">
        <v>39</v>
      </c>
      <c r="F1397" t="s">
        <v>8102</v>
      </c>
      <c r="G1397" t="s">
        <v>10484</v>
      </c>
      <c r="H1397" t="s">
        <v>8021</v>
      </c>
      <c r="I1397">
        <f>_xlfn.LET(_xlpm.id,TRIM($A1397),IF(_xlpm.id="","",SUM(COUNTIF('1. OP'!$M:$M,_xlpm.id),COUNTIF('2. JSEL'!$M:$M,_xlpm.id),COUNTIF('3. PSM'!$M:$M,_xlpm.id),COUNTIF('4. SSP'!$M:$M,_xlpm.id),COUNTIF('5. JSACI'!$M:$M,_xlpm.id),COUNTIF('6. AIN'!$M:$M,_xlpm.id),COUNTIF('7. MS'!$M:$M,_xlpm.id),COUNTIF('8. DS'!$M:$M,_xlpm.id),COUNTIF('9. RMF'!$M:$M,_xlpm.id),COUNTIF('10. PCU'!$M:$M,_xlpm.id))))</f>
        <v>0</v>
      </c>
    </row>
    <row r="1398" spans="1:9">
      <c r="A1398" t="s">
        <v>9397</v>
      </c>
      <c r="B1398" t="s">
        <v>2124</v>
      </c>
      <c r="C1398">
        <v>1811</v>
      </c>
      <c r="D1398">
        <v>1</v>
      </c>
      <c r="E1398" s="23">
        <v>40</v>
      </c>
      <c r="F1398" t="s">
        <v>8102</v>
      </c>
      <c r="G1398" t="s">
        <v>10484</v>
      </c>
      <c r="H1398" t="s">
        <v>8021</v>
      </c>
      <c r="I1398">
        <f>_xlfn.LET(_xlpm.id,TRIM($A1398),IF(_xlpm.id="","",SUM(COUNTIF('1. OP'!$M:$M,_xlpm.id),COUNTIF('2. JSEL'!$M:$M,_xlpm.id),COUNTIF('3. PSM'!$M:$M,_xlpm.id),COUNTIF('4. SSP'!$M:$M,_xlpm.id),COUNTIF('5. JSACI'!$M:$M,_xlpm.id),COUNTIF('6. AIN'!$M:$M,_xlpm.id),COUNTIF('7. MS'!$M:$M,_xlpm.id),COUNTIF('8. DS'!$M:$M,_xlpm.id),COUNTIF('9. RMF'!$M:$M,_xlpm.id),COUNTIF('10. PCU'!$M:$M,_xlpm.id))))</f>
        <v>0</v>
      </c>
    </row>
    <row r="1399" spans="1:9">
      <c r="A1399" t="s">
        <v>9398</v>
      </c>
      <c r="B1399" t="s">
        <v>2124</v>
      </c>
      <c r="C1399">
        <v>1811</v>
      </c>
      <c r="D1399">
        <v>1</v>
      </c>
      <c r="E1399" s="23">
        <v>41</v>
      </c>
      <c r="F1399" t="s">
        <v>8102</v>
      </c>
      <c r="G1399" t="s">
        <v>10484</v>
      </c>
      <c r="H1399" t="s">
        <v>8021</v>
      </c>
      <c r="I1399">
        <f>_xlfn.LET(_xlpm.id,TRIM($A1399),IF(_xlpm.id="","",SUM(COUNTIF('1. OP'!$M:$M,_xlpm.id),COUNTIF('2. JSEL'!$M:$M,_xlpm.id),COUNTIF('3. PSM'!$M:$M,_xlpm.id),COUNTIF('4. SSP'!$M:$M,_xlpm.id),COUNTIF('5. JSACI'!$M:$M,_xlpm.id),COUNTIF('6. AIN'!$M:$M,_xlpm.id),COUNTIF('7. MS'!$M:$M,_xlpm.id),COUNTIF('8. DS'!$M:$M,_xlpm.id),COUNTIF('9. RMF'!$M:$M,_xlpm.id),COUNTIF('10. PCU'!$M:$M,_xlpm.id))))</f>
        <v>0</v>
      </c>
    </row>
    <row r="1400" spans="1:9">
      <c r="A1400" t="s">
        <v>9399</v>
      </c>
      <c r="B1400" t="s">
        <v>2124</v>
      </c>
      <c r="C1400">
        <v>1811</v>
      </c>
      <c r="D1400">
        <v>1</v>
      </c>
      <c r="E1400" s="23">
        <v>42</v>
      </c>
      <c r="F1400" t="s">
        <v>8102</v>
      </c>
      <c r="G1400" t="s">
        <v>10484</v>
      </c>
      <c r="H1400" t="s">
        <v>8021</v>
      </c>
      <c r="I1400">
        <f>_xlfn.LET(_xlpm.id,TRIM($A1400),IF(_xlpm.id="","",SUM(COUNTIF('1. OP'!$M:$M,_xlpm.id),COUNTIF('2. JSEL'!$M:$M,_xlpm.id),COUNTIF('3. PSM'!$M:$M,_xlpm.id),COUNTIF('4. SSP'!$M:$M,_xlpm.id),COUNTIF('5. JSACI'!$M:$M,_xlpm.id),COUNTIF('6. AIN'!$M:$M,_xlpm.id),COUNTIF('7. MS'!$M:$M,_xlpm.id),COUNTIF('8. DS'!$M:$M,_xlpm.id),COUNTIF('9. RMF'!$M:$M,_xlpm.id),COUNTIF('10. PCU'!$M:$M,_xlpm.id))))</f>
        <v>0</v>
      </c>
    </row>
    <row r="1401" spans="1:9">
      <c r="A1401" t="s">
        <v>9400</v>
      </c>
      <c r="B1401" t="s">
        <v>2124</v>
      </c>
      <c r="C1401">
        <v>1812</v>
      </c>
      <c r="D1401">
        <v>1</v>
      </c>
      <c r="E1401" s="23">
        <v>43</v>
      </c>
      <c r="F1401" t="s">
        <v>8102</v>
      </c>
      <c r="G1401" t="s">
        <v>10484</v>
      </c>
      <c r="H1401" t="s">
        <v>8021</v>
      </c>
      <c r="I1401">
        <f>_xlfn.LET(_xlpm.id,TRIM($A1401),IF(_xlpm.id="","",SUM(COUNTIF('1. OP'!$M:$M,_xlpm.id),COUNTIF('2. JSEL'!$M:$M,_xlpm.id),COUNTIF('3. PSM'!$M:$M,_xlpm.id),COUNTIF('4. SSP'!$M:$M,_xlpm.id),COUNTIF('5. JSACI'!$M:$M,_xlpm.id),COUNTIF('6. AIN'!$M:$M,_xlpm.id),COUNTIF('7. MS'!$M:$M,_xlpm.id),COUNTIF('8. DS'!$M:$M,_xlpm.id),COUNTIF('9. RMF'!$M:$M,_xlpm.id),COUNTIF('10. PCU'!$M:$M,_xlpm.id))))</f>
        <v>0</v>
      </c>
    </row>
    <row r="1402" spans="1:9">
      <c r="A1402" t="s">
        <v>9401</v>
      </c>
      <c r="B1402" t="s">
        <v>2124</v>
      </c>
      <c r="C1402">
        <v>1812</v>
      </c>
      <c r="D1402">
        <v>1</v>
      </c>
      <c r="E1402" s="23">
        <v>44</v>
      </c>
      <c r="F1402" t="s">
        <v>8102</v>
      </c>
      <c r="G1402" t="s">
        <v>10484</v>
      </c>
      <c r="H1402" t="s">
        <v>8021</v>
      </c>
      <c r="I1402">
        <f>_xlfn.LET(_xlpm.id,TRIM($A1402),IF(_xlpm.id="","",SUM(COUNTIF('1. OP'!$M:$M,_xlpm.id),COUNTIF('2. JSEL'!$M:$M,_xlpm.id),COUNTIF('3. PSM'!$M:$M,_xlpm.id),COUNTIF('4. SSP'!$M:$M,_xlpm.id),COUNTIF('5. JSACI'!$M:$M,_xlpm.id),COUNTIF('6. AIN'!$M:$M,_xlpm.id),COUNTIF('7. MS'!$M:$M,_xlpm.id),COUNTIF('8. DS'!$M:$M,_xlpm.id),COUNTIF('9. RMF'!$M:$M,_xlpm.id),COUNTIF('10. PCU'!$M:$M,_xlpm.id))))</f>
        <v>0</v>
      </c>
    </row>
    <row r="1403" spans="1:9">
      <c r="A1403" t="s">
        <v>9402</v>
      </c>
      <c r="B1403" t="s">
        <v>2124</v>
      </c>
      <c r="C1403">
        <v>1812</v>
      </c>
      <c r="D1403">
        <v>1</v>
      </c>
      <c r="E1403" s="23">
        <v>45</v>
      </c>
      <c r="F1403" t="s">
        <v>8102</v>
      </c>
      <c r="G1403" t="s">
        <v>10484</v>
      </c>
      <c r="H1403" t="s">
        <v>8021</v>
      </c>
      <c r="I1403">
        <f>_xlfn.LET(_xlpm.id,TRIM($A1403),IF(_xlpm.id="","",SUM(COUNTIF('1. OP'!$M:$M,_xlpm.id),COUNTIF('2. JSEL'!$M:$M,_xlpm.id),COUNTIF('3. PSM'!$M:$M,_xlpm.id),COUNTIF('4. SSP'!$M:$M,_xlpm.id),COUNTIF('5. JSACI'!$M:$M,_xlpm.id),COUNTIF('6. AIN'!$M:$M,_xlpm.id),COUNTIF('7. MS'!$M:$M,_xlpm.id),COUNTIF('8. DS'!$M:$M,_xlpm.id),COUNTIF('9. RMF'!$M:$M,_xlpm.id),COUNTIF('10. PCU'!$M:$M,_xlpm.id))))</f>
        <v>0</v>
      </c>
    </row>
    <row r="1404" spans="1:9">
      <c r="A1404" t="s">
        <v>9403</v>
      </c>
      <c r="B1404" t="s">
        <v>2124</v>
      </c>
      <c r="C1404">
        <v>1813</v>
      </c>
      <c r="D1404">
        <v>1</v>
      </c>
      <c r="E1404" s="23">
        <v>46</v>
      </c>
      <c r="F1404" t="s">
        <v>8102</v>
      </c>
      <c r="G1404" t="s">
        <v>10484</v>
      </c>
      <c r="H1404" t="s">
        <v>8021</v>
      </c>
      <c r="I1404">
        <f>_xlfn.LET(_xlpm.id,TRIM($A1404),IF(_xlpm.id="","",SUM(COUNTIF('1. OP'!$M:$M,_xlpm.id),COUNTIF('2. JSEL'!$M:$M,_xlpm.id),COUNTIF('3. PSM'!$M:$M,_xlpm.id),COUNTIF('4. SSP'!$M:$M,_xlpm.id),COUNTIF('5. JSACI'!$M:$M,_xlpm.id),COUNTIF('6. AIN'!$M:$M,_xlpm.id),COUNTIF('7. MS'!$M:$M,_xlpm.id),COUNTIF('8. DS'!$M:$M,_xlpm.id),COUNTIF('9. RMF'!$M:$M,_xlpm.id),COUNTIF('10. PCU'!$M:$M,_xlpm.id))))</f>
        <v>0</v>
      </c>
    </row>
    <row r="1405" spans="1:9">
      <c r="A1405" t="s">
        <v>9404</v>
      </c>
      <c r="B1405" t="s">
        <v>2124</v>
      </c>
      <c r="C1405">
        <v>1813</v>
      </c>
      <c r="D1405">
        <v>1</v>
      </c>
      <c r="E1405" s="23">
        <v>47</v>
      </c>
      <c r="F1405" t="s">
        <v>8102</v>
      </c>
      <c r="G1405" t="s">
        <v>10484</v>
      </c>
      <c r="H1405" t="s">
        <v>8021</v>
      </c>
      <c r="I1405">
        <f>_xlfn.LET(_xlpm.id,TRIM($A1405),IF(_xlpm.id="","",SUM(COUNTIF('1. OP'!$M:$M,_xlpm.id),COUNTIF('2. JSEL'!$M:$M,_xlpm.id),COUNTIF('3. PSM'!$M:$M,_xlpm.id),COUNTIF('4. SSP'!$M:$M,_xlpm.id),COUNTIF('5. JSACI'!$M:$M,_xlpm.id),COUNTIF('6. AIN'!$M:$M,_xlpm.id),COUNTIF('7. MS'!$M:$M,_xlpm.id),COUNTIF('8. DS'!$M:$M,_xlpm.id),COUNTIF('9. RMF'!$M:$M,_xlpm.id),COUNTIF('10. PCU'!$M:$M,_xlpm.id))))</f>
        <v>0</v>
      </c>
    </row>
    <row r="1406" spans="1:9">
      <c r="A1406" t="s">
        <v>9405</v>
      </c>
      <c r="B1406" t="s">
        <v>2124</v>
      </c>
      <c r="C1406">
        <v>1813</v>
      </c>
      <c r="D1406">
        <v>1</v>
      </c>
      <c r="E1406" s="23">
        <v>48</v>
      </c>
      <c r="F1406" t="s">
        <v>8102</v>
      </c>
      <c r="G1406" t="s">
        <v>10484</v>
      </c>
      <c r="H1406" t="s">
        <v>8021</v>
      </c>
      <c r="I1406">
        <f>_xlfn.LET(_xlpm.id,TRIM($A1406),IF(_xlpm.id="","",SUM(COUNTIF('1. OP'!$M:$M,_xlpm.id),COUNTIF('2. JSEL'!$M:$M,_xlpm.id),COUNTIF('3. PSM'!$M:$M,_xlpm.id),COUNTIF('4. SSP'!$M:$M,_xlpm.id),COUNTIF('5. JSACI'!$M:$M,_xlpm.id),COUNTIF('6. AIN'!$M:$M,_xlpm.id),COUNTIF('7. MS'!$M:$M,_xlpm.id),COUNTIF('8. DS'!$M:$M,_xlpm.id),COUNTIF('9. RMF'!$M:$M,_xlpm.id),COUNTIF('10. PCU'!$M:$M,_xlpm.id))))</f>
        <v>0</v>
      </c>
    </row>
    <row r="1407" spans="1:9">
      <c r="A1407" t="s">
        <v>9406</v>
      </c>
      <c r="B1407" t="s">
        <v>2124</v>
      </c>
      <c r="C1407">
        <v>1814</v>
      </c>
      <c r="D1407">
        <v>1</v>
      </c>
      <c r="E1407" s="23">
        <v>49</v>
      </c>
      <c r="F1407" t="s">
        <v>8102</v>
      </c>
      <c r="G1407" t="s">
        <v>10484</v>
      </c>
      <c r="H1407" t="s">
        <v>8021</v>
      </c>
      <c r="I1407">
        <f>_xlfn.LET(_xlpm.id,TRIM($A1407),IF(_xlpm.id="","",SUM(COUNTIF('1. OP'!$M:$M,_xlpm.id),COUNTIF('2. JSEL'!$M:$M,_xlpm.id),COUNTIF('3. PSM'!$M:$M,_xlpm.id),COUNTIF('4. SSP'!$M:$M,_xlpm.id),COUNTIF('5. JSACI'!$M:$M,_xlpm.id),COUNTIF('6. AIN'!$M:$M,_xlpm.id),COUNTIF('7. MS'!$M:$M,_xlpm.id),COUNTIF('8. DS'!$M:$M,_xlpm.id),COUNTIF('9. RMF'!$M:$M,_xlpm.id),COUNTIF('10. PCU'!$M:$M,_xlpm.id))))</f>
        <v>0</v>
      </c>
    </row>
    <row r="1408" spans="1:9">
      <c r="A1408" t="s">
        <v>9407</v>
      </c>
      <c r="B1408" t="s">
        <v>2124</v>
      </c>
      <c r="C1408">
        <v>1814</v>
      </c>
      <c r="D1408">
        <v>1</v>
      </c>
      <c r="E1408" s="23">
        <v>50</v>
      </c>
      <c r="F1408" t="s">
        <v>8102</v>
      </c>
      <c r="G1408" t="s">
        <v>10484</v>
      </c>
      <c r="H1408" t="s">
        <v>8021</v>
      </c>
      <c r="I1408">
        <f>_xlfn.LET(_xlpm.id,TRIM($A1408),IF(_xlpm.id="","",SUM(COUNTIF('1. OP'!$M:$M,_xlpm.id),COUNTIF('2. JSEL'!$M:$M,_xlpm.id),COUNTIF('3. PSM'!$M:$M,_xlpm.id),COUNTIF('4. SSP'!$M:$M,_xlpm.id),COUNTIF('5. JSACI'!$M:$M,_xlpm.id),COUNTIF('6. AIN'!$M:$M,_xlpm.id),COUNTIF('7. MS'!$M:$M,_xlpm.id),COUNTIF('8. DS'!$M:$M,_xlpm.id),COUNTIF('9. RMF'!$M:$M,_xlpm.id),COUNTIF('10. PCU'!$M:$M,_xlpm.id))))</f>
        <v>0</v>
      </c>
    </row>
    <row r="1409" spans="1:9">
      <c r="A1409" t="s">
        <v>9408</v>
      </c>
      <c r="B1409" t="s">
        <v>2124</v>
      </c>
      <c r="C1409">
        <v>1814</v>
      </c>
      <c r="D1409">
        <v>1</v>
      </c>
      <c r="E1409" s="23">
        <v>51</v>
      </c>
      <c r="F1409" t="s">
        <v>8102</v>
      </c>
      <c r="G1409" t="s">
        <v>10484</v>
      </c>
      <c r="H1409" t="s">
        <v>8021</v>
      </c>
      <c r="I1409">
        <f>_xlfn.LET(_xlpm.id,TRIM($A1409),IF(_xlpm.id="","",SUM(COUNTIF('1. OP'!$M:$M,_xlpm.id),COUNTIF('2. JSEL'!$M:$M,_xlpm.id),COUNTIF('3. PSM'!$M:$M,_xlpm.id),COUNTIF('4. SSP'!$M:$M,_xlpm.id),COUNTIF('5. JSACI'!$M:$M,_xlpm.id),COUNTIF('6. AIN'!$M:$M,_xlpm.id),COUNTIF('7. MS'!$M:$M,_xlpm.id),COUNTIF('8. DS'!$M:$M,_xlpm.id),COUNTIF('9. RMF'!$M:$M,_xlpm.id),COUNTIF('10. PCU'!$M:$M,_xlpm.id))))</f>
        <v>0</v>
      </c>
    </row>
    <row r="1410" spans="1:9">
      <c r="A1410" t="s">
        <v>9409</v>
      </c>
      <c r="B1410" t="s">
        <v>2124</v>
      </c>
      <c r="C1410">
        <v>1815</v>
      </c>
      <c r="D1410">
        <v>1</v>
      </c>
      <c r="E1410" s="23">
        <v>52</v>
      </c>
      <c r="F1410" t="s">
        <v>8102</v>
      </c>
      <c r="G1410" t="s">
        <v>10484</v>
      </c>
      <c r="H1410" t="s">
        <v>8021</v>
      </c>
      <c r="I1410">
        <f>_xlfn.LET(_xlpm.id,TRIM($A1410),IF(_xlpm.id="","",SUM(COUNTIF('1. OP'!$M:$M,_xlpm.id),COUNTIF('2. JSEL'!$M:$M,_xlpm.id),COUNTIF('3. PSM'!$M:$M,_xlpm.id),COUNTIF('4. SSP'!$M:$M,_xlpm.id),COUNTIF('5. JSACI'!$M:$M,_xlpm.id),COUNTIF('6. AIN'!$M:$M,_xlpm.id),COUNTIF('7. MS'!$M:$M,_xlpm.id),COUNTIF('8. DS'!$M:$M,_xlpm.id),COUNTIF('9. RMF'!$M:$M,_xlpm.id),COUNTIF('10. PCU'!$M:$M,_xlpm.id))))</f>
        <v>0</v>
      </c>
    </row>
    <row r="1411" spans="1:9">
      <c r="A1411" t="s">
        <v>9410</v>
      </c>
      <c r="B1411" t="s">
        <v>2124</v>
      </c>
      <c r="C1411">
        <v>1815</v>
      </c>
      <c r="D1411">
        <v>1</v>
      </c>
      <c r="E1411" s="23">
        <v>53</v>
      </c>
      <c r="F1411" t="s">
        <v>8102</v>
      </c>
      <c r="G1411" t="s">
        <v>10484</v>
      </c>
      <c r="H1411" t="s">
        <v>8021</v>
      </c>
      <c r="I1411">
        <f>_xlfn.LET(_xlpm.id,TRIM($A1411),IF(_xlpm.id="","",SUM(COUNTIF('1. OP'!$M:$M,_xlpm.id),COUNTIF('2. JSEL'!$M:$M,_xlpm.id),COUNTIF('3. PSM'!$M:$M,_xlpm.id),COUNTIF('4. SSP'!$M:$M,_xlpm.id),COUNTIF('5. JSACI'!$M:$M,_xlpm.id),COUNTIF('6. AIN'!$M:$M,_xlpm.id),COUNTIF('7. MS'!$M:$M,_xlpm.id),COUNTIF('8. DS'!$M:$M,_xlpm.id),COUNTIF('9. RMF'!$M:$M,_xlpm.id),COUNTIF('10. PCU'!$M:$M,_xlpm.id))))</f>
        <v>0</v>
      </c>
    </row>
    <row r="1412" spans="1:9">
      <c r="A1412" t="s">
        <v>9411</v>
      </c>
      <c r="B1412" t="s">
        <v>2124</v>
      </c>
      <c r="C1412">
        <v>1815</v>
      </c>
      <c r="D1412">
        <v>1</v>
      </c>
      <c r="E1412" s="23">
        <v>54</v>
      </c>
      <c r="F1412" t="s">
        <v>8102</v>
      </c>
      <c r="G1412" t="s">
        <v>10484</v>
      </c>
      <c r="H1412" t="s">
        <v>8021</v>
      </c>
      <c r="I1412">
        <f>_xlfn.LET(_xlpm.id,TRIM($A1412),IF(_xlpm.id="","",SUM(COUNTIF('1. OP'!$M:$M,_xlpm.id),COUNTIF('2. JSEL'!$M:$M,_xlpm.id),COUNTIF('3. PSM'!$M:$M,_xlpm.id),COUNTIF('4. SSP'!$M:$M,_xlpm.id),COUNTIF('5. JSACI'!$M:$M,_xlpm.id),COUNTIF('6. AIN'!$M:$M,_xlpm.id),COUNTIF('7. MS'!$M:$M,_xlpm.id),COUNTIF('8. DS'!$M:$M,_xlpm.id),COUNTIF('9. RMF'!$M:$M,_xlpm.id),COUNTIF('10. PCU'!$M:$M,_xlpm.id))))</f>
        <v>0</v>
      </c>
    </row>
    <row r="1413" spans="1:9">
      <c r="A1413" t="s">
        <v>9412</v>
      </c>
      <c r="B1413" t="s">
        <v>2124</v>
      </c>
      <c r="C1413">
        <v>1816</v>
      </c>
      <c r="D1413">
        <v>1</v>
      </c>
      <c r="E1413" s="23">
        <v>55</v>
      </c>
      <c r="F1413" t="s">
        <v>8102</v>
      </c>
      <c r="G1413" t="s">
        <v>10484</v>
      </c>
      <c r="H1413" t="s">
        <v>8021</v>
      </c>
      <c r="I1413">
        <f>_xlfn.LET(_xlpm.id,TRIM($A1413),IF(_xlpm.id="","",SUM(COUNTIF('1. OP'!$M:$M,_xlpm.id),COUNTIF('2. JSEL'!$M:$M,_xlpm.id),COUNTIF('3. PSM'!$M:$M,_xlpm.id),COUNTIF('4. SSP'!$M:$M,_xlpm.id),COUNTIF('5. JSACI'!$M:$M,_xlpm.id),COUNTIF('6. AIN'!$M:$M,_xlpm.id),COUNTIF('7. MS'!$M:$M,_xlpm.id),COUNTIF('8. DS'!$M:$M,_xlpm.id),COUNTIF('9. RMF'!$M:$M,_xlpm.id),COUNTIF('10. PCU'!$M:$M,_xlpm.id))))</f>
        <v>0</v>
      </c>
    </row>
    <row r="1414" spans="1:9">
      <c r="A1414" t="s">
        <v>9413</v>
      </c>
      <c r="B1414" t="s">
        <v>2124</v>
      </c>
      <c r="C1414">
        <v>1816</v>
      </c>
      <c r="D1414">
        <v>1</v>
      </c>
      <c r="E1414" s="23">
        <v>56</v>
      </c>
      <c r="F1414" t="s">
        <v>8102</v>
      </c>
      <c r="G1414" t="s">
        <v>10484</v>
      </c>
      <c r="H1414" t="s">
        <v>8021</v>
      </c>
      <c r="I1414">
        <f>_xlfn.LET(_xlpm.id,TRIM($A1414),IF(_xlpm.id="","",SUM(COUNTIF('1. OP'!$M:$M,_xlpm.id),COUNTIF('2. JSEL'!$M:$M,_xlpm.id),COUNTIF('3. PSM'!$M:$M,_xlpm.id),COUNTIF('4. SSP'!$M:$M,_xlpm.id),COUNTIF('5. JSACI'!$M:$M,_xlpm.id),COUNTIF('6. AIN'!$M:$M,_xlpm.id),COUNTIF('7. MS'!$M:$M,_xlpm.id),COUNTIF('8. DS'!$M:$M,_xlpm.id),COUNTIF('9. RMF'!$M:$M,_xlpm.id),COUNTIF('10. PCU'!$M:$M,_xlpm.id))))</f>
        <v>0</v>
      </c>
    </row>
    <row r="1415" spans="1:9">
      <c r="A1415" t="s">
        <v>9414</v>
      </c>
      <c r="B1415" t="s">
        <v>2124</v>
      </c>
      <c r="C1415">
        <v>1816</v>
      </c>
      <c r="D1415">
        <v>1</v>
      </c>
      <c r="E1415" s="23">
        <v>57</v>
      </c>
      <c r="F1415" t="s">
        <v>8102</v>
      </c>
      <c r="G1415" t="s">
        <v>10484</v>
      </c>
      <c r="H1415" t="s">
        <v>8021</v>
      </c>
      <c r="I1415">
        <f>_xlfn.LET(_xlpm.id,TRIM($A1415),IF(_xlpm.id="","",SUM(COUNTIF('1. OP'!$M:$M,_xlpm.id),COUNTIF('2. JSEL'!$M:$M,_xlpm.id),COUNTIF('3. PSM'!$M:$M,_xlpm.id),COUNTIF('4. SSP'!$M:$M,_xlpm.id),COUNTIF('5. JSACI'!$M:$M,_xlpm.id),COUNTIF('6. AIN'!$M:$M,_xlpm.id),COUNTIF('7. MS'!$M:$M,_xlpm.id),COUNTIF('8. DS'!$M:$M,_xlpm.id),COUNTIF('9. RMF'!$M:$M,_xlpm.id),COUNTIF('10. PCU'!$M:$M,_xlpm.id))))</f>
        <v>0</v>
      </c>
    </row>
    <row r="1416" spans="1:9">
      <c r="A1416" t="s">
        <v>9415</v>
      </c>
      <c r="B1416" t="s">
        <v>2124</v>
      </c>
      <c r="C1416">
        <v>1816</v>
      </c>
      <c r="D1416">
        <v>1</v>
      </c>
      <c r="E1416" s="23">
        <v>58</v>
      </c>
      <c r="F1416" t="s">
        <v>8102</v>
      </c>
      <c r="G1416" t="s">
        <v>10484</v>
      </c>
      <c r="H1416" t="s">
        <v>8021</v>
      </c>
      <c r="I1416">
        <f>_xlfn.LET(_xlpm.id,TRIM($A1416),IF(_xlpm.id="","",SUM(COUNTIF('1. OP'!$M:$M,_xlpm.id),COUNTIF('2. JSEL'!$M:$M,_xlpm.id),COUNTIF('3. PSM'!$M:$M,_xlpm.id),COUNTIF('4. SSP'!$M:$M,_xlpm.id),COUNTIF('5. JSACI'!$M:$M,_xlpm.id),COUNTIF('6. AIN'!$M:$M,_xlpm.id),COUNTIF('7. MS'!$M:$M,_xlpm.id),COUNTIF('8. DS'!$M:$M,_xlpm.id),COUNTIF('9. RMF'!$M:$M,_xlpm.id),COUNTIF('10. PCU'!$M:$M,_xlpm.id))))</f>
        <v>0</v>
      </c>
    </row>
    <row r="1417" spans="1:9">
      <c r="A1417" t="s">
        <v>9416</v>
      </c>
      <c r="B1417" t="s">
        <v>2124</v>
      </c>
      <c r="C1417">
        <v>1817</v>
      </c>
      <c r="D1417">
        <v>1</v>
      </c>
      <c r="E1417" s="23">
        <v>59</v>
      </c>
      <c r="F1417" t="s">
        <v>8102</v>
      </c>
      <c r="G1417" t="s">
        <v>10484</v>
      </c>
      <c r="H1417" t="s">
        <v>8021</v>
      </c>
      <c r="I1417">
        <f>_xlfn.LET(_xlpm.id,TRIM($A1417),IF(_xlpm.id="","",SUM(COUNTIF('1. OP'!$M:$M,_xlpm.id),COUNTIF('2. JSEL'!$M:$M,_xlpm.id),COUNTIF('3. PSM'!$M:$M,_xlpm.id),COUNTIF('4. SSP'!$M:$M,_xlpm.id),COUNTIF('5. JSACI'!$M:$M,_xlpm.id),COUNTIF('6. AIN'!$M:$M,_xlpm.id),COUNTIF('7. MS'!$M:$M,_xlpm.id),COUNTIF('8. DS'!$M:$M,_xlpm.id),COUNTIF('9. RMF'!$M:$M,_xlpm.id),COUNTIF('10. PCU'!$M:$M,_xlpm.id))))</f>
        <v>0</v>
      </c>
    </row>
    <row r="1418" spans="1:9">
      <c r="A1418" t="s">
        <v>9417</v>
      </c>
      <c r="B1418" t="s">
        <v>2124</v>
      </c>
      <c r="C1418">
        <v>1817</v>
      </c>
      <c r="D1418">
        <v>1</v>
      </c>
      <c r="E1418" s="23">
        <v>60</v>
      </c>
      <c r="F1418" t="s">
        <v>8102</v>
      </c>
      <c r="G1418" t="s">
        <v>10484</v>
      </c>
      <c r="H1418" t="s">
        <v>8021</v>
      </c>
      <c r="I1418">
        <f>_xlfn.LET(_xlpm.id,TRIM($A1418),IF(_xlpm.id="","",SUM(COUNTIF('1. OP'!$M:$M,_xlpm.id),COUNTIF('2. JSEL'!$M:$M,_xlpm.id),COUNTIF('3. PSM'!$M:$M,_xlpm.id),COUNTIF('4. SSP'!$M:$M,_xlpm.id),COUNTIF('5. JSACI'!$M:$M,_xlpm.id),COUNTIF('6. AIN'!$M:$M,_xlpm.id),COUNTIF('7. MS'!$M:$M,_xlpm.id),COUNTIF('8. DS'!$M:$M,_xlpm.id),COUNTIF('9. RMF'!$M:$M,_xlpm.id),COUNTIF('10. PCU'!$M:$M,_xlpm.id))))</f>
        <v>0</v>
      </c>
    </row>
    <row r="1419" spans="1:9">
      <c r="A1419" t="s">
        <v>9418</v>
      </c>
      <c r="B1419" t="s">
        <v>2124</v>
      </c>
      <c r="C1419">
        <v>1817</v>
      </c>
      <c r="D1419">
        <v>1</v>
      </c>
      <c r="E1419" s="23">
        <v>61</v>
      </c>
      <c r="F1419" t="s">
        <v>8102</v>
      </c>
      <c r="G1419" t="s">
        <v>10484</v>
      </c>
      <c r="H1419" t="s">
        <v>8021</v>
      </c>
      <c r="I1419">
        <f>_xlfn.LET(_xlpm.id,TRIM($A1419),IF(_xlpm.id="","",SUM(COUNTIF('1. OP'!$M:$M,_xlpm.id),COUNTIF('2. JSEL'!$M:$M,_xlpm.id),COUNTIF('3. PSM'!$M:$M,_xlpm.id),COUNTIF('4. SSP'!$M:$M,_xlpm.id),COUNTIF('5. JSACI'!$M:$M,_xlpm.id),COUNTIF('6. AIN'!$M:$M,_xlpm.id),COUNTIF('7. MS'!$M:$M,_xlpm.id),COUNTIF('8. DS'!$M:$M,_xlpm.id),COUNTIF('9. RMF'!$M:$M,_xlpm.id),COUNTIF('10. PCU'!$M:$M,_xlpm.id))))</f>
        <v>0</v>
      </c>
    </row>
    <row r="1420" spans="1:9">
      <c r="A1420" t="s">
        <v>9419</v>
      </c>
      <c r="B1420" t="s">
        <v>2124</v>
      </c>
      <c r="C1420">
        <v>1818</v>
      </c>
      <c r="D1420">
        <v>2</v>
      </c>
      <c r="E1420" s="23">
        <v>1</v>
      </c>
      <c r="F1420" t="s">
        <v>8102</v>
      </c>
      <c r="G1420" t="s">
        <v>10484</v>
      </c>
      <c r="H1420" t="s">
        <v>8021</v>
      </c>
      <c r="I1420">
        <f>_xlfn.LET(_xlpm.id,TRIM($A1420),IF(_xlpm.id="","",SUM(COUNTIF('1. OP'!$M:$M,_xlpm.id),COUNTIF('2. JSEL'!$M:$M,_xlpm.id),COUNTIF('3. PSM'!$M:$M,_xlpm.id),COUNTIF('4. SSP'!$M:$M,_xlpm.id),COUNTIF('5. JSACI'!$M:$M,_xlpm.id),COUNTIF('6. AIN'!$M:$M,_xlpm.id),COUNTIF('7. MS'!$M:$M,_xlpm.id),COUNTIF('8. DS'!$M:$M,_xlpm.id),COUNTIF('9. RMF'!$M:$M,_xlpm.id),COUNTIF('10. PCU'!$M:$M,_xlpm.id))))</f>
        <v>0</v>
      </c>
    </row>
    <row r="1421" spans="1:9">
      <c r="A1421" t="s">
        <v>9420</v>
      </c>
      <c r="B1421" t="s">
        <v>2124</v>
      </c>
      <c r="C1421">
        <v>1818</v>
      </c>
      <c r="D1421">
        <v>2</v>
      </c>
      <c r="E1421" s="23">
        <v>2</v>
      </c>
      <c r="F1421" t="s">
        <v>8102</v>
      </c>
      <c r="G1421" t="s">
        <v>10484</v>
      </c>
      <c r="H1421" t="s">
        <v>8021</v>
      </c>
      <c r="I1421">
        <f>_xlfn.LET(_xlpm.id,TRIM($A1421),IF(_xlpm.id="","",SUM(COUNTIF('1. OP'!$M:$M,_xlpm.id),COUNTIF('2. JSEL'!$M:$M,_xlpm.id),COUNTIF('3. PSM'!$M:$M,_xlpm.id),COUNTIF('4. SSP'!$M:$M,_xlpm.id),COUNTIF('5. JSACI'!$M:$M,_xlpm.id),COUNTIF('6. AIN'!$M:$M,_xlpm.id),COUNTIF('7. MS'!$M:$M,_xlpm.id),COUNTIF('8. DS'!$M:$M,_xlpm.id),COUNTIF('9. RMF'!$M:$M,_xlpm.id),COUNTIF('10. PCU'!$M:$M,_xlpm.id))))</f>
        <v>0</v>
      </c>
    </row>
    <row r="1422" spans="1:9">
      <c r="A1422" t="s">
        <v>9421</v>
      </c>
      <c r="B1422" t="s">
        <v>2124</v>
      </c>
      <c r="C1422">
        <v>1818</v>
      </c>
      <c r="D1422">
        <v>2</v>
      </c>
      <c r="E1422" s="23">
        <v>3</v>
      </c>
      <c r="F1422" t="s">
        <v>8102</v>
      </c>
      <c r="G1422" t="s">
        <v>10484</v>
      </c>
      <c r="H1422" t="s">
        <v>8021</v>
      </c>
      <c r="I1422">
        <f>_xlfn.LET(_xlpm.id,TRIM($A1422),IF(_xlpm.id="","",SUM(COUNTIF('1. OP'!$M:$M,_xlpm.id),COUNTIF('2. JSEL'!$M:$M,_xlpm.id),COUNTIF('3. PSM'!$M:$M,_xlpm.id),COUNTIF('4. SSP'!$M:$M,_xlpm.id),COUNTIF('5. JSACI'!$M:$M,_xlpm.id),COUNTIF('6. AIN'!$M:$M,_xlpm.id),COUNTIF('7. MS'!$M:$M,_xlpm.id),COUNTIF('8. DS'!$M:$M,_xlpm.id),COUNTIF('9. RMF'!$M:$M,_xlpm.id),COUNTIF('10. PCU'!$M:$M,_xlpm.id))))</f>
        <v>0</v>
      </c>
    </row>
    <row r="1423" spans="1:9">
      <c r="A1423" t="s">
        <v>9422</v>
      </c>
      <c r="B1423" t="s">
        <v>2124</v>
      </c>
      <c r="C1423">
        <v>1818</v>
      </c>
      <c r="D1423">
        <v>2</v>
      </c>
      <c r="E1423" s="23">
        <v>4</v>
      </c>
      <c r="F1423" t="s">
        <v>8102</v>
      </c>
      <c r="G1423" t="s">
        <v>10484</v>
      </c>
      <c r="H1423" t="s">
        <v>8021</v>
      </c>
      <c r="I1423">
        <f>_xlfn.LET(_xlpm.id,TRIM($A1423),IF(_xlpm.id="","",SUM(COUNTIF('1. OP'!$M:$M,_xlpm.id),COUNTIF('2. JSEL'!$M:$M,_xlpm.id),COUNTIF('3. PSM'!$M:$M,_xlpm.id),COUNTIF('4. SSP'!$M:$M,_xlpm.id),COUNTIF('5. JSACI'!$M:$M,_xlpm.id),COUNTIF('6. AIN'!$M:$M,_xlpm.id),COUNTIF('7. MS'!$M:$M,_xlpm.id),COUNTIF('8. DS'!$M:$M,_xlpm.id),COUNTIF('9. RMF'!$M:$M,_xlpm.id),COUNTIF('10. PCU'!$M:$M,_xlpm.id))))</f>
        <v>0</v>
      </c>
    </row>
    <row r="1424" spans="1:9">
      <c r="A1424" t="s">
        <v>9423</v>
      </c>
      <c r="B1424" t="s">
        <v>2124</v>
      </c>
      <c r="C1424">
        <v>1819</v>
      </c>
      <c r="D1424">
        <v>2</v>
      </c>
      <c r="E1424" s="23">
        <v>5</v>
      </c>
      <c r="F1424" t="s">
        <v>8102</v>
      </c>
      <c r="G1424" t="s">
        <v>10484</v>
      </c>
      <c r="H1424" t="s">
        <v>8021</v>
      </c>
      <c r="I1424">
        <f>_xlfn.LET(_xlpm.id,TRIM($A1424),IF(_xlpm.id="","",SUM(COUNTIF('1. OP'!$M:$M,_xlpm.id),COUNTIF('2. JSEL'!$M:$M,_xlpm.id),COUNTIF('3. PSM'!$M:$M,_xlpm.id),COUNTIF('4. SSP'!$M:$M,_xlpm.id),COUNTIF('5. JSACI'!$M:$M,_xlpm.id),COUNTIF('6. AIN'!$M:$M,_xlpm.id),COUNTIF('7. MS'!$M:$M,_xlpm.id),COUNTIF('8. DS'!$M:$M,_xlpm.id),COUNTIF('9. RMF'!$M:$M,_xlpm.id),COUNTIF('10. PCU'!$M:$M,_xlpm.id))))</f>
        <v>0</v>
      </c>
    </row>
    <row r="1425" spans="1:9">
      <c r="A1425" t="s">
        <v>9424</v>
      </c>
      <c r="B1425" t="s">
        <v>2124</v>
      </c>
      <c r="C1425">
        <v>1819</v>
      </c>
      <c r="D1425">
        <v>2</v>
      </c>
      <c r="E1425" s="23">
        <v>6</v>
      </c>
      <c r="F1425" t="s">
        <v>8102</v>
      </c>
      <c r="G1425" t="s">
        <v>10484</v>
      </c>
      <c r="H1425" t="s">
        <v>8021</v>
      </c>
      <c r="I1425">
        <f>_xlfn.LET(_xlpm.id,TRIM($A1425),IF(_xlpm.id="","",SUM(COUNTIF('1. OP'!$M:$M,_xlpm.id),COUNTIF('2. JSEL'!$M:$M,_xlpm.id),COUNTIF('3. PSM'!$M:$M,_xlpm.id),COUNTIF('4. SSP'!$M:$M,_xlpm.id),COUNTIF('5. JSACI'!$M:$M,_xlpm.id),COUNTIF('6. AIN'!$M:$M,_xlpm.id),COUNTIF('7. MS'!$M:$M,_xlpm.id),COUNTIF('8. DS'!$M:$M,_xlpm.id),COUNTIF('9. RMF'!$M:$M,_xlpm.id),COUNTIF('10. PCU'!$M:$M,_xlpm.id))))</f>
        <v>0</v>
      </c>
    </row>
    <row r="1426" spans="1:9">
      <c r="A1426" t="s">
        <v>9425</v>
      </c>
      <c r="B1426" t="s">
        <v>2124</v>
      </c>
      <c r="C1426">
        <v>1819</v>
      </c>
      <c r="D1426">
        <v>2</v>
      </c>
      <c r="E1426" s="23">
        <v>7</v>
      </c>
      <c r="F1426" t="s">
        <v>8102</v>
      </c>
      <c r="G1426" t="s">
        <v>10484</v>
      </c>
      <c r="H1426" t="s">
        <v>8021</v>
      </c>
      <c r="I1426">
        <f>_xlfn.LET(_xlpm.id,TRIM($A1426),IF(_xlpm.id="","",SUM(COUNTIF('1. OP'!$M:$M,_xlpm.id),COUNTIF('2. JSEL'!$M:$M,_xlpm.id),COUNTIF('3. PSM'!$M:$M,_xlpm.id),COUNTIF('4. SSP'!$M:$M,_xlpm.id),COUNTIF('5. JSACI'!$M:$M,_xlpm.id),COUNTIF('6. AIN'!$M:$M,_xlpm.id),COUNTIF('7. MS'!$M:$M,_xlpm.id),COUNTIF('8. DS'!$M:$M,_xlpm.id),COUNTIF('9. RMF'!$M:$M,_xlpm.id),COUNTIF('10. PCU'!$M:$M,_xlpm.id))))</f>
        <v>0</v>
      </c>
    </row>
    <row r="1427" spans="1:9">
      <c r="A1427" t="s">
        <v>9426</v>
      </c>
      <c r="B1427" t="s">
        <v>2124</v>
      </c>
      <c r="C1427">
        <v>1819</v>
      </c>
      <c r="D1427">
        <v>2</v>
      </c>
      <c r="E1427" s="23">
        <v>8</v>
      </c>
      <c r="F1427" t="s">
        <v>8102</v>
      </c>
      <c r="G1427" t="s">
        <v>10484</v>
      </c>
      <c r="H1427" t="s">
        <v>8021</v>
      </c>
      <c r="I1427">
        <f>_xlfn.LET(_xlpm.id,TRIM($A1427),IF(_xlpm.id="","",SUM(COUNTIF('1. OP'!$M:$M,_xlpm.id),COUNTIF('2. JSEL'!$M:$M,_xlpm.id),COUNTIF('3. PSM'!$M:$M,_xlpm.id),COUNTIF('4. SSP'!$M:$M,_xlpm.id),COUNTIF('5. JSACI'!$M:$M,_xlpm.id),COUNTIF('6. AIN'!$M:$M,_xlpm.id),COUNTIF('7. MS'!$M:$M,_xlpm.id),COUNTIF('8. DS'!$M:$M,_xlpm.id),COUNTIF('9. RMF'!$M:$M,_xlpm.id),COUNTIF('10. PCU'!$M:$M,_xlpm.id))))</f>
        <v>0</v>
      </c>
    </row>
    <row r="1428" spans="1:9">
      <c r="A1428" t="s">
        <v>9427</v>
      </c>
      <c r="B1428" t="s">
        <v>2124</v>
      </c>
      <c r="C1428">
        <v>1820</v>
      </c>
      <c r="D1428">
        <v>2</v>
      </c>
      <c r="E1428" s="23">
        <v>9</v>
      </c>
      <c r="F1428" t="s">
        <v>8102</v>
      </c>
      <c r="G1428" t="s">
        <v>10484</v>
      </c>
      <c r="H1428" t="s">
        <v>8021</v>
      </c>
      <c r="I1428">
        <f>_xlfn.LET(_xlpm.id,TRIM($A1428),IF(_xlpm.id="","",SUM(COUNTIF('1. OP'!$M:$M,_xlpm.id),COUNTIF('2. JSEL'!$M:$M,_xlpm.id),COUNTIF('3. PSM'!$M:$M,_xlpm.id),COUNTIF('4. SSP'!$M:$M,_xlpm.id),COUNTIF('5. JSACI'!$M:$M,_xlpm.id),COUNTIF('6. AIN'!$M:$M,_xlpm.id),COUNTIF('7. MS'!$M:$M,_xlpm.id),COUNTIF('8. DS'!$M:$M,_xlpm.id),COUNTIF('9. RMF'!$M:$M,_xlpm.id),COUNTIF('10. PCU'!$M:$M,_xlpm.id))))</f>
        <v>0</v>
      </c>
    </row>
    <row r="1429" spans="1:9">
      <c r="A1429" t="s">
        <v>9428</v>
      </c>
      <c r="B1429" t="s">
        <v>2124</v>
      </c>
      <c r="C1429">
        <v>1820</v>
      </c>
      <c r="D1429">
        <v>2</v>
      </c>
      <c r="E1429" s="23">
        <v>10</v>
      </c>
      <c r="F1429" t="s">
        <v>8102</v>
      </c>
      <c r="G1429" t="s">
        <v>10484</v>
      </c>
      <c r="H1429" t="s">
        <v>8021</v>
      </c>
      <c r="I1429">
        <f>_xlfn.LET(_xlpm.id,TRIM($A1429),IF(_xlpm.id="","",SUM(COUNTIF('1. OP'!$M:$M,_xlpm.id),COUNTIF('2. JSEL'!$M:$M,_xlpm.id),COUNTIF('3. PSM'!$M:$M,_xlpm.id),COUNTIF('4. SSP'!$M:$M,_xlpm.id),COUNTIF('5. JSACI'!$M:$M,_xlpm.id),COUNTIF('6. AIN'!$M:$M,_xlpm.id),COUNTIF('7. MS'!$M:$M,_xlpm.id),COUNTIF('8. DS'!$M:$M,_xlpm.id),COUNTIF('9. RMF'!$M:$M,_xlpm.id),COUNTIF('10. PCU'!$M:$M,_xlpm.id))))</f>
        <v>0</v>
      </c>
    </row>
    <row r="1430" spans="1:9">
      <c r="A1430" t="s">
        <v>9429</v>
      </c>
      <c r="B1430" t="s">
        <v>2124</v>
      </c>
      <c r="C1430">
        <v>1820</v>
      </c>
      <c r="D1430">
        <v>2</v>
      </c>
      <c r="E1430" s="23">
        <v>11</v>
      </c>
      <c r="F1430" t="s">
        <v>8102</v>
      </c>
      <c r="G1430" t="s">
        <v>10484</v>
      </c>
      <c r="H1430" t="s">
        <v>8021</v>
      </c>
      <c r="I1430">
        <f>_xlfn.LET(_xlpm.id,TRIM($A1430),IF(_xlpm.id="","",SUM(COUNTIF('1. OP'!$M:$M,_xlpm.id),COUNTIF('2. JSEL'!$M:$M,_xlpm.id),COUNTIF('3. PSM'!$M:$M,_xlpm.id),COUNTIF('4. SSP'!$M:$M,_xlpm.id),COUNTIF('5. JSACI'!$M:$M,_xlpm.id),COUNTIF('6. AIN'!$M:$M,_xlpm.id),COUNTIF('7. MS'!$M:$M,_xlpm.id),COUNTIF('8. DS'!$M:$M,_xlpm.id),COUNTIF('9. RMF'!$M:$M,_xlpm.id),COUNTIF('10. PCU'!$M:$M,_xlpm.id))))</f>
        <v>0</v>
      </c>
    </row>
    <row r="1431" spans="1:9">
      <c r="A1431" t="s">
        <v>9430</v>
      </c>
      <c r="B1431" t="s">
        <v>2124</v>
      </c>
      <c r="C1431">
        <v>1820</v>
      </c>
      <c r="D1431">
        <v>2</v>
      </c>
      <c r="E1431" s="23">
        <v>12</v>
      </c>
      <c r="F1431" t="s">
        <v>8102</v>
      </c>
      <c r="G1431" t="s">
        <v>10484</v>
      </c>
      <c r="H1431" t="s">
        <v>8021</v>
      </c>
      <c r="I1431">
        <f>_xlfn.LET(_xlpm.id,TRIM($A1431),IF(_xlpm.id="","",SUM(COUNTIF('1. OP'!$M:$M,_xlpm.id),COUNTIF('2. JSEL'!$M:$M,_xlpm.id),COUNTIF('3. PSM'!$M:$M,_xlpm.id),COUNTIF('4. SSP'!$M:$M,_xlpm.id),COUNTIF('5. JSACI'!$M:$M,_xlpm.id),COUNTIF('6. AIN'!$M:$M,_xlpm.id),COUNTIF('7. MS'!$M:$M,_xlpm.id),COUNTIF('8. DS'!$M:$M,_xlpm.id),COUNTIF('9. RMF'!$M:$M,_xlpm.id),COUNTIF('10. PCU'!$M:$M,_xlpm.id))))</f>
        <v>0</v>
      </c>
    </row>
    <row r="1432" spans="1:9">
      <c r="A1432" t="s">
        <v>9431</v>
      </c>
      <c r="B1432" t="s">
        <v>2124</v>
      </c>
      <c r="C1432">
        <v>1821</v>
      </c>
      <c r="D1432">
        <v>2</v>
      </c>
      <c r="E1432" s="23">
        <v>13</v>
      </c>
      <c r="F1432" t="s">
        <v>8102</v>
      </c>
      <c r="G1432" t="s">
        <v>10484</v>
      </c>
      <c r="H1432" t="s">
        <v>8021</v>
      </c>
      <c r="I1432">
        <f>_xlfn.LET(_xlpm.id,TRIM($A1432),IF(_xlpm.id="","",SUM(COUNTIF('1. OP'!$M:$M,_xlpm.id),COUNTIF('2. JSEL'!$M:$M,_xlpm.id),COUNTIF('3. PSM'!$M:$M,_xlpm.id),COUNTIF('4. SSP'!$M:$M,_xlpm.id),COUNTIF('5. JSACI'!$M:$M,_xlpm.id),COUNTIF('6. AIN'!$M:$M,_xlpm.id),COUNTIF('7. MS'!$M:$M,_xlpm.id),COUNTIF('8. DS'!$M:$M,_xlpm.id),COUNTIF('9. RMF'!$M:$M,_xlpm.id),COUNTIF('10. PCU'!$M:$M,_xlpm.id))))</f>
        <v>0</v>
      </c>
    </row>
    <row r="1433" spans="1:9">
      <c r="A1433" t="s">
        <v>9432</v>
      </c>
      <c r="B1433" t="s">
        <v>2124</v>
      </c>
      <c r="C1433">
        <v>1821</v>
      </c>
      <c r="D1433">
        <v>2</v>
      </c>
      <c r="E1433" s="23">
        <v>14</v>
      </c>
      <c r="F1433" t="s">
        <v>8102</v>
      </c>
      <c r="G1433" t="s">
        <v>10484</v>
      </c>
      <c r="H1433" t="s">
        <v>8021</v>
      </c>
      <c r="I1433">
        <f>_xlfn.LET(_xlpm.id,TRIM($A1433),IF(_xlpm.id="","",SUM(COUNTIF('1. OP'!$M:$M,_xlpm.id),COUNTIF('2. JSEL'!$M:$M,_xlpm.id),COUNTIF('3. PSM'!$M:$M,_xlpm.id),COUNTIF('4. SSP'!$M:$M,_xlpm.id),COUNTIF('5. JSACI'!$M:$M,_xlpm.id),COUNTIF('6. AIN'!$M:$M,_xlpm.id),COUNTIF('7. MS'!$M:$M,_xlpm.id),COUNTIF('8. DS'!$M:$M,_xlpm.id),COUNTIF('9. RMF'!$M:$M,_xlpm.id),COUNTIF('10. PCU'!$M:$M,_xlpm.id))))</f>
        <v>0</v>
      </c>
    </row>
    <row r="1434" spans="1:9">
      <c r="A1434" t="s">
        <v>9433</v>
      </c>
      <c r="B1434" t="s">
        <v>2124</v>
      </c>
      <c r="C1434">
        <v>1821</v>
      </c>
      <c r="D1434">
        <v>2</v>
      </c>
      <c r="E1434" s="23">
        <v>15</v>
      </c>
      <c r="F1434" t="s">
        <v>8102</v>
      </c>
      <c r="G1434" t="s">
        <v>10484</v>
      </c>
      <c r="H1434" t="s">
        <v>8021</v>
      </c>
      <c r="I1434">
        <f>_xlfn.LET(_xlpm.id,TRIM($A1434),IF(_xlpm.id="","",SUM(COUNTIF('1. OP'!$M:$M,_xlpm.id),COUNTIF('2. JSEL'!$M:$M,_xlpm.id),COUNTIF('3. PSM'!$M:$M,_xlpm.id),COUNTIF('4. SSP'!$M:$M,_xlpm.id),COUNTIF('5. JSACI'!$M:$M,_xlpm.id),COUNTIF('6. AIN'!$M:$M,_xlpm.id),COUNTIF('7. MS'!$M:$M,_xlpm.id),COUNTIF('8. DS'!$M:$M,_xlpm.id),COUNTIF('9. RMF'!$M:$M,_xlpm.id),COUNTIF('10. PCU'!$M:$M,_xlpm.id))))</f>
        <v>0</v>
      </c>
    </row>
    <row r="1435" spans="1:9">
      <c r="A1435" t="s">
        <v>9434</v>
      </c>
      <c r="B1435" t="s">
        <v>2124</v>
      </c>
      <c r="C1435">
        <v>1821</v>
      </c>
      <c r="D1435">
        <v>2</v>
      </c>
      <c r="E1435" s="23">
        <v>16</v>
      </c>
      <c r="F1435" t="s">
        <v>8102</v>
      </c>
      <c r="G1435" t="s">
        <v>10484</v>
      </c>
      <c r="H1435" t="s">
        <v>8021</v>
      </c>
      <c r="I1435">
        <f>_xlfn.LET(_xlpm.id,TRIM($A1435),IF(_xlpm.id="","",SUM(COUNTIF('1. OP'!$M:$M,_xlpm.id),COUNTIF('2. JSEL'!$M:$M,_xlpm.id),COUNTIF('3. PSM'!$M:$M,_xlpm.id),COUNTIF('4. SSP'!$M:$M,_xlpm.id),COUNTIF('5. JSACI'!$M:$M,_xlpm.id),COUNTIF('6. AIN'!$M:$M,_xlpm.id),COUNTIF('7. MS'!$M:$M,_xlpm.id),COUNTIF('8. DS'!$M:$M,_xlpm.id),COUNTIF('9. RMF'!$M:$M,_xlpm.id),COUNTIF('10. PCU'!$M:$M,_xlpm.id))))</f>
        <v>0</v>
      </c>
    </row>
    <row r="1436" spans="1:9">
      <c r="A1436" t="s">
        <v>9435</v>
      </c>
      <c r="B1436" t="s">
        <v>2124</v>
      </c>
      <c r="C1436">
        <v>1822</v>
      </c>
      <c r="D1436">
        <v>2</v>
      </c>
      <c r="E1436" s="23">
        <v>17</v>
      </c>
      <c r="F1436" t="s">
        <v>8102</v>
      </c>
      <c r="G1436" t="s">
        <v>10484</v>
      </c>
      <c r="H1436" t="s">
        <v>8021</v>
      </c>
      <c r="I1436">
        <f>_xlfn.LET(_xlpm.id,TRIM($A1436),IF(_xlpm.id="","",SUM(COUNTIF('1. OP'!$M:$M,_xlpm.id),COUNTIF('2. JSEL'!$M:$M,_xlpm.id),COUNTIF('3. PSM'!$M:$M,_xlpm.id),COUNTIF('4. SSP'!$M:$M,_xlpm.id),COUNTIF('5. JSACI'!$M:$M,_xlpm.id),COUNTIF('6. AIN'!$M:$M,_xlpm.id),COUNTIF('7. MS'!$M:$M,_xlpm.id),COUNTIF('8. DS'!$M:$M,_xlpm.id),COUNTIF('9. RMF'!$M:$M,_xlpm.id),COUNTIF('10. PCU'!$M:$M,_xlpm.id))))</f>
        <v>0</v>
      </c>
    </row>
    <row r="1437" spans="1:9">
      <c r="A1437" t="s">
        <v>9436</v>
      </c>
      <c r="B1437" t="s">
        <v>2124</v>
      </c>
      <c r="C1437">
        <v>1822</v>
      </c>
      <c r="D1437">
        <v>2</v>
      </c>
      <c r="E1437" s="23">
        <v>18</v>
      </c>
      <c r="F1437" t="s">
        <v>8102</v>
      </c>
      <c r="G1437" t="s">
        <v>10484</v>
      </c>
      <c r="H1437" t="s">
        <v>8021</v>
      </c>
      <c r="I1437">
        <f>_xlfn.LET(_xlpm.id,TRIM($A1437),IF(_xlpm.id="","",SUM(COUNTIF('1. OP'!$M:$M,_xlpm.id),COUNTIF('2. JSEL'!$M:$M,_xlpm.id),COUNTIF('3. PSM'!$M:$M,_xlpm.id),COUNTIF('4. SSP'!$M:$M,_xlpm.id),COUNTIF('5. JSACI'!$M:$M,_xlpm.id),COUNTIF('6. AIN'!$M:$M,_xlpm.id),COUNTIF('7. MS'!$M:$M,_xlpm.id),COUNTIF('8. DS'!$M:$M,_xlpm.id),COUNTIF('9. RMF'!$M:$M,_xlpm.id),COUNTIF('10. PCU'!$M:$M,_xlpm.id))))</f>
        <v>0</v>
      </c>
    </row>
    <row r="1438" spans="1:9">
      <c r="A1438" t="s">
        <v>9437</v>
      </c>
      <c r="B1438" t="s">
        <v>2124</v>
      </c>
      <c r="C1438">
        <v>1822</v>
      </c>
      <c r="D1438">
        <v>2</v>
      </c>
      <c r="E1438" s="23">
        <v>19</v>
      </c>
      <c r="F1438" t="s">
        <v>8102</v>
      </c>
      <c r="G1438" t="s">
        <v>10484</v>
      </c>
      <c r="H1438" t="s">
        <v>8021</v>
      </c>
      <c r="I1438">
        <f>_xlfn.LET(_xlpm.id,TRIM($A1438),IF(_xlpm.id="","",SUM(COUNTIF('1. OP'!$M:$M,_xlpm.id),COUNTIF('2. JSEL'!$M:$M,_xlpm.id),COUNTIF('3. PSM'!$M:$M,_xlpm.id),COUNTIF('4. SSP'!$M:$M,_xlpm.id),COUNTIF('5. JSACI'!$M:$M,_xlpm.id),COUNTIF('6. AIN'!$M:$M,_xlpm.id),COUNTIF('7. MS'!$M:$M,_xlpm.id),COUNTIF('8. DS'!$M:$M,_xlpm.id),COUNTIF('9. RMF'!$M:$M,_xlpm.id),COUNTIF('10. PCU'!$M:$M,_xlpm.id))))</f>
        <v>0</v>
      </c>
    </row>
    <row r="1439" spans="1:9">
      <c r="A1439" t="s">
        <v>9438</v>
      </c>
      <c r="B1439" t="s">
        <v>2124</v>
      </c>
      <c r="C1439">
        <v>1822</v>
      </c>
      <c r="D1439">
        <v>2</v>
      </c>
      <c r="E1439" s="23">
        <v>20</v>
      </c>
      <c r="F1439" t="s">
        <v>8102</v>
      </c>
      <c r="G1439" t="s">
        <v>10484</v>
      </c>
      <c r="H1439" t="s">
        <v>8021</v>
      </c>
      <c r="I1439">
        <f>_xlfn.LET(_xlpm.id,TRIM($A1439),IF(_xlpm.id="","",SUM(COUNTIF('1. OP'!$M:$M,_xlpm.id),COUNTIF('2. JSEL'!$M:$M,_xlpm.id),COUNTIF('3. PSM'!$M:$M,_xlpm.id),COUNTIF('4. SSP'!$M:$M,_xlpm.id),COUNTIF('5. JSACI'!$M:$M,_xlpm.id),COUNTIF('6. AIN'!$M:$M,_xlpm.id),COUNTIF('7. MS'!$M:$M,_xlpm.id),COUNTIF('8. DS'!$M:$M,_xlpm.id),COUNTIF('9. RMF'!$M:$M,_xlpm.id),COUNTIF('10. PCU'!$M:$M,_xlpm.id))))</f>
        <v>0</v>
      </c>
    </row>
    <row r="1440" spans="1:9">
      <c r="A1440" t="s">
        <v>9439</v>
      </c>
      <c r="B1440" t="s">
        <v>2124</v>
      </c>
      <c r="C1440">
        <v>1823</v>
      </c>
      <c r="D1440">
        <v>2</v>
      </c>
      <c r="E1440" s="23">
        <v>21</v>
      </c>
      <c r="F1440" t="s">
        <v>8102</v>
      </c>
      <c r="G1440" t="s">
        <v>10484</v>
      </c>
      <c r="H1440" t="s">
        <v>8021</v>
      </c>
      <c r="I1440">
        <f>_xlfn.LET(_xlpm.id,TRIM($A1440),IF(_xlpm.id="","",SUM(COUNTIF('1. OP'!$M:$M,_xlpm.id),COUNTIF('2. JSEL'!$M:$M,_xlpm.id),COUNTIF('3. PSM'!$M:$M,_xlpm.id),COUNTIF('4. SSP'!$M:$M,_xlpm.id),COUNTIF('5. JSACI'!$M:$M,_xlpm.id),COUNTIF('6. AIN'!$M:$M,_xlpm.id),COUNTIF('7. MS'!$M:$M,_xlpm.id),COUNTIF('8. DS'!$M:$M,_xlpm.id),COUNTIF('9. RMF'!$M:$M,_xlpm.id),COUNTIF('10. PCU'!$M:$M,_xlpm.id))))</f>
        <v>0</v>
      </c>
    </row>
    <row r="1441" spans="1:9">
      <c r="A1441" t="s">
        <v>9440</v>
      </c>
      <c r="B1441" t="s">
        <v>2124</v>
      </c>
      <c r="C1441">
        <v>1823</v>
      </c>
      <c r="D1441">
        <v>2</v>
      </c>
      <c r="E1441" s="23">
        <v>22</v>
      </c>
      <c r="F1441" t="s">
        <v>8102</v>
      </c>
      <c r="G1441" t="s">
        <v>10484</v>
      </c>
      <c r="H1441" t="s">
        <v>8021</v>
      </c>
      <c r="I1441">
        <f>_xlfn.LET(_xlpm.id,TRIM($A1441),IF(_xlpm.id="","",SUM(COUNTIF('1. OP'!$M:$M,_xlpm.id),COUNTIF('2. JSEL'!$M:$M,_xlpm.id),COUNTIF('3. PSM'!$M:$M,_xlpm.id),COUNTIF('4. SSP'!$M:$M,_xlpm.id),COUNTIF('5. JSACI'!$M:$M,_xlpm.id),COUNTIF('6. AIN'!$M:$M,_xlpm.id),COUNTIF('7. MS'!$M:$M,_xlpm.id),COUNTIF('8. DS'!$M:$M,_xlpm.id),COUNTIF('9. RMF'!$M:$M,_xlpm.id),COUNTIF('10. PCU'!$M:$M,_xlpm.id))))</f>
        <v>0</v>
      </c>
    </row>
    <row r="1442" spans="1:9">
      <c r="A1442" t="s">
        <v>9441</v>
      </c>
      <c r="B1442" t="s">
        <v>2124</v>
      </c>
      <c r="C1442">
        <v>1823</v>
      </c>
      <c r="D1442">
        <v>2</v>
      </c>
      <c r="E1442" s="23">
        <v>23</v>
      </c>
      <c r="F1442" t="s">
        <v>8102</v>
      </c>
      <c r="G1442" t="s">
        <v>10484</v>
      </c>
      <c r="H1442" t="s">
        <v>8021</v>
      </c>
      <c r="I1442">
        <f>_xlfn.LET(_xlpm.id,TRIM($A1442),IF(_xlpm.id="","",SUM(COUNTIF('1. OP'!$M:$M,_xlpm.id),COUNTIF('2. JSEL'!$M:$M,_xlpm.id),COUNTIF('3. PSM'!$M:$M,_xlpm.id),COUNTIF('4. SSP'!$M:$M,_xlpm.id),COUNTIF('5. JSACI'!$M:$M,_xlpm.id),COUNTIF('6. AIN'!$M:$M,_xlpm.id),COUNTIF('7. MS'!$M:$M,_xlpm.id),COUNTIF('8. DS'!$M:$M,_xlpm.id),COUNTIF('9. RMF'!$M:$M,_xlpm.id),COUNTIF('10. PCU'!$M:$M,_xlpm.id))))</f>
        <v>0</v>
      </c>
    </row>
    <row r="1443" spans="1:9">
      <c r="A1443" t="s">
        <v>9442</v>
      </c>
      <c r="B1443" t="s">
        <v>2124</v>
      </c>
      <c r="C1443">
        <v>1823</v>
      </c>
      <c r="D1443">
        <v>2</v>
      </c>
      <c r="E1443" s="23">
        <v>24</v>
      </c>
      <c r="F1443" t="s">
        <v>8102</v>
      </c>
      <c r="G1443" t="s">
        <v>10484</v>
      </c>
      <c r="H1443" t="s">
        <v>8021</v>
      </c>
      <c r="I1443">
        <f>_xlfn.LET(_xlpm.id,TRIM($A1443),IF(_xlpm.id="","",SUM(COUNTIF('1. OP'!$M:$M,_xlpm.id),COUNTIF('2. JSEL'!$M:$M,_xlpm.id),COUNTIF('3. PSM'!$M:$M,_xlpm.id),COUNTIF('4. SSP'!$M:$M,_xlpm.id),COUNTIF('5. JSACI'!$M:$M,_xlpm.id),COUNTIF('6. AIN'!$M:$M,_xlpm.id),COUNTIF('7. MS'!$M:$M,_xlpm.id),COUNTIF('8. DS'!$M:$M,_xlpm.id),COUNTIF('9. RMF'!$M:$M,_xlpm.id),COUNTIF('10. PCU'!$M:$M,_xlpm.id))))</f>
        <v>0</v>
      </c>
    </row>
    <row r="1444" spans="1:9">
      <c r="A1444" t="s">
        <v>9443</v>
      </c>
      <c r="B1444" t="s">
        <v>2124</v>
      </c>
      <c r="C1444">
        <v>1824</v>
      </c>
      <c r="D1444">
        <v>2</v>
      </c>
      <c r="E1444" s="23">
        <v>26</v>
      </c>
      <c r="F1444" t="s">
        <v>8102</v>
      </c>
      <c r="G1444" t="s">
        <v>10484</v>
      </c>
      <c r="H1444" t="s">
        <v>8021</v>
      </c>
      <c r="I1444">
        <f>_xlfn.LET(_xlpm.id,TRIM($A1444),IF(_xlpm.id="","",SUM(COUNTIF('1. OP'!$M:$M,_xlpm.id),COUNTIF('2. JSEL'!$M:$M,_xlpm.id),COUNTIF('3. PSM'!$M:$M,_xlpm.id),COUNTIF('4. SSP'!$M:$M,_xlpm.id),COUNTIF('5. JSACI'!$M:$M,_xlpm.id),COUNTIF('6. AIN'!$M:$M,_xlpm.id),COUNTIF('7. MS'!$M:$M,_xlpm.id),COUNTIF('8. DS'!$M:$M,_xlpm.id),COUNTIF('9. RMF'!$M:$M,_xlpm.id),COUNTIF('10. PCU'!$M:$M,_xlpm.id))))</f>
        <v>0</v>
      </c>
    </row>
    <row r="1445" spans="1:9">
      <c r="A1445" t="s">
        <v>9444</v>
      </c>
      <c r="B1445" t="s">
        <v>2124</v>
      </c>
      <c r="C1445">
        <v>1824</v>
      </c>
      <c r="D1445">
        <v>1</v>
      </c>
      <c r="E1445" s="23">
        <v>25</v>
      </c>
      <c r="F1445" t="s">
        <v>8102</v>
      </c>
      <c r="G1445" t="s">
        <v>10484</v>
      </c>
      <c r="H1445" t="s">
        <v>8021</v>
      </c>
      <c r="I1445">
        <f>_xlfn.LET(_xlpm.id,TRIM($A1445),IF(_xlpm.id="","",SUM(COUNTIF('1. OP'!$M:$M,_xlpm.id),COUNTIF('2. JSEL'!$M:$M,_xlpm.id),COUNTIF('3. PSM'!$M:$M,_xlpm.id),COUNTIF('4. SSP'!$M:$M,_xlpm.id),COUNTIF('5. JSACI'!$M:$M,_xlpm.id),COUNTIF('6. AIN'!$M:$M,_xlpm.id),COUNTIF('7. MS'!$M:$M,_xlpm.id),COUNTIF('8. DS'!$M:$M,_xlpm.id),COUNTIF('9. RMF'!$M:$M,_xlpm.id),COUNTIF('10. PCU'!$M:$M,_xlpm.id))))</f>
        <v>0</v>
      </c>
    </row>
    <row r="1446" spans="1:9">
      <c r="A1446" t="s">
        <v>9445</v>
      </c>
      <c r="B1446" t="s">
        <v>2124</v>
      </c>
      <c r="C1446">
        <v>1824</v>
      </c>
      <c r="D1446">
        <v>2</v>
      </c>
      <c r="E1446" s="23">
        <v>27</v>
      </c>
      <c r="F1446" t="s">
        <v>8102</v>
      </c>
      <c r="G1446" t="s">
        <v>10484</v>
      </c>
      <c r="H1446" t="s">
        <v>8021</v>
      </c>
      <c r="I1446">
        <f>_xlfn.LET(_xlpm.id,TRIM($A1446),IF(_xlpm.id="","",SUM(COUNTIF('1. OP'!$M:$M,_xlpm.id),COUNTIF('2. JSEL'!$M:$M,_xlpm.id),COUNTIF('3. PSM'!$M:$M,_xlpm.id),COUNTIF('4. SSP'!$M:$M,_xlpm.id),COUNTIF('5. JSACI'!$M:$M,_xlpm.id),COUNTIF('6. AIN'!$M:$M,_xlpm.id),COUNTIF('7. MS'!$M:$M,_xlpm.id),COUNTIF('8. DS'!$M:$M,_xlpm.id),COUNTIF('9. RMF'!$M:$M,_xlpm.id),COUNTIF('10. PCU'!$M:$M,_xlpm.id))))</f>
        <v>0</v>
      </c>
    </row>
    <row r="1447" spans="1:9">
      <c r="A1447" t="s">
        <v>9446</v>
      </c>
      <c r="B1447" t="s">
        <v>2124</v>
      </c>
      <c r="C1447">
        <v>1824</v>
      </c>
      <c r="D1447">
        <v>2</v>
      </c>
      <c r="E1447" s="23">
        <v>28</v>
      </c>
      <c r="F1447" t="s">
        <v>8102</v>
      </c>
      <c r="G1447" t="s">
        <v>10484</v>
      </c>
      <c r="H1447" t="s">
        <v>8021</v>
      </c>
      <c r="I1447">
        <f>_xlfn.LET(_xlpm.id,TRIM($A1447),IF(_xlpm.id="","",SUM(COUNTIF('1. OP'!$M:$M,_xlpm.id),COUNTIF('2. JSEL'!$M:$M,_xlpm.id),COUNTIF('3. PSM'!$M:$M,_xlpm.id),COUNTIF('4. SSP'!$M:$M,_xlpm.id),COUNTIF('5. JSACI'!$M:$M,_xlpm.id),COUNTIF('6. AIN'!$M:$M,_xlpm.id),COUNTIF('7. MS'!$M:$M,_xlpm.id),COUNTIF('8. DS'!$M:$M,_xlpm.id),COUNTIF('9. RMF'!$M:$M,_xlpm.id),COUNTIF('10. PCU'!$M:$M,_xlpm.id))))</f>
        <v>0</v>
      </c>
    </row>
    <row r="1448" spans="1:9">
      <c r="A1448" t="s">
        <v>5534</v>
      </c>
      <c r="B1448" t="s">
        <v>2124</v>
      </c>
      <c r="C1448">
        <v>1825</v>
      </c>
      <c r="D1448">
        <v>2</v>
      </c>
      <c r="E1448" s="23" t="s">
        <v>9447</v>
      </c>
      <c r="F1448" t="s">
        <v>8102</v>
      </c>
      <c r="G1448" t="s">
        <v>10484</v>
      </c>
      <c r="H1448" t="s">
        <v>8021</v>
      </c>
      <c r="I1448">
        <f>_xlfn.LET(_xlpm.id,TRIM($A1448),IF(_xlpm.id="","",SUM(COUNTIF('1. OP'!$M:$M,_xlpm.id),COUNTIF('2. JSEL'!$M:$M,_xlpm.id),COUNTIF('3. PSM'!$M:$M,_xlpm.id),COUNTIF('4. SSP'!$M:$M,_xlpm.id),COUNTIF('5. JSACI'!$M:$M,_xlpm.id),COUNTIF('6. AIN'!$M:$M,_xlpm.id),COUNTIF('7. MS'!$M:$M,_xlpm.id),COUNTIF('8. DS'!$M:$M,_xlpm.id),COUNTIF('9. RMF'!$M:$M,_xlpm.id),COUNTIF('10. PCU'!$M:$M,_xlpm.id))))</f>
        <v>2</v>
      </c>
    </row>
    <row r="1449" spans="1:9">
      <c r="A1449" t="s">
        <v>9448</v>
      </c>
      <c r="B1449" t="s">
        <v>2124</v>
      </c>
      <c r="C1449">
        <v>1825</v>
      </c>
      <c r="D1449">
        <v>2</v>
      </c>
      <c r="E1449" s="23" t="s">
        <v>9449</v>
      </c>
      <c r="F1449" t="s">
        <v>8102</v>
      </c>
      <c r="G1449" t="s">
        <v>10484</v>
      </c>
      <c r="H1449" t="s">
        <v>8021</v>
      </c>
      <c r="I1449">
        <f>_xlfn.LET(_xlpm.id,TRIM($A1449),IF(_xlpm.id="","",SUM(COUNTIF('1. OP'!$M:$M,_xlpm.id),COUNTIF('2. JSEL'!$M:$M,_xlpm.id),COUNTIF('3. PSM'!$M:$M,_xlpm.id),COUNTIF('4. SSP'!$M:$M,_xlpm.id),COUNTIF('5. JSACI'!$M:$M,_xlpm.id),COUNTIF('6. AIN'!$M:$M,_xlpm.id),COUNTIF('7. MS'!$M:$M,_xlpm.id),COUNTIF('8. DS'!$M:$M,_xlpm.id),COUNTIF('9. RMF'!$M:$M,_xlpm.id),COUNTIF('10. PCU'!$M:$M,_xlpm.id))))</f>
        <v>0</v>
      </c>
    </row>
    <row r="1450" spans="1:9">
      <c r="A1450" t="s">
        <v>9450</v>
      </c>
      <c r="B1450" t="s">
        <v>2124</v>
      </c>
      <c r="C1450">
        <v>1826</v>
      </c>
      <c r="D1450">
        <v>2</v>
      </c>
      <c r="E1450" s="23" t="s">
        <v>9451</v>
      </c>
      <c r="F1450" t="s">
        <v>8102</v>
      </c>
      <c r="G1450" t="s">
        <v>10484</v>
      </c>
      <c r="H1450" t="s">
        <v>8021</v>
      </c>
      <c r="I1450">
        <f>_xlfn.LET(_xlpm.id,TRIM($A1450),IF(_xlpm.id="","",SUM(COUNTIF('1. OP'!$M:$M,_xlpm.id),COUNTIF('2. JSEL'!$M:$M,_xlpm.id),COUNTIF('3. PSM'!$M:$M,_xlpm.id),COUNTIF('4. SSP'!$M:$M,_xlpm.id),COUNTIF('5. JSACI'!$M:$M,_xlpm.id),COUNTIF('6. AIN'!$M:$M,_xlpm.id),COUNTIF('7. MS'!$M:$M,_xlpm.id),COUNTIF('8. DS'!$M:$M,_xlpm.id),COUNTIF('9. RMF'!$M:$M,_xlpm.id),COUNTIF('10. PCU'!$M:$M,_xlpm.id))))</f>
        <v>0</v>
      </c>
    </row>
    <row r="1451" spans="1:9">
      <c r="A1451" t="s">
        <v>9452</v>
      </c>
      <c r="B1451" t="s">
        <v>2124</v>
      </c>
      <c r="C1451">
        <v>1826</v>
      </c>
      <c r="D1451">
        <v>2</v>
      </c>
      <c r="E1451" s="23" t="s">
        <v>9453</v>
      </c>
      <c r="F1451" t="s">
        <v>8102</v>
      </c>
      <c r="G1451" t="s">
        <v>10484</v>
      </c>
      <c r="H1451" t="s">
        <v>8021</v>
      </c>
      <c r="I1451">
        <f>_xlfn.LET(_xlpm.id,TRIM($A1451),IF(_xlpm.id="","",SUM(COUNTIF('1. OP'!$M:$M,_xlpm.id),COUNTIF('2. JSEL'!$M:$M,_xlpm.id),COUNTIF('3. PSM'!$M:$M,_xlpm.id),COUNTIF('4. SSP'!$M:$M,_xlpm.id),COUNTIF('5. JSACI'!$M:$M,_xlpm.id),COUNTIF('6. AIN'!$M:$M,_xlpm.id),COUNTIF('7. MS'!$M:$M,_xlpm.id),COUNTIF('8. DS'!$M:$M,_xlpm.id),COUNTIF('9. RMF'!$M:$M,_xlpm.id),COUNTIF('10. PCU'!$M:$M,_xlpm.id))))</f>
        <v>0</v>
      </c>
    </row>
    <row r="1452" spans="1:9">
      <c r="A1452" t="s">
        <v>9454</v>
      </c>
      <c r="B1452" t="s">
        <v>2124</v>
      </c>
      <c r="C1452">
        <v>1827</v>
      </c>
      <c r="D1452">
        <v>2</v>
      </c>
      <c r="E1452" s="23" t="s">
        <v>9455</v>
      </c>
      <c r="F1452" t="s">
        <v>8102</v>
      </c>
      <c r="G1452" t="s">
        <v>10484</v>
      </c>
      <c r="H1452" t="s">
        <v>8021</v>
      </c>
      <c r="I1452">
        <f>_xlfn.LET(_xlpm.id,TRIM($A1452),IF(_xlpm.id="","",SUM(COUNTIF('1. OP'!$M:$M,_xlpm.id),COUNTIF('2. JSEL'!$M:$M,_xlpm.id),COUNTIF('3. PSM'!$M:$M,_xlpm.id),COUNTIF('4. SSP'!$M:$M,_xlpm.id),COUNTIF('5. JSACI'!$M:$M,_xlpm.id),COUNTIF('6. AIN'!$M:$M,_xlpm.id),COUNTIF('7. MS'!$M:$M,_xlpm.id),COUNTIF('8. DS'!$M:$M,_xlpm.id),COUNTIF('9. RMF'!$M:$M,_xlpm.id),COUNTIF('10. PCU'!$M:$M,_xlpm.id))))</f>
        <v>0</v>
      </c>
    </row>
    <row r="1453" spans="1:9">
      <c r="A1453" t="s">
        <v>9456</v>
      </c>
      <c r="B1453" t="s">
        <v>2124</v>
      </c>
      <c r="C1453">
        <v>1828</v>
      </c>
      <c r="D1453">
        <v>2</v>
      </c>
      <c r="E1453" s="23">
        <v>41</v>
      </c>
      <c r="F1453" t="s">
        <v>8102</v>
      </c>
      <c r="G1453" t="s">
        <v>10484</v>
      </c>
      <c r="H1453" t="s">
        <v>8021</v>
      </c>
      <c r="I1453">
        <f>_xlfn.LET(_xlpm.id,TRIM($A1453),IF(_xlpm.id="","",SUM(COUNTIF('1. OP'!$M:$M,_xlpm.id),COUNTIF('2. JSEL'!$M:$M,_xlpm.id),COUNTIF('3. PSM'!$M:$M,_xlpm.id),COUNTIF('4. SSP'!$M:$M,_xlpm.id),COUNTIF('5. JSACI'!$M:$M,_xlpm.id),COUNTIF('6. AIN'!$M:$M,_xlpm.id),COUNTIF('7. MS'!$M:$M,_xlpm.id),COUNTIF('8. DS'!$M:$M,_xlpm.id),COUNTIF('9. RMF'!$M:$M,_xlpm.id),COUNTIF('10. PCU'!$M:$M,_xlpm.id))))</f>
        <v>0</v>
      </c>
    </row>
    <row r="1454" spans="1:9">
      <c r="A1454" t="s">
        <v>9457</v>
      </c>
      <c r="B1454" t="s">
        <v>2124</v>
      </c>
      <c r="C1454">
        <v>1828</v>
      </c>
      <c r="D1454">
        <v>3</v>
      </c>
      <c r="E1454" s="23">
        <v>6</v>
      </c>
      <c r="F1454" t="s">
        <v>8102</v>
      </c>
      <c r="G1454" t="s">
        <v>10484</v>
      </c>
      <c r="H1454" t="s">
        <v>8021</v>
      </c>
      <c r="I1454">
        <f>_xlfn.LET(_xlpm.id,TRIM($A1454),IF(_xlpm.id="","",SUM(COUNTIF('1. OP'!$M:$M,_xlpm.id),COUNTIF('2. JSEL'!$M:$M,_xlpm.id),COUNTIF('3. PSM'!$M:$M,_xlpm.id),COUNTIF('4. SSP'!$M:$M,_xlpm.id),COUNTIF('5. JSACI'!$M:$M,_xlpm.id),COUNTIF('6. AIN'!$M:$M,_xlpm.id),COUNTIF('7. MS'!$M:$M,_xlpm.id),COUNTIF('8. DS'!$M:$M,_xlpm.id),COUNTIF('9. RMF'!$M:$M,_xlpm.id),COUNTIF('10. PCU'!$M:$M,_xlpm.id))))</f>
        <v>0</v>
      </c>
    </row>
    <row r="1455" spans="1:9">
      <c r="A1455" t="s">
        <v>9458</v>
      </c>
      <c r="B1455" t="s">
        <v>2124</v>
      </c>
      <c r="C1455">
        <v>1828</v>
      </c>
      <c r="D1455">
        <v>3</v>
      </c>
      <c r="E1455" s="23" t="s">
        <v>8643</v>
      </c>
      <c r="F1455" t="s">
        <v>8102</v>
      </c>
      <c r="G1455" t="s">
        <v>10484</v>
      </c>
      <c r="H1455" t="s">
        <v>8021</v>
      </c>
      <c r="I1455">
        <f>_xlfn.LET(_xlpm.id,TRIM($A1455),IF(_xlpm.id="","",SUM(COUNTIF('1. OP'!$M:$M,_xlpm.id),COUNTIF('2. JSEL'!$M:$M,_xlpm.id),COUNTIF('3. PSM'!$M:$M,_xlpm.id),COUNTIF('4. SSP'!$M:$M,_xlpm.id),COUNTIF('5. JSACI'!$M:$M,_xlpm.id),COUNTIF('6. AIN'!$M:$M,_xlpm.id),COUNTIF('7. MS'!$M:$M,_xlpm.id),COUNTIF('8. DS'!$M:$M,_xlpm.id),COUNTIF('9. RMF'!$M:$M,_xlpm.id),COUNTIF('10. PCU'!$M:$M,_xlpm.id))))</f>
        <v>0</v>
      </c>
    </row>
    <row r="1456" spans="1:9">
      <c r="A1456" t="s">
        <v>9459</v>
      </c>
      <c r="B1456" t="s">
        <v>2124</v>
      </c>
      <c r="C1456">
        <v>1829</v>
      </c>
      <c r="D1456">
        <v>3</v>
      </c>
      <c r="E1456" s="23" t="s">
        <v>9460</v>
      </c>
      <c r="F1456" t="s">
        <v>8102</v>
      </c>
      <c r="G1456" t="s">
        <v>10484</v>
      </c>
      <c r="H1456" t="s">
        <v>8021</v>
      </c>
      <c r="I1456">
        <f>_xlfn.LET(_xlpm.id,TRIM($A1456),IF(_xlpm.id="","",SUM(COUNTIF('1. OP'!$M:$M,_xlpm.id),COUNTIF('2. JSEL'!$M:$M,_xlpm.id),COUNTIF('3. PSM'!$M:$M,_xlpm.id),COUNTIF('4. SSP'!$M:$M,_xlpm.id),COUNTIF('5. JSACI'!$M:$M,_xlpm.id),COUNTIF('6. AIN'!$M:$M,_xlpm.id),COUNTIF('7. MS'!$M:$M,_xlpm.id),COUNTIF('8. DS'!$M:$M,_xlpm.id),COUNTIF('9. RMF'!$M:$M,_xlpm.id),COUNTIF('10. PCU'!$M:$M,_xlpm.id))))</f>
        <v>0</v>
      </c>
    </row>
    <row r="1457" spans="1:9">
      <c r="A1457" t="s">
        <v>9461</v>
      </c>
      <c r="B1457" t="s">
        <v>2124</v>
      </c>
      <c r="C1457">
        <v>1829</v>
      </c>
      <c r="D1457">
        <v>3</v>
      </c>
      <c r="E1457" s="23" t="s">
        <v>9462</v>
      </c>
      <c r="F1457" t="s">
        <v>8102</v>
      </c>
      <c r="G1457" t="s">
        <v>10484</v>
      </c>
      <c r="H1457" t="s">
        <v>8021</v>
      </c>
      <c r="I1457">
        <f>_xlfn.LET(_xlpm.id,TRIM($A1457),IF(_xlpm.id="","",SUM(COUNTIF('1. OP'!$M:$M,_xlpm.id),COUNTIF('2. JSEL'!$M:$M,_xlpm.id),COUNTIF('3. PSM'!$M:$M,_xlpm.id),COUNTIF('4. SSP'!$M:$M,_xlpm.id),COUNTIF('5. JSACI'!$M:$M,_xlpm.id),COUNTIF('6. AIN'!$M:$M,_xlpm.id),COUNTIF('7. MS'!$M:$M,_xlpm.id),COUNTIF('8. DS'!$M:$M,_xlpm.id),COUNTIF('9. RMF'!$M:$M,_xlpm.id),COUNTIF('10. PCU'!$M:$M,_xlpm.id))))</f>
        <v>0</v>
      </c>
    </row>
    <row r="1458" spans="1:9">
      <c r="A1458" t="s">
        <v>9463</v>
      </c>
      <c r="B1458" t="s">
        <v>2124</v>
      </c>
      <c r="C1458">
        <v>1830</v>
      </c>
      <c r="D1458">
        <v>3</v>
      </c>
      <c r="E1458" s="23" t="s">
        <v>9464</v>
      </c>
      <c r="F1458" t="s">
        <v>8102</v>
      </c>
      <c r="G1458" t="s">
        <v>10484</v>
      </c>
      <c r="H1458" t="s">
        <v>8021</v>
      </c>
      <c r="I1458">
        <f>_xlfn.LET(_xlpm.id,TRIM($A1458),IF(_xlpm.id="","",SUM(COUNTIF('1. OP'!$M:$M,_xlpm.id),COUNTIF('2. JSEL'!$M:$M,_xlpm.id),COUNTIF('3. PSM'!$M:$M,_xlpm.id),COUNTIF('4. SSP'!$M:$M,_xlpm.id),COUNTIF('5. JSACI'!$M:$M,_xlpm.id),COUNTIF('6. AIN'!$M:$M,_xlpm.id),COUNTIF('7. MS'!$M:$M,_xlpm.id),COUNTIF('8. DS'!$M:$M,_xlpm.id),COUNTIF('9. RMF'!$M:$M,_xlpm.id),COUNTIF('10. PCU'!$M:$M,_xlpm.id))))</f>
        <v>0</v>
      </c>
    </row>
    <row r="1459" spans="1:9">
      <c r="A1459" t="s">
        <v>9465</v>
      </c>
      <c r="B1459" t="s">
        <v>9466</v>
      </c>
      <c r="C1459">
        <v>1824</v>
      </c>
      <c r="D1459">
        <v>1</v>
      </c>
      <c r="E1459" s="23">
        <v>1</v>
      </c>
      <c r="F1459" t="s">
        <v>8102</v>
      </c>
      <c r="G1459" t="s">
        <v>10484</v>
      </c>
      <c r="H1459" t="s">
        <v>8021</v>
      </c>
      <c r="I1459">
        <f>_xlfn.LET(_xlpm.id,TRIM($A1459),IF(_xlpm.id="","",SUM(COUNTIF('1. OP'!$M:$M,_xlpm.id),COUNTIF('2. JSEL'!$M:$M,_xlpm.id),COUNTIF('3. PSM'!$M:$M,_xlpm.id),COUNTIF('4. SSP'!$M:$M,_xlpm.id),COUNTIF('5. JSACI'!$M:$M,_xlpm.id),COUNTIF('6. AIN'!$M:$M,_xlpm.id),COUNTIF('7. MS'!$M:$M,_xlpm.id),COUNTIF('8. DS'!$M:$M,_xlpm.id),COUNTIF('9. RMF'!$M:$M,_xlpm.id),COUNTIF('10. PCU'!$M:$M,_xlpm.id))))</f>
        <v>0</v>
      </c>
    </row>
    <row r="1460" spans="1:9">
      <c r="A1460" t="s">
        <v>9467</v>
      </c>
      <c r="B1460" t="s">
        <v>9466</v>
      </c>
      <c r="C1460">
        <v>1825</v>
      </c>
      <c r="D1460">
        <v>1</v>
      </c>
      <c r="E1460" s="23">
        <v>2</v>
      </c>
      <c r="F1460" t="s">
        <v>8102</v>
      </c>
      <c r="G1460" t="s">
        <v>10484</v>
      </c>
      <c r="H1460" t="s">
        <v>8021</v>
      </c>
      <c r="I1460">
        <f>_xlfn.LET(_xlpm.id,TRIM($A1460),IF(_xlpm.id="","",SUM(COUNTIF('1. OP'!$M:$M,_xlpm.id),COUNTIF('2. JSEL'!$M:$M,_xlpm.id),COUNTIF('3. PSM'!$M:$M,_xlpm.id),COUNTIF('4. SSP'!$M:$M,_xlpm.id),COUNTIF('5. JSACI'!$M:$M,_xlpm.id),COUNTIF('6. AIN'!$M:$M,_xlpm.id),COUNTIF('7. MS'!$M:$M,_xlpm.id),COUNTIF('8. DS'!$M:$M,_xlpm.id),COUNTIF('9. RMF'!$M:$M,_xlpm.id),COUNTIF('10. PCU'!$M:$M,_xlpm.id))))</f>
        <v>0</v>
      </c>
    </row>
    <row r="1461" spans="1:9">
      <c r="A1461" t="s">
        <v>9468</v>
      </c>
      <c r="B1461" t="s">
        <v>9466</v>
      </c>
      <c r="C1461">
        <v>1826</v>
      </c>
      <c r="D1461">
        <v>1</v>
      </c>
      <c r="E1461" s="23">
        <v>3</v>
      </c>
      <c r="F1461" t="s">
        <v>8102</v>
      </c>
      <c r="G1461" t="s">
        <v>10484</v>
      </c>
      <c r="H1461" t="s">
        <v>8021</v>
      </c>
      <c r="I1461">
        <f>_xlfn.LET(_xlpm.id,TRIM($A1461),IF(_xlpm.id="","",SUM(COUNTIF('1. OP'!$M:$M,_xlpm.id),COUNTIF('2. JSEL'!$M:$M,_xlpm.id),COUNTIF('3. PSM'!$M:$M,_xlpm.id),COUNTIF('4. SSP'!$M:$M,_xlpm.id),COUNTIF('5. JSACI'!$M:$M,_xlpm.id),COUNTIF('6. AIN'!$M:$M,_xlpm.id),COUNTIF('7. MS'!$M:$M,_xlpm.id),COUNTIF('8. DS'!$M:$M,_xlpm.id),COUNTIF('9. RMF'!$M:$M,_xlpm.id),COUNTIF('10. PCU'!$M:$M,_xlpm.id))))</f>
        <v>0</v>
      </c>
    </row>
    <row r="1462" spans="1:9">
      <c r="A1462" t="s">
        <v>9469</v>
      </c>
      <c r="B1462" t="s">
        <v>9466</v>
      </c>
      <c r="C1462">
        <v>1827</v>
      </c>
      <c r="D1462">
        <v>1</v>
      </c>
      <c r="E1462" s="23">
        <v>4</v>
      </c>
      <c r="F1462" t="s">
        <v>8102</v>
      </c>
      <c r="G1462" t="s">
        <v>10484</v>
      </c>
      <c r="H1462" t="s">
        <v>8021</v>
      </c>
      <c r="I1462">
        <f>_xlfn.LET(_xlpm.id,TRIM($A1462),IF(_xlpm.id="","",SUM(COUNTIF('1. OP'!$M:$M,_xlpm.id),COUNTIF('2. JSEL'!$M:$M,_xlpm.id),COUNTIF('3. PSM'!$M:$M,_xlpm.id),COUNTIF('4. SSP'!$M:$M,_xlpm.id),COUNTIF('5. JSACI'!$M:$M,_xlpm.id),COUNTIF('6. AIN'!$M:$M,_xlpm.id),COUNTIF('7. MS'!$M:$M,_xlpm.id),COUNTIF('8. DS'!$M:$M,_xlpm.id),COUNTIF('9. RMF'!$M:$M,_xlpm.id),COUNTIF('10. PCU'!$M:$M,_xlpm.id))))</f>
        <v>0</v>
      </c>
    </row>
    <row r="1463" spans="1:9">
      <c r="A1463" t="s">
        <v>9470</v>
      </c>
      <c r="B1463" t="s">
        <v>9466</v>
      </c>
      <c r="C1463">
        <v>1828</v>
      </c>
      <c r="D1463">
        <v>1</v>
      </c>
      <c r="E1463" s="23">
        <v>5</v>
      </c>
      <c r="F1463" t="s">
        <v>8102</v>
      </c>
      <c r="G1463" t="s">
        <v>10484</v>
      </c>
      <c r="H1463" t="s">
        <v>8021</v>
      </c>
      <c r="I1463">
        <f>_xlfn.LET(_xlpm.id,TRIM($A1463),IF(_xlpm.id="","",SUM(COUNTIF('1. OP'!$M:$M,_xlpm.id),COUNTIF('2. JSEL'!$M:$M,_xlpm.id),COUNTIF('3. PSM'!$M:$M,_xlpm.id),COUNTIF('4. SSP'!$M:$M,_xlpm.id),COUNTIF('5. JSACI'!$M:$M,_xlpm.id),COUNTIF('6. AIN'!$M:$M,_xlpm.id),COUNTIF('7. MS'!$M:$M,_xlpm.id),COUNTIF('8. DS'!$M:$M,_xlpm.id),COUNTIF('9. RMF'!$M:$M,_xlpm.id),COUNTIF('10. PCU'!$M:$M,_xlpm.id))))</f>
        <v>0</v>
      </c>
    </row>
    <row r="1464" spans="1:9">
      <c r="A1464" t="s">
        <v>9471</v>
      </c>
      <c r="B1464" t="s">
        <v>9466</v>
      </c>
      <c r="C1464">
        <v>1829</v>
      </c>
      <c r="D1464">
        <v>1</v>
      </c>
      <c r="E1464" s="23">
        <v>6</v>
      </c>
      <c r="F1464" t="s">
        <v>8102</v>
      </c>
      <c r="G1464" t="s">
        <v>10484</v>
      </c>
      <c r="H1464" t="s">
        <v>8021</v>
      </c>
      <c r="I1464">
        <f>_xlfn.LET(_xlpm.id,TRIM($A1464),IF(_xlpm.id="","",SUM(COUNTIF('1. OP'!$M:$M,_xlpm.id),COUNTIF('2. JSEL'!$M:$M,_xlpm.id),COUNTIF('3. PSM'!$M:$M,_xlpm.id),COUNTIF('4. SSP'!$M:$M,_xlpm.id),COUNTIF('5. JSACI'!$M:$M,_xlpm.id),COUNTIF('6. AIN'!$M:$M,_xlpm.id),COUNTIF('7. MS'!$M:$M,_xlpm.id),COUNTIF('8. DS'!$M:$M,_xlpm.id),COUNTIF('9. RMF'!$M:$M,_xlpm.id),COUNTIF('10. PCU'!$M:$M,_xlpm.id))))</f>
        <v>0</v>
      </c>
    </row>
    <row r="1465" spans="1:9">
      <c r="A1465" t="s">
        <v>9472</v>
      </c>
      <c r="B1465" t="s">
        <v>9473</v>
      </c>
      <c r="C1465">
        <v>1828</v>
      </c>
      <c r="D1465">
        <v>1</v>
      </c>
      <c r="E1465" s="23">
        <v>1</v>
      </c>
      <c r="F1465" t="s">
        <v>8265</v>
      </c>
      <c r="G1465" t="s">
        <v>10486</v>
      </c>
      <c r="H1465" t="s">
        <v>8019</v>
      </c>
      <c r="I1465">
        <f>_xlfn.LET(_xlpm.id,TRIM($A1465),IF(_xlpm.id="","",SUM(COUNTIF('1. OP'!$M:$M,_xlpm.id),COUNTIF('2. JSEL'!$M:$M,_xlpm.id),COUNTIF('3. PSM'!$M:$M,_xlpm.id),COUNTIF('4. SSP'!$M:$M,_xlpm.id),COUNTIF('5. JSACI'!$M:$M,_xlpm.id),COUNTIF('6. AIN'!$M:$M,_xlpm.id),COUNTIF('7. MS'!$M:$M,_xlpm.id),COUNTIF('8. DS'!$M:$M,_xlpm.id),COUNTIF('9. RMF'!$M:$M,_xlpm.id),COUNTIF('10. PCU'!$M:$M,_xlpm.id))))</f>
        <v>0</v>
      </c>
    </row>
    <row r="1466" spans="1:9">
      <c r="A1466" t="s">
        <v>9474</v>
      </c>
      <c r="B1466" t="s">
        <v>9473</v>
      </c>
      <c r="C1466">
        <v>1829</v>
      </c>
      <c r="D1466">
        <v>1</v>
      </c>
      <c r="E1466" s="23">
        <v>2</v>
      </c>
      <c r="F1466" t="s">
        <v>8265</v>
      </c>
      <c r="G1466" t="s">
        <v>10486</v>
      </c>
      <c r="H1466" t="s">
        <v>8019</v>
      </c>
      <c r="I1466">
        <f>_xlfn.LET(_xlpm.id,TRIM($A1466),IF(_xlpm.id="","",SUM(COUNTIF('1. OP'!$M:$M,_xlpm.id),COUNTIF('2. JSEL'!$M:$M,_xlpm.id),COUNTIF('3. PSM'!$M:$M,_xlpm.id),COUNTIF('4. SSP'!$M:$M,_xlpm.id),COUNTIF('5. JSACI'!$M:$M,_xlpm.id),COUNTIF('6. AIN'!$M:$M,_xlpm.id),COUNTIF('7. MS'!$M:$M,_xlpm.id),COUNTIF('8. DS'!$M:$M,_xlpm.id),COUNTIF('9. RMF'!$M:$M,_xlpm.id),COUNTIF('10. PCU'!$M:$M,_xlpm.id))))</f>
        <v>0</v>
      </c>
    </row>
    <row r="1467" spans="1:9">
      <c r="A1467" t="s">
        <v>9475</v>
      </c>
      <c r="B1467" t="s">
        <v>9473</v>
      </c>
      <c r="C1467">
        <v>1829</v>
      </c>
      <c r="D1467">
        <v>1</v>
      </c>
      <c r="E1467" s="23">
        <v>3</v>
      </c>
      <c r="F1467" t="s">
        <v>8265</v>
      </c>
      <c r="G1467" t="s">
        <v>10486</v>
      </c>
      <c r="H1467" t="s">
        <v>8019</v>
      </c>
      <c r="I1467">
        <f>_xlfn.LET(_xlpm.id,TRIM($A1467),IF(_xlpm.id="","",SUM(COUNTIF('1. OP'!$M:$M,_xlpm.id),COUNTIF('2. JSEL'!$M:$M,_xlpm.id),COUNTIF('3. PSM'!$M:$M,_xlpm.id),COUNTIF('4. SSP'!$M:$M,_xlpm.id),COUNTIF('5. JSACI'!$M:$M,_xlpm.id),COUNTIF('6. AIN'!$M:$M,_xlpm.id),COUNTIF('7. MS'!$M:$M,_xlpm.id),COUNTIF('8. DS'!$M:$M,_xlpm.id),COUNTIF('9. RMF'!$M:$M,_xlpm.id),COUNTIF('10. PCU'!$M:$M,_xlpm.id))))</f>
        <v>0</v>
      </c>
    </row>
    <row r="1468" spans="1:9">
      <c r="A1468" t="s">
        <v>9476</v>
      </c>
      <c r="B1468" t="s">
        <v>9473</v>
      </c>
      <c r="C1468">
        <v>1830</v>
      </c>
      <c r="D1468">
        <v>1</v>
      </c>
      <c r="E1468" s="23">
        <v>4</v>
      </c>
      <c r="F1468" t="s">
        <v>8265</v>
      </c>
      <c r="G1468" t="s">
        <v>10486</v>
      </c>
      <c r="H1468" t="s">
        <v>8019</v>
      </c>
      <c r="I1468">
        <f>_xlfn.LET(_xlpm.id,TRIM($A1468),IF(_xlpm.id="","",SUM(COUNTIF('1. OP'!$M:$M,_xlpm.id),COUNTIF('2. JSEL'!$M:$M,_xlpm.id),COUNTIF('3. PSM'!$M:$M,_xlpm.id),COUNTIF('4. SSP'!$M:$M,_xlpm.id),COUNTIF('5. JSACI'!$M:$M,_xlpm.id),COUNTIF('6. AIN'!$M:$M,_xlpm.id),COUNTIF('7. MS'!$M:$M,_xlpm.id),COUNTIF('8. DS'!$M:$M,_xlpm.id),COUNTIF('9. RMF'!$M:$M,_xlpm.id),COUNTIF('10. PCU'!$M:$M,_xlpm.id))))</f>
        <v>0</v>
      </c>
    </row>
    <row r="1469" spans="1:9">
      <c r="A1469" t="s">
        <v>9477</v>
      </c>
      <c r="B1469" t="s">
        <v>9473</v>
      </c>
      <c r="C1469">
        <v>1830</v>
      </c>
      <c r="D1469">
        <v>1</v>
      </c>
      <c r="E1469" s="23">
        <v>5</v>
      </c>
      <c r="F1469" t="s">
        <v>8265</v>
      </c>
      <c r="G1469" t="s">
        <v>10486</v>
      </c>
      <c r="H1469" t="s">
        <v>8019</v>
      </c>
      <c r="I1469">
        <f>_xlfn.LET(_xlpm.id,TRIM($A1469),IF(_xlpm.id="","",SUM(COUNTIF('1. OP'!$M:$M,_xlpm.id),COUNTIF('2. JSEL'!$M:$M,_xlpm.id),COUNTIF('3. PSM'!$M:$M,_xlpm.id),COUNTIF('4. SSP'!$M:$M,_xlpm.id),COUNTIF('5. JSACI'!$M:$M,_xlpm.id),COUNTIF('6. AIN'!$M:$M,_xlpm.id),COUNTIF('7. MS'!$M:$M,_xlpm.id),COUNTIF('8. DS'!$M:$M,_xlpm.id),COUNTIF('9. RMF'!$M:$M,_xlpm.id),COUNTIF('10. PCU'!$M:$M,_xlpm.id))))</f>
        <v>0</v>
      </c>
    </row>
    <row r="1470" spans="1:9">
      <c r="A1470" t="s">
        <v>9478</v>
      </c>
      <c r="B1470" t="s">
        <v>9473</v>
      </c>
      <c r="C1470">
        <v>1831</v>
      </c>
      <c r="D1470">
        <v>1</v>
      </c>
      <c r="E1470" s="23">
        <v>6</v>
      </c>
      <c r="F1470" t="s">
        <v>8265</v>
      </c>
      <c r="G1470" t="s">
        <v>10486</v>
      </c>
      <c r="H1470" t="s">
        <v>8019</v>
      </c>
      <c r="I1470">
        <f>_xlfn.LET(_xlpm.id,TRIM($A1470),IF(_xlpm.id="","",SUM(COUNTIF('1. OP'!$M:$M,_xlpm.id),COUNTIF('2. JSEL'!$M:$M,_xlpm.id),COUNTIF('3. PSM'!$M:$M,_xlpm.id),COUNTIF('4. SSP'!$M:$M,_xlpm.id),COUNTIF('5. JSACI'!$M:$M,_xlpm.id),COUNTIF('6. AIN'!$M:$M,_xlpm.id),COUNTIF('7. MS'!$M:$M,_xlpm.id),COUNTIF('8. DS'!$M:$M,_xlpm.id),COUNTIF('9. RMF'!$M:$M,_xlpm.id),COUNTIF('10. PCU'!$M:$M,_xlpm.id))))</f>
        <v>0</v>
      </c>
    </row>
    <row r="1471" spans="1:9">
      <c r="A1471" t="s">
        <v>9479</v>
      </c>
      <c r="B1471" t="s">
        <v>9473</v>
      </c>
      <c r="C1471">
        <v>1831</v>
      </c>
      <c r="D1471">
        <v>1</v>
      </c>
      <c r="E1471" s="23">
        <v>7</v>
      </c>
      <c r="F1471" t="s">
        <v>8265</v>
      </c>
      <c r="G1471" t="s">
        <v>10486</v>
      </c>
      <c r="H1471" t="s">
        <v>8019</v>
      </c>
      <c r="I1471">
        <f>_xlfn.LET(_xlpm.id,TRIM($A1471),IF(_xlpm.id="","",SUM(COUNTIF('1. OP'!$M:$M,_xlpm.id),COUNTIF('2. JSEL'!$M:$M,_xlpm.id),COUNTIF('3. PSM'!$M:$M,_xlpm.id),COUNTIF('4. SSP'!$M:$M,_xlpm.id),COUNTIF('5. JSACI'!$M:$M,_xlpm.id),COUNTIF('6. AIN'!$M:$M,_xlpm.id),COUNTIF('7. MS'!$M:$M,_xlpm.id),COUNTIF('8. DS'!$M:$M,_xlpm.id),COUNTIF('9. RMF'!$M:$M,_xlpm.id),COUNTIF('10. PCU'!$M:$M,_xlpm.id))))</f>
        <v>0</v>
      </c>
    </row>
    <row r="1472" spans="1:9">
      <c r="A1472" t="s">
        <v>9480</v>
      </c>
      <c r="B1472" t="s">
        <v>9473</v>
      </c>
      <c r="C1472">
        <v>1832</v>
      </c>
      <c r="D1472">
        <v>2</v>
      </c>
      <c r="E1472" s="23">
        <v>1</v>
      </c>
      <c r="F1472" t="s">
        <v>8265</v>
      </c>
      <c r="G1472" t="s">
        <v>10486</v>
      </c>
      <c r="H1472" t="s">
        <v>8019</v>
      </c>
      <c r="I1472">
        <f>_xlfn.LET(_xlpm.id,TRIM($A1472),IF(_xlpm.id="","",SUM(COUNTIF('1. OP'!$M:$M,_xlpm.id),COUNTIF('2. JSEL'!$M:$M,_xlpm.id),COUNTIF('3. PSM'!$M:$M,_xlpm.id),COUNTIF('4. SSP'!$M:$M,_xlpm.id),COUNTIF('5. JSACI'!$M:$M,_xlpm.id),COUNTIF('6. AIN'!$M:$M,_xlpm.id),COUNTIF('7. MS'!$M:$M,_xlpm.id),COUNTIF('8. DS'!$M:$M,_xlpm.id),COUNTIF('9. RMF'!$M:$M,_xlpm.id),COUNTIF('10. PCU'!$M:$M,_xlpm.id))))</f>
        <v>1</v>
      </c>
    </row>
    <row r="1473" spans="1:9">
      <c r="A1473" t="s">
        <v>9481</v>
      </c>
      <c r="B1473" t="s">
        <v>9473</v>
      </c>
      <c r="C1473">
        <v>1833</v>
      </c>
      <c r="D1473">
        <v>2</v>
      </c>
      <c r="E1473" s="23">
        <v>2</v>
      </c>
      <c r="F1473" t="s">
        <v>8265</v>
      </c>
      <c r="G1473" t="s">
        <v>10486</v>
      </c>
      <c r="H1473" t="s">
        <v>8019</v>
      </c>
      <c r="I1473">
        <f>_xlfn.LET(_xlpm.id,TRIM($A1473),IF(_xlpm.id="","",SUM(COUNTIF('1. OP'!$M:$M,_xlpm.id),COUNTIF('2. JSEL'!$M:$M,_xlpm.id),COUNTIF('3. PSM'!$M:$M,_xlpm.id),COUNTIF('4. SSP'!$M:$M,_xlpm.id),COUNTIF('5. JSACI'!$M:$M,_xlpm.id),COUNTIF('6. AIN'!$M:$M,_xlpm.id),COUNTIF('7. MS'!$M:$M,_xlpm.id),COUNTIF('8. DS'!$M:$M,_xlpm.id),COUNTIF('9. RMF'!$M:$M,_xlpm.id),COUNTIF('10. PCU'!$M:$M,_xlpm.id))))</f>
        <v>0</v>
      </c>
    </row>
    <row r="1474" spans="1:9">
      <c r="A1474" t="s">
        <v>9482</v>
      </c>
      <c r="B1474" t="s">
        <v>9473</v>
      </c>
      <c r="C1474">
        <v>1833</v>
      </c>
      <c r="D1474">
        <v>2</v>
      </c>
      <c r="E1474" s="23">
        <v>3</v>
      </c>
      <c r="F1474" t="s">
        <v>8265</v>
      </c>
      <c r="G1474" t="s">
        <v>10486</v>
      </c>
      <c r="H1474" t="s">
        <v>8019</v>
      </c>
      <c r="I1474">
        <f>_xlfn.LET(_xlpm.id,TRIM($A1474),IF(_xlpm.id="","",SUM(COUNTIF('1. OP'!$M:$M,_xlpm.id),COUNTIF('2. JSEL'!$M:$M,_xlpm.id),COUNTIF('3. PSM'!$M:$M,_xlpm.id),COUNTIF('4. SSP'!$M:$M,_xlpm.id),COUNTIF('5. JSACI'!$M:$M,_xlpm.id),COUNTIF('6. AIN'!$M:$M,_xlpm.id),COUNTIF('7. MS'!$M:$M,_xlpm.id),COUNTIF('8. DS'!$M:$M,_xlpm.id),COUNTIF('9. RMF'!$M:$M,_xlpm.id),COUNTIF('10. PCU'!$M:$M,_xlpm.id))))</f>
        <v>0</v>
      </c>
    </row>
    <row r="1475" spans="1:9">
      <c r="A1475" t="s">
        <v>9483</v>
      </c>
      <c r="B1475" t="s">
        <v>9473</v>
      </c>
      <c r="C1475">
        <v>1834</v>
      </c>
      <c r="D1475">
        <v>2</v>
      </c>
      <c r="E1475" s="23">
        <v>4</v>
      </c>
      <c r="F1475" t="s">
        <v>8265</v>
      </c>
      <c r="G1475" t="s">
        <v>10486</v>
      </c>
      <c r="H1475" t="s">
        <v>8019</v>
      </c>
      <c r="I1475">
        <f>_xlfn.LET(_xlpm.id,TRIM($A1475),IF(_xlpm.id="","",SUM(COUNTIF('1. OP'!$M:$M,_xlpm.id),COUNTIF('2. JSEL'!$M:$M,_xlpm.id),COUNTIF('3. PSM'!$M:$M,_xlpm.id),COUNTIF('4. SSP'!$M:$M,_xlpm.id),COUNTIF('5. JSACI'!$M:$M,_xlpm.id),COUNTIF('6. AIN'!$M:$M,_xlpm.id),COUNTIF('7. MS'!$M:$M,_xlpm.id),COUNTIF('8. DS'!$M:$M,_xlpm.id),COUNTIF('9. RMF'!$M:$M,_xlpm.id),COUNTIF('10. PCU'!$M:$M,_xlpm.id))))</f>
        <v>0</v>
      </c>
    </row>
    <row r="1476" spans="1:9">
      <c r="A1476" t="s">
        <v>9484</v>
      </c>
      <c r="B1476" t="s">
        <v>9473</v>
      </c>
      <c r="C1476">
        <v>1834</v>
      </c>
      <c r="D1476">
        <v>2</v>
      </c>
      <c r="E1476" s="23">
        <v>5</v>
      </c>
      <c r="F1476" t="s">
        <v>8265</v>
      </c>
      <c r="G1476" t="s">
        <v>10486</v>
      </c>
      <c r="H1476" t="s">
        <v>8019</v>
      </c>
      <c r="I1476">
        <f>_xlfn.LET(_xlpm.id,TRIM($A1476),IF(_xlpm.id="","",SUM(COUNTIF('1. OP'!$M:$M,_xlpm.id),COUNTIF('2. JSEL'!$M:$M,_xlpm.id),COUNTIF('3. PSM'!$M:$M,_xlpm.id),COUNTIF('4. SSP'!$M:$M,_xlpm.id),COUNTIF('5. JSACI'!$M:$M,_xlpm.id),COUNTIF('6. AIN'!$M:$M,_xlpm.id),COUNTIF('7. MS'!$M:$M,_xlpm.id),COUNTIF('8. DS'!$M:$M,_xlpm.id),COUNTIF('9. RMF'!$M:$M,_xlpm.id),COUNTIF('10. PCU'!$M:$M,_xlpm.id))))</f>
        <v>0</v>
      </c>
    </row>
    <row r="1477" spans="1:9">
      <c r="A1477" t="s">
        <v>9485</v>
      </c>
      <c r="B1477" t="s">
        <v>9473</v>
      </c>
      <c r="C1477">
        <v>1835</v>
      </c>
      <c r="D1477">
        <v>2</v>
      </c>
      <c r="E1477" s="23">
        <v>6</v>
      </c>
      <c r="F1477" t="s">
        <v>8265</v>
      </c>
      <c r="G1477" t="s">
        <v>10486</v>
      </c>
      <c r="H1477" t="s">
        <v>8019</v>
      </c>
      <c r="I1477">
        <f>_xlfn.LET(_xlpm.id,TRIM($A1477),IF(_xlpm.id="","",SUM(COUNTIF('1. OP'!$M:$M,_xlpm.id),COUNTIF('2. JSEL'!$M:$M,_xlpm.id),COUNTIF('3. PSM'!$M:$M,_xlpm.id),COUNTIF('4. SSP'!$M:$M,_xlpm.id),COUNTIF('5. JSACI'!$M:$M,_xlpm.id),COUNTIF('6. AIN'!$M:$M,_xlpm.id),COUNTIF('7. MS'!$M:$M,_xlpm.id),COUNTIF('8. DS'!$M:$M,_xlpm.id),COUNTIF('9. RMF'!$M:$M,_xlpm.id),COUNTIF('10. PCU'!$M:$M,_xlpm.id))))</f>
        <v>0</v>
      </c>
    </row>
    <row r="1478" spans="1:9">
      <c r="A1478" t="s">
        <v>7822</v>
      </c>
      <c r="B1478" t="s">
        <v>9473</v>
      </c>
      <c r="C1478">
        <v>1835</v>
      </c>
      <c r="D1478">
        <v>2</v>
      </c>
      <c r="E1478" s="23">
        <v>7</v>
      </c>
      <c r="F1478" t="s">
        <v>8265</v>
      </c>
      <c r="G1478" t="s">
        <v>10486</v>
      </c>
      <c r="H1478" t="s">
        <v>8019</v>
      </c>
      <c r="I1478">
        <f>_xlfn.LET(_xlpm.id,TRIM($A1478),IF(_xlpm.id="","",SUM(COUNTIF('1. OP'!$M:$M,_xlpm.id),COUNTIF('2. JSEL'!$M:$M,_xlpm.id),COUNTIF('3. PSM'!$M:$M,_xlpm.id),COUNTIF('4. SSP'!$M:$M,_xlpm.id),COUNTIF('5. JSACI'!$M:$M,_xlpm.id),COUNTIF('6. AIN'!$M:$M,_xlpm.id),COUNTIF('7. MS'!$M:$M,_xlpm.id),COUNTIF('8. DS'!$M:$M,_xlpm.id),COUNTIF('9. RMF'!$M:$M,_xlpm.id),COUNTIF('10. PCU'!$M:$M,_xlpm.id))))</f>
        <v>1</v>
      </c>
    </row>
    <row r="1479" spans="1:9">
      <c r="A1479" t="s">
        <v>9486</v>
      </c>
      <c r="B1479" t="s">
        <v>9473</v>
      </c>
      <c r="C1479">
        <v>1836</v>
      </c>
      <c r="D1479">
        <v>2</v>
      </c>
      <c r="E1479" s="23">
        <v>8</v>
      </c>
      <c r="F1479" t="s">
        <v>8265</v>
      </c>
      <c r="G1479" t="s">
        <v>10486</v>
      </c>
      <c r="H1479" t="s">
        <v>8019</v>
      </c>
      <c r="I1479">
        <f>_xlfn.LET(_xlpm.id,TRIM($A1479),IF(_xlpm.id="","",SUM(COUNTIF('1. OP'!$M:$M,_xlpm.id),COUNTIF('2. JSEL'!$M:$M,_xlpm.id),COUNTIF('3. PSM'!$M:$M,_xlpm.id),COUNTIF('4. SSP'!$M:$M,_xlpm.id),COUNTIF('5. JSACI'!$M:$M,_xlpm.id),COUNTIF('6. AIN'!$M:$M,_xlpm.id),COUNTIF('7. MS'!$M:$M,_xlpm.id),COUNTIF('8. DS'!$M:$M,_xlpm.id),COUNTIF('9. RMF'!$M:$M,_xlpm.id),COUNTIF('10. PCU'!$M:$M,_xlpm.id))))</f>
        <v>0</v>
      </c>
    </row>
    <row r="1480" spans="1:9">
      <c r="A1480" t="s">
        <v>9487</v>
      </c>
      <c r="B1480" t="s">
        <v>9488</v>
      </c>
      <c r="C1480" t="s">
        <v>3040</v>
      </c>
      <c r="D1480">
        <v>1</v>
      </c>
      <c r="E1480" s="23">
        <v>1</v>
      </c>
      <c r="F1480" t="s">
        <v>8265</v>
      </c>
      <c r="G1480" t="s">
        <v>10496</v>
      </c>
      <c r="H1480" t="s">
        <v>10179</v>
      </c>
      <c r="I1480">
        <f>_xlfn.LET(_xlpm.id,TRIM($A1480),IF(_xlpm.id="","",SUM(COUNTIF('1. OP'!$M:$M,_xlpm.id),COUNTIF('2. JSEL'!$M:$M,_xlpm.id),COUNTIF('3. PSM'!$M:$M,_xlpm.id),COUNTIF('4. SSP'!$M:$M,_xlpm.id),COUNTIF('5. JSACI'!$M:$M,_xlpm.id),COUNTIF('6. AIN'!$M:$M,_xlpm.id),COUNTIF('7. MS'!$M:$M,_xlpm.id),COUNTIF('8. DS'!$M:$M,_xlpm.id),COUNTIF('9. RMF'!$M:$M,_xlpm.id),COUNTIF('10. PCU'!$M:$M,_xlpm.id))))</f>
        <v>0</v>
      </c>
    </row>
    <row r="1481" spans="1:9">
      <c r="A1481" t="s">
        <v>9489</v>
      </c>
      <c r="B1481" t="s">
        <v>9488</v>
      </c>
      <c r="C1481" t="s">
        <v>9490</v>
      </c>
      <c r="D1481">
        <v>1</v>
      </c>
      <c r="E1481" s="23">
        <v>2</v>
      </c>
      <c r="F1481" t="s">
        <v>8265</v>
      </c>
      <c r="G1481" t="s">
        <v>10496</v>
      </c>
      <c r="H1481" t="s">
        <v>10179</v>
      </c>
      <c r="I1481">
        <f>_xlfn.LET(_xlpm.id,TRIM($A1481),IF(_xlpm.id="","",SUM(COUNTIF('1. OP'!$M:$M,_xlpm.id),COUNTIF('2. JSEL'!$M:$M,_xlpm.id),COUNTIF('3. PSM'!$M:$M,_xlpm.id),COUNTIF('4. SSP'!$M:$M,_xlpm.id),COUNTIF('5. JSACI'!$M:$M,_xlpm.id),COUNTIF('6. AIN'!$M:$M,_xlpm.id),COUNTIF('7. MS'!$M:$M,_xlpm.id),COUNTIF('8. DS'!$M:$M,_xlpm.id),COUNTIF('9. RMF'!$M:$M,_xlpm.id),COUNTIF('10. PCU'!$M:$M,_xlpm.id))))</f>
        <v>0</v>
      </c>
    </row>
    <row r="1482" spans="1:9">
      <c r="A1482" t="s">
        <v>7567</v>
      </c>
      <c r="B1482" t="s">
        <v>9488</v>
      </c>
      <c r="C1482" t="s">
        <v>3042</v>
      </c>
      <c r="D1482">
        <v>1</v>
      </c>
      <c r="E1482" s="23">
        <v>3</v>
      </c>
      <c r="F1482" t="s">
        <v>8265</v>
      </c>
      <c r="G1482" t="s">
        <v>10496</v>
      </c>
      <c r="H1482" t="s">
        <v>10179</v>
      </c>
      <c r="I1482">
        <f>_xlfn.LET(_xlpm.id,TRIM($A1482),IF(_xlpm.id="","",SUM(COUNTIF('1. OP'!$M:$M,_xlpm.id),COUNTIF('2. JSEL'!$M:$M,_xlpm.id),COUNTIF('3. PSM'!$M:$M,_xlpm.id),COUNTIF('4. SSP'!$M:$M,_xlpm.id),COUNTIF('5. JSACI'!$M:$M,_xlpm.id),COUNTIF('6. AIN'!$M:$M,_xlpm.id),COUNTIF('7. MS'!$M:$M,_xlpm.id),COUNTIF('8. DS'!$M:$M,_xlpm.id),COUNTIF('9. RMF'!$M:$M,_xlpm.id),COUNTIF('10. PCU'!$M:$M,_xlpm.id))))</f>
        <v>1</v>
      </c>
    </row>
    <row r="1483" spans="1:9">
      <c r="A1483" t="s">
        <v>8603</v>
      </c>
      <c r="B1483" t="s">
        <v>4767</v>
      </c>
      <c r="C1483">
        <v>1828</v>
      </c>
      <c r="D1483">
        <v>1</v>
      </c>
      <c r="E1483" s="23">
        <v>1</v>
      </c>
      <c r="F1483" t="s">
        <v>8265</v>
      </c>
      <c r="G1483" t="s">
        <v>10486</v>
      </c>
      <c r="H1483" t="s">
        <v>8019</v>
      </c>
      <c r="I1483">
        <f>_xlfn.LET(_xlpm.id,TRIM($A1483),IF(_xlpm.id="","",SUM(COUNTIF('1. OP'!$M:$M,_xlpm.id),COUNTIF('2. JSEL'!$M:$M,_xlpm.id),COUNTIF('3. PSM'!$M:$M,_xlpm.id),COUNTIF('4. SSP'!$M:$M,_xlpm.id),COUNTIF('5. JSACI'!$M:$M,_xlpm.id),COUNTIF('6. AIN'!$M:$M,_xlpm.id),COUNTIF('7. MS'!$M:$M,_xlpm.id),COUNTIF('8. DS'!$M:$M,_xlpm.id),COUNTIF('9. RMF'!$M:$M,_xlpm.id),COUNTIF('10. PCU'!$M:$M,_xlpm.id))))</f>
        <v>0</v>
      </c>
    </row>
    <row r="1484" spans="1:9">
      <c r="A1484" t="s">
        <v>8604</v>
      </c>
      <c r="B1484" t="s">
        <v>4767</v>
      </c>
      <c r="C1484">
        <v>1828</v>
      </c>
      <c r="D1484">
        <v>1</v>
      </c>
      <c r="E1484" s="23">
        <v>2</v>
      </c>
      <c r="F1484" t="s">
        <v>8265</v>
      </c>
      <c r="G1484" t="s">
        <v>10486</v>
      </c>
      <c r="H1484" t="s">
        <v>8019</v>
      </c>
      <c r="I1484">
        <f>_xlfn.LET(_xlpm.id,TRIM($A1484),IF(_xlpm.id="","",SUM(COUNTIF('1. OP'!$M:$M,_xlpm.id),COUNTIF('2. JSEL'!$M:$M,_xlpm.id),COUNTIF('3. PSM'!$M:$M,_xlpm.id),COUNTIF('4. SSP'!$M:$M,_xlpm.id),COUNTIF('5. JSACI'!$M:$M,_xlpm.id),COUNTIF('6. AIN'!$M:$M,_xlpm.id),COUNTIF('7. MS'!$M:$M,_xlpm.id),COUNTIF('8. DS'!$M:$M,_xlpm.id),COUNTIF('9. RMF'!$M:$M,_xlpm.id),COUNTIF('10. PCU'!$M:$M,_xlpm.id))))</f>
        <v>0</v>
      </c>
    </row>
    <row r="1485" spans="1:9">
      <c r="A1485" t="s">
        <v>8605</v>
      </c>
      <c r="B1485" t="s">
        <v>4767</v>
      </c>
      <c r="C1485">
        <v>1829</v>
      </c>
      <c r="D1485">
        <v>1</v>
      </c>
      <c r="E1485" s="23">
        <v>3</v>
      </c>
      <c r="F1485" t="s">
        <v>8265</v>
      </c>
      <c r="G1485" t="s">
        <v>10486</v>
      </c>
      <c r="H1485" t="s">
        <v>8019</v>
      </c>
      <c r="I1485">
        <f>_xlfn.LET(_xlpm.id,TRIM($A1485),IF(_xlpm.id="","",SUM(COUNTIF('1. OP'!$M:$M,_xlpm.id),COUNTIF('2. JSEL'!$M:$M,_xlpm.id),COUNTIF('3. PSM'!$M:$M,_xlpm.id),COUNTIF('4. SSP'!$M:$M,_xlpm.id),COUNTIF('5. JSACI'!$M:$M,_xlpm.id),COUNTIF('6. AIN'!$M:$M,_xlpm.id),COUNTIF('7. MS'!$M:$M,_xlpm.id),COUNTIF('8. DS'!$M:$M,_xlpm.id),COUNTIF('9. RMF'!$M:$M,_xlpm.id),COUNTIF('10. PCU'!$M:$M,_xlpm.id))))</f>
        <v>0</v>
      </c>
    </row>
    <row r="1486" spans="1:9">
      <c r="A1486" t="s">
        <v>8606</v>
      </c>
      <c r="B1486" t="s">
        <v>4767</v>
      </c>
      <c r="C1486">
        <v>1829</v>
      </c>
      <c r="D1486">
        <v>1</v>
      </c>
      <c r="E1486" s="23">
        <v>4</v>
      </c>
      <c r="F1486" t="s">
        <v>8265</v>
      </c>
      <c r="G1486" t="s">
        <v>10486</v>
      </c>
      <c r="H1486" t="s">
        <v>8019</v>
      </c>
      <c r="I1486">
        <f>_xlfn.LET(_xlpm.id,TRIM($A1486),IF(_xlpm.id="","",SUM(COUNTIF('1. OP'!$M:$M,_xlpm.id),COUNTIF('2. JSEL'!$M:$M,_xlpm.id),COUNTIF('3. PSM'!$M:$M,_xlpm.id),COUNTIF('4. SSP'!$M:$M,_xlpm.id),COUNTIF('5. JSACI'!$M:$M,_xlpm.id),COUNTIF('6. AIN'!$M:$M,_xlpm.id),COUNTIF('7. MS'!$M:$M,_xlpm.id),COUNTIF('8. DS'!$M:$M,_xlpm.id),COUNTIF('9. RMF'!$M:$M,_xlpm.id),COUNTIF('10. PCU'!$M:$M,_xlpm.id))))</f>
        <v>0</v>
      </c>
    </row>
    <row r="1487" spans="1:9">
      <c r="A1487" t="s">
        <v>8607</v>
      </c>
      <c r="B1487" t="s">
        <v>4767</v>
      </c>
      <c r="C1487">
        <v>1830</v>
      </c>
      <c r="D1487">
        <v>1</v>
      </c>
      <c r="E1487" s="23">
        <v>5</v>
      </c>
      <c r="F1487" t="s">
        <v>8265</v>
      </c>
      <c r="G1487" t="s">
        <v>10486</v>
      </c>
      <c r="H1487" t="s">
        <v>8019</v>
      </c>
      <c r="I1487">
        <f>_xlfn.LET(_xlpm.id,TRIM($A1487),IF(_xlpm.id="","",SUM(COUNTIF('1. OP'!$M:$M,_xlpm.id),COUNTIF('2. JSEL'!$M:$M,_xlpm.id),COUNTIF('3. PSM'!$M:$M,_xlpm.id),COUNTIF('4. SSP'!$M:$M,_xlpm.id),COUNTIF('5. JSACI'!$M:$M,_xlpm.id),COUNTIF('6. AIN'!$M:$M,_xlpm.id),COUNTIF('7. MS'!$M:$M,_xlpm.id),COUNTIF('8. DS'!$M:$M,_xlpm.id),COUNTIF('9. RMF'!$M:$M,_xlpm.id),COUNTIF('10. PCU'!$M:$M,_xlpm.id))))</f>
        <v>0</v>
      </c>
    </row>
    <row r="1488" spans="1:9">
      <c r="A1488" t="s">
        <v>8608</v>
      </c>
      <c r="B1488" t="s">
        <v>4767</v>
      </c>
      <c r="C1488">
        <v>1830</v>
      </c>
      <c r="D1488">
        <v>1</v>
      </c>
      <c r="E1488" s="23">
        <v>6</v>
      </c>
      <c r="F1488" t="s">
        <v>8265</v>
      </c>
      <c r="G1488" t="s">
        <v>10486</v>
      </c>
      <c r="H1488" t="s">
        <v>8019</v>
      </c>
      <c r="I1488">
        <f>_xlfn.LET(_xlpm.id,TRIM($A1488),IF(_xlpm.id="","",SUM(COUNTIF('1. OP'!$M:$M,_xlpm.id),COUNTIF('2. JSEL'!$M:$M,_xlpm.id),COUNTIF('3. PSM'!$M:$M,_xlpm.id),COUNTIF('4. SSP'!$M:$M,_xlpm.id),COUNTIF('5. JSACI'!$M:$M,_xlpm.id),COUNTIF('6. AIN'!$M:$M,_xlpm.id),COUNTIF('7. MS'!$M:$M,_xlpm.id),COUNTIF('8. DS'!$M:$M,_xlpm.id),COUNTIF('9. RMF'!$M:$M,_xlpm.id),COUNTIF('10. PCU'!$M:$M,_xlpm.id))))</f>
        <v>0</v>
      </c>
    </row>
    <row r="1489" spans="1:9">
      <c r="A1489" t="s">
        <v>8609</v>
      </c>
      <c r="B1489" t="s">
        <v>4767</v>
      </c>
      <c r="C1489">
        <v>1831</v>
      </c>
      <c r="D1489">
        <v>1</v>
      </c>
      <c r="E1489" s="23">
        <v>7</v>
      </c>
      <c r="F1489" t="s">
        <v>8265</v>
      </c>
      <c r="G1489" t="s">
        <v>10486</v>
      </c>
      <c r="H1489" t="s">
        <v>8019</v>
      </c>
      <c r="I1489">
        <f>_xlfn.LET(_xlpm.id,TRIM($A1489),IF(_xlpm.id="","",SUM(COUNTIF('1. OP'!$M:$M,_xlpm.id),COUNTIF('2. JSEL'!$M:$M,_xlpm.id),COUNTIF('3. PSM'!$M:$M,_xlpm.id),COUNTIF('4. SSP'!$M:$M,_xlpm.id),COUNTIF('5. JSACI'!$M:$M,_xlpm.id),COUNTIF('6. AIN'!$M:$M,_xlpm.id),COUNTIF('7. MS'!$M:$M,_xlpm.id),COUNTIF('8. DS'!$M:$M,_xlpm.id),COUNTIF('9. RMF'!$M:$M,_xlpm.id),COUNTIF('10. PCU'!$M:$M,_xlpm.id))))</f>
        <v>0</v>
      </c>
    </row>
    <row r="1490" spans="1:9">
      <c r="A1490" t="s">
        <v>8610</v>
      </c>
      <c r="B1490" t="s">
        <v>4767</v>
      </c>
      <c r="C1490">
        <v>1831</v>
      </c>
      <c r="D1490">
        <v>1</v>
      </c>
      <c r="E1490" s="23">
        <v>8</v>
      </c>
      <c r="F1490" t="s">
        <v>8265</v>
      </c>
      <c r="G1490" t="s">
        <v>10486</v>
      </c>
      <c r="H1490" t="s">
        <v>8019</v>
      </c>
      <c r="I1490">
        <f>_xlfn.LET(_xlpm.id,TRIM($A1490),IF(_xlpm.id="","",SUM(COUNTIF('1. OP'!$M:$M,_xlpm.id),COUNTIF('2. JSEL'!$M:$M,_xlpm.id),COUNTIF('3. PSM'!$M:$M,_xlpm.id),COUNTIF('4. SSP'!$M:$M,_xlpm.id),COUNTIF('5. JSACI'!$M:$M,_xlpm.id),COUNTIF('6. AIN'!$M:$M,_xlpm.id),COUNTIF('7. MS'!$M:$M,_xlpm.id),COUNTIF('8. DS'!$M:$M,_xlpm.id),COUNTIF('9. RMF'!$M:$M,_xlpm.id),COUNTIF('10. PCU'!$M:$M,_xlpm.id))))</f>
        <v>0</v>
      </c>
    </row>
    <row r="1491" spans="1:9">
      <c r="A1491" t="s">
        <v>8611</v>
      </c>
      <c r="B1491" t="s">
        <v>4767</v>
      </c>
      <c r="C1491">
        <v>1832</v>
      </c>
      <c r="D1491">
        <v>1</v>
      </c>
      <c r="E1491" s="23">
        <v>9</v>
      </c>
      <c r="F1491" t="s">
        <v>8265</v>
      </c>
      <c r="G1491" t="s">
        <v>10486</v>
      </c>
      <c r="H1491" t="s">
        <v>8019</v>
      </c>
      <c r="I1491">
        <f>_xlfn.LET(_xlpm.id,TRIM($A1491),IF(_xlpm.id="","",SUM(COUNTIF('1. OP'!$M:$M,_xlpm.id),COUNTIF('2. JSEL'!$M:$M,_xlpm.id),COUNTIF('3. PSM'!$M:$M,_xlpm.id),COUNTIF('4. SSP'!$M:$M,_xlpm.id),COUNTIF('5. JSACI'!$M:$M,_xlpm.id),COUNTIF('6. AIN'!$M:$M,_xlpm.id),COUNTIF('7. MS'!$M:$M,_xlpm.id),COUNTIF('8. DS'!$M:$M,_xlpm.id),COUNTIF('9. RMF'!$M:$M,_xlpm.id),COUNTIF('10. PCU'!$M:$M,_xlpm.id))))</f>
        <v>0</v>
      </c>
    </row>
    <row r="1492" spans="1:9">
      <c r="A1492" t="s">
        <v>8612</v>
      </c>
      <c r="B1492" t="s">
        <v>4767</v>
      </c>
      <c r="C1492">
        <v>1832</v>
      </c>
      <c r="D1492">
        <v>1</v>
      </c>
      <c r="E1492" s="23">
        <v>10</v>
      </c>
      <c r="F1492" t="s">
        <v>8265</v>
      </c>
      <c r="G1492" t="s">
        <v>10486</v>
      </c>
      <c r="H1492" t="s">
        <v>8019</v>
      </c>
      <c r="I1492">
        <f>_xlfn.LET(_xlpm.id,TRIM($A1492),IF(_xlpm.id="","",SUM(COUNTIF('1. OP'!$M:$M,_xlpm.id),COUNTIF('2. JSEL'!$M:$M,_xlpm.id),COUNTIF('3. PSM'!$M:$M,_xlpm.id),COUNTIF('4. SSP'!$M:$M,_xlpm.id),COUNTIF('5. JSACI'!$M:$M,_xlpm.id),COUNTIF('6. AIN'!$M:$M,_xlpm.id),COUNTIF('7. MS'!$M:$M,_xlpm.id),COUNTIF('8. DS'!$M:$M,_xlpm.id),COUNTIF('9. RMF'!$M:$M,_xlpm.id),COUNTIF('10. PCU'!$M:$M,_xlpm.id))))</f>
        <v>0</v>
      </c>
    </row>
    <row r="1493" spans="1:9">
      <c r="A1493" t="s">
        <v>8613</v>
      </c>
      <c r="B1493" t="s">
        <v>4767</v>
      </c>
      <c r="C1493">
        <v>1833</v>
      </c>
      <c r="D1493">
        <v>1</v>
      </c>
      <c r="E1493" s="23">
        <v>11</v>
      </c>
      <c r="F1493" t="s">
        <v>8265</v>
      </c>
      <c r="G1493" t="s">
        <v>10486</v>
      </c>
      <c r="H1493" t="s">
        <v>8019</v>
      </c>
      <c r="I1493">
        <f>_xlfn.LET(_xlpm.id,TRIM($A1493),IF(_xlpm.id="","",SUM(COUNTIF('1. OP'!$M:$M,_xlpm.id),COUNTIF('2. JSEL'!$M:$M,_xlpm.id),COUNTIF('3. PSM'!$M:$M,_xlpm.id),COUNTIF('4. SSP'!$M:$M,_xlpm.id),COUNTIF('5. JSACI'!$M:$M,_xlpm.id),COUNTIF('6. AIN'!$M:$M,_xlpm.id),COUNTIF('7. MS'!$M:$M,_xlpm.id),COUNTIF('8. DS'!$M:$M,_xlpm.id),COUNTIF('9. RMF'!$M:$M,_xlpm.id),COUNTIF('10. PCU'!$M:$M,_xlpm.id))))</f>
        <v>0</v>
      </c>
    </row>
    <row r="1494" spans="1:9">
      <c r="A1494" t="s">
        <v>8614</v>
      </c>
      <c r="B1494" t="s">
        <v>4767</v>
      </c>
      <c r="C1494">
        <v>1833</v>
      </c>
      <c r="D1494">
        <v>1</v>
      </c>
      <c r="E1494" s="23">
        <v>12</v>
      </c>
      <c r="F1494" t="s">
        <v>8265</v>
      </c>
      <c r="G1494" t="s">
        <v>10486</v>
      </c>
      <c r="H1494" t="s">
        <v>8019</v>
      </c>
      <c r="I1494">
        <f>_xlfn.LET(_xlpm.id,TRIM($A1494),IF(_xlpm.id="","",SUM(COUNTIF('1. OP'!$M:$M,_xlpm.id),COUNTIF('2. JSEL'!$M:$M,_xlpm.id),COUNTIF('3. PSM'!$M:$M,_xlpm.id),COUNTIF('4. SSP'!$M:$M,_xlpm.id),COUNTIF('5. JSACI'!$M:$M,_xlpm.id),COUNTIF('6. AIN'!$M:$M,_xlpm.id),COUNTIF('7. MS'!$M:$M,_xlpm.id),COUNTIF('8. DS'!$M:$M,_xlpm.id),COUNTIF('9. RMF'!$M:$M,_xlpm.id),COUNTIF('10. PCU'!$M:$M,_xlpm.id))))</f>
        <v>0</v>
      </c>
    </row>
    <row r="1495" spans="1:9">
      <c r="A1495" t="s">
        <v>8615</v>
      </c>
      <c r="B1495" t="s">
        <v>4767</v>
      </c>
      <c r="C1495">
        <v>1834</v>
      </c>
      <c r="D1495">
        <v>1</v>
      </c>
      <c r="E1495" s="23">
        <v>13</v>
      </c>
      <c r="F1495" t="s">
        <v>8265</v>
      </c>
      <c r="G1495" t="s">
        <v>10486</v>
      </c>
      <c r="H1495" t="s">
        <v>8019</v>
      </c>
      <c r="I1495">
        <f>_xlfn.LET(_xlpm.id,TRIM($A1495),IF(_xlpm.id="","",SUM(COUNTIF('1. OP'!$M:$M,_xlpm.id),COUNTIF('2. JSEL'!$M:$M,_xlpm.id),COUNTIF('3. PSM'!$M:$M,_xlpm.id),COUNTIF('4. SSP'!$M:$M,_xlpm.id),COUNTIF('5. JSACI'!$M:$M,_xlpm.id),COUNTIF('6. AIN'!$M:$M,_xlpm.id),COUNTIF('7. MS'!$M:$M,_xlpm.id),COUNTIF('8. DS'!$M:$M,_xlpm.id),COUNTIF('9. RMF'!$M:$M,_xlpm.id),COUNTIF('10. PCU'!$M:$M,_xlpm.id))))</f>
        <v>0</v>
      </c>
    </row>
    <row r="1496" spans="1:9">
      <c r="A1496" t="s">
        <v>8616</v>
      </c>
      <c r="B1496" t="s">
        <v>4767</v>
      </c>
      <c r="C1496">
        <v>1834</v>
      </c>
      <c r="D1496">
        <v>1</v>
      </c>
      <c r="E1496" s="23">
        <v>14</v>
      </c>
      <c r="F1496" t="s">
        <v>8265</v>
      </c>
      <c r="G1496" t="s">
        <v>10486</v>
      </c>
      <c r="H1496" t="s">
        <v>8019</v>
      </c>
      <c r="I1496">
        <f>_xlfn.LET(_xlpm.id,TRIM($A1496),IF(_xlpm.id="","",SUM(COUNTIF('1. OP'!$M:$M,_xlpm.id),COUNTIF('2. JSEL'!$M:$M,_xlpm.id),COUNTIF('3. PSM'!$M:$M,_xlpm.id),COUNTIF('4. SSP'!$M:$M,_xlpm.id),COUNTIF('5. JSACI'!$M:$M,_xlpm.id),COUNTIF('6. AIN'!$M:$M,_xlpm.id),COUNTIF('7. MS'!$M:$M,_xlpm.id),COUNTIF('8. DS'!$M:$M,_xlpm.id),COUNTIF('9. RMF'!$M:$M,_xlpm.id),COUNTIF('10. PCU'!$M:$M,_xlpm.id))))</f>
        <v>0</v>
      </c>
    </row>
    <row r="1497" spans="1:9">
      <c r="A1497" t="s">
        <v>8617</v>
      </c>
      <c r="B1497" t="s">
        <v>4767</v>
      </c>
      <c r="C1497">
        <v>1835</v>
      </c>
      <c r="D1497">
        <v>1</v>
      </c>
      <c r="E1497" s="23">
        <v>15</v>
      </c>
      <c r="F1497" t="s">
        <v>8265</v>
      </c>
      <c r="G1497" t="s">
        <v>10486</v>
      </c>
      <c r="H1497" t="s">
        <v>8019</v>
      </c>
      <c r="I1497">
        <f>_xlfn.LET(_xlpm.id,TRIM($A1497),IF(_xlpm.id="","",SUM(COUNTIF('1. OP'!$M:$M,_xlpm.id),COUNTIF('2. JSEL'!$M:$M,_xlpm.id),COUNTIF('3. PSM'!$M:$M,_xlpm.id),COUNTIF('4. SSP'!$M:$M,_xlpm.id),COUNTIF('5. JSACI'!$M:$M,_xlpm.id),COUNTIF('6. AIN'!$M:$M,_xlpm.id),COUNTIF('7. MS'!$M:$M,_xlpm.id),COUNTIF('8. DS'!$M:$M,_xlpm.id),COUNTIF('9. RMF'!$M:$M,_xlpm.id),COUNTIF('10. PCU'!$M:$M,_xlpm.id))))</f>
        <v>0</v>
      </c>
    </row>
    <row r="1498" spans="1:9">
      <c r="A1498" t="s">
        <v>8618</v>
      </c>
      <c r="B1498" t="s">
        <v>4767</v>
      </c>
      <c r="C1498">
        <v>1835</v>
      </c>
      <c r="D1498">
        <v>1</v>
      </c>
      <c r="E1498" s="23">
        <v>16</v>
      </c>
      <c r="F1498" t="s">
        <v>8265</v>
      </c>
      <c r="G1498" t="s">
        <v>10486</v>
      </c>
      <c r="H1498" t="s">
        <v>8019</v>
      </c>
      <c r="I1498">
        <f>_xlfn.LET(_xlpm.id,TRIM($A1498),IF(_xlpm.id="","",SUM(COUNTIF('1. OP'!$M:$M,_xlpm.id),COUNTIF('2. JSEL'!$M:$M,_xlpm.id),COUNTIF('3. PSM'!$M:$M,_xlpm.id),COUNTIF('4. SSP'!$M:$M,_xlpm.id),COUNTIF('5. JSACI'!$M:$M,_xlpm.id),COUNTIF('6. AIN'!$M:$M,_xlpm.id),COUNTIF('7. MS'!$M:$M,_xlpm.id),COUNTIF('8. DS'!$M:$M,_xlpm.id),COUNTIF('9. RMF'!$M:$M,_xlpm.id),COUNTIF('10. PCU'!$M:$M,_xlpm.id))))</f>
        <v>0</v>
      </c>
    </row>
    <row r="1499" spans="1:9">
      <c r="A1499" t="s">
        <v>7441</v>
      </c>
      <c r="B1499" t="s">
        <v>4767</v>
      </c>
      <c r="C1499">
        <v>1836</v>
      </c>
      <c r="D1499">
        <v>1</v>
      </c>
      <c r="E1499" s="23">
        <v>17</v>
      </c>
      <c r="F1499" t="s">
        <v>8265</v>
      </c>
      <c r="G1499" t="s">
        <v>10486</v>
      </c>
      <c r="H1499" t="s">
        <v>8019</v>
      </c>
      <c r="I1499">
        <f>_xlfn.LET(_xlpm.id,TRIM($A1499),IF(_xlpm.id="","",SUM(COUNTIF('1. OP'!$M:$M,_xlpm.id),COUNTIF('2. JSEL'!$M:$M,_xlpm.id),COUNTIF('3. PSM'!$M:$M,_xlpm.id),COUNTIF('4. SSP'!$M:$M,_xlpm.id),COUNTIF('5. JSACI'!$M:$M,_xlpm.id),COUNTIF('6. AIN'!$M:$M,_xlpm.id),COUNTIF('7. MS'!$M:$M,_xlpm.id),COUNTIF('8. DS'!$M:$M,_xlpm.id),COUNTIF('9. RMF'!$M:$M,_xlpm.id),COUNTIF('10. PCU'!$M:$M,_xlpm.id))))</f>
        <v>1</v>
      </c>
    </row>
    <row r="1500" spans="1:9">
      <c r="A1500" t="s">
        <v>7717</v>
      </c>
      <c r="B1500" t="s">
        <v>4767</v>
      </c>
      <c r="C1500">
        <v>1836</v>
      </c>
      <c r="D1500">
        <v>1</v>
      </c>
      <c r="E1500" s="23">
        <v>18</v>
      </c>
      <c r="F1500" t="s">
        <v>8265</v>
      </c>
      <c r="G1500" t="s">
        <v>10486</v>
      </c>
      <c r="H1500" t="s">
        <v>8019</v>
      </c>
      <c r="I1500">
        <f>_xlfn.LET(_xlpm.id,TRIM($A1500),IF(_xlpm.id="","",SUM(COUNTIF('1. OP'!$M:$M,_xlpm.id),COUNTIF('2. JSEL'!$M:$M,_xlpm.id),COUNTIF('3. PSM'!$M:$M,_xlpm.id),COUNTIF('4. SSP'!$M:$M,_xlpm.id),COUNTIF('5. JSACI'!$M:$M,_xlpm.id),COUNTIF('6. AIN'!$M:$M,_xlpm.id),COUNTIF('7. MS'!$M:$M,_xlpm.id),COUNTIF('8. DS'!$M:$M,_xlpm.id),COUNTIF('9. RMF'!$M:$M,_xlpm.id),COUNTIF('10. PCU'!$M:$M,_xlpm.id))))</f>
        <v>2</v>
      </c>
    </row>
    <row r="1501" spans="1:9">
      <c r="A1501" t="s">
        <v>8619</v>
      </c>
      <c r="B1501" t="s">
        <v>4767</v>
      </c>
      <c r="C1501">
        <v>1837</v>
      </c>
      <c r="D1501">
        <v>1</v>
      </c>
      <c r="E1501" s="23">
        <v>19</v>
      </c>
      <c r="F1501" t="s">
        <v>8265</v>
      </c>
      <c r="G1501" t="s">
        <v>10486</v>
      </c>
      <c r="H1501" t="s">
        <v>8019</v>
      </c>
      <c r="I1501">
        <f>_xlfn.LET(_xlpm.id,TRIM($A1501),IF(_xlpm.id="","",SUM(COUNTIF('1. OP'!$M:$M,_xlpm.id),COUNTIF('2. JSEL'!$M:$M,_xlpm.id),COUNTIF('3. PSM'!$M:$M,_xlpm.id),COUNTIF('4. SSP'!$M:$M,_xlpm.id),COUNTIF('5. JSACI'!$M:$M,_xlpm.id),COUNTIF('6. AIN'!$M:$M,_xlpm.id),COUNTIF('7. MS'!$M:$M,_xlpm.id),COUNTIF('8. DS'!$M:$M,_xlpm.id),COUNTIF('9. RMF'!$M:$M,_xlpm.id),COUNTIF('10. PCU'!$M:$M,_xlpm.id))))</f>
        <v>0</v>
      </c>
    </row>
    <row r="1502" spans="1:9">
      <c r="A1502" t="s">
        <v>8620</v>
      </c>
      <c r="B1502" t="s">
        <v>4767</v>
      </c>
      <c r="C1502">
        <v>1837</v>
      </c>
      <c r="D1502">
        <v>1</v>
      </c>
      <c r="E1502" s="23">
        <v>20</v>
      </c>
      <c r="F1502" t="s">
        <v>8265</v>
      </c>
      <c r="G1502" t="s">
        <v>10486</v>
      </c>
      <c r="H1502" t="s">
        <v>8019</v>
      </c>
      <c r="I1502">
        <f>_xlfn.LET(_xlpm.id,TRIM($A1502),IF(_xlpm.id="","",SUM(COUNTIF('1. OP'!$M:$M,_xlpm.id),COUNTIF('2. JSEL'!$M:$M,_xlpm.id),COUNTIF('3. PSM'!$M:$M,_xlpm.id),COUNTIF('4. SSP'!$M:$M,_xlpm.id),COUNTIF('5. JSACI'!$M:$M,_xlpm.id),COUNTIF('6. AIN'!$M:$M,_xlpm.id),COUNTIF('7. MS'!$M:$M,_xlpm.id),COUNTIF('8. DS'!$M:$M,_xlpm.id),COUNTIF('9. RMF'!$M:$M,_xlpm.id),COUNTIF('10. PCU'!$M:$M,_xlpm.id))))</f>
        <v>0</v>
      </c>
    </row>
    <row r="1503" spans="1:9">
      <c r="A1503" t="s">
        <v>8621</v>
      </c>
      <c r="B1503" t="s">
        <v>4767</v>
      </c>
      <c r="C1503">
        <v>1838</v>
      </c>
      <c r="D1503">
        <v>1</v>
      </c>
      <c r="E1503" s="23">
        <v>21</v>
      </c>
      <c r="F1503" t="s">
        <v>8265</v>
      </c>
      <c r="G1503" t="s">
        <v>10486</v>
      </c>
      <c r="H1503" t="s">
        <v>8019</v>
      </c>
      <c r="I1503">
        <f>_xlfn.LET(_xlpm.id,TRIM($A1503),IF(_xlpm.id="","",SUM(COUNTIF('1. OP'!$M:$M,_xlpm.id),COUNTIF('2. JSEL'!$M:$M,_xlpm.id),COUNTIF('3. PSM'!$M:$M,_xlpm.id),COUNTIF('4. SSP'!$M:$M,_xlpm.id),COUNTIF('5. JSACI'!$M:$M,_xlpm.id),COUNTIF('6. AIN'!$M:$M,_xlpm.id),COUNTIF('7. MS'!$M:$M,_xlpm.id),COUNTIF('8. DS'!$M:$M,_xlpm.id),COUNTIF('9. RMF'!$M:$M,_xlpm.id),COUNTIF('10. PCU'!$M:$M,_xlpm.id))))</f>
        <v>0</v>
      </c>
    </row>
    <row r="1504" spans="1:9">
      <c r="A1504" t="s">
        <v>8622</v>
      </c>
      <c r="B1504" t="s">
        <v>4767</v>
      </c>
      <c r="C1504">
        <v>1838</v>
      </c>
      <c r="D1504">
        <v>1</v>
      </c>
      <c r="E1504" s="23">
        <v>22</v>
      </c>
      <c r="F1504" t="s">
        <v>8265</v>
      </c>
      <c r="G1504" t="s">
        <v>10486</v>
      </c>
      <c r="H1504" t="s">
        <v>8019</v>
      </c>
      <c r="I1504">
        <f>_xlfn.LET(_xlpm.id,TRIM($A1504),IF(_xlpm.id="","",SUM(COUNTIF('1. OP'!$M:$M,_xlpm.id),COUNTIF('2. JSEL'!$M:$M,_xlpm.id),COUNTIF('3. PSM'!$M:$M,_xlpm.id),COUNTIF('4. SSP'!$M:$M,_xlpm.id),COUNTIF('5. JSACI'!$M:$M,_xlpm.id),COUNTIF('6. AIN'!$M:$M,_xlpm.id),COUNTIF('7. MS'!$M:$M,_xlpm.id),COUNTIF('8. DS'!$M:$M,_xlpm.id),COUNTIF('9. RMF'!$M:$M,_xlpm.id),COUNTIF('10. PCU'!$M:$M,_xlpm.id))))</f>
        <v>0</v>
      </c>
    </row>
    <row r="1505" spans="1:9">
      <c r="A1505" t="s">
        <v>8623</v>
      </c>
      <c r="B1505" t="s">
        <v>4767</v>
      </c>
      <c r="C1505">
        <v>1839</v>
      </c>
      <c r="D1505">
        <v>1</v>
      </c>
      <c r="E1505" s="23">
        <v>23</v>
      </c>
      <c r="F1505" t="s">
        <v>8265</v>
      </c>
      <c r="G1505" t="s">
        <v>10486</v>
      </c>
      <c r="H1505" t="s">
        <v>8019</v>
      </c>
      <c r="I1505">
        <f>_xlfn.LET(_xlpm.id,TRIM($A1505),IF(_xlpm.id="","",SUM(COUNTIF('1. OP'!$M:$M,_xlpm.id),COUNTIF('2. JSEL'!$M:$M,_xlpm.id),COUNTIF('3. PSM'!$M:$M,_xlpm.id),COUNTIF('4. SSP'!$M:$M,_xlpm.id),COUNTIF('5. JSACI'!$M:$M,_xlpm.id),COUNTIF('6. AIN'!$M:$M,_xlpm.id),COUNTIF('7. MS'!$M:$M,_xlpm.id),COUNTIF('8. DS'!$M:$M,_xlpm.id),COUNTIF('9. RMF'!$M:$M,_xlpm.id),COUNTIF('10. PCU'!$M:$M,_xlpm.id))))</f>
        <v>0</v>
      </c>
    </row>
    <row r="1506" spans="1:9">
      <c r="A1506" t="s">
        <v>8624</v>
      </c>
      <c r="B1506" t="s">
        <v>4767</v>
      </c>
      <c r="C1506">
        <v>1839</v>
      </c>
      <c r="D1506">
        <v>1</v>
      </c>
      <c r="E1506" s="23">
        <v>24</v>
      </c>
      <c r="F1506" t="s">
        <v>8265</v>
      </c>
      <c r="G1506" t="s">
        <v>10486</v>
      </c>
      <c r="H1506" t="s">
        <v>8019</v>
      </c>
      <c r="I1506">
        <f>_xlfn.LET(_xlpm.id,TRIM($A1506),IF(_xlpm.id="","",SUM(COUNTIF('1. OP'!$M:$M,_xlpm.id),COUNTIF('2. JSEL'!$M:$M,_xlpm.id),COUNTIF('3. PSM'!$M:$M,_xlpm.id),COUNTIF('4. SSP'!$M:$M,_xlpm.id),COUNTIF('5. JSACI'!$M:$M,_xlpm.id),COUNTIF('6. AIN'!$M:$M,_xlpm.id),COUNTIF('7. MS'!$M:$M,_xlpm.id),COUNTIF('8. DS'!$M:$M,_xlpm.id),COUNTIF('9. RMF'!$M:$M,_xlpm.id),COUNTIF('10. PCU'!$M:$M,_xlpm.id))))</f>
        <v>0</v>
      </c>
    </row>
    <row r="1507" spans="1:9">
      <c r="A1507" t="s">
        <v>8625</v>
      </c>
      <c r="B1507" t="s">
        <v>4767</v>
      </c>
      <c r="C1507">
        <v>1840</v>
      </c>
      <c r="D1507">
        <v>1</v>
      </c>
      <c r="E1507" s="23">
        <v>25</v>
      </c>
      <c r="F1507" t="s">
        <v>8265</v>
      </c>
      <c r="G1507" t="s">
        <v>10486</v>
      </c>
      <c r="H1507" t="s">
        <v>8019</v>
      </c>
      <c r="I1507">
        <f>_xlfn.LET(_xlpm.id,TRIM($A1507),IF(_xlpm.id="","",SUM(COUNTIF('1. OP'!$M:$M,_xlpm.id),COUNTIF('2. JSEL'!$M:$M,_xlpm.id),COUNTIF('3. PSM'!$M:$M,_xlpm.id),COUNTIF('4. SSP'!$M:$M,_xlpm.id),COUNTIF('5. JSACI'!$M:$M,_xlpm.id),COUNTIF('6. AIN'!$M:$M,_xlpm.id),COUNTIF('7. MS'!$M:$M,_xlpm.id),COUNTIF('8. DS'!$M:$M,_xlpm.id),COUNTIF('9. RMF'!$M:$M,_xlpm.id),COUNTIF('10. PCU'!$M:$M,_xlpm.id))))</f>
        <v>0</v>
      </c>
    </row>
    <row r="1508" spans="1:9">
      <c r="A1508" t="s">
        <v>8626</v>
      </c>
      <c r="B1508" t="s">
        <v>4767</v>
      </c>
      <c r="C1508">
        <v>1840</v>
      </c>
      <c r="D1508">
        <v>1</v>
      </c>
      <c r="E1508" s="23">
        <v>26</v>
      </c>
      <c r="F1508" t="s">
        <v>8265</v>
      </c>
      <c r="G1508" t="s">
        <v>10486</v>
      </c>
      <c r="H1508" t="s">
        <v>8019</v>
      </c>
      <c r="I1508">
        <f>_xlfn.LET(_xlpm.id,TRIM($A1508),IF(_xlpm.id="","",SUM(COUNTIF('1. OP'!$M:$M,_xlpm.id),COUNTIF('2. JSEL'!$M:$M,_xlpm.id),COUNTIF('3. PSM'!$M:$M,_xlpm.id),COUNTIF('4. SSP'!$M:$M,_xlpm.id),COUNTIF('5. JSACI'!$M:$M,_xlpm.id),COUNTIF('6. AIN'!$M:$M,_xlpm.id),COUNTIF('7. MS'!$M:$M,_xlpm.id),COUNTIF('8. DS'!$M:$M,_xlpm.id),COUNTIF('9. RMF'!$M:$M,_xlpm.id),COUNTIF('10. PCU'!$M:$M,_xlpm.id))))</f>
        <v>0</v>
      </c>
    </row>
    <row r="1509" spans="1:9">
      <c r="A1509" t="s">
        <v>9491</v>
      </c>
      <c r="B1509" t="s">
        <v>9492</v>
      </c>
      <c r="C1509">
        <v>1818</v>
      </c>
      <c r="D1509">
        <v>1</v>
      </c>
      <c r="E1509" s="23">
        <v>1</v>
      </c>
      <c r="F1509" t="s">
        <v>8265</v>
      </c>
      <c r="G1509" t="s">
        <v>10500</v>
      </c>
      <c r="H1509" t="s">
        <v>8019</v>
      </c>
      <c r="I1509">
        <f>_xlfn.LET(_xlpm.id,TRIM($A1509),IF(_xlpm.id="","",SUM(COUNTIF('1. OP'!$M:$M,_xlpm.id),COUNTIF('2. JSEL'!$M:$M,_xlpm.id),COUNTIF('3. PSM'!$M:$M,_xlpm.id),COUNTIF('4. SSP'!$M:$M,_xlpm.id),COUNTIF('5. JSACI'!$M:$M,_xlpm.id),COUNTIF('6. AIN'!$M:$M,_xlpm.id),COUNTIF('7. MS'!$M:$M,_xlpm.id),COUNTIF('8. DS'!$M:$M,_xlpm.id),COUNTIF('9. RMF'!$M:$M,_xlpm.id),COUNTIF('10. PCU'!$M:$M,_xlpm.id))))</f>
        <v>0</v>
      </c>
    </row>
    <row r="1510" spans="1:9">
      <c r="A1510" t="s">
        <v>9493</v>
      </c>
      <c r="B1510" t="s">
        <v>9492</v>
      </c>
      <c r="C1510">
        <v>1818</v>
      </c>
      <c r="D1510">
        <v>1</v>
      </c>
      <c r="E1510" s="23">
        <v>2</v>
      </c>
      <c r="F1510" t="s">
        <v>8265</v>
      </c>
      <c r="G1510" t="s">
        <v>10500</v>
      </c>
      <c r="H1510" t="s">
        <v>8019</v>
      </c>
      <c r="I1510">
        <f>_xlfn.LET(_xlpm.id,TRIM($A1510),IF(_xlpm.id="","",SUM(COUNTIF('1. OP'!$M:$M,_xlpm.id),COUNTIF('2. JSEL'!$M:$M,_xlpm.id),COUNTIF('3. PSM'!$M:$M,_xlpm.id),COUNTIF('4. SSP'!$M:$M,_xlpm.id),COUNTIF('5. JSACI'!$M:$M,_xlpm.id),COUNTIF('6. AIN'!$M:$M,_xlpm.id),COUNTIF('7. MS'!$M:$M,_xlpm.id),COUNTIF('8. DS'!$M:$M,_xlpm.id),COUNTIF('9. RMF'!$M:$M,_xlpm.id),COUNTIF('10. PCU'!$M:$M,_xlpm.id))))</f>
        <v>0</v>
      </c>
    </row>
    <row r="1511" spans="1:9">
      <c r="A1511" t="s">
        <v>9494</v>
      </c>
      <c r="B1511" t="s">
        <v>9492</v>
      </c>
      <c r="C1511">
        <v>1822</v>
      </c>
      <c r="D1511">
        <v>1</v>
      </c>
      <c r="E1511" s="23">
        <v>3</v>
      </c>
      <c r="F1511" t="s">
        <v>8265</v>
      </c>
      <c r="G1511" t="s">
        <v>10500</v>
      </c>
      <c r="H1511" t="s">
        <v>8019</v>
      </c>
      <c r="I1511">
        <f>_xlfn.LET(_xlpm.id,TRIM($A1511),IF(_xlpm.id="","",SUM(COUNTIF('1. OP'!$M:$M,_xlpm.id),COUNTIF('2. JSEL'!$M:$M,_xlpm.id),COUNTIF('3. PSM'!$M:$M,_xlpm.id),COUNTIF('4. SSP'!$M:$M,_xlpm.id),COUNTIF('5. JSACI'!$M:$M,_xlpm.id),COUNTIF('6. AIN'!$M:$M,_xlpm.id),COUNTIF('7. MS'!$M:$M,_xlpm.id),COUNTIF('8. DS'!$M:$M,_xlpm.id),COUNTIF('9. RMF'!$M:$M,_xlpm.id),COUNTIF('10. PCU'!$M:$M,_xlpm.id))))</f>
        <v>0</v>
      </c>
    </row>
    <row r="1512" spans="1:9">
      <c r="A1512" t="s">
        <v>9495</v>
      </c>
      <c r="B1512" t="s">
        <v>9492</v>
      </c>
      <c r="C1512">
        <v>1827</v>
      </c>
      <c r="D1512">
        <v>1</v>
      </c>
      <c r="E1512" s="23">
        <v>4</v>
      </c>
      <c r="F1512" t="s">
        <v>8265</v>
      </c>
      <c r="G1512" t="s">
        <v>10500</v>
      </c>
      <c r="H1512" t="s">
        <v>8019</v>
      </c>
      <c r="I1512">
        <f>_xlfn.LET(_xlpm.id,TRIM($A1512),IF(_xlpm.id="","",SUM(COUNTIF('1. OP'!$M:$M,_xlpm.id),COUNTIF('2. JSEL'!$M:$M,_xlpm.id),COUNTIF('3. PSM'!$M:$M,_xlpm.id),COUNTIF('4. SSP'!$M:$M,_xlpm.id),COUNTIF('5. JSACI'!$M:$M,_xlpm.id),COUNTIF('6. AIN'!$M:$M,_xlpm.id),COUNTIF('7. MS'!$M:$M,_xlpm.id),COUNTIF('8. DS'!$M:$M,_xlpm.id),COUNTIF('9. RMF'!$M:$M,_xlpm.id),COUNTIF('10. PCU'!$M:$M,_xlpm.id))))</f>
        <v>0</v>
      </c>
    </row>
    <row r="1513" spans="1:9">
      <c r="A1513" t="s">
        <v>9496</v>
      </c>
      <c r="B1513" t="s">
        <v>9492</v>
      </c>
      <c r="C1513">
        <v>1830</v>
      </c>
      <c r="D1513">
        <v>1</v>
      </c>
      <c r="E1513" s="23">
        <v>5</v>
      </c>
      <c r="F1513" t="s">
        <v>8265</v>
      </c>
      <c r="G1513" t="s">
        <v>10500</v>
      </c>
      <c r="H1513" t="s">
        <v>8019</v>
      </c>
      <c r="I1513">
        <f>_xlfn.LET(_xlpm.id,TRIM($A1513),IF(_xlpm.id="","",SUM(COUNTIF('1. OP'!$M:$M,_xlpm.id),COUNTIF('2. JSEL'!$M:$M,_xlpm.id),COUNTIF('3. PSM'!$M:$M,_xlpm.id),COUNTIF('4. SSP'!$M:$M,_xlpm.id),COUNTIF('5. JSACI'!$M:$M,_xlpm.id),COUNTIF('6. AIN'!$M:$M,_xlpm.id),COUNTIF('7. MS'!$M:$M,_xlpm.id),COUNTIF('8. DS'!$M:$M,_xlpm.id),COUNTIF('9. RMF'!$M:$M,_xlpm.id),COUNTIF('10. PCU'!$M:$M,_xlpm.id))))</f>
        <v>0</v>
      </c>
    </row>
    <row r="1514" spans="1:9">
      <c r="A1514" t="s">
        <v>9497</v>
      </c>
      <c r="B1514" t="s">
        <v>9498</v>
      </c>
      <c r="C1514">
        <v>1815</v>
      </c>
      <c r="D1514">
        <v>1</v>
      </c>
      <c r="E1514" s="23">
        <v>33</v>
      </c>
      <c r="F1514" t="s">
        <v>8265</v>
      </c>
      <c r="G1514" t="s">
        <v>10486</v>
      </c>
      <c r="H1514" t="s">
        <v>8019</v>
      </c>
      <c r="I1514">
        <f>_xlfn.LET(_xlpm.id,TRIM($A1514),IF(_xlpm.id="","",SUM(COUNTIF('1. OP'!$M:$M,_xlpm.id),COUNTIF('2. JSEL'!$M:$M,_xlpm.id),COUNTIF('3. PSM'!$M:$M,_xlpm.id),COUNTIF('4. SSP'!$M:$M,_xlpm.id),COUNTIF('5. JSACI'!$M:$M,_xlpm.id),COUNTIF('6. AIN'!$M:$M,_xlpm.id),COUNTIF('7. MS'!$M:$M,_xlpm.id),COUNTIF('8. DS'!$M:$M,_xlpm.id),COUNTIF('9. RMF'!$M:$M,_xlpm.id),COUNTIF('10. PCU'!$M:$M,_xlpm.id))))</f>
        <v>0</v>
      </c>
    </row>
    <row r="1515" spans="1:9">
      <c r="A1515" t="s">
        <v>9499</v>
      </c>
      <c r="B1515" t="s">
        <v>9498</v>
      </c>
      <c r="C1515">
        <v>1815</v>
      </c>
      <c r="D1515">
        <v>1</v>
      </c>
      <c r="E1515" s="23">
        <v>34</v>
      </c>
      <c r="F1515" t="s">
        <v>8265</v>
      </c>
      <c r="G1515" t="s">
        <v>10486</v>
      </c>
      <c r="H1515" t="s">
        <v>8019</v>
      </c>
      <c r="I1515">
        <f>_xlfn.LET(_xlpm.id,TRIM($A1515),IF(_xlpm.id="","",SUM(COUNTIF('1. OP'!$M:$M,_xlpm.id),COUNTIF('2. JSEL'!$M:$M,_xlpm.id),COUNTIF('3. PSM'!$M:$M,_xlpm.id),COUNTIF('4. SSP'!$M:$M,_xlpm.id),COUNTIF('5. JSACI'!$M:$M,_xlpm.id),COUNTIF('6. AIN'!$M:$M,_xlpm.id),COUNTIF('7. MS'!$M:$M,_xlpm.id),COUNTIF('8. DS'!$M:$M,_xlpm.id),COUNTIF('9. RMF'!$M:$M,_xlpm.id),COUNTIF('10. PCU'!$M:$M,_xlpm.id))))</f>
        <v>0</v>
      </c>
    </row>
    <row r="1516" spans="1:9">
      <c r="A1516" t="s">
        <v>9500</v>
      </c>
      <c r="B1516" t="s">
        <v>9498</v>
      </c>
      <c r="C1516">
        <v>1816</v>
      </c>
      <c r="D1516">
        <v>1</v>
      </c>
      <c r="E1516" s="23">
        <v>35</v>
      </c>
      <c r="F1516" t="s">
        <v>8265</v>
      </c>
      <c r="G1516" t="s">
        <v>10486</v>
      </c>
      <c r="H1516" t="s">
        <v>8019</v>
      </c>
      <c r="I1516">
        <f>_xlfn.LET(_xlpm.id,TRIM($A1516),IF(_xlpm.id="","",SUM(COUNTIF('1. OP'!$M:$M,_xlpm.id),COUNTIF('2. JSEL'!$M:$M,_xlpm.id),COUNTIF('3. PSM'!$M:$M,_xlpm.id),COUNTIF('4. SSP'!$M:$M,_xlpm.id),COUNTIF('5. JSACI'!$M:$M,_xlpm.id),COUNTIF('6. AIN'!$M:$M,_xlpm.id),COUNTIF('7. MS'!$M:$M,_xlpm.id),COUNTIF('8. DS'!$M:$M,_xlpm.id),COUNTIF('9. RMF'!$M:$M,_xlpm.id),COUNTIF('10. PCU'!$M:$M,_xlpm.id))))</f>
        <v>0</v>
      </c>
    </row>
    <row r="1517" spans="1:9">
      <c r="A1517" t="s">
        <v>9501</v>
      </c>
      <c r="B1517" t="s">
        <v>9498</v>
      </c>
      <c r="C1517">
        <v>1816</v>
      </c>
      <c r="D1517">
        <v>1</v>
      </c>
      <c r="E1517" s="23">
        <v>36</v>
      </c>
      <c r="F1517" t="s">
        <v>8265</v>
      </c>
      <c r="G1517" t="s">
        <v>10486</v>
      </c>
      <c r="H1517" t="s">
        <v>8019</v>
      </c>
      <c r="I1517">
        <f>_xlfn.LET(_xlpm.id,TRIM($A1517),IF(_xlpm.id="","",SUM(COUNTIF('1. OP'!$M:$M,_xlpm.id),COUNTIF('2. JSEL'!$M:$M,_xlpm.id),COUNTIF('3. PSM'!$M:$M,_xlpm.id),COUNTIF('4. SSP'!$M:$M,_xlpm.id),COUNTIF('5. JSACI'!$M:$M,_xlpm.id),COUNTIF('6. AIN'!$M:$M,_xlpm.id),COUNTIF('7. MS'!$M:$M,_xlpm.id),COUNTIF('8. DS'!$M:$M,_xlpm.id),COUNTIF('9. RMF'!$M:$M,_xlpm.id),COUNTIF('10. PCU'!$M:$M,_xlpm.id))))</f>
        <v>0</v>
      </c>
    </row>
    <row r="1518" spans="1:9">
      <c r="A1518" t="s">
        <v>9502</v>
      </c>
      <c r="B1518" t="s">
        <v>9498</v>
      </c>
      <c r="C1518">
        <v>1817</v>
      </c>
      <c r="D1518">
        <v>1</v>
      </c>
      <c r="E1518" s="23">
        <v>37</v>
      </c>
      <c r="F1518" t="s">
        <v>8265</v>
      </c>
      <c r="G1518" t="s">
        <v>10486</v>
      </c>
      <c r="H1518" t="s">
        <v>8019</v>
      </c>
      <c r="I1518">
        <f>_xlfn.LET(_xlpm.id,TRIM($A1518),IF(_xlpm.id="","",SUM(COUNTIF('1. OP'!$M:$M,_xlpm.id),COUNTIF('2. JSEL'!$M:$M,_xlpm.id),COUNTIF('3. PSM'!$M:$M,_xlpm.id),COUNTIF('4. SSP'!$M:$M,_xlpm.id),COUNTIF('5. JSACI'!$M:$M,_xlpm.id),COUNTIF('6. AIN'!$M:$M,_xlpm.id),COUNTIF('7. MS'!$M:$M,_xlpm.id),COUNTIF('8. DS'!$M:$M,_xlpm.id),COUNTIF('9. RMF'!$M:$M,_xlpm.id),COUNTIF('10. PCU'!$M:$M,_xlpm.id))))</f>
        <v>0</v>
      </c>
    </row>
    <row r="1519" spans="1:9">
      <c r="A1519" t="s">
        <v>9503</v>
      </c>
      <c r="B1519" t="s">
        <v>9498</v>
      </c>
      <c r="C1519">
        <v>1817</v>
      </c>
      <c r="D1519">
        <v>1</v>
      </c>
      <c r="E1519" s="23">
        <v>38</v>
      </c>
      <c r="F1519" t="s">
        <v>8265</v>
      </c>
      <c r="G1519" t="s">
        <v>10486</v>
      </c>
      <c r="H1519" t="s">
        <v>8019</v>
      </c>
      <c r="I1519">
        <f>_xlfn.LET(_xlpm.id,TRIM($A1519),IF(_xlpm.id="","",SUM(COUNTIF('1. OP'!$M:$M,_xlpm.id),COUNTIF('2. JSEL'!$M:$M,_xlpm.id),COUNTIF('3. PSM'!$M:$M,_xlpm.id),COUNTIF('4. SSP'!$M:$M,_xlpm.id),COUNTIF('5. JSACI'!$M:$M,_xlpm.id),COUNTIF('6. AIN'!$M:$M,_xlpm.id),COUNTIF('7. MS'!$M:$M,_xlpm.id),COUNTIF('8. DS'!$M:$M,_xlpm.id),COUNTIF('9. RMF'!$M:$M,_xlpm.id),COUNTIF('10. PCU'!$M:$M,_xlpm.id))))</f>
        <v>0</v>
      </c>
    </row>
    <row r="1520" spans="1:9">
      <c r="A1520" t="s">
        <v>9504</v>
      </c>
      <c r="B1520" t="s">
        <v>9498</v>
      </c>
      <c r="C1520">
        <v>1818</v>
      </c>
      <c r="D1520">
        <v>1</v>
      </c>
      <c r="E1520" s="23">
        <v>39</v>
      </c>
      <c r="F1520" t="s">
        <v>8265</v>
      </c>
      <c r="G1520" t="s">
        <v>10486</v>
      </c>
      <c r="H1520" t="s">
        <v>8019</v>
      </c>
      <c r="I1520">
        <f>_xlfn.LET(_xlpm.id,TRIM($A1520),IF(_xlpm.id="","",SUM(COUNTIF('1. OP'!$M:$M,_xlpm.id),COUNTIF('2. JSEL'!$M:$M,_xlpm.id),COUNTIF('3. PSM'!$M:$M,_xlpm.id),COUNTIF('4. SSP'!$M:$M,_xlpm.id),COUNTIF('5. JSACI'!$M:$M,_xlpm.id),COUNTIF('6. AIN'!$M:$M,_xlpm.id),COUNTIF('7. MS'!$M:$M,_xlpm.id),COUNTIF('8. DS'!$M:$M,_xlpm.id),COUNTIF('9. RMF'!$M:$M,_xlpm.id),COUNTIF('10. PCU'!$M:$M,_xlpm.id))))</f>
        <v>0</v>
      </c>
    </row>
    <row r="1521" spans="1:9">
      <c r="A1521" t="s">
        <v>9505</v>
      </c>
      <c r="B1521" t="s">
        <v>9498</v>
      </c>
      <c r="C1521">
        <v>1818</v>
      </c>
      <c r="D1521">
        <v>1</v>
      </c>
      <c r="E1521" s="23">
        <v>40</v>
      </c>
      <c r="F1521" t="s">
        <v>8265</v>
      </c>
      <c r="G1521" t="s">
        <v>10486</v>
      </c>
      <c r="H1521" t="s">
        <v>8019</v>
      </c>
      <c r="I1521">
        <f>_xlfn.LET(_xlpm.id,TRIM($A1521),IF(_xlpm.id="","",SUM(COUNTIF('1. OP'!$M:$M,_xlpm.id),COUNTIF('2. JSEL'!$M:$M,_xlpm.id),COUNTIF('3. PSM'!$M:$M,_xlpm.id),COUNTIF('4. SSP'!$M:$M,_xlpm.id),COUNTIF('5. JSACI'!$M:$M,_xlpm.id),COUNTIF('6. AIN'!$M:$M,_xlpm.id),COUNTIF('7. MS'!$M:$M,_xlpm.id),COUNTIF('8. DS'!$M:$M,_xlpm.id),COUNTIF('9. RMF'!$M:$M,_xlpm.id),COUNTIF('10. PCU'!$M:$M,_xlpm.id))))</f>
        <v>0</v>
      </c>
    </row>
    <row r="1522" spans="1:9">
      <c r="A1522" t="s">
        <v>9506</v>
      </c>
      <c r="B1522" t="s">
        <v>9498</v>
      </c>
      <c r="C1522">
        <v>1819</v>
      </c>
      <c r="D1522">
        <v>1</v>
      </c>
      <c r="E1522" s="23">
        <v>41</v>
      </c>
      <c r="F1522" t="s">
        <v>8265</v>
      </c>
      <c r="G1522" t="s">
        <v>10486</v>
      </c>
      <c r="H1522" t="s">
        <v>8019</v>
      </c>
      <c r="I1522">
        <f>_xlfn.LET(_xlpm.id,TRIM($A1522),IF(_xlpm.id="","",SUM(COUNTIF('1. OP'!$M:$M,_xlpm.id),COUNTIF('2. JSEL'!$M:$M,_xlpm.id),COUNTIF('3. PSM'!$M:$M,_xlpm.id),COUNTIF('4. SSP'!$M:$M,_xlpm.id),COUNTIF('5. JSACI'!$M:$M,_xlpm.id),COUNTIF('6. AIN'!$M:$M,_xlpm.id),COUNTIF('7. MS'!$M:$M,_xlpm.id),COUNTIF('8. DS'!$M:$M,_xlpm.id),COUNTIF('9. RMF'!$M:$M,_xlpm.id),COUNTIF('10. PCU'!$M:$M,_xlpm.id))))</f>
        <v>0</v>
      </c>
    </row>
    <row r="1523" spans="1:9">
      <c r="A1523" t="s">
        <v>9507</v>
      </c>
      <c r="B1523" t="s">
        <v>9498</v>
      </c>
      <c r="C1523">
        <v>1819</v>
      </c>
      <c r="D1523">
        <v>1</v>
      </c>
      <c r="E1523" s="23">
        <v>42</v>
      </c>
      <c r="F1523" t="s">
        <v>8265</v>
      </c>
      <c r="G1523" t="s">
        <v>10486</v>
      </c>
      <c r="H1523" t="s">
        <v>8019</v>
      </c>
      <c r="I1523">
        <f>_xlfn.LET(_xlpm.id,TRIM($A1523),IF(_xlpm.id="","",SUM(COUNTIF('1. OP'!$M:$M,_xlpm.id),COUNTIF('2. JSEL'!$M:$M,_xlpm.id),COUNTIF('3. PSM'!$M:$M,_xlpm.id),COUNTIF('4. SSP'!$M:$M,_xlpm.id),COUNTIF('5. JSACI'!$M:$M,_xlpm.id),COUNTIF('6. AIN'!$M:$M,_xlpm.id),COUNTIF('7. MS'!$M:$M,_xlpm.id),COUNTIF('8. DS'!$M:$M,_xlpm.id),COUNTIF('9. RMF'!$M:$M,_xlpm.id),COUNTIF('10. PCU'!$M:$M,_xlpm.id))))</f>
        <v>0</v>
      </c>
    </row>
    <row r="1524" spans="1:9">
      <c r="A1524" t="s">
        <v>9508</v>
      </c>
      <c r="B1524" t="s">
        <v>9498</v>
      </c>
      <c r="C1524">
        <v>1820</v>
      </c>
      <c r="D1524">
        <v>1</v>
      </c>
      <c r="E1524" s="23">
        <v>43</v>
      </c>
      <c r="F1524" t="s">
        <v>8265</v>
      </c>
      <c r="G1524" t="s">
        <v>10486</v>
      </c>
      <c r="H1524" t="s">
        <v>8019</v>
      </c>
      <c r="I1524">
        <f>_xlfn.LET(_xlpm.id,TRIM($A1524),IF(_xlpm.id="","",SUM(COUNTIF('1. OP'!$M:$M,_xlpm.id),COUNTIF('2. JSEL'!$M:$M,_xlpm.id),COUNTIF('3. PSM'!$M:$M,_xlpm.id),COUNTIF('4. SSP'!$M:$M,_xlpm.id),COUNTIF('5. JSACI'!$M:$M,_xlpm.id),COUNTIF('6. AIN'!$M:$M,_xlpm.id),COUNTIF('7. MS'!$M:$M,_xlpm.id),COUNTIF('8. DS'!$M:$M,_xlpm.id),COUNTIF('9. RMF'!$M:$M,_xlpm.id),COUNTIF('10. PCU'!$M:$M,_xlpm.id))))</f>
        <v>0</v>
      </c>
    </row>
    <row r="1525" spans="1:9">
      <c r="A1525" t="s">
        <v>9509</v>
      </c>
      <c r="B1525" t="s">
        <v>9498</v>
      </c>
      <c r="C1525">
        <v>1820</v>
      </c>
      <c r="D1525">
        <v>1</v>
      </c>
      <c r="E1525" s="23">
        <v>44</v>
      </c>
      <c r="F1525" t="s">
        <v>8265</v>
      </c>
      <c r="G1525" t="s">
        <v>10486</v>
      </c>
      <c r="H1525" t="s">
        <v>8019</v>
      </c>
      <c r="I1525">
        <f>_xlfn.LET(_xlpm.id,TRIM($A1525),IF(_xlpm.id="","",SUM(COUNTIF('1. OP'!$M:$M,_xlpm.id),COUNTIF('2. JSEL'!$M:$M,_xlpm.id),COUNTIF('3. PSM'!$M:$M,_xlpm.id),COUNTIF('4. SSP'!$M:$M,_xlpm.id),COUNTIF('5. JSACI'!$M:$M,_xlpm.id),COUNTIF('6. AIN'!$M:$M,_xlpm.id),COUNTIF('7. MS'!$M:$M,_xlpm.id),COUNTIF('8. DS'!$M:$M,_xlpm.id),COUNTIF('9. RMF'!$M:$M,_xlpm.id),COUNTIF('10. PCU'!$M:$M,_xlpm.id))))</f>
        <v>0</v>
      </c>
    </row>
    <row r="1526" spans="1:9">
      <c r="A1526" t="s">
        <v>9510</v>
      </c>
      <c r="B1526" t="s">
        <v>9498</v>
      </c>
      <c r="C1526">
        <v>1821</v>
      </c>
      <c r="D1526">
        <v>1</v>
      </c>
      <c r="E1526" s="23">
        <v>45</v>
      </c>
      <c r="F1526" t="s">
        <v>8265</v>
      </c>
      <c r="G1526" t="s">
        <v>10486</v>
      </c>
      <c r="H1526" t="s">
        <v>8019</v>
      </c>
      <c r="I1526">
        <f>_xlfn.LET(_xlpm.id,TRIM($A1526),IF(_xlpm.id="","",SUM(COUNTIF('1. OP'!$M:$M,_xlpm.id),COUNTIF('2. JSEL'!$M:$M,_xlpm.id),COUNTIF('3. PSM'!$M:$M,_xlpm.id),COUNTIF('4. SSP'!$M:$M,_xlpm.id),COUNTIF('5. JSACI'!$M:$M,_xlpm.id),COUNTIF('6. AIN'!$M:$M,_xlpm.id),COUNTIF('7. MS'!$M:$M,_xlpm.id),COUNTIF('8. DS'!$M:$M,_xlpm.id),COUNTIF('9. RMF'!$M:$M,_xlpm.id),COUNTIF('10. PCU'!$M:$M,_xlpm.id))))</f>
        <v>0</v>
      </c>
    </row>
    <row r="1527" spans="1:9">
      <c r="A1527" t="s">
        <v>9511</v>
      </c>
      <c r="B1527" t="s">
        <v>9498</v>
      </c>
      <c r="C1527">
        <v>1821</v>
      </c>
      <c r="D1527">
        <v>1</v>
      </c>
      <c r="E1527" s="23">
        <v>46</v>
      </c>
      <c r="F1527" t="s">
        <v>8265</v>
      </c>
      <c r="G1527" t="s">
        <v>10486</v>
      </c>
      <c r="H1527" t="s">
        <v>8019</v>
      </c>
      <c r="I1527">
        <f>_xlfn.LET(_xlpm.id,TRIM($A1527),IF(_xlpm.id="","",SUM(COUNTIF('1. OP'!$M:$M,_xlpm.id),COUNTIF('2. JSEL'!$M:$M,_xlpm.id),COUNTIF('3. PSM'!$M:$M,_xlpm.id),COUNTIF('4. SSP'!$M:$M,_xlpm.id),COUNTIF('5. JSACI'!$M:$M,_xlpm.id),COUNTIF('6. AIN'!$M:$M,_xlpm.id),COUNTIF('7. MS'!$M:$M,_xlpm.id),COUNTIF('8. DS'!$M:$M,_xlpm.id),COUNTIF('9. RMF'!$M:$M,_xlpm.id),COUNTIF('10. PCU'!$M:$M,_xlpm.id))))</f>
        <v>0</v>
      </c>
    </row>
    <row r="1528" spans="1:9">
      <c r="A1528" t="s">
        <v>9512</v>
      </c>
      <c r="B1528" t="s">
        <v>9498</v>
      </c>
      <c r="C1528">
        <v>1822</v>
      </c>
      <c r="D1528">
        <v>1</v>
      </c>
      <c r="E1528" s="23">
        <v>47</v>
      </c>
      <c r="F1528" t="s">
        <v>8265</v>
      </c>
      <c r="G1528" t="s">
        <v>10486</v>
      </c>
      <c r="H1528" t="s">
        <v>8019</v>
      </c>
      <c r="I1528">
        <f>_xlfn.LET(_xlpm.id,TRIM($A1528),IF(_xlpm.id="","",SUM(COUNTIF('1. OP'!$M:$M,_xlpm.id),COUNTIF('2. JSEL'!$M:$M,_xlpm.id),COUNTIF('3. PSM'!$M:$M,_xlpm.id),COUNTIF('4. SSP'!$M:$M,_xlpm.id),COUNTIF('5. JSACI'!$M:$M,_xlpm.id),COUNTIF('6. AIN'!$M:$M,_xlpm.id),COUNTIF('7. MS'!$M:$M,_xlpm.id),COUNTIF('8. DS'!$M:$M,_xlpm.id),COUNTIF('9. RMF'!$M:$M,_xlpm.id),COUNTIF('10. PCU'!$M:$M,_xlpm.id))))</f>
        <v>0</v>
      </c>
    </row>
    <row r="1529" spans="1:9">
      <c r="A1529" t="s">
        <v>9513</v>
      </c>
      <c r="B1529" t="s">
        <v>9498</v>
      </c>
      <c r="C1529">
        <v>1822</v>
      </c>
      <c r="D1529">
        <v>1</v>
      </c>
      <c r="E1529" s="23">
        <v>48</v>
      </c>
      <c r="F1529" t="s">
        <v>8265</v>
      </c>
      <c r="G1529" t="s">
        <v>10486</v>
      </c>
      <c r="H1529" t="s">
        <v>8019</v>
      </c>
      <c r="I1529">
        <f>_xlfn.LET(_xlpm.id,TRIM($A1529),IF(_xlpm.id="","",SUM(COUNTIF('1. OP'!$M:$M,_xlpm.id),COUNTIF('2. JSEL'!$M:$M,_xlpm.id),COUNTIF('3. PSM'!$M:$M,_xlpm.id),COUNTIF('4. SSP'!$M:$M,_xlpm.id),COUNTIF('5. JSACI'!$M:$M,_xlpm.id),COUNTIF('6. AIN'!$M:$M,_xlpm.id),COUNTIF('7. MS'!$M:$M,_xlpm.id),COUNTIF('8. DS'!$M:$M,_xlpm.id),COUNTIF('9. RMF'!$M:$M,_xlpm.id),COUNTIF('10. PCU'!$M:$M,_xlpm.id))))</f>
        <v>0</v>
      </c>
    </row>
    <row r="1530" spans="1:9">
      <c r="A1530" t="s">
        <v>9514</v>
      </c>
      <c r="B1530" t="s">
        <v>9498</v>
      </c>
      <c r="C1530">
        <v>1823</v>
      </c>
      <c r="D1530">
        <v>1</v>
      </c>
      <c r="E1530" s="23">
        <v>49</v>
      </c>
      <c r="F1530" t="s">
        <v>8265</v>
      </c>
      <c r="G1530" t="s">
        <v>10486</v>
      </c>
      <c r="H1530" t="s">
        <v>8019</v>
      </c>
      <c r="I1530">
        <f>_xlfn.LET(_xlpm.id,TRIM($A1530),IF(_xlpm.id="","",SUM(COUNTIF('1. OP'!$M:$M,_xlpm.id),COUNTIF('2. JSEL'!$M:$M,_xlpm.id),COUNTIF('3. PSM'!$M:$M,_xlpm.id),COUNTIF('4. SSP'!$M:$M,_xlpm.id),COUNTIF('5. JSACI'!$M:$M,_xlpm.id),COUNTIF('6. AIN'!$M:$M,_xlpm.id),COUNTIF('7. MS'!$M:$M,_xlpm.id),COUNTIF('8. DS'!$M:$M,_xlpm.id),COUNTIF('9. RMF'!$M:$M,_xlpm.id),COUNTIF('10. PCU'!$M:$M,_xlpm.id))))</f>
        <v>0</v>
      </c>
    </row>
    <row r="1531" spans="1:9">
      <c r="A1531" t="s">
        <v>9515</v>
      </c>
      <c r="B1531" t="s">
        <v>9498</v>
      </c>
      <c r="C1531">
        <v>1823</v>
      </c>
      <c r="D1531">
        <v>1</v>
      </c>
      <c r="E1531" s="23">
        <v>50</v>
      </c>
      <c r="F1531" t="s">
        <v>8265</v>
      </c>
      <c r="G1531" t="s">
        <v>10486</v>
      </c>
      <c r="H1531" t="s">
        <v>8019</v>
      </c>
      <c r="I1531">
        <f>_xlfn.LET(_xlpm.id,TRIM($A1531),IF(_xlpm.id="","",SUM(COUNTIF('1. OP'!$M:$M,_xlpm.id),COUNTIF('2. JSEL'!$M:$M,_xlpm.id),COUNTIF('3. PSM'!$M:$M,_xlpm.id),COUNTIF('4. SSP'!$M:$M,_xlpm.id),COUNTIF('5. JSACI'!$M:$M,_xlpm.id),COUNTIF('6. AIN'!$M:$M,_xlpm.id),COUNTIF('7. MS'!$M:$M,_xlpm.id),COUNTIF('8. DS'!$M:$M,_xlpm.id),COUNTIF('9. RMF'!$M:$M,_xlpm.id),COUNTIF('10. PCU'!$M:$M,_xlpm.id))))</f>
        <v>0</v>
      </c>
    </row>
    <row r="1532" spans="1:9">
      <c r="A1532" t="s">
        <v>9516</v>
      </c>
      <c r="B1532" t="s">
        <v>9498</v>
      </c>
      <c r="C1532">
        <v>1824</v>
      </c>
      <c r="D1532">
        <v>1</v>
      </c>
      <c r="E1532" s="23">
        <v>51</v>
      </c>
      <c r="F1532" t="s">
        <v>8265</v>
      </c>
      <c r="G1532" t="s">
        <v>10486</v>
      </c>
      <c r="H1532" t="s">
        <v>8019</v>
      </c>
      <c r="I1532">
        <f>_xlfn.LET(_xlpm.id,TRIM($A1532),IF(_xlpm.id="","",SUM(COUNTIF('1. OP'!$M:$M,_xlpm.id),COUNTIF('2. JSEL'!$M:$M,_xlpm.id),COUNTIF('3. PSM'!$M:$M,_xlpm.id),COUNTIF('4. SSP'!$M:$M,_xlpm.id),COUNTIF('5. JSACI'!$M:$M,_xlpm.id),COUNTIF('6. AIN'!$M:$M,_xlpm.id),COUNTIF('7. MS'!$M:$M,_xlpm.id),COUNTIF('8. DS'!$M:$M,_xlpm.id),COUNTIF('9. RMF'!$M:$M,_xlpm.id),COUNTIF('10. PCU'!$M:$M,_xlpm.id))))</f>
        <v>0</v>
      </c>
    </row>
    <row r="1533" spans="1:9">
      <c r="A1533" t="s">
        <v>9517</v>
      </c>
      <c r="B1533" t="s">
        <v>9498</v>
      </c>
      <c r="C1533">
        <v>1824</v>
      </c>
      <c r="D1533">
        <v>1</v>
      </c>
      <c r="E1533" s="23">
        <v>52</v>
      </c>
      <c r="F1533" t="s">
        <v>8265</v>
      </c>
      <c r="G1533" t="s">
        <v>10486</v>
      </c>
      <c r="H1533" t="s">
        <v>8019</v>
      </c>
      <c r="I1533">
        <f>_xlfn.LET(_xlpm.id,TRIM($A1533),IF(_xlpm.id="","",SUM(COUNTIF('1. OP'!$M:$M,_xlpm.id),COUNTIF('2. JSEL'!$M:$M,_xlpm.id),COUNTIF('3. PSM'!$M:$M,_xlpm.id),COUNTIF('4. SSP'!$M:$M,_xlpm.id),COUNTIF('5. JSACI'!$M:$M,_xlpm.id),COUNTIF('6. AIN'!$M:$M,_xlpm.id),COUNTIF('7. MS'!$M:$M,_xlpm.id),COUNTIF('8. DS'!$M:$M,_xlpm.id),COUNTIF('9. RMF'!$M:$M,_xlpm.id),COUNTIF('10. PCU'!$M:$M,_xlpm.id))))</f>
        <v>0</v>
      </c>
    </row>
    <row r="1534" spans="1:9">
      <c r="A1534" t="s">
        <v>9518</v>
      </c>
      <c r="B1534" t="s">
        <v>9498</v>
      </c>
      <c r="C1534">
        <v>1825</v>
      </c>
      <c r="D1534">
        <v>1</v>
      </c>
      <c r="E1534" s="23">
        <v>54</v>
      </c>
      <c r="F1534" t="s">
        <v>8265</v>
      </c>
      <c r="G1534" t="s">
        <v>10486</v>
      </c>
      <c r="H1534" t="s">
        <v>8019</v>
      </c>
      <c r="I1534">
        <f>_xlfn.LET(_xlpm.id,TRIM($A1534),IF(_xlpm.id="","",SUM(COUNTIF('1. OP'!$M:$M,_xlpm.id),COUNTIF('2. JSEL'!$M:$M,_xlpm.id),COUNTIF('3. PSM'!$M:$M,_xlpm.id),COUNTIF('4. SSP'!$M:$M,_xlpm.id),COUNTIF('5. JSACI'!$M:$M,_xlpm.id),COUNTIF('6. AIN'!$M:$M,_xlpm.id),COUNTIF('7. MS'!$M:$M,_xlpm.id),COUNTIF('8. DS'!$M:$M,_xlpm.id),COUNTIF('9. RMF'!$M:$M,_xlpm.id),COUNTIF('10. PCU'!$M:$M,_xlpm.id))))</f>
        <v>0</v>
      </c>
    </row>
    <row r="1535" spans="1:9">
      <c r="A1535" t="s">
        <v>9519</v>
      </c>
      <c r="B1535" t="s">
        <v>9498</v>
      </c>
      <c r="C1535">
        <v>1826</v>
      </c>
      <c r="D1535">
        <v>1</v>
      </c>
      <c r="E1535" s="23">
        <v>55</v>
      </c>
      <c r="F1535" t="s">
        <v>8265</v>
      </c>
      <c r="G1535" t="s">
        <v>10486</v>
      </c>
      <c r="H1535" t="s">
        <v>8019</v>
      </c>
      <c r="I1535">
        <f>_xlfn.LET(_xlpm.id,TRIM($A1535),IF(_xlpm.id="","",SUM(COUNTIF('1. OP'!$M:$M,_xlpm.id),COUNTIF('2. JSEL'!$M:$M,_xlpm.id),COUNTIF('3. PSM'!$M:$M,_xlpm.id),COUNTIF('4. SSP'!$M:$M,_xlpm.id),COUNTIF('5. JSACI'!$M:$M,_xlpm.id),COUNTIF('6. AIN'!$M:$M,_xlpm.id),COUNTIF('7. MS'!$M:$M,_xlpm.id),COUNTIF('8. DS'!$M:$M,_xlpm.id),COUNTIF('9. RMF'!$M:$M,_xlpm.id),COUNTIF('10. PCU'!$M:$M,_xlpm.id))))</f>
        <v>0</v>
      </c>
    </row>
    <row r="1536" spans="1:9">
      <c r="A1536" t="s">
        <v>9520</v>
      </c>
      <c r="B1536" t="s">
        <v>9498</v>
      </c>
      <c r="C1536">
        <v>1826</v>
      </c>
      <c r="D1536">
        <v>1</v>
      </c>
      <c r="E1536" s="23">
        <v>56</v>
      </c>
      <c r="F1536" t="s">
        <v>8265</v>
      </c>
      <c r="G1536" t="s">
        <v>10486</v>
      </c>
      <c r="H1536" t="s">
        <v>8019</v>
      </c>
      <c r="I1536">
        <f>_xlfn.LET(_xlpm.id,TRIM($A1536),IF(_xlpm.id="","",SUM(COUNTIF('1. OP'!$M:$M,_xlpm.id),COUNTIF('2. JSEL'!$M:$M,_xlpm.id),COUNTIF('3. PSM'!$M:$M,_xlpm.id),COUNTIF('4. SSP'!$M:$M,_xlpm.id),COUNTIF('5. JSACI'!$M:$M,_xlpm.id),COUNTIF('6. AIN'!$M:$M,_xlpm.id),COUNTIF('7. MS'!$M:$M,_xlpm.id),COUNTIF('8. DS'!$M:$M,_xlpm.id),COUNTIF('9. RMF'!$M:$M,_xlpm.id),COUNTIF('10. PCU'!$M:$M,_xlpm.id))))</f>
        <v>0</v>
      </c>
    </row>
    <row r="1537" spans="1:9">
      <c r="A1537" t="s">
        <v>9521</v>
      </c>
      <c r="B1537" t="s">
        <v>9498</v>
      </c>
      <c r="C1537">
        <v>1827</v>
      </c>
      <c r="D1537">
        <v>1</v>
      </c>
      <c r="E1537" s="23">
        <v>57</v>
      </c>
      <c r="F1537" t="s">
        <v>8265</v>
      </c>
      <c r="G1537" t="s">
        <v>10486</v>
      </c>
      <c r="H1537" t="s">
        <v>8019</v>
      </c>
      <c r="I1537">
        <f>_xlfn.LET(_xlpm.id,TRIM($A1537),IF(_xlpm.id="","",SUM(COUNTIF('1. OP'!$M:$M,_xlpm.id),COUNTIF('2. JSEL'!$M:$M,_xlpm.id),COUNTIF('3. PSM'!$M:$M,_xlpm.id),COUNTIF('4. SSP'!$M:$M,_xlpm.id),COUNTIF('5. JSACI'!$M:$M,_xlpm.id),COUNTIF('6. AIN'!$M:$M,_xlpm.id),COUNTIF('7. MS'!$M:$M,_xlpm.id),COUNTIF('8. DS'!$M:$M,_xlpm.id),COUNTIF('9. RMF'!$M:$M,_xlpm.id),COUNTIF('10. PCU'!$M:$M,_xlpm.id))))</f>
        <v>0</v>
      </c>
    </row>
    <row r="1538" spans="1:9">
      <c r="A1538" t="s">
        <v>9522</v>
      </c>
      <c r="B1538" t="s">
        <v>9498</v>
      </c>
      <c r="C1538">
        <v>1827</v>
      </c>
      <c r="D1538">
        <v>1</v>
      </c>
      <c r="E1538" s="23">
        <v>58</v>
      </c>
      <c r="F1538" t="s">
        <v>8265</v>
      </c>
      <c r="G1538" t="s">
        <v>10486</v>
      </c>
      <c r="H1538" t="s">
        <v>8019</v>
      </c>
      <c r="I1538">
        <f>_xlfn.LET(_xlpm.id,TRIM($A1538),IF(_xlpm.id="","",SUM(COUNTIF('1. OP'!$M:$M,_xlpm.id),COUNTIF('2. JSEL'!$M:$M,_xlpm.id),COUNTIF('3. PSM'!$M:$M,_xlpm.id),COUNTIF('4. SSP'!$M:$M,_xlpm.id),COUNTIF('5. JSACI'!$M:$M,_xlpm.id),COUNTIF('6. AIN'!$M:$M,_xlpm.id),COUNTIF('7. MS'!$M:$M,_xlpm.id),COUNTIF('8. DS'!$M:$M,_xlpm.id),COUNTIF('9. RMF'!$M:$M,_xlpm.id),COUNTIF('10. PCU'!$M:$M,_xlpm.id))))</f>
        <v>0</v>
      </c>
    </row>
    <row r="1539" spans="1:9">
      <c r="A1539" t="s">
        <v>9523</v>
      </c>
      <c r="B1539" t="s">
        <v>9498</v>
      </c>
      <c r="C1539">
        <v>1828</v>
      </c>
      <c r="D1539">
        <v>1</v>
      </c>
      <c r="E1539" s="23">
        <v>59</v>
      </c>
      <c r="F1539" t="s">
        <v>8265</v>
      </c>
      <c r="G1539" t="s">
        <v>10486</v>
      </c>
      <c r="H1539" t="s">
        <v>8019</v>
      </c>
      <c r="I1539">
        <f>_xlfn.LET(_xlpm.id,TRIM($A1539),IF(_xlpm.id="","",SUM(COUNTIF('1. OP'!$M:$M,_xlpm.id),COUNTIF('2. JSEL'!$M:$M,_xlpm.id),COUNTIF('3. PSM'!$M:$M,_xlpm.id),COUNTIF('4. SSP'!$M:$M,_xlpm.id),COUNTIF('5. JSACI'!$M:$M,_xlpm.id),COUNTIF('6. AIN'!$M:$M,_xlpm.id),COUNTIF('7. MS'!$M:$M,_xlpm.id),COUNTIF('8. DS'!$M:$M,_xlpm.id),COUNTIF('9. RMF'!$M:$M,_xlpm.id),COUNTIF('10. PCU'!$M:$M,_xlpm.id))))</f>
        <v>0</v>
      </c>
    </row>
    <row r="1540" spans="1:9">
      <c r="A1540" t="s">
        <v>9524</v>
      </c>
      <c r="B1540" t="s">
        <v>9498</v>
      </c>
      <c r="C1540">
        <v>1829</v>
      </c>
      <c r="D1540">
        <v>1</v>
      </c>
      <c r="E1540" s="23">
        <v>62</v>
      </c>
      <c r="F1540" t="s">
        <v>8265</v>
      </c>
      <c r="G1540" t="s">
        <v>10486</v>
      </c>
      <c r="H1540" t="s">
        <v>8019</v>
      </c>
      <c r="I1540">
        <f>_xlfn.LET(_xlpm.id,TRIM($A1540),IF(_xlpm.id="","",SUM(COUNTIF('1. OP'!$M:$M,_xlpm.id),COUNTIF('2. JSEL'!$M:$M,_xlpm.id),COUNTIF('3. PSM'!$M:$M,_xlpm.id),COUNTIF('4. SSP'!$M:$M,_xlpm.id),COUNTIF('5. JSACI'!$M:$M,_xlpm.id),COUNTIF('6. AIN'!$M:$M,_xlpm.id),COUNTIF('7. MS'!$M:$M,_xlpm.id),COUNTIF('8. DS'!$M:$M,_xlpm.id),COUNTIF('9. RMF'!$M:$M,_xlpm.id),COUNTIF('10. PCU'!$M:$M,_xlpm.id))))</f>
        <v>0</v>
      </c>
    </row>
    <row r="1541" spans="1:9">
      <c r="A1541" t="s">
        <v>9525</v>
      </c>
      <c r="B1541" t="s">
        <v>9498</v>
      </c>
      <c r="C1541">
        <v>1830</v>
      </c>
      <c r="D1541">
        <v>1</v>
      </c>
      <c r="E1541" s="23">
        <v>64</v>
      </c>
      <c r="F1541" t="s">
        <v>8265</v>
      </c>
      <c r="G1541" t="s">
        <v>10486</v>
      </c>
      <c r="H1541" t="s">
        <v>8019</v>
      </c>
      <c r="I1541">
        <f>_xlfn.LET(_xlpm.id,TRIM($A1541),IF(_xlpm.id="","",SUM(COUNTIF('1. OP'!$M:$M,_xlpm.id),COUNTIF('2. JSEL'!$M:$M,_xlpm.id),COUNTIF('3. PSM'!$M:$M,_xlpm.id),COUNTIF('4. SSP'!$M:$M,_xlpm.id),COUNTIF('5. JSACI'!$M:$M,_xlpm.id),COUNTIF('6. AIN'!$M:$M,_xlpm.id),COUNTIF('7. MS'!$M:$M,_xlpm.id),COUNTIF('8. DS'!$M:$M,_xlpm.id),COUNTIF('9. RMF'!$M:$M,_xlpm.id),COUNTIF('10. PCU'!$M:$M,_xlpm.id))))</f>
        <v>0</v>
      </c>
    </row>
    <row r="1542" spans="1:9">
      <c r="A1542" t="s">
        <v>9526</v>
      </c>
      <c r="B1542" t="s">
        <v>9498</v>
      </c>
      <c r="C1542">
        <v>1831</v>
      </c>
      <c r="D1542">
        <v>1</v>
      </c>
      <c r="E1542" s="23">
        <v>66</v>
      </c>
      <c r="F1542" t="s">
        <v>8265</v>
      </c>
      <c r="G1542" t="s">
        <v>10486</v>
      </c>
      <c r="H1542" t="s">
        <v>8019</v>
      </c>
      <c r="I1542">
        <f>_xlfn.LET(_xlpm.id,TRIM($A1542),IF(_xlpm.id="","",SUM(COUNTIF('1. OP'!$M:$M,_xlpm.id),COUNTIF('2. JSEL'!$M:$M,_xlpm.id),COUNTIF('3. PSM'!$M:$M,_xlpm.id),COUNTIF('4. SSP'!$M:$M,_xlpm.id),COUNTIF('5. JSACI'!$M:$M,_xlpm.id),COUNTIF('6. AIN'!$M:$M,_xlpm.id),COUNTIF('7. MS'!$M:$M,_xlpm.id),COUNTIF('8. DS'!$M:$M,_xlpm.id),COUNTIF('9. RMF'!$M:$M,_xlpm.id),COUNTIF('10. PCU'!$M:$M,_xlpm.id))))</f>
        <v>0</v>
      </c>
    </row>
    <row r="1543" spans="1:9">
      <c r="A1543" t="s">
        <v>9527</v>
      </c>
      <c r="B1543" t="s">
        <v>9528</v>
      </c>
      <c r="C1543">
        <v>1816</v>
      </c>
      <c r="D1543">
        <v>1</v>
      </c>
      <c r="E1543" s="23">
        <v>1</v>
      </c>
      <c r="F1543" t="s">
        <v>8102</v>
      </c>
      <c r="G1543" t="s">
        <v>10484</v>
      </c>
      <c r="H1543" t="s">
        <v>8021</v>
      </c>
      <c r="I1543">
        <f>_xlfn.LET(_xlpm.id,TRIM($A1543),IF(_xlpm.id="","",SUM(COUNTIF('1. OP'!$M:$M,_xlpm.id),COUNTIF('2. JSEL'!$M:$M,_xlpm.id),COUNTIF('3. PSM'!$M:$M,_xlpm.id),COUNTIF('4. SSP'!$M:$M,_xlpm.id),COUNTIF('5. JSACI'!$M:$M,_xlpm.id),COUNTIF('6. AIN'!$M:$M,_xlpm.id),COUNTIF('7. MS'!$M:$M,_xlpm.id),COUNTIF('8. DS'!$M:$M,_xlpm.id),COUNTIF('9. RMF'!$M:$M,_xlpm.id),COUNTIF('10. PCU'!$M:$M,_xlpm.id))))</f>
        <v>0</v>
      </c>
    </row>
    <row r="1544" spans="1:9">
      <c r="A1544" t="s">
        <v>9529</v>
      </c>
      <c r="B1544" t="s">
        <v>9528</v>
      </c>
      <c r="C1544">
        <v>1816</v>
      </c>
      <c r="D1544">
        <v>1</v>
      </c>
      <c r="E1544" s="23">
        <v>2</v>
      </c>
      <c r="F1544" t="s">
        <v>8102</v>
      </c>
      <c r="G1544" t="s">
        <v>10484</v>
      </c>
      <c r="H1544" t="s">
        <v>8021</v>
      </c>
      <c r="I1544">
        <f>_xlfn.LET(_xlpm.id,TRIM($A1544),IF(_xlpm.id="","",SUM(COUNTIF('1. OP'!$M:$M,_xlpm.id),COUNTIF('2. JSEL'!$M:$M,_xlpm.id),COUNTIF('3. PSM'!$M:$M,_xlpm.id),COUNTIF('4. SSP'!$M:$M,_xlpm.id),COUNTIF('5. JSACI'!$M:$M,_xlpm.id),COUNTIF('6. AIN'!$M:$M,_xlpm.id),COUNTIF('7. MS'!$M:$M,_xlpm.id),COUNTIF('8. DS'!$M:$M,_xlpm.id),COUNTIF('9. RMF'!$M:$M,_xlpm.id),COUNTIF('10. PCU'!$M:$M,_xlpm.id))))</f>
        <v>0</v>
      </c>
    </row>
    <row r="1545" spans="1:9">
      <c r="A1545" t="s">
        <v>9530</v>
      </c>
      <c r="B1545" t="s">
        <v>9528</v>
      </c>
      <c r="C1545">
        <v>1816</v>
      </c>
      <c r="D1545">
        <v>1</v>
      </c>
      <c r="E1545" s="23">
        <v>3</v>
      </c>
      <c r="F1545" t="s">
        <v>8102</v>
      </c>
      <c r="G1545" t="s">
        <v>10484</v>
      </c>
      <c r="H1545" t="s">
        <v>8021</v>
      </c>
      <c r="I1545">
        <f>_xlfn.LET(_xlpm.id,TRIM($A1545),IF(_xlpm.id="","",SUM(COUNTIF('1. OP'!$M:$M,_xlpm.id),COUNTIF('2. JSEL'!$M:$M,_xlpm.id),COUNTIF('3. PSM'!$M:$M,_xlpm.id),COUNTIF('4. SSP'!$M:$M,_xlpm.id),COUNTIF('5. JSACI'!$M:$M,_xlpm.id),COUNTIF('6. AIN'!$M:$M,_xlpm.id),COUNTIF('7. MS'!$M:$M,_xlpm.id),COUNTIF('8. DS'!$M:$M,_xlpm.id),COUNTIF('9. RMF'!$M:$M,_xlpm.id),COUNTIF('10. PCU'!$M:$M,_xlpm.id))))</f>
        <v>0</v>
      </c>
    </row>
    <row r="1546" spans="1:9">
      <c r="A1546" t="s">
        <v>9531</v>
      </c>
      <c r="B1546" t="s">
        <v>9528</v>
      </c>
      <c r="C1546">
        <v>1817</v>
      </c>
      <c r="D1546">
        <v>1</v>
      </c>
      <c r="E1546" s="23">
        <v>4</v>
      </c>
      <c r="F1546" t="s">
        <v>8102</v>
      </c>
      <c r="G1546" t="s">
        <v>10484</v>
      </c>
      <c r="H1546" t="s">
        <v>8021</v>
      </c>
      <c r="I1546">
        <f>_xlfn.LET(_xlpm.id,TRIM($A1546),IF(_xlpm.id="","",SUM(COUNTIF('1. OP'!$M:$M,_xlpm.id),COUNTIF('2. JSEL'!$M:$M,_xlpm.id),COUNTIF('3. PSM'!$M:$M,_xlpm.id),COUNTIF('4. SSP'!$M:$M,_xlpm.id),COUNTIF('5. JSACI'!$M:$M,_xlpm.id),COUNTIF('6. AIN'!$M:$M,_xlpm.id),COUNTIF('7. MS'!$M:$M,_xlpm.id),COUNTIF('8. DS'!$M:$M,_xlpm.id),COUNTIF('9. RMF'!$M:$M,_xlpm.id),COUNTIF('10. PCU'!$M:$M,_xlpm.id))))</f>
        <v>0</v>
      </c>
    </row>
    <row r="1547" spans="1:9">
      <c r="A1547" t="s">
        <v>9532</v>
      </c>
      <c r="B1547" t="s">
        <v>9528</v>
      </c>
      <c r="C1547">
        <v>1817</v>
      </c>
      <c r="D1547">
        <v>1</v>
      </c>
      <c r="E1547" s="23">
        <v>5</v>
      </c>
      <c r="F1547" t="s">
        <v>8102</v>
      </c>
      <c r="G1547" t="s">
        <v>10484</v>
      </c>
      <c r="H1547" t="s">
        <v>8021</v>
      </c>
      <c r="I1547">
        <f>_xlfn.LET(_xlpm.id,TRIM($A1547),IF(_xlpm.id="","",SUM(COUNTIF('1. OP'!$M:$M,_xlpm.id),COUNTIF('2. JSEL'!$M:$M,_xlpm.id),COUNTIF('3. PSM'!$M:$M,_xlpm.id),COUNTIF('4. SSP'!$M:$M,_xlpm.id),COUNTIF('5. JSACI'!$M:$M,_xlpm.id),COUNTIF('6. AIN'!$M:$M,_xlpm.id),COUNTIF('7. MS'!$M:$M,_xlpm.id),COUNTIF('8. DS'!$M:$M,_xlpm.id),COUNTIF('9. RMF'!$M:$M,_xlpm.id),COUNTIF('10. PCU'!$M:$M,_xlpm.id))))</f>
        <v>0</v>
      </c>
    </row>
    <row r="1548" spans="1:9">
      <c r="A1548" t="s">
        <v>9533</v>
      </c>
      <c r="B1548" t="s">
        <v>9528</v>
      </c>
      <c r="C1548">
        <v>1817</v>
      </c>
      <c r="D1548">
        <v>1</v>
      </c>
      <c r="E1548" s="23">
        <v>6</v>
      </c>
      <c r="F1548" t="s">
        <v>8102</v>
      </c>
      <c r="G1548" t="s">
        <v>10484</v>
      </c>
      <c r="H1548" t="s">
        <v>8021</v>
      </c>
      <c r="I1548">
        <f>_xlfn.LET(_xlpm.id,TRIM($A1548),IF(_xlpm.id="","",SUM(COUNTIF('1. OP'!$M:$M,_xlpm.id),COUNTIF('2. JSEL'!$M:$M,_xlpm.id),COUNTIF('3. PSM'!$M:$M,_xlpm.id),COUNTIF('4. SSP'!$M:$M,_xlpm.id),COUNTIF('5. JSACI'!$M:$M,_xlpm.id),COUNTIF('6. AIN'!$M:$M,_xlpm.id),COUNTIF('7. MS'!$M:$M,_xlpm.id),COUNTIF('8. DS'!$M:$M,_xlpm.id),COUNTIF('9. RMF'!$M:$M,_xlpm.id),COUNTIF('10. PCU'!$M:$M,_xlpm.id))))</f>
        <v>0</v>
      </c>
    </row>
    <row r="1549" spans="1:9">
      <c r="A1549" t="s">
        <v>9534</v>
      </c>
      <c r="B1549" t="s">
        <v>9528</v>
      </c>
      <c r="C1549">
        <v>1817</v>
      </c>
      <c r="D1549">
        <v>1</v>
      </c>
      <c r="E1549" s="23">
        <v>7</v>
      </c>
      <c r="F1549" t="s">
        <v>8102</v>
      </c>
      <c r="G1549" t="s">
        <v>10484</v>
      </c>
      <c r="H1549" t="s">
        <v>8021</v>
      </c>
      <c r="I1549">
        <f>_xlfn.LET(_xlpm.id,TRIM($A1549),IF(_xlpm.id="","",SUM(COUNTIF('1. OP'!$M:$M,_xlpm.id),COUNTIF('2. JSEL'!$M:$M,_xlpm.id),COUNTIF('3. PSM'!$M:$M,_xlpm.id),COUNTIF('4. SSP'!$M:$M,_xlpm.id),COUNTIF('5. JSACI'!$M:$M,_xlpm.id),COUNTIF('6. AIN'!$M:$M,_xlpm.id),COUNTIF('7. MS'!$M:$M,_xlpm.id),COUNTIF('8. DS'!$M:$M,_xlpm.id),COUNTIF('9. RMF'!$M:$M,_xlpm.id),COUNTIF('10. PCU'!$M:$M,_xlpm.id))))</f>
        <v>0</v>
      </c>
    </row>
    <row r="1550" spans="1:9">
      <c r="A1550" t="s">
        <v>9535</v>
      </c>
      <c r="B1550" t="s">
        <v>9528</v>
      </c>
      <c r="C1550">
        <v>1818</v>
      </c>
      <c r="D1550">
        <v>1</v>
      </c>
      <c r="E1550" s="23">
        <v>8</v>
      </c>
      <c r="F1550" t="s">
        <v>8102</v>
      </c>
      <c r="G1550" t="s">
        <v>10484</v>
      </c>
      <c r="H1550" t="s">
        <v>8021</v>
      </c>
      <c r="I1550">
        <f>_xlfn.LET(_xlpm.id,TRIM($A1550),IF(_xlpm.id="","",SUM(COUNTIF('1. OP'!$M:$M,_xlpm.id),COUNTIF('2. JSEL'!$M:$M,_xlpm.id),COUNTIF('3. PSM'!$M:$M,_xlpm.id),COUNTIF('4. SSP'!$M:$M,_xlpm.id),COUNTIF('5. JSACI'!$M:$M,_xlpm.id),COUNTIF('6. AIN'!$M:$M,_xlpm.id),COUNTIF('7. MS'!$M:$M,_xlpm.id),COUNTIF('8. DS'!$M:$M,_xlpm.id),COUNTIF('9. RMF'!$M:$M,_xlpm.id),COUNTIF('10. PCU'!$M:$M,_xlpm.id))))</f>
        <v>0</v>
      </c>
    </row>
    <row r="1551" spans="1:9">
      <c r="A1551" t="s">
        <v>9536</v>
      </c>
      <c r="B1551" t="s">
        <v>9528</v>
      </c>
      <c r="C1551">
        <v>1818</v>
      </c>
      <c r="D1551">
        <v>1</v>
      </c>
      <c r="E1551" s="23">
        <v>9</v>
      </c>
      <c r="F1551" t="s">
        <v>8102</v>
      </c>
      <c r="G1551" t="s">
        <v>10484</v>
      </c>
      <c r="H1551" t="s">
        <v>8021</v>
      </c>
      <c r="I1551">
        <f>_xlfn.LET(_xlpm.id,TRIM($A1551),IF(_xlpm.id="","",SUM(COUNTIF('1. OP'!$M:$M,_xlpm.id),COUNTIF('2. JSEL'!$M:$M,_xlpm.id),COUNTIF('3. PSM'!$M:$M,_xlpm.id),COUNTIF('4. SSP'!$M:$M,_xlpm.id),COUNTIF('5. JSACI'!$M:$M,_xlpm.id),COUNTIF('6. AIN'!$M:$M,_xlpm.id),COUNTIF('7. MS'!$M:$M,_xlpm.id),COUNTIF('8. DS'!$M:$M,_xlpm.id),COUNTIF('9. RMF'!$M:$M,_xlpm.id),COUNTIF('10. PCU'!$M:$M,_xlpm.id))))</f>
        <v>0</v>
      </c>
    </row>
    <row r="1552" spans="1:9">
      <c r="A1552" t="s">
        <v>9537</v>
      </c>
      <c r="B1552" t="s">
        <v>9528</v>
      </c>
      <c r="C1552">
        <v>1819</v>
      </c>
      <c r="D1552">
        <v>1</v>
      </c>
      <c r="E1552" s="23">
        <v>10</v>
      </c>
      <c r="F1552" t="s">
        <v>8102</v>
      </c>
      <c r="G1552" t="s">
        <v>10484</v>
      </c>
      <c r="H1552" t="s">
        <v>8021</v>
      </c>
      <c r="I1552">
        <f>_xlfn.LET(_xlpm.id,TRIM($A1552),IF(_xlpm.id="","",SUM(COUNTIF('1. OP'!$M:$M,_xlpm.id),COUNTIF('2. JSEL'!$M:$M,_xlpm.id),COUNTIF('3. PSM'!$M:$M,_xlpm.id),COUNTIF('4. SSP'!$M:$M,_xlpm.id),COUNTIF('5. JSACI'!$M:$M,_xlpm.id),COUNTIF('6. AIN'!$M:$M,_xlpm.id),COUNTIF('7. MS'!$M:$M,_xlpm.id),COUNTIF('8. DS'!$M:$M,_xlpm.id),COUNTIF('9. RMF'!$M:$M,_xlpm.id),COUNTIF('10. PCU'!$M:$M,_xlpm.id))))</f>
        <v>0</v>
      </c>
    </row>
    <row r="1553" spans="1:9">
      <c r="A1553" t="s">
        <v>9538</v>
      </c>
      <c r="B1553" t="s">
        <v>9528</v>
      </c>
      <c r="C1553">
        <v>1819</v>
      </c>
      <c r="D1553">
        <v>1</v>
      </c>
      <c r="E1553" s="23">
        <v>11</v>
      </c>
      <c r="F1553" t="s">
        <v>8102</v>
      </c>
      <c r="G1553" t="s">
        <v>10484</v>
      </c>
      <c r="H1553" t="s">
        <v>8021</v>
      </c>
      <c r="I1553">
        <f>_xlfn.LET(_xlpm.id,TRIM($A1553),IF(_xlpm.id="","",SUM(COUNTIF('1. OP'!$M:$M,_xlpm.id),COUNTIF('2. JSEL'!$M:$M,_xlpm.id),COUNTIF('3. PSM'!$M:$M,_xlpm.id),COUNTIF('4. SSP'!$M:$M,_xlpm.id),COUNTIF('5. JSACI'!$M:$M,_xlpm.id),COUNTIF('6. AIN'!$M:$M,_xlpm.id),COUNTIF('7. MS'!$M:$M,_xlpm.id),COUNTIF('8. DS'!$M:$M,_xlpm.id),COUNTIF('9. RMF'!$M:$M,_xlpm.id),COUNTIF('10. PCU'!$M:$M,_xlpm.id))))</f>
        <v>0</v>
      </c>
    </row>
    <row r="1554" spans="1:9">
      <c r="A1554" t="s">
        <v>9539</v>
      </c>
      <c r="B1554" t="s">
        <v>9528</v>
      </c>
      <c r="C1554">
        <v>1819</v>
      </c>
      <c r="D1554">
        <v>1</v>
      </c>
      <c r="E1554" s="23">
        <v>12</v>
      </c>
      <c r="F1554" t="s">
        <v>8102</v>
      </c>
      <c r="G1554" t="s">
        <v>10484</v>
      </c>
      <c r="H1554" t="s">
        <v>8021</v>
      </c>
      <c r="I1554">
        <f>_xlfn.LET(_xlpm.id,TRIM($A1554),IF(_xlpm.id="","",SUM(COUNTIF('1. OP'!$M:$M,_xlpm.id),COUNTIF('2. JSEL'!$M:$M,_xlpm.id),COUNTIF('3. PSM'!$M:$M,_xlpm.id),COUNTIF('4. SSP'!$M:$M,_xlpm.id),COUNTIF('5. JSACI'!$M:$M,_xlpm.id),COUNTIF('6. AIN'!$M:$M,_xlpm.id),COUNTIF('7. MS'!$M:$M,_xlpm.id),COUNTIF('8. DS'!$M:$M,_xlpm.id),COUNTIF('9. RMF'!$M:$M,_xlpm.id),COUNTIF('10. PCU'!$M:$M,_xlpm.id))))</f>
        <v>0</v>
      </c>
    </row>
    <row r="1555" spans="1:9">
      <c r="A1555" t="s">
        <v>9540</v>
      </c>
      <c r="B1555" t="s">
        <v>9528</v>
      </c>
      <c r="C1555">
        <v>1820</v>
      </c>
      <c r="D1555">
        <v>1</v>
      </c>
      <c r="E1555" s="23">
        <v>13</v>
      </c>
      <c r="F1555" t="s">
        <v>8102</v>
      </c>
      <c r="G1555" t="s">
        <v>10484</v>
      </c>
      <c r="H1555" t="s">
        <v>8021</v>
      </c>
      <c r="I1555">
        <f>_xlfn.LET(_xlpm.id,TRIM($A1555),IF(_xlpm.id="","",SUM(COUNTIF('1. OP'!$M:$M,_xlpm.id),COUNTIF('2. JSEL'!$M:$M,_xlpm.id),COUNTIF('3. PSM'!$M:$M,_xlpm.id),COUNTIF('4. SSP'!$M:$M,_xlpm.id),COUNTIF('5. JSACI'!$M:$M,_xlpm.id),COUNTIF('6. AIN'!$M:$M,_xlpm.id),COUNTIF('7. MS'!$M:$M,_xlpm.id),COUNTIF('8. DS'!$M:$M,_xlpm.id),COUNTIF('9. RMF'!$M:$M,_xlpm.id),COUNTIF('10. PCU'!$M:$M,_xlpm.id))))</f>
        <v>0</v>
      </c>
    </row>
    <row r="1556" spans="1:9">
      <c r="A1556" t="s">
        <v>9541</v>
      </c>
      <c r="B1556" t="s">
        <v>9528</v>
      </c>
      <c r="C1556">
        <v>1820</v>
      </c>
      <c r="D1556">
        <v>1</v>
      </c>
      <c r="E1556" s="23">
        <v>14</v>
      </c>
      <c r="F1556" t="s">
        <v>8102</v>
      </c>
      <c r="G1556" t="s">
        <v>10484</v>
      </c>
      <c r="H1556" t="s">
        <v>8021</v>
      </c>
      <c r="I1556">
        <f>_xlfn.LET(_xlpm.id,TRIM($A1556),IF(_xlpm.id="","",SUM(COUNTIF('1. OP'!$M:$M,_xlpm.id),COUNTIF('2. JSEL'!$M:$M,_xlpm.id),COUNTIF('3. PSM'!$M:$M,_xlpm.id),COUNTIF('4. SSP'!$M:$M,_xlpm.id),COUNTIF('5. JSACI'!$M:$M,_xlpm.id),COUNTIF('6. AIN'!$M:$M,_xlpm.id),COUNTIF('7. MS'!$M:$M,_xlpm.id),COUNTIF('8. DS'!$M:$M,_xlpm.id),COUNTIF('9. RMF'!$M:$M,_xlpm.id),COUNTIF('10. PCU'!$M:$M,_xlpm.id))))</f>
        <v>0</v>
      </c>
    </row>
    <row r="1557" spans="1:9">
      <c r="A1557" t="s">
        <v>9542</v>
      </c>
      <c r="B1557" t="s">
        <v>9528</v>
      </c>
      <c r="C1557">
        <v>1820</v>
      </c>
      <c r="D1557">
        <v>1</v>
      </c>
      <c r="E1557" s="23">
        <v>15</v>
      </c>
      <c r="F1557" t="s">
        <v>8102</v>
      </c>
      <c r="G1557" t="s">
        <v>10484</v>
      </c>
      <c r="H1557" t="s">
        <v>8021</v>
      </c>
      <c r="I1557">
        <f>_xlfn.LET(_xlpm.id,TRIM($A1557),IF(_xlpm.id="","",SUM(COUNTIF('1. OP'!$M:$M,_xlpm.id),COUNTIF('2. JSEL'!$M:$M,_xlpm.id),COUNTIF('3. PSM'!$M:$M,_xlpm.id),COUNTIF('4. SSP'!$M:$M,_xlpm.id),COUNTIF('5. JSACI'!$M:$M,_xlpm.id),COUNTIF('6. AIN'!$M:$M,_xlpm.id),COUNTIF('7. MS'!$M:$M,_xlpm.id),COUNTIF('8. DS'!$M:$M,_xlpm.id),COUNTIF('9. RMF'!$M:$M,_xlpm.id),COUNTIF('10. PCU'!$M:$M,_xlpm.id))))</f>
        <v>0</v>
      </c>
    </row>
    <row r="1558" spans="1:9">
      <c r="A1558" t="s">
        <v>9543</v>
      </c>
      <c r="B1558" t="s">
        <v>9528</v>
      </c>
      <c r="C1558">
        <v>1821</v>
      </c>
      <c r="D1558">
        <v>1</v>
      </c>
      <c r="E1558" s="23">
        <v>16</v>
      </c>
      <c r="F1558" t="s">
        <v>8102</v>
      </c>
      <c r="G1558" t="s">
        <v>10484</v>
      </c>
      <c r="H1558" t="s">
        <v>8021</v>
      </c>
      <c r="I1558">
        <f>_xlfn.LET(_xlpm.id,TRIM($A1558),IF(_xlpm.id="","",SUM(COUNTIF('1. OP'!$M:$M,_xlpm.id),COUNTIF('2. JSEL'!$M:$M,_xlpm.id),COUNTIF('3. PSM'!$M:$M,_xlpm.id),COUNTIF('4. SSP'!$M:$M,_xlpm.id),COUNTIF('5. JSACI'!$M:$M,_xlpm.id),COUNTIF('6. AIN'!$M:$M,_xlpm.id),COUNTIF('7. MS'!$M:$M,_xlpm.id),COUNTIF('8. DS'!$M:$M,_xlpm.id),COUNTIF('9. RMF'!$M:$M,_xlpm.id),COUNTIF('10. PCU'!$M:$M,_xlpm.id))))</f>
        <v>0</v>
      </c>
    </row>
    <row r="1559" spans="1:9">
      <c r="A1559" t="s">
        <v>9544</v>
      </c>
      <c r="B1559" t="s">
        <v>9528</v>
      </c>
      <c r="C1559">
        <v>1821</v>
      </c>
      <c r="D1559">
        <v>1</v>
      </c>
      <c r="E1559" s="23">
        <v>17</v>
      </c>
      <c r="F1559" t="s">
        <v>8102</v>
      </c>
      <c r="G1559" t="s">
        <v>10484</v>
      </c>
      <c r="H1559" t="s">
        <v>8021</v>
      </c>
      <c r="I1559">
        <f>_xlfn.LET(_xlpm.id,TRIM($A1559),IF(_xlpm.id="","",SUM(COUNTIF('1. OP'!$M:$M,_xlpm.id),COUNTIF('2. JSEL'!$M:$M,_xlpm.id),COUNTIF('3. PSM'!$M:$M,_xlpm.id),COUNTIF('4. SSP'!$M:$M,_xlpm.id),COUNTIF('5. JSACI'!$M:$M,_xlpm.id),COUNTIF('6. AIN'!$M:$M,_xlpm.id),COUNTIF('7. MS'!$M:$M,_xlpm.id),COUNTIF('8. DS'!$M:$M,_xlpm.id),COUNTIF('9. RMF'!$M:$M,_xlpm.id),COUNTIF('10. PCU'!$M:$M,_xlpm.id))))</f>
        <v>0</v>
      </c>
    </row>
    <row r="1560" spans="1:9">
      <c r="A1560" t="s">
        <v>9545</v>
      </c>
      <c r="B1560" t="s">
        <v>9528</v>
      </c>
      <c r="C1560">
        <v>1821</v>
      </c>
      <c r="D1560">
        <v>1</v>
      </c>
      <c r="E1560" s="23">
        <v>18</v>
      </c>
      <c r="F1560" t="s">
        <v>8102</v>
      </c>
      <c r="G1560" t="s">
        <v>10484</v>
      </c>
      <c r="H1560" t="s">
        <v>8021</v>
      </c>
      <c r="I1560">
        <f>_xlfn.LET(_xlpm.id,TRIM($A1560),IF(_xlpm.id="","",SUM(COUNTIF('1. OP'!$M:$M,_xlpm.id),COUNTIF('2. JSEL'!$M:$M,_xlpm.id),COUNTIF('3. PSM'!$M:$M,_xlpm.id),COUNTIF('4. SSP'!$M:$M,_xlpm.id),COUNTIF('5. JSACI'!$M:$M,_xlpm.id),COUNTIF('6. AIN'!$M:$M,_xlpm.id),COUNTIF('7. MS'!$M:$M,_xlpm.id),COUNTIF('8. DS'!$M:$M,_xlpm.id),COUNTIF('9. RMF'!$M:$M,_xlpm.id),COUNTIF('10. PCU'!$M:$M,_xlpm.id))))</f>
        <v>0</v>
      </c>
    </row>
    <row r="1561" spans="1:9">
      <c r="A1561" t="s">
        <v>9546</v>
      </c>
      <c r="B1561" t="s">
        <v>9528</v>
      </c>
      <c r="C1561">
        <v>1821</v>
      </c>
      <c r="D1561">
        <v>1</v>
      </c>
      <c r="E1561" s="23">
        <v>19</v>
      </c>
      <c r="F1561" t="s">
        <v>8102</v>
      </c>
      <c r="G1561" t="s">
        <v>10484</v>
      </c>
      <c r="H1561" t="s">
        <v>8021</v>
      </c>
      <c r="I1561">
        <f>_xlfn.LET(_xlpm.id,TRIM($A1561),IF(_xlpm.id="","",SUM(COUNTIF('1. OP'!$M:$M,_xlpm.id),COUNTIF('2. JSEL'!$M:$M,_xlpm.id),COUNTIF('3. PSM'!$M:$M,_xlpm.id),COUNTIF('4. SSP'!$M:$M,_xlpm.id),COUNTIF('5. JSACI'!$M:$M,_xlpm.id),COUNTIF('6. AIN'!$M:$M,_xlpm.id),COUNTIF('7. MS'!$M:$M,_xlpm.id),COUNTIF('8. DS'!$M:$M,_xlpm.id),COUNTIF('9. RMF'!$M:$M,_xlpm.id),COUNTIF('10. PCU'!$M:$M,_xlpm.id))))</f>
        <v>0</v>
      </c>
    </row>
    <row r="1562" spans="1:9">
      <c r="A1562" t="s">
        <v>9547</v>
      </c>
      <c r="B1562" t="s">
        <v>9528</v>
      </c>
      <c r="C1562">
        <v>1822</v>
      </c>
      <c r="D1562">
        <v>1</v>
      </c>
      <c r="E1562" s="23">
        <v>20</v>
      </c>
      <c r="F1562" t="s">
        <v>8102</v>
      </c>
      <c r="G1562" t="s">
        <v>10484</v>
      </c>
      <c r="H1562" t="s">
        <v>8021</v>
      </c>
      <c r="I1562">
        <f>_xlfn.LET(_xlpm.id,TRIM($A1562),IF(_xlpm.id="","",SUM(COUNTIF('1. OP'!$M:$M,_xlpm.id),COUNTIF('2. JSEL'!$M:$M,_xlpm.id),COUNTIF('3. PSM'!$M:$M,_xlpm.id),COUNTIF('4. SSP'!$M:$M,_xlpm.id),COUNTIF('5. JSACI'!$M:$M,_xlpm.id),COUNTIF('6. AIN'!$M:$M,_xlpm.id),COUNTIF('7. MS'!$M:$M,_xlpm.id),COUNTIF('8. DS'!$M:$M,_xlpm.id),COUNTIF('9. RMF'!$M:$M,_xlpm.id),COUNTIF('10. PCU'!$M:$M,_xlpm.id))))</f>
        <v>0</v>
      </c>
    </row>
    <row r="1563" spans="1:9">
      <c r="A1563" t="s">
        <v>9548</v>
      </c>
      <c r="B1563" t="s">
        <v>9528</v>
      </c>
      <c r="C1563">
        <v>1822</v>
      </c>
      <c r="D1563">
        <v>1</v>
      </c>
      <c r="E1563" s="23">
        <v>21</v>
      </c>
      <c r="F1563" t="s">
        <v>8102</v>
      </c>
      <c r="G1563" t="s">
        <v>10484</v>
      </c>
      <c r="H1563" t="s">
        <v>8021</v>
      </c>
      <c r="I1563">
        <f>_xlfn.LET(_xlpm.id,TRIM($A1563),IF(_xlpm.id="","",SUM(COUNTIF('1. OP'!$M:$M,_xlpm.id),COUNTIF('2. JSEL'!$M:$M,_xlpm.id),COUNTIF('3. PSM'!$M:$M,_xlpm.id),COUNTIF('4. SSP'!$M:$M,_xlpm.id),COUNTIF('5. JSACI'!$M:$M,_xlpm.id),COUNTIF('6. AIN'!$M:$M,_xlpm.id),COUNTIF('7. MS'!$M:$M,_xlpm.id),COUNTIF('8. DS'!$M:$M,_xlpm.id),COUNTIF('9. RMF'!$M:$M,_xlpm.id),COUNTIF('10. PCU'!$M:$M,_xlpm.id))))</f>
        <v>0</v>
      </c>
    </row>
    <row r="1564" spans="1:9">
      <c r="A1564" t="s">
        <v>9549</v>
      </c>
      <c r="B1564" t="s">
        <v>9528</v>
      </c>
      <c r="C1564">
        <v>1823</v>
      </c>
      <c r="D1564">
        <v>1</v>
      </c>
      <c r="E1564" s="23">
        <v>22</v>
      </c>
      <c r="F1564" t="s">
        <v>8102</v>
      </c>
      <c r="G1564" t="s">
        <v>10484</v>
      </c>
      <c r="H1564" t="s">
        <v>8021</v>
      </c>
      <c r="I1564">
        <f>_xlfn.LET(_xlpm.id,TRIM($A1564),IF(_xlpm.id="","",SUM(COUNTIF('1. OP'!$M:$M,_xlpm.id),COUNTIF('2. JSEL'!$M:$M,_xlpm.id),COUNTIF('3. PSM'!$M:$M,_xlpm.id),COUNTIF('4. SSP'!$M:$M,_xlpm.id),COUNTIF('5. JSACI'!$M:$M,_xlpm.id),COUNTIF('6. AIN'!$M:$M,_xlpm.id),COUNTIF('7. MS'!$M:$M,_xlpm.id),COUNTIF('8. DS'!$M:$M,_xlpm.id),COUNTIF('9. RMF'!$M:$M,_xlpm.id),COUNTIF('10. PCU'!$M:$M,_xlpm.id))))</f>
        <v>0</v>
      </c>
    </row>
    <row r="1565" spans="1:9">
      <c r="A1565" t="s">
        <v>9550</v>
      </c>
      <c r="B1565" t="s">
        <v>9528</v>
      </c>
      <c r="C1565">
        <v>1823</v>
      </c>
      <c r="D1565">
        <v>1</v>
      </c>
      <c r="E1565" s="23">
        <v>23</v>
      </c>
      <c r="F1565" t="s">
        <v>8102</v>
      </c>
      <c r="G1565" t="s">
        <v>10484</v>
      </c>
      <c r="H1565" t="s">
        <v>8021</v>
      </c>
      <c r="I1565">
        <f>_xlfn.LET(_xlpm.id,TRIM($A1565),IF(_xlpm.id="","",SUM(COUNTIF('1. OP'!$M:$M,_xlpm.id),COUNTIF('2. JSEL'!$M:$M,_xlpm.id),COUNTIF('3. PSM'!$M:$M,_xlpm.id),COUNTIF('4. SSP'!$M:$M,_xlpm.id),COUNTIF('5. JSACI'!$M:$M,_xlpm.id),COUNTIF('6. AIN'!$M:$M,_xlpm.id),COUNTIF('7. MS'!$M:$M,_xlpm.id),COUNTIF('8. DS'!$M:$M,_xlpm.id),COUNTIF('9. RMF'!$M:$M,_xlpm.id),COUNTIF('10. PCU'!$M:$M,_xlpm.id))))</f>
        <v>0</v>
      </c>
    </row>
    <row r="1566" spans="1:9">
      <c r="A1566" t="s">
        <v>9551</v>
      </c>
      <c r="B1566" t="s">
        <v>9528</v>
      </c>
      <c r="C1566">
        <v>1823</v>
      </c>
      <c r="D1566">
        <v>1</v>
      </c>
      <c r="E1566" s="23">
        <v>24</v>
      </c>
      <c r="F1566" t="s">
        <v>8102</v>
      </c>
      <c r="G1566" t="s">
        <v>10484</v>
      </c>
      <c r="H1566" t="s">
        <v>8021</v>
      </c>
      <c r="I1566">
        <f>_xlfn.LET(_xlpm.id,TRIM($A1566),IF(_xlpm.id="","",SUM(COUNTIF('1. OP'!$M:$M,_xlpm.id),COUNTIF('2. JSEL'!$M:$M,_xlpm.id),COUNTIF('3. PSM'!$M:$M,_xlpm.id),COUNTIF('4. SSP'!$M:$M,_xlpm.id),COUNTIF('5. JSACI'!$M:$M,_xlpm.id),COUNTIF('6. AIN'!$M:$M,_xlpm.id),COUNTIF('7. MS'!$M:$M,_xlpm.id),COUNTIF('8. DS'!$M:$M,_xlpm.id),COUNTIF('9. RMF'!$M:$M,_xlpm.id),COUNTIF('10. PCU'!$M:$M,_xlpm.id))))</f>
        <v>0</v>
      </c>
    </row>
    <row r="1567" spans="1:9">
      <c r="A1567" t="s">
        <v>9552</v>
      </c>
      <c r="B1567" t="s">
        <v>9528</v>
      </c>
      <c r="C1567">
        <v>1824</v>
      </c>
      <c r="D1567">
        <v>1</v>
      </c>
      <c r="E1567" s="23">
        <v>25</v>
      </c>
      <c r="F1567" t="s">
        <v>8102</v>
      </c>
      <c r="G1567" t="s">
        <v>10484</v>
      </c>
      <c r="H1567" t="s">
        <v>8021</v>
      </c>
      <c r="I1567">
        <f>_xlfn.LET(_xlpm.id,TRIM($A1567),IF(_xlpm.id="","",SUM(COUNTIF('1. OP'!$M:$M,_xlpm.id),COUNTIF('2. JSEL'!$M:$M,_xlpm.id),COUNTIF('3. PSM'!$M:$M,_xlpm.id),COUNTIF('4. SSP'!$M:$M,_xlpm.id),COUNTIF('5. JSACI'!$M:$M,_xlpm.id),COUNTIF('6. AIN'!$M:$M,_xlpm.id),COUNTIF('7. MS'!$M:$M,_xlpm.id),COUNTIF('8. DS'!$M:$M,_xlpm.id),COUNTIF('9. RMF'!$M:$M,_xlpm.id),COUNTIF('10. PCU'!$M:$M,_xlpm.id))))</f>
        <v>0</v>
      </c>
    </row>
    <row r="1568" spans="1:9">
      <c r="A1568" t="s">
        <v>9553</v>
      </c>
      <c r="B1568" t="s">
        <v>9528</v>
      </c>
      <c r="C1568">
        <v>1824</v>
      </c>
      <c r="D1568">
        <v>1</v>
      </c>
      <c r="E1568" s="23">
        <v>26</v>
      </c>
      <c r="F1568" t="s">
        <v>8102</v>
      </c>
      <c r="G1568" t="s">
        <v>10484</v>
      </c>
      <c r="H1568" t="s">
        <v>8021</v>
      </c>
      <c r="I1568">
        <f>_xlfn.LET(_xlpm.id,TRIM($A1568),IF(_xlpm.id="","",SUM(COUNTIF('1. OP'!$M:$M,_xlpm.id),COUNTIF('2. JSEL'!$M:$M,_xlpm.id),COUNTIF('3. PSM'!$M:$M,_xlpm.id),COUNTIF('4. SSP'!$M:$M,_xlpm.id),COUNTIF('5. JSACI'!$M:$M,_xlpm.id),COUNTIF('6. AIN'!$M:$M,_xlpm.id),COUNTIF('7. MS'!$M:$M,_xlpm.id),COUNTIF('8. DS'!$M:$M,_xlpm.id),COUNTIF('9. RMF'!$M:$M,_xlpm.id),COUNTIF('10. PCU'!$M:$M,_xlpm.id))))</f>
        <v>0</v>
      </c>
    </row>
    <row r="1569" spans="1:9">
      <c r="A1569" t="s">
        <v>9554</v>
      </c>
      <c r="B1569" t="s">
        <v>9528</v>
      </c>
      <c r="C1569">
        <v>1824</v>
      </c>
      <c r="D1569">
        <v>1</v>
      </c>
      <c r="E1569" s="23">
        <v>27</v>
      </c>
      <c r="F1569" t="s">
        <v>8102</v>
      </c>
      <c r="G1569" t="s">
        <v>10484</v>
      </c>
      <c r="H1569" t="s">
        <v>8021</v>
      </c>
      <c r="I1569">
        <f>_xlfn.LET(_xlpm.id,TRIM($A1569),IF(_xlpm.id="","",SUM(COUNTIF('1. OP'!$M:$M,_xlpm.id),COUNTIF('2. JSEL'!$M:$M,_xlpm.id),COUNTIF('3. PSM'!$M:$M,_xlpm.id),COUNTIF('4. SSP'!$M:$M,_xlpm.id),COUNTIF('5. JSACI'!$M:$M,_xlpm.id),COUNTIF('6. AIN'!$M:$M,_xlpm.id),COUNTIF('7. MS'!$M:$M,_xlpm.id),COUNTIF('8. DS'!$M:$M,_xlpm.id),COUNTIF('9. RMF'!$M:$M,_xlpm.id),COUNTIF('10. PCU'!$M:$M,_xlpm.id))))</f>
        <v>0</v>
      </c>
    </row>
    <row r="1570" spans="1:9">
      <c r="A1570" t="s">
        <v>9555</v>
      </c>
      <c r="B1570" t="s">
        <v>9528</v>
      </c>
      <c r="C1570">
        <v>1825</v>
      </c>
      <c r="D1570">
        <v>1</v>
      </c>
      <c r="E1570" s="23">
        <v>28</v>
      </c>
      <c r="F1570" t="s">
        <v>8102</v>
      </c>
      <c r="G1570" t="s">
        <v>10484</v>
      </c>
      <c r="H1570" t="s">
        <v>8021</v>
      </c>
      <c r="I1570">
        <f>_xlfn.LET(_xlpm.id,TRIM($A1570),IF(_xlpm.id="","",SUM(COUNTIF('1. OP'!$M:$M,_xlpm.id),COUNTIF('2. JSEL'!$M:$M,_xlpm.id),COUNTIF('3. PSM'!$M:$M,_xlpm.id),COUNTIF('4. SSP'!$M:$M,_xlpm.id),COUNTIF('5. JSACI'!$M:$M,_xlpm.id),COUNTIF('6. AIN'!$M:$M,_xlpm.id),COUNTIF('7. MS'!$M:$M,_xlpm.id),COUNTIF('8. DS'!$M:$M,_xlpm.id),COUNTIF('9. RMF'!$M:$M,_xlpm.id),COUNTIF('10. PCU'!$M:$M,_xlpm.id))))</f>
        <v>0</v>
      </c>
    </row>
    <row r="1571" spans="1:9">
      <c r="A1571" t="s">
        <v>9556</v>
      </c>
      <c r="B1571" t="s">
        <v>9528</v>
      </c>
      <c r="C1571">
        <v>1825</v>
      </c>
      <c r="D1571">
        <v>1</v>
      </c>
      <c r="E1571" s="23">
        <v>29</v>
      </c>
      <c r="F1571" t="s">
        <v>8102</v>
      </c>
      <c r="G1571" t="s">
        <v>10484</v>
      </c>
      <c r="H1571" t="s">
        <v>8021</v>
      </c>
      <c r="I1571">
        <f>_xlfn.LET(_xlpm.id,TRIM($A1571),IF(_xlpm.id="","",SUM(COUNTIF('1. OP'!$M:$M,_xlpm.id),COUNTIF('2. JSEL'!$M:$M,_xlpm.id),COUNTIF('3. PSM'!$M:$M,_xlpm.id),COUNTIF('4. SSP'!$M:$M,_xlpm.id),COUNTIF('5. JSACI'!$M:$M,_xlpm.id),COUNTIF('6. AIN'!$M:$M,_xlpm.id),COUNTIF('7. MS'!$M:$M,_xlpm.id),COUNTIF('8. DS'!$M:$M,_xlpm.id),COUNTIF('9. RMF'!$M:$M,_xlpm.id),COUNTIF('10. PCU'!$M:$M,_xlpm.id))))</f>
        <v>0</v>
      </c>
    </row>
    <row r="1572" spans="1:9">
      <c r="A1572" t="s">
        <v>9557</v>
      </c>
      <c r="B1572" t="s">
        <v>9528</v>
      </c>
      <c r="C1572">
        <v>1825</v>
      </c>
      <c r="D1572">
        <v>1</v>
      </c>
      <c r="E1572" s="23">
        <v>30</v>
      </c>
      <c r="F1572" t="s">
        <v>8102</v>
      </c>
      <c r="G1572" t="s">
        <v>10484</v>
      </c>
      <c r="H1572" t="s">
        <v>8021</v>
      </c>
      <c r="I1572">
        <f>_xlfn.LET(_xlpm.id,TRIM($A1572),IF(_xlpm.id="","",SUM(COUNTIF('1. OP'!$M:$M,_xlpm.id),COUNTIF('2. JSEL'!$M:$M,_xlpm.id),COUNTIF('3. PSM'!$M:$M,_xlpm.id),COUNTIF('4. SSP'!$M:$M,_xlpm.id),COUNTIF('5. JSACI'!$M:$M,_xlpm.id),COUNTIF('6. AIN'!$M:$M,_xlpm.id),COUNTIF('7. MS'!$M:$M,_xlpm.id),COUNTIF('8. DS'!$M:$M,_xlpm.id),COUNTIF('9. RMF'!$M:$M,_xlpm.id),COUNTIF('10. PCU'!$M:$M,_xlpm.id))))</f>
        <v>0</v>
      </c>
    </row>
    <row r="1573" spans="1:9">
      <c r="A1573" t="s">
        <v>9558</v>
      </c>
      <c r="B1573" t="s">
        <v>9528</v>
      </c>
      <c r="C1573">
        <v>1826</v>
      </c>
      <c r="D1573">
        <v>1</v>
      </c>
      <c r="E1573" s="23">
        <v>31</v>
      </c>
      <c r="F1573" t="s">
        <v>8102</v>
      </c>
      <c r="G1573" t="s">
        <v>10484</v>
      </c>
      <c r="H1573" t="s">
        <v>8021</v>
      </c>
      <c r="I1573">
        <f>_xlfn.LET(_xlpm.id,TRIM($A1573),IF(_xlpm.id="","",SUM(COUNTIF('1. OP'!$M:$M,_xlpm.id),COUNTIF('2. JSEL'!$M:$M,_xlpm.id),COUNTIF('3. PSM'!$M:$M,_xlpm.id),COUNTIF('4. SSP'!$M:$M,_xlpm.id),COUNTIF('5. JSACI'!$M:$M,_xlpm.id),COUNTIF('6. AIN'!$M:$M,_xlpm.id),COUNTIF('7. MS'!$M:$M,_xlpm.id),COUNTIF('8. DS'!$M:$M,_xlpm.id),COUNTIF('9. RMF'!$M:$M,_xlpm.id),COUNTIF('10. PCU'!$M:$M,_xlpm.id))))</f>
        <v>0</v>
      </c>
    </row>
    <row r="1574" spans="1:9">
      <c r="A1574" t="s">
        <v>9559</v>
      </c>
      <c r="B1574" t="s">
        <v>9528</v>
      </c>
      <c r="C1574">
        <v>1826</v>
      </c>
      <c r="D1574">
        <v>1</v>
      </c>
      <c r="E1574" s="23">
        <v>32</v>
      </c>
      <c r="F1574" t="s">
        <v>8102</v>
      </c>
      <c r="G1574" t="s">
        <v>10484</v>
      </c>
      <c r="H1574" t="s">
        <v>8021</v>
      </c>
      <c r="I1574">
        <f>_xlfn.LET(_xlpm.id,TRIM($A1574),IF(_xlpm.id="","",SUM(COUNTIF('1. OP'!$M:$M,_xlpm.id),COUNTIF('2. JSEL'!$M:$M,_xlpm.id),COUNTIF('3. PSM'!$M:$M,_xlpm.id),COUNTIF('4. SSP'!$M:$M,_xlpm.id),COUNTIF('5. JSACI'!$M:$M,_xlpm.id),COUNTIF('6. AIN'!$M:$M,_xlpm.id),COUNTIF('7. MS'!$M:$M,_xlpm.id),COUNTIF('8. DS'!$M:$M,_xlpm.id),COUNTIF('9. RMF'!$M:$M,_xlpm.id),COUNTIF('10. PCU'!$M:$M,_xlpm.id))))</f>
        <v>0</v>
      </c>
    </row>
    <row r="1575" spans="1:9">
      <c r="A1575" t="s">
        <v>9560</v>
      </c>
      <c r="B1575" t="s">
        <v>9528</v>
      </c>
      <c r="C1575">
        <v>1826</v>
      </c>
      <c r="D1575">
        <v>1</v>
      </c>
      <c r="E1575" s="23">
        <v>33</v>
      </c>
      <c r="F1575" t="s">
        <v>8102</v>
      </c>
      <c r="G1575" t="s">
        <v>10484</v>
      </c>
      <c r="H1575" t="s">
        <v>8021</v>
      </c>
      <c r="I1575">
        <f>_xlfn.LET(_xlpm.id,TRIM($A1575),IF(_xlpm.id="","",SUM(COUNTIF('1. OP'!$M:$M,_xlpm.id),COUNTIF('2. JSEL'!$M:$M,_xlpm.id),COUNTIF('3. PSM'!$M:$M,_xlpm.id),COUNTIF('4. SSP'!$M:$M,_xlpm.id),COUNTIF('5. JSACI'!$M:$M,_xlpm.id),COUNTIF('6. AIN'!$M:$M,_xlpm.id),COUNTIF('7. MS'!$M:$M,_xlpm.id),COUNTIF('8. DS'!$M:$M,_xlpm.id),COUNTIF('9. RMF'!$M:$M,_xlpm.id),COUNTIF('10. PCU'!$M:$M,_xlpm.id))))</f>
        <v>0</v>
      </c>
    </row>
    <row r="1576" spans="1:9">
      <c r="A1576" t="s">
        <v>9561</v>
      </c>
      <c r="B1576" t="s">
        <v>9528</v>
      </c>
      <c r="C1576">
        <v>1827</v>
      </c>
      <c r="D1576">
        <v>1</v>
      </c>
      <c r="E1576" s="23">
        <v>34</v>
      </c>
      <c r="F1576" t="s">
        <v>8102</v>
      </c>
      <c r="G1576" t="s">
        <v>10484</v>
      </c>
      <c r="H1576" t="s">
        <v>8021</v>
      </c>
      <c r="I1576">
        <f>_xlfn.LET(_xlpm.id,TRIM($A1576),IF(_xlpm.id="","",SUM(COUNTIF('1. OP'!$M:$M,_xlpm.id),COUNTIF('2. JSEL'!$M:$M,_xlpm.id),COUNTIF('3. PSM'!$M:$M,_xlpm.id),COUNTIF('4. SSP'!$M:$M,_xlpm.id),COUNTIF('5. JSACI'!$M:$M,_xlpm.id),COUNTIF('6. AIN'!$M:$M,_xlpm.id),COUNTIF('7. MS'!$M:$M,_xlpm.id),COUNTIF('8. DS'!$M:$M,_xlpm.id),COUNTIF('9. RMF'!$M:$M,_xlpm.id),COUNTIF('10. PCU'!$M:$M,_xlpm.id))))</f>
        <v>0</v>
      </c>
    </row>
    <row r="1577" spans="1:9">
      <c r="A1577" t="s">
        <v>9562</v>
      </c>
      <c r="B1577" t="s">
        <v>9528</v>
      </c>
      <c r="C1577">
        <v>1827</v>
      </c>
      <c r="D1577">
        <v>1</v>
      </c>
      <c r="E1577" s="23">
        <v>35</v>
      </c>
      <c r="F1577" t="s">
        <v>8102</v>
      </c>
      <c r="G1577" t="s">
        <v>10484</v>
      </c>
      <c r="H1577" t="s">
        <v>8021</v>
      </c>
      <c r="I1577">
        <f>_xlfn.LET(_xlpm.id,TRIM($A1577),IF(_xlpm.id="","",SUM(COUNTIF('1. OP'!$M:$M,_xlpm.id),COUNTIF('2. JSEL'!$M:$M,_xlpm.id),COUNTIF('3. PSM'!$M:$M,_xlpm.id),COUNTIF('4. SSP'!$M:$M,_xlpm.id),COUNTIF('5. JSACI'!$M:$M,_xlpm.id),COUNTIF('6. AIN'!$M:$M,_xlpm.id),COUNTIF('7. MS'!$M:$M,_xlpm.id),COUNTIF('8. DS'!$M:$M,_xlpm.id),COUNTIF('9. RMF'!$M:$M,_xlpm.id),COUNTIF('10. PCU'!$M:$M,_xlpm.id))))</f>
        <v>0</v>
      </c>
    </row>
    <row r="1578" spans="1:9">
      <c r="A1578" t="s">
        <v>9563</v>
      </c>
      <c r="B1578" t="s">
        <v>9528</v>
      </c>
      <c r="C1578">
        <v>1827</v>
      </c>
      <c r="D1578">
        <v>1</v>
      </c>
      <c r="E1578" s="23">
        <v>36</v>
      </c>
      <c r="F1578" t="s">
        <v>8102</v>
      </c>
      <c r="G1578" t="s">
        <v>10484</v>
      </c>
      <c r="H1578" t="s">
        <v>8021</v>
      </c>
      <c r="I1578">
        <f>_xlfn.LET(_xlpm.id,TRIM($A1578),IF(_xlpm.id="","",SUM(COUNTIF('1. OP'!$M:$M,_xlpm.id),COUNTIF('2. JSEL'!$M:$M,_xlpm.id),COUNTIF('3. PSM'!$M:$M,_xlpm.id),COUNTIF('4. SSP'!$M:$M,_xlpm.id),COUNTIF('5. JSACI'!$M:$M,_xlpm.id),COUNTIF('6. AIN'!$M:$M,_xlpm.id),COUNTIF('7. MS'!$M:$M,_xlpm.id),COUNTIF('8. DS'!$M:$M,_xlpm.id),COUNTIF('9. RMF'!$M:$M,_xlpm.id),COUNTIF('10. PCU'!$M:$M,_xlpm.id))))</f>
        <v>0</v>
      </c>
    </row>
    <row r="1579" spans="1:9">
      <c r="A1579" t="s">
        <v>9564</v>
      </c>
      <c r="B1579" t="s">
        <v>9528</v>
      </c>
      <c r="C1579">
        <v>1828</v>
      </c>
      <c r="D1579">
        <v>1</v>
      </c>
      <c r="E1579" s="23">
        <v>37</v>
      </c>
      <c r="F1579" t="s">
        <v>8102</v>
      </c>
      <c r="G1579" t="s">
        <v>10484</v>
      </c>
      <c r="H1579" t="s">
        <v>8021</v>
      </c>
      <c r="I1579">
        <f>_xlfn.LET(_xlpm.id,TRIM($A1579),IF(_xlpm.id="","",SUM(COUNTIF('1. OP'!$M:$M,_xlpm.id),COUNTIF('2. JSEL'!$M:$M,_xlpm.id),COUNTIF('3. PSM'!$M:$M,_xlpm.id),COUNTIF('4. SSP'!$M:$M,_xlpm.id),COUNTIF('5. JSACI'!$M:$M,_xlpm.id),COUNTIF('6. AIN'!$M:$M,_xlpm.id),COUNTIF('7. MS'!$M:$M,_xlpm.id),COUNTIF('8. DS'!$M:$M,_xlpm.id),COUNTIF('9. RMF'!$M:$M,_xlpm.id),COUNTIF('10. PCU'!$M:$M,_xlpm.id))))</f>
        <v>0</v>
      </c>
    </row>
    <row r="1580" spans="1:9">
      <c r="A1580" t="s">
        <v>9565</v>
      </c>
      <c r="B1580" t="s">
        <v>9528</v>
      </c>
      <c r="C1580">
        <v>1828</v>
      </c>
      <c r="D1580">
        <v>1</v>
      </c>
      <c r="E1580" s="23">
        <v>38</v>
      </c>
      <c r="F1580" t="s">
        <v>8102</v>
      </c>
      <c r="G1580" t="s">
        <v>10484</v>
      </c>
      <c r="H1580" t="s">
        <v>8021</v>
      </c>
      <c r="I1580">
        <f>_xlfn.LET(_xlpm.id,TRIM($A1580),IF(_xlpm.id="","",SUM(COUNTIF('1. OP'!$M:$M,_xlpm.id),COUNTIF('2. JSEL'!$M:$M,_xlpm.id),COUNTIF('3. PSM'!$M:$M,_xlpm.id),COUNTIF('4. SSP'!$M:$M,_xlpm.id),COUNTIF('5. JSACI'!$M:$M,_xlpm.id),COUNTIF('6. AIN'!$M:$M,_xlpm.id),COUNTIF('7. MS'!$M:$M,_xlpm.id),COUNTIF('8. DS'!$M:$M,_xlpm.id),COUNTIF('9. RMF'!$M:$M,_xlpm.id),COUNTIF('10. PCU'!$M:$M,_xlpm.id))))</f>
        <v>0</v>
      </c>
    </row>
    <row r="1581" spans="1:9">
      <c r="A1581" t="s">
        <v>9566</v>
      </c>
      <c r="B1581" t="s">
        <v>9528</v>
      </c>
      <c r="C1581">
        <v>1828</v>
      </c>
      <c r="D1581">
        <v>1</v>
      </c>
      <c r="E1581" s="23">
        <v>39</v>
      </c>
      <c r="F1581" t="s">
        <v>8102</v>
      </c>
      <c r="G1581" t="s">
        <v>10484</v>
      </c>
      <c r="H1581" t="s">
        <v>8021</v>
      </c>
      <c r="I1581">
        <f>_xlfn.LET(_xlpm.id,TRIM($A1581),IF(_xlpm.id="","",SUM(COUNTIF('1. OP'!$M:$M,_xlpm.id),COUNTIF('2. JSEL'!$M:$M,_xlpm.id),COUNTIF('3. PSM'!$M:$M,_xlpm.id),COUNTIF('4. SSP'!$M:$M,_xlpm.id),COUNTIF('5. JSACI'!$M:$M,_xlpm.id),COUNTIF('6. AIN'!$M:$M,_xlpm.id),COUNTIF('7. MS'!$M:$M,_xlpm.id),COUNTIF('8. DS'!$M:$M,_xlpm.id),COUNTIF('9. RMF'!$M:$M,_xlpm.id),COUNTIF('10. PCU'!$M:$M,_xlpm.id))))</f>
        <v>0</v>
      </c>
    </row>
    <row r="1582" spans="1:9">
      <c r="A1582" t="s">
        <v>9567</v>
      </c>
      <c r="B1582" t="s">
        <v>9528</v>
      </c>
      <c r="C1582">
        <v>1829</v>
      </c>
      <c r="D1582">
        <v>1</v>
      </c>
      <c r="E1582" s="23">
        <v>40</v>
      </c>
      <c r="F1582" t="s">
        <v>8102</v>
      </c>
      <c r="G1582" t="s">
        <v>10484</v>
      </c>
      <c r="H1582" t="s">
        <v>8021</v>
      </c>
      <c r="I1582">
        <f>_xlfn.LET(_xlpm.id,TRIM($A1582),IF(_xlpm.id="","",SUM(COUNTIF('1. OP'!$M:$M,_xlpm.id),COUNTIF('2. JSEL'!$M:$M,_xlpm.id),COUNTIF('3. PSM'!$M:$M,_xlpm.id),COUNTIF('4. SSP'!$M:$M,_xlpm.id),COUNTIF('5. JSACI'!$M:$M,_xlpm.id),COUNTIF('6. AIN'!$M:$M,_xlpm.id),COUNTIF('7. MS'!$M:$M,_xlpm.id),COUNTIF('8. DS'!$M:$M,_xlpm.id),COUNTIF('9. RMF'!$M:$M,_xlpm.id),COUNTIF('10. PCU'!$M:$M,_xlpm.id))))</f>
        <v>0</v>
      </c>
    </row>
    <row r="1583" spans="1:9">
      <c r="A1583" t="s">
        <v>9568</v>
      </c>
      <c r="B1583" t="s">
        <v>9528</v>
      </c>
      <c r="C1583">
        <v>1829</v>
      </c>
      <c r="D1583">
        <v>1</v>
      </c>
      <c r="E1583" s="23">
        <v>41</v>
      </c>
      <c r="F1583" t="s">
        <v>8102</v>
      </c>
      <c r="G1583" t="s">
        <v>10484</v>
      </c>
      <c r="H1583" t="s">
        <v>8021</v>
      </c>
      <c r="I1583">
        <f>_xlfn.LET(_xlpm.id,TRIM($A1583),IF(_xlpm.id="","",SUM(COUNTIF('1. OP'!$M:$M,_xlpm.id),COUNTIF('2. JSEL'!$M:$M,_xlpm.id),COUNTIF('3. PSM'!$M:$M,_xlpm.id),COUNTIF('4. SSP'!$M:$M,_xlpm.id),COUNTIF('5. JSACI'!$M:$M,_xlpm.id),COUNTIF('6. AIN'!$M:$M,_xlpm.id),COUNTIF('7. MS'!$M:$M,_xlpm.id),COUNTIF('8. DS'!$M:$M,_xlpm.id),COUNTIF('9. RMF'!$M:$M,_xlpm.id),COUNTIF('10. PCU'!$M:$M,_xlpm.id))))</f>
        <v>0</v>
      </c>
    </row>
    <row r="1584" spans="1:9">
      <c r="A1584" t="s">
        <v>9569</v>
      </c>
      <c r="B1584" t="s">
        <v>9528</v>
      </c>
      <c r="C1584">
        <v>1829</v>
      </c>
      <c r="D1584">
        <v>1</v>
      </c>
      <c r="E1584" s="23">
        <v>42</v>
      </c>
      <c r="F1584" t="s">
        <v>8102</v>
      </c>
      <c r="G1584" t="s">
        <v>10484</v>
      </c>
      <c r="H1584" t="s">
        <v>8021</v>
      </c>
      <c r="I1584">
        <f>_xlfn.LET(_xlpm.id,TRIM($A1584),IF(_xlpm.id="","",SUM(COUNTIF('1. OP'!$M:$M,_xlpm.id),COUNTIF('2. JSEL'!$M:$M,_xlpm.id),COUNTIF('3. PSM'!$M:$M,_xlpm.id),COUNTIF('4. SSP'!$M:$M,_xlpm.id),COUNTIF('5. JSACI'!$M:$M,_xlpm.id),COUNTIF('6. AIN'!$M:$M,_xlpm.id),COUNTIF('7. MS'!$M:$M,_xlpm.id),COUNTIF('8. DS'!$M:$M,_xlpm.id),COUNTIF('9. RMF'!$M:$M,_xlpm.id),COUNTIF('10. PCU'!$M:$M,_xlpm.id))))</f>
        <v>0</v>
      </c>
    </row>
    <row r="1585" spans="1:9">
      <c r="A1585" t="s">
        <v>9570</v>
      </c>
      <c r="B1585" t="s">
        <v>9528</v>
      </c>
      <c r="C1585">
        <v>1830</v>
      </c>
      <c r="D1585">
        <v>1</v>
      </c>
      <c r="E1585" s="23">
        <v>43</v>
      </c>
      <c r="F1585" t="s">
        <v>8102</v>
      </c>
      <c r="G1585" t="s">
        <v>10484</v>
      </c>
      <c r="H1585" t="s">
        <v>8021</v>
      </c>
      <c r="I1585">
        <f>_xlfn.LET(_xlpm.id,TRIM($A1585),IF(_xlpm.id="","",SUM(COUNTIF('1. OP'!$M:$M,_xlpm.id),COUNTIF('2. JSEL'!$M:$M,_xlpm.id),COUNTIF('3. PSM'!$M:$M,_xlpm.id),COUNTIF('4. SSP'!$M:$M,_xlpm.id),COUNTIF('5. JSACI'!$M:$M,_xlpm.id),COUNTIF('6. AIN'!$M:$M,_xlpm.id),COUNTIF('7. MS'!$M:$M,_xlpm.id),COUNTIF('8. DS'!$M:$M,_xlpm.id),COUNTIF('9. RMF'!$M:$M,_xlpm.id),COUNTIF('10. PCU'!$M:$M,_xlpm.id))))</f>
        <v>0</v>
      </c>
    </row>
    <row r="1586" spans="1:9">
      <c r="A1586" t="s">
        <v>9571</v>
      </c>
      <c r="B1586" t="s">
        <v>9528</v>
      </c>
      <c r="C1586">
        <v>1830</v>
      </c>
      <c r="D1586">
        <v>1</v>
      </c>
      <c r="E1586" s="23">
        <v>44</v>
      </c>
      <c r="F1586" t="s">
        <v>8102</v>
      </c>
      <c r="G1586" t="s">
        <v>10484</v>
      </c>
      <c r="H1586" t="s">
        <v>8021</v>
      </c>
      <c r="I1586">
        <f>_xlfn.LET(_xlpm.id,TRIM($A1586),IF(_xlpm.id="","",SUM(COUNTIF('1. OP'!$M:$M,_xlpm.id),COUNTIF('2. JSEL'!$M:$M,_xlpm.id),COUNTIF('3. PSM'!$M:$M,_xlpm.id),COUNTIF('4. SSP'!$M:$M,_xlpm.id),COUNTIF('5. JSACI'!$M:$M,_xlpm.id),COUNTIF('6. AIN'!$M:$M,_xlpm.id),COUNTIF('7. MS'!$M:$M,_xlpm.id),COUNTIF('8. DS'!$M:$M,_xlpm.id),COUNTIF('9. RMF'!$M:$M,_xlpm.id),COUNTIF('10. PCU'!$M:$M,_xlpm.id))))</f>
        <v>0</v>
      </c>
    </row>
    <row r="1587" spans="1:9">
      <c r="A1587" t="s">
        <v>9572</v>
      </c>
      <c r="B1587" t="s">
        <v>9528</v>
      </c>
      <c r="C1587">
        <v>1830</v>
      </c>
      <c r="D1587">
        <v>1</v>
      </c>
      <c r="E1587" s="23">
        <v>45</v>
      </c>
      <c r="F1587" t="s">
        <v>8102</v>
      </c>
      <c r="G1587" t="s">
        <v>10484</v>
      </c>
      <c r="H1587" t="s">
        <v>8021</v>
      </c>
      <c r="I1587">
        <f>_xlfn.LET(_xlpm.id,TRIM($A1587),IF(_xlpm.id="","",SUM(COUNTIF('1. OP'!$M:$M,_xlpm.id),COUNTIF('2. JSEL'!$M:$M,_xlpm.id),COUNTIF('3. PSM'!$M:$M,_xlpm.id),COUNTIF('4. SSP'!$M:$M,_xlpm.id),COUNTIF('5. JSACI'!$M:$M,_xlpm.id),COUNTIF('6. AIN'!$M:$M,_xlpm.id),COUNTIF('7. MS'!$M:$M,_xlpm.id),COUNTIF('8. DS'!$M:$M,_xlpm.id),COUNTIF('9. RMF'!$M:$M,_xlpm.id),COUNTIF('10. PCU'!$M:$M,_xlpm.id))))</f>
        <v>0</v>
      </c>
    </row>
    <row r="1588" spans="1:9">
      <c r="A1588" t="s">
        <v>9573</v>
      </c>
      <c r="B1588" t="s">
        <v>9528</v>
      </c>
      <c r="C1588">
        <v>1831</v>
      </c>
      <c r="D1588">
        <v>1</v>
      </c>
      <c r="E1588" s="23">
        <v>46</v>
      </c>
      <c r="F1588" t="s">
        <v>8102</v>
      </c>
      <c r="G1588" t="s">
        <v>10484</v>
      </c>
      <c r="H1588" t="s">
        <v>8021</v>
      </c>
      <c r="I1588">
        <f>_xlfn.LET(_xlpm.id,TRIM($A1588),IF(_xlpm.id="","",SUM(COUNTIF('1. OP'!$M:$M,_xlpm.id),COUNTIF('2. JSEL'!$M:$M,_xlpm.id),COUNTIF('3. PSM'!$M:$M,_xlpm.id),COUNTIF('4. SSP'!$M:$M,_xlpm.id),COUNTIF('5. JSACI'!$M:$M,_xlpm.id),COUNTIF('6. AIN'!$M:$M,_xlpm.id),COUNTIF('7. MS'!$M:$M,_xlpm.id),COUNTIF('8. DS'!$M:$M,_xlpm.id),COUNTIF('9. RMF'!$M:$M,_xlpm.id),COUNTIF('10. PCU'!$M:$M,_xlpm.id))))</f>
        <v>0</v>
      </c>
    </row>
    <row r="1589" spans="1:9">
      <c r="A1589" t="s">
        <v>9574</v>
      </c>
      <c r="B1589" t="s">
        <v>9528</v>
      </c>
      <c r="C1589">
        <v>1831</v>
      </c>
      <c r="D1589">
        <v>1</v>
      </c>
      <c r="E1589" s="23">
        <v>47</v>
      </c>
      <c r="F1589" t="s">
        <v>8102</v>
      </c>
      <c r="G1589" t="s">
        <v>10484</v>
      </c>
      <c r="H1589" t="s">
        <v>8021</v>
      </c>
      <c r="I1589">
        <f>_xlfn.LET(_xlpm.id,TRIM($A1589),IF(_xlpm.id="","",SUM(COUNTIF('1. OP'!$M:$M,_xlpm.id),COUNTIF('2. JSEL'!$M:$M,_xlpm.id),COUNTIF('3. PSM'!$M:$M,_xlpm.id),COUNTIF('4. SSP'!$M:$M,_xlpm.id),COUNTIF('5. JSACI'!$M:$M,_xlpm.id),COUNTIF('6. AIN'!$M:$M,_xlpm.id),COUNTIF('7. MS'!$M:$M,_xlpm.id),COUNTIF('8. DS'!$M:$M,_xlpm.id),COUNTIF('9. RMF'!$M:$M,_xlpm.id),COUNTIF('10. PCU'!$M:$M,_xlpm.id))))</f>
        <v>0</v>
      </c>
    </row>
    <row r="1590" spans="1:9">
      <c r="A1590" t="s">
        <v>9575</v>
      </c>
      <c r="B1590" t="s">
        <v>9528</v>
      </c>
      <c r="C1590">
        <v>1831</v>
      </c>
      <c r="D1590">
        <v>1</v>
      </c>
      <c r="E1590" s="23">
        <v>48</v>
      </c>
      <c r="F1590" t="s">
        <v>8102</v>
      </c>
      <c r="G1590" t="s">
        <v>10484</v>
      </c>
      <c r="H1590" t="s">
        <v>8021</v>
      </c>
      <c r="I1590">
        <f>_xlfn.LET(_xlpm.id,TRIM($A1590),IF(_xlpm.id="","",SUM(COUNTIF('1. OP'!$M:$M,_xlpm.id),COUNTIF('2. JSEL'!$M:$M,_xlpm.id),COUNTIF('3. PSM'!$M:$M,_xlpm.id),COUNTIF('4. SSP'!$M:$M,_xlpm.id),COUNTIF('5. JSACI'!$M:$M,_xlpm.id),COUNTIF('6. AIN'!$M:$M,_xlpm.id),COUNTIF('7. MS'!$M:$M,_xlpm.id),COUNTIF('8. DS'!$M:$M,_xlpm.id),COUNTIF('9. RMF'!$M:$M,_xlpm.id),COUNTIF('10. PCU'!$M:$M,_xlpm.id))))</f>
        <v>0</v>
      </c>
    </row>
    <row r="1591" spans="1:9">
      <c r="A1591" t="s">
        <v>9576</v>
      </c>
      <c r="B1591" t="s">
        <v>9528</v>
      </c>
      <c r="C1591">
        <v>1832</v>
      </c>
      <c r="D1591">
        <v>1</v>
      </c>
      <c r="E1591" s="23">
        <v>49</v>
      </c>
      <c r="F1591" t="s">
        <v>8102</v>
      </c>
      <c r="G1591" t="s">
        <v>10484</v>
      </c>
      <c r="H1591" t="s">
        <v>8021</v>
      </c>
      <c r="I1591">
        <f>_xlfn.LET(_xlpm.id,TRIM($A1591),IF(_xlpm.id="","",SUM(COUNTIF('1. OP'!$M:$M,_xlpm.id),COUNTIF('2. JSEL'!$M:$M,_xlpm.id),COUNTIF('3. PSM'!$M:$M,_xlpm.id),COUNTIF('4. SSP'!$M:$M,_xlpm.id),COUNTIF('5. JSACI'!$M:$M,_xlpm.id),COUNTIF('6. AIN'!$M:$M,_xlpm.id),COUNTIF('7. MS'!$M:$M,_xlpm.id),COUNTIF('8. DS'!$M:$M,_xlpm.id),COUNTIF('9. RMF'!$M:$M,_xlpm.id),COUNTIF('10. PCU'!$M:$M,_xlpm.id))))</f>
        <v>0</v>
      </c>
    </row>
    <row r="1592" spans="1:9">
      <c r="A1592" t="s">
        <v>9577</v>
      </c>
      <c r="B1592" t="s">
        <v>9528</v>
      </c>
      <c r="C1592">
        <v>1832</v>
      </c>
      <c r="D1592">
        <v>1</v>
      </c>
      <c r="E1592" s="23">
        <v>50</v>
      </c>
      <c r="F1592" t="s">
        <v>8102</v>
      </c>
      <c r="G1592" t="s">
        <v>10484</v>
      </c>
      <c r="H1592" t="s">
        <v>8021</v>
      </c>
      <c r="I1592">
        <f>_xlfn.LET(_xlpm.id,TRIM($A1592),IF(_xlpm.id="","",SUM(COUNTIF('1. OP'!$M:$M,_xlpm.id),COUNTIF('2. JSEL'!$M:$M,_xlpm.id),COUNTIF('3. PSM'!$M:$M,_xlpm.id),COUNTIF('4. SSP'!$M:$M,_xlpm.id),COUNTIF('5. JSACI'!$M:$M,_xlpm.id),COUNTIF('6. AIN'!$M:$M,_xlpm.id),COUNTIF('7. MS'!$M:$M,_xlpm.id),COUNTIF('8. DS'!$M:$M,_xlpm.id),COUNTIF('9. RMF'!$M:$M,_xlpm.id),COUNTIF('10. PCU'!$M:$M,_xlpm.id))))</f>
        <v>0</v>
      </c>
    </row>
    <row r="1593" spans="1:9">
      <c r="A1593" t="s">
        <v>9578</v>
      </c>
      <c r="B1593" t="s">
        <v>9528</v>
      </c>
      <c r="C1593">
        <v>1832</v>
      </c>
      <c r="D1593">
        <v>1</v>
      </c>
      <c r="E1593" s="23">
        <v>51</v>
      </c>
      <c r="F1593" t="s">
        <v>8102</v>
      </c>
      <c r="G1593" t="s">
        <v>10484</v>
      </c>
      <c r="H1593" t="s">
        <v>8021</v>
      </c>
      <c r="I1593">
        <f>_xlfn.LET(_xlpm.id,TRIM($A1593),IF(_xlpm.id="","",SUM(COUNTIF('1. OP'!$M:$M,_xlpm.id),COUNTIF('2. JSEL'!$M:$M,_xlpm.id),COUNTIF('3. PSM'!$M:$M,_xlpm.id),COUNTIF('4. SSP'!$M:$M,_xlpm.id),COUNTIF('5. JSACI'!$M:$M,_xlpm.id),COUNTIF('6. AIN'!$M:$M,_xlpm.id),COUNTIF('7. MS'!$M:$M,_xlpm.id),COUNTIF('8. DS'!$M:$M,_xlpm.id),COUNTIF('9. RMF'!$M:$M,_xlpm.id),COUNTIF('10. PCU'!$M:$M,_xlpm.id))))</f>
        <v>0</v>
      </c>
    </row>
    <row r="1594" spans="1:9">
      <c r="A1594" t="s">
        <v>9579</v>
      </c>
      <c r="B1594" t="s">
        <v>9528</v>
      </c>
      <c r="C1594">
        <v>1833</v>
      </c>
      <c r="D1594">
        <v>1</v>
      </c>
      <c r="E1594" s="23">
        <v>52</v>
      </c>
      <c r="F1594" t="s">
        <v>8102</v>
      </c>
      <c r="G1594" t="s">
        <v>10484</v>
      </c>
      <c r="H1594" t="s">
        <v>8021</v>
      </c>
      <c r="I1594">
        <f>_xlfn.LET(_xlpm.id,TRIM($A1594),IF(_xlpm.id="","",SUM(COUNTIF('1. OP'!$M:$M,_xlpm.id),COUNTIF('2. JSEL'!$M:$M,_xlpm.id),COUNTIF('3. PSM'!$M:$M,_xlpm.id),COUNTIF('4. SSP'!$M:$M,_xlpm.id),COUNTIF('5. JSACI'!$M:$M,_xlpm.id),COUNTIF('6. AIN'!$M:$M,_xlpm.id),COUNTIF('7. MS'!$M:$M,_xlpm.id),COUNTIF('8. DS'!$M:$M,_xlpm.id),COUNTIF('9. RMF'!$M:$M,_xlpm.id),COUNTIF('10. PCU'!$M:$M,_xlpm.id))))</f>
        <v>0</v>
      </c>
    </row>
    <row r="1595" spans="1:9">
      <c r="A1595" t="s">
        <v>9580</v>
      </c>
      <c r="B1595" t="s">
        <v>9528</v>
      </c>
      <c r="C1595">
        <v>1833</v>
      </c>
      <c r="D1595">
        <v>1</v>
      </c>
      <c r="E1595" s="23">
        <v>53</v>
      </c>
      <c r="F1595" t="s">
        <v>8102</v>
      </c>
      <c r="G1595" t="s">
        <v>10484</v>
      </c>
      <c r="H1595" t="s">
        <v>8021</v>
      </c>
      <c r="I1595">
        <f>_xlfn.LET(_xlpm.id,TRIM($A1595),IF(_xlpm.id="","",SUM(COUNTIF('1. OP'!$M:$M,_xlpm.id),COUNTIF('2. JSEL'!$M:$M,_xlpm.id),COUNTIF('3. PSM'!$M:$M,_xlpm.id),COUNTIF('4. SSP'!$M:$M,_xlpm.id),COUNTIF('5. JSACI'!$M:$M,_xlpm.id),COUNTIF('6. AIN'!$M:$M,_xlpm.id),COUNTIF('7. MS'!$M:$M,_xlpm.id),COUNTIF('8. DS'!$M:$M,_xlpm.id),COUNTIF('9. RMF'!$M:$M,_xlpm.id),COUNTIF('10. PCU'!$M:$M,_xlpm.id))))</f>
        <v>0</v>
      </c>
    </row>
    <row r="1596" spans="1:9">
      <c r="A1596" t="s">
        <v>7491</v>
      </c>
      <c r="B1596" t="s">
        <v>9528</v>
      </c>
      <c r="C1596">
        <v>1833</v>
      </c>
      <c r="D1596">
        <v>1</v>
      </c>
      <c r="E1596" s="23">
        <v>54</v>
      </c>
      <c r="F1596" t="s">
        <v>8102</v>
      </c>
      <c r="G1596" t="s">
        <v>10484</v>
      </c>
      <c r="H1596" t="s">
        <v>8021</v>
      </c>
      <c r="I1596">
        <f>_xlfn.LET(_xlpm.id,TRIM($A1596),IF(_xlpm.id="","",SUM(COUNTIF('1. OP'!$M:$M,_xlpm.id),COUNTIF('2. JSEL'!$M:$M,_xlpm.id),COUNTIF('3. PSM'!$M:$M,_xlpm.id),COUNTIF('4. SSP'!$M:$M,_xlpm.id),COUNTIF('5. JSACI'!$M:$M,_xlpm.id),COUNTIF('6. AIN'!$M:$M,_xlpm.id),COUNTIF('7. MS'!$M:$M,_xlpm.id),COUNTIF('8. DS'!$M:$M,_xlpm.id),COUNTIF('9. RMF'!$M:$M,_xlpm.id),COUNTIF('10. PCU'!$M:$M,_xlpm.id))))</f>
        <v>1</v>
      </c>
    </row>
    <row r="1597" spans="1:9">
      <c r="A1597" t="s">
        <v>9581</v>
      </c>
      <c r="B1597" t="s">
        <v>9528</v>
      </c>
      <c r="C1597">
        <v>1833</v>
      </c>
      <c r="D1597">
        <v>1</v>
      </c>
      <c r="E1597" s="23">
        <v>55</v>
      </c>
      <c r="F1597" t="s">
        <v>8102</v>
      </c>
      <c r="G1597" t="s">
        <v>10484</v>
      </c>
      <c r="H1597" t="s">
        <v>8021</v>
      </c>
      <c r="I1597">
        <f>_xlfn.LET(_xlpm.id,TRIM($A1597),IF(_xlpm.id="","",SUM(COUNTIF('1. OP'!$M:$M,_xlpm.id),COUNTIF('2. JSEL'!$M:$M,_xlpm.id),COUNTIF('3. PSM'!$M:$M,_xlpm.id),COUNTIF('4. SSP'!$M:$M,_xlpm.id),COUNTIF('5. JSACI'!$M:$M,_xlpm.id),COUNTIF('6. AIN'!$M:$M,_xlpm.id),COUNTIF('7. MS'!$M:$M,_xlpm.id),COUNTIF('8. DS'!$M:$M,_xlpm.id),COUNTIF('9. RMF'!$M:$M,_xlpm.id),COUNTIF('10. PCU'!$M:$M,_xlpm.id))))</f>
        <v>0</v>
      </c>
    </row>
    <row r="1598" spans="1:9">
      <c r="A1598" t="s">
        <v>9582</v>
      </c>
      <c r="B1598" t="s">
        <v>9528</v>
      </c>
      <c r="C1598">
        <v>1834</v>
      </c>
      <c r="D1598">
        <v>1</v>
      </c>
      <c r="E1598" s="23">
        <v>56</v>
      </c>
      <c r="F1598" t="s">
        <v>8102</v>
      </c>
      <c r="G1598" t="s">
        <v>10484</v>
      </c>
      <c r="H1598" t="s">
        <v>8021</v>
      </c>
      <c r="I1598">
        <f>_xlfn.LET(_xlpm.id,TRIM($A1598),IF(_xlpm.id="","",SUM(COUNTIF('1. OP'!$M:$M,_xlpm.id),COUNTIF('2. JSEL'!$M:$M,_xlpm.id),COUNTIF('3. PSM'!$M:$M,_xlpm.id),COUNTIF('4. SSP'!$M:$M,_xlpm.id),COUNTIF('5. JSACI'!$M:$M,_xlpm.id),COUNTIF('6. AIN'!$M:$M,_xlpm.id),COUNTIF('7. MS'!$M:$M,_xlpm.id),COUNTIF('8. DS'!$M:$M,_xlpm.id),COUNTIF('9. RMF'!$M:$M,_xlpm.id),COUNTIF('10. PCU'!$M:$M,_xlpm.id))))</f>
        <v>0</v>
      </c>
    </row>
    <row r="1599" spans="1:9">
      <c r="A1599" t="s">
        <v>9583</v>
      </c>
      <c r="B1599" t="s">
        <v>9528</v>
      </c>
      <c r="C1599">
        <v>1834</v>
      </c>
      <c r="D1599">
        <v>1</v>
      </c>
      <c r="E1599" s="23">
        <v>57</v>
      </c>
      <c r="F1599" t="s">
        <v>8102</v>
      </c>
      <c r="G1599" t="s">
        <v>10484</v>
      </c>
      <c r="H1599" t="s">
        <v>8021</v>
      </c>
      <c r="I1599">
        <f>_xlfn.LET(_xlpm.id,TRIM($A1599),IF(_xlpm.id="","",SUM(COUNTIF('1. OP'!$M:$M,_xlpm.id),COUNTIF('2. JSEL'!$M:$M,_xlpm.id),COUNTIF('3. PSM'!$M:$M,_xlpm.id),COUNTIF('4. SSP'!$M:$M,_xlpm.id),COUNTIF('5. JSACI'!$M:$M,_xlpm.id),COUNTIF('6. AIN'!$M:$M,_xlpm.id),COUNTIF('7. MS'!$M:$M,_xlpm.id),COUNTIF('8. DS'!$M:$M,_xlpm.id),COUNTIF('9. RMF'!$M:$M,_xlpm.id),COUNTIF('10. PCU'!$M:$M,_xlpm.id))))</f>
        <v>0</v>
      </c>
    </row>
    <row r="1600" spans="1:9">
      <c r="A1600" t="s">
        <v>9584</v>
      </c>
      <c r="B1600" t="s">
        <v>9528</v>
      </c>
      <c r="C1600">
        <v>1835</v>
      </c>
      <c r="D1600">
        <v>1</v>
      </c>
      <c r="E1600" s="23">
        <v>58</v>
      </c>
      <c r="F1600" t="s">
        <v>8102</v>
      </c>
      <c r="G1600" t="s">
        <v>10484</v>
      </c>
      <c r="H1600" t="s">
        <v>8021</v>
      </c>
      <c r="I1600">
        <f>_xlfn.LET(_xlpm.id,TRIM($A1600),IF(_xlpm.id="","",SUM(COUNTIF('1. OP'!$M:$M,_xlpm.id),COUNTIF('2. JSEL'!$M:$M,_xlpm.id),COUNTIF('3. PSM'!$M:$M,_xlpm.id),COUNTIF('4. SSP'!$M:$M,_xlpm.id),COUNTIF('5. JSACI'!$M:$M,_xlpm.id),COUNTIF('6. AIN'!$M:$M,_xlpm.id),COUNTIF('7. MS'!$M:$M,_xlpm.id),COUNTIF('8. DS'!$M:$M,_xlpm.id),COUNTIF('9. RMF'!$M:$M,_xlpm.id),COUNTIF('10. PCU'!$M:$M,_xlpm.id))))</f>
        <v>0</v>
      </c>
    </row>
    <row r="1601" spans="1:9">
      <c r="A1601" t="s">
        <v>9585</v>
      </c>
      <c r="B1601" t="s">
        <v>9528</v>
      </c>
      <c r="C1601">
        <v>1835</v>
      </c>
      <c r="D1601">
        <v>1</v>
      </c>
      <c r="E1601" s="23">
        <v>59</v>
      </c>
      <c r="F1601" t="s">
        <v>8102</v>
      </c>
      <c r="G1601" t="s">
        <v>10484</v>
      </c>
      <c r="H1601" t="s">
        <v>8021</v>
      </c>
      <c r="I1601">
        <f>_xlfn.LET(_xlpm.id,TRIM($A1601),IF(_xlpm.id="","",SUM(COUNTIF('1. OP'!$M:$M,_xlpm.id),COUNTIF('2. JSEL'!$M:$M,_xlpm.id),COUNTIF('3. PSM'!$M:$M,_xlpm.id),COUNTIF('4. SSP'!$M:$M,_xlpm.id),COUNTIF('5. JSACI'!$M:$M,_xlpm.id),COUNTIF('6. AIN'!$M:$M,_xlpm.id),COUNTIF('7. MS'!$M:$M,_xlpm.id),COUNTIF('8. DS'!$M:$M,_xlpm.id),COUNTIF('9. RMF'!$M:$M,_xlpm.id),COUNTIF('10. PCU'!$M:$M,_xlpm.id))))</f>
        <v>0</v>
      </c>
    </row>
    <row r="1602" spans="1:9">
      <c r="A1602" t="s">
        <v>9586</v>
      </c>
      <c r="B1602" t="s">
        <v>9528</v>
      </c>
      <c r="C1602">
        <v>1835</v>
      </c>
      <c r="D1602">
        <v>1</v>
      </c>
      <c r="E1602" s="23">
        <v>60</v>
      </c>
      <c r="F1602" t="s">
        <v>8102</v>
      </c>
      <c r="G1602" t="s">
        <v>10484</v>
      </c>
      <c r="H1602" t="s">
        <v>8021</v>
      </c>
      <c r="I1602">
        <f>_xlfn.LET(_xlpm.id,TRIM($A1602),IF(_xlpm.id="","",SUM(COUNTIF('1. OP'!$M:$M,_xlpm.id),COUNTIF('2. JSEL'!$M:$M,_xlpm.id),COUNTIF('3. PSM'!$M:$M,_xlpm.id),COUNTIF('4. SSP'!$M:$M,_xlpm.id),COUNTIF('5. JSACI'!$M:$M,_xlpm.id),COUNTIF('6. AIN'!$M:$M,_xlpm.id),COUNTIF('7. MS'!$M:$M,_xlpm.id),COUNTIF('8. DS'!$M:$M,_xlpm.id),COUNTIF('9. RMF'!$M:$M,_xlpm.id),COUNTIF('10. PCU'!$M:$M,_xlpm.id))))</f>
        <v>0</v>
      </c>
    </row>
    <row r="1603" spans="1:9">
      <c r="A1603" t="s">
        <v>9587</v>
      </c>
      <c r="B1603" t="s">
        <v>9528</v>
      </c>
      <c r="C1603">
        <v>1836</v>
      </c>
      <c r="D1603">
        <v>1</v>
      </c>
      <c r="E1603" s="23">
        <v>61</v>
      </c>
      <c r="F1603" t="s">
        <v>8102</v>
      </c>
      <c r="G1603" t="s">
        <v>10484</v>
      </c>
      <c r="H1603" t="s">
        <v>8021</v>
      </c>
      <c r="I1603">
        <f>_xlfn.LET(_xlpm.id,TRIM($A1603),IF(_xlpm.id="","",SUM(COUNTIF('1. OP'!$M:$M,_xlpm.id),COUNTIF('2. JSEL'!$M:$M,_xlpm.id),COUNTIF('3. PSM'!$M:$M,_xlpm.id),COUNTIF('4. SSP'!$M:$M,_xlpm.id),COUNTIF('5. JSACI'!$M:$M,_xlpm.id),COUNTIF('6. AIN'!$M:$M,_xlpm.id),COUNTIF('7. MS'!$M:$M,_xlpm.id),COUNTIF('8. DS'!$M:$M,_xlpm.id),COUNTIF('9. RMF'!$M:$M,_xlpm.id),COUNTIF('10. PCU'!$M:$M,_xlpm.id))))</f>
        <v>0</v>
      </c>
    </row>
    <row r="1604" spans="1:9">
      <c r="A1604" t="s">
        <v>9588</v>
      </c>
      <c r="B1604" t="s">
        <v>9528</v>
      </c>
      <c r="C1604">
        <v>1836</v>
      </c>
      <c r="D1604">
        <v>1</v>
      </c>
      <c r="E1604" s="23">
        <v>62</v>
      </c>
      <c r="F1604" t="s">
        <v>8102</v>
      </c>
      <c r="G1604" t="s">
        <v>10484</v>
      </c>
      <c r="H1604" t="s">
        <v>8021</v>
      </c>
      <c r="I1604">
        <f>_xlfn.LET(_xlpm.id,TRIM($A1604),IF(_xlpm.id="","",SUM(COUNTIF('1. OP'!$M:$M,_xlpm.id),COUNTIF('2. JSEL'!$M:$M,_xlpm.id),COUNTIF('3. PSM'!$M:$M,_xlpm.id),COUNTIF('4. SSP'!$M:$M,_xlpm.id),COUNTIF('5. JSACI'!$M:$M,_xlpm.id),COUNTIF('6. AIN'!$M:$M,_xlpm.id),COUNTIF('7. MS'!$M:$M,_xlpm.id),COUNTIF('8. DS'!$M:$M,_xlpm.id),COUNTIF('9. RMF'!$M:$M,_xlpm.id),COUNTIF('10. PCU'!$M:$M,_xlpm.id))))</f>
        <v>0</v>
      </c>
    </row>
    <row r="1605" spans="1:9">
      <c r="A1605" t="s">
        <v>9589</v>
      </c>
      <c r="B1605" t="s">
        <v>9528</v>
      </c>
      <c r="C1605">
        <v>1836</v>
      </c>
      <c r="D1605">
        <v>1</v>
      </c>
      <c r="E1605" s="23">
        <v>63</v>
      </c>
      <c r="F1605" t="s">
        <v>8102</v>
      </c>
      <c r="G1605" t="s">
        <v>10484</v>
      </c>
      <c r="H1605" t="s">
        <v>8021</v>
      </c>
      <c r="I1605">
        <f>_xlfn.LET(_xlpm.id,TRIM($A1605),IF(_xlpm.id="","",SUM(COUNTIF('1. OP'!$M:$M,_xlpm.id),COUNTIF('2. JSEL'!$M:$M,_xlpm.id),COUNTIF('3. PSM'!$M:$M,_xlpm.id),COUNTIF('4. SSP'!$M:$M,_xlpm.id),COUNTIF('5. JSACI'!$M:$M,_xlpm.id),COUNTIF('6. AIN'!$M:$M,_xlpm.id),COUNTIF('7. MS'!$M:$M,_xlpm.id),COUNTIF('8. DS'!$M:$M,_xlpm.id),COUNTIF('9. RMF'!$M:$M,_xlpm.id),COUNTIF('10. PCU'!$M:$M,_xlpm.id))))</f>
        <v>0</v>
      </c>
    </row>
    <row r="1606" spans="1:9">
      <c r="A1606" t="s">
        <v>9590</v>
      </c>
      <c r="B1606" t="s">
        <v>9528</v>
      </c>
      <c r="C1606">
        <v>1837</v>
      </c>
      <c r="D1606">
        <v>1</v>
      </c>
      <c r="E1606" s="23">
        <v>64</v>
      </c>
      <c r="F1606" t="s">
        <v>8102</v>
      </c>
      <c r="G1606" t="s">
        <v>10484</v>
      </c>
      <c r="H1606" t="s">
        <v>8021</v>
      </c>
      <c r="I1606">
        <f>_xlfn.LET(_xlpm.id,TRIM($A1606),IF(_xlpm.id="","",SUM(COUNTIF('1. OP'!$M:$M,_xlpm.id),COUNTIF('2. JSEL'!$M:$M,_xlpm.id),COUNTIF('3. PSM'!$M:$M,_xlpm.id),COUNTIF('4. SSP'!$M:$M,_xlpm.id),COUNTIF('5. JSACI'!$M:$M,_xlpm.id),COUNTIF('6. AIN'!$M:$M,_xlpm.id),COUNTIF('7. MS'!$M:$M,_xlpm.id),COUNTIF('8. DS'!$M:$M,_xlpm.id),COUNTIF('9. RMF'!$M:$M,_xlpm.id),COUNTIF('10. PCU'!$M:$M,_xlpm.id))))</f>
        <v>0</v>
      </c>
    </row>
    <row r="1607" spans="1:9">
      <c r="A1607" t="s">
        <v>9591</v>
      </c>
      <c r="B1607" t="s">
        <v>9528</v>
      </c>
      <c r="C1607">
        <v>1837</v>
      </c>
      <c r="D1607">
        <v>1</v>
      </c>
      <c r="E1607" s="23">
        <v>65</v>
      </c>
      <c r="F1607" t="s">
        <v>8102</v>
      </c>
      <c r="G1607" t="s">
        <v>10484</v>
      </c>
      <c r="H1607" t="s">
        <v>8021</v>
      </c>
      <c r="I1607">
        <f>_xlfn.LET(_xlpm.id,TRIM($A1607),IF(_xlpm.id="","",SUM(COUNTIF('1. OP'!$M:$M,_xlpm.id),COUNTIF('2. JSEL'!$M:$M,_xlpm.id),COUNTIF('3. PSM'!$M:$M,_xlpm.id),COUNTIF('4. SSP'!$M:$M,_xlpm.id),COUNTIF('5. JSACI'!$M:$M,_xlpm.id),COUNTIF('6. AIN'!$M:$M,_xlpm.id),COUNTIF('7. MS'!$M:$M,_xlpm.id),COUNTIF('8. DS'!$M:$M,_xlpm.id),COUNTIF('9. RMF'!$M:$M,_xlpm.id),COUNTIF('10. PCU'!$M:$M,_xlpm.id))))</f>
        <v>0</v>
      </c>
    </row>
    <row r="1608" spans="1:9">
      <c r="A1608" t="s">
        <v>9592</v>
      </c>
      <c r="B1608" t="s">
        <v>9528</v>
      </c>
      <c r="C1608">
        <v>1837</v>
      </c>
      <c r="D1608">
        <v>1</v>
      </c>
      <c r="E1608" s="23">
        <v>66</v>
      </c>
      <c r="F1608" t="s">
        <v>8102</v>
      </c>
      <c r="G1608" t="s">
        <v>10484</v>
      </c>
      <c r="H1608" t="s">
        <v>8021</v>
      </c>
      <c r="I1608">
        <f>_xlfn.LET(_xlpm.id,TRIM($A1608),IF(_xlpm.id="","",SUM(COUNTIF('1. OP'!$M:$M,_xlpm.id),COUNTIF('2. JSEL'!$M:$M,_xlpm.id),COUNTIF('3. PSM'!$M:$M,_xlpm.id),COUNTIF('4. SSP'!$M:$M,_xlpm.id),COUNTIF('5. JSACI'!$M:$M,_xlpm.id),COUNTIF('6. AIN'!$M:$M,_xlpm.id),COUNTIF('7. MS'!$M:$M,_xlpm.id),COUNTIF('8. DS'!$M:$M,_xlpm.id),COUNTIF('9. RMF'!$M:$M,_xlpm.id),COUNTIF('10. PCU'!$M:$M,_xlpm.id))))</f>
        <v>0</v>
      </c>
    </row>
    <row r="1609" spans="1:9">
      <c r="A1609" t="s">
        <v>9593</v>
      </c>
      <c r="B1609" t="s">
        <v>9528</v>
      </c>
      <c r="C1609">
        <v>1838</v>
      </c>
      <c r="D1609">
        <v>1</v>
      </c>
      <c r="E1609" s="23">
        <v>67</v>
      </c>
      <c r="F1609" t="s">
        <v>8102</v>
      </c>
      <c r="G1609" t="s">
        <v>10484</v>
      </c>
      <c r="H1609" t="s">
        <v>8021</v>
      </c>
      <c r="I1609">
        <f>_xlfn.LET(_xlpm.id,TRIM($A1609),IF(_xlpm.id="","",SUM(COUNTIF('1. OP'!$M:$M,_xlpm.id),COUNTIF('2. JSEL'!$M:$M,_xlpm.id),COUNTIF('3. PSM'!$M:$M,_xlpm.id),COUNTIF('4. SSP'!$M:$M,_xlpm.id),COUNTIF('5. JSACI'!$M:$M,_xlpm.id),COUNTIF('6. AIN'!$M:$M,_xlpm.id),COUNTIF('7. MS'!$M:$M,_xlpm.id),COUNTIF('8. DS'!$M:$M,_xlpm.id),COUNTIF('9. RMF'!$M:$M,_xlpm.id),COUNTIF('10. PCU'!$M:$M,_xlpm.id))))</f>
        <v>0</v>
      </c>
    </row>
    <row r="1610" spans="1:9">
      <c r="A1610" t="s">
        <v>9594</v>
      </c>
      <c r="B1610" t="s">
        <v>9528</v>
      </c>
      <c r="C1610">
        <v>1838</v>
      </c>
      <c r="D1610">
        <v>1</v>
      </c>
      <c r="E1610" s="23">
        <v>68</v>
      </c>
      <c r="F1610" t="s">
        <v>8102</v>
      </c>
      <c r="G1610" t="s">
        <v>10484</v>
      </c>
      <c r="H1610" t="s">
        <v>8021</v>
      </c>
      <c r="I1610">
        <f>_xlfn.LET(_xlpm.id,TRIM($A1610),IF(_xlpm.id="","",SUM(COUNTIF('1. OP'!$M:$M,_xlpm.id),COUNTIF('2. JSEL'!$M:$M,_xlpm.id),COUNTIF('3. PSM'!$M:$M,_xlpm.id),COUNTIF('4. SSP'!$M:$M,_xlpm.id),COUNTIF('5. JSACI'!$M:$M,_xlpm.id),COUNTIF('6. AIN'!$M:$M,_xlpm.id),COUNTIF('7. MS'!$M:$M,_xlpm.id),COUNTIF('8. DS'!$M:$M,_xlpm.id),COUNTIF('9. RMF'!$M:$M,_xlpm.id),COUNTIF('10. PCU'!$M:$M,_xlpm.id))))</f>
        <v>0</v>
      </c>
    </row>
    <row r="1611" spans="1:9">
      <c r="A1611" t="s">
        <v>9595</v>
      </c>
      <c r="B1611" t="s">
        <v>9528</v>
      </c>
      <c r="C1611">
        <v>1838</v>
      </c>
      <c r="D1611">
        <v>1</v>
      </c>
      <c r="E1611" s="23">
        <v>69</v>
      </c>
      <c r="F1611" t="s">
        <v>8102</v>
      </c>
      <c r="G1611" t="s">
        <v>10484</v>
      </c>
      <c r="H1611" t="s">
        <v>8021</v>
      </c>
      <c r="I1611">
        <f>_xlfn.LET(_xlpm.id,TRIM($A1611),IF(_xlpm.id="","",SUM(COUNTIF('1. OP'!$M:$M,_xlpm.id),COUNTIF('2. JSEL'!$M:$M,_xlpm.id),COUNTIF('3. PSM'!$M:$M,_xlpm.id),COUNTIF('4. SSP'!$M:$M,_xlpm.id),COUNTIF('5. JSACI'!$M:$M,_xlpm.id),COUNTIF('6. AIN'!$M:$M,_xlpm.id),COUNTIF('7. MS'!$M:$M,_xlpm.id),COUNTIF('8. DS'!$M:$M,_xlpm.id),COUNTIF('9. RMF'!$M:$M,_xlpm.id),COUNTIF('10. PCU'!$M:$M,_xlpm.id))))</f>
        <v>0</v>
      </c>
    </row>
    <row r="1612" spans="1:9">
      <c r="A1612" t="s">
        <v>9596</v>
      </c>
      <c r="B1612" t="s">
        <v>9528</v>
      </c>
      <c r="C1612">
        <v>1839</v>
      </c>
      <c r="D1612">
        <v>1</v>
      </c>
      <c r="E1612" s="23">
        <v>70</v>
      </c>
      <c r="F1612" t="s">
        <v>8102</v>
      </c>
      <c r="G1612" t="s">
        <v>10484</v>
      </c>
      <c r="H1612" t="s">
        <v>8021</v>
      </c>
      <c r="I1612">
        <f>_xlfn.LET(_xlpm.id,TRIM($A1612),IF(_xlpm.id="","",SUM(COUNTIF('1. OP'!$M:$M,_xlpm.id),COUNTIF('2. JSEL'!$M:$M,_xlpm.id),COUNTIF('3. PSM'!$M:$M,_xlpm.id),COUNTIF('4. SSP'!$M:$M,_xlpm.id),COUNTIF('5. JSACI'!$M:$M,_xlpm.id),COUNTIF('6. AIN'!$M:$M,_xlpm.id),COUNTIF('7. MS'!$M:$M,_xlpm.id),COUNTIF('8. DS'!$M:$M,_xlpm.id),COUNTIF('9. RMF'!$M:$M,_xlpm.id),COUNTIF('10. PCU'!$M:$M,_xlpm.id))))</f>
        <v>0</v>
      </c>
    </row>
    <row r="1613" spans="1:9">
      <c r="A1613" t="s">
        <v>9597</v>
      </c>
      <c r="B1613" t="s">
        <v>9528</v>
      </c>
      <c r="C1613">
        <v>1839</v>
      </c>
      <c r="D1613">
        <v>1</v>
      </c>
      <c r="E1613" s="23">
        <v>71</v>
      </c>
      <c r="F1613" t="s">
        <v>8102</v>
      </c>
      <c r="G1613" t="s">
        <v>10484</v>
      </c>
      <c r="H1613" t="s">
        <v>8021</v>
      </c>
      <c r="I1613">
        <f>_xlfn.LET(_xlpm.id,TRIM($A1613),IF(_xlpm.id="","",SUM(COUNTIF('1. OP'!$M:$M,_xlpm.id),COUNTIF('2. JSEL'!$M:$M,_xlpm.id),COUNTIF('3. PSM'!$M:$M,_xlpm.id),COUNTIF('4. SSP'!$M:$M,_xlpm.id),COUNTIF('5. JSACI'!$M:$M,_xlpm.id),COUNTIF('6. AIN'!$M:$M,_xlpm.id),COUNTIF('7. MS'!$M:$M,_xlpm.id),COUNTIF('8. DS'!$M:$M,_xlpm.id),COUNTIF('9. RMF'!$M:$M,_xlpm.id),COUNTIF('10. PCU'!$M:$M,_xlpm.id))))</f>
        <v>0</v>
      </c>
    </row>
    <row r="1614" spans="1:9">
      <c r="A1614" t="s">
        <v>9598</v>
      </c>
      <c r="B1614" t="s">
        <v>9528</v>
      </c>
      <c r="C1614">
        <v>1839</v>
      </c>
      <c r="D1614">
        <v>1</v>
      </c>
      <c r="E1614" s="23">
        <v>72</v>
      </c>
      <c r="F1614" t="s">
        <v>8102</v>
      </c>
      <c r="G1614" t="s">
        <v>10484</v>
      </c>
      <c r="H1614" t="s">
        <v>8021</v>
      </c>
      <c r="I1614">
        <f>_xlfn.LET(_xlpm.id,TRIM($A1614),IF(_xlpm.id="","",SUM(COUNTIF('1. OP'!$M:$M,_xlpm.id),COUNTIF('2. JSEL'!$M:$M,_xlpm.id),COUNTIF('3. PSM'!$M:$M,_xlpm.id),COUNTIF('4. SSP'!$M:$M,_xlpm.id),COUNTIF('5. JSACI'!$M:$M,_xlpm.id),COUNTIF('6. AIN'!$M:$M,_xlpm.id),COUNTIF('7. MS'!$M:$M,_xlpm.id),COUNTIF('8. DS'!$M:$M,_xlpm.id),COUNTIF('9. RMF'!$M:$M,_xlpm.id),COUNTIF('10. PCU'!$M:$M,_xlpm.id))))</f>
        <v>0</v>
      </c>
    </row>
    <row r="1615" spans="1:9">
      <c r="A1615" t="s">
        <v>9599</v>
      </c>
      <c r="B1615" t="s">
        <v>9528</v>
      </c>
      <c r="C1615">
        <v>1840</v>
      </c>
      <c r="D1615">
        <v>1</v>
      </c>
      <c r="E1615" s="23">
        <v>73</v>
      </c>
      <c r="F1615" t="s">
        <v>8102</v>
      </c>
      <c r="G1615" t="s">
        <v>10484</v>
      </c>
      <c r="H1615" t="s">
        <v>8021</v>
      </c>
      <c r="I1615">
        <f>_xlfn.LET(_xlpm.id,TRIM($A1615),IF(_xlpm.id="","",SUM(COUNTIF('1. OP'!$M:$M,_xlpm.id),COUNTIF('2. JSEL'!$M:$M,_xlpm.id),COUNTIF('3. PSM'!$M:$M,_xlpm.id),COUNTIF('4. SSP'!$M:$M,_xlpm.id),COUNTIF('5. JSACI'!$M:$M,_xlpm.id),COUNTIF('6. AIN'!$M:$M,_xlpm.id),COUNTIF('7. MS'!$M:$M,_xlpm.id),COUNTIF('8. DS'!$M:$M,_xlpm.id),COUNTIF('9. RMF'!$M:$M,_xlpm.id),COUNTIF('10. PCU'!$M:$M,_xlpm.id))))</f>
        <v>0</v>
      </c>
    </row>
    <row r="1616" spans="1:9">
      <c r="A1616" t="s">
        <v>9600</v>
      </c>
      <c r="B1616" t="s">
        <v>9528</v>
      </c>
      <c r="C1616">
        <v>1840</v>
      </c>
      <c r="D1616">
        <v>1</v>
      </c>
      <c r="E1616" s="23">
        <v>74</v>
      </c>
      <c r="F1616" t="s">
        <v>8102</v>
      </c>
      <c r="G1616" t="s">
        <v>10484</v>
      </c>
      <c r="H1616" t="s">
        <v>8021</v>
      </c>
      <c r="I1616">
        <f>_xlfn.LET(_xlpm.id,TRIM($A1616),IF(_xlpm.id="","",SUM(COUNTIF('1. OP'!$M:$M,_xlpm.id),COUNTIF('2. JSEL'!$M:$M,_xlpm.id),COUNTIF('3. PSM'!$M:$M,_xlpm.id),COUNTIF('4. SSP'!$M:$M,_xlpm.id),COUNTIF('5. JSACI'!$M:$M,_xlpm.id),COUNTIF('6. AIN'!$M:$M,_xlpm.id),COUNTIF('7. MS'!$M:$M,_xlpm.id),COUNTIF('8. DS'!$M:$M,_xlpm.id),COUNTIF('9. RMF'!$M:$M,_xlpm.id),COUNTIF('10. PCU'!$M:$M,_xlpm.id))))</f>
        <v>0</v>
      </c>
    </row>
    <row r="1617" spans="1:9">
      <c r="A1617" t="s">
        <v>9601</v>
      </c>
      <c r="B1617" t="s">
        <v>9528</v>
      </c>
      <c r="C1617">
        <v>1840</v>
      </c>
      <c r="D1617">
        <v>1</v>
      </c>
      <c r="E1617" s="23">
        <v>75</v>
      </c>
      <c r="F1617" t="s">
        <v>8102</v>
      </c>
      <c r="G1617" t="s">
        <v>10484</v>
      </c>
      <c r="H1617" t="s">
        <v>8021</v>
      </c>
      <c r="I1617">
        <f>_xlfn.LET(_xlpm.id,TRIM($A1617),IF(_xlpm.id="","",SUM(COUNTIF('1. OP'!$M:$M,_xlpm.id),COUNTIF('2. JSEL'!$M:$M,_xlpm.id),COUNTIF('3. PSM'!$M:$M,_xlpm.id),COUNTIF('4. SSP'!$M:$M,_xlpm.id),COUNTIF('5. JSACI'!$M:$M,_xlpm.id),COUNTIF('6. AIN'!$M:$M,_xlpm.id),COUNTIF('7. MS'!$M:$M,_xlpm.id),COUNTIF('8. DS'!$M:$M,_xlpm.id),COUNTIF('9. RMF'!$M:$M,_xlpm.id),COUNTIF('10. PCU'!$M:$M,_xlpm.id))))</f>
        <v>0</v>
      </c>
    </row>
    <row r="1618" spans="1:9">
      <c r="A1618" t="s">
        <v>9602</v>
      </c>
      <c r="B1618" t="s">
        <v>9603</v>
      </c>
      <c r="C1618">
        <v>1802</v>
      </c>
      <c r="D1618">
        <v>1</v>
      </c>
      <c r="E1618" s="23">
        <v>1</v>
      </c>
      <c r="F1618" t="s">
        <v>8102</v>
      </c>
      <c r="G1618" t="s">
        <v>10484</v>
      </c>
      <c r="H1618" t="s">
        <v>8021</v>
      </c>
      <c r="I1618">
        <f>_xlfn.LET(_xlpm.id,TRIM($A1618),IF(_xlpm.id="","",SUM(COUNTIF('1. OP'!$M:$M,_xlpm.id),COUNTIF('2. JSEL'!$M:$M,_xlpm.id),COUNTIF('3. PSM'!$M:$M,_xlpm.id),COUNTIF('4. SSP'!$M:$M,_xlpm.id),COUNTIF('5. JSACI'!$M:$M,_xlpm.id),COUNTIF('6. AIN'!$M:$M,_xlpm.id),COUNTIF('7. MS'!$M:$M,_xlpm.id),COUNTIF('8. DS'!$M:$M,_xlpm.id),COUNTIF('9. RMF'!$M:$M,_xlpm.id),COUNTIF('10. PCU'!$M:$M,_xlpm.id))))</f>
        <v>0</v>
      </c>
    </row>
    <row r="1619" spans="1:9">
      <c r="A1619" t="s">
        <v>9604</v>
      </c>
      <c r="B1619" t="s">
        <v>9603</v>
      </c>
      <c r="C1619">
        <v>1803</v>
      </c>
      <c r="D1619">
        <v>1</v>
      </c>
      <c r="E1619" s="23">
        <v>2</v>
      </c>
      <c r="F1619" t="s">
        <v>8102</v>
      </c>
      <c r="G1619" t="s">
        <v>10484</v>
      </c>
      <c r="H1619" t="s">
        <v>8021</v>
      </c>
      <c r="I1619">
        <f>_xlfn.LET(_xlpm.id,TRIM($A1619),IF(_xlpm.id="","",SUM(COUNTIF('1. OP'!$M:$M,_xlpm.id),COUNTIF('2. JSEL'!$M:$M,_xlpm.id),COUNTIF('3. PSM'!$M:$M,_xlpm.id),COUNTIF('4. SSP'!$M:$M,_xlpm.id),COUNTIF('5. JSACI'!$M:$M,_xlpm.id),COUNTIF('6. AIN'!$M:$M,_xlpm.id),COUNTIF('7. MS'!$M:$M,_xlpm.id),COUNTIF('8. DS'!$M:$M,_xlpm.id),COUNTIF('9. RMF'!$M:$M,_xlpm.id),COUNTIF('10. PCU'!$M:$M,_xlpm.id))))</f>
        <v>0</v>
      </c>
    </row>
    <row r="1620" spans="1:9">
      <c r="A1620" t="s">
        <v>9605</v>
      </c>
      <c r="B1620" t="s">
        <v>9603</v>
      </c>
      <c r="C1620">
        <v>1804</v>
      </c>
      <c r="D1620">
        <v>1</v>
      </c>
      <c r="E1620" s="23">
        <v>3</v>
      </c>
      <c r="F1620" t="s">
        <v>8102</v>
      </c>
      <c r="G1620" t="s">
        <v>10484</v>
      </c>
      <c r="H1620" t="s">
        <v>8021</v>
      </c>
      <c r="I1620">
        <f>_xlfn.LET(_xlpm.id,TRIM($A1620),IF(_xlpm.id="","",SUM(COUNTIF('1. OP'!$M:$M,_xlpm.id),COUNTIF('2. JSEL'!$M:$M,_xlpm.id),COUNTIF('3. PSM'!$M:$M,_xlpm.id),COUNTIF('4. SSP'!$M:$M,_xlpm.id),COUNTIF('5. JSACI'!$M:$M,_xlpm.id),COUNTIF('6. AIN'!$M:$M,_xlpm.id),COUNTIF('7. MS'!$M:$M,_xlpm.id),COUNTIF('8. DS'!$M:$M,_xlpm.id),COUNTIF('9. RMF'!$M:$M,_xlpm.id),COUNTIF('10. PCU'!$M:$M,_xlpm.id))))</f>
        <v>0</v>
      </c>
    </row>
    <row r="1621" spans="1:9">
      <c r="A1621" t="s">
        <v>9606</v>
      </c>
      <c r="B1621" t="s">
        <v>9603</v>
      </c>
      <c r="C1621">
        <v>1805</v>
      </c>
      <c r="D1621">
        <v>1</v>
      </c>
      <c r="E1621" s="23">
        <v>4</v>
      </c>
      <c r="F1621" t="s">
        <v>8102</v>
      </c>
      <c r="G1621" t="s">
        <v>10484</v>
      </c>
      <c r="H1621" t="s">
        <v>8021</v>
      </c>
      <c r="I1621">
        <f>_xlfn.LET(_xlpm.id,TRIM($A1621),IF(_xlpm.id="","",SUM(COUNTIF('1. OP'!$M:$M,_xlpm.id),COUNTIF('2. JSEL'!$M:$M,_xlpm.id),COUNTIF('3. PSM'!$M:$M,_xlpm.id),COUNTIF('4. SSP'!$M:$M,_xlpm.id),COUNTIF('5. JSACI'!$M:$M,_xlpm.id),COUNTIF('6. AIN'!$M:$M,_xlpm.id),COUNTIF('7. MS'!$M:$M,_xlpm.id),COUNTIF('8. DS'!$M:$M,_xlpm.id),COUNTIF('9. RMF'!$M:$M,_xlpm.id),COUNTIF('10. PCU'!$M:$M,_xlpm.id))))</f>
        <v>0</v>
      </c>
    </row>
    <row r="1622" spans="1:9">
      <c r="A1622" t="s">
        <v>9607</v>
      </c>
      <c r="B1622" t="s">
        <v>9603</v>
      </c>
      <c r="C1622">
        <v>1806</v>
      </c>
      <c r="D1622">
        <v>1</v>
      </c>
      <c r="E1622" s="23">
        <v>5</v>
      </c>
      <c r="F1622" t="s">
        <v>8102</v>
      </c>
      <c r="G1622" t="s">
        <v>10484</v>
      </c>
      <c r="H1622" t="s">
        <v>8021</v>
      </c>
      <c r="I1622">
        <f>_xlfn.LET(_xlpm.id,TRIM($A1622),IF(_xlpm.id="","",SUM(COUNTIF('1. OP'!$M:$M,_xlpm.id),COUNTIF('2. JSEL'!$M:$M,_xlpm.id),COUNTIF('3. PSM'!$M:$M,_xlpm.id),COUNTIF('4. SSP'!$M:$M,_xlpm.id),COUNTIF('5. JSACI'!$M:$M,_xlpm.id),COUNTIF('6. AIN'!$M:$M,_xlpm.id),COUNTIF('7. MS'!$M:$M,_xlpm.id),COUNTIF('8. DS'!$M:$M,_xlpm.id),COUNTIF('9. RMF'!$M:$M,_xlpm.id),COUNTIF('10. PCU'!$M:$M,_xlpm.id))))</f>
        <v>0</v>
      </c>
    </row>
    <row r="1623" spans="1:9">
      <c r="A1623" t="s">
        <v>9608</v>
      </c>
      <c r="B1623" t="s">
        <v>9603</v>
      </c>
      <c r="C1623">
        <v>1807</v>
      </c>
      <c r="D1623">
        <v>1</v>
      </c>
      <c r="E1623" s="23">
        <v>6</v>
      </c>
      <c r="F1623" t="s">
        <v>8102</v>
      </c>
      <c r="G1623" t="s">
        <v>10484</v>
      </c>
      <c r="H1623" t="s">
        <v>8021</v>
      </c>
      <c r="I1623">
        <f>_xlfn.LET(_xlpm.id,TRIM($A1623),IF(_xlpm.id="","",SUM(COUNTIF('1. OP'!$M:$M,_xlpm.id),COUNTIF('2. JSEL'!$M:$M,_xlpm.id),COUNTIF('3. PSM'!$M:$M,_xlpm.id),COUNTIF('4. SSP'!$M:$M,_xlpm.id),COUNTIF('5. JSACI'!$M:$M,_xlpm.id),COUNTIF('6. AIN'!$M:$M,_xlpm.id),COUNTIF('7. MS'!$M:$M,_xlpm.id),COUNTIF('8. DS'!$M:$M,_xlpm.id),COUNTIF('9. RMF'!$M:$M,_xlpm.id),COUNTIF('10. PCU'!$M:$M,_xlpm.id))))</f>
        <v>0</v>
      </c>
    </row>
    <row r="1624" spans="1:9">
      <c r="A1624" t="s">
        <v>9609</v>
      </c>
      <c r="B1624" t="s">
        <v>9603</v>
      </c>
      <c r="C1624">
        <v>1808</v>
      </c>
      <c r="D1624">
        <v>1</v>
      </c>
      <c r="E1624" s="23">
        <v>7</v>
      </c>
      <c r="F1624" t="s">
        <v>8102</v>
      </c>
      <c r="G1624" t="s">
        <v>10484</v>
      </c>
      <c r="H1624" t="s">
        <v>8021</v>
      </c>
      <c r="I1624">
        <f>_xlfn.LET(_xlpm.id,TRIM($A1624),IF(_xlpm.id="","",SUM(COUNTIF('1. OP'!$M:$M,_xlpm.id),COUNTIF('2. JSEL'!$M:$M,_xlpm.id),COUNTIF('3. PSM'!$M:$M,_xlpm.id),COUNTIF('4. SSP'!$M:$M,_xlpm.id),COUNTIF('5. JSACI'!$M:$M,_xlpm.id),COUNTIF('6. AIN'!$M:$M,_xlpm.id),COUNTIF('7. MS'!$M:$M,_xlpm.id),COUNTIF('8. DS'!$M:$M,_xlpm.id),COUNTIF('9. RMF'!$M:$M,_xlpm.id),COUNTIF('10. PCU'!$M:$M,_xlpm.id))))</f>
        <v>0</v>
      </c>
    </row>
    <row r="1625" spans="1:9">
      <c r="A1625" t="s">
        <v>9610</v>
      </c>
      <c r="B1625" t="s">
        <v>9603</v>
      </c>
      <c r="C1625">
        <v>1809</v>
      </c>
      <c r="D1625">
        <v>1</v>
      </c>
      <c r="E1625" s="23">
        <v>8</v>
      </c>
      <c r="F1625" t="s">
        <v>8102</v>
      </c>
      <c r="G1625" t="s">
        <v>10484</v>
      </c>
      <c r="H1625" t="s">
        <v>8021</v>
      </c>
      <c r="I1625">
        <f>_xlfn.LET(_xlpm.id,TRIM($A1625),IF(_xlpm.id="","",SUM(COUNTIF('1. OP'!$M:$M,_xlpm.id),COUNTIF('2. JSEL'!$M:$M,_xlpm.id),COUNTIF('3. PSM'!$M:$M,_xlpm.id),COUNTIF('4. SSP'!$M:$M,_xlpm.id),COUNTIF('5. JSACI'!$M:$M,_xlpm.id),COUNTIF('6. AIN'!$M:$M,_xlpm.id),COUNTIF('7. MS'!$M:$M,_xlpm.id),COUNTIF('8. DS'!$M:$M,_xlpm.id),COUNTIF('9. RMF'!$M:$M,_xlpm.id),COUNTIF('10. PCU'!$M:$M,_xlpm.id))))</f>
        <v>0</v>
      </c>
    </row>
    <row r="1626" spans="1:9">
      <c r="A1626" t="s">
        <v>9611</v>
      </c>
      <c r="B1626" t="s">
        <v>9603</v>
      </c>
      <c r="C1626">
        <v>1810</v>
      </c>
      <c r="D1626">
        <v>1</v>
      </c>
      <c r="E1626" s="23">
        <v>9</v>
      </c>
      <c r="F1626" t="s">
        <v>8102</v>
      </c>
      <c r="G1626" t="s">
        <v>10484</v>
      </c>
      <c r="H1626" t="s">
        <v>8021</v>
      </c>
      <c r="I1626">
        <f>_xlfn.LET(_xlpm.id,TRIM($A1626),IF(_xlpm.id="","",SUM(COUNTIF('1. OP'!$M:$M,_xlpm.id),COUNTIF('2. JSEL'!$M:$M,_xlpm.id),COUNTIF('3. PSM'!$M:$M,_xlpm.id),COUNTIF('4. SSP'!$M:$M,_xlpm.id),COUNTIF('5. JSACI'!$M:$M,_xlpm.id),COUNTIF('6. AIN'!$M:$M,_xlpm.id),COUNTIF('7. MS'!$M:$M,_xlpm.id),COUNTIF('8. DS'!$M:$M,_xlpm.id),COUNTIF('9. RMF'!$M:$M,_xlpm.id),COUNTIF('10. PCU'!$M:$M,_xlpm.id))))</f>
        <v>0</v>
      </c>
    </row>
    <row r="1627" spans="1:9">
      <c r="A1627" t="s">
        <v>9612</v>
      </c>
      <c r="B1627" t="s">
        <v>9603</v>
      </c>
      <c r="C1627">
        <v>1811</v>
      </c>
      <c r="D1627">
        <v>1</v>
      </c>
      <c r="E1627" s="23">
        <v>10</v>
      </c>
      <c r="F1627" t="s">
        <v>8102</v>
      </c>
      <c r="G1627" t="s">
        <v>10484</v>
      </c>
      <c r="H1627" t="s">
        <v>8021</v>
      </c>
      <c r="I1627">
        <f>_xlfn.LET(_xlpm.id,TRIM($A1627),IF(_xlpm.id="","",SUM(COUNTIF('1. OP'!$M:$M,_xlpm.id),COUNTIF('2. JSEL'!$M:$M,_xlpm.id),COUNTIF('3. PSM'!$M:$M,_xlpm.id),COUNTIF('4. SSP'!$M:$M,_xlpm.id),COUNTIF('5. JSACI'!$M:$M,_xlpm.id),COUNTIF('6. AIN'!$M:$M,_xlpm.id),COUNTIF('7. MS'!$M:$M,_xlpm.id),COUNTIF('8. DS'!$M:$M,_xlpm.id),COUNTIF('9. RMF'!$M:$M,_xlpm.id),COUNTIF('10. PCU'!$M:$M,_xlpm.id))))</f>
        <v>0</v>
      </c>
    </row>
    <row r="1628" spans="1:9">
      <c r="A1628" t="s">
        <v>9613</v>
      </c>
      <c r="B1628" t="s">
        <v>9603</v>
      </c>
      <c r="C1628">
        <v>1812</v>
      </c>
      <c r="D1628">
        <v>1</v>
      </c>
      <c r="E1628" s="23">
        <v>11</v>
      </c>
      <c r="F1628" t="s">
        <v>8102</v>
      </c>
      <c r="G1628" t="s">
        <v>10484</v>
      </c>
      <c r="H1628" t="s">
        <v>8021</v>
      </c>
      <c r="I1628">
        <f>_xlfn.LET(_xlpm.id,TRIM($A1628),IF(_xlpm.id="","",SUM(COUNTIF('1. OP'!$M:$M,_xlpm.id),COUNTIF('2. JSEL'!$M:$M,_xlpm.id),COUNTIF('3. PSM'!$M:$M,_xlpm.id),COUNTIF('4. SSP'!$M:$M,_xlpm.id),COUNTIF('5. JSACI'!$M:$M,_xlpm.id),COUNTIF('6. AIN'!$M:$M,_xlpm.id),COUNTIF('7. MS'!$M:$M,_xlpm.id),COUNTIF('8. DS'!$M:$M,_xlpm.id),COUNTIF('9. RMF'!$M:$M,_xlpm.id),COUNTIF('10. PCU'!$M:$M,_xlpm.id))))</f>
        <v>0</v>
      </c>
    </row>
    <row r="1629" spans="1:9">
      <c r="A1629" t="s">
        <v>9614</v>
      </c>
      <c r="B1629" t="s">
        <v>9603</v>
      </c>
      <c r="C1629">
        <v>1813</v>
      </c>
      <c r="D1629">
        <v>1</v>
      </c>
      <c r="E1629" s="23">
        <v>12</v>
      </c>
      <c r="F1629" t="s">
        <v>8102</v>
      </c>
      <c r="G1629" t="s">
        <v>10484</v>
      </c>
      <c r="H1629" t="s">
        <v>8021</v>
      </c>
      <c r="I1629">
        <f>_xlfn.LET(_xlpm.id,TRIM($A1629),IF(_xlpm.id="","",SUM(COUNTIF('1. OP'!$M:$M,_xlpm.id),COUNTIF('2. JSEL'!$M:$M,_xlpm.id),COUNTIF('3. PSM'!$M:$M,_xlpm.id),COUNTIF('4. SSP'!$M:$M,_xlpm.id),COUNTIF('5. JSACI'!$M:$M,_xlpm.id),COUNTIF('6. AIN'!$M:$M,_xlpm.id),COUNTIF('7. MS'!$M:$M,_xlpm.id),COUNTIF('8. DS'!$M:$M,_xlpm.id),COUNTIF('9. RMF'!$M:$M,_xlpm.id),COUNTIF('10. PCU'!$M:$M,_xlpm.id))))</f>
        <v>0</v>
      </c>
    </row>
    <row r="1630" spans="1:9">
      <c r="A1630" t="s">
        <v>9615</v>
      </c>
      <c r="B1630" t="s">
        <v>9603</v>
      </c>
      <c r="C1630">
        <v>1814</v>
      </c>
      <c r="D1630">
        <v>1</v>
      </c>
      <c r="E1630" s="23">
        <v>13</v>
      </c>
      <c r="F1630" t="s">
        <v>8102</v>
      </c>
      <c r="G1630" t="s">
        <v>10484</v>
      </c>
      <c r="H1630" t="s">
        <v>8021</v>
      </c>
      <c r="I1630">
        <f>_xlfn.LET(_xlpm.id,TRIM($A1630),IF(_xlpm.id="","",SUM(COUNTIF('1. OP'!$M:$M,_xlpm.id),COUNTIF('2. JSEL'!$M:$M,_xlpm.id),COUNTIF('3. PSM'!$M:$M,_xlpm.id),COUNTIF('4. SSP'!$M:$M,_xlpm.id),COUNTIF('5. JSACI'!$M:$M,_xlpm.id),COUNTIF('6. AIN'!$M:$M,_xlpm.id),COUNTIF('7. MS'!$M:$M,_xlpm.id),COUNTIF('8. DS'!$M:$M,_xlpm.id),COUNTIF('9. RMF'!$M:$M,_xlpm.id),COUNTIF('10. PCU'!$M:$M,_xlpm.id))))</f>
        <v>0</v>
      </c>
    </row>
    <row r="1631" spans="1:9">
      <c r="A1631" t="s">
        <v>9616</v>
      </c>
      <c r="B1631" t="s">
        <v>9603</v>
      </c>
      <c r="C1631">
        <v>1815</v>
      </c>
      <c r="D1631">
        <v>1</v>
      </c>
      <c r="E1631" s="23">
        <v>14</v>
      </c>
      <c r="F1631" t="s">
        <v>8102</v>
      </c>
      <c r="G1631" t="s">
        <v>10484</v>
      </c>
      <c r="H1631" t="s">
        <v>8021</v>
      </c>
      <c r="I1631">
        <f>_xlfn.LET(_xlpm.id,TRIM($A1631),IF(_xlpm.id="","",SUM(COUNTIF('1. OP'!$M:$M,_xlpm.id),COUNTIF('2. JSEL'!$M:$M,_xlpm.id),COUNTIF('3. PSM'!$M:$M,_xlpm.id),COUNTIF('4. SSP'!$M:$M,_xlpm.id),COUNTIF('5. JSACI'!$M:$M,_xlpm.id),COUNTIF('6. AIN'!$M:$M,_xlpm.id),COUNTIF('7. MS'!$M:$M,_xlpm.id),COUNTIF('8. DS'!$M:$M,_xlpm.id),COUNTIF('9. RMF'!$M:$M,_xlpm.id),COUNTIF('10. PCU'!$M:$M,_xlpm.id))))</f>
        <v>0</v>
      </c>
    </row>
    <row r="1632" spans="1:9">
      <c r="A1632" t="s">
        <v>9617</v>
      </c>
      <c r="B1632" t="s">
        <v>9603</v>
      </c>
      <c r="C1632">
        <v>1816</v>
      </c>
      <c r="D1632">
        <v>1</v>
      </c>
      <c r="E1632" s="23">
        <v>15</v>
      </c>
      <c r="F1632" t="s">
        <v>8102</v>
      </c>
      <c r="G1632" t="s">
        <v>10484</v>
      </c>
      <c r="H1632" t="s">
        <v>8021</v>
      </c>
      <c r="I1632">
        <f>_xlfn.LET(_xlpm.id,TRIM($A1632),IF(_xlpm.id="","",SUM(COUNTIF('1. OP'!$M:$M,_xlpm.id),COUNTIF('2. JSEL'!$M:$M,_xlpm.id),COUNTIF('3. PSM'!$M:$M,_xlpm.id),COUNTIF('4. SSP'!$M:$M,_xlpm.id),COUNTIF('5. JSACI'!$M:$M,_xlpm.id),COUNTIF('6. AIN'!$M:$M,_xlpm.id),COUNTIF('7. MS'!$M:$M,_xlpm.id),COUNTIF('8. DS'!$M:$M,_xlpm.id),COUNTIF('9. RMF'!$M:$M,_xlpm.id),COUNTIF('10. PCU'!$M:$M,_xlpm.id))))</f>
        <v>0</v>
      </c>
    </row>
    <row r="1633" spans="1:9">
      <c r="A1633" t="s">
        <v>9618</v>
      </c>
      <c r="B1633" t="s">
        <v>9603</v>
      </c>
      <c r="C1633">
        <v>1817</v>
      </c>
      <c r="D1633">
        <v>1</v>
      </c>
      <c r="E1633" s="23">
        <v>16</v>
      </c>
      <c r="F1633" t="s">
        <v>8102</v>
      </c>
      <c r="G1633" t="s">
        <v>10484</v>
      </c>
      <c r="H1633" t="s">
        <v>8021</v>
      </c>
      <c r="I1633">
        <f>_xlfn.LET(_xlpm.id,TRIM($A1633),IF(_xlpm.id="","",SUM(COUNTIF('1. OP'!$M:$M,_xlpm.id),COUNTIF('2. JSEL'!$M:$M,_xlpm.id),COUNTIF('3. PSM'!$M:$M,_xlpm.id),COUNTIF('4. SSP'!$M:$M,_xlpm.id),COUNTIF('5. JSACI'!$M:$M,_xlpm.id),COUNTIF('6. AIN'!$M:$M,_xlpm.id),COUNTIF('7. MS'!$M:$M,_xlpm.id),COUNTIF('8. DS'!$M:$M,_xlpm.id),COUNTIF('9. RMF'!$M:$M,_xlpm.id),COUNTIF('10. PCU'!$M:$M,_xlpm.id))))</f>
        <v>0</v>
      </c>
    </row>
    <row r="1634" spans="1:9">
      <c r="A1634" t="s">
        <v>9619</v>
      </c>
      <c r="B1634" t="s">
        <v>9603</v>
      </c>
      <c r="C1634">
        <v>1818</v>
      </c>
      <c r="D1634">
        <v>1</v>
      </c>
      <c r="E1634" s="23">
        <v>17</v>
      </c>
      <c r="F1634" t="s">
        <v>8102</v>
      </c>
      <c r="G1634" t="s">
        <v>10484</v>
      </c>
      <c r="H1634" t="s">
        <v>8021</v>
      </c>
      <c r="I1634">
        <f>_xlfn.LET(_xlpm.id,TRIM($A1634),IF(_xlpm.id="","",SUM(COUNTIF('1. OP'!$M:$M,_xlpm.id),COUNTIF('2. JSEL'!$M:$M,_xlpm.id),COUNTIF('3. PSM'!$M:$M,_xlpm.id),COUNTIF('4. SSP'!$M:$M,_xlpm.id),COUNTIF('5. JSACI'!$M:$M,_xlpm.id),COUNTIF('6. AIN'!$M:$M,_xlpm.id),COUNTIF('7. MS'!$M:$M,_xlpm.id),COUNTIF('8. DS'!$M:$M,_xlpm.id),COUNTIF('9. RMF'!$M:$M,_xlpm.id),COUNTIF('10. PCU'!$M:$M,_xlpm.id))))</f>
        <v>0</v>
      </c>
    </row>
    <row r="1635" spans="1:9">
      <c r="A1635" t="s">
        <v>9620</v>
      </c>
      <c r="B1635" t="s">
        <v>9603</v>
      </c>
      <c r="C1635">
        <v>1819</v>
      </c>
      <c r="D1635">
        <v>1</v>
      </c>
      <c r="E1635" s="23">
        <v>18</v>
      </c>
      <c r="F1635" t="s">
        <v>8102</v>
      </c>
      <c r="G1635" t="s">
        <v>10484</v>
      </c>
      <c r="H1635" t="s">
        <v>8021</v>
      </c>
      <c r="I1635">
        <f>_xlfn.LET(_xlpm.id,TRIM($A1635),IF(_xlpm.id="","",SUM(COUNTIF('1. OP'!$M:$M,_xlpm.id),COUNTIF('2. JSEL'!$M:$M,_xlpm.id),COUNTIF('3. PSM'!$M:$M,_xlpm.id),COUNTIF('4. SSP'!$M:$M,_xlpm.id),COUNTIF('5. JSACI'!$M:$M,_xlpm.id),COUNTIF('6. AIN'!$M:$M,_xlpm.id),COUNTIF('7. MS'!$M:$M,_xlpm.id),COUNTIF('8. DS'!$M:$M,_xlpm.id),COUNTIF('9. RMF'!$M:$M,_xlpm.id),COUNTIF('10. PCU'!$M:$M,_xlpm.id))))</f>
        <v>0</v>
      </c>
    </row>
    <row r="1636" spans="1:9">
      <c r="A1636" t="s">
        <v>9621</v>
      </c>
      <c r="B1636" t="s">
        <v>9603</v>
      </c>
      <c r="C1636">
        <v>1820</v>
      </c>
      <c r="D1636">
        <v>1</v>
      </c>
      <c r="E1636" s="23">
        <v>19</v>
      </c>
      <c r="F1636" t="s">
        <v>8102</v>
      </c>
      <c r="G1636" t="s">
        <v>10484</v>
      </c>
      <c r="H1636" t="s">
        <v>8021</v>
      </c>
      <c r="I1636">
        <f>_xlfn.LET(_xlpm.id,TRIM($A1636),IF(_xlpm.id="","",SUM(COUNTIF('1. OP'!$M:$M,_xlpm.id),COUNTIF('2. JSEL'!$M:$M,_xlpm.id),COUNTIF('3. PSM'!$M:$M,_xlpm.id),COUNTIF('4. SSP'!$M:$M,_xlpm.id),COUNTIF('5. JSACI'!$M:$M,_xlpm.id),COUNTIF('6. AIN'!$M:$M,_xlpm.id),COUNTIF('7. MS'!$M:$M,_xlpm.id),COUNTIF('8. DS'!$M:$M,_xlpm.id),COUNTIF('9. RMF'!$M:$M,_xlpm.id),COUNTIF('10. PCU'!$M:$M,_xlpm.id))))</f>
        <v>0</v>
      </c>
    </row>
    <row r="1637" spans="1:9">
      <c r="A1637" t="s">
        <v>9622</v>
      </c>
      <c r="B1637" t="s">
        <v>9603</v>
      </c>
      <c r="C1637">
        <v>1821</v>
      </c>
      <c r="D1637">
        <v>1</v>
      </c>
      <c r="E1637" s="23">
        <v>20</v>
      </c>
      <c r="F1637" t="s">
        <v>8102</v>
      </c>
      <c r="G1637" t="s">
        <v>10484</v>
      </c>
      <c r="H1637" t="s">
        <v>8021</v>
      </c>
      <c r="I1637">
        <f>_xlfn.LET(_xlpm.id,TRIM($A1637),IF(_xlpm.id="","",SUM(COUNTIF('1. OP'!$M:$M,_xlpm.id),COUNTIF('2. JSEL'!$M:$M,_xlpm.id),COUNTIF('3. PSM'!$M:$M,_xlpm.id),COUNTIF('4. SSP'!$M:$M,_xlpm.id),COUNTIF('5. JSACI'!$M:$M,_xlpm.id),COUNTIF('6. AIN'!$M:$M,_xlpm.id),COUNTIF('7. MS'!$M:$M,_xlpm.id),COUNTIF('8. DS'!$M:$M,_xlpm.id),COUNTIF('9. RMF'!$M:$M,_xlpm.id),COUNTIF('10. PCU'!$M:$M,_xlpm.id))))</f>
        <v>0</v>
      </c>
    </row>
    <row r="1638" spans="1:9">
      <c r="A1638" t="s">
        <v>9623</v>
      </c>
      <c r="B1638" t="s">
        <v>9603</v>
      </c>
      <c r="C1638">
        <v>1822</v>
      </c>
      <c r="D1638">
        <v>1</v>
      </c>
      <c r="E1638" s="23">
        <v>21</v>
      </c>
      <c r="F1638" t="s">
        <v>8102</v>
      </c>
      <c r="G1638" t="s">
        <v>10484</v>
      </c>
      <c r="H1638" t="s">
        <v>8021</v>
      </c>
      <c r="I1638">
        <f>_xlfn.LET(_xlpm.id,TRIM($A1638),IF(_xlpm.id="","",SUM(COUNTIF('1. OP'!$M:$M,_xlpm.id),COUNTIF('2. JSEL'!$M:$M,_xlpm.id),COUNTIF('3. PSM'!$M:$M,_xlpm.id),COUNTIF('4. SSP'!$M:$M,_xlpm.id),COUNTIF('5. JSACI'!$M:$M,_xlpm.id),COUNTIF('6. AIN'!$M:$M,_xlpm.id),COUNTIF('7. MS'!$M:$M,_xlpm.id),COUNTIF('8. DS'!$M:$M,_xlpm.id),COUNTIF('9. RMF'!$M:$M,_xlpm.id),COUNTIF('10. PCU'!$M:$M,_xlpm.id))))</f>
        <v>0</v>
      </c>
    </row>
    <row r="1639" spans="1:9">
      <c r="A1639" t="s">
        <v>9624</v>
      </c>
      <c r="B1639" t="s">
        <v>9603</v>
      </c>
      <c r="C1639">
        <v>1823</v>
      </c>
      <c r="D1639">
        <v>1</v>
      </c>
      <c r="E1639" s="23">
        <v>22</v>
      </c>
      <c r="F1639" t="s">
        <v>8102</v>
      </c>
      <c r="G1639" t="s">
        <v>10484</v>
      </c>
      <c r="H1639" t="s">
        <v>8021</v>
      </c>
      <c r="I1639">
        <f>_xlfn.LET(_xlpm.id,TRIM($A1639),IF(_xlpm.id="","",SUM(COUNTIF('1. OP'!$M:$M,_xlpm.id),COUNTIF('2. JSEL'!$M:$M,_xlpm.id),COUNTIF('3. PSM'!$M:$M,_xlpm.id),COUNTIF('4. SSP'!$M:$M,_xlpm.id),COUNTIF('5. JSACI'!$M:$M,_xlpm.id),COUNTIF('6. AIN'!$M:$M,_xlpm.id),COUNTIF('7. MS'!$M:$M,_xlpm.id),COUNTIF('8. DS'!$M:$M,_xlpm.id),COUNTIF('9. RMF'!$M:$M,_xlpm.id),COUNTIF('10. PCU'!$M:$M,_xlpm.id))))</f>
        <v>0</v>
      </c>
    </row>
    <row r="1640" spans="1:9">
      <c r="A1640" t="s">
        <v>9625</v>
      </c>
      <c r="B1640" t="s">
        <v>9603</v>
      </c>
      <c r="C1640">
        <v>1824</v>
      </c>
      <c r="D1640">
        <v>1</v>
      </c>
      <c r="E1640" s="23">
        <v>23</v>
      </c>
      <c r="F1640" t="s">
        <v>8102</v>
      </c>
      <c r="G1640" t="s">
        <v>10484</v>
      </c>
      <c r="H1640" t="s">
        <v>8021</v>
      </c>
      <c r="I1640">
        <f>_xlfn.LET(_xlpm.id,TRIM($A1640),IF(_xlpm.id="","",SUM(COUNTIF('1. OP'!$M:$M,_xlpm.id),COUNTIF('2. JSEL'!$M:$M,_xlpm.id),COUNTIF('3. PSM'!$M:$M,_xlpm.id),COUNTIF('4. SSP'!$M:$M,_xlpm.id),COUNTIF('5. JSACI'!$M:$M,_xlpm.id),COUNTIF('6. AIN'!$M:$M,_xlpm.id),COUNTIF('7. MS'!$M:$M,_xlpm.id),COUNTIF('8. DS'!$M:$M,_xlpm.id),COUNTIF('9. RMF'!$M:$M,_xlpm.id),COUNTIF('10. PCU'!$M:$M,_xlpm.id))))</f>
        <v>0</v>
      </c>
    </row>
    <row r="1641" spans="1:9">
      <c r="A1641" t="s">
        <v>6314</v>
      </c>
      <c r="B1641" t="s">
        <v>9603</v>
      </c>
      <c r="C1641">
        <v>1825</v>
      </c>
      <c r="D1641">
        <v>1</v>
      </c>
      <c r="E1641" s="23">
        <v>24</v>
      </c>
      <c r="F1641" t="s">
        <v>8102</v>
      </c>
      <c r="G1641" t="s">
        <v>10484</v>
      </c>
      <c r="H1641" t="s">
        <v>8021</v>
      </c>
      <c r="I1641">
        <f>_xlfn.LET(_xlpm.id,TRIM($A1641),IF(_xlpm.id="","",SUM(COUNTIF('1. OP'!$M:$M,_xlpm.id),COUNTIF('2. JSEL'!$M:$M,_xlpm.id),COUNTIF('3. PSM'!$M:$M,_xlpm.id),COUNTIF('4. SSP'!$M:$M,_xlpm.id),COUNTIF('5. JSACI'!$M:$M,_xlpm.id),COUNTIF('6. AIN'!$M:$M,_xlpm.id),COUNTIF('7. MS'!$M:$M,_xlpm.id),COUNTIF('8. DS'!$M:$M,_xlpm.id),COUNTIF('9. RMF'!$M:$M,_xlpm.id),COUNTIF('10. PCU'!$M:$M,_xlpm.id))))</f>
        <v>1</v>
      </c>
    </row>
    <row r="1642" spans="1:9">
      <c r="A1642" t="s">
        <v>9626</v>
      </c>
      <c r="B1642" t="s">
        <v>9603</v>
      </c>
      <c r="C1642">
        <v>1826</v>
      </c>
      <c r="D1642">
        <v>1</v>
      </c>
      <c r="E1642" s="23">
        <v>25</v>
      </c>
      <c r="F1642" t="s">
        <v>8102</v>
      </c>
      <c r="G1642" t="s">
        <v>10484</v>
      </c>
      <c r="H1642" t="s">
        <v>8021</v>
      </c>
      <c r="I1642">
        <f>_xlfn.LET(_xlpm.id,TRIM($A1642),IF(_xlpm.id="","",SUM(COUNTIF('1. OP'!$M:$M,_xlpm.id),COUNTIF('2. JSEL'!$M:$M,_xlpm.id),COUNTIF('3. PSM'!$M:$M,_xlpm.id),COUNTIF('4. SSP'!$M:$M,_xlpm.id),COUNTIF('5. JSACI'!$M:$M,_xlpm.id),COUNTIF('6. AIN'!$M:$M,_xlpm.id),COUNTIF('7. MS'!$M:$M,_xlpm.id),COUNTIF('8. DS'!$M:$M,_xlpm.id),COUNTIF('9. RMF'!$M:$M,_xlpm.id),COUNTIF('10. PCU'!$M:$M,_xlpm.id))))</f>
        <v>0</v>
      </c>
    </row>
    <row r="1643" spans="1:9">
      <c r="A1643" t="s">
        <v>9627</v>
      </c>
      <c r="B1643" t="s">
        <v>9603</v>
      </c>
      <c r="C1643">
        <v>1827</v>
      </c>
      <c r="D1643">
        <v>1</v>
      </c>
      <c r="E1643" s="23">
        <v>26</v>
      </c>
      <c r="F1643" t="s">
        <v>8102</v>
      </c>
      <c r="G1643" t="s">
        <v>10484</v>
      </c>
      <c r="H1643" t="s">
        <v>8021</v>
      </c>
      <c r="I1643">
        <f>_xlfn.LET(_xlpm.id,TRIM($A1643),IF(_xlpm.id="","",SUM(COUNTIF('1. OP'!$M:$M,_xlpm.id),COUNTIF('2. JSEL'!$M:$M,_xlpm.id),COUNTIF('3. PSM'!$M:$M,_xlpm.id),COUNTIF('4. SSP'!$M:$M,_xlpm.id),COUNTIF('5. JSACI'!$M:$M,_xlpm.id),COUNTIF('6. AIN'!$M:$M,_xlpm.id),COUNTIF('7. MS'!$M:$M,_xlpm.id),COUNTIF('8. DS'!$M:$M,_xlpm.id),COUNTIF('9. RMF'!$M:$M,_xlpm.id),COUNTIF('10. PCU'!$M:$M,_xlpm.id))))</f>
        <v>0</v>
      </c>
    </row>
    <row r="1644" spans="1:9">
      <c r="A1644" t="s">
        <v>9628</v>
      </c>
      <c r="B1644" t="s">
        <v>9603</v>
      </c>
      <c r="C1644">
        <v>1828</v>
      </c>
      <c r="D1644">
        <v>1</v>
      </c>
      <c r="E1644" s="23">
        <v>27</v>
      </c>
      <c r="F1644" t="s">
        <v>8102</v>
      </c>
      <c r="G1644" t="s">
        <v>10484</v>
      </c>
      <c r="H1644" t="s">
        <v>8021</v>
      </c>
      <c r="I1644">
        <f>_xlfn.LET(_xlpm.id,TRIM($A1644),IF(_xlpm.id="","",SUM(COUNTIF('1. OP'!$M:$M,_xlpm.id),COUNTIF('2. JSEL'!$M:$M,_xlpm.id),COUNTIF('3. PSM'!$M:$M,_xlpm.id),COUNTIF('4. SSP'!$M:$M,_xlpm.id),COUNTIF('5. JSACI'!$M:$M,_xlpm.id),COUNTIF('6. AIN'!$M:$M,_xlpm.id),COUNTIF('7. MS'!$M:$M,_xlpm.id),COUNTIF('8. DS'!$M:$M,_xlpm.id),COUNTIF('9. RMF'!$M:$M,_xlpm.id),COUNTIF('10. PCU'!$M:$M,_xlpm.id))))</f>
        <v>0</v>
      </c>
    </row>
    <row r="1645" spans="1:9">
      <c r="A1645" t="s">
        <v>9629</v>
      </c>
      <c r="B1645" t="s">
        <v>9603</v>
      </c>
      <c r="C1645">
        <v>1829</v>
      </c>
      <c r="D1645">
        <v>1</v>
      </c>
      <c r="E1645" s="23">
        <v>28</v>
      </c>
      <c r="F1645" t="s">
        <v>8102</v>
      </c>
      <c r="G1645" t="s">
        <v>10484</v>
      </c>
      <c r="H1645" t="s">
        <v>8021</v>
      </c>
      <c r="I1645">
        <f>_xlfn.LET(_xlpm.id,TRIM($A1645),IF(_xlpm.id="","",SUM(COUNTIF('1. OP'!$M:$M,_xlpm.id),COUNTIF('2. JSEL'!$M:$M,_xlpm.id),COUNTIF('3. PSM'!$M:$M,_xlpm.id),COUNTIF('4. SSP'!$M:$M,_xlpm.id),COUNTIF('5. JSACI'!$M:$M,_xlpm.id),COUNTIF('6. AIN'!$M:$M,_xlpm.id),COUNTIF('7. MS'!$M:$M,_xlpm.id),COUNTIF('8. DS'!$M:$M,_xlpm.id),COUNTIF('9. RMF'!$M:$M,_xlpm.id),COUNTIF('10. PCU'!$M:$M,_xlpm.id))))</f>
        <v>0</v>
      </c>
    </row>
    <row r="1646" spans="1:9">
      <c r="A1646" t="s">
        <v>9630</v>
      </c>
      <c r="B1646" t="s">
        <v>9603</v>
      </c>
      <c r="C1646">
        <v>1830</v>
      </c>
      <c r="D1646">
        <v>1</v>
      </c>
      <c r="E1646" s="23">
        <v>29</v>
      </c>
      <c r="F1646" t="s">
        <v>8102</v>
      </c>
      <c r="G1646" t="s">
        <v>10484</v>
      </c>
      <c r="H1646" t="s">
        <v>8021</v>
      </c>
      <c r="I1646">
        <f>_xlfn.LET(_xlpm.id,TRIM($A1646),IF(_xlpm.id="","",SUM(COUNTIF('1. OP'!$M:$M,_xlpm.id),COUNTIF('2. JSEL'!$M:$M,_xlpm.id),COUNTIF('3. PSM'!$M:$M,_xlpm.id),COUNTIF('4. SSP'!$M:$M,_xlpm.id),COUNTIF('5. JSACI'!$M:$M,_xlpm.id),COUNTIF('6. AIN'!$M:$M,_xlpm.id),COUNTIF('7. MS'!$M:$M,_xlpm.id),COUNTIF('8. DS'!$M:$M,_xlpm.id),COUNTIF('9. RMF'!$M:$M,_xlpm.id),COUNTIF('10. PCU'!$M:$M,_xlpm.id))))</f>
        <v>0</v>
      </c>
    </row>
    <row r="1647" spans="1:9">
      <c r="A1647" t="s">
        <v>9631</v>
      </c>
      <c r="B1647" t="s">
        <v>9603</v>
      </c>
      <c r="C1647">
        <v>1831</v>
      </c>
      <c r="D1647">
        <v>1</v>
      </c>
      <c r="E1647" s="23">
        <v>30</v>
      </c>
      <c r="F1647" t="s">
        <v>8102</v>
      </c>
      <c r="G1647" t="s">
        <v>10484</v>
      </c>
      <c r="H1647" t="s">
        <v>8021</v>
      </c>
      <c r="I1647">
        <f>_xlfn.LET(_xlpm.id,TRIM($A1647),IF(_xlpm.id="","",SUM(COUNTIF('1. OP'!$M:$M,_xlpm.id),COUNTIF('2. JSEL'!$M:$M,_xlpm.id),COUNTIF('3. PSM'!$M:$M,_xlpm.id),COUNTIF('4. SSP'!$M:$M,_xlpm.id),COUNTIF('5. JSACI'!$M:$M,_xlpm.id),COUNTIF('6. AIN'!$M:$M,_xlpm.id),COUNTIF('7. MS'!$M:$M,_xlpm.id),COUNTIF('8. DS'!$M:$M,_xlpm.id),COUNTIF('9. RMF'!$M:$M,_xlpm.id),COUNTIF('10. PCU'!$M:$M,_xlpm.id))))</f>
        <v>0</v>
      </c>
    </row>
    <row r="1648" spans="1:9">
      <c r="A1648" t="s">
        <v>9632</v>
      </c>
      <c r="B1648" t="s">
        <v>9603</v>
      </c>
      <c r="C1648">
        <v>1832</v>
      </c>
      <c r="D1648">
        <v>1</v>
      </c>
      <c r="E1648" s="23">
        <v>31</v>
      </c>
      <c r="F1648" t="s">
        <v>8102</v>
      </c>
      <c r="G1648" t="s">
        <v>10484</v>
      </c>
      <c r="H1648" t="s">
        <v>8021</v>
      </c>
      <c r="I1648">
        <f>_xlfn.LET(_xlpm.id,TRIM($A1648),IF(_xlpm.id="","",SUM(COUNTIF('1. OP'!$M:$M,_xlpm.id),COUNTIF('2. JSEL'!$M:$M,_xlpm.id),COUNTIF('3. PSM'!$M:$M,_xlpm.id),COUNTIF('4. SSP'!$M:$M,_xlpm.id),COUNTIF('5. JSACI'!$M:$M,_xlpm.id),COUNTIF('6. AIN'!$M:$M,_xlpm.id),COUNTIF('7. MS'!$M:$M,_xlpm.id),COUNTIF('8. DS'!$M:$M,_xlpm.id),COUNTIF('9. RMF'!$M:$M,_xlpm.id),COUNTIF('10. PCU'!$M:$M,_xlpm.id))))</f>
        <v>0</v>
      </c>
    </row>
    <row r="1649" spans="1:9">
      <c r="A1649" t="s">
        <v>9633</v>
      </c>
      <c r="B1649" t="s">
        <v>9603</v>
      </c>
      <c r="C1649">
        <v>1833</v>
      </c>
      <c r="D1649">
        <v>1</v>
      </c>
      <c r="E1649" s="23">
        <v>32</v>
      </c>
      <c r="F1649" t="s">
        <v>8102</v>
      </c>
      <c r="G1649" t="s">
        <v>10484</v>
      </c>
      <c r="H1649" t="s">
        <v>8021</v>
      </c>
      <c r="I1649">
        <f>_xlfn.LET(_xlpm.id,TRIM($A1649),IF(_xlpm.id="","",SUM(COUNTIF('1. OP'!$M:$M,_xlpm.id),COUNTIF('2. JSEL'!$M:$M,_xlpm.id),COUNTIF('3. PSM'!$M:$M,_xlpm.id),COUNTIF('4. SSP'!$M:$M,_xlpm.id),COUNTIF('5. JSACI'!$M:$M,_xlpm.id),COUNTIF('6. AIN'!$M:$M,_xlpm.id),COUNTIF('7. MS'!$M:$M,_xlpm.id),COUNTIF('8. DS'!$M:$M,_xlpm.id),COUNTIF('9. RMF'!$M:$M,_xlpm.id),COUNTIF('10. PCU'!$M:$M,_xlpm.id))))</f>
        <v>0</v>
      </c>
    </row>
    <row r="1650" spans="1:9">
      <c r="A1650" t="s">
        <v>9634</v>
      </c>
      <c r="B1650" t="s">
        <v>9603</v>
      </c>
      <c r="C1650">
        <v>1834</v>
      </c>
      <c r="D1650">
        <v>1</v>
      </c>
      <c r="E1650" s="23">
        <v>33</v>
      </c>
      <c r="F1650" t="s">
        <v>8102</v>
      </c>
      <c r="G1650" t="s">
        <v>10484</v>
      </c>
      <c r="H1650" t="s">
        <v>8021</v>
      </c>
      <c r="I1650">
        <f>_xlfn.LET(_xlpm.id,TRIM($A1650),IF(_xlpm.id="","",SUM(COUNTIF('1. OP'!$M:$M,_xlpm.id),COUNTIF('2. JSEL'!$M:$M,_xlpm.id),COUNTIF('3. PSM'!$M:$M,_xlpm.id),COUNTIF('4. SSP'!$M:$M,_xlpm.id),COUNTIF('5. JSACI'!$M:$M,_xlpm.id),COUNTIF('6. AIN'!$M:$M,_xlpm.id),COUNTIF('7. MS'!$M:$M,_xlpm.id),COUNTIF('8. DS'!$M:$M,_xlpm.id),COUNTIF('9. RMF'!$M:$M,_xlpm.id),COUNTIF('10. PCU'!$M:$M,_xlpm.id))))</f>
        <v>0</v>
      </c>
    </row>
    <row r="1651" spans="1:9">
      <c r="A1651" t="s">
        <v>9635</v>
      </c>
      <c r="B1651" t="s">
        <v>9603</v>
      </c>
      <c r="C1651">
        <v>1835</v>
      </c>
      <c r="D1651">
        <v>1</v>
      </c>
      <c r="E1651" s="23">
        <v>34</v>
      </c>
      <c r="F1651" t="s">
        <v>8102</v>
      </c>
      <c r="G1651" t="s">
        <v>10484</v>
      </c>
      <c r="H1651" t="s">
        <v>8021</v>
      </c>
      <c r="I1651">
        <f>_xlfn.LET(_xlpm.id,TRIM($A1651),IF(_xlpm.id="","",SUM(COUNTIF('1. OP'!$M:$M,_xlpm.id),COUNTIF('2. JSEL'!$M:$M,_xlpm.id),COUNTIF('3. PSM'!$M:$M,_xlpm.id),COUNTIF('4. SSP'!$M:$M,_xlpm.id),COUNTIF('5. JSACI'!$M:$M,_xlpm.id),COUNTIF('6. AIN'!$M:$M,_xlpm.id),COUNTIF('7. MS'!$M:$M,_xlpm.id),COUNTIF('8. DS'!$M:$M,_xlpm.id),COUNTIF('9. RMF'!$M:$M,_xlpm.id),COUNTIF('10. PCU'!$M:$M,_xlpm.id))))</f>
        <v>0</v>
      </c>
    </row>
    <row r="1652" spans="1:9">
      <c r="A1652" t="s">
        <v>9636</v>
      </c>
      <c r="B1652" t="s">
        <v>9603</v>
      </c>
      <c r="C1652">
        <v>1836</v>
      </c>
      <c r="D1652">
        <v>1</v>
      </c>
      <c r="E1652" s="23">
        <v>35</v>
      </c>
      <c r="F1652" t="s">
        <v>8102</v>
      </c>
      <c r="G1652" t="s">
        <v>10484</v>
      </c>
      <c r="H1652" t="s">
        <v>8021</v>
      </c>
      <c r="I1652">
        <f>_xlfn.LET(_xlpm.id,TRIM($A1652),IF(_xlpm.id="","",SUM(COUNTIF('1. OP'!$M:$M,_xlpm.id),COUNTIF('2. JSEL'!$M:$M,_xlpm.id),COUNTIF('3. PSM'!$M:$M,_xlpm.id),COUNTIF('4. SSP'!$M:$M,_xlpm.id),COUNTIF('5. JSACI'!$M:$M,_xlpm.id),COUNTIF('6. AIN'!$M:$M,_xlpm.id),COUNTIF('7. MS'!$M:$M,_xlpm.id),COUNTIF('8. DS'!$M:$M,_xlpm.id),COUNTIF('9. RMF'!$M:$M,_xlpm.id),COUNTIF('10. PCU'!$M:$M,_xlpm.id))))</f>
        <v>0</v>
      </c>
    </row>
    <row r="1653" spans="1:9">
      <c r="A1653" t="s">
        <v>9637</v>
      </c>
      <c r="B1653" t="s">
        <v>9603</v>
      </c>
      <c r="C1653">
        <v>1837</v>
      </c>
      <c r="D1653">
        <v>1</v>
      </c>
      <c r="E1653" s="23">
        <v>36</v>
      </c>
      <c r="F1653" t="s">
        <v>8102</v>
      </c>
      <c r="G1653" t="s">
        <v>10484</v>
      </c>
      <c r="H1653" t="s">
        <v>8021</v>
      </c>
      <c r="I1653">
        <f>_xlfn.LET(_xlpm.id,TRIM($A1653),IF(_xlpm.id="","",SUM(COUNTIF('1. OP'!$M:$M,_xlpm.id),COUNTIF('2. JSEL'!$M:$M,_xlpm.id),COUNTIF('3. PSM'!$M:$M,_xlpm.id),COUNTIF('4. SSP'!$M:$M,_xlpm.id),COUNTIF('5. JSACI'!$M:$M,_xlpm.id),COUNTIF('6. AIN'!$M:$M,_xlpm.id),COUNTIF('7. MS'!$M:$M,_xlpm.id),COUNTIF('8. DS'!$M:$M,_xlpm.id),COUNTIF('9. RMF'!$M:$M,_xlpm.id),COUNTIF('10. PCU'!$M:$M,_xlpm.id))))</f>
        <v>0</v>
      </c>
    </row>
    <row r="1654" spans="1:9">
      <c r="A1654" t="s">
        <v>9638</v>
      </c>
      <c r="B1654" t="s">
        <v>9603</v>
      </c>
      <c r="C1654">
        <v>1838</v>
      </c>
      <c r="D1654">
        <v>1</v>
      </c>
      <c r="E1654" s="23">
        <v>37</v>
      </c>
      <c r="F1654" t="s">
        <v>8102</v>
      </c>
      <c r="G1654" t="s">
        <v>10484</v>
      </c>
      <c r="H1654" t="s">
        <v>8021</v>
      </c>
      <c r="I1654">
        <f>_xlfn.LET(_xlpm.id,TRIM($A1654),IF(_xlpm.id="","",SUM(COUNTIF('1. OP'!$M:$M,_xlpm.id),COUNTIF('2. JSEL'!$M:$M,_xlpm.id),COUNTIF('3. PSM'!$M:$M,_xlpm.id),COUNTIF('4. SSP'!$M:$M,_xlpm.id),COUNTIF('5. JSACI'!$M:$M,_xlpm.id),COUNTIF('6. AIN'!$M:$M,_xlpm.id),COUNTIF('7. MS'!$M:$M,_xlpm.id),COUNTIF('8. DS'!$M:$M,_xlpm.id),COUNTIF('9. RMF'!$M:$M,_xlpm.id),COUNTIF('10. PCU'!$M:$M,_xlpm.id))))</f>
        <v>0</v>
      </c>
    </row>
    <row r="1655" spans="1:9">
      <c r="A1655" t="s">
        <v>9639</v>
      </c>
      <c r="B1655" t="s">
        <v>9603</v>
      </c>
      <c r="C1655">
        <v>1839</v>
      </c>
      <c r="D1655">
        <v>1</v>
      </c>
      <c r="E1655" s="23">
        <v>38</v>
      </c>
      <c r="F1655" t="s">
        <v>8102</v>
      </c>
      <c r="G1655" t="s">
        <v>10484</v>
      </c>
      <c r="H1655" t="s">
        <v>8021</v>
      </c>
      <c r="I1655">
        <f>_xlfn.LET(_xlpm.id,TRIM($A1655),IF(_xlpm.id="","",SUM(COUNTIF('1. OP'!$M:$M,_xlpm.id),COUNTIF('2. JSEL'!$M:$M,_xlpm.id),COUNTIF('3. PSM'!$M:$M,_xlpm.id),COUNTIF('4. SSP'!$M:$M,_xlpm.id),COUNTIF('5. JSACI'!$M:$M,_xlpm.id),COUNTIF('6. AIN'!$M:$M,_xlpm.id),COUNTIF('7. MS'!$M:$M,_xlpm.id),COUNTIF('8. DS'!$M:$M,_xlpm.id),COUNTIF('9. RMF'!$M:$M,_xlpm.id),COUNTIF('10. PCU'!$M:$M,_xlpm.id))))</f>
        <v>0</v>
      </c>
    </row>
    <row r="1656" spans="1:9">
      <c r="A1656" t="s">
        <v>9640</v>
      </c>
      <c r="B1656" t="s">
        <v>9603</v>
      </c>
      <c r="C1656">
        <v>1840</v>
      </c>
      <c r="D1656">
        <v>1</v>
      </c>
      <c r="E1656" s="23">
        <v>39</v>
      </c>
      <c r="F1656" t="s">
        <v>8102</v>
      </c>
      <c r="G1656" t="s">
        <v>10484</v>
      </c>
      <c r="H1656" t="s">
        <v>8021</v>
      </c>
      <c r="I1656">
        <f>_xlfn.LET(_xlpm.id,TRIM($A1656),IF(_xlpm.id="","",SUM(COUNTIF('1. OP'!$M:$M,_xlpm.id),COUNTIF('2. JSEL'!$M:$M,_xlpm.id),COUNTIF('3. PSM'!$M:$M,_xlpm.id),COUNTIF('4. SSP'!$M:$M,_xlpm.id),COUNTIF('5. JSACI'!$M:$M,_xlpm.id),COUNTIF('6. AIN'!$M:$M,_xlpm.id),COUNTIF('7. MS'!$M:$M,_xlpm.id),COUNTIF('8. DS'!$M:$M,_xlpm.id),COUNTIF('9. RMF'!$M:$M,_xlpm.id),COUNTIF('10. PCU'!$M:$M,_xlpm.id))))</f>
        <v>0</v>
      </c>
    </row>
    <row r="1657" spans="1:9">
      <c r="A1657" t="s">
        <v>9641</v>
      </c>
      <c r="B1657" t="s">
        <v>9642</v>
      </c>
      <c r="C1657">
        <v>1789</v>
      </c>
      <c r="D1657">
        <v>1</v>
      </c>
      <c r="E1657" s="23">
        <v>1</v>
      </c>
      <c r="F1657" t="s">
        <v>8102</v>
      </c>
      <c r="G1657" t="s">
        <v>10484</v>
      </c>
      <c r="H1657" t="s">
        <v>8021</v>
      </c>
      <c r="I1657">
        <f>_xlfn.LET(_xlpm.id,TRIM($A1657),IF(_xlpm.id="","",SUM(COUNTIF('1. OP'!$M:$M,_xlpm.id),COUNTIF('2. JSEL'!$M:$M,_xlpm.id),COUNTIF('3. PSM'!$M:$M,_xlpm.id),COUNTIF('4. SSP'!$M:$M,_xlpm.id),COUNTIF('5. JSACI'!$M:$M,_xlpm.id),COUNTIF('6. AIN'!$M:$M,_xlpm.id),COUNTIF('7. MS'!$M:$M,_xlpm.id),COUNTIF('8. DS'!$M:$M,_xlpm.id),COUNTIF('9. RMF'!$M:$M,_xlpm.id),COUNTIF('10. PCU'!$M:$M,_xlpm.id))))</f>
        <v>0</v>
      </c>
    </row>
    <row r="1658" spans="1:9">
      <c r="A1658" t="s">
        <v>9643</v>
      </c>
      <c r="B1658" t="s">
        <v>9642</v>
      </c>
      <c r="C1658">
        <v>1789</v>
      </c>
      <c r="D1658">
        <v>1</v>
      </c>
      <c r="E1658" s="23">
        <v>2</v>
      </c>
      <c r="F1658" t="s">
        <v>8102</v>
      </c>
      <c r="G1658" t="s">
        <v>10484</v>
      </c>
      <c r="H1658" t="s">
        <v>8021</v>
      </c>
      <c r="I1658">
        <f>_xlfn.LET(_xlpm.id,TRIM($A1658),IF(_xlpm.id="","",SUM(COUNTIF('1. OP'!$M:$M,_xlpm.id),COUNTIF('2. JSEL'!$M:$M,_xlpm.id),COUNTIF('3. PSM'!$M:$M,_xlpm.id),COUNTIF('4. SSP'!$M:$M,_xlpm.id),COUNTIF('5. JSACI'!$M:$M,_xlpm.id),COUNTIF('6. AIN'!$M:$M,_xlpm.id),COUNTIF('7. MS'!$M:$M,_xlpm.id),COUNTIF('8. DS'!$M:$M,_xlpm.id),COUNTIF('9. RMF'!$M:$M,_xlpm.id),COUNTIF('10. PCU'!$M:$M,_xlpm.id))))</f>
        <v>0</v>
      </c>
    </row>
    <row r="1659" spans="1:9">
      <c r="A1659" t="s">
        <v>9644</v>
      </c>
      <c r="B1659" t="s">
        <v>9642</v>
      </c>
      <c r="C1659">
        <v>1789</v>
      </c>
      <c r="D1659">
        <v>1</v>
      </c>
      <c r="E1659" s="23">
        <v>3</v>
      </c>
      <c r="F1659" t="s">
        <v>8102</v>
      </c>
      <c r="G1659" t="s">
        <v>10484</v>
      </c>
      <c r="H1659" t="s">
        <v>8021</v>
      </c>
      <c r="I1659">
        <f>_xlfn.LET(_xlpm.id,TRIM($A1659),IF(_xlpm.id="","",SUM(COUNTIF('1. OP'!$M:$M,_xlpm.id),COUNTIF('2. JSEL'!$M:$M,_xlpm.id),COUNTIF('3. PSM'!$M:$M,_xlpm.id),COUNTIF('4. SSP'!$M:$M,_xlpm.id),COUNTIF('5. JSACI'!$M:$M,_xlpm.id),COUNTIF('6. AIN'!$M:$M,_xlpm.id),COUNTIF('7. MS'!$M:$M,_xlpm.id),COUNTIF('8. DS'!$M:$M,_xlpm.id),COUNTIF('9. RMF'!$M:$M,_xlpm.id),COUNTIF('10. PCU'!$M:$M,_xlpm.id))))</f>
        <v>0</v>
      </c>
    </row>
    <row r="1660" spans="1:9">
      <c r="A1660" t="s">
        <v>9645</v>
      </c>
      <c r="B1660" t="s">
        <v>9642</v>
      </c>
      <c r="C1660">
        <v>1790</v>
      </c>
      <c r="D1660">
        <v>1</v>
      </c>
      <c r="E1660" s="23">
        <v>4</v>
      </c>
      <c r="F1660" t="s">
        <v>8102</v>
      </c>
      <c r="G1660" t="s">
        <v>10484</v>
      </c>
      <c r="H1660" t="s">
        <v>8021</v>
      </c>
      <c r="I1660">
        <f>_xlfn.LET(_xlpm.id,TRIM($A1660),IF(_xlpm.id="","",SUM(COUNTIF('1. OP'!$M:$M,_xlpm.id),COUNTIF('2. JSEL'!$M:$M,_xlpm.id),COUNTIF('3. PSM'!$M:$M,_xlpm.id),COUNTIF('4. SSP'!$M:$M,_xlpm.id),COUNTIF('5. JSACI'!$M:$M,_xlpm.id),COUNTIF('6. AIN'!$M:$M,_xlpm.id),COUNTIF('7. MS'!$M:$M,_xlpm.id),COUNTIF('8. DS'!$M:$M,_xlpm.id),COUNTIF('9. RMF'!$M:$M,_xlpm.id),COUNTIF('10. PCU'!$M:$M,_xlpm.id))))</f>
        <v>0</v>
      </c>
    </row>
    <row r="1661" spans="1:9">
      <c r="A1661" t="s">
        <v>9646</v>
      </c>
      <c r="B1661" t="s">
        <v>9642</v>
      </c>
      <c r="C1661">
        <v>1790</v>
      </c>
      <c r="D1661">
        <v>1</v>
      </c>
      <c r="E1661" s="23">
        <v>5</v>
      </c>
      <c r="F1661" t="s">
        <v>8102</v>
      </c>
      <c r="G1661" t="s">
        <v>10484</v>
      </c>
      <c r="H1661" t="s">
        <v>8021</v>
      </c>
      <c r="I1661">
        <f>_xlfn.LET(_xlpm.id,TRIM($A1661),IF(_xlpm.id="","",SUM(COUNTIF('1. OP'!$M:$M,_xlpm.id),COUNTIF('2. JSEL'!$M:$M,_xlpm.id),COUNTIF('3. PSM'!$M:$M,_xlpm.id),COUNTIF('4. SSP'!$M:$M,_xlpm.id),COUNTIF('5. JSACI'!$M:$M,_xlpm.id),COUNTIF('6. AIN'!$M:$M,_xlpm.id),COUNTIF('7. MS'!$M:$M,_xlpm.id),COUNTIF('8. DS'!$M:$M,_xlpm.id),COUNTIF('9. RMF'!$M:$M,_xlpm.id),COUNTIF('10. PCU'!$M:$M,_xlpm.id))))</f>
        <v>0</v>
      </c>
    </row>
    <row r="1662" spans="1:9">
      <c r="A1662" t="s">
        <v>9647</v>
      </c>
      <c r="B1662" t="s">
        <v>9642</v>
      </c>
      <c r="C1662">
        <v>1790</v>
      </c>
      <c r="D1662">
        <v>1</v>
      </c>
      <c r="E1662" s="23">
        <v>6</v>
      </c>
      <c r="F1662" t="s">
        <v>8102</v>
      </c>
      <c r="G1662" t="s">
        <v>10484</v>
      </c>
      <c r="H1662" t="s">
        <v>8021</v>
      </c>
      <c r="I1662">
        <f>_xlfn.LET(_xlpm.id,TRIM($A1662),IF(_xlpm.id="","",SUM(COUNTIF('1. OP'!$M:$M,_xlpm.id),COUNTIF('2. JSEL'!$M:$M,_xlpm.id),COUNTIF('3. PSM'!$M:$M,_xlpm.id),COUNTIF('4. SSP'!$M:$M,_xlpm.id),COUNTIF('5. JSACI'!$M:$M,_xlpm.id),COUNTIF('6. AIN'!$M:$M,_xlpm.id),COUNTIF('7. MS'!$M:$M,_xlpm.id),COUNTIF('8. DS'!$M:$M,_xlpm.id),COUNTIF('9. RMF'!$M:$M,_xlpm.id),COUNTIF('10. PCU'!$M:$M,_xlpm.id))))</f>
        <v>0</v>
      </c>
    </row>
    <row r="1663" spans="1:9">
      <c r="A1663" t="s">
        <v>9648</v>
      </c>
      <c r="B1663" t="s">
        <v>9642</v>
      </c>
      <c r="C1663">
        <v>1790</v>
      </c>
      <c r="D1663">
        <v>1</v>
      </c>
      <c r="E1663" s="23">
        <v>7</v>
      </c>
      <c r="F1663" t="s">
        <v>8102</v>
      </c>
      <c r="G1663" t="s">
        <v>10484</v>
      </c>
      <c r="H1663" t="s">
        <v>8021</v>
      </c>
      <c r="I1663">
        <f>_xlfn.LET(_xlpm.id,TRIM($A1663),IF(_xlpm.id="","",SUM(COUNTIF('1. OP'!$M:$M,_xlpm.id),COUNTIF('2. JSEL'!$M:$M,_xlpm.id),COUNTIF('3. PSM'!$M:$M,_xlpm.id),COUNTIF('4. SSP'!$M:$M,_xlpm.id),COUNTIF('5. JSACI'!$M:$M,_xlpm.id),COUNTIF('6. AIN'!$M:$M,_xlpm.id),COUNTIF('7. MS'!$M:$M,_xlpm.id),COUNTIF('8. DS'!$M:$M,_xlpm.id),COUNTIF('9. RMF'!$M:$M,_xlpm.id),COUNTIF('10. PCU'!$M:$M,_xlpm.id))))</f>
        <v>0</v>
      </c>
    </row>
    <row r="1664" spans="1:9">
      <c r="A1664" t="s">
        <v>9649</v>
      </c>
      <c r="B1664" t="s">
        <v>9642</v>
      </c>
      <c r="C1664">
        <v>1791</v>
      </c>
      <c r="D1664">
        <v>1</v>
      </c>
      <c r="E1664" s="23">
        <v>8</v>
      </c>
      <c r="F1664" t="s">
        <v>8102</v>
      </c>
      <c r="G1664" t="s">
        <v>10484</v>
      </c>
      <c r="H1664" t="s">
        <v>8021</v>
      </c>
      <c r="I1664">
        <f>_xlfn.LET(_xlpm.id,TRIM($A1664),IF(_xlpm.id="","",SUM(COUNTIF('1. OP'!$M:$M,_xlpm.id),COUNTIF('2. JSEL'!$M:$M,_xlpm.id),COUNTIF('3. PSM'!$M:$M,_xlpm.id),COUNTIF('4. SSP'!$M:$M,_xlpm.id),COUNTIF('5. JSACI'!$M:$M,_xlpm.id),COUNTIF('6. AIN'!$M:$M,_xlpm.id),COUNTIF('7. MS'!$M:$M,_xlpm.id),COUNTIF('8. DS'!$M:$M,_xlpm.id),COUNTIF('9. RMF'!$M:$M,_xlpm.id),COUNTIF('10. PCU'!$M:$M,_xlpm.id))))</f>
        <v>0</v>
      </c>
    </row>
    <row r="1665" spans="1:9">
      <c r="A1665" t="s">
        <v>9650</v>
      </c>
      <c r="B1665" t="s">
        <v>9642</v>
      </c>
      <c r="C1665">
        <v>1791</v>
      </c>
      <c r="D1665">
        <v>1</v>
      </c>
      <c r="E1665" s="23">
        <v>9</v>
      </c>
      <c r="F1665" t="s">
        <v>8102</v>
      </c>
      <c r="G1665" t="s">
        <v>10484</v>
      </c>
      <c r="H1665" t="s">
        <v>8021</v>
      </c>
      <c r="I1665">
        <f>_xlfn.LET(_xlpm.id,TRIM($A1665),IF(_xlpm.id="","",SUM(COUNTIF('1. OP'!$M:$M,_xlpm.id),COUNTIF('2. JSEL'!$M:$M,_xlpm.id),COUNTIF('3. PSM'!$M:$M,_xlpm.id),COUNTIF('4. SSP'!$M:$M,_xlpm.id),COUNTIF('5. JSACI'!$M:$M,_xlpm.id),COUNTIF('6. AIN'!$M:$M,_xlpm.id),COUNTIF('7. MS'!$M:$M,_xlpm.id),COUNTIF('8. DS'!$M:$M,_xlpm.id),COUNTIF('9. RMF'!$M:$M,_xlpm.id),COUNTIF('10. PCU'!$M:$M,_xlpm.id))))</f>
        <v>0</v>
      </c>
    </row>
    <row r="1666" spans="1:9">
      <c r="A1666" t="s">
        <v>9651</v>
      </c>
      <c r="B1666" t="s">
        <v>9642</v>
      </c>
      <c r="C1666">
        <v>1791</v>
      </c>
      <c r="D1666">
        <v>1</v>
      </c>
      <c r="E1666" s="23">
        <v>10</v>
      </c>
      <c r="F1666" t="s">
        <v>8102</v>
      </c>
      <c r="G1666" t="s">
        <v>10484</v>
      </c>
      <c r="H1666" t="s">
        <v>8021</v>
      </c>
      <c r="I1666">
        <f>_xlfn.LET(_xlpm.id,TRIM($A1666),IF(_xlpm.id="","",SUM(COUNTIF('1. OP'!$M:$M,_xlpm.id),COUNTIF('2. JSEL'!$M:$M,_xlpm.id),COUNTIF('3. PSM'!$M:$M,_xlpm.id),COUNTIF('4. SSP'!$M:$M,_xlpm.id),COUNTIF('5. JSACI'!$M:$M,_xlpm.id),COUNTIF('6. AIN'!$M:$M,_xlpm.id),COUNTIF('7. MS'!$M:$M,_xlpm.id),COUNTIF('8. DS'!$M:$M,_xlpm.id),COUNTIF('9. RMF'!$M:$M,_xlpm.id),COUNTIF('10. PCU'!$M:$M,_xlpm.id))))</f>
        <v>0</v>
      </c>
    </row>
    <row r="1667" spans="1:9">
      <c r="A1667" t="s">
        <v>9652</v>
      </c>
      <c r="B1667" t="s">
        <v>9642</v>
      </c>
      <c r="C1667">
        <v>1791</v>
      </c>
      <c r="D1667">
        <v>1</v>
      </c>
      <c r="E1667" s="24" t="s">
        <v>9462</v>
      </c>
      <c r="F1667" t="s">
        <v>8102</v>
      </c>
      <c r="G1667" t="s">
        <v>10484</v>
      </c>
      <c r="H1667" t="s">
        <v>8021</v>
      </c>
      <c r="I1667">
        <f>_xlfn.LET(_xlpm.id,TRIM($A1667),IF(_xlpm.id="","",SUM(COUNTIF('1. OP'!$M:$M,_xlpm.id),COUNTIF('2. JSEL'!$M:$M,_xlpm.id),COUNTIF('3. PSM'!$M:$M,_xlpm.id),COUNTIF('4. SSP'!$M:$M,_xlpm.id),COUNTIF('5. JSACI'!$M:$M,_xlpm.id),COUNTIF('6. AIN'!$M:$M,_xlpm.id),COUNTIF('7. MS'!$M:$M,_xlpm.id),COUNTIF('8. DS'!$M:$M,_xlpm.id),COUNTIF('9. RMF'!$M:$M,_xlpm.id),COUNTIF('10. PCU'!$M:$M,_xlpm.id))))</f>
        <v>0</v>
      </c>
    </row>
    <row r="1668" spans="1:9">
      <c r="A1668" t="s">
        <v>9653</v>
      </c>
      <c r="B1668" t="s">
        <v>9642</v>
      </c>
      <c r="C1668">
        <v>1792</v>
      </c>
      <c r="D1668">
        <v>1</v>
      </c>
      <c r="E1668" s="23" t="s">
        <v>9464</v>
      </c>
      <c r="F1668" t="s">
        <v>8102</v>
      </c>
      <c r="G1668" t="s">
        <v>10484</v>
      </c>
      <c r="H1668" t="s">
        <v>8021</v>
      </c>
      <c r="I1668">
        <f>_xlfn.LET(_xlpm.id,TRIM($A1668),IF(_xlpm.id="","",SUM(COUNTIF('1. OP'!$M:$M,_xlpm.id),COUNTIF('2. JSEL'!$M:$M,_xlpm.id),COUNTIF('3. PSM'!$M:$M,_xlpm.id),COUNTIF('4. SSP'!$M:$M,_xlpm.id),COUNTIF('5. JSACI'!$M:$M,_xlpm.id),COUNTIF('6. AIN'!$M:$M,_xlpm.id),COUNTIF('7. MS'!$M:$M,_xlpm.id),COUNTIF('8. DS'!$M:$M,_xlpm.id),COUNTIF('9. RMF'!$M:$M,_xlpm.id),COUNTIF('10. PCU'!$M:$M,_xlpm.id))))</f>
        <v>0</v>
      </c>
    </row>
    <row r="1669" spans="1:9">
      <c r="A1669" t="s">
        <v>9654</v>
      </c>
      <c r="B1669" t="s">
        <v>9642</v>
      </c>
      <c r="C1669">
        <v>1792</v>
      </c>
      <c r="D1669">
        <v>1</v>
      </c>
      <c r="E1669" s="23">
        <v>15</v>
      </c>
      <c r="F1669" t="s">
        <v>8102</v>
      </c>
      <c r="G1669" t="s">
        <v>10484</v>
      </c>
      <c r="H1669" t="s">
        <v>8021</v>
      </c>
      <c r="I1669">
        <f>_xlfn.LET(_xlpm.id,TRIM($A1669),IF(_xlpm.id="","",SUM(COUNTIF('1. OP'!$M:$M,_xlpm.id),COUNTIF('2. JSEL'!$M:$M,_xlpm.id),COUNTIF('3. PSM'!$M:$M,_xlpm.id),COUNTIF('4. SSP'!$M:$M,_xlpm.id),COUNTIF('5. JSACI'!$M:$M,_xlpm.id),COUNTIF('6. AIN'!$M:$M,_xlpm.id),COUNTIF('7. MS'!$M:$M,_xlpm.id),COUNTIF('8. DS'!$M:$M,_xlpm.id),COUNTIF('9. RMF'!$M:$M,_xlpm.id),COUNTIF('10. PCU'!$M:$M,_xlpm.id))))</f>
        <v>0</v>
      </c>
    </row>
    <row r="1670" spans="1:9">
      <c r="A1670" t="s">
        <v>9655</v>
      </c>
      <c r="B1670" t="s">
        <v>9642</v>
      </c>
      <c r="C1670">
        <v>1793</v>
      </c>
      <c r="D1670">
        <v>1</v>
      </c>
      <c r="E1670" s="23">
        <v>16</v>
      </c>
      <c r="F1670" t="s">
        <v>8102</v>
      </c>
      <c r="G1670" t="s">
        <v>10484</v>
      </c>
      <c r="H1670" t="s">
        <v>8021</v>
      </c>
      <c r="I1670">
        <f>_xlfn.LET(_xlpm.id,TRIM($A1670),IF(_xlpm.id="","",SUM(COUNTIF('1. OP'!$M:$M,_xlpm.id),COUNTIF('2. JSEL'!$M:$M,_xlpm.id),COUNTIF('3. PSM'!$M:$M,_xlpm.id),COUNTIF('4. SSP'!$M:$M,_xlpm.id),COUNTIF('5. JSACI'!$M:$M,_xlpm.id),COUNTIF('6. AIN'!$M:$M,_xlpm.id),COUNTIF('7. MS'!$M:$M,_xlpm.id),COUNTIF('8. DS'!$M:$M,_xlpm.id),COUNTIF('9. RMF'!$M:$M,_xlpm.id),COUNTIF('10. PCU'!$M:$M,_xlpm.id))))</f>
        <v>0</v>
      </c>
    </row>
    <row r="1671" spans="1:9">
      <c r="A1671" t="s">
        <v>9656</v>
      </c>
      <c r="B1671" t="s">
        <v>9642</v>
      </c>
      <c r="C1671">
        <v>1793</v>
      </c>
      <c r="D1671">
        <v>1</v>
      </c>
      <c r="E1671" s="23" t="s">
        <v>9657</v>
      </c>
      <c r="F1671" t="s">
        <v>8102</v>
      </c>
      <c r="G1671" t="s">
        <v>10484</v>
      </c>
      <c r="H1671" t="s">
        <v>8021</v>
      </c>
      <c r="I1671">
        <f>_xlfn.LET(_xlpm.id,TRIM($A1671),IF(_xlpm.id="","",SUM(COUNTIF('1. OP'!$M:$M,_xlpm.id),COUNTIF('2. JSEL'!$M:$M,_xlpm.id),COUNTIF('3. PSM'!$M:$M,_xlpm.id),COUNTIF('4. SSP'!$M:$M,_xlpm.id),COUNTIF('5. JSACI'!$M:$M,_xlpm.id),COUNTIF('6. AIN'!$M:$M,_xlpm.id),COUNTIF('7. MS'!$M:$M,_xlpm.id),COUNTIF('8. DS'!$M:$M,_xlpm.id),COUNTIF('9. RMF'!$M:$M,_xlpm.id),COUNTIF('10. PCU'!$M:$M,_xlpm.id))))</f>
        <v>0</v>
      </c>
    </row>
    <row r="1672" spans="1:9">
      <c r="A1672" t="s">
        <v>9658</v>
      </c>
      <c r="B1672" t="s">
        <v>9642</v>
      </c>
      <c r="C1672">
        <v>1797</v>
      </c>
      <c r="D1672">
        <v>1</v>
      </c>
      <c r="E1672" s="23" t="s">
        <v>9659</v>
      </c>
      <c r="F1672" t="s">
        <v>8102</v>
      </c>
      <c r="G1672" t="s">
        <v>10484</v>
      </c>
      <c r="H1672" t="s">
        <v>8021</v>
      </c>
      <c r="I1672">
        <f>_xlfn.LET(_xlpm.id,TRIM($A1672),IF(_xlpm.id="","",SUM(COUNTIF('1. OP'!$M:$M,_xlpm.id),COUNTIF('2. JSEL'!$M:$M,_xlpm.id),COUNTIF('3. PSM'!$M:$M,_xlpm.id),COUNTIF('4. SSP'!$M:$M,_xlpm.id),COUNTIF('5. JSACI'!$M:$M,_xlpm.id),COUNTIF('6. AIN'!$M:$M,_xlpm.id),COUNTIF('7. MS'!$M:$M,_xlpm.id),COUNTIF('8. DS'!$M:$M,_xlpm.id),COUNTIF('9. RMF'!$M:$M,_xlpm.id),COUNTIF('10. PCU'!$M:$M,_xlpm.id))))</f>
        <v>0</v>
      </c>
    </row>
    <row r="1673" spans="1:9">
      <c r="A1673" t="s">
        <v>9660</v>
      </c>
      <c r="B1673" t="s">
        <v>9642</v>
      </c>
      <c r="C1673">
        <v>1797</v>
      </c>
      <c r="D1673">
        <v>1</v>
      </c>
      <c r="E1673" s="23" t="s">
        <v>9661</v>
      </c>
      <c r="F1673" t="s">
        <v>8102</v>
      </c>
      <c r="G1673" t="s">
        <v>10484</v>
      </c>
      <c r="H1673" t="s">
        <v>8021</v>
      </c>
      <c r="I1673">
        <f>_xlfn.LET(_xlpm.id,TRIM($A1673),IF(_xlpm.id="","",SUM(COUNTIF('1. OP'!$M:$M,_xlpm.id),COUNTIF('2. JSEL'!$M:$M,_xlpm.id),COUNTIF('3. PSM'!$M:$M,_xlpm.id),COUNTIF('4. SSP'!$M:$M,_xlpm.id),COUNTIF('5. JSACI'!$M:$M,_xlpm.id),COUNTIF('6. AIN'!$M:$M,_xlpm.id),COUNTIF('7. MS'!$M:$M,_xlpm.id),COUNTIF('8. DS'!$M:$M,_xlpm.id),COUNTIF('9. RMF'!$M:$M,_xlpm.id),COUNTIF('10. PCU'!$M:$M,_xlpm.id))))</f>
        <v>0</v>
      </c>
    </row>
    <row r="1674" spans="1:9">
      <c r="A1674" t="s">
        <v>9662</v>
      </c>
      <c r="B1674" t="s">
        <v>9642</v>
      </c>
      <c r="C1674">
        <v>1797</v>
      </c>
      <c r="D1674">
        <v>1</v>
      </c>
      <c r="E1674" s="23" t="s">
        <v>9663</v>
      </c>
      <c r="F1674" t="s">
        <v>8102</v>
      </c>
      <c r="G1674" t="s">
        <v>10484</v>
      </c>
      <c r="H1674" t="s">
        <v>8021</v>
      </c>
      <c r="I1674">
        <f>_xlfn.LET(_xlpm.id,TRIM($A1674),IF(_xlpm.id="","",SUM(COUNTIF('1. OP'!$M:$M,_xlpm.id),COUNTIF('2. JSEL'!$M:$M,_xlpm.id),COUNTIF('3. PSM'!$M:$M,_xlpm.id),COUNTIF('4. SSP'!$M:$M,_xlpm.id),COUNTIF('5. JSACI'!$M:$M,_xlpm.id),COUNTIF('6. AIN'!$M:$M,_xlpm.id),COUNTIF('7. MS'!$M:$M,_xlpm.id),COUNTIF('8. DS'!$M:$M,_xlpm.id),COUNTIF('9. RMF'!$M:$M,_xlpm.id),COUNTIF('10. PCU'!$M:$M,_xlpm.id))))</f>
        <v>0</v>
      </c>
    </row>
    <row r="1675" spans="1:9">
      <c r="A1675" t="s">
        <v>9664</v>
      </c>
      <c r="B1675" t="s">
        <v>9642</v>
      </c>
      <c r="C1675">
        <v>1798</v>
      </c>
      <c r="D1675">
        <v>1</v>
      </c>
      <c r="E1675" s="23" t="s">
        <v>9665</v>
      </c>
      <c r="F1675" t="s">
        <v>8102</v>
      </c>
      <c r="G1675" t="s">
        <v>10484</v>
      </c>
      <c r="H1675" t="s">
        <v>8021</v>
      </c>
      <c r="I1675">
        <f>_xlfn.LET(_xlpm.id,TRIM($A1675),IF(_xlpm.id="","",SUM(COUNTIF('1. OP'!$M:$M,_xlpm.id),COUNTIF('2. JSEL'!$M:$M,_xlpm.id),COUNTIF('3. PSM'!$M:$M,_xlpm.id),COUNTIF('4. SSP'!$M:$M,_xlpm.id),COUNTIF('5. JSACI'!$M:$M,_xlpm.id),COUNTIF('6. AIN'!$M:$M,_xlpm.id),COUNTIF('7. MS'!$M:$M,_xlpm.id),COUNTIF('8. DS'!$M:$M,_xlpm.id),COUNTIF('9. RMF'!$M:$M,_xlpm.id),COUNTIF('10. PCU'!$M:$M,_xlpm.id))))</f>
        <v>0</v>
      </c>
    </row>
    <row r="1676" spans="1:9">
      <c r="A1676" t="s">
        <v>9666</v>
      </c>
      <c r="B1676" t="s">
        <v>9642</v>
      </c>
      <c r="C1676">
        <v>1798</v>
      </c>
      <c r="D1676">
        <v>1</v>
      </c>
      <c r="E1676" s="23">
        <v>27</v>
      </c>
      <c r="F1676" t="s">
        <v>8102</v>
      </c>
      <c r="G1676" t="s">
        <v>10484</v>
      </c>
      <c r="H1676" t="s">
        <v>8021</v>
      </c>
      <c r="I1676">
        <f>_xlfn.LET(_xlpm.id,TRIM($A1676),IF(_xlpm.id="","",SUM(COUNTIF('1. OP'!$M:$M,_xlpm.id),COUNTIF('2. JSEL'!$M:$M,_xlpm.id),COUNTIF('3. PSM'!$M:$M,_xlpm.id),COUNTIF('4. SSP'!$M:$M,_xlpm.id),COUNTIF('5. JSACI'!$M:$M,_xlpm.id),COUNTIF('6. AIN'!$M:$M,_xlpm.id),COUNTIF('7. MS'!$M:$M,_xlpm.id),COUNTIF('8. DS'!$M:$M,_xlpm.id),COUNTIF('9. RMF'!$M:$M,_xlpm.id),COUNTIF('10. PCU'!$M:$M,_xlpm.id))))</f>
        <v>0</v>
      </c>
    </row>
    <row r="1677" spans="1:9">
      <c r="A1677" t="s">
        <v>9667</v>
      </c>
      <c r="B1677" t="s">
        <v>9642</v>
      </c>
      <c r="C1677">
        <v>1799</v>
      </c>
      <c r="D1677">
        <v>1</v>
      </c>
      <c r="E1677" s="23">
        <v>28</v>
      </c>
      <c r="F1677" t="s">
        <v>8102</v>
      </c>
      <c r="G1677" t="s">
        <v>10484</v>
      </c>
      <c r="H1677" t="s">
        <v>8021</v>
      </c>
      <c r="I1677">
        <f>_xlfn.LET(_xlpm.id,TRIM($A1677),IF(_xlpm.id="","",SUM(COUNTIF('1. OP'!$M:$M,_xlpm.id),COUNTIF('2. JSEL'!$M:$M,_xlpm.id),COUNTIF('3. PSM'!$M:$M,_xlpm.id),COUNTIF('4. SSP'!$M:$M,_xlpm.id),COUNTIF('5. JSACI'!$M:$M,_xlpm.id),COUNTIF('6. AIN'!$M:$M,_xlpm.id),COUNTIF('7. MS'!$M:$M,_xlpm.id),COUNTIF('8. DS'!$M:$M,_xlpm.id),COUNTIF('9. RMF'!$M:$M,_xlpm.id),COUNTIF('10. PCU'!$M:$M,_xlpm.id))))</f>
        <v>0</v>
      </c>
    </row>
    <row r="1678" spans="1:9">
      <c r="A1678" t="s">
        <v>9668</v>
      </c>
      <c r="B1678" t="s">
        <v>9642</v>
      </c>
      <c r="C1678">
        <v>1799</v>
      </c>
      <c r="D1678">
        <v>1</v>
      </c>
      <c r="E1678" s="23" t="s">
        <v>9447</v>
      </c>
      <c r="F1678" t="s">
        <v>8102</v>
      </c>
      <c r="G1678" t="s">
        <v>10484</v>
      </c>
      <c r="H1678" t="s">
        <v>8021</v>
      </c>
      <c r="I1678">
        <f>_xlfn.LET(_xlpm.id,TRIM($A1678),IF(_xlpm.id="","",SUM(COUNTIF('1. OP'!$M:$M,_xlpm.id),COUNTIF('2. JSEL'!$M:$M,_xlpm.id),COUNTIF('3. PSM'!$M:$M,_xlpm.id),COUNTIF('4. SSP'!$M:$M,_xlpm.id),COUNTIF('5. JSACI'!$M:$M,_xlpm.id),COUNTIF('6. AIN'!$M:$M,_xlpm.id),COUNTIF('7. MS'!$M:$M,_xlpm.id),COUNTIF('8. DS'!$M:$M,_xlpm.id),COUNTIF('9. RMF'!$M:$M,_xlpm.id),COUNTIF('10. PCU'!$M:$M,_xlpm.id))))</f>
        <v>0</v>
      </c>
    </row>
    <row r="1679" spans="1:9">
      <c r="A1679" t="s">
        <v>9669</v>
      </c>
      <c r="B1679" t="s">
        <v>9642</v>
      </c>
      <c r="C1679">
        <v>1800</v>
      </c>
      <c r="D1679">
        <v>1</v>
      </c>
      <c r="E1679" s="23" t="s">
        <v>9449</v>
      </c>
      <c r="F1679" t="s">
        <v>8102</v>
      </c>
      <c r="G1679" t="s">
        <v>10484</v>
      </c>
      <c r="H1679" t="s">
        <v>8021</v>
      </c>
      <c r="I1679">
        <f>_xlfn.LET(_xlpm.id,TRIM($A1679),IF(_xlpm.id="","",SUM(COUNTIF('1. OP'!$M:$M,_xlpm.id),COUNTIF('2. JSEL'!$M:$M,_xlpm.id),COUNTIF('3. PSM'!$M:$M,_xlpm.id),COUNTIF('4. SSP'!$M:$M,_xlpm.id),COUNTIF('5. JSACI'!$M:$M,_xlpm.id),COUNTIF('6. AIN'!$M:$M,_xlpm.id),COUNTIF('7. MS'!$M:$M,_xlpm.id),COUNTIF('8. DS'!$M:$M,_xlpm.id),COUNTIF('9. RMF'!$M:$M,_xlpm.id),COUNTIF('10. PCU'!$M:$M,_xlpm.id))))</f>
        <v>0</v>
      </c>
    </row>
    <row r="1680" spans="1:9">
      <c r="A1680" t="s">
        <v>9670</v>
      </c>
      <c r="B1680" t="s">
        <v>9642</v>
      </c>
      <c r="C1680">
        <v>1800</v>
      </c>
      <c r="D1680">
        <v>1</v>
      </c>
      <c r="E1680" s="23" t="s">
        <v>9451</v>
      </c>
      <c r="F1680" t="s">
        <v>8102</v>
      </c>
      <c r="G1680" t="s">
        <v>10484</v>
      </c>
      <c r="H1680" t="s">
        <v>8021</v>
      </c>
      <c r="I1680">
        <f>_xlfn.LET(_xlpm.id,TRIM($A1680),IF(_xlpm.id="","",SUM(COUNTIF('1. OP'!$M:$M,_xlpm.id),COUNTIF('2. JSEL'!$M:$M,_xlpm.id),COUNTIF('3. PSM'!$M:$M,_xlpm.id),COUNTIF('4. SSP'!$M:$M,_xlpm.id),COUNTIF('5. JSACI'!$M:$M,_xlpm.id),COUNTIF('6. AIN'!$M:$M,_xlpm.id),COUNTIF('7. MS'!$M:$M,_xlpm.id),COUNTIF('8. DS'!$M:$M,_xlpm.id),COUNTIF('9. RMF'!$M:$M,_xlpm.id),COUNTIF('10. PCU'!$M:$M,_xlpm.id))))</f>
        <v>0</v>
      </c>
    </row>
    <row r="1681" spans="1:9">
      <c r="A1681" t="s">
        <v>9671</v>
      </c>
      <c r="B1681" t="s">
        <v>9642</v>
      </c>
      <c r="C1681">
        <v>1800</v>
      </c>
      <c r="D1681">
        <v>1</v>
      </c>
      <c r="E1681" s="23" t="s">
        <v>9453</v>
      </c>
      <c r="F1681" t="s">
        <v>8102</v>
      </c>
      <c r="G1681" t="s">
        <v>10484</v>
      </c>
      <c r="H1681" t="s">
        <v>8021</v>
      </c>
      <c r="I1681">
        <f>_xlfn.LET(_xlpm.id,TRIM($A1681),IF(_xlpm.id="","",SUM(COUNTIF('1. OP'!$M:$M,_xlpm.id),COUNTIF('2. JSEL'!$M:$M,_xlpm.id),COUNTIF('3. PSM'!$M:$M,_xlpm.id),COUNTIF('4. SSP'!$M:$M,_xlpm.id),COUNTIF('5. JSACI'!$M:$M,_xlpm.id),COUNTIF('6. AIN'!$M:$M,_xlpm.id),COUNTIF('7. MS'!$M:$M,_xlpm.id),COUNTIF('8. DS'!$M:$M,_xlpm.id),COUNTIF('9. RMF'!$M:$M,_xlpm.id),COUNTIF('10. PCU'!$M:$M,_xlpm.id))))</f>
        <v>0</v>
      </c>
    </row>
    <row r="1682" spans="1:9">
      <c r="A1682" t="s">
        <v>9672</v>
      </c>
      <c r="B1682" t="s">
        <v>9642</v>
      </c>
      <c r="C1682">
        <v>1801</v>
      </c>
      <c r="D1682">
        <v>1</v>
      </c>
      <c r="E1682" s="23">
        <v>37</v>
      </c>
      <c r="F1682" t="s">
        <v>8102</v>
      </c>
      <c r="G1682" t="s">
        <v>10484</v>
      </c>
      <c r="H1682" t="s">
        <v>8021</v>
      </c>
      <c r="I1682">
        <f>_xlfn.LET(_xlpm.id,TRIM($A1682),IF(_xlpm.id="","",SUM(COUNTIF('1. OP'!$M:$M,_xlpm.id),COUNTIF('2. JSEL'!$M:$M,_xlpm.id),COUNTIF('3. PSM'!$M:$M,_xlpm.id),COUNTIF('4. SSP'!$M:$M,_xlpm.id),COUNTIF('5. JSACI'!$M:$M,_xlpm.id),COUNTIF('6. AIN'!$M:$M,_xlpm.id),COUNTIF('7. MS'!$M:$M,_xlpm.id),COUNTIF('8. DS'!$M:$M,_xlpm.id),COUNTIF('9. RMF'!$M:$M,_xlpm.id),COUNTIF('10. PCU'!$M:$M,_xlpm.id))))</f>
        <v>0</v>
      </c>
    </row>
    <row r="1683" spans="1:9">
      <c r="A1683" t="s">
        <v>9673</v>
      </c>
      <c r="B1683" t="s">
        <v>9642</v>
      </c>
      <c r="C1683">
        <v>1801</v>
      </c>
      <c r="D1683">
        <v>1</v>
      </c>
      <c r="E1683" s="23">
        <v>38</v>
      </c>
      <c r="F1683" t="s">
        <v>8102</v>
      </c>
      <c r="G1683" t="s">
        <v>10484</v>
      </c>
      <c r="H1683" t="s">
        <v>8021</v>
      </c>
      <c r="I1683">
        <f>_xlfn.LET(_xlpm.id,TRIM($A1683),IF(_xlpm.id="","",SUM(COUNTIF('1. OP'!$M:$M,_xlpm.id),COUNTIF('2. JSEL'!$M:$M,_xlpm.id),COUNTIF('3. PSM'!$M:$M,_xlpm.id),COUNTIF('4. SSP'!$M:$M,_xlpm.id),COUNTIF('5. JSACI'!$M:$M,_xlpm.id),COUNTIF('6. AIN'!$M:$M,_xlpm.id),COUNTIF('7. MS'!$M:$M,_xlpm.id),COUNTIF('8. DS'!$M:$M,_xlpm.id),COUNTIF('9. RMF'!$M:$M,_xlpm.id),COUNTIF('10. PCU'!$M:$M,_xlpm.id))))</f>
        <v>0</v>
      </c>
    </row>
    <row r="1684" spans="1:9">
      <c r="A1684" t="s">
        <v>9674</v>
      </c>
      <c r="B1684" t="s">
        <v>9642</v>
      </c>
      <c r="C1684">
        <v>1801</v>
      </c>
      <c r="D1684">
        <v>1</v>
      </c>
      <c r="E1684" s="23">
        <v>39</v>
      </c>
      <c r="F1684" t="s">
        <v>8102</v>
      </c>
      <c r="G1684" t="s">
        <v>10484</v>
      </c>
      <c r="H1684" t="s">
        <v>8021</v>
      </c>
      <c r="I1684">
        <f>_xlfn.LET(_xlpm.id,TRIM($A1684),IF(_xlpm.id="","",SUM(COUNTIF('1. OP'!$M:$M,_xlpm.id),COUNTIF('2. JSEL'!$M:$M,_xlpm.id),COUNTIF('3. PSM'!$M:$M,_xlpm.id),COUNTIF('4. SSP'!$M:$M,_xlpm.id),COUNTIF('5. JSACI'!$M:$M,_xlpm.id),COUNTIF('6. AIN'!$M:$M,_xlpm.id),COUNTIF('7. MS'!$M:$M,_xlpm.id),COUNTIF('8. DS'!$M:$M,_xlpm.id),COUNTIF('9. RMF'!$M:$M,_xlpm.id),COUNTIF('10. PCU'!$M:$M,_xlpm.id))))</f>
        <v>0</v>
      </c>
    </row>
    <row r="1685" spans="1:9">
      <c r="A1685" t="s">
        <v>9675</v>
      </c>
      <c r="B1685" t="s">
        <v>9642</v>
      </c>
      <c r="C1685">
        <v>1801</v>
      </c>
      <c r="D1685">
        <v>1</v>
      </c>
      <c r="E1685" s="23">
        <v>40</v>
      </c>
      <c r="F1685" t="s">
        <v>8102</v>
      </c>
      <c r="G1685" t="s">
        <v>10484</v>
      </c>
      <c r="H1685" t="s">
        <v>8021</v>
      </c>
      <c r="I1685">
        <f>_xlfn.LET(_xlpm.id,TRIM($A1685),IF(_xlpm.id="","",SUM(COUNTIF('1. OP'!$M:$M,_xlpm.id),COUNTIF('2. JSEL'!$M:$M,_xlpm.id),COUNTIF('3. PSM'!$M:$M,_xlpm.id),COUNTIF('4. SSP'!$M:$M,_xlpm.id),COUNTIF('5. JSACI'!$M:$M,_xlpm.id),COUNTIF('6. AIN'!$M:$M,_xlpm.id),COUNTIF('7. MS'!$M:$M,_xlpm.id),COUNTIF('8. DS'!$M:$M,_xlpm.id),COUNTIF('9. RMF'!$M:$M,_xlpm.id),COUNTIF('10. PCU'!$M:$M,_xlpm.id))))</f>
        <v>0</v>
      </c>
    </row>
    <row r="1686" spans="1:9">
      <c r="A1686" t="s">
        <v>9676</v>
      </c>
      <c r="B1686" t="s">
        <v>9642</v>
      </c>
      <c r="C1686">
        <v>1801</v>
      </c>
      <c r="D1686">
        <v>1</v>
      </c>
      <c r="E1686" s="23">
        <v>41</v>
      </c>
      <c r="F1686" t="s">
        <v>8102</v>
      </c>
      <c r="G1686" t="s">
        <v>10484</v>
      </c>
      <c r="H1686" t="s">
        <v>8021</v>
      </c>
      <c r="I1686">
        <f>_xlfn.LET(_xlpm.id,TRIM($A1686),IF(_xlpm.id="","",SUM(COUNTIF('1. OP'!$M:$M,_xlpm.id),COUNTIF('2. JSEL'!$M:$M,_xlpm.id),COUNTIF('3. PSM'!$M:$M,_xlpm.id),COUNTIF('4. SSP'!$M:$M,_xlpm.id),COUNTIF('5. JSACI'!$M:$M,_xlpm.id),COUNTIF('6. AIN'!$M:$M,_xlpm.id),COUNTIF('7. MS'!$M:$M,_xlpm.id),COUNTIF('8. DS'!$M:$M,_xlpm.id),COUNTIF('9. RMF'!$M:$M,_xlpm.id),COUNTIF('10. PCU'!$M:$M,_xlpm.id))))</f>
        <v>0</v>
      </c>
    </row>
    <row r="1687" spans="1:9">
      <c r="A1687" t="s">
        <v>9677</v>
      </c>
      <c r="B1687" t="s">
        <v>9642</v>
      </c>
      <c r="C1687">
        <v>1802</v>
      </c>
      <c r="D1687">
        <v>1</v>
      </c>
      <c r="E1687" s="23">
        <v>42</v>
      </c>
      <c r="F1687" t="s">
        <v>8102</v>
      </c>
      <c r="G1687" t="s">
        <v>10484</v>
      </c>
      <c r="H1687" t="s">
        <v>8021</v>
      </c>
      <c r="I1687">
        <f>_xlfn.LET(_xlpm.id,TRIM($A1687),IF(_xlpm.id="","",SUM(COUNTIF('1. OP'!$M:$M,_xlpm.id),COUNTIF('2. JSEL'!$M:$M,_xlpm.id),COUNTIF('3. PSM'!$M:$M,_xlpm.id),COUNTIF('4. SSP'!$M:$M,_xlpm.id),COUNTIF('5. JSACI'!$M:$M,_xlpm.id),COUNTIF('6. AIN'!$M:$M,_xlpm.id),COUNTIF('7. MS'!$M:$M,_xlpm.id),COUNTIF('8. DS'!$M:$M,_xlpm.id),COUNTIF('9. RMF'!$M:$M,_xlpm.id),COUNTIF('10. PCU'!$M:$M,_xlpm.id))))</f>
        <v>0</v>
      </c>
    </row>
    <row r="1688" spans="1:9">
      <c r="A1688" t="s">
        <v>9678</v>
      </c>
      <c r="B1688" t="s">
        <v>9642</v>
      </c>
      <c r="C1688">
        <v>1802</v>
      </c>
      <c r="D1688">
        <v>1</v>
      </c>
      <c r="E1688" s="23">
        <v>43</v>
      </c>
      <c r="F1688" t="s">
        <v>8102</v>
      </c>
      <c r="G1688" t="s">
        <v>10484</v>
      </c>
      <c r="H1688" t="s">
        <v>8021</v>
      </c>
      <c r="I1688">
        <f>_xlfn.LET(_xlpm.id,TRIM($A1688),IF(_xlpm.id="","",SUM(COUNTIF('1. OP'!$M:$M,_xlpm.id),COUNTIF('2. JSEL'!$M:$M,_xlpm.id),COUNTIF('3. PSM'!$M:$M,_xlpm.id),COUNTIF('4. SSP'!$M:$M,_xlpm.id),COUNTIF('5. JSACI'!$M:$M,_xlpm.id),COUNTIF('6. AIN'!$M:$M,_xlpm.id),COUNTIF('7. MS'!$M:$M,_xlpm.id),COUNTIF('8. DS'!$M:$M,_xlpm.id),COUNTIF('9. RMF'!$M:$M,_xlpm.id),COUNTIF('10. PCU'!$M:$M,_xlpm.id))))</f>
        <v>0</v>
      </c>
    </row>
    <row r="1689" spans="1:9">
      <c r="A1689" t="s">
        <v>9679</v>
      </c>
      <c r="B1689" t="s">
        <v>9642</v>
      </c>
      <c r="C1689">
        <v>1802</v>
      </c>
      <c r="D1689">
        <v>1</v>
      </c>
      <c r="E1689" s="23">
        <v>44</v>
      </c>
      <c r="F1689" t="s">
        <v>8102</v>
      </c>
      <c r="G1689" t="s">
        <v>10484</v>
      </c>
      <c r="H1689" t="s">
        <v>8021</v>
      </c>
      <c r="I1689">
        <f>_xlfn.LET(_xlpm.id,TRIM($A1689),IF(_xlpm.id="","",SUM(COUNTIF('1. OP'!$M:$M,_xlpm.id),COUNTIF('2. JSEL'!$M:$M,_xlpm.id),COUNTIF('3. PSM'!$M:$M,_xlpm.id),COUNTIF('4. SSP'!$M:$M,_xlpm.id),COUNTIF('5. JSACI'!$M:$M,_xlpm.id),COUNTIF('6. AIN'!$M:$M,_xlpm.id),COUNTIF('7. MS'!$M:$M,_xlpm.id),COUNTIF('8. DS'!$M:$M,_xlpm.id),COUNTIF('9. RMF'!$M:$M,_xlpm.id),COUNTIF('10. PCU'!$M:$M,_xlpm.id))))</f>
        <v>0</v>
      </c>
    </row>
    <row r="1690" spans="1:9">
      <c r="A1690" t="s">
        <v>9680</v>
      </c>
      <c r="B1690" t="s">
        <v>9642</v>
      </c>
      <c r="C1690">
        <v>1802</v>
      </c>
      <c r="D1690">
        <v>1</v>
      </c>
      <c r="E1690" s="23">
        <v>45</v>
      </c>
      <c r="F1690" t="s">
        <v>8102</v>
      </c>
      <c r="G1690" t="s">
        <v>10484</v>
      </c>
      <c r="H1690" t="s">
        <v>8021</v>
      </c>
      <c r="I1690">
        <f>_xlfn.LET(_xlpm.id,TRIM($A1690),IF(_xlpm.id="","",SUM(COUNTIF('1. OP'!$M:$M,_xlpm.id),COUNTIF('2. JSEL'!$M:$M,_xlpm.id),COUNTIF('3. PSM'!$M:$M,_xlpm.id),COUNTIF('4. SSP'!$M:$M,_xlpm.id),COUNTIF('5. JSACI'!$M:$M,_xlpm.id),COUNTIF('6. AIN'!$M:$M,_xlpm.id),COUNTIF('7. MS'!$M:$M,_xlpm.id),COUNTIF('8. DS'!$M:$M,_xlpm.id),COUNTIF('9. RMF'!$M:$M,_xlpm.id),COUNTIF('10. PCU'!$M:$M,_xlpm.id))))</f>
        <v>0</v>
      </c>
    </row>
    <row r="1691" spans="1:9">
      <c r="A1691" t="s">
        <v>9681</v>
      </c>
      <c r="B1691" t="s">
        <v>9642</v>
      </c>
      <c r="C1691">
        <v>1803</v>
      </c>
      <c r="D1691">
        <v>1</v>
      </c>
      <c r="E1691" s="23">
        <v>46</v>
      </c>
      <c r="F1691" t="s">
        <v>8102</v>
      </c>
      <c r="G1691" t="s">
        <v>10484</v>
      </c>
      <c r="H1691" t="s">
        <v>8021</v>
      </c>
      <c r="I1691">
        <f>_xlfn.LET(_xlpm.id,TRIM($A1691),IF(_xlpm.id="","",SUM(COUNTIF('1. OP'!$M:$M,_xlpm.id),COUNTIF('2. JSEL'!$M:$M,_xlpm.id),COUNTIF('3. PSM'!$M:$M,_xlpm.id),COUNTIF('4. SSP'!$M:$M,_xlpm.id),COUNTIF('5. JSACI'!$M:$M,_xlpm.id),COUNTIF('6. AIN'!$M:$M,_xlpm.id),COUNTIF('7. MS'!$M:$M,_xlpm.id),COUNTIF('8. DS'!$M:$M,_xlpm.id),COUNTIF('9. RMF'!$M:$M,_xlpm.id),COUNTIF('10. PCU'!$M:$M,_xlpm.id))))</f>
        <v>0</v>
      </c>
    </row>
    <row r="1692" spans="1:9">
      <c r="A1692" t="s">
        <v>9682</v>
      </c>
      <c r="B1692" t="s">
        <v>9642</v>
      </c>
      <c r="C1692">
        <v>1803</v>
      </c>
      <c r="D1692">
        <v>1</v>
      </c>
      <c r="E1692" s="23">
        <v>47</v>
      </c>
      <c r="F1692" t="s">
        <v>8102</v>
      </c>
      <c r="G1692" t="s">
        <v>10484</v>
      </c>
      <c r="H1692" t="s">
        <v>8021</v>
      </c>
      <c r="I1692">
        <f>_xlfn.LET(_xlpm.id,TRIM($A1692),IF(_xlpm.id="","",SUM(COUNTIF('1. OP'!$M:$M,_xlpm.id),COUNTIF('2. JSEL'!$M:$M,_xlpm.id),COUNTIF('3. PSM'!$M:$M,_xlpm.id),COUNTIF('4. SSP'!$M:$M,_xlpm.id),COUNTIF('5. JSACI'!$M:$M,_xlpm.id),COUNTIF('6. AIN'!$M:$M,_xlpm.id),COUNTIF('7. MS'!$M:$M,_xlpm.id),COUNTIF('8. DS'!$M:$M,_xlpm.id),COUNTIF('9. RMF'!$M:$M,_xlpm.id),COUNTIF('10. PCU'!$M:$M,_xlpm.id))))</f>
        <v>0</v>
      </c>
    </row>
    <row r="1693" spans="1:9">
      <c r="A1693" t="s">
        <v>9683</v>
      </c>
      <c r="B1693" t="s">
        <v>9642</v>
      </c>
      <c r="C1693">
        <v>1803</v>
      </c>
      <c r="D1693">
        <v>1</v>
      </c>
      <c r="E1693" s="23">
        <v>48</v>
      </c>
      <c r="F1693" t="s">
        <v>8102</v>
      </c>
      <c r="G1693" t="s">
        <v>10484</v>
      </c>
      <c r="H1693" t="s">
        <v>8021</v>
      </c>
      <c r="I1693">
        <f>_xlfn.LET(_xlpm.id,TRIM($A1693),IF(_xlpm.id="","",SUM(COUNTIF('1. OP'!$M:$M,_xlpm.id),COUNTIF('2. JSEL'!$M:$M,_xlpm.id),COUNTIF('3. PSM'!$M:$M,_xlpm.id),COUNTIF('4. SSP'!$M:$M,_xlpm.id),COUNTIF('5. JSACI'!$M:$M,_xlpm.id),COUNTIF('6. AIN'!$M:$M,_xlpm.id),COUNTIF('7. MS'!$M:$M,_xlpm.id),COUNTIF('8. DS'!$M:$M,_xlpm.id),COUNTIF('9. RMF'!$M:$M,_xlpm.id),COUNTIF('10. PCU'!$M:$M,_xlpm.id))))</f>
        <v>0</v>
      </c>
    </row>
    <row r="1694" spans="1:9">
      <c r="A1694" t="s">
        <v>9684</v>
      </c>
      <c r="B1694" t="s">
        <v>9642</v>
      </c>
      <c r="C1694">
        <v>1803</v>
      </c>
      <c r="D1694">
        <v>1</v>
      </c>
      <c r="E1694" s="23" t="s">
        <v>9685</v>
      </c>
      <c r="F1694" t="s">
        <v>8102</v>
      </c>
      <c r="G1694" t="s">
        <v>10484</v>
      </c>
      <c r="H1694" t="s">
        <v>8021</v>
      </c>
      <c r="I1694">
        <f>_xlfn.LET(_xlpm.id,TRIM($A1694),IF(_xlpm.id="","",SUM(COUNTIF('1. OP'!$M:$M,_xlpm.id),COUNTIF('2. JSEL'!$M:$M,_xlpm.id),COUNTIF('3. PSM'!$M:$M,_xlpm.id),COUNTIF('4. SSP'!$M:$M,_xlpm.id),COUNTIF('5. JSACI'!$M:$M,_xlpm.id),COUNTIF('6. AIN'!$M:$M,_xlpm.id),COUNTIF('7. MS'!$M:$M,_xlpm.id),COUNTIF('8. DS'!$M:$M,_xlpm.id),COUNTIF('9. RMF'!$M:$M,_xlpm.id),COUNTIF('10. PCU'!$M:$M,_xlpm.id))))</f>
        <v>0</v>
      </c>
    </row>
    <row r="1695" spans="1:9">
      <c r="A1695" t="s">
        <v>9686</v>
      </c>
      <c r="B1695" t="s">
        <v>9642</v>
      </c>
      <c r="C1695">
        <v>1803</v>
      </c>
      <c r="D1695">
        <v>1</v>
      </c>
      <c r="E1695" s="23" t="s">
        <v>9687</v>
      </c>
      <c r="F1695" t="s">
        <v>8102</v>
      </c>
      <c r="G1695" t="s">
        <v>10484</v>
      </c>
      <c r="H1695" t="s">
        <v>8021</v>
      </c>
      <c r="I1695">
        <f>_xlfn.LET(_xlpm.id,TRIM($A1695),IF(_xlpm.id="","",SUM(COUNTIF('1. OP'!$M:$M,_xlpm.id),COUNTIF('2. JSEL'!$M:$M,_xlpm.id),COUNTIF('3. PSM'!$M:$M,_xlpm.id),COUNTIF('4. SSP'!$M:$M,_xlpm.id),COUNTIF('5. JSACI'!$M:$M,_xlpm.id),COUNTIF('6. AIN'!$M:$M,_xlpm.id),COUNTIF('7. MS'!$M:$M,_xlpm.id),COUNTIF('8. DS'!$M:$M,_xlpm.id),COUNTIF('9. RMF'!$M:$M,_xlpm.id),COUNTIF('10. PCU'!$M:$M,_xlpm.id))))</f>
        <v>0</v>
      </c>
    </row>
    <row r="1696" spans="1:9">
      <c r="A1696" t="s">
        <v>9688</v>
      </c>
      <c r="B1696" t="s">
        <v>9642</v>
      </c>
      <c r="C1696">
        <v>1804</v>
      </c>
      <c r="D1696">
        <v>1</v>
      </c>
      <c r="E1696" s="23" t="s">
        <v>9689</v>
      </c>
      <c r="F1696" t="s">
        <v>8102</v>
      </c>
      <c r="G1696" t="s">
        <v>10484</v>
      </c>
      <c r="H1696" t="s">
        <v>8021</v>
      </c>
      <c r="I1696">
        <f>_xlfn.LET(_xlpm.id,TRIM($A1696),IF(_xlpm.id="","",SUM(COUNTIF('1. OP'!$M:$M,_xlpm.id),COUNTIF('2. JSEL'!$M:$M,_xlpm.id),COUNTIF('3. PSM'!$M:$M,_xlpm.id),COUNTIF('4. SSP'!$M:$M,_xlpm.id),COUNTIF('5. JSACI'!$M:$M,_xlpm.id),COUNTIF('6. AIN'!$M:$M,_xlpm.id),COUNTIF('7. MS'!$M:$M,_xlpm.id),COUNTIF('8. DS'!$M:$M,_xlpm.id),COUNTIF('9. RMF'!$M:$M,_xlpm.id),COUNTIF('10. PCU'!$M:$M,_xlpm.id))))</f>
        <v>0</v>
      </c>
    </row>
    <row r="1697" spans="1:9">
      <c r="A1697" t="s">
        <v>9690</v>
      </c>
      <c r="B1697" t="s">
        <v>9642</v>
      </c>
      <c r="C1697">
        <v>1804</v>
      </c>
      <c r="D1697">
        <v>1</v>
      </c>
      <c r="E1697" s="23" t="s">
        <v>9691</v>
      </c>
      <c r="F1697" t="s">
        <v>8102</v>
      </c>
      <c r="G1697" t="s">
        <v>10484</v>
      </c>
      <c r="H1697" t="s">
        <v>8021</v>
      </c>
      <c r="I1697">
        <f>_xlfn.LET(_xlpm.id,TRIM($A1697),IF(_xlpm.id="","",SUM(COUNTIF('1. OP'!$M:$M,_xlpm.id),COUNTIF('2. JSEL'!$M:$M,_xlpm.id),COUNTIF('3. PSM'!$M:$M,_xlpm.id),COUNTIF('4. SSP'!$M:$M,_xlpm.id),COUNTIF('5. JSACI'!$M:$M,_xlpm.id),COUNTIF('6. AIN'!$M:$M,_xlpm.id),COUNTIF('7. MS'!$M:$M,_xlpm.id),COUNTIF('8. DS'!$M:$M,_xlpm.id),COUNTIF('9. RMF'!$M:$M,_xlpm.id),COUNTIF('10. PCU'!$M:$M,_xlpm.id))))</f>
        <v>0</v>
      </c>
    </row>
    <row r="1698" spans="1:9">
      <c r="A1698" t="s">
        <v>9692</v>
      </c>
      <c r="B1698" t="s">
        <v>9642</v>
      </c>
      <c r="C1698">
        <v>1806</v>
      </c>
      <c r="D1698">
        <v>1</v>
      </c>
      <c r="E1698" s="23" t="s">
        <v>9693</v>
      </c>
      <c r="F1698" t="s">
        <v>8102</v>
      </c>
      <c r="G1698" t="s">
        <v>10484</v>
      </c>
      <c r="H1698" t="s">
        <v>8021</v>
      </c>
      <c r="I1698">
        <f>_xlfn.LET(_xlpm.id,TRIM($A1698),IF(_xlpm.id="","",SUM(COUNTIF('1. OP'!$M:$M,_xlpm.id),COUNTIF('2. JSEL'!$M:$M,_xlpm.id),COUNTIF('3. PSM'!$M:$M,_xlpm.id),COUNTIF('4. SSP'!$M:$M,_xlpm.id),COUNTIF('5. JSACI'!$M:$M,_xlpm.id),COUNTIF('6. AIN'!$M:$M,_xlpm.id),COUNTIF('7. MS'!$M:$M,_xlpm.id),COUNTIF('8. DS'!$M:$M,_xlpm.id),COUNTIF('9. RMF'!$M:$M,_xlpm.id),COUNTIF('10. PCU'!$M:$M,_xlpm.id))))</f>
        <v>0</v>
      </c>
    </row>
    <row r="1699" spans="1:9">
      <c r="A1699" t="s">
        <v>9694</v>
      </c>
      <c r="B1699" t="s">
        <v>9642</v>
      </c>
      <c r="C1699">
        <v>1806</v>
      </c>
      <c r="D1699">
        <v>1</v>
      </c>
      <c r="E1699" s="23" t="s">
        <v>9695</v>
      </c>
      <c r="F1699" t="s">
        <v>8102</v>
      </c>
      <c r="G1699" t="s">
        <v>10484</v>
      </c>
      <c r="H1699" t="s">
        <v>8021</v>
      </c>
      <c r="I1699">
        <f>_xlfn.LET(_xlpm.id,TRIM($A1699),IF(_xlpm.id="","",SUM(COUNTIF('1. OP'!$M:$M,_xlpm.id),COUNTIF('2. JSEL'!$M:$M,_xlpm.id),COUNTIF('3. PSM'!$M:$M,_xlpm.id),COUNTIF('4. SSP'!$M:$M,_xlpm.id),COUNTIF('5. JSACI'!$M:$M,_xlpm.id),COUNTIF('6. AIN'!$M:$M,_xlpm.id),COUNTIF('7. MS'!$M:$M,_xlpm.id),COUNTIF('8. DS'!$M:$M,_xlpm.id),COUNTIF('9. RMF'!$M:$M,_xlpm.id),COUNTIF('10. PCU'!$M:$M,_xlpm.id))))</f>
        <v>0</v>
      </c>
    </row>
    <row r="1700" spans="1:9">
      <c r="A1700" t="s">
        <v>9696</v>
      </c>
      <c r="B1700" t="s">
        <v>9642</v>
      </c>
      <c r="C1700">
        <v>1807</v>
      </c>
      <c r="D1700">
        <v>1</v>
      </c>
      <c r="E1700" s="23" t="s">
        <v>9697</v>
      </c>
      <c r="F1700" t="s">
        <v>8102</v>
      </c>
      <c r="G1700" t="s">
        <v>10484</v>
      </c>
      <c r="H1700" t="s">
        <v>8021</v>
      </c>
      <c r="I1700">
        <f>_xlfn.LET(_xlpm.id,TRIM($A1700),IF(_xlpm.id="","",SUM(COUNTIF('1. OP'!$M:$M,_xlpm.id),COUNTIF('2. JSEL'!$M:$M,_xlpm.id),COUNTIF('3. PSM'!$M:$M,_xlpm.id),COUNTIF('4. SSP'!$M:$M,_xlpm.id),COUNTIF('5. JSACI'!$M:$M,_xlpm.id),COUNTIF('6. AIN'!$M:$M,_xlpm.id),COUNTIF('7. MS'!$M:$M,_xlpm.id),COUNTIF('8. DS'!$M:$M,_xlpm.id),COUNTIF('9. RMF'!$M:$M,_xlpm.id),COUNTIF('10. PCU'!$M:$M,_xlpm.id))))</f>
        <v>0</v>
      </c>
    </row>
    <row r="1701" spans="1:9">
      <c r="A1701" t="s">
        <v>9698</v>
      </c>
      <c r="B1701" t="s">
        <v>9642</v>
      </c>
      <c r="C1701">
        <v>1807</v>
      </c>
      <c r="D1701">
        <v>1</v>
      </c>
      <c r="E1701" s="23" t="s">
        <v>9699</v>
      </c>
      <c r="F1701" t="s">
        <v>8102</v>
      </c>
      <c r="G1701" t="s">
        <v>10484</v>
      </c>
      <c r="H1701" t="s">
        <v>8021</v>
      </c>
      <c r="I1701">
        <f>_xlfn.LET(_xlpm.id,TRIM($A1701),IF(_xlpm.id="","",SUM(COUNTIF('1. OP'!$M:$M,_xlpm.id),COUNTIF('2. JSEL'!$M:$M,_xlpm.id),COUNTIF('3. PSM'!$M:$M,_xlpm.id),COUNTIF('4. SSP'!$M:$M,_xlpm.id),COUNTIF('5. JSACI'!$M:$M,_xlpm.id),COUNTIF('6. AIN'!$M:$M,_xlpm.id),COUNTIF('7. MS'!$M:$M,_xlpm.id),COUNTIF('8. DS'!$M:$M,_xlpm.id),COUNTIF('9. RMF'!$M:$M,_xlpm.id),COUNTIF('10. PCU'!$M:$M,_xlpm.id))))</f>
        <v>0</v>
      </c>
    </row>
    <row r="1702" spans="1:9">
      <c r="A1702" t="s">
        <v>9700</v>
      </c>
      <c r="B1702" t="s">
        <v>9642</v>
      </c>
      <c r="C1702">
        <v>1808</v>
      </c>
      <c r="D1702">
        <v>1</v>
      </c>
      <c r="E1702" s="23" t="s">
        <v>9701</v>
      </c>
      <c r="F1702" t="s">
        <v>8102</v>
      </c>
      <c r="G1702" t="s">
        <v>10484</v>
      </c>
      <c r="H1702" t="s">
        <v>8021</v>
      </c>
      <c r="I1702">
        <f>_xlfn.LET(_xlpm.id,TRIM($A1702),IF(_xlpm.id="","",SUM(COUNTIF('1. OP'!$M:$M,_xlpm.id),COUNTIF('2. JSEL'!$M:$M,_xlpm.id),COUNTIF('3. PSM'!$M:$M,_xlpm.id),COUNTIF('4. SSP'!$M:$M,_xlpm.id),COUNTIF('5. JSACI'!$M:$M,_xlpm.id),COUNTIF('6. AIN'!$M:$M,_xlpm.id),COUNTIF('7. MS'!$M:$M,_xlpm.id),COUNTIF('8. DS'!$M:$M,_xlpm.id),COUNTIF('9. RMF'!$M:$M,_xlpm.id),COUNTIF('10. PCU'!$M:$M,_xlpm.id))))</f>
        <v>0</v>
      </c>
    </row>
    <row r="1703" spans="1:9">
      <c r="A1703" t="s">
        <v>9702</v>
      </c>
      <c r="B1703" t="s">
        <v>9642</v>
      </c>
      <c r="C1703">
        <v>1808</v>
      </c>
      <c r="D1703">
        <v>1</v>
      </c>
      <c r="E1703" s="23" t="s">
        <v>9703</v>
      </c>
      <c r="F1703" t="s">
        <v>8102</v>
      </c>
      <c r="G1703" t="s">
        <v>10484</v>
      </c>
      <c r="H1703" t="s">
        <v>8021</v>
      </c>
      <c r="I1703">
        <f>_xlfn.LET(_xlpm.id,TRIM($A1703),IF(_xlpm.id="","",SUM(COUNTIF('1. OP'!$M:$M,_xlpm.id),COUNTIF('2. JSEL'!$M:$M,_xlpm.id),COUNTIF('3. PSM'!$M:$M,_xlpm.id),COUNTIF('4. SSP'!$M:$M,_xlpm.id),COUNTIF('5. JSACI'!$M:$M,_xlpm.id),COUNTIF('6. AIN'!$M:$M,_xlpm.id),COUNTIF('7. MS'!$M:$M,_xlpm.id),COUNTIF('8. DS'!$M:$M,_xlpm.id),COUNTIF('9. RMF'!$M:$M,_xlpm.id),COUNTIF('10. PCU'!$M:$M,_xlpm.id))))</f>
        <v>0</v>
      </c>
    </row>
    <row r="1704" spans="1:9">
      <c r="A1704" t="s">
        <v>9704</v>
      </c>
      <c r="B1704" t="s">
        <v>9642</v>
      </c>
      <c r="C1704">
        <v>1809</v>
      </c>
      <c r="D1704">
        <v>1</v>
      </c>
      <c r="E1704" s="23" t="s">
        <v>9705</v>
      </c>
      <c r="F1704" t="s">
        <v>8102</v>
      </c>
      <c r="G1704" t="s">
        <v>10484</v>
      </c>
      <c r="H1704" t="s">
        <v>8021</v>
      </c>
      <c r="I1704">
        <f>_xlfn.LET(_xlpm.id,TRIM($A1704),IF(_xlpm.id="","",SUM(COUNTIF('1. OP'!$M:$M,_xlpm.id),COUNTIF('2. JSEL'!$M:$M,_xlpm.id),COUNTIF('3. PSM'!$M:$M,_xlpm.id),COUNTIF('4. SSP'!$M:$M,_xlpm.id),COUNTIF('5. JSACI'!$M:$M,_xlpm.id),COUNTIF('6. AIN'!$M:$M,_xlpm.id),COUNTIF('7. MS'!$M:$M,_xlpm.id),COUNTIF('8. DS'!$M:$M,_xlpm.id),COUNTIF('9. RMF'!$M:$M,_xlpm.id),COUNTIF('10. PCU'!$M:$M,_xlpm.id))))</f>
        <v>0</v>
      </c>
    </row>
    <row r="1705" spans="1:9">
      <c r="A1705" t="s">
        <v>9706</v>
      </c>
      <c r="B1705" t="s">
        <v>9642</v>
      </c>
      <c r="C1705">
        <v>1809</v>
      </c>
      <c r="D1705">
        <v>1</v>
      </c>
      <c r="E1705" s="23" t="s">
        <v>9707</v>
      </c>
      <c r="F1705" t="s">
        <v>8102</v>
      </c>
      <c r="G1705" t="s">
        <v>10484</v>
      </c>
      <c r="H1705" t="s">
        <v>8021</v>
      </c>
      <c r="I1705">
        <f>_xlfn.LET(_xlpm.id,TRIM($A1705),IF(_xlpm.id="","",SUM(COUNTIF('1. OP'!$M:$M,_xlpm.id),COUNTIF('2. JSEL'!$M:$M,_xlpm.id),COUNTIF('3. PSM'!$M:$M,_xlpm.id),COUNTIF('4. SSP'!$M:$M,_xlpm.id),COUNTIF('5. JSACI'!$M:$M,_xlpm.id),COUNTIF('6. AIN'!$M:$M,_xlpm.id),COUNTIF('7. MS'!$M:$M,_xlpm.id),COUNTIF('8. DS'!$M:$M,_xlpm.id),COUNTIF('9. RMF'!$M:$M,_xlpm.id),COUNTIF('10. PCU'!$M:$M,_xlpm.id))))</f>
        <v>0</v>
      </c>
    </row>
    <row r="1706" spans="1:9">
      <c r="A1706" t="s">
        <v>9708</v>
      </c>
      <c r="B1706" t="s">
        <v>9642</v>
      </c>
      <c r="C1706">
        <v>1810</v>
      </c>
      <c r="D1706">
        <v>1</v>
      </c>
      <c r="E1706" s="23" t="s">
        <v>9709</v>
      </c>
      <c r="F1706" t="s">
        <v>8102</v>
      </c>
      <c r="G1706" t="s">
        <v>10484</v>
      </c>
      <c r="H1706" t="s">
        <v>8021</v>
      </c>
      <c r="I1706">
        <f>_xlfn.LET(_xlpm.id,TRIM($A1706),IF(_xlpm.id="","",SUM(COUNTIF('1. OP'!$M:$M,_xlpm.id),COUNTIF('2. JSEL'!$M:$M,_xlpm.id),COUNTIF('3. PSM'!$M:$M,_xlpm.id),COUNTIF('4. SSP'!$M:$M,_xlpm.id),COUNTIF('5. JSACI'!$M:$M,_xlpm.id),COUNTIF('6. AIN'!$M:$M,_xlpm.id),COUNTIF('7. MS'!$M:$M,_xlpm.id),COUNTIF('8. DS'!$M:$M,_xlpm.id),COUNTIF('9. RMF'!$M:$M,_xlpm.id),COUNTIF('10. PCU'!$M:$M,_xlpm.id))))</f>
        <v>0</v>
      </c>
    </row>
    <row r="1707" spans="1:9">
      <c r="A1707" t="s">
        <v>9710</v>
      </c>
      <c r="B1707" t="s">
        <v>9642</v>
      </c>
      <c r="C1707">
        <v>1810</v>
      </c>
      <c r="D1707">
        <v>1</v>
      </c>
      <c r="E1707" s="23" t="s">
        <v>9711</v>
      </c>
      <c r="F1707" t="s">
        <v>8102</v>
      </c>
      <c r="G1707" t="s">
        <v>10484</v>
      </c>
      <c r="H1707" t="s">
        <v>8021</v>
      </c>
      <c r="I1707">
        <f>_xlfn.LET(_xlpm.id,TRIM($A1707),IF(_xlpm.id="","",SUM(COUNTIF('1. OP'!$M:$M,_xlpm.id),COUNTIF('2. JSEL'!$M:$M,_xlpm.id),COUNTIF('3. PSM'!$M:$M,_xlpm.id),COUNTIF('4. SSP'!$M:$M,_xlpm.id),COUNTIF('5. JSACI'!$M:$M,_xlpm.id),COUNTIF('6. AIN'!$M:$M,_xlpm.id),COUNTIF('7. MS'!$M:$M,_xlpm.id),COUNTIF('8. DS'!$M:$M,_xlpm.id),COUNTIF('9. RMF'!$M:$M,_xlpm.id),COUNTIF('10. PCU'!$M:$M,_xlpm.id))))</f>
        <v>0</v>
      </c>
    </row>
    <row r="1708" spans="1:9">
      <c r="A1708" t="s">
        <v>9712</v>
      </c>
      <c r="B1708" t="s">
        <v>9642</v>
      </c>
      <c r="C1708">
        <v>1811</v>
      </c>
      <c r="D1708">
        <v>1</v>
      </c>
      <c r="E1708" s="23" t="s">
        <v>9713</v>
      </c>
      <c r="F1708" t="s">
        <v>8102</v>
      </c>
      <c r="G1708" t="s">
        <v>10484</v>
      </c>
      <c r="H1708" t="s">
        <v>8021</v>
      </c>
      <c r="I1708">
        <f>_xlfn.LET(_xlpm.id,TRIM($A1708),IF(_xlpm.id="","",SUM(COUNTIF('1. OP'!$M:$M,_xlpm.id),COUNTIF('2. JSEL'!$M:$M,_xlpm.id),COUNTIF('3. PSM'!$M:$M,_xlpm.id),COUNTIF('4. SSP'!$M:$M,_xlpm.id),COUNTIF('5. JSACI'!$M:$M,_xlpm.id),COUNTIF('6. AIN'!$M:$M,_xlpm.id),COUNTIF('7. MS'!$M:$M,_xlpm.id),COUNTIF('8. DS'!$M:$M,_xlpm.id),COUNTIF('9. RMF'!$M:$M,_xlpm.id),COUNTIF('10. PCU'!$M:$M,_xlpm.id))))</f>
        <v>0</v>
      </c>
    </row>
    <row r="1709" spans="1:9">
      <c r="A1709" t="s">
        <v>9714</v>
      </c>
      <c r="B1709" t="s">
        <v>9642</v>
      </c>
      <c r="C1709">
        <v>1811</v>
      </c>
      <c r="D1709">
        <v>1</v>
      </c>
      <c r="E1709" s="23" t="s">
        <v>9715</v>
      </c>
      <c r="F1709" t="s">
        <v>8102</v>
      </c>
      <c r="G1709" t="s">
        <v>10484</v>
      </c>
      <c r="H1709" t="s">
        <v>8021</v>
      </c>
      <c r="I1709">
        <f>_xlfn.LET(_xlpm.id,TRIM($A1709),IF(_xlpm.id="","",SUM(COUNTIF('1. OP'!$M:$M,_xlpm.id),COUNTIF('2. JSEL'!$M:$M,_xlpm.id),COUNTIF('3. PSM'!$M:$M,_xlpm.id),COUNTIF('4. SSP'!$M:$M,_xlpm.id),COUNTIF('5. JSACI'!$M:$M,_xlpm.id),COUNTIF('6. AIN'!$M:$M,_xlpm.id),COUNTIF('7. MS'!$M:$M,_xlpm.id),COUNTIF('8. DS'!$M:$M,_xlpm.id),COUNTIF('9. RMF'!$M:$M,_xlpm.id),COUNTIF('10. PCU'!$M:$M,_xlpm.id))))</f>
        <v>0</v>
      </c>
    </row>
    <row r="1710" spans="1:9">
      <c r="A1710" t="s">
        <v>9716</v>
      </c>
      <c r="B1710" t="s">
        <v>9642</v>
      </c>
      <c r="C1710">
        <v>1812</v>
      </c>
      <c r="D1710">
        <v>1</v>
      </c>
      <c r="E1710" s="23" t="s">
        <v>9717</v>
      </c>
      <c r="F1710" t="s">
        <v>8102</v>
      </c>
      <c r="G1710" t="s">
        <v>10484</v>
      </c>
      <c r="H1710" t="s">
        <v>8021</v>
      </c>
      <c r="I1710">
        <f>_xlfn.LET(_xlpm.id,TRIM($A1710),IF(_xlpm.id="","",SUM(COUNTIF('1. OP'!$M:$M,_xlpm.id),COUNTIF('2. JSEL'!$M:$M,_xlpm.id),COUNTIF('3. PSM'!$M:$M,_xlpm.id),COUNTIF('4. SSP'!$M:$M,_xlpm.id),COUNTIF('5. JSACI'!$M:$M,_xlpm.id),COUNTIF('6. AIN'!$M:$M,_xlpm.id),COUNTIF('7. MS'!$M:$M,_xlpm.id),COUNTIF('8. DS'!$M:$M,_xlpm.id),COUNTIF('9. RMF'!$M:$M,_xlpm.id),COUNTIF('10. PCU'!$M:$M,_xlpm.id))))</f>
        <v>0</v>
      </c>
    </row>
    <row r="1711" spans="1:9">
      <c r="A1711" t="s">
        <v>9718</v>
      </c>
      <c r="B1711" t="s">
        <v>9642</v>
      </c>
      <c r="C1711">
        <v>1812</v>
      </c>
      <c r="D1711">
        <v>1</v>
      </c>
      <c r="E1711" s="23" t="s">
        <v>9719</v>
      </c>
      <c r="F1711" t="s">
        <v>8102</v>
      </c>
      <c r="G1711" t="s">
        <v>10484</v>
      </c>
      <c r="H1711" t="s">
        <v>8021</v>
      </c>
      <c r="I1711">
        <f>_xlfn.LET(_xlpm.id,TRIM($A1711),IF(_xlpm.id="","",SUM(COUNTIF('1. OP'!$M:$M,_xlpm.id),COUNTIF('2. JSEL'!$M:$M,_xlpm.id),COUNTIF('3. PSM'!$M:$M,_xlpm.id),COUNTIF('4. SSP'!$M:$M,_xlpm.id),COUNTIF('5. JSACI'!$M:$M,_xlpm.id),COUNTIF('6. AIN'!$M:$M,_xlpm.id),COUNTIF('7. MS'!$M:$M,_xlpm.id),COUNTIF('8. DS'!$M:$M,_xlpm.id),COUNTIF('9. RMF'!$M:$M,_xlpm.id),COUNTIF('10. PCU'!$M:$M,_xlpm.id))))</f>
        <v>0</v>
      </c>
    </row>
    <row r="1712" spans="1:9">
      <c r="A1712" t="s">
        <v>9720</v>
      </c>
      <c r="B1712" t="s">
        <v>9642</v>
      </c>
      <c r="C1712">
        <v>1813</v>
      </c>
      <c r="D1712">
        <v>1</v>
      </c>
      <c r="E1712" s="23" t="s">
        <v>9721</v>
      </c>
      <c r="F1712" t="s">
        <v>8102</v>
      </c>
      <c r="G1712" t="s">
        <v>10484</v>
      </c>
      <c r="H1712" t="s">
        <v>8021</v>
      </c>
      <c r="I1712">
        <f>_xlfn.LET(_xlpm.id,TRIM($A1712),IF(_xlpm.id="","",SUM(COUNTIF('1. OP'!$M:$M,_xlpm.id),COUNTIF('2. JSEL'!$M:$M,_xlpm.id),COUNTIF('3. PSM'!$M:$M,_xlpm.id),COUNTIF('4. SSP'!$M:$M,_xlpm.id),COUNTIF('5. JSACI'!$M:$M,_xlpm.id),COUNTIF('6. AIN'!$M:$M,_xlpm.id),COUNTIF('7. MS'!$M:$M,_xlpm.id),COUNTIF('8. DS'!$M:$M,_xlpm.id),COUNTIF('9. RMF'!$M:$M,_xlpm.id),COUNTIF('10. PCU'!$M:$M,_xlpm.id))))</f>
        <v>0</v>
      </c>
    </row>
    <row r="1713" spans="1:9">
      <c r="A1713" t="s">
        <v>9722</v>
      </c>
      <c r="B1713" t="s">
        <v>9642</v>
      </c>
      <c r="C1713">
        <v>1813</v>
      </c>
      <c r="D1713">
        <v>1</v>
      </c>
      <c r="E1713" s="23" t="s">
        <v>9723</v>
      </c>
      <c r="F1713" t="s">
        <v>8102</v>
      </c>
      <c r="G1713" t="s">
        <v>10484</v>
      </c>
      <c r="H1713" t="s">
        <v>8021</v>
      </c>
      <c r="I1713">
        <f>_xlfn.LET(_xlpm.id,TRIM($A1713),IF(_xlpm.id="","",SUM(COUNTIF('1. OP'!$M:$M,_xlpm.id),COUNTIF('2. JSEL'!$M:$M,_xlpm.id),COUNTIF('3. PSM'!$M:$M,_xlpm.id),COUNTIF('4. SSP'!$M:$M,_xlpm.id),COUNTIF('5. JSACI'!$M:$M,_xlpm.id),COUNTIF('6. AIN'!$M:$M,_xlpm.id),COUNTIF('7. MS'!$M:$M,_xlpm.id),COUNTIF('8. DS'!$M:$M,_xlpm.id),COUNTIF('9. RMF'!$M:$M,_xlpm.id),COUNTIF('10. PCU'!$M:$M,_xlpm.id))))</f>
        <v>0</v>
      </c>
    </row>
    <row r="1714" spans="1:9">
      <c r="A1714" t="s">
        <v>9724</v>
      </c>
      <c r="B1714" t="s">
        <v>9642</v>
      </c>
      <c r="C1714">
        <v>1814</v>
      </c>
      <c r="D1714">
        <v>1</v>
      </c>
      <c r="E1714" s="23" t="s">
        <v>9725</v>
      </c>
      <c r="F1714" t="s">
        <v>8102</v>
      </c>
      <c r="G1714" t="s">
        <v>10484</v>
      </c>
      <c r="H1714" t="s">
        <v>8021</v>
      </c>
      <c r="I1714">
        <f>_xlfn.LET(_xlpm.id,TRIM($A1714),IF(_xlpm.id="","",SUM(COUNTIF('1. OP'!$M:$M,_xlpm.id),COUNTIF('2. JSEL'!$M:$M,_xlpm.id),COUNTIF('3. PSM'!$M:$M,_xlpm.id),COUNTIF('4. SSP'!$M:$M,_xlpm.id),COUNTIF('5. JSACI'!$M:$M,_xlpm.id),COUNTIF('6. AIN'!$M:$M,_xlpm.id),COUNTIF('7. MS'!$M:$M,_xlpm.id),COUNTIF('8. DS'!$M:$M,_xlpm.id),COUNTIF('9. RMF'!$M:$M,_xlpm.id),COUNTIF('10. PCU'!$M:$M,_xlpm.id))))</f>
        <v>0</v>
      </c>
    </row>
    <row r="1715" spans="1:9">
      <c r="A1715" t="s">
        <v>9726</v>
      </c>
      <c r="B1715" t="s">
        <v>9642</v>
      </c>
      <c r="C1715">
        <v>1814</v>
      </c>
      <c r="D1715">
        <v>1</v>
      </c>
      <c r="E1715" s="23" t="s">
        <v>9727</v>
      </c>
      <c r="F1715" t="s">
        <v>8102</v>
      </c>
      <c r="G1715" t="s">
        <v>10484</v>
      </c>
      <c r="H1715" t="s">
        <v>8021</v>
      </c>
      <c r="I1715">
        <f>_xlfn.LET(_xlpm.id,TRIM($A1715),IF(_xlpm.id="","",SUM(COUNTIF('1. OP'!$M:$M,_xlpm.id),COUNTIF('2. JSEL'!$M:$M,_xlpm.id),COUNTIF('3. PSM'!$M:$M,_xlpm.id),COUNTIF('4. SSP'!$M:$M,_xlpm.id),COUNTIF('5. JSACI'!$M:$M,_xlpm.id),COUNTIF('6. AIN'!$M:$M,_xlpm.id),COUNTIF('7. MS'!$M:$M,_xlpm.id),COUNTIF('8. DS'!$M:$M,_xlpm.id),COUNTIF('9. RMF'!$M:$M,_xlpm.id),COUNTIF('10. PCU'!$M:$M,_xlpm.id))))</f>
        <v>0</v>
      </c>
    </row>
    <row r="1716" spans="1:9">
      <c r="A1716" t="s">
        <v>9728</v>
      </c>
      <c r="B1716" t="s">
        <v>9642</v>
      </c>
      <c r="C1716">
        <v>1815</v>
      </c>
      <c r="D1716">
        <v>1</v>
      </c>
      <c r="E1716" s="23" t="s">
        <v>9729</v>
      </c>
      <c r="F1716" t="s">
        <v>8102</v>
      </c>
      <c r="G1716" t="s">
        <v>10484</v>
      </c>
      <c r="H1716" t="s">
        <v>8021</v>
      </c>
      <c r="I1716">
        <f>_xlfn.LET(_xlpm.id,TRIM($A1716),IF(_xlpm.id="","",SUM(COUNTIF('1. OP'!$M:$M,_xlpm.id),COUNTIF('2. JSEL'!$M:$M,_xlpm.id),COUNTIF('3. PSM'!$M:$M,_xlpm.id),COUNTIF('4. SSP'!$M:$M,_xlpm.id),COUNTIF('5. JSACI'!$M:$M,_xlpm.id),COUNTIF('6. AIN'!$M:$M,_xlpm.id),COUNTIF('7. MS'!$M:$M,_xlpm.id),COUNTIF('8. DS'!$M:$M,_xlpm.id),COUNTIF('9. RMF'!$M:$M,_xlpm.id),COUNTIF('10. PCU'!$M:$M,_xlpm.id))))</f>
        <v>0</v>
      </c>
    </row>
    <row r="1717" spans="1:9">
      <c r="A1717" t="s">
        <v>9730</v>
      </c>
      <c r="B1717" t="s">
        <v>9642</v>
      </c>
      <c r="C1717">
        <v>1815</v>
      </c>
      <c r="D1717">
        <v>1</v>
      </c>
      <c r="E1717" s="23" t="s">
        <v>9731</v>
      </c>
      <c r="F1717" t="s">
        <v>8102</v>
      </c>
      <c r="G1717" t="s">
        <v>10484</v>
      </c>
      <c r="H1717" t="s">
        <v>8021</v>
      </c>
      <c r="I1717">
        <f>_xlfn.LET(_xlpm.id,TRIM($A1717),IF(_xlpm.id="","",SUM(COUNTIF('1. OP'!$M:$M,_xlpm.id),COUNTIF('2. JSEL'!$M:$M,_xlpm.id),COUNTIF('3. PSM'!$M:$M,_xlpm.id),COUNTIF('4. SSP'!$M:$M,_xlpm.id),COUNTIF('5. JSACI'!$M:$M,_xlpm.id),COUNTIF('6. AIN'!$M:$M,_xlpm.id),COUNTIF('7. MS'!$M:$M,_xlpm.id),COUNTIF('8. DS'!$M:$M,_xlpm.id),COUNTIF('9. RMF'!$M:$M,_xlpm.id),COUNTIF('10. PCU'!$M:$M,_xlpm.id))))</f>
        <v>0</v>
      </c>
    </row>
    <row r="1718" spans="1:9">
      <c r="A1718" t="s">
        <v>9732</v>
      </c>
      <c r="B1718" t="s">
        <v>9733</v>
      </c>
      <c r="C1718">
        <v>1773</v>
      </c>
      <c r="D1718">
        <v>1</v>
      </c>
      <c r="E1718" s="23">
        <v>1</v>
      </c>
      <c r="F1718" t="s">
        <v>8102</v>
      </c>
      <c r="G1718" t="s">
        <v>10484</v>
      </c>
      <c r="H1718" t="s">
        <v>8021</v>
      </c>
      <c r="I1718">
        <f>_xlfn.LET(_xlpm.id,TRIM($A1718),IF(_xlpm.id="","",SUM(COUNTIF('1. OP'!$M:$M,_xlpm.id),COUNTIF('2. JSEL'!$M:$M,_xlpm.id),COUNTIF('3. PSM'!$M:$M,_xlpm.id),COUNTIF('4. SSP'!$M:$M,_xlpm.id),COUNTIF('5. JSACI'!$M:$M,_xlpm.id),COUNTIF('6. AIN'!$M:$M,_xlpm.id),COUNTIF('7. MS'!$M:$M,_xlpm.id),COUNTIF('8. DS'!$M:$M,_xlpm.id),COUNTIF('9. RMF'!$M:$M,_xlpm.id),COUNTIF('10. PCU'!$M:$M,_xlpm.id))))</f>
        <v>0</v>
      </c>
    </row>
    <row r="1719" spans="1:9">
      <c r="A1719" t="s">
        <v>9734</v>
      </c>
      <c r="B1719" t="s">
        <v>9733</v>
      </c>
      <c r="C1719">
        <v>1773</v>
      </c>
      <c r="D1719">
        <v>1</v>
      </c>
      <c r="E1719" s="23">
        <v>2</v>
      </c>
      <c r="F1719" t="s">
        <v>8102</v>
      </c>
      <c r="G1719" t="s">
        <v>10484</v>
      </c>
      <c r="H1719" t="s">
        <v>8021</v>
      </c>
      <c r="I1719">
        <f>_xlfn.LET(_xlpm.id,TRIM($A1719),IF(_xlpm.id="","",SUM(COUNTIF('1. OP'!$M:$M,_xlpm.id),COUNTIF('2. JSEL'!$M:$M,_xlpm.id),COUNTIF('3. PSM'!$M:$M,_xlpm.id),COUNTIF('4. SSP'!$M:$M,_xlpm.id),COUNTIF('5. JSACI'!$M:$M,_xlpm.id),COUNTIF('6. AIN'!$M:$M,_xlpm.id),COUNTIF('7. MS'!$M:$M,_xlpm.id),COUNTIF('8. DS'!$M:$M,_xlpm.id),COUNTIF('9. RMF'!$M:$M,_xlpm.id),COUNTIF('10. PCU'!$M:$M,_xlpm.id))))</f>
        <v>0</v>
      </c>
    </row>
    <row r="1720" spans="1:9">
      <c r="A1720" t="s">
        <v>9735</v>
      </c>
      <c r="B1720" t="s">
        <v>9733</v>
      </c>
      <c r="C1720">
        <v>1774</v>
      </c>
      <c r="D1720">
        <v>1</v>
      </c>
      <c r="E1720" s="23">
        <v>3</v>
      </c>
      <c r="F1720" t="s">
        <v>8102</v>
      </c>
      <c r="G1720" t="s">
        <v>10484</v>
      </c>
      <c r="H1720" t="s">
        <v>8021</v>
      </c>
      <c r="I1720">
        <f>_xlfn.LET(_xlpm.id,TRIM($A1720),IF(_xlpm.id="","",SUM(COUNTIF('1. OP'!$M:$M,_xlpm.id),COUNTIF('2. JSEL'!$M:$M,_xlpm.id),COUNTIF('3. PSM'!$M:$M,_xlpm.id),COUNTIF('4. SSP'!$M:$M,_xlpm.id),COUNTIF('5. JSACI'!$M:$M,_xlpm.id),COUNTIF('6. AIN'!$M:$M,_xlpm.id),COUNTIF('7. MS'!$M:$M,_xlpm.id),COUNTIF('8. DS'!$M:$M,_xlpm.id),COUNTIF('9. RMF'!$M:$M,_xlpm.id),COUNTIF('10. PCU'!$M:$M,_xlpm.id))))</f>
        <v>0</v>
      </c>
    </row>
    <row r="1721" spans="1:9">
      <c r="A1721" t="s">
        <v>9736</v>
      </c>
      <c r="B1721" t="s">
        <v>9733</v>
      </c>
      <c r="C1721">
        <v>1774</v>
      </c>
      <c r="D1721">
        <v>1</v>
      </c>
      <c r="E1721" s="23">
        <v>4</v>
      </c>
      <c r="F1721" t="s">
        <v>8102</v>
      </c>
      <c r="G1721" t="s">
        <v>10484</v>
      </c>
      <c r="H1721" t="s">
        <v>8021</v>
      </c>
      <c r="I1721">
        <f>_xlfn.LET(_xlpm.id,TRIM($A1721),IF(_xlpm.id="","",SUM(COUNTIF('1. OP'!$M:$M,_xlpm.id),COUNTIF('2. JSEL'!$M:$M,_xlpm.id),COUNTIF('3. PSM'!$M:$M,_xlpm.id),COUNTIF('4. SSP'!$M:$M,_xlpm.id),COUNTIF('5. JSACI'!$M:$M,_xlpm.id),COUNTIF('6. AIN'!$M:$M,_xlpm.id),COUNTIF('7. MS'!$M:$M,_xlpm.id),COUNTIF('8. DS'!$M:$M,_xlpm.id),COUNTIF('9. RMF'!$M:$M,_xlpm.id),COUNTIF('10. PCU'!$M:$M,_xlpm.id))))</f>
        <v>0</v>
      </c>
    </row>
    <row r="1722" spans="1:9">
      <c r="A1722" t="s">
        <v>9737</v>
      </c>
      <c r="B1722" t="s">
        <v>9733</v>
      </c>
      <c r="C1722">
        <v>1775</v>
      </c>
      <c r="D1722">
        <v>1</v>
      </c>
      <c r="E1722" s="23">
        <v>5</v>
      </c>
      <c r="F1722" t="s">
        <v>8102</v>
      </c>
      <c r="G1722" t="s">
        <v>10484</v>
      </c>
      <c r="H1722" t="s">
        <v>8021</v>
      </c>
      <c r="I1722">
        <f>_xlfn.LET(_xlpm.id,TRIM($A1722),IF(_xlpm.id="","",SUM(COUNTIF('1. OP'!$M:$M,_xlpm.id),COUNTIF('2. JSEL'!$M:$M,_xlpm.id),COUNTIF('3. PSM'!$M:$M,_xlpm.id),COUNTIF('4. SSP'!$M:$M,_xlpm.id),COUNTIF('5. JSACI'!$M:$M,_xlpm.id),COUNTIF('6. AIN'!$M:$M,_xlpm.id),COUNTIF('7. MS'!$M:$M,_xlpm.id),COUNTIF('8. DS'!$M:$M,_xlpm.id),COUNTIF('9. RMF'!$M:$M,_xlpm.id),COUNTIF('10. PCU'!$M:$M,_xlpm.id))))</f>
        <v>0</v>
      </c>
    </row>
    <row r="1723" spans="1:9">
      <c r="A1723" t="s">
        <v>9738</v>
      </c>
      <c r="B1723" t="s">
        <v>9733</v>
      </c>
      <c r="C1723">
        <v>1775</v>
      </c>
      <c r="D1723">
        <v>1</v>
      </c>
      <c r="E1723" s="23">
        <v>6</v>
      </c>
      <c r="F1723" t="s">
        <v>8102</v>
      </c>
      <c r="G1723" t="s">
        <v>10484</v>
      </c>
      <c r="H1723" t="s">
        <v>8021</v>
      </c>
      <c r="I1723">
        <f>_xlfn.LET(_xlpm.id,TRIM($A1723),IF(_xlpm.id="","",SUM(COUNTIF('1. OP'!$M:$M,_xlpm.id),COUNTIF('2. JSEL'!$M:$M,_xlpm.id),COUNTIF('3. PSM'!$M:$M,_xlpm.id),COUNTIF('4. SSP'!$M:$M,_xlpm.id),COUNTIF('5. JSACI'!$M:$M,_xlpm.id),COUNTIF('6. AIN'!$M:$M,_xlpm.id),COUNTIF('7. MS'!$M:$M,_xlpm.id),COUNTIF('8. DS'!$M:$M,_xlpm.id),COUNTIF('9. RMF'!$M:$M,_xlpm.id),COUNTIF('10. PCU'!$M:$M,_xlpm.id))))</f>
        <v>0</v>
      </c>
    </row>
    <row r="1724" spans="1:9">
      <c r="A1724" t="s">
        <v>9739</v>
      </c>
      <c r="B1724" t="s">
        <v>9733</v>
      </c>
      <c r="C1724">
        <v>1776</v>
      </c>
      <c r="D1724">
        <v>1</v>
      </c>
      <c r="E1724" s="23">
        <v>7</v>
      </c>
      <c r="F1724" t="s">
        <v>8102</v>
      </c>
      <c r="G1724" t="s">
        <v>10484</v>
      </c>
      <c r="H1724" t="s">
        <v>8021</v>
      </c>
      <c r="I1724">
        <f>_xlfn.LET(_xlpm.id,TRIM($A1724),IF(_xlpm.id="","",SUM(COUNTIF('1. OP'!$M:$M,_xlpm.id),COUNTIF('2. JSEL'!$M:$M,_xlpm.id),COUNTIF('3. PSM'!$M:$M,_xlpm.id),COUNTIF('4. SSP'!$M:$M,_xlpm.id),COUNTIF('5. JSACI'!$M:$M,_xlpm.id),COUNTIF('6. AIN'!$M:$M,_xlpm.id),COUNTIF('7. MS'!$M:$M,_xlpm.id),COUNTIF('8. DS'!$M:$M,_xlpm.id),COUNTIF('9. RMF'!$M:$M,_xlpm.id),COUNTIF('10. PCU'!$M:$M,_xlpm.id))))</f>
        <v>0</v>
      </c>
    </row>
    <row r="1725" spans="1:9">
      <c r="A1725" t="s">
        <v>9740</v>
      </c>
      <c r="B1725" t="s">
        <v>9733</v>
      </c>
      <c r="C1725">
        <v>1776</v>
      </c>
      <c r="D1725">
        <v>1</v>
      </c>
      <c r="E1725" s="23">
        <v>8</v>
      </c>
      <c r="F1725" t="s">
        <v>8102</v>
      </c>
      <c r="G1725" t="s">
        <v>10484</v>
      </c>
      <c r="H1725" t="s">
        <v>8021</v>
      </c>
      <c r="I1725">
        <f>_xlfn.LET(_xlpm.id,TRIM($A1725),IF(_xlpm.id="","",SUM(COUNTIF('1. OP'!$M:$M,_xlpm.id),COUNTIF('2. JSEL'!$M:$M,_xlpm.id),COUNTIF('3. PSM'!$M:$M,_xlpm.id),COUNTIF('4. SSP'!$M:$M,_xlpm.id),COUNTIF('5. JSACI'!$M:$M,_xlpm.id),COUNTIF('6. AIN'!$M:$M,_xlpm.id),COUNTIF('7. MS'!$M:$M,_xlpm.id),COUNTIF('8. DS'!$M:$M,_xlpm.id),COUNTIF('9. RMF'!$M:$M,_xlpm.id),COUNTIF('10. PCU'!$M:$M,_xlpm.id))))</f>
        <v>0</v>
      </c>
    </row>
    <row r="1726" spans="1:9">
      <c r="A1726" t="s">
        <v>9741</v>
      </c>
      <c r="B1726" t="s">
        <v>9733</v>
      </c>
      <c r="C1726">
        <v>1777</v>
      </c>
      <c r="D1726">
        <v>1</v>
      </c>
      <c r="E1726" s="23">
        <v>9</v>
      </c>
      <c r="F1726" t="s">
        <v>8102</v>
      </c>
      <c r="G1726" t="s">
        <v>10484</v>
      </c>
      <c r="H1726" t="s">
        <v>8021</v>
      </c>
      <c r="I1726">
        <f>_xlfn.LET(_xlpm.id,TRIM($A1726),IF(_xlpm.id="","",SUM(COUNTIF('1. OP'!$M:$M,_xlpm.id),COUNTIF('2. JSEL'!$M:$M,_xlpm.id),COUNTIF('3. PSM'!$M:$M,_xlpm.id),COUNTIF('4. SSP'!$M:$M,_xlpm.id),COUNTIF('5. JSACI'!$M:$M,_xlpm.id),COUNTIF('6. AIN'!$M:$M,_xlpm.id),COUNTIF('7. MS'!$M:$M,_xlpm.id),COUNTIF('8. DS'!$M:$M,_xlpm.id),COUNTIF('9. RMF'!$M:$M,_xlpm.id),COUNTIF('10. PCU'!$M:$M,_xlpm.id))))</f>
        <v>0</v>
      </c>
    </row>
    <row r="1727" spans="1:9">
      <c r="A1727" t="s">
        <v>9742</v>
      </c>
      <c r="B1727" t="s">
        <v>9733</v>
      </c>
      <c r="C1727">
        <v>1777</v>
      </c>
      <c r="D1727">
        <v>1</v>
      </c>
      <c r="E1727" s="23">
        <v>10</v>
      </c>
      <c r="F1727" t="s">
        <v>8102</v>
      </c>
      <c r="G1727" t="s">
        <v>10484</v>
      </c>
      <c r="H1727" t="s">
        <v>8021</v>
      </c>
      <c r="I1727">
        <f>_xlfn.LET(_xlpm.id,TRIM($A1727),IF(_xlpm.id="","",SUM(COUNTIF('1. OP'!$M:$M,_xlpm.id),COUNTIF('2. JSEL'!$M:$M,_xlpm.id),COUNTIF('3. PSM'!$M:$M,_xlpm.id),COUNTIF('4. SSP'!$M:$M,_xlpm.id),COUNTIF('5. JSACI'!$M:$M,_xlpm.id),COUNTIF('6. AIN'!$M:$M,_xlpm.id),COUNTIF('7. MS'!$M:$M,_xlpm.id),COUNTIF('8. DS'!$M:$M,_xlpm.id),COUNTIF('9. RMF'!$M:$M,_xlpm.id),COUNTIF('10. PCU'!$M:$M,_xlpm.id))))</f>
        <v>0</v>
      </c>
    </row>
    <row r="1728" spans="1:9">
      <c r="A1728" t="s">
        <v>9743</v>
      </c>
      <c r="B1728" t="s">
        <v>9733</v>
      </c>
      <c r="C1728">
        <v>1778</v>
      </c>
      <c r="D1728">
        <v>1</v>
      </c>
      <c r="E1728" s="23">
        <v>11</v>
      </c>
      <c r="F1728" t="s">
        <v>8102</v>
      </c>
      <c r="G1728" t="s">
        <v>10484</v>
      </c>
      <c r="H1728" t="s">
        <v>8021</v>
      </c>
      <c r="I1728">
        <f>_xlfn.LET(_xlpm.id,TRIM($A1728),IF(_xlpm.id="","",SUM(COUNTIF('1. OP'!$M:$M,_xlpm.id),COUNTIF('2. JSEL'!$M:$M,_xlpm.id),COUNTIF('3. PSM'!$M:$M,_xlpm.id),COUNTIF('4. SSP'!$M:$M,_xlpm.id),COUNTIF('5. JSACI'!$M:$M,_xlpm.id),COUNTIF('6. AIN'!$M:$M,_xlpm.id),COUNTIF('7. MS'!$M:$M,_xlpm.id),COUNTIF('8. DS'!$M:$M,_xlpm.id),COUNTIF('9. RMF'!$M:$M,_xlpm.id),COUNTIF('10. PCU'!$M:$M,_xlpm.id))))</f>
        <v>0</v>
      </c>
    </row>
    <row r="1729" spans="1:9">
      <c r="A1729" t="s">
        <v>9744</v>
      </c>
      <c r="B1729" t="s">
        <v>9733</v>
      </c>
      <c r="C1729">
        <v>1778</v>
      </c>
      <c r="D1729">
        <v>1</v>
      </c>
      <c r="E1729" s="23">
        <v>12</v>
      </c>
      <c r="F1729" t="s">
        <v>8102</v>
      </c>
      <c r="G1729" t="s">
        <v>10484</v>
      </c>
      <c r="H1729" t="s">
        <v>8021</v>
      </c>
      <c r="I1729">
        <f>_xlfn.LET(_xlpm.id,TRIM($A1729),IF(_xlpm.id="","",SUM(COUNTIF('1. OP'!$M:$M,_xlpm.id),COUNTIF('2. JSEL'!$M:$M,_xlpm.id),COUNTIF('3. PSM'!$M:$M,_xlpm.id),COUNTIF('4. SSP'!$M:$M,_xlpm.id),COUNTIF('5. JSACI'!$M:$M,_xlpm.id),COUNTIF('6. AIN'!$M:$M,_xlpm.id),COUNTIF('7. MS'!$M:$M,_xlpm.id),COUNTIF('8. DS'!$M:$M,_xlpm.id),COUNTIF('9. RMF'!$M:$M,_xlpm.id),COUNTIF('10. PCU'!$M:$M,_xlpm.id))))</f>
        <v>0</v>
      </c>
    </row>
    <row r="1730" spans="1:9">
      <c r="A1730" t="s">
        <v>9745</v>
      </c>
      <c r="B1730" t="s">
        <v>9733</v>
      </c>
      <c r="C1730">
        <v>1778</v>
      </c>
      <c r="D1730">
        <v>1</v>
      </c>
      <c r="E1730" s="23">
        <v>13</v>
      </c>
      <c r="F1730" t="s">
        <v>8102</v>
      </c>
      <c r="G1730" t="s">
        <v>10484</v>
      </c>
      <c r="H1730" t="s">
        <v>8021</v>
      </c>
      <c r="I1730">
        <f>_xlfn.LET(_xlpm.id,TRIM($A1730),IF(_xlpm.id="","",SUM(COUNTIF('1. OP'!$M:$M,_xlpm.id),COUNTIF('2. JSEL'!$M:$M,_xlpm.id),COUNTIF('3. PSM'!$M:$M,_xlpm.id),COUNTIF('4. SSP'!$M:$M,_xlpm.id),COUNTIF('5. JSACI'!$M:$M,_xlpm.id),COUNTIF('6. AIN'!$M:$M,_xlpm.id),COUNTIF('7. MS'!$M:$M,_xlpm.id),COUNTIF('8. DS'!$M:$M,_xlpm.id),COUNTIF('9. RMF'!$M:$M,_xlpm.id),COUNTIF('10. PCU'!$M:$M,_xlpm.id))))</f>
        <v>0</v>
      </c>
    </row>
    <row r="1731" spans="1:9">
      <c r="A1731" t="s">
        <v>9746</v>
      </c>
      <c r="B1731" t="s">
        <v>9733</v>
      </c>
      <c r="C1731">
        <v>1779</v>
      </c>
      <c r="D1731">
        <v>1</v>
      </c>
      <c r="E1731" s="23">
        <v>14</v>
      </c>
      <c r="F1731" t="s">
        <v>8102</v>
      </c>
      <c r="G1731" t="s">
        <v>10484</v>
      </c>
      <c r="H1731" t="s">
        <v>8021</v>
      </c>
      <c r="I1731">
        <f>_xlfn.LET(_xlpm.id,TRIM($A1731),IF(_xlpm.id="","",SUM(COUNTIF('1. OP'!$M:$M,_xlpm.id),COUNTIF('2. JSEL'!$M:$M,_xlpm.id),COUNTIF('3. PSM'!$M:$M,_xlpm.id),COUNTIF('4. SSP'!$M:$M,_xlpm.id),COUNTIF('5. JSACI'!$M:$M,_xlpm.id),COUNTIF('6. AIN'!$M:$M,_xlpm.id),COUNTIF('7. MS'!$M:$M,_xlpm.id),COUNTIF('8. DS'!$M:$M,_xlpm.id),COUNTIF('9. RMF'!$M:$M,_xlpm.id),COUNTIF('10. PCU'!$M:$M,_xlpm.id))))</f>
        <v>0</v>
      </c>
    </row>
    <row r="1732" spans="1:9">
      <c r="A1732" t="s">
        <v>9747</v>
      </c>
      <c r="B1732" t="s">
        <v>9733</v>
      </c>
      <c r="C1732">
        <v>1779</v>
      </c>
      <c r="D1732">
        <v>1</v>
      </c>
      <c r="E1732" s="23">
        <v>15</v>
      </c>
      <c r="F1732" t="s">
        <v>8102</v>
      </c>
      <c r="G1732" t="s">
        <v>10484</v>
      </c>
      <c r="H1732" t="s">
        <v>8021</v>
      </c>
      <c r="I1732">
        <f>_xlfn.LET(_xlpm.id,TRIM($A1732),IF(_xlpm.id="","",SUM(COUNTIF('1. OP'!$M:$M,_xlpm.id),COUNTIF('2. JSEL'!$M:$M,_xlpm.id),COUNTIF('3. PSM'!$M:$M,_xlpm.id),COUNTIF('4. SSP'!$M:$M,_xlpm.id),COUNTIF('5. JSACI'!$M:$M,_xlpm.id),COUNTIF('6. AIN'!$M:$M,_xlpm.id),COUNTIF('7. MS'!$M:$M,_xlpm.id),COUNTIF('8. DS'!$M:$M,_xlpm.id),COUNTIF('9. RMF'!$M:$M,_xlpm.id),COUNTIF('10. PCU'!$M:$M,_xlpm.id))))</f>
        <v>0</v>
      </c>
    </row>
    <row r="1733" spans="1:9">
      <c r="A1733" t="s">
        <v>9748</v>
      </c>
      <c r="B1733" t="s">
        <v>9733</v>
      </c>
      <c r="C1733">
        <v>1780</v>
      </c>
      <c r="D1733">
        <v>1</v>
      </c>
      <c r="E1733" s="23">
        <v>16</v>
      </c>
      <c r="F1733" t="s">
        <v>8102</v>
      </c>
      <c r="G1733" t="s">
        <v>10484</v>
      </c>
      <c r="H1733" t="s">
        <v>8021</v>
      </c>
      <c r="I1733">
        <f>_xlfn.LET(_xlpm.id,TRIM($A1733),IF(_xlpm.id="","",SUM(COUNTIF('1. OP'!$M:$M,_xlpm.id),COUNTIF('2. JSEL'!$M:$M,_xlpm.id),COUNTIF('3. PSM'!$M:$M,_xlpm.id),COUNTIF('4. SSP'!$M:$M,_xlpm.id),COUNTIF('5. JSACI'!$M:$M,_xlpm.id),COUNTIF('6. AIN'!$M:$M,_xlpm.id),COUNTIF('7. MS'!$M:$M,_xlpm.id),COUNTIF('8. DS'!$M:$M,_xlpm.id),COUNTIF('9. RMF'!$M:$M,_xlpm.id),COUNTIF('10. PCU'!$M:$M,_xlpm.id))))</f>
        <v>0</v>
      </c>
    </row>
    <row r="1734" spans="1:9">
      <c r="A1734" t="s">
        <v>9749</v>
      </c>
      <c r="B1734" t="s">
        <v>9733</v>
      </c>
      <c r="C1734">
        <v>1780</v>
      </c>
      <c r="D1734">
        <v>1</v>
      </c>
      <c r="E1734" s="23">
        <v>17</v>
      </c>
      <c r="F1734" t="s">
        <v>8102</v>
      </c>
      <c r="G1734" t="s">
        <v>10484</v>
      </c>
      <c r="H1734" t="s">
        <v>8021</v>
      </c>
      <c r="I1734">
        <f>_xlfn.LET(_xlpm.id,TRIM($A1734),IF(_xlpm.id="","",SUM(COUNTIF('1. OP'!$M:$M,_xlpm.id),COUNTIF('2. JSEL'!$M:$M,_xlpm.id),COUNTIF('3. PSM'!$M:$M,_xlpm.id),COUNTIF('4. SSP'!$M:$M,_xlpm.id),COUNTIF('5. JSACI'!$M:$M,_xlpm.id),COUNTIF('6. AIN'!$M:$M,_xlpm.id),COUNTIF('7. MS'!$M:$M,_xlpm.id),COUNTIF('8. DS'!$M:$M,_xlpm.id),COUNTIF('9. RMF'!$M:$M,_xlpm.id),COUNTIF('10. PCU'!$M:$M,_xlpm.id))))</f>
        <v>0</v>
      </c>
    </row>
    <row r="1735" spans="1:9">
      <c r="A1735" t="s">
        <v>9750</v>
      </c>
      <c r="B1735" t="s">
        <v>9733</v>
      </c>
      <c r="C1735">
        <v>1781</v>
      </c>
      <c r="D1735">
        <v>1</v>
      </c>
      <c r="E1735" s="23">
        <v>18</v>
      </c>
      <c r="F1735" t="s">
        <v>8102</v>
      </c>
      <c r="G1735" t="s">
        <v>10484</v>
      </c>
      <c r="H1735" t="s">
        <v>8021</v>
      </c>
      <c r="I1735">
        <f>_xlfn.LET(_xlpm.id,TRIM($A1735),IF(_xlpm.id="","",SUM(COUNTIF('1. OP'!$M:$M,_xlpm.id),COUNTIF('2. JSEL'!$M:$M,_xlpm.id),COUNTIF('3. PSM'!$M:$M,_xlpm.id),COUNTIF('4. SSP'!$M:$M,_xlpm.id),COUNTIF('5. JSACI'!$M:$M,_xlpm.id),COUNTIF('6. AIN'!$M:$M,_xlpm.id),COUNTIF('7. MS'!$M:$M,_xlpm.id),COUNTIF('8. DS'!$M:$M,_xlpm.id),COUNTIF('9. RMF'!$M:$M,_xlpm.id),COUNTIF('10. PCU'!$M:$M,_xlpm.id))))</f>
        <v>0</v>
      </c>
    </row>
    <row r="1736" spans="1:9">
      <c r="A1736" t="s">
        <v>9751</v>
      </c>
      <c r="B1736" t="s">
        <v>9733</v>
      </c>
      <c r="C1736">
        <v>1781</v>
      </c>
      <c r="D1736">
        <v>1</v>
      </c>
      <c r="E1736" s="23">
        <v>19</v>
      </c>
      <c r="F1736" t="s">
        <v>8102</v>
      </c>
      <c r="G1736" t="s">
        <v>10484</v>
      </c>
      <c r="H1736" t="s">
        <v>8021</v>
      </c>
      <c r="I1736">
        <f>_xlfn.LET(_xlpm.id,TRIM($A1736),IF(_xlpm.id="","",SUM(COUNTIF('1. OP'!$M:$M,_xlpm.id),COUNTIF('2. JSEL'!$M:$M,_xlpm.id),COUNTIF('3. PSM'!$M:$M,_xlpm.id),COUNTIF('4. SSP'!$M:$M,_xlpm.id),COUNTIF('5. JSACI'!$M:$M,_xlpm.id),COUNTIF('6. AIN'!$M:$M,_xlpm.id),COUNTIF('7. MS'!$M:$M,_xlpm.id),COUNTIF('8. DS'!$M:$M,_xlpm.id),COUNTIF('9. RMF'!$M:$M,_xlpm.id),COUNTIF('10. PCU'!$M:$M,_xlpm.id))))</f>
        <v>0</v>
      </c>
    </row>
    <row r="1737" spans="1:9">
      <c r="A1737" t="s">
        <v>9752</v>
      </c>
      <c r="B1737" t="s">
        <v>9733</v>
      </c>
      <c r="C1737">
        <v>1782</v>
      </c>
      <c r="D1737">
        <v>1</v>
      </c>
      <c r="E1737" s="23">
        <v>20</v>
      </c>
      <c r="F1737" t="s">
        <v>8102</v>
      </c>
      <c r="G1737" t="s">
        <v>10484</v>
      </c>
      <c r="H1737" t="s">
        <v>8021</v>
      </c>
      <c r="I1737">
        <f>_xlfn.LET(_xlpm.id,TRIM($A1737),IF(_xlpm.id="","",SUM(COUNTIF('1. OP'!$M:$M,_xlpm.id),COUNTIF('2. JSEL'!$M:$M,_xlpm.id),COUNTIF('3. PSM'!$M:$M,_xlpm.id),COUNTIF('4. SSP'!$M:$M,_xlpm.id),COUNTIF('5. JSACI'!$M:$M,_xlpm.id),COUNTIF('6. AIN'!$M:$M,_xlpm.id),COUNTIF('7. MS'!$M:$M,_xlpm.id),COUNTIF('8. DS'!$M:$M,_xlpm.id),COUNTIF('9. RMF'!$M:$M,_xlpm.id),COUNTIF('10. PCU'!$M:$M,_xlpm.id))))</f>
        <v>0</v>
      </c>
    </row>
    <row r="1738" spans="1:9">
      <c r="A1738" t="s">
        <v>9753</v>
      </c>
      <c r="B1738" t="s">
        <v>9733</v>
      </c>
      <c r="C1738">
        <v>1782</v>
      </c>
      <c r="D1738">
        <v>1</v>
      </c>
      <c r="E1738" s="23">
        <v>21</v>
      </c>
      <c r="F1738" t="s">
        <v>8102</v>
      </c>
      <c r="G1738" t="s">
        <v>10484</v>
      </c>
      <c r="H1738" t="s">
        <v>8021</v>
      </c>
      <c r="I1738">
        <f>_xlfn.LET(_xlpm.id,TRIM($A1738),IF(_xlpm.id="","",SUM(COUNTIF('1. OP'!$M:$M,_xlpm.id),COUNTIF('2. JSEL'!$M:$M,_xlpm.id),COUNTIF('3. PSM'!$M:$M,_xlpm.id),COUNTIF('4. SSP'!$M:$M,_xlpm.id),COUNTIF('5. JSACI'!$M:$M,_xlpm.id),COUNTIF('6. AIN'!$M:$M,_xlpm.id),COUNTIF('7. MS'!$M:$M,_xlpm.id),COUNTIF('8. DS'!$M:$M,_xlpm.id),COUNTIF('9. RMF'!$M:$M,_xlpm.id),COUNTIF('10. PCU'!$M:$M,_xlpm.id))))</f>
        <v>0</v>
      </c>
    </row>
    <row r="1739" spans="1:9">
      <c r="A1739" t="s">
        <v>9754</v>
      </c>
      <c r="B1739" t="s">
        <v>9733</v>
      </c>
      <c r="C1739">
        <v>1782</v>
      </c>
      <c r="D1739">
        <v>1</v>
      </c>
      <c r="E1739" s="23">
        <v>22</v>
      </c>
      <c r="F1739" t="s">
        <v>8102</v>
      </c>
      <c r="G1739" t="s">
        <v>10484</v>
      </c>
      <c r="H1739" t="s">
        <v>8021</v>
      </c>
      <c r="I1739">
        <f>_xlfn.LET(_xlpm.id,TRIM($A1739),IF(_xlpm.id="","",SUM(COUNTIF('1. OP'!$M:$M,_xlpm.id),COUNTIF('2. JSEL'!$M:$M,_xlpm.id),COUNTIF('3. PSM'!$M:$M,_xlpm.id),COUNTIF('4. SSP'!$M:$M,_xlpm.id),COUNTIF('5. JSACI'!$M:$M,_xlpm.id),COUNTIF('6. AIN'!$M:$M,_xlpm.id),COUNTIF('7. MS'!$M:$M,_xlpm.id),COUNTIF('8. DS'!$M:$M,_xlpm.id),COUNTIF('9. RMF'!$M:$M,_xlpm.id),COUNTIF('10. PCU'!$M:$M,_xlpm.id))))</f>
        <v>0</v>
      </c>
    </row>
    <row r="1740" spans="1:9">
      <c r="A1740" t="s">
        <v>9755</v>
      </c>
      <c r="B1740" t="s">
        <v>9733</v>
      </c>
      <c r="C1740">
        <v>1783</v>
      </c>
      <c r="D1740">
        <v>1</v>
      </c>
      <c r="E1740" s="23">
        <v>23</v>
      </c>
      <c r="F1740" t="s">
        <v>8102</v>
      </c>
      <c r="G1740" t="s">
        <v>10484</v>
      </c>
      <c r="H1740" t="s">
        <v>8021</v>
      </c>
      <c r="I1740">
        <f>_xlfn.LET(_xlpm.id,TRIM($A1740),IF(_xlpm.id="","",SUM(COUNTIF('1. OP'!$M:$M,_xlpm.id),COUNTIF('2. JSEL'!$M:$M,_xlpm.id),COUNTIF('3. PSM'!$M:$M,_xlpm.id),COUNTIF('4. SSP'!$M:$M,_xlpm.id),COUNTIF('5. JSACI'!$M:$M,_xlpm.id),COUNTIF('6. AIN'!$M:$M,_xlpm.id),COUNTIF('7. MS'!$M:$M,_xlpm.id),COUNTIF('8. DS'!$M:$M,_xlpm.id),COUNTIF('9. RMF'!$M:$M,_xlpm.id),COUNTIF('10. PCU'!$M:$M,_xlpm.id))))</f>
        <v>0</v>
      </c>
    </row>
    <row r="1741" spans="1:9">
      <c r="A1741" t="s">
        <v>9756</v>
      </c>
      <c r="B1741" t="s">
        <v>9733</v>
      </c>
      <c r="C1741">
        <v>1783</v>
      </c>
      <c r="D1741">
        <v>1</v>
      </c>
      <c r="E1741" s="23">
        <v>24</v>
      </c>
      <c r="F1741" t="s">
        <v>8102</v>
      </c>
      <c r="G1741" t="s">
        <v>10484</v>
      </c>
      <c r="H1741" t="s">
        <v>8021</v>
      </c>
      <c r="I1741">
        <f>_xlfn.LET(_xlpm.id,TRIM($A1741),IF(_xlpm.id="","",SUM(COUNTIF('1. OP'!$M:$M,_xlpm.id),COUNTIF('2. JSEL'!$M:$M,_xlpm.id),COUNTIF('3. PSM'!$M:$M,_xlpm.id),COUNTIF('4. SSP'!$M:$M,_xlpm.id),COUNTIF('5. JSACI'!$M:$M,_xlpm.id),COUNTIF('6. AIN'!$M:$M,_xlpm.id),COUNTIF('7. MS'!$M:$M,_xlpm.id),COUNTIF('8. DS'!$M:$M,_xlpm.id),COUNTIF('9. RMF'!$M:$M,_xlpm.id),COUNTIF('10. PCU'!$M:$M,_xlpm.id))))</f>
        <v>0</v>
      </c>
    </row>
    <row r="1742" spans="1:9">
      <c r="A1742" t="s">
        <v>9757</v>
      </c>
      <c r="B1742" t="s">
        <v>9733</v>
      </c>
      <c r="C1742">
        <v>1784</v>
      </c>
      <c r="D1742">
        <v>1</v>
      </c>
      <c r="E1742" s="23">
        <v>25</v>
      </c>
      <c r="F1742" t="s">
        <v>8102</v>
      </c>
      <c r="G1742" t="s">
        <v>10484</v>
      </c>
      <c r="H1742" t="s">
        <v>8021</v>
      </c>
      <c r="I1742">
        <f>_xlfn.LET(_xlpm.id,TRIM($A1742),IF(_xlpm.id="","",SUM(COUNTIF('1. OP'!$M:$M,_xlpm.id),COUNTIF('2. JSEL'!$M:$M,_xlpm.id),COUNTIF('3. PSM'!$M:$M,_xlpm.id),COUNTIF('4. SSP'!$M:$M,_xlpm.id),COUNTIF('5. JSACI'!$M:$M,_xlpm.id),COUNTIF('6. AIN'!$M:$M,_xlpm.id),COUNTIF('7. MS'!$M:$M,_xlpm.id),COUNTIF('8. DS'!$M:$M,_xlpm.id),COUNTIF('9. RMF'!$M:$M,_xlpm.id),COUNTIF('10. PCU'!$M:$M,_xlpm.id))))</f>
        <v>0</v>
      </c>
    </row>
    <row r="1743" spans="1:9">
      <c r="A1743" t="s">
        <v>9758</v>
      </c>
      <c r="B1743" t="s">
        <v>9733</v>
      </c>
      <c r="C1743">
        <v>1784</v>
      </c>
      <c r="D1743">
        <v>1</v>
      </c>
      <c r="E1743" s="23">
        <v>26</v>
      </c>
      <c r="F1743" t="s">
        <v>8102</v>
      </c>
      <c r="G1743" t="s">
        <v>10484</v>
      </c>
      <c r="H1743" t="s">
        <v>8021</v>
      </c>
      <c r="I1743">
        <f>_xlfn.LET(_xlpm.id,TRIM($A1743),IF(_xlpm.id="","",SUM(COUNTIF('1. OP'!$M:$M,_xlpm.id),COUNTIF('2. JSEL'!$M:$M,_xlpm.id),COUNTIF('3. PSM'!$M:$M,_xlpm.id),COUNTIF('4. SSP'!$M:$M,_xlpm.id),COUNTIF('5. JSACI'!$M:$M,_xlpm.id),COUNTIF('6. AIN'!$M:$M,_xlpm.id),COUNTIF('7. MS'!$M:$M,_xlpm.id),COUNTIF('8. DS'!$M:$M,_xlpm.id),COUNTIF('9. RMF'!$M:$M,_xlpm.id),COUNTIF('10. PCU'!$M:$M,_xlpm.id))))</f>
        <v>0</v>
      </c>
    </row>
    <row r="1744" spans="1:9">
      <c r="A1744" t="s">
        <v>9759</v>
      </c>
      <c r="B1744" t="s">
        <v>9733</v>
      </c>
      <c r="C1744">
        <v>1785</v>
      </c>
      <c r="D1744">
        <v>1</v>
      </c>
      <c r="E1744" s="23">
        <v>27</v>
      </c>
      <c r="F1744" t="s">
        <v>8102</v>
      </c>
      <c r="G1744" t="s">
        <v>10484</v>
      </c>
      <c r="H1744" t="s">
        <v>8021</v>
      </c>
      <c r="I1744">
        <f>_xlfn.LET(_xlpm.id,TRIM($A1744),IF(_xlpm.id="","",SUM(COUNTIF('1. OP'!$M:$M,_xlpm.id),COUNTIF('2. JSEL'!$M:$M,_xlpm.id),COUNTIF('3. PSM'!$M:$M,_xlpm.id),COUNTIF('4. SSP'!$M:$M,_xlpm.id),COUNTIF('5. JSACI'!$M:$M,_xlpm.id),COUNTIF('6. AIN'!$M:$M,_xlpm.id),COUNTIF('7. MS'!$M:$M,_xlpm.id),COUNTIF('8. DS'!$M:$M,_xlpm.id),COUNTIF('9. RMF'!$M:$M,_xlpm.id),COUNTIF('10. PCU'!$M:$M,_xlpm.id))))</f>
        <v>0</v>
      </c>
    </row>
    <row r="1745" spans="1:9">
      <c r="A1745" t="s">
        <v>9760</v>
      </c>
      <c r="B1745" t="s">
        <v>9733</v>
      </c>
      <c r="C1745">
        <v>1785</v>
      </c>
      <c r="D1745">
        <v>1</v>
      </c>
      <c r="E1745" s="23">
        <v>28</v>
      </c>
      <c r="F1745" t="s">
        <v>8102</v>
      </c>
      <c r="G1745" t="s">
        <v>10484</v>
      </c>
      <c r="H1745" t="s">
        <v>8021</v>
      </c>
      <c r="I1745">
        <f>_xlfn.LET(_xlpm.id,TRIM($A1745),IF(_xlpm.id="","",SUM(COUNTIF('1. OP'!$M:$M,_xlpm.id),COUNTIF('2. JSEL'!$M:$M,_xlpm.id),COUNTIF('3. PSM'!$M:$M,_xlpm.id),COUNTIF('4. SSP'!$M:$M,_xlpm.id),COUNTIF('5. JSACI'!$M:$M,_xlpm.id),COUNTIF('6. AIN'!$M:$M,_xlpm.id),COUNTIF('7. MS'!$M:$M,_xlpm.id),COUNTIF('8. DS'!$M:$M,_xlpm.id),COUNTIF('9. RMF'!$M:$M,_xlpm.id),COUNTIF('10. PCU'!$M:$M,_xlpm.id))))</f>
        <v>0</v>
      </c>
    </row>
    <row r="1746" spans="1:9">
      <c r="A1746" t="s">
        <v>9761</v>
      </c>
      <c r="B1746" t="s">
        <v>9733</v>
      </c>
      <c r="C1746">
        <v>1786</v>
      </c>
      <c r="D1746">
        <v>1</v>
      </c>
      <c r="E1746" s="23">
        <v>29</v>
      </c>
      <c r="F1746" t="s">
        <v>8102</v>
      </c>
      <c r="G1746" t="s">
        <v>10484</v>
      </c>
      <c r="H1746" t="s">
        <v>8021</v>
      </c>
      <c r="I1746">
        <f>_xlfn.LET(_xlpm.id,TRIM($A1746),IF(_xlpm.id="","",SUM(COUNTIF('1. OP'!$M:$M,_xlpm.id),COUNTIF('2. JSEL'!$M:$M,_xlpm.id),COUNTIF('3. PSM'!$M:$M,_xlpm.id),COUNTIF('4. SSP'!$M:$M,_xlpm.id),COUNTIF('5. JSACI'!$M:$M,_xlpm.id),COUNTIF('6. AIN'!$M:$M,_xlpm.id),COUNTIF('7. MS'!$M:$M,_xlpm.id),COUNTIF('8. DS'!$M:$M,_xlpm.id),COUNTIF('9. RMF'!$M:$M,_xlpm.id),COUNTIF('10. PCU'!$M:$M,_xlpm.id))))</f>
        <v>0</v>
      </c>
    </row>
    <row r="1747" spans="1:9">
      <c r="A1747" t="s">
        <v>9762</v>
      </c>
      <c r="B1747" t="s">
        <v>9733</v>
      </c>
      <c r="C1747">
        <v>1786</v>
      </c>
      <c r="D1747">
        <v>1</v>
      </c>
      <c r="E1747" s="23">
        <v>30</v>
      </c>
      <c r="F1747" t="s">
        <v>8102</v>
      </c>
      <c r="G1747" t="s">
        <v>10484</v>
      </c>
      <c r="H1747" t="s">
        <v>8021</v>
      </c>
      <c r="I1747">
        <f>_xlfn.LET(_xlpm.id,TRIM($A1747),IF(_xlpm.id="","",SUM(COUNTIF('1. OP'!$M:$M,_xlpm.id),COUNTIF('2. JSEL'!$M:$M,_xlpm.id),COUNTIF('3. PSM'!$M:$M,_xlpm.id),COUNTIF('4. SSP'!$M:$M,_xlpm.id),COUNTIF('5. JSACI'!$M:$M,_xlpm.id),COUNTIF('6. AIN'!$M:$M,_xlpm.id),COUNTIF('7. MS'!$M:$M,_xlpm.id),COUNTIF('8. DS'!$M:$M,_xlpm.id),COUNTIF('9. RMF'!$M:$M,_xlpm.id),COUNTIF('10. PCU'!$M:$M,_xlpm.id))))</f>
        <v>0</v>
      </c>
    </row>
    <row r="1748" spans="1:9">
      <c r="A1748" t="s">
        <v>9763</v>
      </c>
      <c r="B1748" t="s">
        <v>9733</v>
      </c>
      <c r="C1748">
        <v>1787</v>
      </c>
      <c r="D1748">
        <v>1</v>
      </c>
      <c r="E1748" s="23">
        <v>31</v>
      </c>
      <c r="F1748" t="s">
        <v>8102</v>
      </c>
      <c r="G1748" t="s">
        <v>10484</v>
      </c>
      <c r="H1748" t="s">
        <v>8021</v>
      </c>
      <c r="I1748">
        <f>_xlfn.LET(_xlpm.id,TRIM($A1748),IF(_xlpm.id="","",SUM(COUNTIF('1. OP'!$M:$M,_xlpm.id),COUNTIF('2. JSEL'!$M:$M,_xlpm.id),COUNTIF('3. PSM'!$M:$M,_xlpm.id),COUNTIF('4. SSP'!$M:$M,_xlpm.id),COUNTIF('5. JSACI'!$M:$M,_xlpm.id),COUNTIF('6. AIN'!$M:$M,_xlpm.id),COUNTIF('7. MS'!$M:$M,_xlpm.id),COUNTIF('8. DS'!$M:$M,_xlpm.id),COUNTIF('9. RMF'!$M:$M,_xlpm.id),COUNTIF('10. PCU'!$M:$M,_xlpm.id))))</f>
        <v>0</v>
      </c>
    </row>
    <row r="1749" spans="1:9">
      <c r="A1749" t="s">
        <v>9764</v>
      </c>
      <c r="B1749" t="s">
        <v>9733</v>
      </c>
      <c r="C1749">
        <v>1787</v>
      </c>
      <c r="D1749">
        <v>1</v>
      </c>
      <c r="E1749" s="23">
        <v>32</v>
      </c>
      <c r="F1749" t="s">
        <v>8102</v>
      </c>
      <c r="G1749" t="s">
        <v>10484</v>
      </c>
      <c r="H1749" t="s">
        <v>8021</v>
      </c>
      <c r="I1749">
        <f>_xlfn.LET(_xlpm.id,TRIM($A1749),IF(_xlpm.id="","",SUM(COUNTIF('1. OP'!$M:$M,_xlpm.id),COUNTIF('2. JSEL'!$M:$M,_xlpm.id),COUNTIF('3. PSM'!$M:$M,_xlpm.id),COUNTIF('4. SSP'!$M:$M,_xlpm.id),COUNTIF('5. JSACI'!$M:$M,_xlpm.id),COUNTIF('6. AIN'!$M:$M,_xlpm.id),COUNTIF('7. MS'!$M:$M,_xlpm.id),COUNTIF('8. DS'!$M:$M,_xlpm.id),COUNTIF('9. RMF'!$M:$M,_xlpm.id),COUNTIF('10. PCU'!$M:$M,_xlpm.id))))</f>
        <v>0</v>
      </c>
    </row>
    <row r="1750" spans="1:9">
      <c r="A1750" t="s">
        <v>9765</v>
      </c>
      <c r="B1750" t="s">
        <v>9733</v>
      </c>
      <c r="C1750">
        <v>1788</v>
      </c>
      <c r="D1750">
        <v>1</v>
      </c>
      <c r="E1750" s="23">
        <v>33</v>
      </c>
      <c r="F1750" t="s">
        <v>8102</v>
      </c>
      <c r="G1750" t="s">
        <v>10484</v>
      </c>
      <c r="H1750" t="s">
        <v>8021</v>
      </c>
      <c r="I1750">
        <f>_xlfn.LET(_xlpm.id,TRIM($A1750),IF(_xlpm.id="","",SUM(COUNTIF('1. OP'!$M:$M,_xlpm.id),COUNTIF('2. JSEL'!$M:$M,_xlpm.id),COUNTIF('3. PSM'!$M:$M,_xlpm.id),COUNTIF('4. SSP'!$M:$M,_xlpm.id),COUNTIF('5. JSACI'!$M:$M,_xlpm.id),COUNTIF('6. AIN'!$M:$M,_xlpm.id),COUNTIF('7. MS'!$M:$M,_xlpm.id),COUNTIF('8. DS'!$M:$M,_xlpm.id),COUNTIF('9. RMF'!$M:$M,_xlpm.id),COUNTIF('10. PCU'!$M:$M,_xlpm.id))))</f>
        <v>0</v>
      </c>
    </row>
    <row r="1751" spans="1:9">
      <c r="A1751" t="s">
        <v>9766</v>
      </c>
      <c r="B1751" t="s">
        <v>9733</v>
      </c>
      <c r="C1751">
        <v>1788</v>
      </c>
      <c r="D1751">
        <v>1</v>
      </c>
      <c r="E1751" s="23">
        <v>34</v>
      </c>
      <c r="F1751" t="s">
        <v>8102</v>
      </c>
      <c r="G1751" t="s">
        <v>10484</v>
      </c>
      <c r="H1751" t="s">
        <v>8021</v>
      </c>
      <c r="I1751">
        <f>_xlfn.LET(_xlpm.id,TRIM($A1751),IF(_xlpm.id="","",SUM(COUNTIF('1. OP'!$M:$M,_xlpm.id),COUNTIF('2. JSEL'!$M:$M,_xlpm.id),COUNTIF('3. PSM'!$M:$M,_xlpm.id),COUNTIF('4. SSP'!$M:$M,_xlpm.id),COUNTIF('5. JSACI'!$M:$M,_xlpm.id),COUNTIF('6. AIN'!$M:$M,_xlpm.id),COUNTIF('7. MS'!$M:$M,_xlpm.id),COUNTIF('8. DS'!$M:$M,_xlpm.id),COUNTIF('9. RMF'!$M:$M,_xlpm.id),COUNTIF('10. PCU'!$M:$M,_xlpm.id))))</f>
        <v>0</v>
      </c>
    </row>
    <row r="1752" spans="1:9">
      <c r="A1752" t="s">
        <v>9767</v>
      </c>
      <c r="B1752" t="s">
        <v>9733</v>
      </c>
      <c r="C1752">
        <v>1789</v>
      </c>
      <c r="D1752">
        <v>1</v>
      </c>
      <c r="E1752" s="23">
        <v>35</v>
      </c>
      <c r="F1752" t="s">
        <v>8102</v>
      </c>
      <c r="G1752" t="s">
        <v>10484</v>
      </c>
      <c r="H1752" t="s">
        <v>8021</v>
      </c>
      <c r="I1752">
        <f>_xlfn.LET(_xlpm.id,TRIM($A1752),IF(_xlpm.id="","",SUM(COUNTIF('1. OP'!$M:$M,_xlpm.id),COUNTIF('2. JSEL'!$M:$M,_xlpm.id),COUNTIF('3. PSM'!$M:$M,_xlpm.id),COUNTIF('4. SSP'!$M:$M,_xlpm.id),COUNTIF('5. JSACI'!$M:$M,_xlpm.id),COUNTIF('6. AIN'!$M:$M,_xlpm.id),COUNTIF('7. MS'!$M:$M,_xlpm.id),COUNTIF('8. DS'!$M:$M,_xlpm.id),COUNTIF('9. RMF'!$M:$M,_xlpm.id),COUNTIF('10. PCU'!$M:$M,_xlpm.id))))</f>
        <v>0</v>
      </c>
    </row>
    <row r="1753" spans="1:9">
      <c r="A1753" t="s">
        <v>9768</v>
      </c>
      <c r="B1753" t="s">
        <v>9733</v>
      </c>
      <c r="C1753">
        <v>1789</v>
      </c>
      <c r="D1753">
        <v>1</v>
      </c>
      <c r="E1753" s="23">
        <v>36</v>
      </c>
      <c r="F1753" t="s">
        <v>8102</v>
      </c>
      <c r="G1753" t="s">
        <v>10484</v>
      </c>
      <c r="H1753" t="s">
        <v>8021</v>
      </c>
      <c r="I1753">
        <f>_xlfn.LET(_xlpm.id,TRIM($A1753),IF(_xlpm.id="","",SUM(COUNTIF('1. OP'!$M:$M,_xlpm.id),COUNTIF('2. JSEL'!$M:$M,_xlpm.id),COUNTIF('3. PSM'!$M:$M,_xlpm.id),COUNTIF('4. SSP'!$M:$M,_xlpm.id),COUNTIF('5. JSACI'!$M:$M,_xlpm.id),COUNTIF('6. AIN'!$M:$M,_xlpm.id),COUNTIF('7. MS'!$M:$M,_xlpm.id),COUNTIF('8. DS'!$M:$M,_xlpm.id),COUNTIF('9. RMF'!$M:$M,_xlpm.id),COUNTIF('10. PCU'!$M:$M,_xlpm.id))))</f>
        <v>0</v>
      </c>
    </row>
    <row r="1754" spans="1:9">
      <c r="A1754" t="s">
        <v>9769</v>
      </c>
      <c r="B1754" t="s">
        <v>9733</v>
      </c>
      <c r="C1754">
        <v>1790</v>
      </c>
      <c r="D1754">
        <v>1</v>
      </c>
      <c r="E1754" s="23">
        <v>37</v>
      </c>
      <c r="F1754" t="s">
        <v>8102</v>
      </c>
      <c r="G1754" t="s">
        <v>10484</v>
      </c>
      <c r="H1754" t="s">
        <v>8021</v>
      </c>
      <c r="I1754">
        <f>_xlfn.LET(_xlpm.id,TRIM($A1754),IF(_xlpm.id="","",SUM(COUNTIF('1. OP'!$M:$M,_xlpm.id),COUNTIF('2. JSEL'!$M:$M,_xlpm.id),COUNTIF('3. PSM'!$M:$M,_xlpm.id),COUNTIF('4. SSP'!$M:$M,_xlpm.id),COUNTIF('5. JSACI'!$M:$M,_xlpm.id),COUNTIF('6. AIN'!$M:$M,_xlpm.id),COUNTIF('7. MS'!$M:$M,_xlpm.id),COUNTIF('8. DS'!$M:$M,_xlpm.id),COUNTIF('9. RMF'!$M:$M,_xlpm.id),COUNTIF('10. PCU'!$M:$M,_xlpm.id))))</f>
        <v>0</v>
      </c>
    </row>
    <row r="1755" spans="1:9">
      <c r="A1755" t="s">
        <v>9770</v>
      </c>
      <c r="B1755" t="s">
        <v>9733</v>
      </c>
      <c r="C1755">
        <v>1790</v>
      </c>
      <c r="D1755">
        <v>1</v>
      </c>
      <c r="E1755" s="23">
        <v>38</v>
      </c>
      <c r="F1755" t="s">
        <v>8102</v>
      </c>
      <c r="G1755" t="s">
        <v>10484</v>
      </c>
      <c r="H1755" t="s">
        <v>8021</v>
      </c>
      <c r="I1755">
        <f>_xlfn.LET(_xlpm.id,TRIM($A1755),IF(_xlpm.id="","",SUM(COUNTIF('1. OP'!$M:$M,_xlpm.id),COUNTIF('2. JSEL'!$M:$M,_xlpm.id),COUNTIF('3. PSM'!$M:$M,_xlpm.id),COUNTIF('4. SSP'!$M:$M,_xlpm.id),COUNTIF('5. JSACI'!$M:$M,_xlpm.id),COUNTIF('6. AIN'!$M:$M,_xlpm.id),COUNTIF('7. MS'!$M:$M,_xlpm.id),COUNTIF('8. DS'!$M:$M,_xlpm.id),COUNTIF('9. RMF'!$M:$M,_xlpm.id),COUNTIF('10. PCU'!$M:$M,_xlpm.id))))</f>
        <v>0</v>
      </c>
    </row>
    <row r="1756" spans="1:9">
      <c r="A1756" t="s">
        <v>9771</v>
      </c>
      <c r="B1756" t="s">
        <v>9733</v>
      </c>
      <c r="C1756">
        <v>1791</v>
      </c>
      <c r="D1756">
        <v>1</v>
      </c>
      <c r="E1756" s="23">
        <v>39</v>
      </c>
      <c r="F1756" t="s">
        <v>8102</v>
      </c>
      <c r="G1756" t="s">
        <v>10484</v>
      </c>
      <c r="H1756" t="s">
        <v>8021</v>
      </c>
      <c r="I1756">
        <f>_xlfn.LET(_xlpm.id,TRIM($A1756),IF(_xlpm.id="","",SUM(COUNTIF('1. OP'!$M:$M,_xlpm.id),COUNTIF('2. JSEL'!$M:$M,_xlpm.id),COUNTIF('3. PSM'!$M:$M,_xlpm.id),COUNTIF('4. SSP'!$M:$M,_xlpm.id),COUNTIF('5. JSACI'!$M:$M,_xlpm.id),COUNTIF('6. AIN'!$M:$M,_xlpm.id),COUNTIF('7. MS'!$M:$M,_xlpm.id),COUNTIF('8. DS'!$M:$M,_xlpm.id),COUNTIF('9. RMF'!$M:$M,_xlpm.id),COUNTIF('10. PCU'!$M:$M,_xlpm.id))))</f>
        <v>0</v>
      </c>
    </row>
    <row r="1757" spans="1:9">
      <c r="A1757" t="s">
        <v>9772</v>
      </c>
      <c r="B1757" t="s">
        <v>9733</v>
      </c>
      <c r="C1757">
        <v>1791</v>
      </c>
      <c r="D1757">
        <v>1</v>
      </c>
      <c r="E1757" s="23">
        <v>40</v>
      </c>
      <c r="F1757" t="s">
        <v>8102</v>
      </c>
      <c r="G1757" t="s">
        <v>10484</v>
      </c>
      <c r="H1757" t="s">
        <v>8021</v>
      </c>
      <c r="I1757">
        <f>_xlfn.LET(_xlpm.id,TRIM($A1757),IF(_xlpm.id="","",SUM(COUNTIF('1. OP'!$M:$M,_xlpm.id),COUNTIF('2. JSEL'!$M:$M,_xlpm.id),COUNTIF('3. PSM'!$M:$M,_xlpm.id),COUNTIF('4. SSP'!$M:$M,_xlpm.id),COUNTIF('5. JSACI'!$M:$M,_xlpm.id),COUNTIF('6. AIN'!$M:$M,_xlpm.id),COUNTIF('7. MS'!$M:$M,_xlpm.id),COUNTIF('8. DS'!$M:$M,_xlpm.id),COUNTIF('9. RMF'!$M:$M,_xlpm.id),COUNTIF('10. PCU'!$M:$M,_xlpm.id))))</f>
        <v>0</v>
      </c>
    </row>
    <row r="1758" spans="1:9">
      <c r="A1758" t="s">
        <v>9773</v>
      </c>
      <c r="B1758" t="s">
        <v>9733</v>
      </c>
      <c r="C1758">
        <v>1792</v>
      </c>
      <c r="D1758">
        <v>1</v>
      </c>
      <c r="E1758" s="23">
        <v>41</v>
      </c>
      <c r="F1758" t="s">
        <v>8102</v>
      </c>
      <c r="G1758" t="s">
        <v>10484</v>
      </c>
      <c r="H1758" t="s">
        <v>8021</v>
      </c>
      <c r="I1758">
        <f>_xlfn.LET(_xlpm.id,TRIM($A1758),IF(_xlpm.id="","",SUM(COUNTIF('1. OP'!$M:$M,_xlpm.id),COUNTIF('2. JSEL'!$M:$M,_xlpm.id),COUNTIF('3. PSM'!$M:$M,_xlpm.id),COUNTIF('4. SSP'!$M:$M,_xlpm.id),COUNTIF('5. JSACI'!$M:$M,_xlpm.id),COUNTIF('6. AIN'!$M:$M,_xlpm.id),COUNTIF('7. MS'!$M:$M,_xlpm.id),COUNTIF('8. DS'!$M:$M,_xlpm.id),COUNTIF('9. RMF'!$M:$M,_xlpm.id),COUNTIF('10. PCU'!$M:$M,_xlpm.id))))</f>
        <v>0</v>
      </c>
    </row>
    <row r="1759" spans="1:9">
      <c r="A1759" t="s">
        <v>9774</v>
      </c>
      <c r="B1759" t="s">
        <v>9733</v>
      </c>
      <c r="C1759">
        <v>1792</v>
      </c>
      <c r="D1759">
        <v>1</v>
      </c>
      <c r="E1759" s="23">
        <v>42</v>
      </c>
      <c r="F1759" t="s">
        <v>8102</v>
      </c>
      <c r="G1759" t="s">
        <v>10484</v>
      </c>
      <c r="H1759" t="s">
        <v>8021</v>
      </c>
      <c r="I1759">
        <f>_xlfn.LET(_xlpm.id,TRIM($A1759),IF(_xlpm.id="","",SUM(COUNTIF('1. OP'!$M:$M,_xlpm.id),COUNTIF('2. JSEL'!$M:$M,_xlpm.id),COUNTIF('3. PSM'!$M:$M,_xlpm.id),COUNTIF('4. SSP'!$M:$M,_xlpm.id),COUNTIF('5. JSACI'!$M:$M,_xlpm.id),COUNTIF('6. AIN'!$M:$M,_xlpm.id),COUNTIF('7. MS'!$M:$M,_xlpm.id),COUNTIF('8. DS'!$M:$M,_xlpm.id),COUNTIF('9. RMF'!$M:$M,_xlpm.id),COUNTIF('10. PCU'!$M:$M,_xlpm.id))))</f>
        <v>0</v>
      </c>
    </row>
    <row r="1760" spans="1:9">
      <c r="A1760" t="s">
        <v>9775</v>
      </c>
      <c r="B1760" t="s">
        <v>9733</v>
      </c>
      <c r="C1760">
        <v>1793</v>
      </c>
      <c r="D1760">
        <v>1</v>
      </c>
      <c r="E1760" s="23">
        <v>43</v>
      </c>
      <c r="F1760" t="s">
        <v>8102</v>
      </c>
      <c r="G1760" t="s">
        <v>10484</v>
      </c>
      <c r="H1760" t="s">
        <v>8021</v>
      </c>
      <c r="I1760">
        <f>_xlfn.LET(_xlpm.id,TRIM($A1760),IF(_xlpm.id="","",SUM(COUNTIF('1. OP'!$M:$M,_xlpm.id),COUNTIF('2. JSEL'!$M:$M,_xlpm.id),COUNTIF('3. PSM'!$M:$M,_xlpm.id),COUNTIF('4. SSP'!$M:$M,_xlpm.id),COUNTIF('5. JSACI'!$M:$M,_xlpm.id),COUNTIF('6. AIN'!$M:$M,_xlpm.id),COUNTIF('7. MS'!$M:$M,_xlpm.id),COUNTIF('8. DS'!$M:$M,_xlpm.id),COUNTIF('9. RMF'!$M:$M,_xlpm.id),COUNTIF('10. PCU'!$M:$M,_xlpm.id))))</f>
        <v>0</v>
      </c>
    </row>
    <row r="1761" spans="1:9">
      <c r="A1761" t="s">
        <v>9776</v>
      </c>
      <c r="B1761" t="s">
        <v>9733</v>
      </c>
      <c r="C1761">
        <v>1793</v>
      </c>
      <c r="D1761">
        <v>1</v>
      </c>
      <c r="E1761" s="23">
        <v>44</v>
      </c>
      <c r="F1761" t="s">
        <v>8102</v>
      </c>
      <c r="G1761" t="s">
        <v>10484</v>
      </c>
      <c r="H1761" t="s">
        <v>8021</v>
      </c>
      <c r="I1761">
        <f>_xlfn.LET(_xlpm.id,TRIM($A1761),IF(_xlpm.id="","",SUM(COUNTIF('1. OP'!$M:$M,_xlpm.id),COUNTIF('2. JSEL'!$M:$M,_xlpm.id),COUNTIF('3. PSM'!$M:$M,_xlpm.id),COUNTIF('4. SSP'!$M:$M,_xlpm.id),COUNTIF('5. JSACI'!$M:$M,_xlpm.id),COUNTIF('6. AIN'!$M:$M,_xlpm.id),COUNTIF('7. MS'!$M:$M,_xlpm.id),COUNTIF('8. DS'!$M:$M,_xlpm.id),COUNTIF('9. RMF'!$M:$M,_xlpm.id),COUNTIF('10. PCU'!$M:$M,_xlpm.id))))</f>
        <v>0</v>
      </c>
    </row>
    <row r="1762" spans="1:9">
      <c r="A1762" t="s">
        <v>9777</v>
      </c>
      <c r="B1762" t="s">
        <v>9733</v>
      </c>
      <c r="C1762">
        <v>1794</v>
      </c>
      <c r="D1762">
        <v>1</v>
      </c>
      <c r="E1762" s="23">
        <v>45</v>
      </c>
      <c r="F1762" t="s">
        <v>8102</v>
      </c>
      <c r="G1762" t="s">
        <v>10484</v>
      </c>
      <c r="H1762" t="s">
        <v>8021</v>
      </c>
      <c r="I1762">
        <f>_xlfn.LET(_xlpm.id,TRIM($A1762),IF(_xlpm.id="","",SUM(COUNTIF('1. OP'!$M:$M,_xlpm.id),COUNTIF('2. JSEL'!$M:$M,_xlpm.id),COUNTIF('3. PSM'!$M:$M,_xlpm.id),COUNTIF('4. SSP'!$M:$M,_xlpm.id),COUNTIF('5. JSACI'!$M:$M,_xlpm.id),COUNTIF('6. AIN'!$M:$M,_xlpm.id),COUNTIF('7. MS'!$M:$M,_xlpm.id),COUNTIF('8. DS'!$M:$M,_xlpm.id),COUNTIF('9. RMF'!$M:$M,_xlpm.id),COUNTIF('10. PCU'!$M:$M,_xlpm.id))))</f>
        <v>0</v>
      </c>
    </row>
    <row r="1763" spans="1:9">
      <c r="A1763" t="s">
        <v>9778</v>
      </c>
      <c r="B1763" t="s">
        <v>9733</v>
      </c>
      <c r="C1763">
        <v>1794</v>
      </c>
      <c r="D1763">
        <v>1</v>
      </c>
      <c r="E1763" s="23">
        <v>46</v>
      </c>
      <c r="F1763" t="s">
        <v>8102</v>
      </c>
      <c r="G1763" t="s">
        <v>10484</v>
      </c>
      <c r="H1763" t="s">
        <v>8021</v>
      </c>
      <c r="I1763">
        <f>_xlfn.LET(_xlpm.id,TRIM($A1763),IF(_xlpm.id="","",SUM(COUNTIF('1. OP'!$M:$M,_xlpm.id),COUNTIF('2. JSEL'!$M:$M,_xlpm.id),COUNTIF('3. PSM'!$M:$M,_xlpm.id),COUNTIF('4. SSP'!$M:$M,_xlpm.id),COUNTIF('5. JSACI'!$M:$M,_xlpm.id),COUNTIF('6. AIN'!$M:$M,_xlpm.id),COUNTIF('7. MS'!$M:$M,_xlpm.id),COUNTIF('8. DS'!$M:$M,_xlpm.id),COUNTIF('9. RMF'!$M:$M,_xlpm.id),COUNTIF('10. PCU'!$M:$M,_xlpm.id))))</f>
        <v>0</v>
      </c>
    </row>
    <row r="1764" spans="1:9">
      <c r="A1764" t="s">
        <v>9779</v>
      </c>
      <c r="B1764" t="s">
        <v>9733</v>
      </c>
      <c r="C1764">
        <v>1798</v>
      </c>
      <c r="D1764">
        <v>1</v>
      </c>
      <c r="E1764" s="23">
        <v>47</v>
      </c>
      <c r="F1764" t="s">
        <v>8102</v>
      </c>
      <c r="G1764" t="s">
        <v>10484</v>
      </c>
      <c r="H1764" t="s">
        <v>8021</v>
      </c>
      <c r="I1764">
        <f>_xlfn.LET(_xlpm.id,TRIM($A1764),IF(_xlpm.id="","",SUM(COUNTIF('1. OP'!$M:$M,_xlpm.id),COUNTIF('2. JSEL'!$M:$M,_xlpm.id),COUNTIF('3. PSM'!$M:$M,_xlpm.id),COUNTIF('4. SSP'!$M:$M,_xlpm.id),COUNTIF('5. JSACI'!$M:$M,_xlpm.id),COUNTIF('6. AIN'!$M:$M,_xlpm.id),COUNTIF('7. MS'!$M:$M,_xlpm.id),COUNTIF('8. DS'!$M:$M,_xlpm.id),COUNTIF('9. RMF'!$M:$M,_xlpm.id),COUNTIF('10. PCU'!$M:$M,_xlpm.id))))</f>
        <v>0</v>
      </c>
    </row>
    <row r="1765" spans="1:9">
      <c r="A1765" t="s">
        <v>9780</v>
      </c>
      <c r="B1765" t="s">
        <v>9733</v>
      </c>
      <c r="C1765">
        <v>1798</v>
      </c>
      <c r="D1765">
        <v>1</v>
      </c>
      <c r="E1765" s="23">
        <v>48</v>
      </c>
      <c r="F1765" t="s">
        <v>8102</v>
      </c>
      <c r="G1765" t="s">
        <v>10484</v>
      </c>
      <c r="H1765" t="s">
        <v>8021</v>
      </c>
      <c r="I1765">
        <f>_xlfn.LET(_xlpm.id,TRIM($A1765),IF(_xlpm.id="","",SUM(COUNTIF('1. OP'!$M:$M,_xlpm.id),COUNTIF('2. JSEL'!$M:$M,_xlpm.id),COUNTIF('3. PSM'!$M:$M,_xlpm.id),COUNTIF('4. SSP'!$M:$M,_xlpm.id),COUNTIF('5. JSACI'!$M:$M,_xlpm.id),COUNTIF('6. AIN'!$M:$M,_xlpm.id),COUNTIF('7. MS'!$M:$M,_xlpm.id),COUNTIF('8. DS'!$M:$M,_xlpm.id),COUNTIF('9. RMF'!$M:$M,_xlpm.id),COUNTIF('10. PCU'!$M:$M,_xlpm.id))))</f>
        <v>0</v>
      </c>
    </row>
    <row r="1766" spans="1:9">
      <c r="A1766" t="s">
        <v>9781</v>
      </c>
      <c r="B1766" t="s">
        <v>9733</v>
      </c>
      <c r="C1766">
        <v>1799</v>
      </c>
      <c r="D1766">
        <v>1</v>
      </c>
      <c r="E1766" s="23">
        <v>49</v>
      </c>
      <c r="F1766" t="s">
        <v>8102</v>
      </c>
      <c r="G1766" t="s">
        <v>10484</v>
      </c>
      <c r="H1766" t="s">
        <v>8021</v>
      </c>
      <c r="I1766">
        <f>_xlfn.LET(_xlpm.id,TRIM($A1766),IF(_xlpm.id="","",SUM(COUNTIF('1. OP'!$M:$M,_xlpm.id),COUNTIF('2. JSEL'!$M:$M,_xlpm.id),COUNTIF('3. PSM'!$M:$M,_xlpm.id),COUNTIF('4. SSP'!$M:$M,_xlpm.id),COUNTIF('5. JSACI'!$M:$M,_xlpm.id),COUNTIF('6. AIN'!$M:$M,_xlpm.id),COUNTIF('7. MS'!$M:$M,_xlpm.id),COUNTIF('8. DS'!$M:$M,_xlpm.id),COUNTIF('9. RMF'!$M:$M,_xlpm.id),COUNTIF('10. PCU'!$M:$M,_xlpm.id))))</f>
        <v>0</v>
      </c>
    </row>
    <row r="1767" spans="1:9">
      <c r="A1767" t="s">
        <v>9782</v>
      </c>
      <c r="B1767" t="s">
        <v>9733</v>
      </c>
      <c r="C1767">
        <v>1799</v>
      </c>
      <c r="D1767">
        <v>1</v>
      </c>
      <c r="E1767" s="23">
        <v>50</v>
      </c>
      <c r="F1767" t="s">
        <v>8102</v>
      </c>
      <c r="G1767" t="s">
        <v>10484</v>
      </c>
      <c r="H1767" t="s">
        <v>8021</v>
      </c>
      <c r="I1767">
        <f>_xlfn.LET(_xlpm.id,TRIM($A1767),IF(_xlpm.id="","",SUM(COUNTIF('1. OP'!$M:$M,_xlpm.id),COUNTIF('2. JSEL'!$M:$M,_xlpm.id),COUNTIF('3. PSM'!$M:$M,_xlpm.id),COUNTIF('4. SSP'!$M:$M,_xlpm.id),COUNTIF('5. JSACI'!$M:$M,_xlpm.id),COUNTIF('6. AIN'!$M:$M,_xlpm.id),COUNTIF('7. MS'!$M:$M,_xlpm.id),COUNTIF('8. DS'!$M:$M,_xlpm.id),COUNTIF('9. RMF'!$M:$M,_xlpm.id),COUNTIF('10. PCU'!$M:$M,_xlpm.id))))</f>
        <v>0</v>
      </c>
    </row>
    <row r="1768" spans="1:9">
      <c r="A1768" t="s">
        <v>9783</v>
      </c>
      <c r="B1768" t="s">
        <v>9733</v>
      </c>
      <c r="C1768">
        <v>1800</v>
      </c>
      <c r="D1768">
        <v>1</v>
      </c>
      <c r="E1768" s="23">
        <v>51</v>
      </c>
      <c r="F1768" t="s">
        <v>8102</v>
      </c>
      <c r="G1768" t="s">
        <v>10484</v>
      </c>
      <c r="H1768" t="s">
        <v>8021</v>
      </c>
      <c r="I1768">
        <f>_xlfn.LET(_xlpm.id,TRIM($A1768),IF(_xlpm.id="","",SUM(COUNTIF('1. OP'!$M:$M,_xlpm.id),COUNTIF('2. JSEL'!$M:$M,_xlpm.id),COUNTIF('3. PSM'!$M:$M,_xlpm.id),COUNTIF('4. SSP'!$M:$M,_xlpm.id),COUNTIF('5. JSACI'!$M:$M,_xlpm.id),COUNTIF('6. AIN'!$M:$M,_xlpm.id),COUNTIF('7. MS'!$M:$M,_xlpm.id),COUNTIF('8. DS'!$M:$M,_xlpm.id),COUNTIF('9. RMF'!$M:$M,_xlpm.id),COUNTIF('10. PCU'!$M:$M,_xlpm.id))))</f>
        <v>0</v>
      </c>
    </row>
    <row r="1769" spans="1:9">
      <c r="A1769" t="s">
        <v>9784</v>
      </c>
      <c r="B1769" t="s">
        <v>9733</v>
      </c>
      <c r="C1769">
        <v>1800</v>
      </c>
      <c r="D1769">
        <v>1</v>
      </c>
      <c r="E1769" s="23">
        <v>52</v>
      </c>
      <c r="F1769" t="s">
        <v>8102</v>
      </c>
      <c r="G1769" t="s">
        <v>10484</v>
      </c>
      <c r="H1769" t="s">
        <v>8021</v>
      </c>
      <c r="I1769">
        <f>_xlfn.LET(_xlpm.id,TRIM($A1769),IF(_xlpm.id="","",SUM(COUNTIF('1. OP'!$M:$M,_xlpm.id),COUNTIF('2. JSEL'!$M:$M,_xlpm.id),COUNTIF('3. PSM'!$M:$M,_xlpm.id),COUNTIF('4. SSP'!$M:$M,_xlpm.id),COUNTIF('5. JSACI'!$M:$M,_xlpm.id),COUNTIF('6. AIN'!$M:$M,_xlpm.id),COUNTIF('7. MS'!$M:$M,_xlpm.id),COUNTIF('8. DS'!$M:$M,_xlpm.id),COUNTIF('9. RMF'!$M:$M,_xlpm.id),COUNTIF('10. PCU'!$M:$M,_xlpm.id))))</f>
        <v>0</v>
      </c>
    </row>
    <row r="1770" spans="1:9">
      <c r="A1770" t="s">
        <v>9785</v>
      </c>
      <c r="B1770" t="s">
        <v>9733</v>
      </c>
      <c r="C1770">
        <v>1801</v>
      </c>
      <c r="D1770">
        <v>1</v>
      </c>
      <c r="E1770" s="23">
        <v>53</v>
      </c>
      <c r="F1770" t="s">
        <v>8102</v>
      </c>
      <c r="G1770" t="s">
        <v>10484</v>
      </c>
      <c r="H1770" t="s">
        <v>8021</v>
      </c>
      <c r="I1770">
        <f>_xlfn.LET(_xlpm.id,TRIM($A1770),IF(_xlpm.id="","",SUM(COUNTIF('1. OP'!$M:$M,_xlpm.id),COUNTIF('2. JSEL'!$M:$M,_xlpm.id),COUNTIF('3. PSM'!$M:$M,_xlpm.id),COUNTIF('4. SSP'!$M:$M,_xlpm.id),COUNTIF('5. JSACI'!$M:$M,_xlpm.id),COUNTIF('6. AIN'!$M:$M,_xlpm.id),COUNTIF('7. MS'!$M:$M,_xlpm.id),COUNTIF('8. DS'!$M:$M,_xlpm.id),COUNTIF('9. RMF'!$M:$M,_xlpm.id),COUNTIF('10. PCU'!$M:$M,_xlpm.id))))</f>
        <v>0</v>
      </c>
    </row>
    <row r="1771" spans="1:9">
      <c r="A1771" t="s">
        <v>9786</v>
      </c>
      <c r="B1771" t="s">
        <v>9733</v>
      </c>
      <c r="C1771">
        <v>1801</v>
      </c>
      <c r="D1771">
        <v>1</v>
      </c>
      <c r="E1771" s="23">
        <v>54</v>
      </c>
      <c r="F1771" t="s">
        <v>8102</v>
      </c>
      <c r="G1771" t="s">
        <v>10484</v>
      </c>
      <c r="H1771" t="s">
        <v>8021</v>
      </c>
      <c r="I1771">
        <f>_xlfn.LET(_xlpm.id,TRIM($A1771),IF(_xlpm.id="","",SUM(COUNTIF('1. OP'!$M:$M,_xlpm.id),COUNTIF('2. JSEL'!$M:$M,_xlpm.id),COUNTIF('3. PSM'!$M:$M,_xlpm.id),COUNTIF('4. SSP'!$M:$M,_xlpm.id),COUNTIF('5. JSACI'!$M:$M,_xlpm.id),COUNTIF('6. AIN'!$M:$M,_xlpm.id),COUNTIF('7. MS'!$M:$M,_xlpm.id),COUNTIF('8. DS'!$M:$M,_xlpm.id),COUNTIF('9. RMF'!$M:$M,_xlpm.id),COUNTIF('10. PCU'!$M:$M,_xlpm.id))))</f>
        <v>0</v>
      </c>
    </row>
    <row r="1772" spans="1:9">
      <c r="A1772" t="s">
        <v>9787</v>
      </c>
      <c r="B1772" t="s">
        <v>9733</v>
      </c>
      <c r="C1772">
        <v>1802</v>
      </c>
      <c r="D1772">
        <v>1</v>
      </c>
      <c r="E1772" s="23">
        <v>55</v>
      </c>
      <c r="F1772" t="s">
        <v>8102</v>
      </c>
      <c r="G1772" t="s">
        <v>10484</v>
      </c>
      <c r="H1772" t="s">
        <v>8021</v>
      </c>
      <c r="I1772">
        <f>_xlfn.LET(_xlpm.id,TRIM($A1772),IF(_xlpm.id="","",SUM(COUNTIF('1. OP'!$M:$M,_xlpm.id),COUNTIF('2. JSEL'!$M:$M,_xlpm.id),COUNTIF('3. PSM'!$M:$M,_xlpm.id),COUNTIF('4. SSP'!$M:$M,_xlpm.id),COUNTIF('5. JSACI'!$M:$M,_xlpm.id),COUNTIF('6. AIN'!$M:$M,_xlpm.id),COUNTIF('7. MS'!$M:$M,_xlpm.id),COUNTIF('8. DS'!$M:$M,_xlpm.id),COUNTIF('9. RMF'!$M:$M,_xlpm.id),COUNTIF('10. PCU'!$M:$M,_xlpm.id))))</f>
        <v>0</v>
      </c>
    </row>
    <row r="1773" spans="1:9">
      <c r="A1773" t="s">
        <v>9788</v>
      </c>
      <c r="B1773" t="s">
        <v>9733</v>
      </c>
      <c r="C1773">
        <v>1802</v>
      </c>
      <c r="D1773">
        <v>1</v>
      </c>
      <c r="E1773" s="23">
        <v>56</v>
      </c>
      <c r="F1773" t="s">
        <v>8102</v>
      </c>
      <c r="G1773" t="s">
        <v>10484</v>
      </c>
      <c r="H1773" t="s">
        <v>8021</v>
      </c>
      <c r="I1773">
        <f>_xlfn.LET(_xlpm.id,TRIM($A1773),IF(_xlpm.id="","",SUM(COUNTIF('1. OP'!$M:$M,_xlpm.id),COUNTIF('2. JSEL'!$M:$M,_xlpm.id),COUNTIF('3. PSM'!$M:$M,_xlpm.id),COUNTIF('4. SSP'!$M:$M,_xlpm.id),COUNTIF('5. JSACI'!$M:$M,_xlpm.id),COUNTIF('6. AIN'!$M:$M,_xlpm.id),COUNTIF('7. MS'!$M:$M,_xlpm.id),COUNTIF('8. DS'!$M:$M,_xlpm.id),COUNTIF('9. RMF'!$M:$M,_xlpm.id),COUNTIF('10. PCU'!$M:$M,_xlpm.id))))</f>
        <v>0</v>
      </c>
    </row>
    <row r="1774" spans="1:9">
      <c r="A1774" t="s">
        <v>9789</v>
      </c>
      <c r="B1774" t="s">
        <v>9733</v>
      </c>
      <c r="C1774">
        <v>1803</v>
      </c>
      <c r="D1774">
        <v>1</v>
      </c>
      <c r="E1774" s="23">
        <v>57</v>
      </c>
      <c r="F1774" t="s">
        <v>8102</v>
      </c>
      <c r="G1774" t="s">
        <v>10484</v>
      </c>
      <c r="H1774" t="s">
        <v>8021</v>
      </c>
      <c r="I1774">
        <f>_xlfn.LET(_xlpm.id,TRIM($A1774),IF(_xlpm.id="","",SUM(COUNTIF('1. OP'!$M:$M,_xlpm.id),COUNTIF('2. JSEL'!$M:$M,_xlpm.id),COUNTIF('3. PSM'!$M:$M,_xlpm.id),COUNTIF('4. SSP'!$M:$M,_xlpm.id),COUNTIF('5. JSACI'!$M:$M,_xlpm.id),COUNTIF('6. AIN'!$M:$M,_xlpm.id),COUNTIF('7. MS'!$M:$M,_xlpm.id),COUNTIF('8. DS'!$M:$M,_xlpm.id),COUNTIF('9. RMF'!$M:$M,_xlpm.id),COUNTIF('10. PCU'!$M:$M,_xlpm.id))))</f>
        <v>0</v>
      </c>
    </row>
    <row r="1775" spans="1:9">
      <c r="A1775" t="s">
        <v>9790</v>
      </c>
      <c r="B1775" t="s">
        <v>9733</v>
      </c>
      <c r="C1775">
        <v>1803</v>
      </c>
      <c r="D1775">
        <v>1</v>
      </c>
      <c r="E1775" s="23">
        <v>58</v>
      </c>
      <c r="F1775" t="s">
        <v>8102</v>
      </c>
      <c r="G1775" t="s">
        <v>10484</v>
      </c>
      <c r="H1775" t="s">
        <v>8021</v>
      </c>
      <c r="I1775">
        <f>_xlfn.LET(_xlpm.id,TRIM($A1775),IF(_xlpm.id="","",SUM(COUNTIF('1. OP'!$M:$M,_xlpm.id),COUNTIF('2. JSEL'!$M:$M,_xlpm.id),COUNTIF('3. PSM'!$M:$M,_xlpm.id),COUNTIF('4. SSP'!$M:$M,_xlpm.id),COUNTIF('5. JSACI'!$M:$M,_xlpm.id),COUNTIF('6. AIN'!$M:$M,_xlpm.id),COUNTIF('7. MS'!$M:$M,_xlpm.id),COUNTIF('8. DS'!$M:$M,_xlpm.id),COUNTIF('9. RMF'!$M:$M,_xlpm.id),COUNTIF('10. PCU'!$M:$M,_xlpm.id))))</f>
        <v>0</v>
      </c>
    </row>
    <row r="1776" spans="1:9">
      <c r="A1776" t="s">
        <v>9791</v>
      </c>
      <c r="B1776" t="s">
        <v>9733</v>
      </c>
      <c r="C1776">
        <v>1804</v>
      </c>
      <c r="D1776">
        <v>1</v>
      </c>
      <c r="E1776" s="23">
        <v>59</v>
      </c>
      <c r="F1776" t="s">
        <v>8102</v>
      </c>
      <c r="G1776" t="s">
        <v>10484</v>
      </c>
      <c r="H1776" t="s">
        <v>8021</v>
      </c>
      <c r="I1776">
        <f>_xlfn.LET(_xlpm.id,TRIM($A1776),IF(_xlpm.id="","",SUM(COUNTIF('1. OP'!$M:$M,_xlpm.id),COUNTIF('2. JSEL'!$M:$M,_xlpm.id),COUNTIF('3. PSM'!$M:$M,_xlpm.id),COUNTIF('4. SSP'!$M:$M,_xlpm.id),COUNTIF('5. JSACI'!$M:$M,_xlpm.id),COUNTIF('6. AIN'!$M:$M,_xlpm.id),COUNTIF('7. MS'!$M:$M,_xlpm.id),COUNTIF('8. DS'!$M:$M,_xlpm.id),COUNTIF('9. RMF'!$M:$M,_xlpm.id),COUNTIF('10. PCU'!$M:$M,_xlpm.id))))</f>
        <v>0</v>
      </c>
    </row>
    <row r="1777" spans="1:9">
      <c r="A1777" t="s">
        <v>9792</v>
      </c>
      <c r="B1777" t="s">
        <v>9733</v>
      </c>
      <c r="C1777">
        <v>1804</v>
      </c>
      <c r="D1777">
        <v>1</v>
      </c>
      <c r="E1777" s="23">
        <v>60</v>
      </c>
      <c r="F1777" t="s">
        <v>8102</v>
      </c>
      <c r="G1777" t="s">
        <v>10484</v>
      </c>
      <c r="H1777" t="s">
        <v>8021</v>
      </c>
      <c r="I1777">
        <f>_xlfn.LET(_xlpm.id,TRIM($A1777),IF(_xlpm.id="","",SUM(COUNTIF('1. OP'!$M:$M,_xlpm.id),COUNTIF('2. JSEL'!$M:$M,_xlpm.id),COUNTIF('3. PSM'!$M:$M,_xlpm.id),COUNTIF('4. SSP'!$M:$M,_xlpm.id),COUNTIF('5. JSACI'!$M:$M,_xlpm.id),COUNTIF('6. AIN'!$M:$M,_xlpm.id),COUNTIF('7. MS'!$M:$M,_xlpm.id),COUNTIF('8. DS'!$M:$M,_xlpm.id),COUNTIF('9. RMF'!$M:$M,_xlpm.id),COUNTIF('10. PCU'!$M:$M,_xlpm.id))))</f>
        <v>0</v>
      </c>
    </row>
    <row r="1778" spans="1:9">
      <c r="A1778" t="s">
        <v>9793</v>
      </c>
      <c r="B1778" t="s">
        <v>9733</v>
      </c>
      <c r="C1778">
        <v>1805</v>
      </c>
      <c r="D1778">
        <v>1</v>
      </c>
      <c r="E1778" s="23">
        <v>61</v>
      </c>
      <c r="F1778" t="s">
        <v>8102</v>
      </c>
      <c r="G1778" t="s">
        <v>10484</v>
      </c>
      <c r="H1778" t="s">
        <v>8021</v>
      </c>
      <c r="I1778">
        <f>_xlfn.LET(_xlpm.id,TRIM($A1778),IF(_xlpm.id="","",SUM(COUNTIF('1. OP'!$M:$M,_xlpm.id),COUNTIF('2. JSEL'!$M:$M,_xlpm.id),COUNTIF('3. PSM'!$M:$M,_xlpm.id),COUNTIF('4. SSP'!$M:$M,_xlpm.id),COUNTIF('5. JSACI'!$M:$M,_xlpm.id),COUNTIF('6. AIN'!$M:$M,_xlpm.id),COUNTIF('7. MS'!$M:$M,_xlpm.id),COUNTIF('8. DS'!$M:$M,_xlpm.id),COUNTIF('9. RMF'!$M:$M,_xlpm.id),COUNTIF('10. PCU'!$M:$M,_xlpm.id))))</f>
        <v>0</v>
      </c>
    </row>
    <row r="1779" spans="1:9">
      <c r="A1779" t="s">
        <v>9794</v>
      </c>
      <c r="B1779" t="s">
        <v>9733</v>
      </c>
      <c r="C1779">
        <v>1805</v>
      </c>
      <c r="D1779">
        <v>1</v>
      </c>
      <c r="E1779" s="23">
        <v>62</v>
      </c>
      <c r="F1779" t="s">
        <v>8102</v>
      </c>
      <c r="G1779" t="s">
        <v>10484</v>
      </c>
      <c r="H1779" t="s">
        <v>8021</v>
      </c>
      <c r="I1779">
        <f>_xlfn.LET(_xlpm.id,TRIM($A1779),IF(_xlpm.id="","",SUM(COUNTIF('1. OP'!$M:$M,_xlpm.id),COUNTIF('2. JSEL'!$M:$M,_xlpm.id),COUNTIF('3. PSM'!$M:$M,_xlpm.id),COUNTIF('4. SSP'!$M:$M,_xlpm.id),COUNTIF('5. JSACI'!$M:$M,_xlpm.id),COUNTIF('6. AIN'!$M:$M,_xlpm.id),COUNTIF('7. MS'!$M:$M,_xlpm.id),COUNTIF('8. DS'!$M:$M,_xlpm.id),COUNTIF('9. RMF'!$M:$M,_xlpm.id),COUNTIF('10. PCU'!$M:$M,_xlpm.id))))</f>
        <v>0</v>
      </c>
    </row>
    <row r="1780" spans="1:9">
      <c r="A1780" t="s">
        <v>9795</v>
      </c>
      <c r="B1780" t="s">
        <v>9733</v>
      </c>
      <c r="C1780">
        <v>1806</v>
      </c>
      <c r="D1780">
        <v>1</v>
      </c>
      <c r="E1780" s="23">
        <v>63</v>
      </c>
      <c r="F1780" t="s">
        <v>8102</v>
      </c>
      <c r="G1780" t="s">
        <v>10484</v>
      </c>
      <c r="H1780" t="s">
        <v>8021</v>
      </c>
      <c r="I1780">
        <f>_xlfn.LET(_xlpm.id,TRIM($A1780),IF(_xlpm.id="","",SUM(COUNTIF('1. OP'!$M:$M,_xlpm.id),COUNTIF('2. JSEL'!$M:$M,_xlpm.id),COUNTIF('3. PSM'!$M:$M,_xlpm.id),COUNTIF('4. SSP'!$M:$M,_xlpm.id),COUNTIF('5. JSACI'!$M:$M,_xlpm.id),COUNTIF('6. AIN'!$M:$M,_xlpm.id),COUNTIF('7. MS'!$M:$M,_xlpm.id),COUNTIF('8. DS'!$M:$M,_xlpm.id),COUNTIF('9. RMF'!$M:$M,_xlpm.id),COUNTIF('10. PCU'!$M:$M,_xlpm.id))))</f>
        <v>0</v>
      </c>
    </row>
    <row r="1781" spans="1:9">
      <c r="A1781" t="s">
        <v>9796</v>
      </c>
      <c r="B1781" t="s">
        <v>9733</v>
      </c>
      <c r="C1781">
        <v>1806</v>
      </c>
      <c r="D1781">
        <v>1</v>
      </c>
      <c r="E1781" s="23">
        <v>64</v>
      </c>
      <c r="F1781" t="s">
        <v>8102</v>
      </c>
      <c r="G1781" t="s">
        <v>10484</v>
      </c>
      <c r="H1781" t="s">
        <v>8021</v>
      </c>
      <c r="I1781">
        <f>_xlfn.LET(_xlpm.id,TRIM($A1781),IF(_xlpm.id="","",SUM(COUNTIF('1. OP'!$M:$M,_xlpm.id),COUNTIF('2. JSEL'!$M:$M,_xlpm.id),COUNTIF('3. PSM'!$M:$M,_xlpm.id),COUNTIF('4. SSP'!$M:$M,_xlpm.id),COUNTIF('5. JSACI'!$M:$M,_xlpm.id),COUNTIF('6. AIN'!$M:$M,_xlpm.id),COUNTIF('7. MS'!$M:$M,_xlpm.id),COUNTIF('8. DS'!$M:$M,_xlpm.id),COUNTIF('9. RMF'!$M:$M,_xlpm.id),COUNTIF('10. PCU'!$M:$M,_xlpm.id))))</f>
        <v>0</v>
      </c>
    </row>
    <row r="1782" spans="1:9">
      <c r="A1782" t="s">
        <v>9797</v>
      </c>
      <c r="B1782" t="s">
        <v>9733</v>
      </c>
      <c r="C1782">
        <v>1807</v>
      </c>
      <c r="D1782">
        <v>1</v>
      </c>
      <c r="E1782" s="23">
        <v>65</v>
      </c>
      <c r="F1782" t="s">
        <v>8102</v>
      </c>
      <c r="G1782" t="s">
        <v>10484</v>
      </c>
      <c r="H1782" t="s">
        <v>8021</v>
      </c>
      <c r="I1782">
        <f>_xlfn.LET(_xlpm.id,TRIM($A1782),IF(_xlpm.id="","",SUM(COUNTIF('1. OP'!$M:$M,_xlpm.id),COUNTIF('2. JSEL'!$M:$M,_xlpm.id),COUNTIF('3. PSM'!$M:$M,_xlpm.id),COUNTIF('4. SSP'!$M:$M,_xlpm.id),COUNTIF('5. JSACI'!$M:$M,_xlpm.id),COUNTIF('6. AIN'!$M:$M,_xlpm.id),COUNTIF('7. MS'!$M:$M,_xlpm.id),COUNTIF('8. DS'!$M:$M,_xlpm.id),COUNTIF('9. RMF'!$M:$M,_xlpm.id),COUNTIF('10. PCU'!$M:$M,_xlpm.id))))</f>
        <v>0</v>
      </c>
    </row>
    <row r="1783" spans="1:9">
      <c r="A1783" t="s">
        <v>9798</v>
      </c>
      <c r="B1783" t="s">
        <v>9733</v>
      </c>
      <c r="C1783">
        <v>1807</v>
      </c>
      <c r="D1783">
        <v>1</v>
      </c>
      <c r="E1783" s="23">
        <v>66</v>
      </c>
      <c r="F1783" t="s">
        <v>8102</v>
      </c>
      <c r="G1783" t="s">
        <v>10484</v>
      </c>
      <c r="H1783" t="s">
        <v>8021</v>
      </c>
      <c r="I1783">
        <f>_xlfn.LET(_xlpm.id,TRIM($A1783),IF(_xlpm.id="","",SUM(COUNTIF('1. OP'!$M:$M,_xlpm.id),COUNTIF('2. JSEL'!$M:$M,_xlpm.id),COUNTIF('3. PSM'!$M:$M,_xlpm.id),COUNTIF('4. SSP'!$M:$M,_xlpm.id),COUNTIF('5. JSACI'!$M:$M,_xlpm.id),COUNTIF('6. AIN'!$M:$M,_xlpm.id),COUNTIF('7. MS'!$M:$M,_xlpm.id),COUNTIF('8. DS'!$M:$M,_xlpm.id),COUNTIF('9. RMF'!$M:$M,_xlpm.id),COUNTIF('10. PCU'!$M:$M,_xlpm.id))))</f>
        <v>0</v>
      </c>
    </row>
    <row r="1784" spans="1:9">
      <c r="A1784" t="s">
        <v>9799</v>
      </c>
      <c r="B1784" t="s">
        <v>9733</v>
      </c>
      <c r="C1784">
        <v>1808</v>
      </c>
      <c r="D1784">
        <v>1</v>
      </c>
      <c r="E1784" s="23">
        <v>67</v>
      </c>
      <c r="F1784" t="s">
        <v>8102</v>
      </c>
      <c r="G1784" t="s">
        <v>10484</v>
      </c>
      <c r="H1784" t="s">
        <v>8021</v>
      </c>
      <c r="I1784">
        <f>_xlfn.LET(_xlpm.id,TRIM($A1784),IF(_xlpm.id="","",SUM(COUNTIF('1. OP'!$M:$M,_xlpm.id),COUNTIF('2. JSEL'!$M:$M,_xlpm.id),COUNTIF('3. PSM'!$M:$M,_xlpm.id),COUNTIF('4. SSP'!$M:$M,_xlpm.id),COUNTIF('5. JSACI'!$M:$M,_xlpm.id),COUNTIF('6. AIN'!$M:$M,_xlpm.id),COUNTIF('7. MS'!$M:$M,_xlpm.id),COUNTIF('8. DS'!$M:$M,_xlpm.id),COUNTIF('9. RMF'!$M:$M,_xlpm.id),COUNTIF('10. PCU'!$M:$M,_xlpm.id))))</f>
        <v>0</v>
      </c>
    </row>
    <row r="1785" spans="1:9">
      <c r="A1785" t="s">
        <v>9800</v>
      </c>
      <c r="B1785" t="s">
        <v>9733</v>
      </c>
      <c r="C1785">
        <v>1808</v>
      </c>
      <c r="D1785">
        <v>1</v>
      </c>
      <c r="E1785" s="23">
        <v>68</v>
      </c>
      <c r="F1785" t="s">
        <v>8102</v>
      </c>
      <c r="G1785" t="s">
        <v>10484</v>
      </c>
      <c r="H1785" t="s">
        <v>8021</v>
      </c>
      <c r="I1785">
        <f>_xlfn.LET(_xlpm.id,TRIM($A1785),IF(_xlpm.id="","",SUM(COUNTIF('1. OP'!$M:$M,_xlpm.id),COUNTIF('2. JSEL'!$M:$M,_xlpm.id),COUNTIF('3. PSM'!$M:$M,_xlpm.id),COUNTIF('4. SSP'!$M:$M,_xlpm.id),COUNTIF('5. JSACI'!$M:$M,_xlpm.id),COUNTIF('6. AIN'!$M:$M,_xlpm.id),COUNTIF('7. MS'!$M:$M,_xlpm.id),COUNTIF('8. DS'!$M:$M,_xlpm.id),COUNTIF('9. RMF'!$M:$M,_xlpm.id),COUNTIF('10. PCU'!$M:$M,_xlpm.id))))</f>
        <v>0</v>
      </c>
    </row>
    <row r="1786" spans="1:9">
      <c r="A1786" t="s">
        <v>9801</v>
      </c>
      <c r="B1786" t="s">
        <v>9733</v>
      </c>
      <c r="C1786">
        <v>1809</v>
      </c>
      <c r="D1786">
        <v>1</v>
      </c>
      <c r="E1786" s="23">
        <v>69</v>
      </c>
      <c r="F1786" t="s">
        <v>8102</v>
      </c>
      <c r="G1786" t="s">
        <v>10484</v>
      </c>
      <c r="H1786" t="s">
        <v>8021</v>
      </c>
      <c r="I1786">
        <f>_xlfn.LET(_xlpm.id,TRIM($A1786),IF(_xlpm.id="","",SUM(COUNTIF('1. OP'!$M:$M,_xlpm.id),COUNTIF('2. JSEL'!$M:$M,_xlpm.id),COUNTIF('3. PSM'!$M:$M,_xlpm.id),COUNTIF('4. SSP'!$M:$M,_xlpm.id),COUNTIF('5. JSACI'!$M:$M,_xlpm.id),COUNTIF('6. AIN'!$M:$M,_xlpm.id),COUNTIF('7. MS'!$M:$M,_xlpm.id),COUNTIF('8. DS'!$M:$M,_xlpm.id),COUNTIF('9. RMF'!$M:$M,_xlpm.id),COUNTIF('10. PCU'!$M:$M,_xlpm.id))))</f>
        <v>0</v>
      </c>
    </row>
    <row r="1787" spans="1:9">
      <c r="A1787" t="s">
        <v>9802</v>
      </c>
      <c r="B1787" t="s">
        <v>9733</v>
      </c>
      <c r="C1787">
        <v>1809</v>
      </c>
      <c r="D1787">
        <v>1</v>
      </c>
      <c r="E1787" s="23">
        <v>70</v>
      </c>
      <c r="F1787" t="s">
        <v>8102</v>
      </c>
      <c r="G1787" t="s">
        <v>10484</v>
      </c>
      <c r="H1787" t="s">
        <v>8021</v>
      </c>
      <c r="I1787">
        <f>_xlfn.LET(_xlpm.id,TRIM($A1787),IF(_xlpm.id="","",SUM(COUNTIF('1. OP'!$M:$M,_xlpm.id),COUNTIF('2. JSEL'!$M:$M,_xlpm.id),COUNTIF('3. PSM'!$M:$M,_xlpm.id),COUNTIF('4. SSP'!$M:$M,_xlpm.id),COUNTIF('5. JSACI'!$M:$M,_xlpm.id),COUNTIF('6. AIN'!$M:$M,_xlpm.id),COUNTIF('7. MS'!$M:$M,_xlpm.id),COUNTIF('8. DS'!$M:$M,_xlpm.id),COUNTIF('9. RMF'!$M:$M,_xlpm.id),COUNTIF('10. PCU'!$M:$M,_xlpm.id))))</f>
        <v>0</v>
      </c>
    </row>
    <row r="1788" spans="1:9">
      <c r="A1788" t="s">
        <v>9803</v>
      </c>
      <c r="B1788" t="s">
        <v>9733</v>
      </c>
      <c r="C1788">
        <v>1810</v>
      </c>
      <c r="D1788">
        <v>1</v>
      </c>
      <c r="E1788" s="23">
        <v>71</v>
      </c>
      <c r="F1788" t="s">
        <v>8102</v>
      </c>
      <c r="G1788" t="s">
        <v>10484</v>
      </c>
      <c r="H1788" t="s">
        <v>8021</v>
      </c>
      <c r="I1788">
        <f>_xlfn.LET(_xlpm.id,TRIM($A1788),IF(_xlpm.id="","",SUM(COUNTIF('1. OP'!$M:$M,_xlpm.id),COUNTIF('2. JSEL'!$M:$M,_xlpm.id),COUNTIF('3. PSM'!$M:$M,_xlpm.id),COUNTIF('4. SSP'!$M:$M,_xlpm.id),COUNTIF('5. JSACI'!$M:$M,_xlpm.id),COUNTIF('6. AIN'!$M:$M,_xlpm.id),COUNTIF('7. MS'!$M:$M,_xlpm.id),COUNTIF('8. DS'!$M:$M,_xlpm.id),COUNTIF('9. RMF'!$M:$M,_xlpm.id),COUNTIF('10. PCU'!$M:$M,_xlpm.id))))</f>
        <v>0</v>
      </c>
    </row>
    <row r="1789" spans="1:9">
      <c r="A1789" t="s">
        <v>9804</v>
      </c>
      <c r="B1789" t="s">
        <v>9733</v>
      </c>
      <c r="C1789">
        <v>1810</v>
      </c>
      <c r="D1789">
        <v>1</v>
      </c>
      <c r="E1789" s="23">
        <v>72</v>
      </c>
      <c r="F1789" t="s">
        <v>8102</v>
      </c>
      <c r="G1789" t="s">
        <v>10484</v>
      </c>
      <c r="H1789" t="s">
        <v>8021</v>
      </c>
      <c r="I1789">
        <f>_xlfn.LET(_xlpm.id,TRIM($A1789),IF(_xlpm.id="","",SUM(COUNTIF('1. OP'!$M:$M,_xlpm.id),COUNTIF('2. JSEL'!$M:$M,_xlpm.id),COUNTIF('3. PSM'!$M:$M,_xlpm.id),COUNTIF('4. SSP'!$M:$M,_xlpm.id),COUNTIF('5. JSACI'!$M:$M,_xlpm.id),COUNTIF('6. AIN'!$M:$M,_xlpm.id),COUNTIF('7. MS'!$M:$M,_xlpm.id),COUNTIF('8. DS'!$M:$M,_xlpm.id),COUNTIF('9. RMF'!$M:$M,_xlpm.id),COUNTIF('10. PCU'!$M:$M,_xlpm.id))))</f>
        <v>0</v>
      </c>
    </row>
    <row r="1790" spans="1:9">
      <c r="A1790" t="s">
        <v>5066</v>
      </c>
      <c r="B1790" t="s">
        <v>9733</v>
      </c>
      <c r="C1790">
        <v>1811</v>
      </c>
      <c r="D1790">
        <v>1</v>
      </c>
      <c r="E1790" s="23">
        <v>73</v>
      </c>
      <c r="F1790" t="s">
        <v>8102</v>
      </c>
      <c r="G1790" t="s">
        <v>10484</v>
      </c>
      <c r="H1790" t="s">
        <v>8021</v>
      </c>
      <c r="I1790">
        <f>_xlfn.LET(_xlpm.id,TRIM($A1790),IF(_xlpm.id="","",SUM(COUNTIF('1. OP'!$M:$M,_xlpm.id),COUNTIF('2. JSEL'!$M:$M,_xlpm.id),COUNTIF('3. PSM'!$M:$M,_xlpm.id),COUNTIF('4. SSP'!$M:$M,_xlpm.id),COUNTIF('5. JSACI'!$M:$M,_xlpm.id),COUNTIF('6. AIN'!$M:$M,_xlpm.id),COUNTIF('7. MS'!$M:$M,_xlpm.id),COUNTIF('8. DS'!$M:$M,_xlpm.id),COUNTIF('9. RMF'!$M:$M,_xlpm.id),COUNTIF('10. PCU'!$M:$M,_xlpm.id))))</f>
        <v>1</v>
      </c>
    </row>
    <row r="1791" spans="1:9">
      <c r="A1791" t="s">
        <v>9805</v>
      </c>
      <c r="B1791" t="s">
        <v>9733</v>
      </c>
      <c r="C1791">
        <v>1811</v>
      </c>
      <c r="D1791">
        <v>1</v>
      </c>
      <c r="E1791" s="23">
        <v>74</v>
      </c>
      <c r="F1791" t="s">
        <v>8102</v>
      </c>
      <c r="G1791" t="s">
        <v>10484</v>
      </c>
      <c r="H1791" t="s">
        <v>8021</v>
      </c>
      <c r="I1791">
        <f>_xlfn.LET(_xlpm.id,TRIM($A1791),IF(_xlpm.id="","",SUM(COUNTIF('1. OP'!$M:$M,_xlpm.id),COUNTIF('2. JSEL'!$M:$M,_xlpm.id),COUNTIF('3. PSM'!$M:$M,_xlpm.id),COUNTIF('4. SSP'!$M:$M,_xlpm.id),COUNTIF('5. JSACI'!$M:$M,_xlpm.id),COUNTIF('6. AIN'!$M:$M,_xlpm.id),COUNTIF('7. MS'!$M:$M,_xlpm.id),COUNTIF('8. DS'!$M:$M,_xlpm.id),COUNTIF('9. RMF'!$M:$M,_xlpm.id),COUNTIF('10. PCU'!$M:$M,_xlpm.id))))</f>
        <v>0</v>
      </c>
    </row>
    <row r="1792" spans="1:9">
      <c r="A1792" t="s">
        <v>9806</v>
      </c>
      <c r="B1792" t="s">
        <v>9733</v>
      </c>
      <c r="C1792">
        <v>1812</v>
      </c>
      <c r="D1792">
        <v>1</v>
      </c>
      <c r="E1792" s="23">
        <v>75</v>
      </c>
      <c r="F1792" t="s">
        <v>8102</v>
      </c>
      <c r="G1792" t="s">
        <v>10484</v>
      </c>
      <c r="H1792" t="s">
        <v>8021</v>
      </c>
      <c r="I1792">
        <f>_xlfn.LET(_xlpm.id,TRIM($A1792),IF(_xlpm.id="","",SUM(COUNTIF('1. OP'!$M:$M,_xlpm.id),COUNTIF('2. JSEL'!$M:$M,_xlpm.id),COUNTIF('3. PSM'!$M:$M,_xlpm.id),COUNTIF('4. SSP'!$M:$M,_xlpm.id),COUNTIF('5. JSACI'!$M:$M,_xlpm.id),COUNTIF('6. AIN'!$M:$M,_xlpm.id),COUNTIF('7. MS'!$M:$M,_xlpm.id),COUNTIF('8. DS'!$M:$M,_xlpm.id),COUNTIF('9. RMF'!$M:$M,_xlpm.id),COUNTIF('10. PCU'!$M:$M,_xlpm.id))))</f>
        <v>0</v>
      </c>
    </row>
    <row r="1793" spans="1:9">
      <c r="A1793" t="s">
        <v>9807</v>
      </c>
      <c r="B1793" t="s">
        <v>9733</v>
      </c>
      <c r="C1793">
        <v>1812</v>
      </c>
      <c r="D1793">
        <v>1</v>
      </c>
      <c r="E1793" s="23">
        <v>76</v>
      </c>
      <c r="F1793" t="s">
        <v>8102</v>
      </c>
      <c r="G1793" t="s">
        <v>10484</v>
      </c>
      <c r="H1793" t="s">
        <v>8021</v>
      </c>
      <c r="I1793">
        <f>_xlfn.LET(_xlpm.id,TRIM($A1793),IF(_xlpm.id="","",SUM(COUNTIF('1. OP'!$M:$M,_xlpm.id),COUNTIF('2. JSEL'!$M:$M,_xlpm.id),COUNTIF('3. PSM'!$M:$M,_xlpm.id),COUNTIF('4. SSP'!$M:$M,_xlpm.id),COUNTIF('5. JSACI'!$M:$M,_xlpm.id),COUNTIF('6. AIN'!$M:$M,_xlpm.id),COUNTIF('7. MS'!$M:$M,_xlpm.id),COUNTIF('8. DS'!$M:$M,_xlpm.id),COUNTIF('9. RMF'!$M:$M,_xlpm.id),COUNTIF('10. PCU'!$M:$M,_xlpm.id))))</f>
        <v>0</v>
      </c>
    </row>
    <row r="1794" spans="1:9">
      <c r="A1794" t="s">
        <v>9808</v>
      </c>
      <c r="B1794" t="s">
        <v>9733</v>
      </c>
      <c r="C1794">
        <v>1813</v>
      </c>
      <c r="D1794">
        <v>1</v>
      </c>
      <c r="E1794" s="23">
        <v>77</v>
      </c>
      <c r="F1794" t="s">
        <v>8102</v>
      </c>
      <c r="G1794" t="s">
        <v>10484</v>
      </c>
      <c r="H1794" t="s">
        <v>8021</v>
      </c>
      <c r="I1794">
        <f>_xlfn.LET(_xlpm.id,TRIM($A1794),IF(_xlpm.id="","",SUM(COUNTIF('1. OP'!$M:$M,_xlpm.id),COUNTIF('2. JSEL'!$M:$M,_xlpm.id),COUNTIF('3. PSM'!$M:$M,_xlpm.id),COUNTIF('4. SSP'!$M:$M,_xlpm.id),COUNTIF('5. JSACI'!$M:$M,_xlpm.id),COUNTIF('6. AIN'!$M:$M,_xlpm.id),COUNTIF('7. MS'!$M:$M,_xlpm.id),COUNTIF('8. DS'!$M:$M,_xlpm.id),COUNTIF('9. RMF'!$M:$M,_xlpm.id),COUNTIF('10. PCU'!$M:$M,_xlpm.id))))</f>
        <v>0</v>
      </c>
    </row>
    <row r="1795" spans="1:9">
      <c r="A1795" t="s">
        <v>9809</v>
      </c>
      <c r="B1795" t="s">
        <v>9733</v>
      </c>
      <c r="C1795">
        <v>1813</v>
      </c>
      <c r="D1795">
        <v>1</v>
      </c>
      <c r="E1795" s="23">
        <v>78</v>
      </c>
      <c r="F1795" t="s">
        <v>8102</v>
      </c>
      <c r="G1795" t="s">
        <v>10484</v>
      </c>
      <c r="H1795" t="s">
        <v>8021</v>
      </c>
      <c r="I1795">
        <f>_xlfn.LET(_xlpm.id,TRIM($A1795),IF(_xlpm.id="","",SUM(COUNTIF('1. OP'!$M:$M,_xlpm.id),COUNTIF('2. JSEL'!$M:$M,_xlpm.id),COUNTIF('3. PSM'!$M:$M,_xlpm.id),COUNTIF('4. SSP'!$M:$M,_xlpm.id),COUNTIF('5. JSACI'!$M:$M,_xlpm.id),COUNTIF('6. AIN'!$M:$M,_xlpm.id),COUNTIF('7. MS'!$M:$M,_xlpm.id),COUNTIF('8. DS'!$M:$M,_xlpm.id),COUNTIF('9. RMF'!$M:$M,_xlpm.id),COUNTIF('10. PCU'!$M:$M,_xlpm.id))))</f>
        <v>0</v>
      </c>
    </row>
    <row r="1796" spans="1:9">
      <c r="A1796" t="s">
        <v>9810</v>
      </c>
      <c r="B1796" t="s">
        <v>9733</v>
      </c>
      <c r="C1796">
        <v>1814</v>
      </c>
      <c r="D1796">
        <v>1</v>
      </c>
      <c r="E1796" s="23">
        <v>79</v>
      </c>
      <c r="F1796" t="s">
        <v>8102</v>
      </c>
      <c r="G1796" t="s">
        <v>10484</v>
      </c>
      <c r="H1796" t="s">
        <v>8021</v>
      </c>
      <c r="I1796">
        <f>_xlfn.LET(_xlpm.id,TRIM($A1796),IF(_xlpm.id="","",SUM(COUNTIF('1. OP'!$M:$M,_xlpm.id),COUNTIF('2. JSEL'!$M:$M,_xlpm.id),COUNTIF('3. PSM'!$M:$M,_xlpm.id),COUNTIF('4. SSP'!$M:$M,_xlpm.id),COUNTIF('5. JSACI'!$M:$M,_xlpm.id),COUNTIF('6. AIN'!$M:$M,_xlpm.id),COUNTIF('7. MS'!$M:$M,_xlpm.id),COUNTIF('8. DS'!$M:$M,_xlpm.id),COUNTIF('9. RMF'!$M:$M,_xlpm.id),COUNTIF('10. PCU'!$M:$M,_xlpm.id))))</f>
        <v>0</v>
      </c>
    </row>
    <row r="1797" spans="1:9">
      <c r="A1797" t="s">
        <v>9811</v>
      </c>
      <c r="B1797" t="s">
        <v>9733</v>
      </c>
      <c r="C1797">
        <v>1814</v>
      </c>
      <c r="D1797">
        <v>1</v>
      </c>
      <c r="E1797" s="23">
        <v>80</v>
      </c>
      <c r="F1797" t="s">
        <v>8102</v>
      </c>
      <c r="G1797" t="s">
        <v>10484</v>
      </c>
      <c r="H1797" t="s">
        <v>8021</v>
      </c>
      <c r="I1797">
        <f>_xlfn.LET(_xlpm.id,TRIM($A1797),IF(_xlpm.id="","",SUM(COUNTIF('1. OP'!$M:$M,_xlpm.id),COUNTIF('2. JSEL'!$M:$M,_xlpm.id),COUNTIF('3. PSM'!$M:$M,_xlpm.id),COUNTIF('4. SSP'!$M:$M,_xlpm.id),COUNTIF('5. JSACI'!$M:$M,_xlpm.id),COUNTIF('6. AIN'!$M:$M,_xlpm.id),COUNTIF('7. MS'!$M:$M,_xlpm.id),COUNTIF('8. DS'!$M:$M,_xlpm.id),COUNTIF('9. RMF'!$M:$M,_xlpm.id),COUNTIF('10. PCU'!$M:$M,_xlpm.id))))</f>
        <v>0</v>
      </c>
    </row>
    <row r="1798" spans="1:9">
      <c r="A1798" t="s">
        <v>9812</v>
      </c>
      <c r="B1798" t="s">
        <v>9733</v>
      </c>
      <c r="C1798">
        <v>1815</v>
      </c>
      <c r="D1798">
        <v>1</v>
      </c>
      <c r="E1798" s="23">
        <v>81</v>
      </c>
      <c r="F1798" t="s">
        <v>8102</v>
      </c>
      <c r="G1798" t="s">
        <v>10484</v>
      </c>
      <c r="H1798" t="s">
        <v>8021</v>
      </c>
      <c r="I1798">
        <f>_xlfn.LET(_xlpm.id,TRIM($A1798),IF(_xlpm.id="","",SUM(COUNTIF('1. OP'!$M:$M,_xlpm.id),COUNTIF('2. JSEL'!$M:$M,_xlpm.id),COUNTIF('3. PSM'!$M:$M,_xlpm.id),COUNTIF('4. SSP'!$M:$M,_xlpm.id),COUNTIF('5. JSACI'!$M:$M,_xlpm.id),COUNTIF('6. AIN'!$M:$M,_xlpm.id),COUNTIF('7. MS'!$M:$M,_xlpm.id),COUNTIF('8. DS'!$M:$M,_xlpm.id),COUNTIF('9. RMF'!$M:$M,_xlpm.id),COUNTIF('10. PCU'!$M:$M,_xlpm.id))))</f>
        <v>0</v>
      </c>
    </row>
    <row r="1799" spans="1:9">
      <c r="A1799" t="s">
        <v>9813</v>
      </c>
      <c r="B1799" t="s">
        <v>9733</v>
      </c>
      <c r="C1799">
        <v>1815</v>
      </c>
      <c r="D1799">
        <v>1</v>
      </c>
      <c r="E1799" s="23">
        <v>82</v>
      </c>
      <c r="F1799" t="s">
        <v>8102</v>
      </c>
      <c r="G1799" t="s">
        <v>10484</v>
      </c>
      <c r="H1799" t="s">
        <v>8021</v>
      </c>
      <c r="I1799">
        <f>_xlfn.LET(_xlpm.id,TRIM($A1799),IF(_xlpm.id="","",SUM(COUNTIF('1. OP'!$M:$M,_xlpm.id),COUNTIF('2. JSEL'!$M:$M,_xlpm.id),COUNTIF('3. PSM'!$M:$M,_xlpm.id),COUNTIF('4. SSP'!$M:$M,_xlpm.id),COUNTIF('5. JSACI'!$M:$M,_xlpm.id),COUNTIF('6. AIN'!$M:$M,_xlpm.id),COUNTIF('7. MS'!$M:$M,_xlpm.id),COUNTIF('8. DS'!$M:$M,_xlpm.id),COUNTIF('9. RMF'!$M:$M,_xlpm.id),COUNTIF('10. PCU'!$M:$M,_xlpm.id))))</f>
        <v>0</v>
      </c>
    </row>
    <row r="1800" spans="1:9">
      <c r="A1800" t="s">
        <v>9814</v>
      </c>
      <c r="B1800" t="s">
        <v>9733</v>
      </c>
      <c r="C1800">
        <v>1816</v>
      </c>
      <c r="D1800">
        <v>1</v>
      </c>
      <c r="E1800" s="23">
        <v>83</v>
      </c>
      <c r="F1800" t="s">
        <v>8102</v>
      </c>
      <c r="G1800" t="s">
        <v>10484</v>
      </c>
      <c r="H1800" t="s">
        <v>8021</v>
      </c>
      <c r="I1800">
        <f>_xlfn.LET(_xlpm.id,TRIM($A1800),IF(_xlpm.id="","",SUM(COUNTIF('1. OP'!$M:$M,_xlpm.id),COUNTIF('2. JSEL'!$M:$M,_xlpm.id),COUNTIF('3. PSM'!$M:$M,_xlpm.id),COUNTIF('4. SSP'!$M:$M,_xlpm.id),COUNTIF('5. JSACI'!$M:$M,_xlpm.id),COUNTIF('6. AIN'!$M:$M,_xlpm.id),COUNTIF('7. MS'!$M:$M,_xlpm.id),COUNTIF('8. DS'!$M:$M,_xlpm.id),COUNTIF('9. RMF'!$M:$M,_xlpm.id),COUNTIF('10. PCU'!$M:$M,_xlpm.id))))</f>
        <v>0</v>
      </c>
    </row>
    <row r="1801" spans="1:9">
      <c r="A1801" t="s">
        <v>9815</v>
      </c>
      <c r="B1801" t="s">
        <v>9733</v>
      </c>
      <c r="C1801">
        <v>1816</v>
      </c>
      <c r="D1801">
        <v>1</v>
      </c>
      <c r="E1801" s="23">
        <v>84</v>
      </c>
      <c r="F1801" t="s">
        <v>8102</v>
      </c>
      <c r="G1801" t="s">
        <v>10484</v>
      </c>
      <c r="H1801" t="s">
        <v>8021</v>
      </c>
      <c r="I1801">
        <f>_xlfn.LET(_xlpm.id,TRIM($A1801),IF(_xlpm.id="","",SUM(COUNTIF('1. OP'!$M:$M,_xlpm.id),COUNTIF('2. JSEL'!$M:$M,_xlpm.id),COUNTIF('3. PSM'!$M:$M,_xlpm.id),COUNTIF('4. SSP'!$M:$M,_xlpm.id),COUNTIF('5. JSACI'!$M:$M,_xlpm.id),COUNTIF('6. AIN'!$M:$M,_xlpm.id),COUNTIF('7. MS'!$M:$M,_xlpm.id),COUNTIF('8. DS'!$M:$M,_xlpm.id),COUNTIF('9. RMF'!$M:$M,_xlpm.id),COUNTIF('10. PCU'!$M:$M,_xlpm.id))))</f>
        <v>0</v>
      </c>
    </row>
    <row r="1802" spans="1:9">
      <c r="A1802" t="s">
        <v>9816</v>
      </c>
      <c r="B1802" t="s">
        <v>9733</v>
      </c>
      <c r="C1802">
        <v>1817</v>
      </c>
      <c r="D1802">
        <v>1</v>
      </c>
      <c r="E1802" s="23">
        <v>85</v>
      </c>
      <c r="F1802" t="s">
        <v>8102</v>
      </c>
      <c r="G1802" t="s">
        <v>10484</v>
      </c>
      <c r="H1802" t="s">
        <v>8021</v>
      </c>
      <c r="I1802">
        <f>_xlfn.LET(_xlpm.id,TRIM($A1802),IF(_xlpm.id="","",SUM(COUNTIF('1. OP'!$M:$M,_xlpm.id),COUNTIF('2. JSEL'!$M:$M,_xlpm.id),COUNTIF('3. PSM'!$M:$M,_xlpm.id),COUNTIF('4. SSP'!$M:$M,_xlpm.id),COUNTIF('5. JSACI'!$M:$M,_xlpm.id),COUNTIF('6. AIN'!$M:$M,_xlpm.id),COUNTIF('7. MS'!$M:$M,_xlpm.id),COUNTIF('8. DS'!$M:$M,_xlpm.id),COUNTIF('9. RMF'!$M:$M,_xlpm.id),COUNTIF('10. PCU'!$M:$M,_xlpm.id))))</f>
        <v>0</v>
      </c>
    </row>
    <row r="1803" spans="1:9">
      <c r="A1803" t="s">
        <v>9817</v>
      </c>
      <c r="B1803" t="s">
        <v>9733</v>
      </c>
      <c r="C1803">
        <v>1817</v>
      </c>
      <c r="D1803">
        <v>1</v>
      </c>
      <c r="E1803" s="23">
        <v>86</v>
      </c>
      <c r="F1803" t="s">
        <v>8102</v>
      </c>
      <c r="G1803" t="s">
        <v>10484</v>
      </c>
      <c r="H1803" t="s">
        <v>8021</v>
      </c>
      <c r="I1803">
        <f>_xlfn.LET(_xlpm.id,TRIM($A1803),IF(_xlpm.id="","",SUM(COUNTIF('1. OP'!$M:$M,_xlpm.id),COUNTIF('2. JSEL'!$M:$M,_xlpm.id),COUNTIF('3. PSM'!$M:$M,_xlpm.id),COUNTIF('4. SSP'!$M:$M,_xlpm.id),COUNTIF('5. JSACI'!$M:$M,_xlpm.id),COUNTIF('6. AIN'!$M:$M,_xlpm.id),COUNTIF('7. MS'!$M:$M,_xlpm.id),COUNTIF('8. DS'!$M:$M,_xlpm.id),COUNTIF('9. RMF'!$M:$M,_xlpm.id),COUNTIF('10. PCU'!$M:$M,_xlpm.id))))</f>
        <v>0</v>
      </c>
    </row>
    <row r="1804" spans="1:9">
      <c r="A1804" t="s">
        <v>9818</v>
      </c>
      <c r="B1804" t="s">
        <v>9733</v>
      </c>
      <c r="C1804">
        <v>1818</v>
      </c>
      <c r="D1804">
        <v>1</v>
      </c>
      <c r="E1804" s="23">
        <v>87</v>
      </c>
      <c r="F1804" t="s">
        <v>8102</v>
      </c>
      <c r="G1804" t="s">
        <v>10484</v>
      </c>
      <c r="H1804" t="s">
        <v>8021</v>
      </c>
      <c r="I1804">
        <f>_xlfn.LET(_xlpm.id,TRIM($A1804),IF(_xlpm.id="","",SUM(COUNTIF('1. OP'!$M:$M,_xlpm.id),COUNTIF('2. JSEL'!$M:$M,_xlpm.id),COUNTIF('3. PSM'!$M:$M,_xlpm.id),COUNTIF('4. SSP'!$M:$M,_xlpm.id),COUNTIF('5. JSACI'!$M:$M,_xlpm.id),COUNTIF('6. AIN'!$M:$M,_xlpm.id),COUNTIF('7. MS'!$M:$M,_xlpm.id),COUNTIF('8. DS'!$M:$M,_xlpm.id),COUNTIF('9. RMF'!$M:$M,_xlpm.id),COUNTIF('10. PCU'!$M:$M,_xlpm.id))))</f>
        <v>0</v>
      </c>
    </row>
    <row r="1805" spans="1:9">
      <c r="A1805" t="s">
        <v>9819</v>
      </c>
      <c r="B1805" t="s">
        <v>9733</v>
      </c>
      <c r="C1805">
        <v>1818</v>
      </c>
      <c r="D1805">
        <v>1</v>
      </c>
      <c r="E1805" s="23">
        <v>88</v>
      </c>
      <c r="F1805" t="s">
        <v>8102</v>
      </c>
      <c r="G1805" t="s">
        <v>10484</v>
      </c>
      <c r="H1805" t="s">
        <v>8021</v>
      </c>
      <c r="I1805">
        <f>_xlfn.LET(_xlpm.id,TRIM($A1805),IF(_xlpm.id="","",SUM(COUNTIF('1. OP'!$M:$M,_xlpm.id),COUNTIF('2. JSEL'!$M:$M,_xlpm.id),COUNTIF('3. PSM'!$M:$M,_xlpm.id),COUNTIF('4. SSP'!$M:$M,_xlpm.id),COUNTIF('5. JSACI'!$M:$M,_xlpm.id),COUNTIF('6. AIN'!$M:$M,_xlpm.id),COUNTIF('7. MS'!$M:$M,_xlpm.id),COUNTIF('8. DS'!$M:$M,_xlpm.id),COUNTIF('9. RMF'!$M:$M,_xlpm.id),COUNTIF('10. PCU'!$M:$M,_xlpm.id))))</f>
        <v>0</v>
      </c>
    </row>
    <row r="1806" spans="1:9">
      <c r="A1806" t="s">
        <v>9820</v>
      </c>
      <c r="B1806" t="s">
        <v>9733</v>
      </c>
      <c r="C1806">
        <v>1819</v>
      </c>
      <c r="D1806">
        <v>1</v>
      </c>
      <c r="E1806" s="23">
        <v>89</v>
      </c>
      <c r="F1806" t="s">
        <v>8102</v>
      </c>
      <c r="G1806" t="s">
        <v>10484</v>
      </c>
      <c r="H1806" t="s">
        <v>8021</v>
      </c>
      <c r="I1806">
        <f>_xlfn.LET(_xlpm.id,TRIM($A1806),IF(_xlpm.id="","",SUM(COUNTIF('1. OP'!$M:$M,_xlpm.id),COUNTIF('2. JSEL'!$M:$M,_xlpm.id),COUNTIF('3. PSM'!$M:$M,_xlpm.id),COUNTIF('4. SSP'!$M:$M,_xlpm.id),COUNTIF('5. JSACI'!$M:$M,_xlpm.id),COUNTIF('6. AIN'!$M:$M,_xlpm.id),COUNTIF('7. MS'!$M:$M,_xlpm.id),COUNTIF('8. DS'!$M:$M,_xlpm.id),COUNTIF('9. RMF'!$M:$M,_xlpm.id),COUNTIF('10. PCU'!$M:$M,_xlpm.id))))</f>
        <v>0</v>
      </c>
    </row>
    <row r="1807" spans="1:9">
      <c r="A1807" t="s">
        <v>9821</v>
      </c>
      <c r="B1807" t="s">
        <v>9733</v>
      </c>
      <c r="C1807">
        <v>1819</v>
      </c>
      <c r="D1807">
        <v>1</v>
      </c>
      <c r="E1807" s="23">
        <v>90</v>
      </c>
      <c r="F1807" t="s">
        <v>8102</v>
      </c>
      <c r="G1807" t="s">
        <v>10484</v>
      </c>
      <c r="H1807" t="s">
        <v>8021</v>
      </c>
      <c r="I1807">
        <f>_xlfn.LET(_xlpm.id,TRIM($A1807),IF(_xlpm.id="","",SUM(COUNTIF('1. OP'!$M:$M,_xlpm.id),COUNTIF('2. JSEL'!$M:$M,_xlpm.id),COUNTIF('3. PSM'!$M:$M,_xlpm.id),COUNTIF('4. SSP'!$M:$M,_xlpm.id),COUNTIF('5. JSACI'!$M:$M,_xlpm.id),COUNTIF('6. AIN'!$M:$M,_xlpm.id),COUNTIF('7. MS'!$M:$M,_xlpm.id),COUNTIF('8. DS'!$M:$M,_xlpm.id),COUNTIF('9. RMF'!$M:$M,_xlpm.id),COUNTIF('10. PCU'!$M:$M,_xlpm.id))))</f>
        <v>0</v>
      </c>
    </row>
    <row r="1808" spans="1:9">
      <c r="A1808" t="s">
        <v>9822</v>
      </c>
      <c r="B1808" t="s">
        <v>9733</v>
      </c>
      <c r="C1808">
        <v>1820</v>
      </c>
      <c r="D1808">
        <v>1</v>
      </c>
      <c r="E1808" s="23">
        <v>91</v>
      </c>
      <c r="F1808" t="s">
        <v>8102</v>
      </c>
      <c r="G1808" t="s">
        <v>10484</v>
      </c>
      <c r="H1808" t="s">
        <v>8021</v>
      </c>
      <c r="I1808">
        <f>_xlfn.LET(_xlpm.id,TRIM($A1808),IF(_xlpm.id="","",SUM(COUNTIF('1. OP'!$M:$M,_xlpm.id),COUNTIF('2. JSEL'!$M:$M,_xlpm.id),COUNTIF('3. PSM'!$M:$M,_xlpm.id),COUNTIF('4. SSP'!$M:$M,_xlpm.id),COUNTIF('5. JSACI'!$M:$M,_xlpm.id),COUNTIF('6. AIN'!$M:$M,_xlpm.id),COUNTIF('7. MS'!$M:$M,_xlpm.id),COUNTIF('8. DS'!$M:$M,_xlpm.id),COUNTIF('9. RMF'!$M:$M,_xlpm.id),COUNTIF('10. PCU'!$M:$M,_xlpm.id))))</f>
        <v>0</v>
      </c>
    </row>
    <row r="1809" spans="1:9">
      <c r="A1809" t="s">
        <v>9823</v>
      </c>
      <c r="B1809" t="s">
        <v>9733</v>
      </c>
      <c r="C1809">
        <v>1820</v>
      </c>
      <c r="D1809">
        <v>1</v>
      </c>
      <c r="E1809" s="23">
        <v>92</v>
      </c>
      <c r="F1809" t="s">
        <v>8102</v>
      </c>
      <c r="G1809" t="s">
        <v>10484</v>
      </c>
      <c r="H1809" t="s">
        <v>8021</v>
      </c>
      <c r="I1809">
        <f>_xlfn.LET(_xlpm.id,TRIM($A1809),IF(_xlpm.id="","",SUM(COUNTIF('1. OP'!$M:$M,_xlpm.id),COUNTIF('2. JSEL'!$M:$M,_xlpm.id),COUNTIF('3. PSM'!$M:$M,_xlpm.id),COUNTIF('4. SSP'!$M:$M,_xlpm.id),COUNTIF('5. JSACI'!$M:$M,_xlpm.id),COUNTIF('6. AIN'!$M:$M,_xlpm.id),COUNTIF('7. MS'!$M:$M,_xlpm.id),COUNTIF('8. DS'!$M:$M,_xlpm.id),COUNTIF('9. RMF'!$M:$M,_xlpm.id),COUNTIF('10. PCU'!$M:$M,_xlpm.id))))</f>
        <v>0</v>
      </c>
    </row>
    <row r="1810" spans="1:9">
      <c r="A1810" t="s">
        <v>9824</v>
      </c>
      <c r="B1810" t="s">
        <v>9733</v>
      </c>
      <c r="C1810">
        <v>1821</v>
      </c>
      <c r="D1810">
        <v>1</v>
      </c>
      <c r="E1810" s="23">
        <v>93</v>
      </c>
      <c r="F1810" t="s">
        <v>8102</v>
      </c>
      <c r="G1810" t="s">
        <v>10484</v>
      </c>
      <c r="H1810" t="s">
        <v>8021</v>
      </c>
      <c r="I1810">
        <f>_xlfn.LET(_xlpm.id,TRIM($A1810),IF(_xlpm.id="","",SUM(COUNTIF('1. OP'!$M:$M,_xlpm.id),COUNTIF('2. JSEL'!$M:$M,_xlpm.id),COUNTIF('3. PSM'!$M:$M,_xlpm.id),COUNTIF('4. SSP'!$M:$M,_xlpm.id),COUNTIF('5. JSACI'!$M:$M,_xlpm.id),COUNTIF('6. AIN'!$M:$M,_xlpm.id),COUNTIF('7. MS'!$M:$M,_xlpm.id),COUNTIF('8. DS'!$M:$M,_xlpm.id),COUNTIF('9. RMF'!$M:$M,_xlpm.id),COUNTIF('10. PCU'!$M:$M,_xlpm.id))))</f>
        <v>0</v>
      </c>
    </row>
    <row r="1811" spans="1:9">
      <c r="A1811" t="s">
        <v>9825</v>
      </c>
      <c r="B1811" t="s">
        <v>9733</v>
      </c>
      <c r="C1811">
        <v>1821</v>
      </c>
      <c r="D1811">
        <v>1</v>
      </c>
      <c r="E1811" s="23">
        <v>94</v>
      </c>
      <c r="F1811" t="s">
        <v>8102</v>
      </c>
      <c r="G1811" t="s">
        <v>10484</v>
      </c>
      <c r="H1811" t="s">
        <v>8021</v>
      </c>
      <c r="I1811">
        <f>_xlfn.LET(_xlpm.id,TRIM($A1811),IF(_xlpm.id="","",SUM(COUNTIF('1. OP'!$M:$M,_xlpm.id),COUNTIF('2. JSEL'!$M:$M,_xlpm.id),COUNTIF('3. PSM'!$M:$M,_xlpm.id),COUNTIF('4. SSP'!$M:$M,_xlpm.id),COUNTIF('5. JSACI'!$M:$M,_xlpm.id),COUNTIF('6. AIN'!$M:$M,_xlpm.id),COUNTIF('7. MS'!$M:$M,_xlpm.id),COUNTIF('8. DS'!$M:$M,_xlpm.id),COUNTIF('9. RMF'!$M:$M,_xlpm.id),COUNTIF('10. PCU'!$M:$M,_xlpm.id))))</f>
        <v>0</v>
      </c>
    </row>
    <row r="1812" spans="1:9">
      <c r="A1812" t="s">
        <v>9826</v>
      </c>
      <c r="B1812" t="s">
        <v>9733</v>
      </c>
      <c r="C1812">
        <v>1822</v>
      </c>
      <c r="D1812">
        <v>1</v>
      </c>
      <c r="E1812" s="23">
        <v>95</v>
      </c>
      <c r="F1812" t="s">
        <v>8102</v>
      </c>
      <c r="G1812" t="s">
        <v>10484</v>
      </c>
      <c r="H1812" t="s">
        <v>8021</v>
      </c>
      <c r="I1812">
        <f>_xlfn.LET(_xlpm.id,TRIM($A1812),IF(_xlpm.id="","",SUM(COUNTIF('1. OP'!$M:$M,_xlpm.id),COUNTIF('2. JSEL'!$M:$M,_xlpm.id),COUNTIF('3. PSM'!$M:$M,_xlpm.id),COUNTIF('4. SSP'!$M:$M,_xlpm.id),COUNTIF('5. JSACI'!$M:$M,_xlpm.id),COUNTIF('6. AIN'!$M:$M,_xlpm.id),COUNTIF('7. MS'!$M:$M,_xlpm.id),COUNTIF('8. DS'!$M:$M,_xlpm.id),COUNTIF('9. RMF'!$M:$M,_xlpm.id),COUNTIF('10. PCU'!$M:$M,_xlpm.id))))</f>
        <v>0</v>
      </c>
    </row>
    <row r="1813" spans="1:9">
      <c r="A1813" t="s">
        <v>9827</v>
      </c>
      <c r="B1813" t="s">
        <v>9733</v>
      </c>
      <c r="C1813">
        <v>1822</v>
      </c>
      <c r="D1813">
        <v>1</v>
      </c>
      <c r="E1813" s="23">
        <v>96</v>
      </c>
      <c r="F1813" t="s">
        <v>8102</v>
      </c>
      <c r="G1813" t="s">
        <v>10484</v>
      </c>
      <c r="H1813" t="s">
        <v>8021</v>
      </c>
      <c r="I1813">
        <f>_xlfn.LET(_xlpm.id,TRIM($A1813),IF(_xlpm.id="","",SUM(COUNTIF('1. OP'!$M:$M,_xlpm.id),COUNTIF('2. JSEL'!$M:$M,_xlpm.id),COUNTIF('3. PSM'!$M:$M,_xlpm.id),COUNTIF('4. SSP'!$M:$M,_xlpm.id),COUNTIF('5. JSACI'!$M:$M,_xlpm.id),COUNTIF('6. AIN'!$M:$M,_xlpm.id),COUNTIF('7. MS'!$M:$M,_xlpm.id),COUNTIF('8. DS'!$M:$M,_xlpm.id),COUNTIF('9. RMF'!$M:$M,_xlpm.id),COUNTIF('10. PCU'!$M:$M,_xlpm.id))))</f>
        <v>0</v>
      </c>
    </row>
    <row r="1814" spans="1:9">
      <c r="A1814" t="s">
        <v>9828</v>
      </c>
      <c r="B1814" t="s">
        <v>9733</v>
      </c>
      <c r="C1814">
        <v>1823</v>
      </c>
      <c r="D1814">
        <v>1</v>
      </c>
      <c r="E1814" s="23">
        <v>97</v>
      </c>
      <c r="F1814" t="s">
        <v>8102</v>
      </c>
      <c r="G1814" t="s">
        <v>10484</v>
      </c>
      <c r="H1814" t="s">
        <v>8021</v>
      </c>
      <c r="I1814">
        <f>_xlfn.LET(_xlpm.id,TRIM($A1814),IF(_xlpm.id="","",SUM(COUNTIF('1. OP'!$M:$M,_xlpm.id),COUNTIF('2. JSEL'!$M:$M,_xlpm.id),COUNTIF('3. PSM'!$M:$M,_xlpm.id),COUNTIF('4. SSP'!$M:$M,_xlpm.id),COUNTIF('5. JSACI'!$M:$M,_xlpm.id),COUNTIF('6. AIN'!$M:$M,_xlpm.id),COUNTIF('7. MS'!$M:$M,_xlpm.id),COUNTIF('8. DS'!$M:$M,_xlpm.id),COUNTIF('9. RMF'!$M:$M,_xlpm.id),COUNTIF('10. PCU'!$M:$M,_xlpm.id))))</f>
        <v>0</v>
      </c>
    </row>
    <row r="1815" spans="1:9">
      <c r="A1815" t="s">
        <v>9829</v>
      </c>
      <c r="B1815" t="s">
        <v>2130</v>
      </c>
      <c r="C1815">
        <v>1818</v>
      </c>
      <c r="D1815">
        <v>1</v>
      </c>
      <c r="E1815" s="23">
        <v>1</v>
      </c>
      <c r="F1815" t="s">
        <v>8102</v>
      </c>
      <c r="G1815" t="s">
        <v>10484</v>
      </c>
      <c r="H1815" t="s">
        <v>8021</v>
      </c>
      <c r="I1815">
        <f>_xlfn.LET(_xlpm.id,TRIM($A1815),IF(_xlpm.id="","",SUM(COUNTIF('1. OP'!$M:$M,_xlpm.id),COUNTIF('2. JSEL'!$M:$M,_xlpm.id),COUNTIF('3. PSM'!$M:$M,_xlpm.id),COUNTIF('4. SSP'!$M:$M,_xlpm.id),COUNTIF('5. JSACI'!$M:$M,_xlpm.id),COUNTIF('6. AIN'!$M:$M,_xlpm.id),COUNTIF('7. MS'!$M:$M,_xlpm.id),COUNTIF('8. DS'!$M:$M,_xlpm.id),COUNTIF('9. RMF'!$M:$M,_xlpm.id),COUNTIF('10. PCU'!$M:$M,_xlpm.id))))</f>
        <v>0</v>
      </c>
    </row>
    <row r="1816" spans="1:9">
      <c r="A1816" t="s">
        <v>5008</v>
      </c>
      <c r="B1816" t="s">
        <v>2130</v>
      </c>
      <c r="C1816">
        <v>1818</v>
      </c>
      <c r="D1816">
        <v>1</v>
      </c>
      <c r="E1816" s="23">
        <v>2</v>
      </c>
      <c r="F1816" t="s">
        <v>8102</v>
      </c>
      <c r="G1816" t="s">
        <v>10484</v>
      </c>
      <c r="H1816" t="s">
        <v>8021</v>
      </c>
      <c r="I1816">
        <f>_xlfn.LET(_xlpm.id,TRIM($A1816),IF(_xlpm.id="","",SUM(COUNTIF('1. OP'!$M:$M,_xlpm.id),COUNTIF('2. JSEL'!$M:$M,_xlpm.id),COUNTIF('3. PSM'!$M:$M,_xlpm.id),COUNTIF('4. SSP'!$M:$M,_xlpm.id),COUNTIF('5. JSACI'!$M:$M,_xlpm.id),COUNTIF('6. AIN'!$M:$M,_xlpm.id),COUNTIF('7. MS'!$M:$M,_xlpm.id),COUNTIF('8. DS'!$M:$M,_xlpm.id),COUNTIF('9. RMF'!$M:$M,_xlpm.id),COUNTIF('10. PCU'!$M:$M,_xlpm.id))))</f>
        <v>1</v>
      </c>
    </row>
    <row r="1817" spans="1:9">
      <c r="A1817" t="s">
        <v>9830</v>
      </c>
      <c r="B1817" t="s">
        <v>2130</v>
      </c>
      <c r="C1817">
        <v>1818</v>
      </c>
      <c r="D1817">
        <v>1</v>
      </c>
      <c r="E1817" s="23">
        <v>3</v>
      </c>
      <c r="F1817" t="s">
        <v>8102</v>
      </c>
      <c r="G1817" t="s">
        <v>10484</v>
      </c>
      <c r="H1817" t="s">
        <v>8021</v>
      </c>
      <c r="I1817">
        <f>_xlfn.LET(_xlpm.id,TRIM($A1817),IF(_xlpm.id="","",SUM(COUNTIF('1. OP'!$M:$M,_xlpm.id),COUNTIF('2. JSEL'!$M:$M,_xlpm.id),COUNTIF('3. PSM'!$M:$M,_xlpm.id),COUNTIF('4. SSP'!$M:$M,_xlpm.id),COUNTIF('5. JSACI'!$M:$M,_xlpm.id),COUNTIF('6. AIN'!$M:$M,_xlpm.id),COUNTIF('7. MS'!$M:$M,_xlpm.id),COUNTIF('8. DS'!$M:$M,_xlpm.id),COUNTIF('9. RMF'!$M:$M,_xlpm.id),COUNTIF('10. PCU'!$M:$M,_xlpm.id))))</f>
        <v>0</v>
      </c>
    </row>
    <row r="1818" spans="1:9">
      <c r="A1818" t="s">
        <v>9831</v>
      </c>
      <c r="B1818" t="s">
        <v>2130</v>
      </c>
      <c r="C1818">
        <v>1819</v>
      </c>
      <c r="D1818">
        <v>1</v>
      </c>
      <c r="E1818" s="23">
        <v>4</v>
      </c>
      <c r="F1818" t="s">
        <v>8102</v>
      </c>
      <c r="G1818" t="s">
        <v>10484</v>
      </c>
      <c r="H1818" t="s">
        <v>8021</v>
      </c>
      <c r="I1818">
        <f>_xlfn.LET(_xlpm.id,TRIM($A1818),IF(_xlpm.id="","",SUM(COUNTIF('1. OP'!$M:$M,_xlpm.id),COUNTIF('2. JSEL'!$M:$M,_xlpm.id),COUNTIF('3. PSM'!$M:$M,_xlpm.id),COUNTIF('4. SSP'!$M:$M,_xlpm.id),COUNTIF('5. JSACI'!$M:$M,_xlpm.id),COUNTIF('6. AIN'!$M:$M,_xlpm.id),COUNTIF('7. MS'!$M:$M,_xlpm.id),COUNTIF('8. DS'!$M:$M,_xlpm.id),COUNTIF('9. RMF'!$M:$M,_xlpm.id),COUNTIF('10. PCU'!$M:$M,_xlpm.id))))</f>
        <v>0</v>
      </c>
    </row>
    <row r="1819" spans="1:9">
      <c r="A1819" t="s">
        <v>9832</v>
      </c>
      <c r="B1819" t="s">
        <v>2130</v>
      </c>
      <c r="C1819">
        <v>1819</v>
      </c>
      <c r="D1819">
        <v>1</v>
      </c>
      <c r="E1819" s="23">
        <v>5</v>
      </c>
      <c r="F1819" t="s">
        <v>8102</v>
      </c>
      <c r="G1819" t="s">
        <v>10484</v>
      </c>
      <c r="H1819" t="s">
        <v>8021</v>
      </c>
      <c r="I1819">
        <f>_xlfn.LET(_xlpm.id,TRIM($A1819),IF(_xlpm.id="","",SUM(COUNTIF('1. OP'!$M:$M,_xlpm.id),COUNTIF('2. JSEL'!$M:$M,_xlpm.id),COUNTIF('3. PSM'!$M:$M,_xlpm.id),COUNTIF('4. SSP'!$M:$M,_xlpm.id),COUNTIF('5. JSACI'!$M:$M,_xlpm.id),COUNTIF('6. AIN'!$M:$M,_xlpm.id),COUNTIF('7. MS'!$M:$M,_xlpm.id),COUNTIF('8. DS'!$M:$M,_xlpm.id),COUNTIF('9. RMF'!$M:$M,_xlpm.id),COUNTIF('10. PCU'!$M:$M,_xlpm.id))))</f>
        <v>0</v>
      </c>
    </row>
    <row r="1820" spans="1:9">
      <c r="A1820" t="s">
        <v>9833</v>
      </c>
      <c r="B1820" t="s">
        <v>2130</v>
      </c>
      <c r="C1820">
        <v>1819</v>
      </c>
      <c r="D1820">
        <v>1</v>
      </c>
      <c r="E1820" s="23">
        <v>6</v>
      </c>
      <c r="F1820" t="s">
        <v>8102</v>
      </c>
      <c r="G1820" t="s">
        <v>10484</v>
      </c>
      <c r="H1820" t="s">
        <v>8021</v>
      </c>
      <c r="I1820">
        <f>_xlfn.LET(_xlpm.id,TRIM($A1820),IF(_xlpm.id="","",SUM(COUNTIF('1. OP'!$M:$M,_xlpm.id),COUNTIF('2. JSEL'!$M:$M,_xlpm.id),COUNTIF('3. PSM'!$M:$M,_xlpm.id),COUNTIF('4. SSP'!$M:$M,_xlpm.id),COUNTIF('5. JSACI'!$M:$M,_xlpm.id),COUNTIF('6. AIN'!$M:$M,_xlpm.id),COUNTIF('7. MS'!$M:$M,_xlpm.id),COUNTIF('8. DS'!$M:$M,_xlpm.id),COUNTIF('9. RMF'!$M:$M,_xlpm.id),COUNTIF('10. PCU'!$M:$M,_xlpm.id))))</f>
        <v>0</v>
      </c>
    </row>
    <row r="1821" spans="1:9">
      <c r="A1821" t="s">
        <v>9834</v>
      </c>
      <c r="B1821" t="s">
        <v>2130</v>
      </c>
      <c r="C1821">
        <v>1820</v>
      </c>
      <c r="D1821">
        <v>1</v>
      </c>
      <c r="E1821" s="23">
        <v>7</v>
      </c>
      <c r="F1821" t="s">
        <v>8102</v>
      </c>
      <c r="G1821" t="s">
        <v>10484</v>
      </c>
      <c r="H1821" t="s">
        <v>8021</v>
      </c>
      <c r="I1821">
        <f>_xlfn.LET(_xlpm.id,TRIM($A1821),IF(_xlpm.id="","",SUM(COUNTIF('1. OP'!$M:$M,_xlpm.id),COUNTIF('2. JSEL'!$M:$M,_xlpm.id),COUNTIF('3. PSM'!$M:$M,_xlpm.id),COUNTIF('4. SSP'!$M:$M,_xlpm.id),COUNTIF('5. JSACI'!$M:$M,_xlpm.id),COUNTIF('6. AIN'!$M:$M,_xlpm.id),COUNTIF('7. MS'!$M:$M,_xlpm.id),COUNTIF('8. DS'!$M:$M,_xlpm.id),COUNTIF('9. RMF'!$M:$M,_xlpm.id),COUNTIF('10. PCU'!$M:$M,_xlpm.id))))</f>
        <v>0</v>
      </c>
    </row>
    <row r="1822" spans="1:9">
      <c r="A1822" t="s">
        <v>9835</v>
      </c>
      <c r="B1822" t="s">
        <v>2130</v>
      </c>
      <c r="C1822">
        <v>1820</v>
      </c>
      <c r="D1822">
        <v>1</v>
      </c>
      <c r="E1822" s="23">
        <v>8</v>
      </c>
      <c r="F1822" t="s">
        <v>8102</v>
      </c>
      <c r="G1822" t="s">
        <v>10484</v>
      </c>
      <c r="H1822" t="s">
        <v>8021</v>
      </c>
      <c r="I1822">
        <f>_xlfn.LET(_xlpm.id,TRIM($A1822),IF(_xlpm.id="","",SUM(COUNTIF('1. OP'!$M:$M,_xlpm.id),COUNTIF('2. JSEL'!$M:$M,_xlpm.id),COUNTIF('3. PSM'!$M:$M,_xlpm.id),COUNTIF('4. SSP'!$M:$M,_xlpm.id),COUNTIF('5. JSACI'!$M:$M,_xlpm.id),COUNTIF('6. AIN'!$M:$M,_xlpm.id),COUNTIF('7. MS'!$M:$M,_xlpm.id),COUNTIF('8. DS'!$M:$M,_xlpm.id),COUNTIF('9. RMF'!$M:$M,_xlpm.id),COUNTIF('10. PCU'!$M:$M,_xlpm.id))))</f>
        <v>1</v>
      </c>
    </row>
    <row r="1823" spans="1:9">
      <c r="A1823" t="s">
        <v>9836</v>
      </c>
      <c r="B1823" t="s">
        <v>2130</v>
      </c>
      <c r="C1823">
        <v>1820</v>
      </c>
      <c r="D1823">
        <v>1</v>
      </c>
      <c r="E1823" s="23">
        <v>9</v>
      </c>
      <c r="F1823" t="s">
        <v>8102</v>
      </c>
      <c r="G1823" t="s">
        <v>10484</v>
      </c>
      <c r="H1823" t="s">
        <v>8021</v>
      </c>
      <c r="I1823">
        <f>_xlfn.LET(_xlpm.id,TRIM($A1823),IF(_xlpm.id="","",SUM(COUNTIF('1. OP'!$M:$M,_xlpm.id),COUNTIF('2. JSEL'!$M:$M,_xlpm.id),COUNTIF('3. PSM'!$M:$M,_xlpm.id),COUNTIF('4. SSP'!$M:$M,_xlpm.id),COUNTIF('5. JSACI'!$M:$M,_xlpm.id),COUNTIF('6. AIN'!$M:$M,_xlpm.id),COUNTIF('7. MS'!$M:$M,_xlpm.id),COUNTIF('8. DS'!$M:$M,_xlpm.id),COUNTIF('9. RMF'!$M:$M,_xlpm.id),COUNTIF('10. PCU'!$M:$M,_xlpm.id))))</f>
        <v>0</v>
      </c>
    </row>
    <row r="1824" spans="1:9">
      <c r="A1824" t="s">
        <v>9837</v>
      </c>
      <c r="B1824" t="s">
        <v>2130</v>
      </c>
      <c r="C1824">
        <v>1821</v>
      </c>
      <c r="D1824">
        <v>1</v>
      </c>
      <c r="E1824" s="23">
        <v>10</v>
      </c>
      <c r="F1824" t="s">
        <v>8102</v>
      </c>
      <c r="G1824" t="s">
        <v>10484</v>
      </c>
      <c r="H1824" t="s">
        <v>8021</v>
      </c>
      <c r="I1824">
        <f>_xlfn.LET(_xlpm.id,TRIM($A1824),IF(_xlpm.id="","",SUM(COUNTIF('1. OP'!$M:$M,_xlpm.id),COUNTIF('2. JSEL'!$M:$M,_xlpm.id),COUNTIF('3. PSM'!$M:$M,_xlpm.id),COUNTIF('4. SSP'!$M:$M,_xlpm.id),COUNTIF('5. JSACI'!$M:$M,_xlpm.id),COUNTIF('6. AIN'!$M:$M,_xlpm.id),COUNTIF('7. MS'!$M:$M,_xlpm.id),COUNTIF('8. DS'!$M:$M,_xlpm.id),COUNTIF('9. RMF'!$M:$M,_xlpm.id),COUNTIF('10. PCU'!$M:$M,_xlpm.id))))</f>
        <v>0</v>
      </c>
    </row>
    <row r="1825" spans="1:9">
      <c r="A1825" t="s">
        <v>9838</v>
      </c>
      <c r="B1825" t="s">
        <v>2130</v>
      </c>
      <c r="C1825">
        <v>1821</v>
      </c>
      <c r="D1825">
        <v>1</v>
      </c>
      <c r="E1825" s="23">
        <v>11</v>
      </c>
      <c r="F1825" t="s">
        <v>8102</v>
      </c>
      <c r="G1825" t="s">
        <v>10484</v>
      </c>
      <c r="H1825" t="s">
        <v>8021</v>
      </c>
      <c r="I1825">
        <f>_xlfn.LET(_xlpm.id,TRIM($A1825),IF(_xlpm.id="","",SUM(COUNTIF('1. OP'!$M:$M,_xlpm.id),COUNTIF('2. JSEL'!$M:$M,_xlpm.id),COUNTIF('3. PSM'!$M:$M,_xlpm.id),COUNTIF('4. SSP'!$M:$M,_xlpm.id),COUNTIF('5. JSACI'!$M:$M,_xlpm.id),COUNTIF('6. AIN'!$M:$M,_xlpm.id),COUNTIF('7. MS'!$M:$M,_xlpm.id),COUNTIF('8. DS'!$M:$M,_xlpm.id),COUNTIF('9. RMF'!$M:$M,_xlpm.id),COUNTIF('10. PCU'!$M:$M,_xlpm.id))))</f>
        <v>0</v>
      </c>
    </row>
    <row r="1826" spans="1:9">
      <c r="A1826" t="s">
        <v>9839</v>
      </c>
      <c r="B1826" t="s">
        <v>2130</v>
      </c>
      <c r="C1826">
        <v>1821</v>
      </c>
      <c r="D1826">
        <v>1</v>
      </c>
      <c r="E1826" s="23">
        <v>12</v>
      </c>
      <c r="F1826" t="s">
        <v>8102</v>
      </c>
      <c r="G1826" t="s">
        <v>10484</v>
      </c>
      <c r="H1826" t="s">
        <v>8021</v>
      </c>
      <c r="I1826">
        <f>_xlfn.LET(_xlpm.id,TRIM($A1826),IF(_xlpm.id="","",SUM(COUNTIF('1. OP'!$M:$M,_xlpm.id),COUNTIF('2. JSEL'!$M:$M,_xlpm.id),COUNTIF('3. PSM'!$M:$M,_xlpm.id),COUNTIF('4. SSP'!$M:$M,_xlpm.id),COUNTIF('5. JSACI'!$M:$M,_xlpm.id),COUNTIF('6. AIN'!$M:$M,_xlpm.id),COUNTIF('7. MS'!$M:$M,_xlpm.id),COUNTIF('8. DS'!$M:$M,_xlpm.id),COUNTIF('9. RMF'!$M:$M,_xlpm.id),COUNTIF('10. PCU'!$M:$M,_xlpm.id))))</f>
        <v>0</v>
      </c>
    </row>
    <row r="1827" spans="1:9">
      <c r="A1827" t="s">
        <v>7176</v>
      </c>
      <c r="B1827" t="s">
        <v>2130</v>
      </c>
      <c r="C1827">
        <v>1822</v>
      </c>
      <c r="D1827">
        <v>1</v>
      </c>
      <c r="E1827" s="23">
        <v>13</v>
      </c>
      <c r="F1827" t="s">
        <v>8102</v>
      </c>
      <c r="G1827" t="s">
        <v>10484</v>
      </c>
      <c r="H1827" t="s">
        <v>8021</v>
      </c>
      <c r="I1827">
        <f>_xlfn.LET(_xlpm.id,TRIM($A1827),IF(_xlpm.id="","",SUM(COUNTIF('1. OP'!$M:$M,_xlpm.id),COUNTIF('2. JSEL'!$M:$M,_xlpm.id),COUNTIF('3. PSM'!$M:$M,_xlpm.id),COUNTIF('4. SSP'!$M:$M,_xlpm.id),COUNTIF('5. JSACI'!$M:$M,_xlpm.id),COUNTIF('6. AIN'!$M:$M,_xlpm.id),COUNTIF('7. MS'!$M:$M,_xlpm.id),COUNTIF('8. DS'!$M:$M,_xlpm.id),COUNTIF('9. RMF'!$M:$M,_xlpm.id),COUNTIF('10. PCU'!$M:$M,_xlpm.id))))</f>
        <v>2</v>
      </c>
    </row>
    <row r="1828" spans="1:9">
      <c r="A1828" t="s">
        <v>9840</v>
      </c>
      <c r="B1828" t="s">
        <v>2130</v>
      </c>
      <c r="C1828">
        <v>1822</v>
      </c>
      <c r="D1828">
        <v>1</v>
      </c>
      <c r="E1828" s="23">
        <v>14</v>
      </c>
      <c r="F1828" t="s">
        <v>8102</v>
      </c>
      <c r="G1828" t="s">
        <v>10484</v>
      </c>
      <c r="H1828" t="s">
        <v>8021</v>
      </c>
      <c r="I1828">
        <f>_xlfn.LET(_xlpm.id,TRIM($A1828),IF(_xlpm.id="","",SUM(COUNTIF('1. OP'!$M:$M,_xlpm.id),COUNTIF('2. JSEL'!$M:$M,_xlpm.id),COUNTIF('3. PSM'!$M:$M,_xlpm.id),COUNTIF('4. SSP'!$M:$M,_xlpm.id),COUNTIF('5. JSACI'!$M:$M,_xlpm.id),COUNTIF('6. AIN'!$M:$M,_xlpm.id),COUNTIF('7. MS'!$M:$M,_xlpm.id),COUNTIF('8. DS'!$M:$M,_xlpm.id),COUNTIF('9. RMF'!$M:$M,_xlpm.id),COUNTIF('10. PCU'!$M:$M,_xlpm.id))))</f>
        <v>0</v>
      </c>
    </row>
    <row r="1829" spans="1:9">
      <c r="A1829" t="s">
        <v>9841</v>
      </c>
      <c r="B1829" t="s">
        <v>2130</v>
      </c>
      <c r="C1829">
        <v>1822</v>
      </c>
      <c r="D1829">
        <v>1</v>
      </c>
      <c r="E1829" s="23">
        <v>15</v>
      </c>
      <c r="F1829" t="s">
        <v>8102</v>
      </c>
      <c r="G1829" t="s">
        <v>10484</v>
      </c>
      <c r="H1829" t="s">
        <v>8021</v>
      </c>
      <c r="I1829">
        <f>_xlfn.LET(_xlpm.id,TRIM($A1829),IF(_xlpm.id="","",SUM(COUNTIF('1. OP'!$M:$M,_xlpm.id),COUNTIF('2. JSEL'!$M:$M,_xlpm.id),COUNTIF('3. PSM'!$M:$M,_xlpm.id),COUNTIF('4. SSP'!$M:$M,_xlpm.id),COUNTIF('5. JSACI'!$M:$M,_xlpm.id),COUNTIF('6. AIN'!$M:$M,_xlpm.id),COUNTIF('7. MS'!$M:$M,_xlpm.id),COUNTIF('8. DS'!$M:$M,_xlpm.id),COUNTIF('9. RMF'!$M:$M,_xlpm.id),COUNTIF('10. PCU'!$M:$M,_xlpm.id))))</f>
        <v>0</v>
      </c>
    </row>
    <row r="1830" spans="1:9">
      <c r="A1830" t="s">
        <v>7275</v>
      </c>
      <c r="B1830" t="s">
        <v>9842</v>
      </c>
      <c r="C1830">
        <v>1833</v>
      </c>
      <c r="D1830">
        <v>1</v>
      </c>
      <c r="E1830" s="23">
        <v>1</v>
      </c>
      <c r="F1830" t="s">
        <v>8102</v>
      </c>
      <c r="G1830" t="s">
        <v>10484</v>
      </c>
      <c r="H1830" t="s">
        <v>8021</v>
      </c>
      <c r="I1830">
        <f>_xlfn.LET(_xlpm.id,TRIM($A1830),IF(_xlpm.id="","",SUM(COUNTIF('1. OP'!$M:$M,_xlpm.id),COUNTIF('2. JSEL'!$M:$M,_xlpm.id),COUNTIF('3. PSM'!$M:$M,_xlpm.id),COUNTIF('4. SSP'!$M:$M,_xlpm.id),COUNTIF('5. JSACI'!$M:$M,_xlpm.id),COUNTIF('6. AIN'!$M:$M,_xlpm.id),COUNTIF('7. MS'!$M:$M,_xlpm.id),COUNTIF('8. DS'!$M:$M,_xlpm.id),COUNTIF('9. RMF'!$M:$M,_xlpm.id),COUNTIF('10. PCU'!$M:$M,_xlpm.id))))</f>
        <v>3</v>
      </c>
    </row>
    <row r="1831" spans="1:9">
      <c r="A1831" t="s">
        <v>7271</v>
      </c>
      <c r="B1831" t="s">
        <v>9842</v>
      </c>
      <c r="C1831">
        <v>1834</v>
      </c>
      <c r="D1831">
        <v>1</v>
      </c>
      <c r="E1831" s="23">
        <v>2</v>
      </c>
      <c r="F1831" t="s">
        <v>8102</v>
      </c>
      <c r="G1831" t="s">
        <v>10484</v>
      </c>
      <c r="H1831" t="s">
        <v>8021</v>
      </c>
      <c r="I1831">
        <f>_xlfn.LET(_xlpm.id,TRIM($A1831),IF(_xlpm.id="","",SUM(COUNTIF('1. OP'!$M:$M,_xlpm.id),COUNTIF('2. JSEL'!$M:$M,_xlpm.id),COUNTIF('3. PSM'!$M:$M,_xlpm.id),COUNTIF('4. SSP'!$M:$M,_xlpm.id),COUNTIF('5. JSACI'!$M:$M,_xlpm.id),COUNTIF('6. AIN'!$M:$M,_xlpm.id),COUNTIF('7. MS'!$M:$M,_xlpm.id),COUNTIF('8. DS'!$M:$M,_xlpm.id),COUNTIF('9. RMF'!$M:$M,_xlpm.id),COUNTIF('10. PCU'!$M:$M,_xlpm.id))))</f>
        <v>1</v>
      </c>
    </row>
    <row r="1832" spans="1:9">
      <c r="A1832" t="s">
        <v>9843</v>
      </c>
      <c r="B1832" t="s">
        <v>9842</v>
      </c>
      <c r="C1832">
        <v>1836</v>
      </c>
      <c r="D1832">
        <v>1</v>
      </c>
      <c r="E1832" s="23">
        <v>4</v>
      </c>
      <c r="F1832" t="s">
        <v>8102</v>
      </c>
      <c r="G1832" t="s">
        <v>10484</v>
      </c>
      <c r="H1832" t="s">
        <v>8021</v>
      </c>
      <c r="I1832">
        <f>_xlfn.LET(_xlpm.id,TRIM($A1832),IF(_xlpm.id="","",SUM(COUNTIF('1. OP'!$M:$M,_xlpm.id),COUNTIF('2. JSEL'!$M:$M,_xlpm.id),COUNTIF('3. PSM'!$M:$M,_xlpm.id),COUNTIF('4. SSP'!$M:$M,_xlpm.id),COUNTIF('5. JSACI'!$M:$M,_xlpm.id),COUNTIF('6. AIN'!$M:$M,_xlpm.id),COUNTIF('7. MS'!$M:$M,_xlpm.id),COUNTIF('8. DS'!$M:$M,_xlpm.id),COUNTIF('9. RMF'!$M:$M,_xlpm.id),COUNTIF('10. PCU'!$M:$M,_xlpm.id))))</f>
        <v>0</v>
      </c>
    </row>
    <row r="1833" spans="1:9">
      <c r="A1833" t="s">
        <v>9844</v>
      </c>
      <c r="B1833" t="s">
        <v>4971</v>
      </c>
      <c r="C1833">
        <v>1829</v>
      </c>
      <c r="D1833">
        <v>1</v>
      </c>
      <c r="E1833" s="23">
        <v>1</v>
      </c>
      <c r="F1833" t="s">
        <v>8265</v>
      </c>
      <c r="G1833" t="s">
        <v>10501</v>
      </c>
      <c r="H1833" t="s">
        <v>10179</v>
      </c>
      <c r="I1833">
        <f>_xlfn.LET(_xlpm.id,TRIM($A1833),IF(_xlpm.id="","",SUM(COUNTIF('1. OP'!$M:$M,_xlpm.id),COUNTIF('2. JSEL'!$M:$M,_xlpm.id),COUNTIF('3. PSM'!$M:$M,_xlpm.id),COUNTIF('4. SSP'!$M:$M,_xlpm.id),COUNTIF('5. JSACI'!$M:$M,_xlpm.id),COUNTIF('6. AIN'!$M:$M,_xlpm.id),COUNTIF('7. MS'!$M:$M,_xlpm.id),COUNTIF('8. DS'!$M:$M,_xlpm.id),COUNTIF('9. RMF'!$M:$M,_xlpm.id),COUNTIF('10. PCU'!$M:$M,_xlpm.id))))</f>
        <v>0</v>
      </c>
    </row>
    <row r="1834" spans="1:9">
      <c r="A1834" t="s">
        <v>9845</v>
      </c>
      <c r="B1834" t="s">
        <v>4971</v>
      </c>
      <c r="C1834">
        <v>1829</v>
      </c>
      <c r="D1834">
        <v>1</v>
      </c>
      <c r="E1834" s="23">
        <v>2</v>
      </c>
      <c r="F1834" t="s">
        <v>8265</v>
      </c>
      <c r="G1834" t="s">
        <v>10501</v>
      </c>
      <c r="H1834" t="s">
        <v>10179</v>
      </c>
      <c r="I1834">
        <f>_xlfn.LET(_xlpm.id,TRIM($A1834),IF(_xlpm.id="","",SUM(COUNTIF('1. OP'!$M:$M,_xlpm.id),COUNTIF('2. JSEL'!$M:$M,_xlpm.id),COUNTIF('3. PSM'!$M:$M,_xlpm.id),COUNTIF('4. SSP'!$M:$M,_xlpm.id),COUNTIF('5. JSACI'!$M:$M,_xlpm.id),COUNTIF('6. AIN'!$M:$M,_xlpm.id),COUNTIF('7. MS'!$M:$M,_xlpm.id),COUNTIF('8. DS'!$M:$M,_xlpm.id),COUNTIF('9. RMF'!$M:$M,_xlpm.id),COUNTIF('10. PCU'!$M:$M,_xlpm.id))))</f>
        <v>0</v>
      </c>
    </row>
    <row r="1835" spans="1:9">
      <c r="A1835" t="s">
        <v>9846</v>
      </c>
      <c r="B1835" t="s">
        <v>4971</v>
      </c>
      <c r="C1835">
        <v>1831</v>
      </c>
      <c r="D1835">
        <v>1</v>
      </c>
      <c r="E1835" s="23">
        <v>3</v>
      </c>
      <c r="F1835" t="s">
        <v>8265</v>
      </c>
      <c r="G1835" t="s">
        <v>10501</v>
      </c>
      <c r="H1835" t="s">
        <v>10179</v>
      </c>
      <c r="I1835">
        <f>_xlfn.LET(_xlpm.id,TRIM($A1835),IF(_xlpm.id="","",SUM(COUNTIF('1. OP'!$M:$M,_xlpm.id),COUNTIF('2. JSEL'!$M:$M,_xlpm.id),COUNTIF('3. PSM'!$M:$M,_xlpm.id),COUNTIF('4. SSP'!$M:$M,_xlpm.id),COUNTIF('5. JSACI'!$M:$M,_xlpm.id),COUNTIF('6. AIN'!$M:$M,_xlpm.id),COUNTIF('7. MS'!$M:$M,_xlpm.id),COUNTIF('8. DS'!$M:$M,_xlpm.id),COUNTIF('9. RMF'!$M:$M,_xlpm.id),COUNTIF('10. PCU'!$M:$M,_xlpm.id))))</f>
        <v>0</v>
      </c>
    </row>
    <row r="1836" spans="1:9">
      <c r="A1836" t="s">
        <v>9847</v>
      </c>
      <c r="B1836" t="s">
        <v>4971</v>
      </c>
      <c r="C1836">
        <v>1831</v>
      </c>
      <c r="D1836">
        <v>1</v>
      </c>
      <c r="E1836" s="23">
        <v>4</v>
      </c>
      <c r="F1836" t="s">
        <v>8265</v>
      </c>
      <c r="G1836" t="s">
        <v>10501</v>
      </c>
      <c r="H1836" t="s">
        <v>10179</v>
      </c>
      <c r="I1836">
        <f>_xlfn.LET(_xlpm.id,TRIM($A1836),IF(_xlpm.id="","",SUM(COUNTIF('1. OP'!$M:$M,_xlpm.id),COUNTIF('2. JSEL'!$M:$M,_xlpm.id),COUNTIF('3. PSM'!$M:$M,_xlpm.id),COUNTIF('4. SSP'!$M:$M,_xlpm.id),COUNTIF('5. JSACI'!$M:$M,_xlpm.id),COUNTIF('6. AIN'!$M:$M,_xlpm.id),COUNTIF('7. MS'!$M:$M,_xlpm.id),COUNTIF('8. DS'!$M:$M,_xlpm.id),COUNTIF('9. RMF'!$M:$M,_xlpm.id),COUNTIF('10. PCU'!$M:$M,_xlpm.id))))</f>
        <v>0</v>
      </c>
    </row>
    <row r="1837" spans="1:9">
      <c r="A1837" t="s">
        <v>9848</v>
      </c>
      <c r="B1837" t="s">
        <v>4971</v>
      </c>
      <c r="C1837">
        <v>1831</v>
      </c>
      <c r="D1837">
        <v>1</v>
      </c>
      <c r="E1837" s="23">
        <v>5</v>
      </c>
      <c r="F1837" t="s">
        <v>8265</v>
      </c>
      <c r="G1837" t="s">
        <v>10501</v>
      </c>
      <c r="H1837" t="s">
        <v>10179</v>
      </c>
      <c r="I1837">
        <f>_xlfn.LET(_xlpm.id,TRIM($A1837),IF(_xlpm.id="","",SUM(COUNTIF('1. OP'!$M:$M,_xlpm.id),COUNTIF('2. JSEL'!$M:$M,_xlpm.id),COUNTIF('3. PSM'!$M:$M,_xlpm.id),COUNTIF('4. SSP'!$M:$M,_xlpm.id),COUNTIF('5. JSACI'!$M:$M,_xlpm.id),COUNTIF('6. AIN'!$M:$M,_xlpm.id),COUNTIF('7. MS'!$M:$M,_xlpm.id),COUNTIF('8. DS'!$M:$M,_xlpm.id),COUNTIF('9. RMF'!$M:$M,_xlpm.id),COUNTIF('10. PCU'!$M:$M,_xlpm.id))))</f>
        <v>0</v>
      </c>
    </row>
    <row r="1838" spans="1:9">
      <c r="A1838" t="s">
        <v>9849</v>
      </c>
      <c r="B1838" t="s">
        <v>4971</v>
      </c>
      <c r="C1838">
        <v>1832</v>
      </c>
      <c r="D1838">
        <v>1</v>
      </c>
      <c r="E1838" s="23">
        <v>6</v>
      </c>
      <c r="F1838" t="s">
        <v>8265</v>
      </c>
      <c r="G1838" t="s">
        <v>10501</v>
      </c>
      <c r="H1838" t="s">
        <v>10179</v>
      </c>
      <c r="I1838">
        <f>_xlfn.LET(_xlpm.id,TRIM($A1838),IF(_xlpm.id="","",SUM(COUNTIF('1. OP'!$M:$M,_xlpm.id),COUNTIF('2. JSEL'!$M:$M,_xlpm.id),COUNTIF('3. PSM'!$M:$M,_xlpm.id),COUNTIF('4. SSP'!$M:$M,_xlpm.id),COUNTIF('5. JSACI'!$M:$M,_xlpm.id),COUNTIF('6. AIN'!$M:$M,_xlpm.id),COUNTIF('7. MS'!$M:$M,_xlpm.id),COUNTIF('8. DS'!$M:$M,_xlpm.id),COUNTIF('9. RMF'!$M:$M,_xlpm.id),COUNTIF('10. PCU'!$M:$M,_xlpm.id))))</f>
        <v>0</v>
      </c>
    </row>
    <row r="1839" spans="1:9">
      <c r="A1839" t="s">
        <v>9850</v>
      </c>
      <c r="B1839" t="s">
        <v>4971</v>
      </c>
      <c r="C1839">
        <v>1832</v>
      </c>
      <c r="D1839">
        <v>1</v>
      </c>
      <c r="E1839" s="23">
        <v>7</v>
      </c>
      <c r="F1839" t="s">
        <v>8265</v>
      </c>
      <c r="G1839" t="s">
        <v>10501</v>
      </c>
      <c r="H1839" t="s">
        <v>10179</v>
      </c>
      <c r="I1839">
        <f>_xlfn.LET(_xlpm.id,TRIM($A1839),IF(_xlpm.id="","",SUM(COUNTIF('1. OP'!$M:$M,_xlpm.id),COUNTIF('2. JSEL'!$M:$M,_xlpm.id),COUNTIF('3. PSM'!$M:$M,_xlpm.id),COUNTIF('4. SSP'!$M:$M,_xlpm.id),COUNTIF('5. JSACI'!$M:$M,_xlpm.id),COUNTIF('6. AIN'!$M:$M,_xlpm.id),COUNTIF('7. MS'!$M:$M,_xlpm.id),COUNTIF('8. DS'!$M:$M,_xlpm.id),COUNTIF('9. RMF'!$M:$M,_xlpm.id),COUNTIF('10. PCU'!$M:$M,_xlpm.id))))</f>
        <v>0</v>
      </c>
    </row>
    <row r="1840" spans="1:9">
      <c r="A1840" t="s">
        <v>9851</v>
      </c>
      <c r="B1840" t="s">
        <v>4971</v>
      </c>
      <c r="C1840">
        <v>1833</v>
      </c>
      <c r="D1840">
        <v>1</v>
      </c>
      <c r="E1840" s="23">
        <v>8</v>
      </c>
      <c r="F1840" t="s">
        <v>8265</v>
      </c>
      <c r="G1840" t="s">
        <v>10501</v>
      </c>
      <c r="H1840" t="s">
        <v>10179</v>
      </c>
      <c r="I1840">
        <f>_xlfn.LET(_xlpm.id,TRIM($A1840),IF(_xlpm.id="","",SUM(COUNTIF('1. OP'!$M:$M,_xlpm.id),COUNTIF('2. JSEL'!$M:$M,_xlpm.id),COUNTIF('3. PSM'!$M:$M,_xlpm.id),COUNTIF('4. SSP'!$M:$M,_xlpm.id),COUNTIF('5. JSACI'!$M:$M,_xlpm.id),COUNTIF('6. AIN'!$M:$M,_xlpm.id),COUNTIF('7. MS'!$M:$M,_xlpm.id),COUNTIF('8. DS'!$M:$M,_xlpm.id),COUNTIF('9. RMF'!$M:$M,_xlpm.id),COUNTIF('10. PCU'!$M:$M,_xlpm.id))))</f>
        <v>0</v>
      </c>
    </row>
    <row r="1841" spans="1:9">
      <c r="A1841" t="s">
        <v>9852</v>
      </c>
      <c r="B1841" t="s">
        <v>4971</v>
      </c>
      <c r="C1841">
        <v>1834</v>
      </c>
      <c r="D1841">
        <v>1</v>
      </c>
      <c r="E1841" s="23">
        <v>9</v>
      </c>
      <c r="F1841" t="s">
        <v>8265</v>
      </c>
      <c r="G1841" t="s">
        <v>10501</v>
      </c>
      <c r="H1841" t="s">
        <v>10179</v>
      </c>
      <c r="I1841">
        <f>_xlfn.LET(_xlpm.id,TRIM($A1841),IF(_xlpm.id="","",SUM(COUNTIF('1. OP'!$M:$M,_xlpm.id),COUNTIF('2. JSEL'!$M:$M,_xlpm.id),COUNTIF('3. PSM'!$M:$M,_xlpm.id),COUNTIF('4. SSP'!$M:$M,_xlpm.id),COUNTIF('5. JSACI'!$M:$M,_xlpm.id),COUNTIF('6. AIN'!$M:$M,_xlpm.id),COUNTIF('7. MS'!$M:$M,_xlpm.id),COUNTIF('8. DS'!$M:$M,_xlpm.id),COUNTIF('9. RMF'!$M:$M,_xlpm.id),COUNTIF('10. PCU'!$M:$M,_xlpm.id))))</f>
        <v>0</v>
      </c>
    </row>
    <row r="1842" spans="1:9">
      <c r="A1842" t="s">
        <v>7569</v>
      </c>
      <c r="B1842" t="s">
        <v>4971</v>
      </c>
      <c r="C1842">
        <v>1834</v>
      </c>
      <c r="D1842">
        <v>1</v>
      </c>
      <c r="E1842" s="23">
        <v>10</v>
      </c>
      <c r="F1842" t="s">
        <v>8265</v>
      </c>
      <c r="G1842" t="s">
        <v>10501</v>
      </c>
      <c r="H1842" t="s">
        <v>10179</v>
      </c>
      <c r="I1842">
        <f>_xlfn.LET(_xlpm.id,TRIM($A1842),IF(_xlpm.id="","",SUM(COUNTIF('1. OP'!$M:$M,_xlpm.id),COUNTIF('2. JSEL'!$M:$M,_xlpm.id),COUNTIF('3. PSM'!$M:$M,_xlpm.id),COUNTIF('4. SSP'!$M:$M,_xlpm.id),COUNTIF('5. JSACI'!$M:$M,_xlpm.id),COUNTIF('6. AIN'!$M:$M,_xlpm.id),COUNTIF('7. MS'!$M:$M,_xlpm.id),COUNTIF('8. DS'!$M:$M,_xlpm.id),COUNTIF('9. RMF'!$M:$M,_xlpm.id),COUNTIF('10. PCU'!$M:$M,_xlpm.id))))</f>
        <v>0</v>
      </c>
    </row>
    <row r="1843" spans="1:9">
      <c r="A1843" t="s">
        <v>9853</v>
      </c>
      <c r="B1843" t="s">
        <v>4971</v>
      </c>
      <c r="C1843">
        <v>1835</v>
      </c>
      <c r="D1843">
        <v>1</v>
      </c>
      <c r="E1843" s="23">
        <v>11</v>
      </c>
      <c r="F1843" t="s">
        <v>8265</v>
      </c>
      <c r="G1843" t="s">
        <v>10501</v>
      </c>
      <c r="H1843" t="s">
        <v>10179</v>
      </c>
      <c r="I1843">
        <f>_xlfn.LET(_xlpm.id,TRIM($A1843),IF(_xlpm.id="","",SUM(COUNTIF('1. OP'!$M:$M,_xlpm.id),COUNTIF('2. JSEL'!$M:$M,_xlpm.id),COUNTIF('3. PSM'!$M:$M,_xlpm.id),COUNTIF('4. SSP'!$M:$M,_xlpm.id),COUNTIF('5. JSACI'!$M:$M,_xlpm.id),COUNTIF('6. AIN'!$M:$M,_xlpm.id),COUNTIF('7. MS'!$M:$M,_xlpm.id),COUNTIF('8. DS'!$M:$M,_xlpm.id),COUNTIF('9. RMF'!$M:$M,_xlpm.id),COUNTIF('10. PCU'!$M:$M,_xlpm.id))))</f>
        <v>0</v>
      </c>
    </row>
    <row r="1844" spans="1:9">
      <c r="A1844" t="s">
        <v>9854</v>
      </c>
      <c r="B1844" t="s">
        <v>4971</v>
      </c>
      <c r="C1844">
        <v>1835</v>
      </c>
      <c r="D1844">
        <v>1</v>
      </c>
      <c r="E1844" s="23">
        <v>12</v>
      </c>
      <c r="F1844" t="s">
        <v>8265</v>
      </c>
      <c r="G1844" t="s">
        <v>10501</v>
      </c>
      <c r="H1844" t="s">
        <v>10179</v>
      </c>
      <c r="I1844">
        <f>_xlfn.LET(_xlpm.id,TRIM($A1844),IF(_xlpm.id="","",SUM(COUNTIF('1. OP'!$M:$M,_xlpm.id),COUNTIF('2. JSEL'!$M:$M,_xlpm.id),COUNTIF('3. PSM'!$M:$M,_xlpm.id),COUNTIF('4. SSP'!$M:$M,_xlpm.id),COUNTIF('5. JSACI'!$M:$M,_xlpm.id),COUNTIF('6. AIN'!$M:$M,_xlpm.id),COUNTIF('7. MS'!$M:$M,_xlpm.id),COUNTIF('8. DS'!$M:$M,_xlpm.id),COUNTIF('9. RMF'!$M:$M,_xlpm.id),COUNTIF('10. PCU'!$M:$M,_xlpm.id))))</f>
        <v>0</v>
      </c>
    </row>
    <row r="1845" spans="1:9">
      <c r="A1845" t="s">
        <v>9855</v>
      </c>
      <c r="B1845" t="s">
        <v>4971</v>
      </c>
      <c r="C1845">
        <v>1836</v>
      </c>
      <c r="D1845">
        <v>1</v>
      </c>
      <c r="E1845" s="23">
        <v>13</v>
      </c>
      <c r="F1845" t="s">
        <v>8265</v>
      </c>
      <c r="G1845" t="s">
        <v>10501</v>
      </c>
      <c r="H1845" t="s">
        <v>10179</v>
      </c>
      <c r="I1845">
        <f>_xlfn.LET(_xlpm.id,TRIM($A1845),IF(_xlpm.id="","",SUM(COUNTIF('1. OP'!$M:$M,_xlpm.id),COUNTIF('2. JSEL'!$M:$M,_xlpm.id),COUNTIF('3. PSM'!$M:$M,_xlpm.id),COUNTIF('4. SSP'!$M:$M,_xlpm.id),COUNTIF('5. JSACI'!$M:$M,_xlpm.id),COUNTIF('6. AIN'!$M:$M,_xlpm.id),COUNTIF('7. MS'!$M:$M,_xlpm.id),COUNTIF('8. DS'!$M:$M,_xlpm.id),COUNTIF('9. RMF'!$M:$M,_xlpm.id),COUNTIF('10. PCU'!$M:$M,_xlpm.id))))</f>
        <v>0</v>
      </c>
    </row>
    <row r="1846" spans="1:9">
      <c r="A1846" t="s">
        <v>9856</v>
      </c>
      <c r="B1846" t="s">
        <v>4971</v>
      </c>
      <c r="C1846">
        <v>1836</v>
      </c>
      <c r="D1846">
        <v>1</v>
      </c>
      <c r="E1846" s="23">
        <v>14</v>
      </c>
      <c r="F1846" t="s">
        <v>8265</v>
      </c>
      <c r="G1846" t="s">
        <v>10501</v>
      </c>
      <c r="H1846" t="s">
        <v>10179</v>
      </c>
      <c r="I1846">
        <f>_xlfn.LET(_xlpm.id,TRIM($A1846),IF(_xlpm.id="","",SUM(COUNTIF('1. OP'!$M:$M,_xlpm.id),COUNTIF('2. JSEL'!$M:$M,_xlpm.id),COUNTIF('3. PSM'!$M:$M,_xlpm.id),COUNTIF('4. SSP'!$M:$M,_xlpm.id),COUNTIF('5. JSACI'!$M:$M,_xlpm.id),COUNTIF('6. AIN'!$M:$M,_xlpm.id),COUNTIF('7. MS'!$M:$M,_xlpm.id),COUNTIF('8. DS'!$M:$M,_xlpm.id),COUNTIF('9. RMF'!$M:$M,_xlpm.id),COUNTIF('10. PCU'!$M:$M,_xlpm.id))))</f>
        <v>0</v>
      </c>
    </row>
    <row r="1847" spans="1:9">
      <c r="A1847" t="s">
        <v>9857</v>
      </c>
      <c r="B1847" t="s">
        <v>4971</v>
      </c>
      <c r="C1847">
        <v>1837</v>
      </c>
      <c r="D1847">
        <v>1</v>
      </c>
      <c r="E1847" s="23">
        <v>15</v>
      </c>
      <c r="F1847" t="s">
        <v>8265</v>
      </c>
      <c r="G1847" t="s">
        <v>10501</v>
      </c>
      <c r="H1847" t="s">
        <v>10179</v>
      </c>
      <c r="I1847">
        <f>_xlfn.LET(_xlpm.id,TRIM($A1847),IF(_xlpm.id="","",SUM(COUNTIF('1. OP'!$M:$M,_xlpm.id),COUNTIF('2. JSEL'!$M:$M,_xlpm.id),COUNTIF('3. PSM'!$M:$M,_xlpm.id),COUNTIF('4. SSP'!$M:$M,_xlpm.id),COUNTIF('5. JSACI'!$M:$M,_xlpm.id),COUNTIF('6. AIN'!$M:$M,_xlpm.id),COUNTIF('7. MS'!$M:$M,_xlpm.id),COUNTIF('8. DS'!$M:$M,_xlpm.id),COUNTIF('9. RMF'!$M:$M,_xlpm.id),COUNTIF('10. PCU'!$M:$M,_xlpm.id))))</f>
        <v>0</v>
      </c>
    </row>
    <row r="1848" spans="1:9">
      <c r="A1848" t="s">
        <v>9858</v>
      </c>
      <c r="B1848" t="s">
        <v>4971</v>
      </c>
      <c r="C1848">
        <v>1837</v>
      </c>
      <c r="D1848">
        <v>1</v>
      </c>
      <c r="E1848" s="23">
        <v>16</v>
      </c>
      <c r="F1848" t="s">
        <v>8265</v>
      </c>
      <c r="G1848" t="s">
        <v>10501</v>
      </c>
      <c r="H1848" t="s">
        <v>10179</v>
      </c>
      <c r="I1848">
        <f>_xlfn.LET(_xlpm.id,TRIM($A1848),IF(_xlpm.id="","",SUM(COUNTIF('1. OP'!$M:$M,_xlpm.id),COUNTIF('2. JSEL'!$M:$M,_xlpm.id),COUNTIF('3. PSM'!$M:$M,_xlpm.id),COUNTIF('4. SSP'!$M:$M,_xlpm.id),COUNTIF('5. JSACI'!$M:$M,_xlpm.id),COUNTIF('6. AIN'!$M:$M,_xlpm.id),COUNTIF('7. MS'!$M:$M,_xlpm.id),COUNTIF('8. DS'!$M:$M,_xlpm.id),COUNTIF('9. RMF'!$M:$M,_xlpm.id),COUNTIF('10. PCU'!$M:$M,_xlpm.id))))</f>
        <v>0</v>
      </c>
    </row>
    <row r="1849" spans="1:9">
      <c r="A1849" t="s">
        <v>9859</v>
      </c>
      <c r="B1849" t="s">
        <v>4971</v>
      </c>
      <c r="C1849">
        <v>1838</v>
      </c>
      <c r="D1849">
        <v>1</v>
      </c>
      <c r="E1849" s="23">
        <v>17</v>
      </c>
      <c r="F1849" t="s">
        <v>8265</v>
      </c>
      <c r="G1849" t="s">
        <v>10501</v>
      </c>
      <c r="H1849" t="s">
        <v>10179</v>
      </c>
      <c r="I1849">
        <f>_xlfn.LET(_xlpm.id,TRIM($A1849),IF(_xlpm.id="","",SUM(COUNTIF('1. OP'!$M:$M,_xlpm.id),COUNTIF('2. JSEL'!$M:$M,_xlpm.id),COUNTIF('3. PSM'!$M:$M,_xlpm.id),COUNTIF('4. SSP'!$M:$M,_xlpm.id),COUNTIF('5. JSACI'!$M:$M,_xlpm.id),COUNTIF('6. AIN'!$M:$M,_xlpm.id),COUNTIF('7. MS'!$M:$M,_xlpm.id),COUNTIF('8. DS'!$M:$M,_xlpm.id),COUNTIF('9. RMF'!$M:$M,_xlpm.id),COUNTIF('10. PCU'!$M:$M,_xlpm.id))))</f>
        <v>0</v>
      </c>
    </row>
    <row r="1850" spans="1:9">
      <c r="A1850" t="s">
        <v>9860</v>
      </c>
      <c r="B1850" t="s">
        <v>4971</v>
      </c>
      <c r="C1850">
        <v>1838</v>
      </c>
      <c r="D1850">
        <v>1</v>
      </c>
      <c r="E1850" s="23">
        <v>18</v>
      </c>
      <c r="F1850" t="s">
        <v>8265</v>
      </c>
      <c r="G1850" t="s">
        <v>10501</v>
      </c>
      <c r="H1850" t="s">
        <v>10179</v>
      </c>
      <c r="I1850">
        <f>_xlfn.LET(_xlpm.id,TRIM($A1850),IF(_xlpm.id="","",SUM(COUNTIF('1. OP'!$M:$M,_xlpm.id),COUNTIF('2. JSEL'!$M:$M,_xlpm.id),COUNTIF('3. PSM'!$M:$M,_xlpm.id),COUNTIF('4. SSP'!$M:$M,_xlpm.id),COUNTIF('5. JSACI'!$M:$M,_xlpm.id),COUNTIF('6. AIN'!$M:$M,_xlpm.id),COUNTIF('7. MS'!$M:$M,_xlpm.id),COUNTIF('8. DS'!$M:$M,_xlpm.id),COUNTIF('9. RMF'!$M:$M,_xlpm.id),COUNTIF('10. PCU'!$M:$M,_xlpm.id))))</f>
        <v>0</v>
      </c>
    </row>
    <row r="1851" spans="1:9">
      <c r="A1851" t="s">
        <v>9861</v>
      </c>
      <c r="B1851" t="s">
        <v>4971</v>
      </c>
      <c r="C1851">
        <v>1839</v>
      </c>
      <c r="D1851">
        <v>1</v>
      </c>
      <c r="E1851" s="23">
        <v>19</v>
      </c>
      <c r="F1851" t="s">
        <v>8265</v>
      </c>
      <c r="G1851" t="s">
        <v>10501</v>
      </c>
      <c r="H1851" t="s">
        <v>10179</v>
      </c>
      <c r="I1851">
        <f>_xlfn.LET(_xlpm.id,TRIM($A1851),IF(_xlpm.id="","",SUM(COUNTIF('1. OP'!$M:$M,_xlpm.id),COUNTIF('2. JSEL'!$M:$M,_xlpm.id),COUNTIF('3. PSM'!$M:$M,_xlpm.id),COUNTIF('4. SSP'!$M:$M,_xlpm.id),COUNTIF('5. JSACI'!$M:$M,_xlpm.id),COUNTIF('6. AIN'!$M:$M,_xlpm.id),COUNTIF('7. MS'!$M:$M,_xlpm.id),COUNTIF('8. DS'!$M:$M,_xlpm.id),COUNTIF('9. RMF'!$M:$M,_xlpm.id),COUNTIF('10. PCU'!$M:$M,_xlpm.id))))</f>
        <v>0</v>
      </c>
    </row>
    <row r="1852" spans="1:9">
      <c r="A1852" t="s">
        <v>9862</v>
      </c>
      <c r="B1852" t="s">
        <v>4971</v>
      </c>
      <c r="C1852">
        <v>1839</v>
      </c>
      <c r="D1852">
        <v>1</v>
      </c>
      <c r="E1852" s="23">
        <v>20</v>
      </c>
      <c r="F1852" t="s">
        <v>8265</v>
      </c>
      <c r="G1852" t="s">
        <v>10501</v>
      </c>
      <c r="H1852" t="s">
        <v>10179</v>
      </c>
      <c r="I1852">
        <f>_xlfn.LET(_xlpm.id,TRIM($A1852),IF(_xlpm.id="","",SUM(COUNTIF('1. OP'!$M:$M,_xlpm.id),COUNTIF('2. JSEL'!$M:$M,_xlpm.id),COUNTIF('3. PSM'!$M:$M,_xlpm.id),COUNTIF('4. SSP'!$M:$M,_xlpm.id),COUNTIF('5. JSACI'!$M:$M,_xlpm.id),COUNTIF('6. AIN'!$M:$M,_xlpm.id),COUNTIF('7. MS'!$M:$M,_xlpm.id),COUNTIF('8. DS'!$M:$M,_xlpm.id),COUNTIF('9. RMF'!$M:$M,_xlpm.id),COUNTIF('10. PCU'!$M:$M,_xlpm.id))))</f>
        <v>0</v>
      </c>
    </row>
    <row r="1853" spans="1:9">
      <c r="A1853" t="s">
        <v>9863</v>
      </c>
      <c r="B1853" t="s">
        <v>4971</v>
      </c>
      <c r="C1853">
        <v>1840</v>
      </c>
      <c r="D1853">
        <v>1</v>
      </c>
      <c r="E1853" s="23">
        <v>21</v>
      </c>
      <c r="F1853" t="s">
        <v>8265</v>
      </c>
      <c r="G1853" t="s">
        <v>10501</v>
      </c>
      <c r="H1853" t="s">
        <v>10179</v>
      </c>
      <c r="I1853">
        <f>_xlfn.LET(_xlpm.id,TRIM($A1853),IF(_xlpm.id="","",SUM(COUNTIF('1. OP'!$M:$M,_xlpm.id),COUNTIF('2. JSEL'!$M:$M,_xlpm.id),COUNTIF('3. PSM'!$M:$M,_xlpm.id),COUNTIF('4. SSP'!$M:$M,_xlpm.id),COUNTIF('5. JSACI'!$M:$M,_xlpm.id),COUNTIF('6. AIN'!$M:$M,_xlpm.id),COUNTIF('7. MS'!$M:$M,_xlpm.id),COUNTIF('8. DS'!$M:$M,_xlpm.id),COUNTIF('9. RMF'!$M:$M,_xlpm.id),COUNTIF('10. PCU'!$M:$M,_xlpm.id))))</f>
        <v>0</v>
      </c>
    </row>
    <row r="1854" spans="1:9">
      <c r="A1854" t="s">
        <v>9864</v>
      </c>
      <c r="B1854" t="s">
        <v>4971</v>
      </c>
      <c r="C1854">
        <v>1840</v>
      </c>
      <c r="D1854">
        <v>1</v>
      </c>
      <c r="E1854" s="23">
        <v>22</v>
      </c>
      <c r="F1854" t="s">
        <v>8265</v>
      </c>
      <c r="G1854" t="s">
        <v>10501</v>
      </c>
      <c r="H1854" t="s">
        <v>10179</v>
      </c>
      <c r="I1854">
        <f>_xlfn.LET(_xlpm.id,TRIM($A1854),IF(_xlpm.id="","",SUM(COUNTIF('1. OP'!$M:$M,_xlpm.id),COUNTIF('2. JSEL'!$M:$M,_xlpm.id),COUNTIF('3. PSM'!$M:$M,_xlpm.id),COUNTIF('4. SSP'!$M:$M,_xlpm.id),COUNTIF('5. JSACI'!$M:$M,_xlpm.id),COUNTIF('6. AIN'!$M:$M,_xlpm.id),COUNTIF('7. MS'!$M:$M,_xlpm.id),COUNTIF('8. DS'!$M:$M,_xlpm.id),COUNTIF('9. RMF'!$M:$M,_xlpm.id),COUNTIF('10. PCU'!$M:$M,_xlpm.id))))</f>
        <v>0</v>
      </c>
    </row>
    <row r="1855" spans="1:9">
      <c r="A1855" t="s">
        <v>9865</v>
      </c>
      <c r="B1855" t="s">
        <v>9866</v>
      </c>
      <c r="C1855">
        <v>1819</v>
      </c>
      <c r="D1855">
        <v>1</v>
      </c>
      <c r="E1855" s="23">
        <v>1</v>
      </c>
      <c r="F1855" t="s">
        <v>8102</v>
      </c>
      <c r="G1855" t="s">
        <v>10484</v>
      </c>
      <c r="H1855" t="s">
        <v>8021</v>
      </c>
      <c r="I1855">
        <f>_xlfn.LET(_xlpm.id,TRIM($A1855),IF(_xlpm.id="","",SUM(COUNTIF('1. OP'!$M:$M,_xlpm.id),COUNTIF('2. JSEL'!$M:$M,_xlpm.id),COUNTIF('3. PSM'!$M:$M,_xlpm.id),COUNTIF('4. SSP'!$M:$M,_xlpm.id),COUNTIF('5. JSACI'!$M:$M,_xlpm.id),COUNTIF('6. AIN'!$M:$M,_xlpm.id),COUNTIF('7. MS'!$M:$M,_xlpm.id),COUNTIF('8. DS'!$M:$M,_xlpm.id),COUNTIF('9. RMF'!$M:$M,_xlpm.id),COUNTIF('10. PCU'!$M:$M,_xlpm.id))))</f>
        <v>0</v>
      </c>
    </row>
    <row r="1856" spans="1:9">
      <c r="A1856" t="s">
        <v>9867</v>
      </c>
      <c r="B1856" t="s">
        <v>9866</v>
      </c>
      <c r="C1856">
        <v>1819</v>
      </c>
      <c r="D1856">
        <v>1</v>
      </c>
      <c r="E1856" s="23">
        <v>2</v>
      </c>
      <c r="F1856" t="s">
        <v>8102</v>
      </c>
      <c r="G1856" t="s">
        <v>10484</v>
      </c>
      <c r="H1856" t="s">
        <v>8021</v>
      </c>
      <c r="I1856">
        <f>_xlfn.LET(_xlpm.id,TRIM($A1856),IF(_xlpm.id="","",SUM(COUNTIF('1. OP'!$M:$M,_xlpm.id),COUNTIF('2. JSEL'!$M:$M,_xlpm.id),COUNTIF('3. PSM'!$M:$M,_xlpm.id),COUNTIF('4. SSP'!$M:$M,_xlpm.id),COUNTIF('5. JSACI'!$M:$M,_xlpm.id),COUNTIF('6. AIN'!$M:$M,_xlpm.id),COUNTIF('7. MS'!$M:$M,_xlpm.id),COUNTIF('8. DS'!$M:$M,_xlpm.id),COUNTIF('9. RMF'!$M:$M,_xlpm.id),COUNTIF('10. PCU'!$M:$M,_xlpm.id))))</f>
        <v>0</v>
      </c>
    </row>
    <row r="1857" spans="1:9">
      <c r="A1857" t="s">
        <v>9868</v>
      </c>
      <c r="B1857" t="s">
        <v>9866</v>
      </c>
      <c r="C1857">
        <v>1819</v>
      </c>
      <c r="D1857">
        <v>1</v>
      </c>
      <c r="E1857" s="23">
        <v>3</v>
      </c>
      <c r="F1857" t="s">
        <v>8102</v>
      </c>
      <c r="G1857" t="s">
        <v>10484</v>
      </c>
      <c r="H1857" t="s">
        <v>8021</v>
      </c>
      <c r="I1857">
        <f>_xlfn.LET(_xlpm.id,TRIM($A1857),IF(_xlpm.id="","",SUM(COUNTIF('1. OP'!$M:$M,_xlpm.id),COUNTIF('2. JSEL'!$M:$M,_xlpm.id),COUNTIF('3. PSM'!$M:$M,_xlpm.id),COUNTIF('4. SSP'!$M:$M,_xlpm.id),COUNTIF('5. JSACI'!$M:$M,_xlpm.id),COUNTIF('6. AIN'!$M:$M,_xlpm.id),COUNTIF('7. MS'!$M:$M,_xlpm.id),COUNTIF('8. DS'!$M:$M,_xlpm.id),COUNTIF('9. RMF'!$M:$M,_xlpm.id),COUNTIF('10. PCU'!$M:$M,_xlpm.id))))</f>
        <v>0</v>
      </c>
    </row>
    <row r="1858" spans="1:9">
      <c r="A1858" t="s">
        <v>9869</v>
      </c>
      <c r="B1858" t="s">
        <v>9866</v>
      </c>
      <c r="C1858">
        <v>1819</v>
      </c>
      <c r="D1858">
        <v>1</v>
      </c>
      <c r="E1858" s="23">
        <v>4</v>
      </c>
      <c r="F1858" t="s">
        <v>8102</v>
      </c>
      <c r="G1858" t="s">
        <v>10484</v>
      </c>
      <c r="H1858" t="s">
        <v>8021</v>
      </c>
      <c r="I1858">
        <f>_xlfn.LET(_xlpm.id,TRIM($A1858),IF(_xlpm.id="","",SUM(COUNTIF('1. OP'!$M:$M,_xlpm.id),COUNTIF('2. JSEL'!$M:$M,_xlpm.id),COUNTIF('3. PSM'!$M:$M,_xlpm.id),COUNTIF('4. SSP'!$M:$M,_xlpm.id),COUNTIF('5. JSACI'!$M:$M,_xlpm.id),COUNTIF('6. AIN'!$M:$M,_xlpm.id),COUNTIF('7. MS'!$M:$M,_xlpm.id),COUNTIF('8. DS'!$M:$M,_xlpm.id),COUNTIF('9. RMF'!$M:$M,_xlpm.id),COUNTIF('10. PCU'!$M:$M,_xlpm.id))))</f>
        <v>0</v>
      </c>
    </row>
    <row r="1859" spans="1:9">
      <c r="A1859" t="s">
        <v>9870</v>
      </c>
      <c r="B1859" t="s">
        <v>9866</v>
      </c>
      <c r="C1859">
        <v>1820</v>
      </c>
      <c r="D1859">
        <v>1</v>
      </c>
      <c r="E1859" s="23">
        <v>5</v>
      </c>
      <c r="F1859" t="s">
        <v>8102</v>
      </c>
      <c r="G1859" t="s">
        <v>10484</v>
      </c>
      <c r="H1859" t="s">
        <v>8021</v>
      </c>
      <c r="I1859">
        <f>_xlfn.LET(_xlpm.id,TRIM($A1859),IF(_xlpm.id="","",SUM(COUNTIF('1. OP'!$M:$M,_xlpm.id),COUNTIF('2. JSEL'!$M:$M,_xlpm.id),COUNTIF('3. PSM'!$M:$M,_xlpm.id),COUNTIF('4. SSP'!$M:$M,_xlpm.id),COUNTIF('5. JSACI'!$M:$M,_xlpm.id),COUNTIF('6. AIN'!$M:$M,_xlpm.id),COUNTIF('7. MS'!$M:$M,_xlpm.id),COUNTIF('8. DS'!$M:$M,_xlpm.id),COUNTIF('9. RMF'!$M:$M,_xlpm.id),COUNTIF('10. PCU'!$M:$M,_xlpm.id))))</f>
        <v>0</v>
      </c>
    </row>
    <row r="1860" spans="1:9">
      <c r="A1860" t="s">
        <v>9871</v>
      </c>
      <c r="B1860" t="s">
        <v>9866</v>
      </c>
      <c r="C1860">
        <v>1820</v>
      </c>
      <c r="D1860">
        <v>1</v>
      </c>
      <c r="E1860" s="23">
        <v>6</v>
      </c>
      <c r="F1860" t="s">
        <v>8102</v>
      </c>
      <c r="G1860" t="s">
        <v>10484</v>
      </c>
      <c r="H1860" t="s">
        <v>8021</v>
      </c>
      <c r="I1860">
        <f>_xlfn.LET(_xlpm.id,TRIM($A1860),IF(_xlpm.id="","",SUM(COUNTIF('1. OP'!$M:$M,_xlpm.id),COUNTIF('2. JSEL'!$M:$M,_xlpm.id),COUNTIF('3. PSM'!$M:$M,_xlpm.id),COUNTIF('4. SSP'!$M:$M,_xlpm.id),COUNTIF('5. JSACI'!$M:$M,_xlpm.id),COUNTIF('6. AIN'!$M:$M,_xlpm.id),COUNTIF('7. MS'!$M:$M,_xlpm.id),COUNTIF('8. DS'!$M:$M,_xlpm.id),COUNTIF('9. RMF'!$M:$M,_xlpm.id),COUNTIF('10. PCU'!$M:$M,_xlpm.id))))</f>
        <v>0</v>
      </c>
    </row>
    <row r="1861" spans="1:9">
      <c r="A1861" t="s">
        <v>9872</v>
      </c>
      <c r="B1861" t="s">
        <v>9866</v>
      </c>
      <c r="C1861">
        <v>1820</v>
      </c>
      <c r="D1861">
        <v>1</v>
      </c>
      <c r="E1861" s="23">
        <v>7</v>
      </c>
      <c r="F1861" t="s">
        <v>8102</v>
      </c>
      <c r="G1861" t="s">
        <v>10484</v>
      </c>
      <c r="H1861" t="s">
        <v>8021</v>
      </c>
      <c r="I1861">
        <f>_xlfn.LET(_xlpm.id,TRIM($A1861),IF(_xlpm.id="","",SUM(COUNTIF('1. OP'!$M:$M,_xlpm.id),COUNTIF('2. JSEL'!$M:$M,_xlpm.id),COUNTIF('3. PSM'!$M:$M,_xlpm.id),COUNTIF('4. SSP'!$M:$M,_xlpm.id),COUNTIF('5. JSACI'!$M:$M,_xlpm.id),COUNTIF('6. AIN'!$M:$M,_xlpm.id),COUNTIF('7. MS'!$M:$M,_xlpm.id),COUNTIF('8. DS'!$M:$M,_xlpm.id),COUNTIF('9. RMF'!$M:$M,_xlpm.id),COUNTIF('10. PCU'!$M:$M,_xlpm.id))))</f>
        <v>0</v>
      </c>
    </row>
    <row r="1862" spans="1:9">
      <c r="A1862" t="s">
        <v>9873</v>
      </c>
      <c r="B1862" t="s">
        <v>9866</v>
      </c>
      <c r="C1862">
        <v>1820</v>
      </c>
      <c r="D1862">
        <v>1</v>
      </c>
      <c r="E1862" s="23">
        <v>8</v>
      </c>
      <c r="F1862" t="s">
        <v>8102</v>
      </c>
      <c r="G1862" t="s">
        <v>10484</v>
      </c>
      <c r="H1862" t="s">
        <v>8021</v>
      </c>
      <c r="I1862">
        <f>_xlfn.LET(_xlpm.id,TRIM($A1862),IF(_xlpm.id="","",SUM(COUNTIF('1. OP'!$M:$M,_xlpm.id),COUNTIF('2. JSEL'!$M:$M,_xlpm.id),COUNTIF('3. PSM'!$M:$M,_xlpm.id),COUNTIF('4. SSP'!$M:$M,_xlpm.id),COUNTIF('5. JSACI'!$M:$M,_xlpm.id),COUNTIF('6. AIN'!$M:$M,_xlpm.id),COUNTIF('7. MS'!$M:$M,_xlpm.id),COUNTIF('8. DS'!$M:$M,_xlpm.id),COUNTIF('9. RMF'!$M:$M,_xlpm.id),COUNTIF('10. PCU'!$M:$M,_xlpm.id))))</f>
        <v>0</v>
      </c>
    </row>
    <row r="1863" spans="1:9">
      <c r="A1863" t="s">
        <v>9874</v>
      </c>
      <c r="B1863" t="s">
        <v>9866</v>
      </c>
      <c r="C1863">
        <v>1821</v>
      </c>
      <c r="D1863">
        <v>1</v>
      </c>
      <c r="E1863" s="23">
        <v>9</v>
      </c>
      <c r="F1863" t="s">
        <v>8102</v>
      </c>
      <c r="G1863" t="s">
        <v>10484</v>
      </c>
      <c r="H1863" t="s">
        <v>8021</v>
      </c>
      <c r="I1863">
        <f>_xlfn.LET(_xlpm.id,TRIM($A1863),IF(_xlpm.id="","",SUM(COUNTIF('1. OP'!$M:$M,_xlpm.id),COUNTIF('2. JSEL'!$M:$M,_xlpm.id),COUNTIF('3. PSM'!$M:$M,_xlpm.id),COUNTIF('4. SSP'!$M:$M,_xlpm.id),COUNTIF('5. JSACI'!$M:$M,_xlpm.id),COUNTIF('6. AIN'!$M:$M,_xlpm.id),COUNTIF('7. MS'!$M:$M,_xlpm.id),COUNTIF('8. DS'!$M:$M,_xlpm.id),COUNTIF('9. RMF'!$M:$M,_xlpm.id),COUNTIF('10. PCU'!$M:$M,_xlpm.id))))</f>
        <v>0</v>
      </c>
    </row>
    <row r="1864" spans="1:9">
      <c r="A1864" t="s">
        <v>9875</v>
      </c>
      <c r="B1864" t="s">
        <v>9866</v>
      </c>
      <c r="C1864">
        <v>1821</v>
      </c>
      <c r="D1864">
        <v>1</v>
      </c>
      <c r="E1864" s="23">
        <v>10</v>
      </c>
      <c r="F1864" t="s">
        <v>8102</v>
      </c>
      <c r="G1864" t="s">
        <v>10484</v>
      </c>
      <c r="H1864" t="s">
        <v>8021</v>
      </c>
      <c r="I1864">
        <f>_xlfn.LET(_xlpm.id,TRIM($A1864),IF(_xlpm.id="","",SUM(COUNTIF('1. OP'!$M:$M,_xlpm.id),COUNTIF('2. JSEL'!$M:$M,_xlpm.id),COUNTIF('3. PSM'!$M:$M,_xlpm.id),COUNTIF('4. SSP'!$M:$M,_xlpm.id),COUNTIF('5. JSACI'!$M:$M,_xlpm.id),COUNTIF('6. AIN'!$M:$M,_xlpm.id),COUNTIF('7. MS'!$M:$M,_xlpm.id),COUNTIF('8. DS'!$M:$M,_xlpm.id),COUNTIF('9. RMF'!$M:$M,_xlpm.id),COUNTIF('10. PCU'!$M:$M,_xlpm.id))))</f>
        <v>0</v>
      </c>
    </row>
    <row r="1865" spans="1:9">
      <c r="A1865" t="s">
        <v>9876</v>
      </c>
      <c r="B1865" t="s">
        <v>9866</v>
      </c>
      <c r="C1865">
        <v>1821</v>
      </c>
      <c r="D1865">
        <v>1</v>
      </c>
      <c r="E1865" s="23">
        <v>11</v>
      </c>
      <c r="F1865" t="s">
        <v>8102</v>
      </c>
      <c r="G1865" t="s">
        <v>10484</v>
      </c>
      <c r="H1865" t="s">
        <v>8021</v>
      </c>
      <c r="I1865">
        <f>_xlfn.LET(_xlpm.id,TRIM($A1865),IF(_xlpm.id="","",SUM(COUNTIF('1. OP'!$M:$M,_xlpm.id),COUNTIF('2. JSEL'!$M:$M,_xlpm.id),COUNTIF('3. PSM'!$M:$M,_xlpm.id),COUNTIF('4. SSP'!$M:$M,_xlpm.id),COUNTIF('5. JSACI'!$M:$M,_xlpm.id),COUNTIF('6. AIN'!$M:$M,_xlpm.id),COUNTIF('7. MS'!$M:$M,_xlpm.id),COUNTIF('8. DS'!$M:$M,_xlpm.id),COUNTIF('9. RMF'!$M:$M,_xlpm.id),COUNTIF('10. PCU'!$M:$M,_xlpm.id))))</f>
        <v>0</v>
      </c>
    </row>
    <row r="1866" spans="1:9">
      <c r="A1866" t="s">
        <v>9877</v>
      </c>
      <c r="B1866" t="s">
        <v>9866</v>
      </c>
      <c r="C1866">
        <v>1821</v>
      </c>
      <c r="D1866">
        <v>1</v>
      </c>
      <c r="E1866" s="23">
        <v>12</v>
      </c>
      <c r="F1866" t="s">
        <v>8102</v>
      </c>
      <c r="G1866" t="s">
        <v>10484</v>
      </c>
      <c r="H1866" t="s">
        <v>8021</v>
      </c>
      <c r="I1866">
        <f>_xlfn.LET(_xlpm.id,TRIM($A1866),IF(_xlpm.id="","",SUM(COUNTIF('1. OP'!$M:$M,_xlpm.id),COUNTIF('2. JSEL'!$M:$M,_xlpm.id),COUNTIF('3. PSM'!$M:$M,_xlpm.id),COUNTIF('4. SSP'!$M:$M,_xlpm.id),COUNTIF('5. JSACI'!$M:$M,_xlpm.id),COUNTIF('6. AIN'!$M:$M,_xlpm.id),COUNTIF('7. MS'!$M:$M,_xlpm.id),COUNTIF('8. DS'!$M:$M,_xlpm.id),COUNTIF('9. RMF'!$M:$M,_xlpm.id),COUNTIF('10. PCU'!$M:$M,_xlpm.id))))</f>
        <v>0</v>
      </c>
    </row>
    <row r="1867" spans="1:9">
      <c r="A1867" t="s">
        <v>9878</v>
      </c>
      <c r="B1867" t="s">
        <v>9866</v>
      </c>
      <c r="C1867">
        <v>1822</v>
      </c>
      <c r="D1867">
        <v>1</v>
      </c>
      <c r="E1867" s="23">
        <v>13</v>
      </c>
      <c r="F1867" t="s">
        <v>8102</v>
      </c>
      <c r="G1867" t="s">
        <v>10484</v>
      </c>
      <c r="H1867" t="s">
        <v>8021</v>
      </c>
      <c r="I1867">
        <f>_xlfn.LET(_xlpm.id,TRIM($A1867),IF(_xlpm.id="","",SUM(COUNTIF('1. OP'!$M:$M,_xlpm.id),COUNTIF('2. JSEL'!$M:$M,_xlpm.id),COUNTIF('3. PSM'!$M:$M,_xlpm.id),COUNTIF('4. SSP'!$M:$M,_xlpm.id),COUNTIF('5. JSACI'!$M:$M,_xlpm.id),COUNTIF('6. AIN'!$M:$M,_xlpm.id),COUNTIF('7. MS'!$M:$M,_xlpm.id),COUNTIF('8. DS'!$M:$M,_xlpm.id),COUNTIF('9. RMF'!$M:$M,_xlpm.id),COUNTIF('10. PCU'!$M:$M,_xlpm.id))))</f>
        <v>0</v>
      </c>
    </row>
    <row r="1868" spans="1:9">
      <c r="A1868" t="s">
        <v>9879</v>
      </c>
      <c r="B1868" t="s">
        <v>9866</v>
      </c>
      <c r="C1868">
        <v>1822</v>
      </c>
      <c r="D1868">
        <v>1</v>
      </c>
      <c r="E1868" s="23">
        <v>14</v>
      </c>
      <c r="F1868" t="s">
        <v>8102</v>
      </c>
      <c r="G1868" t="s">
        <v>10484</v>
      </c>
      <c r="H1868" t="s">
        <v>8021</v>
      </c>
      <c r="I1868">
        <f>_xlfn.LET(_xlpm.id,TRIM($A1868),IF(_xlpm.id="","",SUM(COUNTIF('1. OP'!$M:$M,_xlpm.id),COUNTIF('2. JSEL'!$M:$M,_xlpm.id),COUNTIF('3. PSM'!$M:$M,_xlpm.id),COUNTIF('4. SSP'!$M:$M,_xlpm.id),COUNTIF('5. JSACI'!$M:$M,_xlpm.id),COUNTIF('6. AIN'!$M:$M,_xlpm.id),COUNTIF('7. MS'!$M:$M,_xlpm.id),COUNTIF('8. DS'!$M:$M,_xlpm.id),COUNTIF('9. RMF'!$M:$M,_xlpm.id),COUNTIF('10. PCU'!$M:$M,_xlpm.id))))</f>
        <v>0</v>
      </c>
    </row>
    <row r="1869" spans="1:9">
      <c r="A1869" t="s">
        <v>9880</v>
      </c>
      <c r="B1869" t="s">
        <v>9866</v>
      </c>
      <c r="C1869">
        <v>1822</v>
      </c>
      <c r="D1869">
        <v>1</v>
      </c>
      <c r="E1869" s="23">
        <v>15</v>
      </c>
      <c r="F1869" t="s">
        <v>8102</v>
      </c>
      <c r="G1869" t="s">
        <v>10484</v>
      </c>
      <c r="H1869" t="s">
        <v>8021</v>
      </c>
      <c r="I1869">
        <f>_xlfn.LET(_xlpm.id,TRIM($A1869),IF(_xlpm.id="","",SUM(COUNTIF('1. OP'!$M:$M,_xlpm.id),COUNTIF('2. JSEL'!$M:$M,_xlpm.id),COUNTIF('3. PSM'!$M:$M,_xlpm.id),COUNTIF('4. SSP'!$M:$M,_xlpm.id),COUNTIF('5. JSACI'!$M:$M,_xlpm.id),COUNTIF('6. AIN'!$M:$M,_xlpm.id),COUNTIF('7. MS'!$M:$M,_xlpm.id),COUNTIF('8. DS'!$M:$M,_xlpm.id),COUNTIF('9. RMF'!$M:$M,_xlpm.id),COUNTIF('10. PCU'!$M:$M,_xlpm.id))))</f>
        <v>0</v>
      </c>
    </row>
    <row r="1870" spans="1:9">
      <c r="A1870" t="s">
        <v>9881</v>
      </c>
      <c r="B1870" t="s">
        <v>9866</v>
      </c>
      <c r="C1870">
        <v>1822</v>
      </c>
      <c r="D1870">
        <v>1</v>
      </c>
      <c r="E1870" s="23">
        <v>16</v>
      </c>
      <c r="F1870" t="s">
        <v>8102</v>
      </c>
      <c r="G1870" t="s">
        <v>10484</v>
      </c>
      <c r="H1870" t="s">
        <v>8021</v>
      </c>
      <c r="I1870">
        <f>_xlfn.LET(_xlpm.id,TRIM($A1870),IF(_xlpm.id="","",SUM(COUNTIF('1. OP'!$M:$M,_xlpm.id),COUNTIF('2. JSEL'!$M:$M,_xlpm.id),COUNTIF('3. PSM'!$M:$M,_xlpm.id),COUNTIF('4. SSP'!$M:$M,_xlpm.id),COUNTIF('5. JSACI'!$M:$M,_xlpm.id),COUNTIF('6. AIN'!$M:$M,_xlpm.id),COUNTIF('7. MS'!$M:$M,_xlpm.id),COUNTIF('8. DS'!$M:$M,_xlpm.id),COUNTIF('9. RMF'!$M:$M,_xlpm.id),COUNTIF('10. PCU'!$M:$M,_xlpm.id))))</f>
        <v>0</v>
      </c>
    </row>
    <row r="1871" spans="1:9">
      <c r="A1871" t="s">
        <v>9882</v>
      </c>
      <c r="B1871" t="s">
        <v>9866</v>
      </c>
      <c r="C1871">
        <v>1823</v>
      </c>
      <c r="D1871">
        <v>1</v>
      </c>
      <c r="E1871" s="23">
        <v>17</v>
      </c>
      <c r="F1871" t="s">
        <v>8102</v>
      </c>
      <c r="G1871" t="s">
        <v>10484</v>
      </c>
      <c r="H1871" t="s">
        <v>8021</v>
      </c>
      <c r="I1871">
        <f>_xlfn.LET(_xlpm.id,TRIM($A1871),IF(_xlpm.id="","",SUM(COUNTIF('1. OP'!$M:$M,_xlpm.id),COUNTIF('2. JSEL'!$M:$M,_xlpm.id),COUNTIF('3. PSM'!$M:$M,_xlpm.id),COUNTIF('4. SSP'!$M:$M,_xlpm.id),COUNTIF('5. JSACI'!$M:$M,_xlpm.id),COUNTIF('6. AIN'!$M:$M,_xlpm.id),COUNTIF('7. MS'!$M:$M,_xlpm.id),COUNTIF('8. DS'!$M:$M,_xlpm.id),COUNTIF('9. RMF'!$M:$M,_xlpm.id),COUNTIF('10. PCU'!$M:$M,_xlpm.id))))</f>
        <v>0</v>
      </c>
    </row>
    <row r="1872" spans="1:9">
      <c r="A1872" t="s">
        <v>9883</v>
      </c>
      <c r="B1872" t="s">
        <v>9866</v>
      </c>
      <c r="C1872">
        <v>1823</v>
      </c>
      <c r="D1872">
        <v>1</v>
      </c>
      <c r="E1872" s="23">
        <v>18</v>
      </c>
      <c r="F1872" t="s">
        <v>8102</v>
      </c>
      <c r="G1872" t="s">
        <v>10484</v>
      </c>
      <c r="H1872" t="s">
        <v>8021</v>
      </c>
      <c r="I1872">
        <f>_xlfn.LET(_xlpm.id,TRIM($A1872),IF(_xlpm.id="","",SUM(COUNTIF('1. OP'!$M:$M,_xlpm.id),COUNTIF('2. JSEL'!$M:$M,_xlpm.id),COUNTIF('3. PSM'!$M:$M,_xlpm.id),COUNTIF('4. SSP'!$M:$M,_xlpm.id),COUNTIF('5. JSACI'!$M:$M,_xlpm.id),COUNTIF('6. AIN'!$M:$M,_xlpm.id),COUNTIF('7. MS'!$M:$M,_xlpm.id),COUNTIF('8. DS'!$M:$M,_xlpm.id),COUNTIF('9. RMF'!$M:$M,_xlpm.id),COUNTIF('10. PCU'!$M:$M,_xlpm.id))))</f>
        <v>0</v>
      </c>
    </row>
    <row r="1873" spans="1:9">
      <c r="A1873" t="s">
        <v>9884</v>
      </c>
      <c r="B1873" t="s">
        <v>9866</v>
      </c>
      <c r="C1873">
        <v>1823</v>
      </c>
      <c r="D1873">
        <v>1</v>
      </c>
      <c r="E1873" s="23">
        <v>19</v>
      </c>
      <c r="F1873" t="s">
        <v>8102</v>
      </c>
      <c r="G1873" t="s">
        <v>10484</v>
      </c>
      <c r="H1873" t="s">
        <v>8021</v>
      </c>
      <c r="I1873">
        <f>_xlfn.LET(_xlpm.id,TRIM($A1873),IF(_xlpm.id="","",SUM(COUNTIF('1. OP'!$M:$M,_xlpm.id),COUNTIF('2. JSEL'!$M:$M,_xlpm.id),COUNTIF('3. PSM'!$M:$M,_xlpm.id),COUNTIF('4. SSP'!$M:$M,_xlpm.id),COUNTIF('5. JSACI'!$M:$M,_xlpm.id),COUNTIF('6. AIN'!$M:$M,_xlpm.id),COUNTIF('7. MS'!$M:$M,_xlpm.id),COUNTIF('8. DS'!$M:$M,_xlpm.id),COUNTIF('9. RMF'!$M:$M,_xlpm.id),COUNTIF('10. PCU'!$M:$M,_xlpm.id))))</f>
        <v>0</v>
      </c>
    </row>
    <row r="1874" spans="1:9">
      <c r="A1874" t="s">
        <v>9885</v>
      </c>
      <c r="B1874" t="s">
        <v>9866</v>
      </c>
      <c r="C1874">
        <v>1823</v>
      </c>
      <c r="D1874">
        <v>1</v>
      </c>
      <c r="E1874" s="23">
        <v>20</v>
      </c>
      <c r="F1874" t="s">
        <v>8102</v>
      </c>
      <c r="G1874" t="s">
        <v>10484</v>
      </c>
      <c r="H1874" t="s">
        <v>8021</v>
      </c>
      <c r="I1874">
        <f>_xlfn.LET(_xlpm.id,TRIM($A1874),IF(_xlpm.id="","",SUM(COUNTIF('1. OP'!$M:$M,_xlpm.id),COUNTIF('2. JSEL'!$M:$M,_xlpm.id),COUNTIF('3. PSM'!$M:$M,_xlpm.id),COUNTIF('4. SSP'!$M:$M,_xlpm.id),COUNTIF('5. JSACI'!$M:$M,_xlpm.id),COUNTIF('6. AIN'!$M:$M,_xlpm.id),COUNTIF('7. MS'!$M:$M,_xlpm.id),COUNTIF('8. DS'!$M:$M,_xlpm.id),COUNTIF('9. RMF'!$M:$M,_xlpm.id),COUNTIF('10. PCU'!$M:$M,_xlpm.id))))</f>
        <v>0</v>
      </c>
    </row>
    <row r="1875" spans="1:9">
      <c r="A1875" t="s">
        <v>7369</v>
      </c>
      <c r="B1875" t="s">
        <v>9866</v>
      </c>
      <c r="C1875">
        <v>1824</v>
      </c>
      <c r="D1875">
        <v>1</v>
      </c>
      <c r="E1875" s="23">
        <v>21</v>
      </c>
      <c r="F1875" t="s">
        <v>8102</v>
      </c>
      <c r="G1875" t="s">
        <v>10484</v>
      </c>
      <c r="H1875" t="s">
        <v>8021</v>
      </c>
      <c r="I1875">
        <f>_xlfn.LET(_xlpm.id,TRIM($A1875),IF(_xlpm.id="","",SUM(COUNTIF('1. OP'!$M:$M,_xlpm.id),COUNTIF('2. JSEL'!$M:$M,_xlpm.id),COUNTIF('3. PSM'!$M:$M,_xlpm.id),COUNTIF('4. SSP'!$M:$M,_xlpm.id),COUNTIF('5. JSACI'!$M:$M,_xlpm.id),COUNTIF('6. AIN'!$M:$M,_xlpm.id),COUNTIF('7. MS'!$M:$M,_xlpm.id),COUNTIF('8. DS'!$M:$M,_xlpm.id),COUNTIF('9. RMF'!$M:$M,_xlpm.id),COUNTIF('10. PCU'!$M:$M,_xlpm.id))))</f>
        <v>1</v>
      </c>
    </row>
    <row r="1876" spans="1:9">
      <c r="A1876" t="s">
        <v>9886</v>
      </c>
      <c r="B1876" t="s">
        <v>9866</v>
      </c>
      <c r="C1876">
        <v>1824</v>
      </c>
      <c r="D1876">
        <v>1</v>
      </c>
      <c r="E1876" s="23">
        <v>22</v>
      </c>
      <c r="F1876" t="s">
        <v>8102</v>
      </c>
      <c r="G1876" t="s">
        <v>10484</v>
      </c>
      <c r="H1876" t="s">
        <v>8021</v>
      </c>
      <c r="I1876">
        <f>_xlfn.LET(_xlpm.id,TRIM($A1876),IF(_xlpm.id="","",SUM(COUNTIF('1. OP'!$M:$M,_xlpm.id),COUNTIF('2. JSEL'!$M:$M,_xlpm.id),COUNTIF('3. PSM'!$M:$M,_xlpm.id),COUNTIF('4. SSP'!$M:$M,_xlpm.id),COUNTIF('5. JSACI'!$M:$M,_xlpm.id),COUNTIF('6. AIN'!$M:$M,_xlpm.id),COUNTIF('7. MS'!$M:$M,_xlpm.id),COUNTIF('8. DS'!$M:$M,_xlpm.id),COUNTIF('9. RMF'!$M:$M,_xlpm.id),COUNTIF('10. PCU'!$M:$M,_xlpm.id))))</f>
        <v>0</v>
      </c>
    </row>
    <row r="1877" spans="1:9">
      <c r="A1877" t="s">
        <v>9887</v>
      </c>
      <c r="B1877" t="s">
        <v>9866</v>
      </c>
      <c r="C1877">
        <v>1824</v>
      </c>
      <c r="D1877">
        <v>1</v>
      </c>
      <c r="E1877" s="23">
        <v>23</v>
      </c>
      <c r="F1877" t="s">
        <v>8102</v>
      </c>
      <c r="G1877" t="s">
        <v>10484</v>
      </c>
      <c r="H1877" t="s">
        <v>8021</v>
      </c>
      <c r="I1877">
        <f>_xlfn.LET(_xlpm.id,TRIM($A1877),IF(_xlpm.id="","",SUM(COUNTIF('1. OP'!$M:$M,_xlpm.id),COUNTIF('2. JSEL'!$M:$M,_xlpm.id),COUNTIF('3. PSM'!$M:$M,_xlpm.id),COUNTIF('4. SSP'!$M:$M,_xlpm.id),COUNTIF('5. JSACI'!$M:$M,_xlpm.id),COUNTIF('6. AIN'!$M:$M,_xlpm.id),COUNTIF('7. MS'!$M:$M,_xlpm.id),COUNTIF('8. DS'!$M:$M,_xlpm.id),COUNTIF('9. RMF'!$M:$M,_xlpm.id),COUNTIF('10. PCU'!$M:$M,_xlpm.id))))</f>
        <v>0</v>
      </c>
    </row>
    <row r="1878" spans="1:9">
      <c r="A1878" t="s">
        <v>9888</v>
      </c>
      <c r="B1878" t="s">
        <v>9866</v>
      </c>
      <c r="C1878">
        <v>1824</v>
      </c>
      <c r="D1878">
        <v>1</v>
      </c>
      <c r="E1878" s="23">
        <v>24</v>
      </c>
      <c r="F1878" t="s">
        <v>8102</v>
      </c>
      <c r="G1878" t="s">
        <v>10484</v>
      </c>
      <c r="H1878" t="s">
        <v>8021</v>
      </c>
      <c r="I1878">
        <f>_xlfn.LET(_xlpm.id,TRIM($A1878),IF(_xlpm.id="","",SUM(COUNTIF('1. OP'!$M:$M,_xlpm.id),COUNTIF('2. JSEL'!$M:$M,_xlpm.id),COUNTIF('3. PSM'!$M:$M,_xlpm.id),COUNTIF('4. SSP'!$M:$M,_xlpm.id),COUNTIF('5. JSACI'!$M:$M,_xlpm.id),COUNTIF('6. AIN'!$M:$M,_xlpm.id),COUNTIF('7. MS'!$M:$M,_xlpm.id),COUNTIF('8. DS'!$M:$M,_xlpm.id),COUNTIF('9. RMF'!$M:$M,_xlpm.id),COUNTIF('10. PCU'!$M:$M,_xlpm.id))))</f>
        <v>0</v>
      </c>
    </row>
    <row r="1879" spans="1:9">
      <c r="A1879" t="s">
        <v>9889</v>
      </c>
      <c r="B1879" t="s">
        <v>9866</v>
      </c>
      <c r="C1879">
        <v>1825</v>
      </c>
      <c r="D1879">
        <v>1</v>
      </c>
      <c r="E1879" s="23">
        <v>25</v>
      </c>
      <c r="F1879" t="s">
        <v>8102</v>
      </c>
      <c r="G1879" t="s">
        <v>10484</v>
      </c>
      <c r="H1879" t="s">
        <v>8021</v>
      </c>
      <c r="I1879">
        <f>_xlfn.LET(_xlpm.id,TRIM($A1879),IF(_xlpm.id="","",SUM(COUNTIF('1. OP'!$M:$M,_xlpm.id),COUNTIF('2. JSEL'!$M:$M,_xlpm.id),COUNTIF('3. PSM'!$M:$M,_xlpm.id),COUNTIF('4. SSP'!$M:$M,_xlpm.id),COUNTIF('5. JSACI'!$M:$M,_xlpm.id),COUNTIF('6. AIN'!$M:$M,_xlpm.id),COUNTIF('7. MS'!$M:$M,_xlpm.id),COUNTIF('8. DS'!$M:$M,_xlpm.id),COUNTIF('9. RMF'!$M:$M,_xlpm.id),COUNTIF('10. PCU'!$M:$M,_xlpm.id))))</f>
        <v>0</v>
      </c>
    </row>
    <row r="1880" spans="1:9">
      <c r="A1880" t="s">
        <v>8030</v>
      </c>
      <c r="B1880" t="s">
        <v>9866</v>
      </c>
      <c r="C1880">
        <v>1825</v>
      </c>
      <c r="D1880">
        <v>1</v>
      </c>
      <c r="E1880" s="23">
        <v>26</v>
      </c>
      <c r="F1880" t="s">
        <v>8102</v>
      </c>
      <c r="G1880" t="s">
        <v>10484</v>
      </c>
      <c r="H1880" t="s">
        <v>8021</v>
      </c>
      <c r="I1880">
        <f>_xlfn.LET(_xlpm.id,TRIM($A1880),IF(_xlpm.id="","",SUM(COUNTIF('1. OP'!$M:$M,_xlpm.id),COUNTIF('2. JSEL'!$M:$M,_xlpm.id),COUNTIF('3. PSM'!$M:$M,_xlpm.id),COUNTIF('4. SSP'!$M:$M,_xlpm.id),COUNTIF('5. JSACI'!$M:$M,_xlpm.id),COUNTIF('6. AIN'!$M:$M,_xlpm.id),COUNTIF('7. MS'!$M:$M,_xlpm.id),COUNTIF('8. DS'!$M:$M,_xlpm.id),COUNTIF('9. RMF'!$M:$M,_xlpm.id),COUNTIF('10. PCU'!$M:$M,_xlpm.id))))</f>
        <v>1</v>
      </c>
    </row>
    <row r="1881" spans="1:9">
      <c r="A1881" t="s">
        <v>9890</v>
      </c>
      <c r="B1881" t="s">
        <v>9866</v>
      </c>
      <c r="C1881">
        <v>1825</v>
      </c>
      <c r="D1881">
        <v>1</v>
      </c>
      <c r="E1881" s="23">
        <v>27</v>
      </c>
      <c r="F1881" t="s">
        <v>8102</v>
      </c>
      <c r="G1881" t="s">
        <v>10484</v>
      </c>
      <c r="H1881" t="s">
        <v>8021</v>
      </c>
      <c r="I1881">
        <f>_xlfn.LET(_xlpm.id,TRIM($A1881),IF(_xlpm.id="","",SUM(COUNTIF('1. OP'!$M:$M,_xlpm.id),COUNTIF('2. JSEL'!$M:$M,_xlpm.id),COUNTIF('3. PSM'!$M:$M,_xlpm.id),COUNTIF('4. SSP'!$M:$M,_xlpm.id),COUNTIF('5. JSACI'!$M:$M,_xlpm.id),COUNTIF('6. AIN'!$M:$M,_xlpm.id),COUNTIF('7. MS'!$M:$M,_xlpm.id),COUNTIF('8. DS'!$M:$M,_xlpm.id),COUNTIF('9. RMF'!$M:$M,_xlpm.id),COUNTIF('10. PCU'!$M:$M,_xlpm.id))))</f>
        <v>0</v>
      </c>
    </row>
    <row r="1882" spans="1:9">
      <c r="A1882" t="s">
        <v>9891</v>
      </c>
      <c r="B1882" t="s">
        <v>9866</v>
      </c>
      <c r="C1882">
        <v>1825</v>
      </c>
      <c r="D1882">
        <v>1</v>
      </c>
      <c r="E1882" s="23">
        <v>28</v>
      </c>
      <c r="F1882" t="s">
        <v>8102</v>
      </c>
      <c r="G1882" t="s">
        <v>10484</v>
      </c>
      <c r="H1882" t="s">
        <v>8021</v>
      </c>
      <c r="I1882">
        <f>_xlfn.LET(_xlpm.id,TRIM($A1882),IF(_xlpm.id="","",SUM(COUNTIF('1. OP'!$M:$M,_xlpm.id),COUNTIF('2. JSEL'!$M:$M,_xlpm.id),COUNTIF('3. PSM'!$M:$M,_xlpm.id),COUNTIF('4. SSP'!$M:$M,_xlpm.id),COUNTIF('5. JSACI'!$M:$M,_xlpm.id),COUNTIF('6. AIN'!$M:$M,_xlpm.id),COUNTIF('7. MS'!$M:$M,_xlpm.id),COUNTIF('8. DS'!$M:$M,_xlpm.id),COUNTIF('9. RMF'!$M:$M,_xlpm.id),COUNTIF('10. PCU'!$M:$M,_xlpm.id))))</f>
        <v>0</v>
      </c>
    </row>
    <row r="1883" spans="1:9">
      <c r="A1883" t="s">
        <v>9892</v>
      </c>
      <c r="B1883" t="s">
        <v>9866</v>
      </c>
      <c r="C1883">
        <v>1826</v>
      </c>
      <c r="D1883">
        <v>1</v>
      </c>
      <c r="E1883" s="23">
        <v>29</v>
      </c>
      <c r="F1883" t="s">
        <v>8102</v>
      </c>
      <c r="G1883" t="s">
        <v>10484</v>
      </c>
      <c r="H1883" t="s">
        <v>8021</v>
      </c>
      <c r="I1883">
        <f>_xlfn.LET(_xlpm.id,TRIM($A1883),IF(_xlpm.id="","",SUM(COUNTIF('1. OP'!$M:$M,_xlpm.id),COUNTIF('2. JSEL'!$M:$M,_xlpm.id),COUNTIF('3. PSM'!$M:$M,_xlpm.id),COUNTIF('4. SSP'!$M:$M,_xlpm.id),COUNTIF('5. JSACI'!$M:$M,_xlpm.id),COUNTIF('6. AIN'!$M:$M,_xlpm.id),COUNTIF('7. MS'!$M:$M,_xlpm.id),COUNTIF('8. DS'!$M:$M,_xlpm.id),COUNTIF('9. RMF'!$M:$M,_xlpm.id),COUNTIF('10. PCU'!$M:$M,_xlpm.id))))</f>
        <v>0</v>
      </c>
    </row>
    <row r="1884" spans="1:9">
      <c r="A1884" t="s">
        <v>9893</v>
      </c>
      <c r="B1884" t="s">
        <v>9866</v>
      </c>
      <c r="C1884">
        <v>1826</v>
      </c>
      <c r="D1884">
        <v>1</v>
      </c>
      <c r="E1884" s="23">
        <v>30</v>
      </c>
      <c r="F1884" t="s">
        <v>8102</v>
      </c>
      <c r="G1884" t="s">
        <v>10484</v>
      </c>
      <c r="H1884" t="s">
        <v>8021</v>
      </c>
      <c r="I1884">
        <f>_xlfn.LET(_xlpm.id,TRIM($A1884),IF(_xlpm.id="","",SUM(COUNTIF('1. OP'!$M:$M,_xlpm.id),COUNTIF('2. JSEL'!$M:$M,_xlpm.id),COUNTIF('3. PSM'!$M:$M,_xlpm.id),COUNTIF('4. SSP'!$M:$M,_xlpm.id),COUNTIF('5. JSACI'!$M:$M,_xlpm.id),COUNTIF('6. AIN'!$M:$M,_xlpm.id),COUNTIF('7. MS'!$M:$M,_xlpm.id),COUNTIF('8. DS'!$M:$M,_xlpm.id),COUNTIF('9. RMF'!$M:$M,_xlpm.id),COUNTIF('10. PCU'!$M:$M,_xlpm.id))))</f>
        <v>0</v>
      </c>
    </row>
    <row r="1885" spans="1:9">
      <c r="A1885" t="s">
        <v>9894</v>
      </c>
      <c r="B1885" t="s">
        <v>9866</v>
      </c>
      <c r="C1885">
        <v>1826</v>
      </c>
      <c r="D1885">
        <v>1</v>
      </c>
      <c r="E1885" s="23">
        <v>31</v>
      </c>
      <c r="F1885" t="s">
        <v>8102</v>
      </c>
      <c r="G1885" t="s">
        <v>10484</v>
      </c>
      <c r="H1885" t="s">
        <v>8021</v>
      </c>
      <c r="I1885">
        <f>_xlfn.LET(_xlpm.id,TRIM($A1885),IF(_xlpm.id="","",SUM(COUNTIF('1. OP'!$M:$M,_xlpm.id),COUNTIF('2. JSEL'!$M:$M,_xlpm.id),COUNTIF('3. PSM'!$M:$M,_xlpm.id),COUNTIF('4. SSP'!$M:$M,_xlpm.id),COUNTIF('5. JSACI'!$M:$M,_xlpm.id),COUNTIF('6. AIN'!$M:$M,_xlpm.id),COUNTIF('7. MS'!$M:$M,_xlpm.id),COUNTIF('8. DS'!$M:$M,_xlpm.id),COUNTIF('9. RMF'!$M:$M,_xlpm.id),COUNTIF('10. PCU'!$M:$M,_xlpm.id))))</f>
        <v>0</v>
      </c>
    </row>
    <row r="1886" spans="1:9">
      <c r="A1886" t="s">
        <v>9895</v>
      </c>
      <c r="B1886" t="s">
        <v>9866</v>
      </c>
      <c r="C1886">
        <v>1826</v>
      </c>
      <c r="D1886">
        <v>1</v>
      </c>
      <c r="E1886" s="23">
        <v>32</v>
      </c>
      <c r="F1886" t="s">
        <v>8102</v>
      </c>
      <c r="G1886" t="s">
        <v>10484</v>
      </c>
      <c r="H1886" t="s">
        <v>8021</v>
      </c>
      <c r="I1886">
        <f>_xlfn.LET(_xlpm.id,TRIM($A1886),IF(_xlpm.id="","",SUM(COUNTIF('1. OP'!$M:$M,_xlpm.id),COUNTIF('2. JSEL'!$M:$M,_xlpm.id),COUNTIF('3. PSM'!$M:$M,_xlpm.id),COUNTIF('4. SSP'!$M:$M,_xlpm.id),COUNTIF('5. JSACI'!$M:$M,_xlpm.id),COUNTIF('6. AIN'!$M:$M,_xlpm.id),COUNTIF('7. MS'!$M:$M,_xlpm.id),COUNTIF('8. DS'!$M:$M,_xlpm.id),COUNTIF('9. RMF'!$M:$M,_xlpm.id),COUNTIF('10. PCU'!$M:$M,_xlpm.id))))</f>
        <v>0</v>
      </c>
    </row>
    <row r="1887" spans="1:9">
      <c r="A1887" t="s">
        <v>5554</v>
      </c>
      <c r="B1887" t="s">
        <v>9866</v>
      </c>
      <c r="C1887">
        <v>1827</v>
      </c>
      <c r="D1887">
        <v>1</v>
      </c>
      <c r="E1887" s="23">
        <v>33</v>
      </c>
      <c r="F1887" t="s">
        <v>8102</v>
      </c>
      <c r="G1887" t="s">
        <v>10484</v>
      </c>
      <c r="H1887" t="s">
        <v>8021</v>
      </c>
      <c r="I1887">
        <f>_xlfn.LET(_xlpm.id,TRIM($A1887),IF(_xlpm.id="","",SUM(COUNTIF('1. OP'!$M:$M,_xlpm.id),COUNTIF('2. JSEL'!$M:$M,_xlpm.id),COUNTIF('3. PSM'!$M:$M,_xlpm.id),COUNTIF('4. SSP'!$M:$M,_xlpm.id),COUNTIF('5. JSACI'!$M:$M,_xlpm.id),COUNTIF('6. AIN'!$M:$M,_xlpm.id),COUNTIF('7. MS'!$M:$M,_xlpm.id),COUNTIF('8. DS'!$M:$M,_xlpm.id),COUNTIF('9. RMF'!$M:$M,_xlpm.id),COUNTIF('10. PCU'!$M:$M,_xlpm.id))))</f>
        <v>1</v>
      </c>
    </row>
    <row r="1888" spans="1:9">
      <c r="A1888" t="s">
        <v>9896</v>
      </c>
      <c r="B1888" t="s">
        <v>9866</v>
      </c>
      <c r="C1888">
        <v>1827</v>
      </c>
      <c r="D1888">
        <v>1</v>
      </c>
      <c r="E1888" s="23">
        <v>34</v>
      </c>
      <c r="F1888" t="s">
        <v>8102</v>
      </c>
      <c r="G1888" t="s">
        <v>10484</v>
      </c>
      <c r="H1888" t="s">
        <v>8021</v>
      </c>
      <c r="I1888">
        <f>_xlfn.LET(_xlpm.id,TRIM($A1888),IF(_xlpm.id="","",SUM(COUNTIF('1. OP'!$M:$M,_xlpm.id),COUNTIF('2. JSEL'!$M:$M,_xlpm.id),COUNTIF('3. PSM'!$M:$M,_xlpm.id),COUNTIF('4. SSP'!$M:$M,_xlpm.id),COUNTIF('5. JSACI'!$M:$M,_xlpm.id),COUNTIF('6. AIN'!$M:$M,_xlpm.id),COUNTIF('7. MS'!$M:$M,_xlpm.id),COUNTIF('8. DS'!$M:$M,_xlpm.id),COUNTIF('9. RMF'!$M:$M,_xlpm.id),COUNTIF('10. PCU'!$M:$M,_xlpm.id))))</f>
        <v>0</v>
      </c>
    </row>
    <row r="1889" spans="1:9">
      <c r="A1889" t="s">
        <v>9897</v>
      </c>
      <c r="B1889" t="s">
        <v>9866</v>
      </c>
      <c r="C1889">
        <v>1827</v>
      </c>
      <c r="D1889">
        <v>1</v>
      </c>
      <c r="E1889" s="23">
        <v>35</v>
      </c>
      <c r="F1889" t="s">
        <v>8102</v>
      </c>
      <c r="G1889" t="s">
        <v>10484</v>
      </c>
      <c r="H1889" t="s">
        <v>8021</v>
      </c>
      <c r="I1889">
        <f>_xlfn.LET(_xlpm.id,TRIM($A1889),IF(_xlpm.id="","",SUM(COUNTIF('1. OP'!$M:$M,_xlpm.id),COUNTIF('2. JSEL'!$M:$M,_xlpm.id),COUNTIF('3. PSM'!$M:$M,_xlpm.id),COUNTIF('4. SSP'!$M:$M,_xlpm.id),COUNTIF('5. JSACI'!$M:$M,_xlpm.id),COUNTIF('6. AIN'!$M:$M,_xlpm.id),COUNTIF('7. MS'!$M:$M,_xlpm.id),COUNTIF('8. DS'!$M:$M,_xlpm.id),COUNTIF('9. RMF'!$M:$M,_xlpm.id),COUNTIF('10. PCU'!$M:$M,_xlpm.id))))</f>
        <v>0</v>
      </c>
    </row>
    <row r="1890" spans="1:9">
      <c r="A1890" t="s">
        <v>9898</v>
      </c>
      <c r="B1890" t="s">
        <v>9866</v>
      </c>
      <c r="C1890">
        <v>1827</v>
      </c>
      <c r="D1890">
        <v>1</v>
      </c>
      <c r="E1890" s="23">
        <v>36</v>
      </c>
      <c r="F1890" t="s">
        <v>8102</v>
      </c>
      <c r="G1890" t="s">
        <v>10484</v>
      </c>
      <c r="H1890" t="s">
        <v>8021</v>
      </c>
      <c r="I1890">
        <f>_xlfn.LET(_xlpm.id,TRIM($A1890),IF(_xlpm.id="","",SUM(COUNTIF('1. OP'!$M:$M,_xlpm.id),COUNTIF('2. JSEL'!$M:$M,_xlpm.id),COUNTIF('3. PSM'!$M:$M,_xlpm.id),COUNTIF('4. SSP'!$M:$M,_xlpm.id),COUNTIF('5. JSACI'!$M:$M,_xlpm.id),COUNTIF('6. AIN'!$M:$M,_xlpm.id),COUNTIF('7. MS'!$M:$M,_xlpm.id),COUNTIF('8. DS'!$M:$M,_xlpm.id),COUNTIF('9. RMF'!$M:$M,_xlpm.id),COUNTIF('10. PCU'!$M:$M,_xlpm.id))))</f>
        <v>0</v>
      </c>
    </row>
    <row r="1891" spans="1:9">
      <c r="A1891" t="s">
        <v>9899</v>
      </c>
      <c r="B1891" t="s">
        <v>9866</v>
      </c>
      <c r="C1891">
        <v>1828</v>
      </c>
      <c r="D1891">
        <v>1</v>
      </c>
      <c r="E1891" s="23">
        <v>37</v>
      </c>
      <c r="F1891" t="s">
        <v>8102</v>
      </c>
      <c r="G1891" t="s">
        <v>10484</v>
      </c>
      <c r="H1891" t="s">
        <v>8021</v>
      </c>
      <c r="I1891">
        <f>_xlfn.LET(_xlpm.id,TRIM($A1891),IF(_xlpm.id="","",SUM(COUNTIF('1. OP'!$M:$M,_xlpm.id),COUNTIF('2. JSEL'!$M:$M,_xlpm.id),COUNTIF('3. PSM'!$M:$M,_xlpm.id),COUNTIF('4. SSP'!$M:$M,_xlpm.id),COUNTIF('5. JSACI'!$M:$M,_xlpm.id),COUNTIF('6. AIN'!$M:$M,_xlpm.id),COUNTIF('7. MS'!$M:$M,_xlpm.id),COUNTIF('8. DS'!$M:$M,_xlpm.id),COUNTIF('9. RMF'!$M:$M,_xlpm.id),COUNTIF('10. PCU'!$M:$M,_xlpm.id))))</f>
        <v>0</v>
      </c>
    </row>
    <row r="1892" spans="1:9">
      <c r="A1892" t="s">
        <v>9900</v>
      </c>
      <c r="B1892" t="s">
        <v>9866</v>
      </c>
      <c r="C1892">
        <v>1828</v>
      </c>
      <c r="D1892">
        <v>1</v>
      </c>
      <c r="E1892" s="23">
        <v>38</v>
      </c>
      <c r="F1892" t="s">
        <v>8102</v>
      </c>
      <c r="G1892" t="s">
        <v>10484</v>
      </c>
      <c r="H1892" t="s">
        <v>8021</v>
      </c>
      <c r="I1892">
        <f>_xlfn.LET(_xlpm.id,TRIM($A1892),IF(_xlpm.id="","",SUM(COUNTIF('1. OP'!$M:$M,_xlpm.id),COUNTIF('2. JSEL'!$M:$M,_xlpm.id),COUNTIF('3. PSM'!$M:$M,_xlpm.id),COUNTIF('4. SSP'!$M:$M,_xlpm.id),COUNTIF('5. JSACI'!$M:$M,_xlpm.id),COUNTIF('6. AIN'!$M:$M,_xlpm.id),COUNTIF('7. MS'!$M:$M,_xlpm.id),COUNTIF('8. DS'!$M:$M,_xlpm.id),COUNTIF('9. RMF'!$M:$M,_xlpm.id),COUNTIF('10. PCU'!$M:$M,_xlpm.id))))</f>
        <v>0</v>
      </c>
    </row>
    <row r="1893" spans="1:9">
      <c r="A1893" t="s">
        <v>9901</v>
      </c>
      <c r="B1893" t="s">
        <v>9866</v>
      </c>
      <c r="C1893">
        <v>1828</v>
      </c>
      <c r="D1893">
        <v>1</v>
      </c>
      <c r="E1893" s="23">
        <v>39</v>
      </c>
      <c r="F1893" t="s">
        <v>8102</v>
      </c>
      <c r="G1893" t="s">
        <v>10484</v>
      </c>
      <c r="H1893" t="s">
        <v>8021</v>
      </c>
      <c r="I1893">
        <f>_xlfn.LET(_xlpm.id,TRIM($A1893),IF(_xlpm.id="","",SUM(COUNTIF('1. OP'!$M:$M,_xlpm.id),COUNTIF('2. JSEL'!$M:$M,_xlpm.id),COUNTIF('3. PSM'!$M:$M,_xlpm.id),COUNTIF('4. SSP'!$M:$M,_xlpm.id),COUNTIF('5. JSACI'!$M:$M,_xlpm.id),COUNTIF('6. AIN'!$M:$M,_xlpm.id),COUNTIF('7. MS'!$M:$M,_xlpm.id),COUNTIF('8. DS'!$M:$M,_xlpm.id),COUNTIF('9. RMF'!$M:$M,_xlpm.id),COUNTIF('10. PCU'!$M:$M,_xlpm.id))))</f>
        <v>0</v>
      </c>
    </row>
    <row r="1894" spans="1:9">
      <c r="A1894" t="s">
        <v>9902</v>
      </c>
      <c r="B1894" t="s">
        <v>9866</v>
      </c>
      <c r="C1894">
        <v>1828</v>
      </c>
      <c r="D1894">
        <v>1</v>
      </c>
      <c r="E1894" s="23">
        <v>40</v>
      </c>
      <c r="F1894" t="s">
        <v>8102</v>
      </c>
      <c r="G1894" t="s">
        <v>10484</v>
      </c>
      <c r="H1894" t="s">
        <v>8021</v>
      </c>
      <c r="I1894">
        <f>_xlfn.LET(_xlpm.id,TRIM($A1894),IF(_xlpm.id="","",SUM(COUNTIF('1. OP'!$M:$M,_xlpm.id),COUNTIF('2. JSEL'!$M:$M,_xlpm.id),COUNTIF('3. PSM'!$M:$M,_xlpm.id),COUNTIF('4. SSP'!$M:$M,_xlpm.id),COUNTIF('5. JSACI'!$M:$M,_xlpm.id),COUNTIF('6. AIN'!$M:$M,_xlpm.id),COUNTIF('7. MS'!$M:$M,_xlpm.id),COUNTIF('8. DS'!$M:$M,_xlpm.id),COUNTIF('9. RMF'!$M:$M,_xlpm.id),COUNTIF('10. PCU'!$M:$M,_xlpm.id))))</f>
        <v>0</v>
      </c>
    </row>
    <row r="1895" spans="1:9">
      <c r="A1895" t="s">
        <v>9903</v>
      </c>
      <c r="B1895" t="s">
        <v>9866</v>
      </c>
      <c r="C1895">
        <v>1829</v>
      </c>
      <c r="D1895">
        <v>1</v>
      </c>
      <c r="E1895" s="23">
        <v>41</v>
      </c>
      <c r="F1895" t="s">
        <v>8102</v>
      </c>
      <c r="G1895" t="s">
        <v>10484</v>
      </c>
      <c r="H1895" t="s">
        <v>8021</v>
      </c>
      <c r="I1895">
        <f>_xlfn.LET(_xlpm.id,TRIM($A1895),IF(_xlpm.id="","",SUM(COUNTIF('1. OP'!$M:$M,_xlpm.id),COUNTIF('2. JSEL'!$M:$M,_xlpm.id),COUNTIF('3. PSM'!$M:$M,_xlpm.id),COUNTIF('4. SSP'!$M:$M,_xlpm.id),COUNTIF('5. JSACI'!$M:$M,_xlpm.id),COUNTIF('6. AIN'!$M:$M,_xlpm.id),COUNTIF('7. MS'!$M:$M,_xlpm.id),COUNTIF('8. DS'!$M:$M,_xlpm.id),COUNTIF('9. RMF'!$M:$M,_xlpm.id),COUNTIF('10. PCU'!$M:$M,_xlpm.id))))</f>
        <v>0</v>
      </c>
    </row>
    <row r="1896" spans="1:9">
      <c r="A1896" t="s">
        <v>9904</v>
      </c>
      <c r="B1896" t="s">
        <v>9866</v>
      </c>
      <c r="C1896">
        <v>1829</v>
      </c>
      <c r="D1896">
        <v>1</v>
      </c>
      <c r="E1896" s="23">
        <v>42</v>
      </c>
      <c r="F1896" t="s">
        <v>8102</v>
      </c>
      <c r="G1896" t="s">
        <v>10484</v>
      </c>
      <c r="H1896" t="s">
        <v>8021</v>
      </c>
      <c r="I1896">
        <f>_xlfn.LET(_xlpm.id,TRIM($A1896),IF(_xlpm.id="","",SUM(COUNTIF('1. OP'!$M:$M,_xlpm.id),COUNTIF('2. JSEL'!$M:$M,_xlpm.id),COUNTIF('3. PSM'!$M:$M,_xlpm.id),COUNTIF('4. SSP'!$M:$M,_xlpm.id),COUNTIF('5. JSACI'!$M:$M,_xlpm.id),COUNTIF('6. AIN'!$M:$M,_xlpm.id),COUNTIF('7. MS'!$M:$M,_xlpm.id),COUNTIF('8. DS'!$M:$M,_xlpm.id),COUNTIF('9. RMF'!$M:$M,_xlpm.id),COUNTIF('10. PCU'!$M:$M,_xlpm.id))))</f>
        <v>0</v>
      </c>
    </row>
    <row r="1897" spans="1:9">
      <c r="A1897" t="s">
        <v>9905</v>
      </c>
      <c r="B1897" t="s">
        <v>9866</v>
      </c>
      <c r="C1897">
        <v>1829</v>
      </c>
      <c r="D1897">
        <v>1</v>
      </c>
      <c r="E1897" s="23">
        <v>43</v>
      </c>
      <c r="F1897" t="s">
        <v>8102</v>
      </c>
      <c r="G1897" t="s">
        <v>10484</v>
      </c>
      <c r="H1897" t="s">
        <v>8021</v>
      </c>
      <c r="I1897">
        <f>_xlfn.LET(_xlpm.id,TRIM($A1897),IF(_xlpm.id="","",SUM(COUNTIF('1. OP'!$M:$M,_xlpm.id),COUNTIF('2. JSEL'!$M:$M,_xlpm.id),COUNTIF('3. PSM'!$M:$M,_xlpm.id),COUNTIF('4. SSP'!$M:$M,_xlpm.id),COUNTIF('5. JSACI'!$M:$M,_xlpm.id),COUNTIF('6. AIN'!$M:$M,_xlpm.id),COUNTIF('7. MS'!$M:$M,_xlpm.id),COUNTIF('8. DS'!$M:$M,_xlpm.id),COUNTIF('9. RMF'!$M:$M,_xlpm.id),COUNTIF('10. PCU'!$M:$M,_xlpm.id))))</f>
        <v>0</v>
      </c>
    </row>
    <row r="1898" spans="1:9">
      <c r="A1898" t="s">
        <v>9906</v>
      </c>
      <c r="B1898" t="s">
        <v>9866</v>
      </c>
      <c r="C1898">
        <v>1829</v>
      </c>
      <c r="D1898">
        <v>1</v>
      </c>
      <c r="E1898" s="23">
        <v>44</v>
      </c>
      <c r="F1898" t="s">
        <v>8102</v>
      </c>
      <c r="G1898" t="s">
        <v>10484</v>
      </c>
      <c r="H1898" t="s">
        <v>8021</v>
      </c>
      <c r="I1898">
        <f>_xlfn.LET(_xlpm.id,TRIM($A1898),IF(_xlpm.id="","",SUM(COUNTIF('1. OP'!$M:$M,_xlpm.id),COUNTIF('2. JSEL'!$M:$M,_xlpm.id),COUNTIF('3. PSM'!$M:$M,_xlpm.id),COUNTIF('4. SSP'!$M:$M,_xlpm.id),COUNTIF('5. JSACI'!$M:$M,_xlpm.id),COUNTIF('6. AIN'!$M:$M,_xlpm.id),COUNTIF('7. MS'!$M:$M,_xlpm.id),COUNTIF('8. DS'!$M:$M,_xlpm.id),COUNTIF('9. RMF'!$M:$M,_xlpm.id),COUNTIF('10. PCU'!$M:$M,_xlpm.id))))</f>
        <v>0</v>
      </c>
    </row>
    <row r="1899" spans="1:9">
      <c r="A1899" t="s">
        <v>9907</v>
      </c>
      <c r="B1899" t="s">
        <v>9866</v>
      </c>
      <c r="C1899">
        <v>1830</v>
      </c>
      <c r="D1899">
        <v>1</v>
      </c>
      <c r="E1899" s="23">
        <v>45</v>
      </c>
      <c r="F1899" t="s">
        <v>8102</v>
      </c>
      <c r="G1899" t="s">
        <v>10484</v>
      </c>
      <c r="H1899" t="s">
        <v>8021</v>
      </c>
      <c r="I1899">
        <f>_xlfn.LET(_xlpm.id,TRIM($A1899),IF(_xlpm.id="","",SUM(COUNTIF('1. OP'!$M:$M,_xlpm.id),COUNTIF('2. JSEL'!$M:$M,_xlpm.id),COUNTIF('3. PSM'!$M:$M,_xlpm.id),COUNTIF('4. SSP'!$M:$M,_xlpm.id),COUNTIF('5. JSACI'!$M:$M,_xlpm.id),COUNTIF('6. AIN'!$M:$M,_xlpm.id),COUNTIF('7. MS'!$M:$M,_xlpm.id),COUNTIF('8. DS'!$M:$M,_xlpm.id),COUNTIF('9. RMF'!$M:$M,_xlpm.id),COUNTIF('10. PCU'!$M:$M,_xlpm.id))))</f>
        <v>0</v>
      </c>
    </row>
    <row r="1900" spans="1:9">
      <c r="A1900" t="s">
        <v>9908</v>
      </c>
      <c r="B1900" t="s">
        <v>9866</v>
      </c>
      <c r="C1900">
        <v>1830</v>
      </c>
      <c r="D1900">
        <v>1</v>
      </c>
      <c r="E1900" s="23">
        <v>46</v>
      </c>
      <c r="F1900" t="s">
        <v>8102</v>
      </c>
      <c r="G1900" t="s">
        <v>10484</v>
      </c>
      <c r="H1900" t="s">
        <v>8021</v>
      </c>
      <c r="I1900">
        <f>_xlfn.LET(_xlpm.id,TRIM($A1900),IF(_xlpm.id="","",SUM(COUNTIF('1. OP'!$M:$M,_xlpm.id),COUNTIF('2. JSEL'!$M:$M,_xlpm.id),COUNTIF('3. PSM'!$M:$M,_xlpm.id),COUNTIF('4. SSP'!$M:$M,_xlpm.id),COUNTIF('5. JSACI'!$M:$M,_xlpm.id),COUNTIF('6. AIN'!$M:$M,_xlpm.id),COUNTIF('7. MS'!$M:$M,_xlpm.id),COUNTIF('8. DS'!$M:$M,_xlpm.id),COUNTIF('9. RMF'!$M:$M,_xlpm.id),COUNTIF('10. PCU'!$M:$M,_xlpm.id))))</f>
        <v>0</v>
      </c>
    </row>
    <row r="1901" spans="1:9">
      <c r="A1901" t="s">
        <v>9909</v>
      </c>
      <c r="B1901" t="s">
        <v>9866</v>
      </c>
      <c r="C1901">
        <v>1830</v>
      </c>
      <c r="D1901">
        <v>1</v>
      </c>
      <c r="E1901" s="23">
        <v>47</v>
      </c>
      <c r="F1901" t="s">
        <v>8102</v>
      </c>
      <c r="G1901" t="s">
        <v>10484</v>
      </c>
      <c r="H1901" t="s">
        <v>8021</v>
      </c>
      <c r="I1901">
        <f>_xlfn.LET(_xlpm.id,TRIM($A1901),IF(_xlpm.id="","",SUM(COUNTIF('1. OP'!$M:$M,_xlpm.id),COUNTIF('2. JSEL'!$M:$M,_xlpm.id),COUNTIF('3. PSM'!$M:$M,_xlpm.id),COUNTIF('4. SSP'!$M:$M,_xlpm.id),COUNTIF('5. JSACI'!$M:$M,_xlpm.id),COUNTIF('6. AIN'!$M:$M,_xlpm.id),COUNTIF('7. MS'!$M:$M,_xlpm.id),COUNTIF('8. DS'!$M:$M,_xlpm.id),COUNTIF('9. RMF'!$M:$M,_xlpm.id),COUNTIF('10. PCU'!$M:$M,_xlpm.id))))</f>
        <v>0</v>
      </c>
    </row>
    <row r="1902" spans="1:9">
      <c r="A1902" t="s">
        <v>9910</v>
      </c>
      <c r="B1902" t="s">
        <v>9866</v>
      </c>
      <c r="C1902">
        <v>1830</v>
      </c>
      <c r="D1902">
        <v>1</v>
      </c>
      <c r="E1902" s="23">
        <v>48</v>
      </c>
      <c r="F1902" t="s">
        <v>8102</v>
      </c>
      <c r="G1902" t="s">
        <v>10484</v>
      </c>
      <c r="H1902" t="s">
        <v>8021</v>
      </c>
      <c r="I1902">
        <f>_xlfn.LET(_xlpm.id,TRIM($A1902),IF(_xlpm.id="","",SUM(COUNTIF('1. OP'!$M:$M,_xlpm.id),COUNTIF('2. JSEL'!$M:$M,_xlpm.id),COUNTIF('3. PSM'!$M:$M,_xlpm.id),COUNTIF('4. SSP'!$M:$M,_xlpm.id),COUNTIF('5. JSACI'!$M:$M,_xlpm.id),COUNTIF('6. AIN'!$M:$M,_xlpm.id),COUNTIF('7. MS'!$M:$M,_xlpm.id),COUNTIF('8. DS'!$M:$M,_xlpm.id),COUNTIF('9. RMF'!$M:$M,_xlpm.id),COUNTIF('10. PCU'!$M:$M,_xlpm.id))))</f>
        <v>0</v>
      </c>
    </row>
    <row r="1903" spans="1:9">
      <c r="A1903" t="s">
        <v>9911</v>
      </c>
      <c r="B1903" t="s">
        <v>9866</v>
      </c>
      <c r="C1903">
        <v>1831</v>
      </c>
      <c r="D1903">
        <v>1</v>
      </c>
      <c r="E1903" s="23">
        <v>49</v>
      </c>
      <c r="F1903" t="s">
        <v>8102</v>
      </c>
      <c r="G1903" t="s">
        <v>10484</v>
      </c>
      <c r="H1903" t="s">
        <v>8021</v>
      </c>
      <c r="I1903">
        <f>_xlfn.LET(_xlpm.id,TRIM($A1903),IF(_xlpm.id="","",SUM(COUNTIF('1. OP'!$M:$M,_xlpm.id),COUNTIF('2. JSEL'!$M:$M,_xlpm.id),COUNTIF('3. PSM'!$M:$M,_xlpm.id),COUNTIF('4. SSP'!$M:$M,_xlpm.id),COUNTIF('5. JSACI'!$M:$M,_xlpm.id),COUNTIF('6. AIN'!$M:$M,_xlpm.id),COUNTIF('7. MS'!$M:$M,_xlpm.id),COUNTIF('8. DS'!$M:$M,_xlpm.id),COUNTIF('9. RMF'!$M:$M,_xlpm.id),COUNTIF('10. PCU'!$M:$M,_xlpm.id))))</f>
        <v>0</v>
      </c>
    </row>
    <row r="1904" spans="1:9">
      <c r="A1904" t="s">
        <v>9912</v>
      </c>
      <c r="B1904" t="s">
        <v>9866</v>
      </c>
      <c r="C1904">
        <v>1831</v>
      </c>
      <c r="D1904">
        <v>1</v>
      </c>
      <c r="E1904" s="23">
        <v>50</v>
      </c>
      <c r="F1904" t="s">
        <v>8102</v>
      </c>
      <c r="G1904" t="s">
        <v>10484</v>
      </c>
      <c r="H1904" t="s">
        <v>8021</v>
      </c>
      <c r="I1904">
        <f>_xlfn.LET(_xlpm.id,TRIM($A1904),IF(_xlpm.id="","",SUM(COUNTIF('1. OP'!$M:$M,_xlpm.id),COUNTIF('2. JSEL'!$M:$M,_xlpm.id),COUNTIF('3. PSM'!$M:$M,_xlpm.id),COUNTIF('4. SSP'!$M:$M,_xlpm.id),COUNTIF('5. JSACI'!$M:$M,_xlpm.id),COUNTIF('6. AIN'!$M:$M,_xlpm.id),COUNTIF('7. MS'!$M:$M,_xlpm.id),COUNTIF('8. DS'!$M:$M,_xlpm.id),COUNTIF('9. RMF'!$M:$M,_xlpm.id),COUNTIF('10. PCU'!$M:$M,_xlpm.id))))</f>
        <v>0</v>
      </c>
    </row>
    <row r="1905" spans="1:9">
      <c r="A1905" t="s">
        <v>9913</v>
      </c>
      <c r="B1905" t="s">
        <v>9866</v>
      </c>
      <c r="C1905">
        <v>1831</v>
      </c>
      <c r="D1905">
        <v>1</v>
      </c>
      <c r="E1905" s="23">
        <v>51</v>
      </c>
      <c r="F1905" t="s">
        <v>8102</v>
      </c>
      <c r="G1905" t="s">
        <v>10484</v>
      </c>
      <c r="H1905" t="s">
        <v>8021</v>
      </c>
      <c r="I1905">
        <f>_xlfn.LET(_xlpm.id,TRIM($A1905),IF(_xlpm.id="","",SUM(COUNTIF('1. OP'!$M:$M,_xlpm.id),COUNTIF('2. JSEL'!$M:$M,_xlpm.id),COUNTIF('3. PSM'!$M:$M,_xlpm.id),COUNTIF('4. SSP'!$M:$M,_xlpm.id),COUNTIF('5. JSACI'!$M:$M,_xlpm.id),COUNTIF('6. AIN'!$M:$M,_xlpm.id),COUNTIF('7. MS'!$M:$M,_xlpm.id),COUNTIF('8. DS'!$M:$M,_xlpm.id),COUNTIF('9. RMF'!$M:$M,_xlpm.id),COUNTIF('10. PCU'!$M:$M,_xlpm.id))))</f>
        <v>0</v>
      </c>
    </row>
    <row r="1906" spans="1:9">
      <c r="A1906" t="s">
        <v>9914</v>
      </c>
      <c r="B1906" t="s">
        <v>9866</v>
      </c>
      <c r="C1906">
        <v>1831</v>
      </c>
      <c r="D1906">
        <v>1</v>
      </c>
      <c r="E1906" s="23">
        <v>52</v>
      </c>
      <c r="F1906" t="s">
        <v>8102</v>
      </c>
      <c r="G1906" t="s">
        <v>10484</v>
      </c>
      <c r="H1906" t="s">
        <v>8021</v>
      </c>
      <c r="I1906">
        <f>_xlfn.LET(_xlpm.id,TRIM($A1906),IF(_xlpm.id="","",SUM(COUNTIF('1. OP'!$M:$M,_xlpm.id),COUNTIF('2. JSEL'!$M:$M,_xlpm.id),COUNTIF('3. PSM'!$M:$M,_xlpm.id),COUNTIF('4. SSP'!$M:$M,_xlpm.id),COUNTIF('5. JSACI'!$M:$M,_xlpm.id),COUNTIF('6. AIN'!$M:$M,_xlpm.id),COUNTIF('7. MS'!$M:$M,_xlpm.id),COUNTIF('8. DS'!$M:$M,_xlpm.id),COUNTIF('9. RMF'!$M:$M,_xlpm.id),COUNTIF('10. PCU'!$M:$M,_xlpm.id))))</f>
        <v>0</v>
      </c>
    </row>
    <row r="1907" spans="1:9">
      <c r="A1907" t="s">
        <v>9915</v>
      </c>
      <c r="B1907" t="s">
        <v>9866</v>
      </c>
      <c r="C1907">
        <v>1832</v>
      </c>
      <c r="D1907">
        <v>1</v>
      </c>
      <c r="E1907" s="23">
        <v>53</v>
      </c>
      <c r="F1907" t="s">
        <v>8102</v>
      </c>
      <c r="G1907" t="s">
        <v>10484</v>
      </c>
      <c r="H1907" t="s">
        <v>8021</v>
      </c>
      <c r="I1907">
        <f>_xlfn.LET(_xlpm.id,TRIM($A1907),IF(_xlpm.id="","",SUM(COUNTIF('1. OP'!$M:$M,_xlpm.id),COUNTIF('2. JSEL'!$M:$M,_xlpm.id),COUNTIF('3. PSM'!$M:$M,_xlpm.id),COUNTIF('4. SSP'!$M:$M,_xlpm.id),COUNTIF('5. JSACI'!$M:$M,_xlpm.id),COUNTIF('6. AIN'!$M:$M,_xlpm.id),COUNTIF('7. MS'!$M:$M,_xlpm.id),COUNTIF('8. DS'!$M:$M,_xlpm.id),COUNTIF('9. RMF'!$M:$M,_xlpm.id),COUNTIF('10. PCU'!$M:$M,_xlpm.id))))</f>
        <v>0</v>
      </c>
    </row>
    <row r="1908" spans="1:9">
      <c r="A1908" t="s">
        <v>9916</v>
      </c>
      <c r="B1908" t="s">
        <v>9866</v>
      </c>
      <c r="C1908">
        <v>1832</v>
      </c>
      <c r="D1908">
        <v>1</v>
      </c>
      <c r="E1908" s="23">
        <v>54</v>
      </c>
      <c r="F1908" t="s">
        <v>8102</v>
      </c>
      <c r="G1908" t="s">
        <v>10484</v>
      </c>
      <c r="H1908" t="s">
        <v>8021</v>
      </c>
      <c r="I1908">
        <f>_xlfn.LET(_xlpm.id,TRIM($A1908),IF(_xlpm.id="","",SUM(COUNTIF('1. OP'!$M:$M,_xlpm.id),COUNTIF('2. JSEL'!$M:$M,_xlpm.id),COUNTIF('3. PSM'!$M:$M,_xlpm.id),COUNTIF('4. SSP'!$M:$M,_xlpm.id),COUNTIF('5. JSACI'!$M:$M,_xlpm.id),COUNTIF('6. AIN'!$M:$M,_xlpm.id),COUNTIF('7. MS'!$M:$M,_xlpm.id),COUNTIF('8. DS'!$M:$M,_xlpm.id),COUNTIF('9. RMF'!$M:$M,_xlpm.id),COUNTIF('10. PCU'!$M:$M,_xlpm.id))))</f>
        <v>0</v>
      </c>
    </row>
    <row r="1909" spans="1:9">
      <c r="A1909" t="s">
        <v>9917</v>
      </c>
      <c r="B1909" t="s">
        <v>9866</v>
      </c>
      <c r="C1909">
        <v>1832</v>
      </c>
      <c r="D1909">
        <v>1</v>
      </c>
      <c r="E1909" s="23">
        <v>55</v>
      </c>
      <c r="F1909" t="s">
        <v>8102</v>
      </c>
      <c r="G1909" t="s">
        <v>10484</v>
      </c>
      <c r="H1909" t="s">
        <v>8021</v>
      </c>
      <c r="I1909">
        <f>_xlfn.LET(_xlpm.id,TRIM($A1909),IF(_xlpm.id="","",SUM(COUNTIF('1. OP'!$M:$M,_xlpm.id),COUNTIF('2. JSEL'!$M:$M,_xlpm.id),COUNTIF('3. PSM'!$M:$M,_xlpm.id),COUNTIF('4. SSP'!$M:$M,_xlpm.id),COUNTIF('5. JSACI'!$M:$M,_xlpm.id),COUNTIF('6. AIN'!$M:$M,_xlpm.id),COUNTIF('7. MS'!$M:$M,_xlpm.id),COUNTIF('8. DS'!$M:$M,_xlpm.id),COUNTIF('9. RMF'!$M:$M,_xlpm.id),COUNTIF('10. PCU'!$M:$M,_xlpm.id))))</f>
        <v>0</v>
      </c>
    </row>
    <row r="1910" spans="1:9">
      <c r="A1910" t="s">
        <v>9918</v>
      </c>
      <c r="B1910" t="s">
        <v>9866</v>
      </c>
      <c r="C1910">
        <v>1832</v>
      </c>
      <c r="D1910">
        <v>1</v>
      </c>
      <c r="E1910" s="23">
        <v>56</v>
      </c>
      <c r="F1910" t="s">
        <v>8102</v>
      </c>
      <c r="G1910" t="s">
        <v>10484</v>
      </c>
      <c r="H1910" t="s">
        <v>8021</v>
      </c>
      <c r="I1910">
        <f>_xlfn.LET(_xlpm.id,TRIM($A1910),IF(_xlpm.id="","",SUM(COUNTIF('1. OP'!$M:$M,_xlpm.id),COUNTIF('2. JSEL'!$M:$M,_xlpm.id),COUNTIF('3. PSM'!$M:$M,_xlpm.id),COUNTIF('4. SSP'!$M:$M,_xlpm.id),COUNTIF('5. JSACI'!$M:$M,_xlpm.id),COUNTIF('6. AIN'!$M:$M,_xlpm.id),COUNTIF('7. MS'!$M:$M,_xlpm.id),COUNTIF('8. DS'!$M:$M,_xlpm.id),COUNTIF('9. RMF'!$M:$M,_xlpm.id),COUNTIF('10. PCU'!$M:$M,_xlpm.id))))</f>
        <v>0</v>
      </c>
    </row>
    <row r="1911" spans="1:9">
      <c r="A1911" t="s">
        <v>9919</v>
      </c>
      <c r="B1911" t="s">
        <v>9866</v>
      </c>
      <c r="C1911">
        <v>1833</v>
      </c>
      <c r="D1911">
        <v>1</v>
      </c>
      <c r="E1911" s="23">
        <v>57</v>
      </c>
      <c r="F1911" t="s">
        <v>8102</v>
      </c>
      <c r="G1911" t="s">
        <v>10484</v>
      </c>
      <c r="H1911" t="s">
        <v>8021</v>
      </c>
      <c r="I1911">
        <f>_xlfn.LET(_xlpm.id,TRIM($A1911),IF(_xlpm.id="","",SUM(COUNTIF('1. OP'!$M:$M,_xlpm.id),COUNTIF('2. JSEL'!$M:$M,_xlpm.id),COUNTIF('3. PSM'!$M:$M,_xlpm.id),COUNTIF('4. SSP'!$M:$M,_xlpm.id),COUNTIF('5. JSACI'!$M:$M,_xlpm.id),COUNTIF('6. AIN'!$M:$M,_xlpm.id),COUNTIF('7. MS'!$M:$M,_xlpm.id),COUNTIF('8. DS'!$M:$M,_xlpm.id),COUNTIF('9. RMF'!$M:$M,_xlpm.id),COUNTIF('10. PCU'!$M:$M,_xlpm.id))))</f>
        <v>0</v>
      </c>
    </row>
    <row r="1912" spans="1:9">
      <c r="A1912" t="s">
        <v>9920</v>
      </c>
      <c r="B1912" t="s">
        <v>9866</v>
      </c>
      <c r="C1912">
        <v>1833</v>
      </c>
      <c r="D1912">
        <v>1</v>
      </c>
      <c r="E1912" s="23">
        <v>58</v>
      </c>
      <c r="F1912" t="s">
        <v>8102</v>
      </c>
      <c r="G1912" t="s">
        <v>10484</v>
      </c>
      <c r="H1912" t="s">
        <v>8021</v>
      </c>
      <c r="I1912">
        <f>_xlfn.LET(_xlpm.id,TRIM($A1912),IF(_xlpm.id="","",SUM(COUNTIF('1. OP'!$M:$M,_xlpm.id),COUNTIF('2. JSEL'!$M:$M,_xlpm.id),COUNTIF('3. PSM'!$M:$M,_xlpm.id),COUNTIF('4. SSP'!$M:$M,_xlpm.id),COUNTIF('5. JSACI'!$M:$M,_xlpm.id),COUNTIF('6. AIN'!$M:$M,_xlpm.id),COUNTIF('7. MS'!$M:$M,_xlpm.id),COUNTIF('8. DS'!$M:$M,_xlpm.id),COUNTIF('9. RMF'!$M:$M,_xlpm.id),COUNTIF('10. PCU'!$M:$M,_xlpm.id))))</f>
        <v>0</v>
      </c>
    </row>
    <row r="1913" spans="1:9">
      <c r="A1913" t="s">
        <v>9921</v>
      </c>
      <c r="B1913" t="s">
        <v>9866</v>
      </c>
      <c r="C1913">
        <v>1833</v>
      </c>
      <c r="D1913">
        <v>1</v>
      </c>
      <c r="E1913" s="23">
        <v>59</v>
      </c>
      <c r="F1913" t="s">
        <v>8102</v>
      </c>
      <c r="G1913" t="s">
        <v>10484</v>
      </c>
      <c r="H1913" t="s">
        <v>8021</v>
      </c>
      <c r="I1913">
        <f>_xlfn.LET(_xlpm.id,TRIM($A1913),IF(_xlpm.id="","",SUM(COUNTIF('1. OP'!$M:$M,_xlpm.id),COUNTIF('2. JSEL'!$M:$M,_xlpm.id),COUNTIF('3. PSM'!$M:$M,_xlpm.id),COUNTIF('4. SSP'!$M:$M,_xlpm.id),COUNTIF('5. JSACI'!$M:$M,_xlpm.id),COUNTIF('6. AIN'!$M:$M,_xlpm.id),COUNTIF('7. MS'!$M:$M,_xlpm.id),COUNTIF('8. DS'!$M:$M,_xlpm.id),COUNTIF('9. RMF'!$M:$M,_xlpm.id),COUNTIF('10. PCU'!$M:$M,_xlpm.id))))</f>
        <v>0</v>
      </c>
    </row>
    <row r="1914" spans="1:9">
      <c r="A1914" t="s">
        <v>9922</v>
      </c>
      <c r="B1914" t="s">
        <v>9866</v>
      </c>
      <c r="C1914">
        <v>1833</v>
      </c>
      <c r="D1914">
        <v>1</v>
      </c>
      <c r="E1914" s="23">
        <v>60</v>
      </c>
      <c r="F1914" t="s">
        <v>8102</v>
      </c>
      <c r="G1914" t="s">
        <v>10484</v>
      </c>
      <c r="H1914" t="s">
        <v>8021</v>
      </c>
      <c r="I1914">
        <f>_xlfn.LET(_xlpm.id,TRIM($A1914),IF(_xlpm.id="","",SUM(COUNTIF('1. OP'!$M:$M,_xlpm.id),COUNTIF('2. JSEL'!$M:$M,_xlpm.id),COUNTIF('3. PSM'!$M:$M,_xlpm.id),COUNTIF('4. SSP'!$M:$M,_xlpm.id),COUNTIF('5. JSACI'!$M:$M,_xlpm.id),COUNTIF('6. AIN'!$M:$M,_xlpm.id),COUNTIF('7. MS'!$M:$M,_xlpm.id),COUNTIF('8. DS'!$M:$M,_xlpm.id),COUNTIF('9. RMF'!$M:$M,_xlpm.id),COUNTIF('10. PCU'!$M:$M,_xlpm.id))))</f>
        <v>0</v>
      </c>
    </row>
    <row r="1915" spans="1:9">
      <c r="A1915" t="s">
        <v>9923</v>
      </c>
      <c r="B1915" t="s">
        <v>9924</v>
      </c>
      <c r="C1915">
        <v>1795</v>
      </c>
      <c r="D1915">
        <v>1</v>
      </c>
      <c r="E1915" s="23">
        <v>1</v>
      </c>
      <c r="F1915" t="s">
        <v>9151</v>
      </c>
      <c r="G1915" t="s">
        <v>10495</v>
      </c>
      <c r="H1915" t="s">
        <v>8036</v>
      </c>
      <c r="I1915">
        <f>_xlfn.LET(_xlpm.id,TRIM($A1915),IF(_xlpm.id="","",SUM(COUNTIF('1. OP'!$M:$M,_xlpm.id),COUNTIF('2. JSEL'!$M:$M,_xlpm.id),COUNTIF('3. PSM'!$M:$M,_xlpm.id),COUNTIF('4. SSP'!$M:$M,_xlpm.id),COUNTIF('5. JSACI'!$M:$M,_xlpm.id),COUNTIF('6. AIN'!$M:$M,_xlpm.id),COUNTIF('7. MS'!$M:$M,_xlpm.id),COUNTIF('8. DS'!$M:$M,_xlpm.id),COUNTIF('9. RMF'!$M:$M,_xlpm.id),COUNTIF('10. PCU'!$M:$M,_xlpm.id))))</f>
        <v>0</v>
      </c>
    </row>
    <row r="1916" spans="1:9">
      <c r="A1916" t="s">
        <v>9925</v>
      </c>
      <c r="B1916" t="s">
        <v>9924</v>
      </c>
      <c r="C1916">
        <v>1796</v>
      </c>
      <c r="D1916">
        <v>1</v>
      </c>
      <c r="E1916" s="23">
        <v>2</v>
      </c>
      <c r="F1916" t="s">
        <v>9151</v>
      </c>
      <c r="G1916" t="s">
        <v>10495</v>
      </c>
      <c r="H1916" t="s">
        <v>8036</v>
      </c>
      <c r="I1916">
        <f>_xlfn.LET(_xlpm.id,TRIM($A1916),IF(_xlpm.id="","",SUM(COUNTIF('1. OP'!$M:$M,_xlpm.id),COUNTIF('2. JSEL'!$M:$M,_xlpm.id),COUNTIF('3. PSM'!$M:$M,_xlpm.id),COUNTIF('4. SSP'!$M:$M,_xlpm.id),COUNTIF('5. JSACI'!$M:$M,_xlpm.id),COUNTIF('6. AIN'!$M:$M,_xlpm.id),COUNTIF('7. MS'!$M:$M,_xlpm.id),COUNTIF('8. DS'!$M:$M,_xlpm.id),COUNTIF('9. RMF'!$M:$M,_xlpm.id),COUNTIF('10. PCU'!$M:$M,_xlpm.id))))</f>
        <v>0</v>
      </c>
    </row>
    <row r="1917" spans="1:9">
      <c r="A1917" t="s">
        <v>9926</v>
      </c>
      <c r="B1917" t="s">
        <v>9924</v>
      </c>
      <c r="C1917">
        <v>1797</v>
      </c>
      <c r="D1917">
        <v>1</v>
      </c>
      <c r="E1917" s="23">
        <v>3</v>
      </c>
      <c r="F1917" t="s">
        <v>9151</v>
      </c>
      <c r="G1917" t="s">
        <v>10495</v>
      </c>
      <c r="H1917" t="s">
        <v>8036</v>
      </c>
      <c r="I1917">
        <f>_xlfn.LET(_xlpm.id,TRIM($A1917),IF(_xlpm.id="","",SUM(COUNTIF('1. OP'!$M:$M,_xlpm.id),COUNTIF('2. JSEL'!$M:$M,_xlpm.id),COUNTIF('3. PSM'!$M:$M,_xlpm.id),COUNTIF('4. SSP'!$M:$M,_xlpm.id),COUNTIF('5. JSACI'!$M:$M,_xlpm.id),COUNTIF('6. AIN'!$M:$M,_xlpm.id),COUNTIF('7. MS'!$M:$M,_xlpm.id),COUNTIF('8. DS'!$M:$M,_xlpm.id),COUNTIF('9. RMF'!$M:$M,_xlpm.id),COUNTIF('10. PCU'!$M:$M,_xlpm.id))))</f>
        <v>0</v>
      </c>
    </row>
    <row r="1918" spans="1:9">
      <c r="A1918" t="s">
        <v>9927</v>
      </c>
      <c r="B1918" t="s">
        <v>9924</v>
      </c>
      <c r="C1918">
        <v>1797</v>
      </c>
      <c r="D1918">
        <v>1</v>
      </c>
      <c r="E1918" s="23">
        <v>4</v>
      </c>
      <c r="F1918" t="s">
        <v>9151</v>
      </c>
      <c r="G1918" t="s">
        <v>10495</v>
      </c>
      <c r="H1918" t="s">
        <v>8036</v>
      </c>
      <c r="I1918">
        <f>_xlfn.LET(_xlpm.id,TRIM($A1918),IF(_xlpm.id="","",SUM(COUNTIF('1. OP'!$M:$M,_xlpm.id),COUNTIF('2. JSEL'!$M:$M,_xlpm.id),COUNTIF('3. PSM'!$M:$M,_xlpm.id),COUNTIF('4. SSP'!$M:$M,_xlpm.id),COUNTIF('5. JSACI'!$M:$M,_xlpm.id),COUNTIF('6. AIN'!$M:$M,_xlpm.id),COUNTIF('7. MS'!$M:$M,_xlpm.id),COUNTIF('8. DS'!$M:$M,_xlpm.id),COUNTIF('9. RMF'!$M:$M,_xlpm.id),COUNTIF('10. PCU'!$M:$M,_xlpm.id))))</f>
        <v>0</v>
      </c>
    </row>
    <row r="1919" spans="1:9">
      <c r="A1919" t="s">
        <v>9928</v>
      </c>
      <c r="B1919" t="s">
        <v>9924</v>
      </c>
      <c r="C1919">
        <v>1797</v>
      </c>
      <c r="D1919">
        <v>1</v>
      </c>
      <c r="E1919" s="23">
        <v>5</v>
      </c>
      <c r="F1919" t="s">
        <v>9151</v>
      </c>
      <c r="G1919" t="s">
        <v>10495</v>
      </c>
      <c r="H1919" t="s">
        <v>8036</v>
      </c>
      <c r="I1919">
        <f>_xlfn.LET(_xlpm.id,TRIM($A1919),IF(_xlpm.id="","",SUM(COUNTIF('1. OP'!$M:$M,_xlpm.id),COUNTIF('2. JSEL'!$M:$M,_xlpm.id),COUNTIF('3. PSM'!$M:$M,_xlpm.id),COUNTIF('4. SSP'!$M:$M,_xlpm.id),COUNTIF('5. JSACI'!$M:$M,_xlpm.id),COUNTIF('6. AIN'!$M:$M,_xlpm.id),COUNTIF('7. MS'!$M:$M,_xlpm.id),COUNTIF('8. DS'!$M:$M,_xlpm.id),COUNTIF('9. RMF'!$M:$M,_xlpm.id),COUNTIF('10. PCU'!$M:$M,_xlpm.id))))</f>
        <v>0</v>
      </c>
    </row>
    <row r="1920" spans="1:9">
      <c r="A1920" t="s">
        <v>9929</v>
      </c>
      <c r="B1920" t="s">
        <v>9924</v>
      </c>
      <c r="C1920">
        <v>1798</v>
      </c>
      <c r="D1920">
        <v>1</v>
      </c>
      <c r="E1920" s="23">
        <v>6</v>
      </c>
      <c r="F1920" t="s">
        <v>9151</v>
      </c>
      <c r="G1920" t="s">
        <v>10495</v>
      </c>
      <c r="H1920" t="s">
        <v>8036</v>
      </c>
      <c r="I1920">
        <f>_xlfn.LET(_xlpm.id,TRIM($A1920),IF(_xlpm.id="","",SUM(COUNTIF('1. OP'!$M:$M,_xlpm.id),COUNTIF('2. JSEL'!$M:$M,_xlpm.id),COUNTIF('3. PSM'!$M:$M,_xlpm.id),COUNTIF('4. SSP'!$M:$M,_xlpm.id),COUNTIF('5. JSACI'!$M:$M,_xlpm.id),COUNTIF('6. AIN'!$M:$M,_xlpm.id),COUNTIF('7. MS'!$M:$M,_xlpm.id),COUNTIF('8. DS'!$M:$M,_xlpm.id),COUNTIF('9. RMF'!$M:$M,_xlpm.id),COUNTIF('10. PCU'!$M:$M,_xlpm.id))))</f>
        <v>0</v>
      </c>
    </row>
    <row r="1921" spans="1:9">
      <c r="A1921" t="s">
        <v>9930</v>
      </c>
      <c r="B1921" t="s">
        <v>9924</v>
      </c>
      <c r="C1921">
        <v>1799</v>
      </c>
      <c r="D1921">
        <v>1</v>
      </c>
      <c r="E1921" s="23">
        <v>7</v>
      </c>
      <c r="F1921" t="s">
        <v>9151</v>
      </c>
      <c r="G1921" t="s">
        <v>10495</v>
      </c>
      <c r="H1921" t="s">
        <v>8036</v>
      </c>
      <c r="I1921">
        <f>_xlfn.LET(_xlpm.id,TRIM($A1921),IF(_xlpm.id="","",SUM(COUNTIF('1. OP'!$M:$M,_xlpm.id),COUNTIF('2. JSEL'!$M:$M,_xlpm.id),COUNTIF('3. PSM'!$M:$M,_xlpm.id),COUNTIF('4. SSP'!$M:$M,_xlpm.id),COUNTIF('5. JSACI'!$M:$M,_xlpm.id),COUNTIF('6. AIN'!$M:$M,_xlpm.id),COUNTIF('7. MS'!$M:$M,_xlpm.id),COUNTIF('8. DS'!$M:$M,_xlpm.id),COUNTIF('9. RMF'!$M:$M,_xlpm.id),COUNTIF('10. PCU'!$M:$M,_xlpm.id))))</f>
        <v>0</v>
      </c>
    </row>
    <row r="1922" spans="1:9">
      <c r="A1922" t="s">
        <v>9931</v>
      </c>
      <c r="B1922" t="s">
        <v>9924</v>
      </c>
      <c r="C1922">
        <v>1799</v>
      </c>
      <c r="D1922">
        <v>1</v>
      </c>
      <c r="E1922" s="23">
        <v>8</v>
      </c>
      <c r="F1922" t="s">
        <v>9151</v>
      </c>
      <c r="G1922" t="s">
        <v>10495</v>
      </c>
      <c r="H1922" t="s">
        <v>8036</v>
      </c>
      <c r="I1922">
        <f>_xlfn.LET(_xlpm.id,TRIM($A1922),IF(_xlpm.id="","",SUM(COUNTIF('1. OP'!$M:$M,_xlpm.id),COUNTIF('2. JSEL'!$M:$M,_xlpm.id),COUNTIF('3. PSM'!$M:$M,_xlpm.id),COUNTIF('4. SSP'!$M:$M,_xlpm.id),COUNTIF('5. JSACI'!$M:$M,_xlpm.id),COUNTIF('6. AIN'!$M:$M,_xlpm.id),COUNTIF('7. MS'!$M:$M,_xlpm.id),COUNTIF('8. DS'!$M:$M,_xlpm.id),COUNTIF('9. RMF'!$M:$M,_xlpm.id),COUNTIF('10. PCU'!$M:$M,_xlpm.id))))</f>
        <v>0</v>
      </c>
    </row>
    <row r="1923" spans="1:9">
      <c r="A1923" t="s">
        <v>9932</v>
      </c>
      <c r="B1923" t="s">
        <v>9924</v>
      </c>
      <c r="C1923">
        <v>1800</v>
      </c>
      <c r="D1923">
        <v>1</v>
      </c>
      <c r="E1923" s="23">
        <v>9</v>
      </c>
      <c r="F1923" t="s">
        <v>9151</v>
      </c>
      <c r="G1923" t="s">
        <v>10495</v>
      </c>
      <c r="H1923" t="s">
        <v>8036</v>
      </c>
      <c r="I1923">
        <f>_xlfn.LET(_xlpm.id,TRIM($A1923),IF(_xlpm.id="","",SUM(COUNTIF('1. OP'!$M:$M,_xlpm.id),COUNTIF('2. JSEL'!$M:$M,_xlpm.id),COUNTIF('3. PSM'!$M:$M,_xlpm.id),COUNTIF('4. SSP'!$M:$M,_xlpm.id),COUNTIF('5. JSACI'!$M:$M,_xlpm.id),COUNTIF('6. AIN'!$M:$M,_xlpm.id),COUNTIF('7. MS'!$M:$M,_xlpm.id),COUNTIF('8. DS'!$M:$M,_xlpm.id),COUNTIF('9. RMF'!$M:$M,_xlpm.id),COUNTIF('10. PCU'!$M:$M,_xlpm.id))))</f>
        <v>0</v>
      </c>
    </row>
    <row r="1924" spans="1:9">
      <c r="A1924" t="s">
        <v>9933</v>
      </c>
      <c r="B1924" t="s">
        <v>9924</v>
      </c>
      <c r="C1924">
        <v>1800</v>
      </c>
      <c r="D1924">
        <v>1</v>
      </c>
      <c r="E1924" s="23">
        <v>10</v>
      </c>
      <c r="F1924" t="s">
        <v>9151</v>
      </c>
      <c r="G1924" t="s">
        <v>10495</v>
      </c>
      <c r="H1924" t="s">
        <v>8036</v>
      </c>
      <c r="I1924">
        <f>_xlfn.LET(_xlpm.id,TRIM($A1924),IF(_xlpm.id="","",SUM(COUNTIF('1. OP'!$M:$M,_xlpm.id),COUNTIF('2. JSEL'!$M:$M,_xlpm.id),COUNTIF('3. PSM'!$M:$M,_xlpm.id),COUNTIF('4. SSP'!$M:$M,_xlpm.id),COUNTIF('5. JSACI'!$M:$M,_xlpm.id),COUNTIF('6. AIN'!$M:$M,_xlpm.id),COUNTIF('7. MS'!$M:$M,_xlpm.id),COUNTIF('8. DS'!$M:$M,_xlpm.id),COUNTIF('9. RMF'!$M:$M,_xlpm.id),COUNTIF('10. PCU'!$M:$M,_xlpm.id))))</f>
        <v>0</v>
      </c>
    </row>
    <row r="1925" spans="1:9">
      <c r="A1925" t="s">
        <v>9934</v>
      </c>
      <c r="B1925" t="s">
        <v>9924</v>
      </c>
      <c r="C1925">
        <v>1800</v>
      </c>
      <c r="D1925">
        <v>1</v>
      </c>
      <c r="E1925" s="23">
        <v>11</v>
      </c>
      <c r="F1925" t="s">
        <v>9151</v>
      </c>
      <c r="G1925" t="s">
        <v>10495</v>
      </c>
      <c r="H1925" t="s">
        <v>8036</v>
      </c>
      <c r="I1925">
        <f>_xlfn.LET(_xlpm.id,TRIM($A1925),IF(_xlpm.id="","",SUM(COUNTIF('1. OP'!$M:$M,_xlpm.id),COUNTIF('2. JSEL'!$M:$M,_xlpm.id),COUNTIF('3. PSM'!$M:$M,_xlpm.id),COUNTIF('4. SSP'!$M:$M,_xlpm.id),COUNTIF('5. JSACI'!$M:$M,_xlpm.id),COUNTIF('6. AIN'!$M:$M,_xlpm.id),COUNTIF('7. MS'!$M:$M,_xlpm.id),COUNTIF('8. DS'!$M:$M,_xlpm.id),COUNTIF('9. RMF'!$M:$M,_xlpm.id),COUNTIF('10. PCU'!$M:$M,_xlpm.id))))</f>
        <v>0</v>
      </c>
    </row>
    <row r="1926" spans="1:9">
      <c r="A1926" t="s">
        <v>9935</v>
      </c>
      <c r="B1926" t="s">
        <v>9924</v>
      </c>
      <c r="C1926">
        <v>1801</v>
      </c>
      <c r="D1926">
        <v>1</v>
      </c>
      <c r="E1926" s="23">
        <v>12</v>
      </c>
      <c r="F1926" t="s">
        <v>9151</v>
      </c>
      <c r="G1926" t="s">
        <v>10495</v>
      </c>
      <c r="H1926" t="s">
        <v>8036</v>
      </c>
      <c r="I1926">
        <f>_xlfn.LET(_xlpm.id,TRIM($A1926),IF(_xlpm.id="","",SUM(COUNTIF('1. OP'!$M:$M,_xlpm.id),COUNTIF('2. JSEL'!$M:$M,_xlpm.id),COUNTIF('3. PSM'!$M:$M,_xlpm.id),COUNTIF('4. SSP'!$M:$M,_xlpm.id),COUNTIF('5. JSACI'!$M:$M,_xlpm.id),COUNTIF('6. AIN'!$M:$M,_xlpm.id),COUNTIF('7. MS'!$M:$M,_xlpm.id),COUNTIF('8. DS'!$M:$M,_xlpm.id),COUNTIF('9. RMF'!$M:$M,_xlpm.id),COUNTIF('10. PCU'!$M:$M,_xlpm.id))))</f>
        <v>0</v>
      </c>
    </row>
    <row r="1927" spans="1:9">
      <c r="A1927" t="s">
        <v>9936</v>
      </c>
      <c r="B1927" t="s">
        <v>9924</v>
      </c>
      <c r="C1927">
        <v>1801</v>
      </c>
      <c r="D1927">
        <v>1</v>
      </c>
      <c r="E1927" s="23">
        <v>13</v>
      </c>
      <c r="F1927" t="s">
        <v>9151</v>
      </c>
      <c r="G1927" t="s">
        <v>10495</v>
      </c>
      <c r="H1927" t="s">
        <v>8036</v>
      </c>
      <c r="I1927">
        <f>_xlfn.LET(_xlpm.id,TRIM($A1927),IF(_xlpm.id="","",SUM(COUNTIF('1. OP'!$M:$M,_xlpm.id),COUNTIF('2. JSEL'!$M:$M,_xlpm.id),COUNTIF('3. PSM'!$M:$M,_xlpm.id),COUNTIF('4. SSP'!$M:$M,_xlpm.id),COUNTIF('5. JSACI'!$M:$M,_xlpm.id),COUNTIF('6. AIN'!$M:$M,_xlpm.id),COUNTIF('7. MS'!$M:$M,_xlpm.id),COUNTIF('8. DS'!$M:$M,_xlpm.id),COUNTIF('9. RMF'!$M:$M,_xlpm.id),COUNTIF('10. PCU'!$M:$M,_xlpm.id))))</f>
        <v>0</v>
      </c>
    </row>
    <row r="1928" spans="1:9">
      <c r="A1928" t="s">
        <v>9937</v>
      </c>
      <c r="B1928" t="s">
        <v>9924</v>
      </c>
      <c r="C1928">
        <v>1802</v>
      </c>
      <c r="D1928">
        <v>1</v>
      </c>
      <c r="E1928" s="23">
        <v>14</v>
      </c>
      <c r="F1928" t="s">
        <v>9151</v>
      </c>
      <c r="G1928" t="s">
        <v>10495</v>
      </c>
      <c r="H1928" t="s">
        <v>8036</v>
      </c>
      <c r="I1928">
        <f>_xlfn.LET(_xlpm.id,TRIM($A1928),IF(_xlpm.id="","",SUM(COUNTIF('1. OP'!$M:$M,_xlpm.id),COUNTIF('2. JSEL'!$M:$M,_xlpm.id),COUNTIF('3. PSM'!$M:$M,_xlpm.id),COUNTIF('4. SSP'!$M:$M,_xlpm.id),COUNTIF('5. JSACI'!$M:$M,_xlpm.id),COUNTIF('6. AIN'!$M:$M,_xlpm.id),COUNTIF('7. MS'!$M:$M,_xlpm.id),COUNTIF('8. DS'!$M:$M,_xlpm.id),COUNTIF('9. RMF'!$M:$M,_xlpm.id),COUNTIF('10. PCU'!$M:$M,_xlpm.id))))</f>
        <v>0</v>
      </c>
    </row>
    <row r="1929" spans="1:9">
      <c r="A1929" t="s">
        <v>9938</v>
      </c>
      <c r="B1929" t="s">
        <v>9924</v>
      </c>
      <c r="C1929">
        <v>1802</v>
      </c>
      <c r="D1929">
        <v>1</v>
      </c>
      <c r="E1929" s="23">
        <v>15</v>
      </c>
      <c r="F1929" t="s">
        <v>9151</v>
      </c>
      <c r="G1929" t="s">
        <v>10495</v>
      </c>
      <c r="H1929" t="s">
        <v>8036</v>
      </c>
      <c r="I1929">
        <f>_xlfn.LET(_xlpm.id,TRIM($A1929),IF(_xlpm.id="","",SUM(COUNTIF('1. OP'!$M:$M,_xlpm.id),COUNTIF('2. JSEL'!$M:$M,_xlpm.id),COUNTIF('3. PSM'!$M:$M,_xlpm.id),COUNTIF('4. SSP'!$M:$M,_xlpm.id),COUNTIF('5. JSACI'!$M:$M,_xlpm.id),COUNTIF('6. AIN'!$M:$M,_xlpm.id),COUNTIF('7. MS'!$M:$M,_xlpm.id),COUNTIF('8. DS'!$M:$M,_xlpm.id),COUNTIF('9. RMF'!$M:$M,_xlpm.id),COUNTIF('10. PCU'!$M:$M,_xlpm.id))))</f>
        <v>0</v>
      </c>
    </row>
    <row r="1930" spans="1:9">
      <c r="A1930" t="s">
        <v>9939</v>
      </c>
      <c r="B1930" t="s">
        <v>9924</v>
      </c>
      <c r="C1930">
        <v>1803</v>
      </c>
      <c r="D1930">
        <v>1</v>
      </c>
      <c r="E1930" s="23">
        <v>16</v>
      </c>
      <c r="F1930" t="s">
        <v>9151</v>
      </c>
      <c r="G1930" t="s">
        <v>10495</v>
      </c>
      <c r="H1930" t="s">
        <v>8036</v>
      </c>
      <c r="I1930">
        <f>_xlfn.LET(_xlpm.id,TRIM($A1930),IF(_xlpm.id="","",SUM(COUNTIF('1. OP'!$M:$M,_xlpm.id),COUNTIF('2. JSEL'!$M:$M,_xlpm.id),COUNTIF('3. PSM'!$M:$M,_xlpm.id),COUNTIF('4. SSP'!$M:$M,_xlpm.id),COUNTIF('5. JSACI'!$M:$M,_xlpm.id),COUNTIF('6. AIN'!$M:$M,_xlpm.id),COUNTIF('7. MS'!$M:$M,_xlpm.id),COUNTIF('8. DS'!$M:$M,_xlpm.id),COUNTIF('9. RMF'!$M:$M,_xlpm.id),COUNTIF('10. PCU'!$M:$M,_xlpm.id))))</f>
        <v>0</v>
      </c>
    </row>
    <row r="1931" spans="1:9">
      <c r="A1931" t="s">
        <v>9940</v>
      </c>
      <c r="B1931" t="s">
        <v>9924</v>
      </c>
      <c r="C1931">
        <v>1804</v>
      </c>
      <c r="D1931">
        <v>1</v>
      </c>
      <c r="E1931" s="23">
        <v>17</v>
      </c>
      <c r="F1931" t="s">
        <v>9151</v>
      </c>
      <c r="G1931" t="s">
        <v>10495</v>
      </c>
      <c r="H1931" t="s">
        <v>8036</v>
      </c>
      <c r="I1931">
        <f>_xlfn.LET(_xlpm.id,TRIM($A1931),IF(_xlpm.id="","",SUM(COUNTIF('1. OP'!$M:$M,_xlpm.id),COUNTIF('2. JSEL'!$M:$M,_xlpm.id),COUNTIF('3. PSM'!$M:$M,_xlpm.id),COUNTIF('4. SSP'!$M:$M,_xlpm.id),COUNTIF('5. JSACI'!$M:$M,_xlpm.id),COUNTIF('6. AIN'!$M:$M,_xlpm.id),COUNTIF('7. MS'!$M:$M,_xlpm.id),COUNTIF('8. DS'!$M:$M,_xlpm.id),COUNTIF('9. RMF'!$M:$M,_xlpm.id),COUNTIF('10. PCU'!$M:$M,_xlpm.id))))</f>
        <v>0</v>
      </c>
    </row>
    <row r="1932" spans="1:9">
      <c r="A1932" t="s">
        <v>9941</v>
      </c>
      <c r="B1932" t="s">
        <v>9924</v>
      </c>
      <c r="C1932">
        <v>1804</v>
      </c>
      <c r="D1932">
        <v>1</v>
      </c>
      <c r="E1932" s="23">
        <v>18</v>
      </c>
      <c r="F1932" t="s">
        <v>9151</v>
      </c>
      <c r="G1932" t="s">
        <v>10495</v>
      </c>
      <c r="H1932" t="s">
        <v>8036</v>
      </c>
      <c r="I1932">
        <f>_xlfn.LET(_xlpm.id,TRIM($A1932),IF(_xlpm.id="","",SUM(COUNTIF('1. OP'!$M:$M,_xlpm.id),COUNTIF('2. JSEL'!$M:$M,_xlpm.id),COUNTIF('3. PSM'!$M:$M,_xlpm.id),COUNTIF('4. SSP'!$M:$M,_xlpm.id),COUNTIF('5. JSACI'!$M:$M,_xlpm.id),COUNTIF('6. AIN'!$M:$M,_xlpm.id),COUNTIF('7. MS'!$M:$M,_xlpm.id),COUNTIF('8. DS'!$M:$M,_xlpm.id),COUNTIF('9. RMF'!$M:$M,_xlpm.id),COUNTIF('10. PCU'!$M:$M,_xlpm.id))))</f>
        <v>0</v>
      </c>
    </row>
    <row r="1933" spans="1:9">
      <c r="A1933" t="s">
        <v>9942</v>
      </c>
      <c r="B1933" t="s">
        <v>9924</v>
      </c>
      <c r="C1933">
        <v>1804</v>
      </c>
      <c r="D1933">
        <v>1</v>
      </c>
      <c r="E1933" s="23">
        <v>19</v>
      </c>
      <c r="F1933" t="s">
        <v>9151</v>
      </c>
      <c r="G1933" t="s">
        <v>10495</v>
      </c>
      <c r="H1933" t="s">
        <v>8036</v>
      </c>
      <c r="I1933">
        <f>_xlfn.LET(_xlpm.id,TRIM($A1933),IF(_xlpm.id="","",SUM(COUNTIF('1. OP'!$M:$M,_xlpm.id),COUNTIF('2. JSEL'!$M:$M,_xlpm.id),COUNTIF('3. PSM'!$M:$M,_xlpm.id),COUNTIF('4. SSP'!$M:$M,_xlpm.id),COUNTIF('5. JSACI'!$M:$M,_xlpm.id),COUNTIF('6. AIN'!$M:$M,_xlpm.id),COUNTIF('7. MS'!$M:$M,_xlpm.id),COUNTIF('8. DS'!$M:$M,_xlpm.id),COUNTIF('9. RMF'!$M:$M,_xlpm.id),COUNTIF('10. PCU'!$M:$M,_xlpm.id))))</f>
        <v>0</v>
      </c>
    </row>
    <row r="1934" spans="1:9">
      <c r="A1934" t="s">
        <v>9943</v>
      </c>
      <c r="B1934" t="s">
        <v>9924</v>
      </c>
      <c r="C1934">
        <v>1804</v>
      </c>
      <c r="D1934">
        <v>1</v>
      </c>
      <c r="E1934" s="23">
        <v>20</v>
      </c>
      <c r="F1934" t="s">
        <v>9151</v>
      </c>
      <c r="G1934" t="s">
        <v>10495</v>
      </c>
      <c r="H1934" t="s">
        <v>8036</v>
      </c>
      <c r="I1934">
        <f>_xlfn.LET(_xlpm.id,TRIM($A1934),IF(_xlpm.id="","",SUM(COUNTIF('1. OP'!$M:$M,_xlpm.id),COUNTIF('2. JSEL'!$M:$M,_xlpm.id),COUNTIF('3. PSM'!$M:$M,_xlpm.id),COUNTIF('4. SSP'!$M:$M,_xlpm.id),COUNTIF('5. JSACI'!$M:$M,_xlpm.id),COUNTIF('6. AIN'!$M:$M,_xlpm.id),COUNTIF('7. MS'!$M:$M,_xlpm.id),COUNTIF('8. DS'!$M:$M,_xlpm.id),COUNTIF('9. RMF'!$M:$M,_xlpm.id),COUNTIF('10. PCU'!$M:$M,_xlpm.id))))</f>
        <v>0</v>
      </c>
    </row>
    <row r="1935" spans="1:9">
      <c r="A1935" t="s">
        <v>9944</v>
      </c>
      <c r="B1935" t="s">
        <v>9924</v>
      </c>
      <c r="C1935">
        <v>1805</v>
      </c>
      <c r="D1935">
        <v>1</v>
      </c>
      <c r="E1935" s="23">
        <v>21</v>
      </c>
      <c r="F1935" t="s">
        <v>9151</v>
      </c>
      <c r="G1935" t="s">
        <v>10495</v>
      </c>
      <c r="H1935" t="s">
        <v>8036</v>
      </c>
      <c r="I1935">
        <f>_xlfn.LET(_xlpm.id,TRIM($A1935),IF(_xlpm.id="","",SUM(COUNTIF('1. OP'!$M:$M,_xlpm.id),COUNTIF('2. JSEL'!$M:$M,_xlpm.id),COUNTIF('3. PSM'!$M:$M,_xlpm.id),COUNTIF('4. SSP'!$M:$M,_xlpm.id),COUNTIF('5. JSACI'!$M:$M,_xlpm.id),COUNTIF('6. AIN'!$M:$M,_xlpm.id),COUNTIF('7. MS'!$M:$M,_xlpm.id),COUNTIF('8. DS'!$M:$M,_xlpm.id),COUNTIF('9. RMF'!$M:$M,_xlpm.id),COUNTIF('10. PCU'!$M:$M,_xlpm.id))))</f>
        <v>0</v>
      </c>
    </row>
    <row r="1936" spans="1:9">
      <c r="A1936" t="s">
        <v>9945</v>
      </c>
      <c r="B1936" t="s">
        <v>9924</v>
      </c>
      <c r="C1936">
        <v>1805</v>
      </c>
      <c r="D1936">
        <v>1</v>
      </c>
      <c r="E1936" s="23">
        <v>22</v>
      </c>
      <c r="F1936" t="s">
        <v>9151</v>
      </c>
      <c r="G1936" t="s">
        <v>10495</v>
      </c>
      <c r="H1936" t="s">
        <v>8036</v>
      </c>
      <c r="I1936">
        <f>_xlfn.LET(_xlpm.id,TRIM($A1936),IF(_xlpm.id="","",SUM(COUNTIF('1. OP'!$M:$M,_xlpm.id),COUNTIF('2. JSEL'!$M:$M,_xlpm.id),COUNTIF('3. PSM'!$M:$M,_xlpm.id),COUNTIF('4. SSP'!$M:$M,_xlpm.id),COUNTIF('5. JSACI'!$M:$M,_xlpm.id),COUNTIF('6. AIN'!$M:$M,_xlpm.id),COUNTIF('7. MS'!$M:$M,_xlpm.id),COUNTIF('8. DS'!$M:$M,_xlpm.id),COUNTIF('9. RMF'!$M:$M,_xlpm.id),COUNTIF('10. PCU'!$M:$M,_xlpm.id))))</f>
        <v>0</v>
      </c>
    </row>
    <row r="1937" spans="1:9">
      <c r="A1937" t="s">
        <v>7558</v>
      </c>
      <c r="B1937" t="s">
        <v>9924</v>
      </c>
      <c r="C1937">
        <v>1806</v>
      </c>
      <c r="D1937">
        <v>1</v>
      </c>
      <c r="E1937" s="23">
        <v>23</v>
      </c>
      <c r="F1937" t="s">
        <v>9151</v>
      </c>
      <c r="G1937" t="s">
        <v>10495</v>
      </c>
      <c r="H1937" t="s">
        <v>8036</v>
      </c>
      <c r="I1937">
        <f>_xlfn.LET(_xlpm.id,TRIM($A1937),IF(_xlpm.id="","",SUM(COUNTIF('1. OP'!$M:$M,_xlpm.id),COUNTIF('2. JSEL'!$M:$M,_xlpm.id),COUNTIF('3. PSM'!$M:$M,_xlpm.id),COUNTIF('4. SSP'!$M:$M,_xlpm.id),COUNTIF('5. JSACI'!$M:$M,_xlpm.id),COUNTIF('6. AIN'!$M:$M,_xlpm.id),COUNTIF('7. MS'!$M:$M,_xlpm.id),COUNTIF('8. DS'!$M:$M,_xlpm.id),COUNTIF('9. RMF'!$M:$M,_xlpm.id),COUNTIF('10. PCU'!$M:$M,_xlpm.id))))</f>
        <v>2</v>
      </c>
    </row>
    <row r="1938" spans="1:9">
      <c r="A1938" t="s">
        <v>9946</v>
      </c>
      <c r="B1938" t="s">
        <v>9924</v>
      </c>
      <c r="C1938">
        <v>1806</v>
      </c>
      <c r="D1938">
        <v>1</v>
      </c>
      <c r="E1938" s="23">
        <v>24</v>
      </c>
      <c r="F1938" t="s">
        <v>9151</v>
      </c>
      <c r="G1938" t="s">
        <v>10495</v>
      </c>
      <c r="H1938" t="s">
        <v>8036</v>
      </c>
      <c r="I1938">
        <f>_xlfn.LET(_xlpm.id,TRIM($A1938),IF(_xlpm.id="","",SUM(COUNTIF('1. OP'!$M:$M,_xlpm.id),COUNTIF('2. JSEL'!$M:$M,_xlpm.id),COUNTIF('3. PSM'!$M:$M,_xlpm.id),COUNTIF('4. SSP'!$M:$M,_xlpm.id),COUNTIF('5. JSACI'!$M:$M,_xlpm.id),COUNTIF('6. AIN'!$M:$M,_xlpm.id),COUNTIF('7. MS'!$M:$M,_xlpm.id),COUNTIF('8. DS'!$M:$M,_xlpm.id),COUNTIF('9. RMF'!$M:$M,_xlpm.id),COUNTIF('10. PCU'!$M:$M,_xlpm.id))))</f>
        <v>0</v>
      </c>
    </row>
    <row r="1939" spans="1:9">
      <c r="A1939" t="s">
        <v>9947</v>
      </c>
      <c r="B1939" t="s">
        <v>9924</v>
      </c>
      <c r="C1939">
        <v>1806</v>
      </c>
      <c r="D1939">
        <v>1</v>
      </c>
      <c r="E1939" s="23">
        <v>25</v>
      </c>
      <c r="F1939" t="s">
        <v>9151</v>
      </c>
      <c r="G1939" t="s">
        <v>10495</v>
      </c>
      <c r="H1939" t="s">
        <v>8036</v>
      </c>
      <c r="I1939">
        <f>_xlfn.LET(_xlpm.id,TRIM($A1939),IF(_xlpm.id="","",SUM(COUNTIF('1. OP'!$M:$M,_xlpm.id),COUNTIF('2. JSEL'!$M:$M,_xlpm.id),COUNTIF('3. PSM'!$M:$M,_xlpm.id),COUNTIF('4. SSP'!$M:$M,_xlpm.id),COUNTIF('5. JSACI'!$M:$M,_xlpm.id),COUNTIF('6. AIN'!$M:$M,_xlpm.id),COUNTIF('7. MS'!$M:$M,_xlpm.id),COUNTIF('8. DS'!$M:$M,_xlpm.id),COUNTIF('9. RMF'!$M:$M,_xlpm.id),COUNTIF('10. PCU'!$M:$M,_xlpm.id))))</f>
        <v>0</v>
      </c>
    </row>
    <row r="1940" spans="1:9">
      <c r="A1940" t="s">
        <v>9948</v>
      </c>
      <c r="B1940" t="s">
        <v>9924</v>
      </c>
      <c r="C1940">
        <v>1807</v>
      </c>
      <c r="D1940">
        <v>1</v>
      </c>
      <c r="E1940" s="23">
        <v>26</v>
      </c>
      <c r="F1940" t="s">
        <v>9151</v>
      </c>
      <c r="G1940" t="s">
        <v>10495</v>
      </c>
      <c r="H1940" t="s">
        <v>8036</v>
      </c>
      <c r="I1940">
        <f>_xlfn.LET(_xlpm.id,TRIM($A1940),IF(_xlpm.id="","",SUM(COUNTIF('1. OP'!$M:$M,_xlpm.id),COUNTIF('2. JSEL'!$M:$M,_xlpm.id),COUNTIF('3. PSM'!$M:$M,_xlpm.id),COUNTIF('4. SSP'!$M:$M,_xlpm.id),COUNTIF('5. JSACI'!$M:$M,_xlpm.id),COUNTIF('6. AIN'!$M:$M,_xlpm.id),COUNTIF('7. MS'!$M:$M,_xlpm.id),COUNTIF('8. DS'!$M:$M,_xlpm.id),COUNTIF('9. RMF'!$M:$M,_xlpm.id),COUNTIF('10. PCU'!$M:$M,_xlpm.id))))</f>
        <v>0</v>
      </c>
    </row>
    <row r="1941" spans="1:9">
      <c r="A1941" t="s">
        <v>9949</v>
      </c>
      <c r="B1941" t="s">
        <v>9924</v>
      </c>
      <c r="C1941">
        <v>1808</v>
      </c>
      <c r="D1941">
        <v>1</v>
      </c>
      <c r="E1941" s="23">
        <v>27</v>
      </c>
      <c r="F1941" t="s">
        <v>9151</v>
      </c>
      <c r="G1941" t="s">
        <v>10495</v>
      </c>
      <c r="H1941" t="s">
        <v>8036</v>
      </c>
      <c r="I1941">
        <f>_xlfn.LET(_xlpm.id,TRIM($A1941),IF(_xlpm.id="","",SUM(COUNTIF('1. OP'!$M:$M,_xlpm.id),COUNTIF('2. JSEL'!$M:$M,_xlpm.id),COUNTIF('3. PSM'!$M:$M,_xlpm.id),COUNTIF('4. SSP'!$M:$M,_xlpm.id),COUNTIF('5. JSACI'!$M:$M,_xlpm.id),COUNTIF('6. AIN'!$M:$M,_xlpm.id),COUNTIF('7. MS'!$M:$M,_xlpm.id),COUNTIF('8. DS'!$M:$M,_xlpm.id),COUNTIF('9. RMF'!$M:$M,_xlpm.id),COUNTIF('10. PCU'!$M:$M,_xlpm.id))))</f>
        <v>0</v>
      </c>
    </row>
    <row r="1942" spans="1:9">
      <c r="A1942" t="s">
        <v>9950</v>
      </c>
      <c r="B1942" t="s">
        <v>9924</v>
      </c>
      <c r="C1942">
        <v>1809</v>
      </c>
      <c r="D1942">
        <v>1</v>
      </c>
      <c r="E1942" s="23">
        <v>28</v>
      </c>
      <c r="F1942" t="s">
        <v>9151</v>
      </c>
      <c r="G1942" t="s">
        <v>10495</v>
      </c>
      <c r="H1942" t="s">
        <v>8036</v>
      </c>
      <c r="I1942">
        <f>_xlfn.LET(_xlpm.id,TRIM($A1942),IF(_xlpm.id="","",SUM(COUNTIF('1. OP'!$M:$M,_xlpm.id),COUNTIF('2. JSEL'!$M:$M,_xlpm.id),COUNTIF('3. PSM'!$M:$M,_xlpm.id),COUNTIF('4. SSP'!$M:$M,_xlpm.id),COUNTIF('5. JSACI'!$M:$M,_xlpm.id),COUNTIF('6. AIN'!$M:$M,_xlpm.id),COUNTIF('7. MS'!$M:$M,_xlpm.id),COUNTIF('8. DS'!$M:$M,_xlpm.id),COUNTIF('9. RMF'!$M:$M,_xlpm.id),COUNTIF('10. PCU'!$M:$M,_xlpm.id))))</f>
        <v>0</v>
      </c>
    </row>
    <row r="1943" spans="1:9">
      <c r="A1943" t="s">
        <v>9951</v>
      </c>
      <c r="B1943" t="s">
        <v>9924</v>
      </c>
      <c r="C1943">
        <v>1809</v>
      </c>
      <c r="D1943">
        <v>1</v>
      </c>
      <c r="E1943" s="23">
        <v>29</v>
      </c>
      <c r="F1943" t="s">
        <v>9151</v>
      </c>
      <c r="G1943" t="s">
        <v>10495</v>
      </c>
      <c r="H1943" t="s">
        <v>8036</v>
      </c>
      <c r="I1943">
        <f>_xlfn.LET(_xlpm.id,TRIM($A1943),IF(_xlpm.id="","",SUM(COUNTIF('1. OP'!$M:$M,_xlpm.id),COUNTIF('2. JSEL'!$M:$M,_xlpm.id),COUNTIF('3. PSM'!$M:$M,_xlpm.id),COUNTIF('4. SSP'!$M:$M,_xlpm.id),COUNTIF('5. JSACI'!$M:$M,_xlpm.id),COUNTIF('6. AIN'!$M:$M,_xlpm.id),COUNTIF('7. MS'!$M:$M,_xlpm.id),COUNTIF('8. DS'!$M:$M,_xlpm.id),COUNTIF('9. RMF'!$M:$M,_xlpm.id),COUNTIF('10. PCU'!$M:$M,_xlpm.id))))</f>
        <v>0</v>
      </c>
    </row>
    <row r="1944" spans="1:9">
      <c r="A1944" t="s">
        <v>9952</v>
      </c>
      <c r="B1944" t="s">
        <v>9924</v>
      </c>
      <c r="C1944">
        <v>1810</v>
      </c>
      <c r="D1944">
        <v>1</v>
      </c>
      <c r="E1944" s="23">
        <v>30</v>
      </c>
      <c r="F1944" t="s">
        <v>9151</v>
      </c>
      <c r="G1944" t="s">
        <v>10495</v>
      </c>
      <c r="H1944" t="s">
        <v>8036</v>
      </c>
      <c r="I1944">
        <f>_xlfn.LET(_xlpm.id,TRIM($A1944),IF(_xlpm.id="","",SUM(COUNTIF('1. OP'!$M:$M,_xlpm.id),COUNTIF('2. JSEL'!$M:$M,_xlpm.id),COUNTIF('3. PSM'!$M:$M,_xlpm.id),COUNTIF('4. SSP'!$M:$M,_xlpm.id),COUNTIF('5. JSACI'!$M:$M,_xlpm.id),COUNTIF('6. AIN'!$M:$M,_xlpm.id),COUNTIF('7. MS'!$M:$M,_xlpm.id),COUNTIF('8. DS'!$M:$M,_xlpm.id),COUNTIF('9. RMF'!$M:$M,_xlpm.id),COUNTIF('10. PCU'!$M:$M,_xlpm.id))))</f>
        <v>0</v>
      </c>
    </row>
    <row r="1945" spans="1:9">
      <c r="A1945" t="s">
        <v>9953</v>
      </c>
      <c r="B1945" t="s">
        <v>9924</v>
      </c>
      <c r="C1945">
        <v>1810</v>
      </c>
      <c r="D1945">
        <v>1</v>
      </c>
      <c r="E1945" s="23">
        <v>31</v>
      </c>
      <c r="F1945" t="s">
        <v>9151</v>
      </c>
      <c r="G1945" t="s">
        <v>10495</v>
      </c>
      <c r="H1945" t="s">
        <v>8036</v>
      </c>
      <c r="I1945">
        <f>_xlfn.LET(_xlpm.id,TRIM($A1945),IF(_xlpm.id="","",SUM(COUNTIF('1. OP'!$M:$M,_xlpm.id),COUNTIF('2. JSEL'!$M:$M,_xlpm.id),COUNTIF('3. PSM'!$M:$M,_xlpm.id),COUNTIF('4. SSP'!$M:$M,_xlpm.id),COUNTIF('5. JSACI'!$M:$M,_xlpm.id),COUNTIF('6. AIN'!$M:$M,_xlpm.id),COUNTIF('7. MS'!$M:$M,_xlpm.id),COUNTIF('8. DS'!$M:$M,_xlpm.id),COUNTIF('9. RMF'!$M:$M,_xlpm.id),COUNTIF('10. PCU'!$M:$M,_xlpm.id))))</f>
        <v>0</v>
      </c>
    </row>
    <row r="1946" spans="1:9">
      <c r="A1946" t="s">
        <v>9954</v>
      </c>
      <c r="B1946" t="s">
        <v>9924</v>
      </c>
      <c r="C1946">
        <v>1811</v>
      </c>
      <c r="D1946">
        <v>1</v>
      </c>
      <c r="E1946" s="23">
        <v>32</v>
      </c>
      <c r="F1946" t="s">
        <v>9151</v>
      </c>
      <c r="G1946" t="s">
        <v>10495</v>
      </c>
      <c r="H1946" t="s">
        <v>8036</v>
      </c>
      <c r="I1946">
        <f>_xlfn.LET(_xlpm.id,TRIM($A1946),IF(_xlpm.id="","",SUM(COUNTIF('1. OP'!$M:$M,_xlpm.id),COUNTIF('2. JSEL'!$M:$M,_xlpm.id),COUNTIF('3. PSM'!$M:$M,_xlpm.id),COUNTIF('4. SSP'!$M:$M,_xlpm.id),COUNTIF('5. JSACI'!$M:$M,_xlpm.id),COUNTIF('6. AIN'!$M:$M,_xlpm.id),COUNTIF('7. MS'!$M:$M,_xlpm.id),COUNTIF('8. DS'!$M:$M,_xlpm.id),COUNTIF('9. RMF'!$M:$M,_xlpm.id),COUNTIF('10. PCU'!$M:$M,_xlpm.id))))</f>
        <v>0</v>
      </c>
    </row>
    <row r="1947" spans="1:9">
      <c r="A1947" t="s">
        <v>9955</v>
      </c>
      <c r="B1947" t="s">
        <v>9924</v>
      </c>
      <c r="C1947">
        <v>1811</v>
      </c>
      <c r="D1947">
        <v>1</v>
      </c>
      <c r="E1947" s="23">
        <v>33</v>
      </c>
      <c r="F1947" t="s">
        <v>9151</v>
      </c>
      <c r="G1947" t="s">
        <v>10495</v>
      </c>
      <c r="H1947" t="s">
        <v>8036</v>
      </c>
      <c r="I1947">
        <f>_xlfn.LET(_xlpm.id,TRIM($A1947),IF(_xlpm.id="","",SUM(COUNTIF('1. OP'!$M:$M,_xlpm.id),COUNTIF('2. JSEL'!$M:$M,_xlpm.id),COUNTIF('3. PSM'!$M:$M,_xlpm.id),COUNTIF('4. SSP'!$M:$M,_xlpm.id),COUNTIF('5. JSACI'!$M:$M,_xlpm.id),COUNTIF('6. AIN'!$M:$M,_xlpm.id),COUNTIF('7. MS'!$M:$M,_xlpm.id),COUNTIF('8. DS'!$M:$M,_xlpm.id),COUNTIF('9. RMF'!$M:$M,_xlpm.id),COUNTIF('10. PCU'!$M:$M,_xlpm.id))))</f>
        <v>0</v>
      </c>
    </row>
    <row r="1948" spans="1:9">
      <c r="A1948" t="s">
        <v>9956</v>
      </c>
      <c r="B1948" t="s">
        <v>9924</v>
      </c>
      <c r="C1948">
        <v>1812</v>
      </c>
      <c r="D1948">
        <v>1</v>
      </c>
      <c r="E1948" s="23">
        <v>34</v>
      </c>
      <c r="F1948" t="s">
        <v>9151</v>
      </c>
      <c r="G1948" t="s">
        <v>10495</v>
      </c>
      <c r="H1948" t="s">
        <v>8036</v>
      </c>
      <c r="I1948">
        <f>_xlfn.LET(_xlpm.id,TRIM($A1948),IF(_xlpm.id="","",SUM(COUNTIF('1. OP'!$M:$M,_xlpm.id),COUNTIF('2. JSEL'!$M:$M,_xlpm.id),COUNTIF('3. PSM'!$M:$M,_xlpm.id),COUNTIF('4. SSP'!$M:$M,_xlpm.id),COUNTIF('5. JSACI'!$M:$M,_xlpm.id),COUNTIF('6. AIN'!$M:$M,_xlpm.id),COUNTIF('7. MS'!$M:$M,_xlpm.id),COUNTIF('8. DS'!$M:$M,_xlpm.id),COUNTIF('9. RMF'!$M:$M,_xlpm.id),COUNTIF('10. PCU'!$M:$M,_xlpm.id))))</f>
        <v>0</v>
      </c>
    </row>
    <row r="1949" spans="1:9">
      <c r="A1949" t="s">
        <v>9957</v>
      </c>
      <c r="B1949" t="s">
        <v>9924</v>
      </c>
      <c r="C1949">
        <v>1812</v>
      </c>
      <c r="D1949">
        <v>1</v>
      </c>
      <c r="E1949" s="23">
        <v>35</v>
      </c>
      <c r="F1949" t="s">
        <v>9151</v>
      </c>
      <c r="G1949" t="s">
        <v>10495</v>
      </c>
      <c r="H1949" t="s">
        <v>8036</v>
      </c>
      <c r="I1949">
        <f>_xlfn.LET(_xlpm.id,TRIM($A1949),IF(_xlpm.id="","",SUM(COUNTIF('1. OP'!$M:$M,_xlpm.id),COUNTIF('2. JSEL'!$M:$M,_xlpm.id),COUNTIF('3. PSM'!$M:$M,_xlpm.id),COUNTIF('4. SSP'!$M:$M,_xlpm.id),COUNTIF('5. JSACI'!$M:$M,_xlpm.id),COUNTIF('6. AIN'!$M:$M,_xlpm.id),COUNTIF('7. MS'!$M:$M,_xlpm.id),COUNTIF('8. DS'!$M:$M,_xlpm.id),COUNTIF('9. RMF'!$M:$M,_xlpm.id),COUNTIF('10. PCU'!$M:$M,_xlpm.id))))</f>
        <v>0</v>
      </c>
    </row>
    <row r="1950" spans="1:9">
      <c r="A1950" t="s">
        <v>9958</v>
      </c>
      <c r="B1950" t="s">
        <v>9924</v>
      </c>
      <c r="C1950">
        <v>1813</v>
      </c>
      <c r="D1950">
        <v>1</v>
      </c>
      <c r="E1950" s="23">
        <v>36</v>
      </c>
      <c r="F1950" t="s">
        <v>9151</v>
      </c>
      <c r="G1950" t="s">
        <v>10495</v>
      </c>
      <c r="H1950" t="s">
        <v>8036</v>
      </c>
      <c r="I1950">
        <f>_xlfn.LET(_xlpm.id,TRIM($A1950),IF(_xlpm.id="","",SUM(COUNTIF('1. OP'!$M:$M,_xlpm.id),COUNTIF('2. JSEL'!$M:$M,_xlpm.id),COUNTIF('3. PSM'!$M:$M,_xlpm.id),COUNTIF('4. SSP'!$M:$M,_xlpm.id),COUNTIF('5. JSACI'!$M:$M,_xlpm.id),COUNTIF('6. AIN'!$M:$M,_xlpm.id),COUNTIF('7. MS'!$M:$M,_xlpm.id),COUNTIF('8. DS'!$M:$M,_xlpm.id),COUNTIF('9. RMF'!$M:$M,_xlpm.id),COUNTIF('10. PCU'!$M:$M,_xlpm.id))))</f>
        <v>0</v>
      </c>
    </row>
    <row r="1951" spans="1:9">
      <c r="A1951" t="s">
        <v>9959</v>
      </c>
      <c r="B1951" t="s">
        <v>9924</v>
      </c>
      <c r="C1951">
        <v>1813</v>
      </c>
      <c r="D1951">
        <v>1</v>
      </c>
      <c r="E1951" s="23">
        <v>37</v>
      </c>
      <c r="F1951" t="s">
        <v>9151</v>
      </c>
      <c r="G1951" t="s">
        <v>10495</v>
      </c>
      <c r="H1951" t="s">
        <v>8036</v>
      </c>
      <c r="I1951">
        <f>_xlfn.LET(_xlpm.id,TRIM($A1951),IF(_xlpm.id="","",SUM(COUNTIF('1. OP'!$M:$M,_xlpm.id),COUNTIF('2. JSEL'!$M:$M,_xlpm.id),COUNTIF('3. PSM'!$M:$M,_xlpm.id),COUNTIF('4. SSP'!$M:$M,_xlpm.id),COUNTIF('5. JSACI'!$M:$M,_xlpm.id),COUNTIF('6. AIN'!$M:$M,_xlpm.id),COUNTIF('7. MS'!$M:$M,_xlpm.id),COUNTIF('8. DS'!$M:$M,_xlpm.id),COUNTIF('9. RMF'!$M:$M,_xlpm.id),COUNTIF('10. PCU'!$M:$M,_xlpm.id))))</f>
        <v>0</v>
      </c>
    </row>
    <row r="1952" spans="1:9">
      <c r="A1952" t="s">
        <v>9960</v>
      </c>
      <c r="B1952" t="s">
        <v>9924</v>
      </c>
      <c r="C1952">
        <v>1814</v>
      </c>
      <c r="D1952">
        <v>1</v>
      </c>
      <c r="E1952" s="23">
        <v>38</v>
      </c>
      <c r="F1952" t="s">
        <v>9151</v>
      </c>
      <c r="G1952" t="s">
        <v>10495</v>
      </c>
      <c r="H1952" t="s">
        <v>8036</v>
      </c>
      <c r="I1952">
        <f>_xlfn.LET(_xlpm.id,TRIM($A1952),IF(_xlpm.id="","",SUM(COUNTIF('1. OP'!$M:$M,_xlpm.id),COUNTIF('2. JSEL'!$M:$M,_xlpm.id),COUNTIF('3. PSM'!$M:$M,_xlpm.id),COUNTIF('4. SSP'!$M:$M,_xlpm.id),COUNTIF('5. JSACI'!$M:$M,_xlpm.id),COUNTIF('6. AIN'!$M:$M,_xlpm.id),COUNTIF('7. MS'!$M:$M,_xlpm.id),COUNTIF('8. DS'!$M:$M,_xlpm.id),COUNTIF('9. RMF'!$M:$M,_xlpm.id),COUNTIF('10. PCU'!$M:$M,_xlpm.id))))</f>
        <v>0</v>
      </c>
    </row>
    <row r="1953" spans="1:9">
      <c r="A1953" t="s">
        <v>9961</v>
      </c>
      <c r="B1953" t="s">
        <v>9924</v>
      </c>
      <c r="C1953">
        <v>1814</v>
      </c>
      <c r="D1953">
        <v>1</v>
      </c>
      <c r="E1953" s="23">
        <v>39</v>
      </c>
      <c r="F1953" t="s">
        <v>9151</v>
      </c>
      <c r="G1953" t="s">
        <v>10495</v>
      </c>
      <c r="H1953" t="s">
        <v>8036</v>
      </c>
      <c r="I1953">
        <f>_xlfn.LET(_xlpm.id,TRIM($A1953),IF(_xlpm.id="","",SUM(COUNTIF('1. OP'!$M:$M,_xlpm.id),COUNTIF('2. JSEL'!$M:$M,_xlpm.id),COUNTIF('3. PSM'!$M:$M,_xlpm.id),COUNTIF('4. SSP'!$M:$M,_xlpm.id),COUNTIF('5. JSACI'!$M:$M,_xlpm.id),COUNTIF('6. AIN'!$M:$M,_xlpm.id),COUNTIF('7. MS'!$M:$M,_xlpm.id),COUNTIF('8. DS'!$M:$M,_xlpm.id),COUNTIF('9. RMF'!$M:$M,_xlpm.id),COUNTIF('10. PCU'!$M:$M,_xlpm.id))))</f>
        <v>0</v>
      </c>
    </row>
    <row r="1954" spans="1:9">
      <c r="A1954" t="s">
        <v>9962</v>
      </c>
      <c r="B1954" t="s">
        <v>9924</v>
      </c>
      <c r="C1954">
        <v>1815</v>
      </c>
      <c r="D1954">
        <v>1</v>
      </c>
      <c r="E1954" s="23">
        <v>40</v>
      </c>
      <c r="F1954" t="s">
        <v>9151</v>
      </c>
      <c r="G1954" t="s">
        <v>10495</v>
      </c>
      <c r="H1954" t="s">
        <v>8036</v>
      </c>
      <c r="I1954">
        <f>_xlfn.LET(_xlpm.id,TRIM($A1954),IF(_xlpm.id="","",SUM(COUNTIF('1. OP'!$M:$M,_xlpm.id),COUNTIF('2. JSEL'!$M:$M,_xlpm.id),COUNTIF('3. PSM'!$M:$M,_xlpm.id),COUNTIF('4. SSP'!$M:$M,_xlpm.id),COUNTIF('5. JSACI'!$M:$M,_xlpm.id),COUNTIF('6. AIN'!$M:$M,_xlpm.id),COUNTIF('7. MS'!$M:$M,_xlpm.id),COUNTIF('8. DS'!$M:$M,_xlpm.id),COUNTIF('9. RMF'!$M:$M,_xlpm.id),COUNTIF('10. PCU'!$M:$M,_xlpm.id))))</f>
        <v>0</v>
      </c>
    </row>
    <row r="1955" spans="1:9">
      <c r="A1955" t="s">
        <v>9963</v>
      </c>
      <c r="B1955" t="s">
        <v>9924</v>
      </c>
      <c r="C1955">
        <v>1815</v>
      </c>
      <c r="D1955">
        <v>1</v>
      </c>
      <c r="E1955" s="23">
        <v>41</v>
      </c>
      <c r="F1955" t="s">
        <v>9151</v>
      </c>
      <c r="G1955" t="s">
        <v>10495</v>
      </c>
      <c r="H1955" t="s">
        <v>8036</v>
      </c>
      <c r="I1955">
        <f>_xlfn.LET(_xlpm.id,TRIM($A1955),IF(_xlpm.id="","",SUM(COUNTIF('1. OP'!$M:$M,_xlpm.id),COUNTIF('2. JSEL'!$M:$M,_xlpm.id),COUNTIF('3. PSM'!$M:$M,_xlpm.id),COUNTIF('4. SSP'!$M:$M,_xlpm.id),COUNTIF('5. JSACI'!$M:$M,_xlpm.id),COUNTIF('6. AIN'!$M:$M,_xlpm.id),COUNTIF('7. MS'!$M:$M,_xlpm.id),COUNTIF('8. DS'!$M:$M,_xlpm.id),COUNTIF('9. RMF'!$M:$M,_xlpm.id),COUNTIF('10. PCU'!$M:$M,_xlpm.id))))</f>
        <v>0</v>
      </c>
    </row>
    <row r="1956" spans="1:9">
      <c r="A1956" t="s">
        <v>9964</v>
      </c>
      <c r="B1956" t="s">
        <v>9924</v>
      </c>
      <c r="C1956">
        <v>1816</v>
      </c>
      <c r="D1956">
        <v>1</v>
      </c>
      <c r="E1956" s="23">
        <v>42</v>
      </c>
      <c r="F1956" t="s">
        <v>9151</v>
      </c>
      <c r="G1956" t="s">
        <v>10495</v>
      </c>
      <c r="H1956" t="s">
        <v>8036</v>
      </c>
      <c r="I1956">
        <f>_xlfn.LET(_xlpm.id,TRIM($A1956),IF(_xlpm.id="","",SUM(COUNTIF('1. OP'!$M:$M,_xlpm.id),COUNTIF('2. JSEL'!$M:$M,_xlpm.id),COUNTIF('3. PSM'!$M:$M,_xlpm.id),COUNTIF('4. SSP'!$M:$M,_xlpm.id),COUNTIF('5. JSACI'!$M:$M,_xlpm.id),COUNTIF('6. AIN'!$M:$M,_xlpm.id),COUNTIF('7. MS'!$M:$M,_xlpm.id),COUNTIF('8. DS'!$M:$M,_xlpm.id),COUNTIF('9. RMF'!$M:$M,_xlpm.id),COUNTIF('10. PCU'!$M:$M,_xlpm.id))))</f>
        <v>0</v>
      </c>
    </row>
    <row r="1957" spans="1:9">
      <c r="A1957" t="s">
        <v>9965</v>
      </c>
      <c r="B1957" t="s">
        <v>9924</v>
      </c>
      <c r="C1957">
        <v>1816</v>
      </c>
      <c r="D1957">
        <v>1</v>
      </c>
      <c r="E1957" s="23">
        <v>43</v>
      </c>
      <c r="F1957" t="s">
        <v>9151</v>
      </c>
      <c r="G1957" t="s">
        <v>10495</v>
      </c>
      <c r="H1957" t="s">
        <v>8036</v>
      </c>
      <c r="I1957">
        <f>_xlfn.LET(_xlpm.id,TRIM($A1957),IF(_xlpm.id="","",SUM(COUNTIF('1. OP'!$M:$M,_xlpm.id),COUNTIF('2. JSEL'!$M:$M,_xlpm.id),COUNTIF('3. PSM'!$M:$M,_xlpm.id),COUNTIF('4. SSP'!$M:$M,_xlpm.id),COUNTIF('5. JSACI'!$M:$M,_xlpm.id),COUNTIF('6. AIN'!$M:$M,_xlpm.id),COUNTIF('7. MS'!$M:$M,_xlpm.id),COUNTIF('8. DS'!$M:$M,_xlpm.id),COUNTIF('9. RMF'!$M:$M,_xlpm.id),COUNTIF('10. PCU'!$M:$M,_xlpm.id))))</f>
        <v>0</v>
      </c>
    </row>
    <row r="1958" spans="1:9">
      <c r="A1958" t="s">
        <v>9966</v>
      </c>
      <c r="B1958" t="s">
        <v>9924</v>
      </c>
      <c r="C1958">
        <v>1817</v>
      </c>
      <c r="D1958">
        <v>1</v>
      </c>
      <c r="E1958" s="23">
        <v>44</v>
      </c>
      <c r="F1958" t="s">
        <v>9151</v>
      </c>
      <c r="G1958" t="s">
        <v>10495</v>
      </c>
      <c r="H1958" t="s">
        <v>8036</v>
      </c>
      <c r="I1958">
        <f>_xlfn.LET(_xlpm.id,TRIM($A1958),IF(_xlpm.id="","",SUM(COUNTIF('1. OP'!$M:$M,_xlpm.id),COUNTIF('2. JSEL'!$M:$M,_xlpm.id),COUNTIF('3. PSM'!$M:$M,_xlpm.id),COUNTIF('4. SSP'!$M:$M,_xlpm.id),COUNTIF('5. JSACI'!$M:$M,_xlpm.id),COUNTIF('6. AIN'!$M:$M,_xlpm.id),COUNTIF('7. MS'!$M:$M,_xlpm.id),COUNTIF('8. DS'!$M:$M,_xlpm.id),COUNTIF('9. RMF'!$M:$M,_xlpm.id),COUNTIF('10. PCU'!$M:$M,_xlpm.id))))</f>
        <v>0</v>
      </c>
    </row>
    <row r="1959" spans="1:9">
      <c r="A1959" t="s">
        <v>9967</v>
      </c>
      <c r="B1959" t="s">
        <v>9924</v>
      </c>
      <c r="C1959">
        <v>1817</v>
      </c>
      <c r="D1959">
        <v>1</v>
      </c>
      <c r="E1959" s="23">
        <v>45</v>
      </c>
      <c r="F1959" t="s">
        <v>9151</v>
      </c>
      <c r="G1959" t="s">
        <v>10495</v>
      </c>
      <c r="H1959" t="s">
        <v>8036</v>
      </c>
      <c r="I1959">
        <f>_xlfn.LET(_xlpm.id,TRIM($A1959),IF(_xlpm.id="","",SUM(COUNTIF('1. OP'!$M:$M,_xlpm.id),COUNTIF('2. JSEL'!$M:$M,_xlpm.id),COUNTIF('3. PSM'!$M:$M,_xlpm.id),COUNTIF('4. SSP'!$M:$M,_xlpm.id),COUNTIF('5. JSACI'!$M:$M,_xlpm.id),COUNTIF('6. AIN'!$M:$M,_xlpm.id),COUNTIF('7. MS'!$M:$M,_xlpm.id),COUNTIF('8. DS'!$M:$M,_xlpm.id),COUNTIF('9. RMF'!$M:$M,_xlpm.id),COUNTIF('10. PCU'!$M:$M,_xlpm.id))))</f>
        <v>0</v>
      </c>
    </row>
    <row r="1960" spans="1:9">
      <c r="A1960" t="s">
        <v>9968</v>
      </c>
      <c r="B1960" t="s">
        <v>9924</v>
      </c>
      <c r="C1960">
        <v>1818</v>
      </c>
      <c r="D1960">
        <v>1</v>
      </c>
      <c r="E1960" s="23">
        <v>46</v>
      </c>
      <c r="F1960" t="s">
        <v>9151</v>
      </c>
      <c r="G1960" t="s">
        <v>10495</v>
      </c>
      <c r="H1960" t="s">
        <v>8036</v>
      </c>
      <c r="I1960">
        <f>_xlfn.LET(_xlpm.id,TRIM($A1960),IF(_xlpm.id="","",SUM(COUNTIF('1. OP'!$M:$M,_xlpm.id),COUNTIF('2. JSEL'!$M:$M,_xlpm.id),COUNTIF('3. PSM'!$M:$M,_xlpm.id),COUNTIF('4. SSP'!$M:$M,_xlpm.id),COUNTIF('5. JSACI'!$M:$M,_xlpm.id),COUNTIF('6. AIN'!$M:$M,_xlpm.id),COUNTIF('7. MS'!$M:$M,_xlpm.id),COUNTIF('8. DS'!$M:$M,_xlpm.id),COUNTIF('9. RMF'!$M:$M,_xlpm.id),COUNTIF('10. PCU'!$M:$M,_xlpm.id))))</f>
        <v>0</v>
      </c>
    </row>
    <row r="1961" spans="1:9">
      <c r="A1961" t="s">
        <v>9969</v>
      </c>
      <c r="B1961" t="s">
        <v>9924</v>
      </c>
      <c r="C1961">
        <v>1818</v>
      </c>
      <c r="D1961">
        <v>1</v>
      </c>
      <c r="E1961" s="23">
        <v>47</v>
      </c>
      <c r="F1961" t="s">
        <v>9151</v>
      </c>
      <c r="G1961" t="s">
        <v>10495</v>
      </c>
      <c r="H1961" t="s">
        <v>8036</v>
      </c>
      <c r="I1961">
        <f>_xlfn.LET(_xlpm.id,TRIM($A1961),IF(_xlpm.id="","",SUM(COUNTIF('1. OP'!$M:$M,_xlpm.id),COUNTIF('2. JSEL'!$M:$M,_xlpm.id),COUNTIF('3. PSM'!$M:$M,_xlpm.id),COUNTIF('4. SSP'!$M:$M,_xlpm.id),COUNTIF('5. JSACI'!$M:$M,_xlpm.id),COUNTIF('6. AIN'!$M:$M,_xlpm.id),COUNTIF('7. MS'!$M:$M,_xlpm.id),COUNTIF('8. DS'!$M:$M,_xlpm.id),COUNTIF('9. RMF'!$M:$M,_xlpm.id),COUNTIF('10. PCU'!$M:$M,_xlpm.id))))</f>
        <v>0</v>
      </c>
    </row>
    <row r="1962" spans="1:9">
      <c r="A1962" t="s">
        <v>9970</v>
      </c>
      <c r="B1962" t="s">
        <v>9924</v>
      </c>
      <c r="C1962">
        <v>1819</v>
      </c>
      <c r="D1962">
        <v>1</v>
      </c>
      <c r="E1962" s="23">
        <v>48</v>
      </c>
      <c r="F1962" t="s">
        <v>9151</v>
      </c>
      <c r="G1962" t="s">
        <v>10495</v>
      </c>
      <c r="H1962" t="s">
        <v>8036</v>
      </c>
      <c r="I1962">
        <f>_xlfn.LET(_xlpm.id,TRIM($A1962),IF(_xlpm.id="","",SUM(COUNTIF('1. OP'!$M:$M,_xlpm.id),COUNTIF('2. JSEL'!$M:$M,_xlpm.id),COUNTIF('3. PSM'!$M:$M,_xlpm.id),COUNTIF('4. SSP'!$M:$M,_xlpm.id),COUNTIF('5. JSACI'!$M:$M,_xlpm.id),COUNTIF('6. AIN'!$M:$M,_xlpm.id),COUNTIF('7. MS'!$M:$M,_xlpm.id),COUNTIF('8. DS'!$M:$M,_xlpm.id),COUNTIF('9. RMF'!$M:$M,_xlpm.id),COUNTIF('10. PCU'!$M:$M,_xlpm.id))))</f>
        <v>0</v>
      </c>
    </row>
    <row r="1963" spans="1:9">
      <c r="A1963" t="s">
        <v>9971</v>
      </c>
      <c r="B1963" t="s">
        <v>9924</v>
      </c>
      <c r="C1963">
        <v>1819</v>
      </c>
      <c r="D1963">
        <v>1</v>
      </c>
      <c r="E1963" s="23">
        <v>49</v>
      </c>
      <c r="F1963" t="s">
        <v>9151</v>
      </c>
      <c r="G1963" t="s">
        <v>10495</v>
      </c>
      <c r="H1963" t="s">
        <v>8036</v>
      </c>
      <c r="I1963">
        <f>_xlfn.LET(_xlpm.id,TRIM($A1963),IF(_xlpm.id="","",SUM(COUNTIF('1. OP'!$M:$M,_xlpm.id),COUNTIF('2. JSEL'!$M:$M,_xlpm.id),COUNTIF('3. PSM'!$M:$M,_xlpm.id),COUNTIF('4. SSP'!$M:$M,_xlpm.id),COUNTIF('5. JSACI'!$M:$M,_xlpm.id),COUNTIF('6. AIN'!$M:$M,_xlpm.id),COUNTIF('7. MS'!$M:$M,_xlpm.id),COUNTIF('8. DS'!$M:$M,_xlpm.id),COUNTIF('9. RMF'!$M:$M,_xlpm.id),COUNTIF('10. PCU'!$M:$M,_xlpm.id))))</f>
        <v>0</v>
      </c>
    </row>
    <row r="1964" spans="1:9">
      <c r="A1964" t="s">
        <v>9972</v>
      </c>
      <c r="B1964" t="s">
        <v>9924</v>
      </c>
      <c r="C1964">
        <v>1820</v>
      </c>
      <c r="D1964">
        <v>1</v>
      </c>
      <c r="E1964" s="23">
        <v>50</v>
      </c>
      <c r="F1964" t="s">
        <v>9151</v>
      </c>
      <c r="G1964" t="s">
        <v>10495</v>
      </c>
      <c r="H1964" t="s">
        <v>8036</v>
      </c>
      <c r="I1964">
        <f>_xlfn.LET(_xlpm.id,TRIM($A1964),IF(_xlpm.id="","",SUM(COUNTIF('1. OP'!$M:$M,_xlpm.id),COUNTIF('2. JSEL'!$M:$M,_xlpm.id),COUNTIF('3. PSM'!$M:$M,_xlpm.id),COUNTIF('4. SSP'!$M:$M,_xlpm.id),COUNTIF('5. JSACI'!$M:$M,_xlpm.id),COUNTIF('6. AIN'!$M:$M,_xlpm.id),COUNTIF('7. MS'!$M:$M,_xlpm.id),COUNTIF('8. DS'!$M:$M,_xlpm.id),COUNTIF('9. RMF'!$M:$M,_xlpm.id),COUNTIF('10. PCU'!$M:$M,_xlpm.id))))</f>
        <v>0</v>
      </c>
    </row>
    <row r="1965" spans="1:9">
      <c r="A1965" t="s">
        <v>9973</v>
      </c>
      <c r="B1965" t="s">
        <v>9924</v>
      </c>
      <c r="C1965">
        <v>1820</v>
      </c>
      <c r="D1965">
        <v>1</v>
      </c>
      <c r="E1965" s="23">
        <v>51</v>
      </c>
      <c r="F1965" t="s">
        <v>9151</v>
      </c>
      <c r="G1965" t="s">
        <v>10495</v>
      </c>
      <c r="H1965" t="s">
        <v>8036</v>
      </c>
      <c r="I1965">
        <f>_xlfn.LET(_xlpm.id,TRIM($A1965),IF(_xlpm.id="","",SUM(COUNTIF('1. OP'!$M:$M,_xlpm.id),COUNTIF('2. JSEL'!$M:$M,_xlpm.id),COUNTIF('3. PSM'!$M:$M,_xlpm.id),COUNTIF('4. SSP'!$M:$M,_xlpm.id),COUNTIF('5. JSACI'!$M:$M,_xlpm.id),COUNTIF('6. AIN'!$M:$M,_xlpm.id),COUNTIF('7. MS'!$M:$M,_xlpm.id),COUNTIF('8. DS'!$M:$M,_xlpm.id),COUNTIF('9. RMF'!$M:$M,_xlpm.id),COUNTIF('10. PCU'!$M:$M,_xlpm.id))))</f>
        <v>0</v>
      </c>
    </row>
    <row r="1966" spans="1:9">
      <c r="A1966" t="s">
        <v>9974</v>
      </c>
      <c r="B1966" t="s">
        <v>9924</v>
      </c>
      <c r="C1966">
        <v>1821</v>
      </c>
      <c r="D1966">
        <v>1</v>
      </c>
      <c r="E1966" s="23">
        <v>52</v>
      </c>
      <c r="F1966" t="s">
        <v>9151</v>
      </c>
      <c r="G1966" t="s">
        <v>10495</v>
      </c>
      <c r="H1966" t="s">
        <v>8036</v>
      </c>
      <c r="I1966">
        <f>_xlfn.LET(_xlpm.id,TRIM($A1966),IF(_xlpm.id="","",SUM(COUNTIF('1. OP'!$M:$M,_xlpm.id),COUNTIF('2. JSEL'!$M:$M,_xlpm.id),COUNTIF('3. PSM'!$M:$M,_xlpm.id),COUNTIF('4. SSP'!$M:$M,_xlpm.id),COUNTIF('5. JSACI'!$M:$M,_xlpm.id),COUNTIF('6. AIN'!$M:$M,_xlpm.id),COUNTIF('7. MS'!$M:$M,_xlpm.id),COUNTIF('8. DS'!$M:$M,_xlpm.id),COUNTIF('9. RMF'!$M:$M,_xlpm.id),COUNTIF('10. PCU'!$M:$M,_xlpm.id))))</f>
        <v>0</v>
      </c>
    </row>
    <row r="1967" spans="1:9">
      <c r="A1967" t="s">
        <v>9975</v>
      </c>
      <c r="B1967" t="s">
        <v>9924</v>
      </c>
      <c r="C1967">
        <v>1821</v>
      </c>
      <c r="D1967">
        <v>1</v>
      </c>
      <c r="E1967" s="23">
        <v>53</v>
      </c>
      <c r="F1967" t="s">
        <v>9151</v>
      </c>
      <c r="G1967" t="s">
        <v>10495</v>
      </c>
      <c r="H1967" t="s">
        <v>8036</v>
      </c>
      <c r="I1967">
        <f>_xlfn.LET(_xlpm.id,TRIM($A1967),IF(_xlpm.id="","",SUM(COUNTIF('1. OP'!$M:$M,_xlpm.id),COUNTIF('2. JSEL'!$M:$M,_xlpm.id),COUNTIF('3. PSM'!$M:$M,_xlpm.id),COUNTIF('4. SSP'!$M:$M,_xlpm.id),COUNTIF('5. JSACI'!$M:$M,_xlpm.id),COUNTIF('6. AIN'!$M:$M,_xlpm.id),COUNTIF('7. MS'!$M:$M,_xlpm.id),COUNTIF('8. DS'!$M:$M,_xlpm.id),COUNTIF('9. RMF'!$M:$M,_xlpm.id),COUNTIF('10. PCU'!$M:$M,_xlpm.id))))</f>
        <v>0</v>
      </c>
    </row>
    <row r="1968" spans="1:9">
      <c r="A1968" t="s">
        <v>9976</v>
      </c>
      <c r="B1968" t="s">
        <v>9924</v>
      </c>
      <c r="C1968">
        <v>1822</v>
      </c>
      <c r="D1968">
        <v>1</v>
      </c>
      <c r="E1968" s="23">
        <v>54</v>
      </c>
      <c r="F1968" t="s">
        <v>9151</v>
      </c>
      <c r="G1968" t="s">
        <v>10495</v>
      </c>
      <c r="H1968" t="s">
        <v>8036</v>
      </c>
      <c r="I1968">
        <f>_xlfn.LET(_xlpm.id,TRIM($A1968),IF(_xlpm.id="","",SUM(COUNTIF('1. OP'!$M:$M,_xlpm.id),COUNTIF('2. JSEL'!$M:$M,_xlpm.id),COUNTIF('3. PSM'!$M:$M,_xlpm.id),COUNTIF('4. SSP'!$M:$M,_xlpm.id),COUNTIF('5. JSACI'!$M:$M,_xlpm.id),COUNTIF('6. AIN'!$M:$M,_xlpm.id),COUNTIF('7. MS'!$M:$M,_xlpm.id),COUNTIF('8. DS'!$M:$M,_xlpm.id),COUNTIF('9. RMF'!$M:$M,_xlpm.id),COUNTIF('10. PCU'!$M:$M,_xlpm.id))))</f>
        <v>0</v>
      </c>
    </row>
    <row r="1969" spans="1:9">
      <c r="A1969" t="s">
        <v>9977</v>
      </c>
      <c r="B1969" t="s">
        <v>9924</v>
      </c>
      <c r="C1969">
        <v>1822</v>
      </c>
      <c r="D1969">
        <v>1</v>
      </c>
      <c r="E1969" s="23">
        <v>55</v>
      </c>
      <c r="F1969" t="s">
        <v>9151</v>
      </c>
      <c r="G1969" t="s">
        <v>10495</v>
      </c>
      <c r="H1969" t="s">
        <v>8036</v>
      </c>
      <c r="I1969">
        <f>_xlfn.LET(_xlpm.id,TRIM($A1969),IF(_xlpm.id="","",SUM(COUNTIF('1. OP'!$M:$M,_xlpm.id),COUNTIF('2. JSEL'!$M:$M,_xlpm.id),COUNTIF('3. PSM'!$M:$M,_xlpm.id),COUNTIF('4. SSP'!$M:$M,_xlpm.id),COUNTIF('5. JSACI'!$M:$M,_xlpm.id),COUNTIF('6. AIN'!$M:$M,_xlpm.id),COUNTIF('7. MS'!$M:$M,_xlpm.id),COUNTIF('8. DS'!$M:$M,_xlpm.id),COUNTIF('9. RMF'!$M:$M,_xlpm.id),COUNTIF('10. PCU'!$M:$M,_xlpm.id))))</f>
        <v>0</v>
      </c>
    </row>
    <row r="1970" spans="1:9">
      <c r="A1970" t="s">
        <v>9978</v>
      </c>
      <c r="B1970" t="s">
        <v>9924</v>
      </c>
      <c r="C1970">
        <v>1823</v>
      </c>
      <c r="D1970">
        <v>1</v>
      </c>
      <c r="E1970" s="23">
        <v>56</v>
      </c>
      <c r="F1970" t="s">
        <v>9151</v>
      </c>
      <c r="G1970" t="s">
        <v>10495</v>
      </c>
      <c r="H1970" t="s">
        <v>8036</v>
      </c>
      <c r="I1970">
        <f>_xlfn.LET(_xlpm.id,TRIM($A1970),IF(_xlpm.id="","",SUM(COUNTIF('1. OP'!$M:$M,_xlpm.id),COUNTIF('2. JSEL'!$M:$M,_xlpm.id),COUNTIF('3. PSM'!$M:$M,_xlpm.id),COUNTIF('4. SSP'!$M:$M,_xlpm.id),COUNTIF('5. JSACI'!$M:$M,_xlpm.id),COUNTIF('6. AIN'!$M:$M,_xlpm.id),COUNTIF('7. MS'!$M:$M,_xlpm.id),COUNTIF('8. DS'!$M:$M,_xlpm.id),COUNTIF('9. RMF'!$M:$M,_xlpm.id),COUNTIF('10. PCU'!$M:$M,_xlpm.id))))</f>
        <v>0</v>
      </c>
    </row>
    <row r="1971" spans="1:9">
      <c r="A1971" t="s">
        <v>9979</v>
      </c>
      <c r="B1971" t="s">
        <v>9924</v>
      </c>
      <c r="C1971">
        <v>1823</v>
      </c>
      <c r="D1971">
        <v>1</v>
      </c>
      <c r="E1971" s="23">
        <v>57</v>
      </c>
      <c r="F1971" t="s">
        <v>9151</v>
      </c>
      <c r="G1971" t="s">
        <v>10495</v>
      </c>
      <c r="H1971" t="s">
        <v>8036</v>
      </c>
      <c r="I1971">
        <f>_xlfn.LET(_xlpm.id,TRIM($A1971),IF(_xlpm.id="","",SUM(COUNTIF('1. OP'!$M:$M,_xlpm.id),COUNTIF('2. JSEL'!$M:$M,_xlpm.id),COUNTIF('3. PSM'!$M:$M,_xlpm.id),COUNTIF('4. SSP'!$M:$M,_xlpm.id),COUNTIF('5. JSACI'!$M:$M,_xlpm.id),COUNTIF('6. AIN'!$M:$M,_xlpm.id),COUNTIF('7. MS'!$M:$M,_xlpm.id),COUNTIF('8. DS'!$M:$M,_xlpm.id),COUNTIF('9. RMF'!$M:$M,_xlpm.id),COUNTIF('10. PCU'!$M:$M,_xlpm.id))))</f>
        <v>0</v>
      </c>
    </row>
    <row r="1972" spans="1:9">
      <c r="A1972" t="s">
        <v>9980</v>
      </c>
      <c r="B1972" t="s">
        <v>9924</v>
      </c>
      <c r="C1972">
        <v>1824</v>
      </c>
      <c r="D1972">
        <v>1</v>
      </c>
      <c r="E1972" s="23">
        <v>58</v>
      </c>
      <c r="F1972" t="s">
        <v>9151</v>
      </c>
      <c r="G1972" t="s">
        <v>10495</v>
      </c>
      <c r="H1972" t="s">
        <v>8036</v>
      </c>
      <c r="I1972">
        <f>_xlfn.LET(_xlpm.id,TRIM($A1972),IF(_xlpm.id="","",SUM(COUNTIF('1. OP'!$M:$M,_xlpm.id),COUNTIF('2. JSEL'!$M:$M,_xlpm.id),COUNTIF('3. PSM'!$M:$M,_xlpm.id),COUNTIF('4. SSP'!$M:$M,_xlpm.id),COUNTIF('5. JSACI'!$M:$M,_xlpm.id),COUNTIF('6. AIN'!$M:$M,_xlpm.id),COUNTIF('7. MS'!$M:$M,_xlpm.id),COUNTIF('8. DS'!$M:$M,_xlpm.id),COUNTIF('9. RMF'!$M:$M,_xlpm.id),COUNTIF('10. PCU'!$M:$M,_xlpm.id))))</f>
        <v>0</v>
      </c>
    </row>
    <row r="1973" spans="1:9">
      <c r="A1973" t="s">
        <v>9981</v>
      </c>
      <c r="B1973" t="s">
        <v>9924</v>
      </c>
      <c r="C1973">
        <v>1825</v>
      </c>
      <c r="D1973">
        <v>1</v>
      </c>
      <c r="E1973" s="23">
        <v>60</v>
      </c>
      <c r="F1973" t="s">
        <v>9151</v>
      </c>
      <c r="G1973" t="s">
        <v>10495</v>
      </c>
      <c r="H1973" t="s">
        <v>8036</v>
      </c>
      <c r="I1973">
        <f>_xlfn.LET(_xlpm.id,TRIM($A1973),IF(_xlpm.id="","",SUM(COUNTIF('1. OP'!$M:$M,_xlpm.id),COUNTIF('2. JSEL'!$M:$M,_xlpm.id),COUNTIF('3. PSM'!$M:$M,_xlpm.id),COUNTIF('4. SSP'!$M:$M,_xlpm.id),COUNTIF('5. JSACI'!$M:$M,_xlpm.id),COUNTIF('6. AIN'!$M:$M,_xlpm.id),COUNTIF('7. MS'!$M:$M,_xlpm.id),COUNTIF('8. DS'!$M:$M,_xlpm.id),COUNTIF('9. RMF'!$M:$M,_xlpm.id),COUNTIF('10. PCU'!$M:$M,_xlpm.id))))</f>
        <v>0</v>
      </c>
    </row>
    <row r="1974" spans="1:9">
      <c r="A1974" t="s">
        <v>9982</v>
      </c>
      <c r="B1974" t="s">
        <v>9924</v>
      </c>
      <c r="C1974">
        <v>1825</v>
      </c>
      <c r="D1974">
        <v>1</v>
      </c>
      <c r="E1974" s="23">
        <v>61</v>
      </c>
      <c r="F1974" t="s">
        <v>9151</v>
      </c>
      <c r="G1974" t="s">
        <v>10495</v>
      </c>
      <c r="H1974" t="s">
        <v>8036</v>
      </c>
      <c r="I1974">
        <f>_xlfn.LET(_xlpm.id,TRIM($A1974),IF(_xlpm.id="","",SUM(COUNTIF('1. OP'!$M:$M,_xlpm.id),COUNTIF('2. JSEL'!$M:$M,_xlpm.id),COUNTIF('3. PSM'!$M:$M,_xlpm.id),COUNTIF('4. SSP'!$M:$M,_xlpm.id),COUNTIF('5. JSACI'!$M:$M,_xlpm.id),COUNTIF('6. AIN'!$M:$M,_xlpm.id),COUNTIF('7. MS'!$M:$M,_xlpm.id),COUNTIF('8. DS'!$M:$M,_xlpm.id),COUNTIF('9. RMF'!$M:$M,_xlpm.id),COUNTIF('10. PCU'!$M:$M,_xlpm.id))))</f>
        <v>0</v>
      </c>
    </row>
    <row r="1975" spans="1:9">
      <c r="A1975" t="s">
        <v>9983</v>
      </c>
      <c r="B1975" t="s">
        <v>9924</v>
      </c>
      <c r="C1975">
        <v>1826</v>
      </c>
      <c r="D1975">
        <v>1</v>
      </c>
      <c r="E1975" s="23">
        <v>62</v>
      </c>
      <c r="F1975" t="s">
        <v>9151</v>
      </c>
      <c r="G1975" t="s">
        <v>10495</v>
      </c>
      <c r="H1975" t="s">
        <v>8036</v>
      </c>
      <c r="I1975">
        <f>_xlfn.LET(_xlpm.id,TRIM($A1975),IF(_xlpm.id="","",SUM(COUNTIF('1. OP'!$M:$M,_xlpm.id),COUNTIF('2. JSEL'!$M:$M,_xlpm.id),COUNTIF('3. PSM'!$M:$M,_xlpm.id),COUNTIF('4. SSP'!$M:$M,_xlpm.id),COUNTIF('5. JSACI'!$M:$M,_xlpm.id),COUNTIF('6. AIN'!$M:$M,_xlpm.id),COUNTIF('7. MS'!$M:$M,_xlpm.id),COUNTIF('8. DS'!$M:$M,_xlpm.id),COUNTIF('9. RMF'!$M:$M,_xlpm.id),COUNTIF('10. PCU'!$M:$M,_xlpm.id))))</f>
        <v>0</v>
      </c>
    </row>
    <row r="1976" spans="1:9">
      <c r="A1976" t="s">
        <v>9984</v>
      </c>
      <c r="B1976" t="s">
        <v>9924</v>
      </c>
      <c r="C1976">
        <v>1826</v>
      </c>
      <c r="D1976">
        <v>1</v>
      </c>
      <c r="E1976" s="23">
        <v>63</v>
      </c>
      <c r="F1976" t="s">
        <v>9151</v>
      </c>
      <c r="G1976" t="s">
        <v>10495</v>
      </c>
      <c r="H1976" t="s">
        <v>8036</v>
      </c>
      <c r="I1976">
        <f>_xlfn.LET(_xlpm.id,TRIM($A1976),IF(_xlpm.id="","",SUM(COUNTIF('1. OP'!$M:$M,_xlpm.id),COUNTIF('2. JSEL'!$M:$M,_xlpm.id),COUNTIF('3. PSM'!$M:$M,_xlpm.id),COUNTIF('4. SSP'!$M:$M,_xlpm.id),COUNTIF('5. JSACI'!$M:$M,_xlpm.id),COUNTIF('6. AIN'!$M:$M,_xlpm.id),COUNTIF('7. MS'!$M:$M,_xlpm.id),COUNTIF('8. DS'!$M:$M,_xlpm.id),COUNTIF('9. RMF'!$M:$M,_xlpm.id),COUNTIF('10. PCU'!$M:$M,_xlpm.id))))</f>
        <v>0</v>
      </c>
    </row>
    <row r="1977" spans="1:9">
      <c r="A1977" t="s">
        <v>9985</v>
      </c>
      <c r="B1977" t="s">
        <v>9924</v>
      </c>
      <c r="C1977">
        <v>1827</v>
      </c>
      <c r="D1977">
        <v>1</v>
      </c>
      <c r="E1977" s="23">
        <v>64</v>
      </c>
      <c r="F1977" t="s">
        <v>9151</v>
      </c>
      <c r="G1977" t="s">
        <v>10495</v>
      </c>
      <c r="H1977" t="s">
        <v>8036</v>
      </c>
      <c r="I1977">
        <f>_xlfn.LET(_xlpm.id,TRIM($A1977),IF(_xlpm.id="","",SUM(COUNTIF('1. OP'!$M:$M,_xlpm.id),COUNTIF('2. JSEL'!$M:$M,_xlpm.id),COUNTIF('3. PSM'!$M:$M,_xlpm.id),COUNTIF('4. SSP'!$M:$M,_xlpm.id),COUNTIF('5. JSACI'!$M:$M,_xlpm.id),COUNTIF('6. AIN'!$M:$M,_xlpm.id),COUNTIF('7. MS'!$M:$M,_xlpm.id),COUNTIF('8. DS'!$M:$M,_xlpm.id),COUNTIF('9. RMF'!$M:$M,_xlpm.id),COUNTIF('10. PCU'!$M:$M,_xlpm.id))))</f>
        <v>0</v>
      </c>
    </row>
    <row r="1978" spans="1:9">
      <c r="A1978" t="s">
        <v>9986</v>
      </c>
      <c r="B1978" t="s">
        <v>9924</v>
      </c>
      <c r="C1978">
        <v>1827</v>
      </c>
      <c r="D1978">
        <v>1</v>
      </c>
      <c r="E1978" s="23">
        <v>65</v>
      </c>
      <c r="F1978" t="s">
        <v>9151</v>
      </c>
      <c r="G1978" t="s">
        <v>10495</v>
      </c>
      <c r="H1978" t="s">
        <v>8036</v>
      </c>
      <c r="I1978">
        <f>_xlfn.LET(_xlpm.id,TRIM($A1978),IF(_xlpm.id="","",SUM(COUNTIF('1. OP'!$M:$M,_xlpm.id),COUNTIF('2. JSEL'!$M:$M,_xlpm.id),COUNTIF('3. PSM'!$M:$M,_xlpm.id),COUNTIF('4. SSP'!$M:$M,_xlpm.id),COUNTIF('5. JSACI'!$M:$M,_xlpm.id),COUNTIF('6. AIN'!$M:$M,_xlpm.id),COUNTIF('7. MS'!$M:$M,_xlpm.id),COUNTIF('8. DS'!$M:$M,_xlpm.id),COUNTIF('9. RMF'!$M:$M,_xlpm.id),COUNTIF('10. PCU'!$M:$M,_xlpm.id))))</f>
        <v>0</v>
      </c>
    </row>
    <row r="1979" spans="1:9">
      <c r="A1979" t="s">
        <v>9987</v>
      </c>
      <c r="B1979" t="s">
        <v>9924</v>
      </c>
      <c r="C1979">
        <v>1828</v>
      </c>
      <c r="D1979">
        <v>1</v>
      </c>
      <c r="E1979" s="23">
        <v>66</v>
      </c>
      <c r="F1979" t="s">
        <v>9151</v>
      </c>
      <c r="G1979" t="s">
        <v>10495</v>
      </c>
      <c r="H1979" t="s">
        <v>8036</v>
      </c>
      <c r="I1979">
        <f>_xlfn.LET(_xlpm.id,TRIM($A1979),IF(_xlpm.id="","",SUM(COUNTIF('1. OP'!$M:$M,_xlpm.id),COUNTIF('2. JSEL'!$M:$M,_xlpm.id),COUNTIF('3. PSM'!$M:$M,_xlpm.id),COUNTIF('4. SSP'!$M:$M,_xlpm.id),COUNTIF('5. JSACI'!$M:$M,_xlpm.id),COUNTIF('6. AIN'!$M:$M,_xlpm.id),COUNTIF('7. MS'!$M:$M,_xlpm.id),COUNTIF('8. DS'!$M:$M,_xlpm.id),COUNTIF('9. RMF'!$M:$M,_xlpm.id),COUNTIF('10. PCU'!$M:$M,_xlpm.id))))</f>
        <v>0</v>
      </c>
    </row>
    <row r="1980" spans="1:9">
      <c r="A1980" t="s">
        <v>9988</v>
      </c>
      <c r="B1980" t="s">
        <v>9924</v>
      </c>
      <c r="C1980">
        <v>1828</v>
      </c>
      <c r="D1980">
        <v>1</v>
      </c>
      <c r="E1980" s="23">
        <v>67</v>
      </c>
      <c r="F1980" t="s">
        <v>9151</v>
      </c>
      <c r="G1980" t="s">
        <v>10495</v>
      </c>
      <c r="H1980" t="s">
        <v>8036</v>
      </c>
      <c r="I1980">
        <f>_xlfn.LET(_xlpm.id,TRIM($A1980),IF(_xlpm.id="","",SUM(COUNTIF('1. OP'!$M:$M,_xlpm.id),COUNTIF('2. JSEL'!$M:$M,_xlpm.id),COUNTIF('3. PSM'!$M:$M,_xlpm.id),COUNTIF('4. SSP'!$M:$M,_xlpm.id),COUNTIF('5. JSACI'!$M:$M,_xlpm.id),COUNTIF('6. AIN'!$M:$M,_xlpm.id),COUNTIF('7. MS'!$M:$M,_xlpm.id),COUNTIF('8. DS'!$M:$M,_xlpm.id),COUNTIF('9. RMF'!$M:$M,_xlpm.id),COUNTIF('10. PCU'!$M:$M,_xlpm.id))))</f>
        <v>0</v>
      </c>
    </row>
    <row r="1981" spans="1:9">
      <c r="A1981" t="s">
        <v>9989</v>
      </c>
      <c r="B1981" t="s">
        <v>9924</v>
      </c>
      <c r="C1981">
        <v>1829</v>
      </c>
      <c r="D1981">
        <v>1</v>
      </c>
      <c r="E1981" s="23">
        <v>68</v>
      </c>
      <c r="F1981" t="s">
        <v>9151</v>
      </c>
      <c r="G1981" t="s">
        <v>10495</v>
      </c>
      <c r="H1981" t="s">
        <v>8036</v>
      </c>
      <c r="I1981">
        <f>_xlfn.LET(_xlpm.id,TRIM($A1981),IF(_xlpm.id="","",SUM(COUNTIF('1. OP'!$M:$M,_xlpm.id),COUNTIF('2. JSEL'!$M:$M,_xlpm.id),COUNTIF('3. PSM'!$M:$M,_xlpm.id),COUNTIF('4. SSP'!$M:$M,_xlpm.id),COUNTIF('5. JSACI'!$M:$M,_xlpm.id),COUNTIF('6. AIN'!$M:$M,_xlpm.id),COUNTIF('7. MS'!$M:$M,_xlpm.id),COUNTIF('8. DS'!$M:$M,_xlpm.id),COUNTIF('9. RMF'!$M:$M,_xlpm.id),COUNTIF('10. PCU'!$M:$M,_xlpm.id))))</f>
        <v>0</v>
      </c>
    </row>
    <row r="1982" spans="1:9">
      <c r="A1982" t="s">
        <v>9990</v>
      </c>
      <c r="B1982" t="s">
        <v>9924</v>
      </c>
      <c r="C1982">
        <v>1829</v>
      </c>
      <c r="D1982">
        <v>1</v>
      </c>
      <c r="E1982" s="23">
        <v>69</v>
      </c>
      <c r="F1982" t="s">
        <v>9151</v>
      </c>
      <c r="G1982" t="s">
        <v>10495</v>
      </c>
      <c r="H1982" t="s">
        <v>8036</v>
      </c>
      <c r="I1982">
        <f>_xlfn.LET(_xlpm.id,TRIM($A1982),IF(_xlpm.id="","",SUM(COUNTIF('1. OP'!$M:$M,_xlpm.id),COUNTIF('2. JSEL'!$M:$M,_xlpm.id),COUNTIF('3. PSM'!$M:$M,_xlpm.id),COUNTIF('4. SSP'!$M:$M,_xlpm.id),COUNTIF('5. JSACI'!$M:$M,_xlpm.id),COUNTIF('6. AIN'!$M:$M,_xlpm.id),COUNTIF('7. MS'!$M:$M,_xlpm.id),COUNTIF('8. DS'!$M:$M,_xlpm.id),COUNTIF('9. RMF'!$M:$M,_xlpm.id),COUNTIF('10. PCU'!$M:$M,_xlpm.id))))</f>
        <v>0</v>
      </c>
    </row>
    <row r="1983" spans="1:9">
      <c r="A1983" t="s">
        <v>9991</v>
      </c>
      <c r="B1983" t="s">
        <v>9924</v>
      </c>
      <c r="C1983">
        <v>1830</v>
      </c>
      <c r="D1983">
        <v>1</v>
      </c>
      <c r="E1983" s="23">
        <v>70</v>
      </c>
      <c r="F1983" t="s">
        <v>9151</v>
      </c>
      <c r="G1983" t="s">
        <v>10495</v>
      </c>
      <c r="H1983" t="s">
        <v>8036</v>
      </c>
      <c r="I1983">
        <f>_xlfn.LET(_xlpm.id,TRIM($A1983),IF(_xlpm.id="","",SUM(COUNTIF('1. OP'!$M:$M,_xlpm.id),COUNTIF('2. JSEL'!$M:$M,_xlpm.id),COUNTIF('3. PSM'!$M:$M,_xlpm.id),COUNTIF('4. SSP'!$M:$M,_xlpm.id),COUNTIF('5. JSACI'!$M:$M,_xlpm.id),COUNTIF('6. AIN'!$M:$M,_xlpm.id),COUNTIF('7. MS'!$M:$M,_xlpm.id),COUNTIF('8. DS'!$M:$M,_xlpm.id),COUNTIF('9. RMF'!$M:$M,_xlpm.id),COUNTIF('10. PCU'!$M:$M,_xlpm.id))))</f>
        <v>0</v>
      </c>
    </row>
    <row r="1984" spans="1:9">
      <c r="A1984" t="s">
        <v>9992</v>
      </c>
      <c r="B1984" t="s">
        <v>9924</v>
      </c>
      <c r="C1984">
        <v>1830</v>
      </c>
      <c r="D1984">
        <v>1</v>
      </c>
      <c r="E1984" s="23">
        <v>71</v>
      </c>
      <c r="F1984" t="s">
        <v>9151</v>
      </c>
      <c r="G1984" t="s">
        <v>10495</v>
      </c>
      <c r="H1984" t="s">
        <v>8036</v>
      </c>
      <c r="I1984">
        <f>_xlfn.LET(_xlpm.id,TRIM($A1984),IF(_xlpm.id="","",SUM(COUNTIF('1. OP'!$M:$M,_xlpm.id),COUNTIF('2. JSEL'!$M:$M,_xlpm.id),COUNTIF('3. PSM'!$M:$M,_xlpm.id),COUNTIF('4. SSP'!$M:$M,_xlpm.id),COUNTIF('5. JSACI'!$M:$M,_xlpm.id),COUNTIF('6. AIN'!$M:$M,_xlpm.id),COUNTIF('7. MS'!$M:$M,_xlpm.id),COUNTIF('8. DS'!$M:$M,_xlpm.id),COUNTIF('9. RMF'!$M:$M,_xlpm.id),COUNTIF('10. PCU'!$M:$M,_xlpm.id))))</f>
        <v>0</v>
      </c>
    </row>
    <row r="1985" spans="1:9">
      <c r="A1985" t="s">
        <v>9993</v>
      </c>
      <c r="B1985" t="s">
        <v>9924</v>
      </c>
      <c r="C1985">
        <v>1831</v>
      </c>
      <c r="D1985">
        <v>1</v>
      </c>
      <c r="E1985" s="23">
        <v>72</v>
      </c>
      <c r="F1985" t="s">
        <v>9151</v>
      </c>
      <c r="G1985" t="s">
        <v>10495</v>
      </c>
      <c r="H1985" t="s">
        <v>8036</v>
      </c>
      <c r="I1985">
        <f>_xlfn.LET(_xlpm.id,TRIM($A1985),IF(_xlpm.id="","",SUM(COUNTIF('1. OP'!$M:$M,_xlpm.id),COUNTIF('2. JSEL'!$M:$M,_xlpm.id),COUNTIF('3. PSM'!$M:$M,_xlpm.id),COUNTIF('4. SSP'!$M:$M,_xlpm.id),COUNTIF('5. JSACI'!$M:$M,_xlpm.id),COUNTIF('6. AIN'!$M:$M,_xlpm.id),COUNTIF('7. MS'!$M:$M,_xlpm.id),COUNTIF('8. DS'!$M:$M,_xlpm.id),COUNTIF('9. RMF'!$M:$M,_xlpm.id),COUNTIF('10. PCU'!$M:$M,_xlpm.id))))</f>
        <v>0</v>
      </c>
    </row>
    <row r="1986" spans="1:9">
      <c r="A1986" t="s">
        <v>9994</v>
      </c>
      <c r="B1986" t="s">
        <v>9924</v>
      </c>
      <c r="C1986">
        <v>1831</v>
      </c>
      <c r="D1986">
        <v>1</v>
      </c>
      <c r="E1986" s="23">
        <v>73</v>
      </c>
      <c r="F1986" t="s">
        <v>9151</v>
      </c>
      <c r="G1986" t="s">
        <v>10495</v>
      </c>
      <c r="H1986" t="s">
        <v>8036</v>
      </c>
      <c r="I1986">
        <f>_xlfn.LET(_xlpm.id,TRIM($A1986),IF(_xlpm.id="","",SUM(COUNTIF('1. OP'!$M:$M,_xlpm.id),COUNTIF('2. JSEL'!$M:$M,_xlpm.id),COUNTIF('3. PSM'!$M:$M,_xlpm.id),COUNTIF('4. SSP'!$M:$M,_xlpm.id),COUNTIF('5. JSACI'!$M:$M,_xlpm.id),COUNTIF('6. AIN'!$M:$M,_xlpm.id),COUNTIF('7. MS'!$M:$M,_xlpm.id),COUNTIF('8. DS'!$M:$M,_xlpm.id),COUNTIF('9. RMF'!$M:$M,_xlpm.id),COUNTIF('10. PCU'!$M:$M,_xlpm.id))))</f>
        <v>0</v>
      </c>
    </row>
    <row r="1987" spans="1:9">
      <c r="A1987" t="s">
        <v>9995</v>
      </c>
      <c r="B1987" t="s">
        <v>9924</v>
      </c>
      <c r="C1987">
        <v>1832</v>
      </c>
      <c r="D1987">
        <v>1</v>
      </c>
      <c r="E1987" s="23">
        <v>74</v>
      </c>
      <c r="F1987" t="s">
        <v>9151</v>
      </c>
      <c r="G1987" t="s">
        <v>10495</v>
      </c>
      <c r="H1987" t="s">
        <v>8036</v>
      </c>
      <c r="I1987">
        <f>_xlfn.LET(_xlpm.id,TRIM($A1987),IF(_xlpm.id="","",SUM(COUNTIF('1. OP'!$M:$M,_xlpm.id),COUNTIF('2. JSEL'!$M:$M,_xlpm.id),COUNTIF('3. PSM'!$M:$M,_xlpm.id),COUNTIF('4. SSP'!$M:$M,_xlpm.id),COUNTIF('5. JSACI'!$M:$M,_xlpm.id),COUNTIF('6. AIN'!$M:$M,_xlpm.id),COUNTIF('7. MS'!$M:$M,_xlpm.id),COUNTIF('8. DS'!$M:$M,_xlpm.id),COUNTIF('9. RMF'!$M:$M,_xlpm.id),COUNTIF('10. PCU'!$M:$M,_xlpm.id))))</f>
        <v>0</v>
      </c>
    </row>
    <row r="1988" spans="1:9">
      <c r="A1988" t="s">
        <v>9996</v>
      </c>
      <c r="B1988" t="s">
        <v>9924</v>
      </c>
      <c r="C1988">
        <v>1832</v>
      </c>
      <c r="D1988">
        <v>1</v>
      </c>
      <c r="E1988" s="23">
        <v>75</v>
      </c>
      <c r="F1988" t="s">
        <v>9151</v>
      </c>
      <c r="G1988" t="s">
        <v>10495</v>
      </c>
      <c r="H1988" t="s">
        <v>8036</v>
      </c>
      <c r="I1988">
        <f>_xlfn.LET(_xlpm.id,TRIM($A1988),IF(_xlpm.id="","",SUM(COUNTIF('1. OP'!$M:$M,_xlpm.id),COUNTIF('2. JSEL'!$M:$M,_xlpm.id),COUNTIF('3. PSM'!$M:$M,_xlpm.id),COUNTIF('4. SSP'!$M:$M,_xlpm.id),COUNTIF('5. JSACI'!$M:$M,_xlpm.id),COUNTIF('6. AIN'!$M:$M,_xlpm.id),COUNTIF('7. MS'!$M:$M,_xlpm.id),COUNTIF('8. DS'!$M:$M,_xlpm.id),COUNTIF('9. RMF'!$M:$M,_xlpm.id),COUNTIF('10. PCU'!$M:$M,_xlpm.id))))</f>
        <v>0</v>
      </c>
    </row>
    <row r="1989" spans="1:9">
      <c r="A1989" t="s">
        <v>9997</v>
      </c>
      <c r="B1989" t="s">
        <v>9924</v>
      </c>
      <c r="C1989">
        <v>1833</v>
      </c>
      <c r="D1989">
        <v>1</v>
      </c>
      <c r="E1989" s="23">
        <v>76</v>
      </c>
      <c r="F1989" t="s">
        <v>9151</v>
      </c>
      <c r="G1989" t="s">
        <v>10495</v>
      </c>
      <c r="H1989" t="s">
        <v>8036</v>
      </c>
      <c r="I1989">
        <f>_xlfn.LET(_xlpm.id,TRIM($A1989),IF(_xlpm.id="","",SUM(COUNTIF('1. OP'!$M:$M,_xlpm.id),COUNTIF('2. JSEL'!$M:$M,_xlpm.id),COUNTIF('3. PSM'!$M:$M,_xlpm.id),COUNTIF('4. SSP'!$M:$M,_xlpm.id),COUNTIF('5. JSACI'!$M:$M,_xlpm.id),COUNTIF('6. AIN'!$M:$M,_xlpm.id),COUNTIF('7. MS'!$M:$M,_xlpm.id),COUNTIF('8. DS'!$M:$M,_xlpm.id),COUNTIF('9. RMF'!$M:$M,_xlpm.id),COUNTIF('10. PCU'!$M:$M,_xlpm.id))))</f>
        <v>0</v>
      </c>
    </row>
    <row r="1990" spans="1:9">
      <c r="A1990" t="s">
        <v>9998</v>
      </c>
      <c r="B1990" t="s">
        <v>9924</v>
      </c>
      <c r="C1990">
        <v>1833</v>
      </c>
      <c r="D1990">
        <v>1</v>
      </c>
      <c r="E1990" s="23">
        <v>77</v>
      </c>
      <c r="F1990" t="s">
        <v>9151</v>
      </c>
      <c r="G1990" t="s">
        <v>10495</v>
      </c>
      <c r="H1990" t="s">
        <v>8036</v>
      </c>
      <c r="I1990">
        <f>_xlfn.LET(_xlpm.id,TRIM($A1990),IF(_xlpm.id="","",SUM(COUNTIF('1. OP'!$M:$M,_xlpm.id),COUNTIF('2. JSEL'!$M:$M,_xlpm.id),COUNTIF('3. PSM'!$M:$M,_xlpm.id),COUNTIF('4. SSP'!$M:$M,_xlpm.id),COUNTIF('5. JSACI'!$M:$M,_xlpm.id),COUNTIF('6. AIN'!$M:$M,_xlpm.id),COUNTIF('7. MS'!$M:$M,_xlpm.id),COUNTIF('8. DS'!$M:$M,_xlpm.id),COUNTIF('9. RMF'!$M:$M,_xlpm.id),COUNTIF('10. PCU'!$M:$M,_xlpm.id))))</f>
        <v>0</v>
      </c>
    </row>
    <row r="1991" spans="1:9">
      <c r="A1991" t="s">
        <v>9999</v>
      </c>
      <c r="B1991" t="s">
        <v>9924</v>
      </c>
      <c r="C1991">
        <v>1834</v>
      </c>
      <c r="D1991">
        <v>1</v>
      </c>
      <c r="E1991" s="23">
        <v>78</v>
      </c>
      <c r="F1991" t="s">
        <v>9151</v>
      </c>
      <c r="G1991" t="s">
        <v>10495</v>
      </c>
      <c r="H1991" t="s">
        <v>8036</v>
      </c>
      <c r="I1991">
        <f>_xlfn.LET(_xlpm.id,TRIM($A1991),IF(_xlpm.id="","",SUM(COUNTIF('1. OP'!$M:$M,_xlpm.id),COUNTIF('2. JSEL'!$M:$M,_xlpm.id),COUNTIF('3. PSM'!$M:$M,_xlpm.id),COUNTIF('4. SSP'!$M:$M,_xlpm.id),COUNTIF('5. JSACI'!$M:$M,_xlpm.id),COUNTIF('6. AIN'!$M:$M,_xlpm.id),COUNTIF('7. MS'!$M:$M,_xlpm.id),COUNTIF('8. DS'!$M:$M,_xlpm.id),COUNTIF('9. RMF'!$M:$M,_xlpm.id),COUNTIF('10. PCU'!$M:$M,_xlpm.id))))</f>
        <v>0</v>
      </c>
    </row>
    <row r="1992" spans="1:9">
      <c r="A1992" t="s">
        <v>10000</v>
      </c>
      <c r="B1992" t="s">
        <v>9924</v>
      </c>
      <c r="C1992">
        <v>1834</v>
      </c>
      <c r="D1992">
        <v>1</v>
      </c>
      <c r="E1992" s="23">
        <v>79</v>
      </c>
      <c r="F1992" t="s">
        <v>9151</v>
      </c>
      <c r="G1992" t="s">
        <v>10495</v>
      </c>
      <c r="H1992" t="s">
        <v>8036</v>
      </c>
      <c r="I1992">
        <f>_xlfn.LET(_xlpm.id,TRIM($A1992),IF(_xlpm.id="","",SUM(COUNTIF('1. OP'!$M:$M,_xlpm.id),COUNTIF('2. JSEL'!$M:$M,_xlpm.id),COUNTIF('3. PSM'!$M:$M,_xlpm.id),COUNTIF('4. SSP'!$M:$M,_xlpm.id),COUNTIF('5. JSACI'!$M:$M,_xlpm.id),COUNTIF('6. AIN'!$M:$M,_xlpm.id),COUNTIF('7. MS'!$M:$M,_xlpm.id),COUNTIF('8. DS'!$M:$M,_xlpm.id),COUNTIF('9. RMF'!$M:$M,_xlpm.id),COUNTIF('10. PCU'!$M:$M,_xlpm.id))))</f>
        <v>0</v>
      </c>
    </row>
    <row r="1993" spans="1:9">
      <c r="A1993" t="s">
        <v>10001</v>
      </c>
      <c r="B1993" t="s">
        <v>9924</v>
      </c>
      <c r="C1993">
        <v>1835</v>
      </c>
      <c r="D1993">
        <v>1</v>
      </c>
      <c r="E1993" s="23">
        <v>80</v>
      </c>
      <c r="F1993" t="s">
        <v>9151</v>
      </c>
      <c r="G1993" t="s">
        <v>10495</v>
      </c>
      <c r="H1993" t="s">
        <v>8036</v>
      </c>
      <c r="I1993">
        <f>_xlfn.LET(_xlpm.id,TRIM($A1993),IF(_xlpm.id="","",SUM(COUNTIF('1. OP'!$M:$M,_xlpm.id),COUNTIF('2. JSEL'!$M:$M,_xlpm.id),COUNTIF('3. PSM'!$M:$M,_xlpm.id),COUNTIF('4. SSP'!$M:$M,_xlpm.id),COUNTIF('5. JSACI'!$M:$M,_xlpm.id),COUNTIF('6. AIN'!$M:$M,_xlpm.id),COUNTIF('7. MS'!$M:$M,_xlpm.id),COUNTIF('8. DS'!$M:$M,_xlpm.id),COUNTIF('9. RMF'!$M:$M,_xlpm.id),COUNTIF('10. PCU'!$M:$M,_xlpm.id))))</f>
        <v>0</v>
      </c>
    </row>
    <row r="1994" spans="1:9">
      <c r="A1994" t="s">
        <v>10002</v>
      </c>
      <c r="B1994" t="s">
        <v>9924</v>
      </c>
      <c r="C1994">
        <v>1835</v>
      </c>
      <c r="D1994">
        <v>1</v>
      </c>
      <c r="E1994" s="23">
        <v>81</v>
      </c>
      <c r="F1994" t="s">
        <v>9151</v>
      </c>
      <c r="G1994" t="s">
        <v>10495</v>
      </c>
      <c r="H1994" t="s">
        <v>8036</v>
      </c>
      <c r="I1994">
        <f>_xlfn.LET(_xlpm.id,TRIM($A1994),IF(_xlpm.id="","",SUM(COUNTIF('1. OP'!$M:$M,_xlpm.id),COUNTIF('2. JSEL'!$M:$M,_xlpm.id),COUNTIF('3. PSM'!$M:$M,_xlpm.id),COUNTIF('4. SSP'!$M:$M,_xlpm.id),COUNTIF('5. JSACI'!$M:$M,_xlpm.id),COUNTIF('6. AIN'!$M:$M,_xlpm.id),COUNTIF('7. MS'!$M:$M,_xlpm.id),COUNTIF('8. DS'!$M:$M,_xlpm.id),COUNTIF('9. RMF'!$M:$M,_xlpm.id),COUNTIF('10. PCU'!$M:$M,_xlpm.id))))</f>
        <v>0</v>
      </c>
    </row>
    <row r="1995" spans="1:9">
      <c r="A1995" t="s">
        <v>10003</v>
      </c>
      <c r="B1995" t="s">
        <v>9924</v>
      </c>
      <c r="C1995">
        <v>1836</v>
      </c>
      <c r="D1995">
        <v>1</v>
      </c>
      <c r="E1995" s="23">
        <v>82</v>
      </c>
      <c r="F1995" t="s">
        <v>9151</v>
      </c>
      <c r="G1995" t="s">
        <v>10495</v>
      </c>
      <c r="H1995" t="s">
        <v>8036</v>
      </c>
      <c r="I1995">
        <f>_xlfn.LET(_xlpm.id,TRIM($A1995),IF(_xlpm.id="","",SUM(COUNTIF('1. OP'!$M:$M,_xlpm.id),COUNTIF('2. JSEL'!$M:$M,_xlpm.id),COUNTIF('3. PSM'!$M:$M,_xlpm.id),COUNTIF('4. SSP'!$M:$M,_xlpm.id),COUNTIF('5. JSACI'!$M:$M,_xlpm.id),COUNTIF('6. AIN'!$M:$M,_xlpm.id),COUNTIF('7. MS'!$M:$M,_xlpm.id),COUNTIF('8. DS'!$M:$M,_xlpm.id),COUNTIF('9. RMF'!$M:$M,_xlpm.id),COUNTIF('10. PCU'!$M:$M,_xlpm.id))))</f>
        <v>0</v>
      </c>
    </row>
    <row r="1996" spans="1:9">
      <c r="A1996" t="s">
        <v>10004</v>
      </c>
      <c r="B1996" t="s">
        <v>9924</v>
      </c>
      <c r="C1996">
        <v>1836</v>
      </c>
      <c r="D1996">
        <v>1</v>
      </c>
      <c r="E1996" s="23">
        <v>83</v>
      </c>
      <c r="F1996" t="s">
        <v>9151</v>
      </c>
      <c r="G1996" t="s">
        <v>10495</v>
      </c>
      <c r="H1996" t="s">
        <v>8036</v>
      </c>
      <c r="I1996">
        <f>_xlfn.LET(_xlpm.id,TRIM($A1996),IF(_xlpm.id="","",SUM(COUNTIF('1. OP'!$M:$M,_xlpm.id),COUNTIF('2. JSEL'!$M:$M,_xlpm.id),COUNTIF('3. PSM'!$M:$M,_xlpm.id),COUNTIF('4. SSP'!$M:$M,_xlpm.id),COUNTIF('5. JSACI'!$M:$M,_xlpm.id),COUNTIF('6. AIN'!$M:$M,_xlpm.id),COUNTIF('7. MS'!$M:$M,_xlpm.id),COUNTIF('8. DS'!$M:$M,_xlpm.id),COUNTIF('9. RMF'!$M:$M,_xlpm.id),COUNTIF('10. PCU'!$M:$M,_xlpm.id))))</f>
        <v>0</v>
      </c>
    </row>
    <row r="1997" spans="1:9">
      <c r="A1997" t="s">
        <v>10005</v>
      </c>
      <c r="B1997" t="s">
        <v>9924</v>
      </c>
      <c r="C1997">
        <v>1837</v>
      </c>
      <c r="D1997">
        <v>1</v>
      </c>
      <c r="E1997" s="23">
        <v>84</v>
      </c>
      <c r="F1997" t="s">
        <v>9151</v>
      </c>
      <c r="G1997" t="s">
        <v>10495</v>
      </c>
      <c r="H1997" t="s">
        <v>8036</v>
      </c>
      <c r="I1997">
        <f>_xlfn.LET(_xlpm.id,TRIM($A1997),IF(_xlpm.id="","",SUM(COUNTIF('1. OP'!$M:$M,_xlpm.id),COUNTIF('2. JSEL'!$M:$M,_xlpm.id),COUNTIF('3. PSM'!$M:$M,_xlpm.id),COUNTIF('4. SSP'!$M:$M,_xlpm.id),COUNTIF('5. JSACI'!$M:$M,_xlpm.id),COUNTIF('6. AIN'!$M:$M,_xlpm.id),COUNTIF('7. MS'!$M:$M,_xlpm.id),COUNTIF('8. DS'!$M:$M,_xlpm.id),COUNTIF('9. RMF'!$M:$M,_xlpm.id),COUNTIF('10. PCU'!$M:$M,_xlpm.id))))</f>
        <v>0</v>
      </c>
    </row>
    <row r="1998" spans="1:9">
      <c r="A1998" t="s">
        <v>10006</v>
      </c>
      <c r="B1998" t="s">
        <v>9924</v>
      </c>
      <c r="C1998">
        <v>1837</v>
      </c>
      <c r="D1998">
        <v>1</v>
      </c>
      <c r="E1998" s="23">
        <v>85</v>
      </c>
      <c r="F1998" t="s">
        <v>9151</v>
      </c>
      <c r="G1998" t="s">
        <v>10495</v>
      </c>
      <c r="H1998" t="s">
        <v>8036</v>
      </c>
      <c r="I1998">
        <f>_xlfn.LET(_xlpm.id,TRIM($A1998),IF(_xlpm.id="","",SUM(COUNTIF('1. OP'!$M:$M,_xlpm.id),COUNTIF('2. JSEL'!$M:$M,_xlpm.id),COUNTIF('3. PSM'!$M:$M,_xlpm.id),COUNTIF('4. SSP'!$M:$M,_xlpm.id),COUNTIF('5. JSACI'!$M:$M,_xlpm.id),COUNTIF('6. AIN'!$M:$M,_xlpm.id),COUNTIF('7. MS'!$M:$M,_xlpm.id),COUNTIF('8. DS'!$M:$M,_xlpm.id),COUNTIF('9. RMF'!$M:$M,_xlpm.id),COUNTIF('10. PCU'!$M:$M,_xlpm.id))))</f>
        <v>0</v>
      </c>
    </row>
    <row r="1999" spans="1:9">
      <c r="A1999" t="s">
        <v>10007</v>
      </c>
      <c r="B1999" t="s">
        <v>9924</v>
      </c>
      <c r="C1999">
        <v>1838</v>
      </c>
      <c r="D1999">
        <v>1</v>
      </c>
      <c r="E1999" s="23">
        <v>86</v>
      </c>
      <c r="F1999" t="s">
        <v>9151</v>
      </c>
      <c r="G1999" t="s">
        <v>10495</v>
      </c>
      <c r="H1999" t="s">
        <v>8036</v>
      </c>
      <c r="I1999">
        <f>_xlfn.LET(_xlpm.id,TRIM($A1999),IF(_xlpm.id="","",SUM(COUNTIF('1. OP'!$M:$M,_xlpm.id),COUNTIF('2. JSEL'!$M:$M,_xlpm.id),COUNTIF('3. PSM'!$M:$M,_xlpm.id),COUNTIF('4. SSP'!$M:$M,_xlpm.id),COUNTIF('5. JSACI'!$M:$M,_xlpm.id),COUNTIF('6. AIN'!$M:$M,_xlpm.id),COUNTIF('7. MS'!$M:$M,_xlpm.id),COUNTIF('8. DS'!$M:$M,_xlpm.id),COUNTIF('9. RMF'!$M:$M,_xlpm.id),COUNTIF('10. PCU'!$M:$M,_xlpm.id))))</f>
        <v>0</v>
      </c>
    </row>
    <row r="2000" spans="1:9">
      <c r="A2000" t="s">
        <v>10008</v>
      </c>
      <c r="B2000" t="s">
        <v>9924</v>
      </c>
      <c r="C2000">
        <v>1838</v>
      </c>
      <c r="D2000">
        <v>1</v>
      </c>
      <c r="E2000" s="23">
        <v>87</v>
      </c>
      <c r="F2000" t="s">
        <v>9151</v>
      </c>
      <c r="G2000" t="s">
        <v>10495</v>
      </c>
      <c r="H2000" t="s">
        <v>8036</v>
      </c>
      <c r="I2000">
        <f>_xlfn.LET(_xlpm.id,TRIM($A2000),IF(_xlpm.id="","",SUM(COUNTIF('1. OP'!$M:$M,_xlpm.id),COUNTIF('2. JSEL'!$M:$M,_xlpm.id),COUNTIF('3. PSM'!$M:$M,_xlpm.id),COUNTIF('4. SSP'!$M:$M,_xlpm.id),COUNTIF('5. JSACI'!$M:$M,_xlpm.id),COUNTIF('6. AIN'!$M:$M,_xlpm.id),COUNTIF('7. MS'!$M:$M,_xlpm.id),COUNTIF('8. DS'!$M:$M,_xlpm.id),COUNTIF('9. RMF'!$M:$M,_xlpm.id),COUNTIF('10. PCU'!$M:$M,_xlpm.id))))</f>
        <v>0</v>
      </c>
    </row>
    <row r="2001" spans="1:9">
      <c r="A2001" t="s">
        <v>10009</v>
      </c>
      <c r="B2001" t="s">
        <v>9924</v>
      </c>
      <c r="C2001">
        <v>1839</v>
      </c>
      <c r="D2001">
        <v>1</v>
      </c>
      <c r="E2001" s="23">
        <v>88</v>
      </c>
      <c r="F2001" t="s">
        <v>9151</v>
      </c>
      <c r="G2001" t="s">
        <v>10495</v>
      </c>
      <c r="H2001" t="s">
        <v>8036</v>
      </c>
      <c r="I2001">
        <f>_xlfn.LET(_xlpm.id,TRIM($A2001),IF(_xlpm.id="","",SUM(COUNTIF('1. OP'!$M:$M,_xlpm.id),COUNTIF('2. JSEL'!$M:$M,_xlpm.id),COUNTIF('3. PSM'!$M:$M,_xlpm.id),COUNTIF('4. SSP'!$M:$M,_xlpm.id),COUNTIF('5. JSACI'!$M:$M,_xlpm.id),COUNTIF('6. AIN'!$M:$M,_xlpm.id),COUNTIF('7. MS'!$M:$M,_xlpm.id),COUNTIF('8. DS'!$M:$M,_xlpm.id),COUNTIF('9. RMF'!$M:$M,_xlpm.id),COUNTIF('10. PCU'!$M:$M,_xlpm.id))))</f>
        <v>0</v>
      </c>
    </row>
    <row r="2002" spans="1:9">
      <c r="A2002" t="s">
        <v>10010</v>
      </c>
      <c r="B2002" t="s">
        <v>9924</v>
      </c>
      <c r="C2002">
        <v>1840</v>
      </c>
      <c r="D2002">
        <v>1</v>
      </c>
      <c r="E2002" s="23">
        <v>89</v>
      </c>
      <c r="F2002" t="s">
        <v>9151</v>
      </c>
      <c r="G2002" t="s">
        <v>10495</v>
      </c>
      <c r="H2002" t="s">
        <v>8036</v>
      </c>
      <c r="I2002">
        <f>_xlfn.LET(_xlpm.id,TRIM($A2002),IF(_xlpm.id="","",SUM(COUNTIF('1. OP'!$M:$M,_xlpm.id),COUNTIF('2. JSEL'!$M:$M,_xlpm.id),COUNTIF('3. PSM'!$M:$M,_xlpm.id),COUNTIF('4. SSP'!$M:$M,_xlpm.id),COUNTIF('5. JSACI'!$M:$M,_xlpm.id),COUNTIF('6. AIN'!$M:$M,_xlpm.id),COUNTIF('7. MS'!$M:$M,_xlpm.id),COUNTIF('8. DS'!$M:$M,_xlpm.id),COUNTIF('9. RMF'!$M:$M,_xlpm.id),COUNTIF('10. PCU'!$M:$M,_xlpm.id))))</f>
        <v>0</v>
      </c>
    </row>
    <row r="2003" spans="1:9">
      <c r="A2003" t="s">
        <v>10011</v>
      </c>
      <c r="B2003" t="s">
        <v>9924</v>
      </c>
      <c r="C2003">
        <v>1840</v>
      </c>
      <c r="D2003">
        <v>1</v>
      </c>
      <c r="E2003" s="23">
        <v>90</v>
      </c>
      <c r="F2003" t="s">
        <v>9151</v>
      </c>
      <c r="G2003" t="s">
        <v>10495</v>
      </c>
      <c r="H2003" t="s">
        <v>8036</v>
      </c>
      <c r="I2003">
        <f>_xlfn.LET(_xlpm.id,TRIM($A2003),IF(_xlpm.id="","",SUM(COUNTIF('1. OP'!$M:$M,_xlpm.id),COUNTIF('2. JSEL'!$M:$M,_xlpm.id),COUNTIF('3. PSM'!$M:$M,_xlpm.id),COUNTIF('4. SSP'!$M:$M,_xlpm.id),COUNTIF('5. JSACI'!$M:$M,_xlpm.id),COUNTIF('6. AIN'!$M:$M,_xlpm.id),COUNTIF('7. MS'!$M:$M,_xlpm.id),COUNTIF('8. DS'!$M:$M,_xlpm.id),COUNTIF('9. RMF'!$M:$M,_xlpm.id),COUNTIF('10. PCU'!$M:$M,_xlpm.id))))</f>
        <v>0</v>
      </c>
    </row>
    <row r="2004" spans="1:9">
      <c r="A2004" t="s">
        <v>10012</v>
      </c>
      <c r="B2004" t="s">
        <v>9924</v>
      </c>
      <c r="C2004">
        <v>1840</v>
      </c>
      <c r="D2004">
        <v>1</v>
      </c>
      <c r="E2004" s="23">
        <v>91</v>
      </c>
      <c r="F2004" t="s">
        <v>9151</v>
      </c>
      <c r="G2004" t="s">
        <v>10495</v>
      </c>
      <c r="H2004" t="s">
        <v>8036</v>
      </c>
      <c r="I2004">
        <f>_xlfn.LET(_xlpm.id,TRIM($A2004),IF(_xlpm.id="","",SUM(COUNTIF('1. OP'!$M:$M,_xlpm.id),COUNTIF('2. JSEL'!$M:$M,_xlpm.id),COUNTIF('3. PSM'!$M:$M,_xlpm.id),COUNTIF('4. SSP'!$M:$M,_xlpm.id),COUNTIF('5. JSACI'!$M:$M,_xlpm.id),COUNTIF('6. AIN'!$M:$M,_xlpm.id),COUNTIF('7. MS'!$M:$M,_xlpm.id),COUNTIF('8. DS'!$M:$M,_xlpm.id),COUNTIF('9. RMF'!$M:$M,_xlpm.id),COUNTIF('10. PCU'!$M:$M,_xlpm.id))))</f>
        <v>0</v>
      </c>
    </row>
    <row r="2005" spans="1:9">
      <c r="A2005" t="s">
        <v>10013</v>
      </c>
      <c r="B2005" t="s">
        <v>10014</v>
      </c>
      <c r="C2005">
        <v>1809</v>
      </c>
      <c r="D2005">
        <v>1</v>
      </c>
      <c r="E2005" s="23">
        <v>1</v>
      </c>
      <c r="F2005" t="s">
        <v>8265</v>
      </c>
      <c r="G2005" t="s">
        <v>10486</v>
      </c>
      <c r="H2005" t="s">
        <v>8019</v>
      </c>
      <c r="I2005">
        <f>_xlfn.LET(_xlpm.id,TRIM($A2005),IF(_xlpm.id="","",SUM(COUNTIF('1. OP'!$M:$M,_xlpm.id),COUNTIF('2. JSEL'!$M:$M,_xlpm.id),COUNTIF('3. PSM'!$M:$M,_xlpm.id),COUNTIF('4. SSP'!$M:$M,_xlpm.id),COUNTIF('5. JSACI'!$M:$M,_xlpm.id),COUNTIF('6. AIN'!$M:$M,_xlpm.id),COUNTIF('7. MS'!$M:$M,_xlpm.id),COUNTIF('8. DS'!$M:$M,_xlpm.id),COUNTIF('9. RMF'!$M:$M,_xlpm.id),COUNTIF('10. PCU'!$M:$M,_xlpm.id))))</f>
        <v>0</v>
      </c>
    </row>
    <row r="2006" spans="1:9">
      <c r="A2006" t="s">
        <v>10015</v>
      </c>
      <c r="B2006" t="s">
        <v>10014</v>
      </c>
      <c r="C2006">
        <v>1811</v>
      </c>
      <c r="D2006">
        <v>1</v>
      </c>
      <c r="E2006" s="23">
        <v>2</v>
      </c>
      <c r="F2006" t="s">
        <v>8265</v>
      </c>
      <c r="G2006" t="s">
        <v>10486</v>
      </c>
      <c r="H2006" t="s">
        <v>8019</v>
      </c>
      <c r="I2006">
        <f>_xlfn.LET(_xlpm.id,TRIM($A2006),IF(_xlpm.id="","",SUM(COUNTIF('1. OP'!$M:$M,_xlpm.id),COUNTIF('2. JSEL'!$M:$M,_xlpm.id),COUNTIF('3. PSM'!$M:$M,_xlpm.id),COUNTIF('4. SSP'!$M:$M,_xlpm.id),COUNTIF('5. JSACI'!$M:$M,_xlpm.id),COUNTIF('6. AIN'!$M:$M,_xlpm.id),COUNTIF('7. MS'!$M:$M,_xlpm.id),COUNTIF('8. DS'!$M:$M,_xlpm.id),COUNTIF('9. RMF'!$M:$M,_xlpm.id),COUNTIF('10. PCU'!$M:$M,_xlpm.id))))</f>
        <v>0</v>
      </c>
    </row>
    <row r="2007" spans="1:9">
      <c r="A2007" t="s">
        <v>10016</v>
      </c>
      <c r="B2007" t="s">
        <v>10014</v>
      </c>
      <c r="C2007">
        <v>1812</v>
      </c>
      <c r="D2007">
        <v>1</v>
      </c>
      <c r="E2007" s="23">
        <v>3</v>
      </c>
      <c r="F2007" t="s">
        <v>8265</v>
      </c>
      <c r="G2007" t="s">
        <v>10486</v>
      </c>
      <c r="H2007" t="s">
        <v>8019</v>
      </c>
      <c r="I2007">
        <f>_xlfn.LET(_xlpm.id,TRIM($A2007),IF(_xlpm.id="","",SUM(COUNTIF('1. OP'!$M:$M,_xlpm.id),COUNTIF('2. JSEL'!$M:$M,_xlpm.id),COUNTIF('3. PSM'!$M:$M,_xlpm.id),COUNTIF('4. SSP'!$M:$M,_xlpm.id),COUNTIF('5. JSACI'!$M:$M,_xlpm.id),COUNTIF('6. AIN'!$M:$M,_xlpm.id),COUNTIF('7. MS'!$M:$M,_xlpm.id),COUNTIF('8. DS'!$M:$M,_xlpm.id),COUNTIF('9. RMF'!$M:$M,_xlpm.id),COUNTIF('10. PCU'!$M:$M,_xlpm.id))))</f>
        <v>0</v>
      </c>
    </row>
    <row r="2008" spans="1:9">
      <c r="A2008" t="s">
        <v>10017</v>
      </c>
      <c r="B2008" t="s">
        <v>10014</v>
      </c>
      <c r="C2008">
        <v>1813</v>
      </c>
      <c r="D2008">
        <v>1</v>
      </c>
      <c r="E2008" s="23">
        <v>4</v>
      </c>
      <c r="F2008" t="s">
        <v>8265</v>
      </c>
      <c r="G2008" t="s">
        <v>10486</v>
      </c>
      <c r="H2008" t="s">
        <v>8019</v>
      </c>
      <c r="I2008">
        <f>_xlfn.LET(_xlpm.id,TRIM($A2008),IF(_xlpm.id="","",SUM(COUNTIF('1. OP'!$M:$M,_xlpm.id),COUNTIF('2. JSEL'!$M:$M,_xlpm.id),COUNTIF('3. PSM'!$M:$M,_xlpm.id),COUNTIF('4. SSP'!$M:$M,_xlpm.id),COUNTIF('5. JSACI'!$M:$M,_xlpm.id),COUNTIF('6. AIN'!$M:$M,_xlpm.id),COUNTIF('7. MS'!$M:$M,_xlpm.id),COUNTIF('8. DS'!$M:$M,_xlpm.id),COUNTIF('9. RMF'!$M:$M,_xlpm.id),COUNTIF('10. PCU'!$M:$M,_xlpm.id))))</f>
        <v>0</v>
      </c>
    </row>
    <row r="2009" spans="1:9">
      <c r="A2009" t="s">
        <v>10018</v>
      </c>
      <c r="B2009" t="s">
        <v>10014</v>
      </c>
      <c r="C2009">
        <v>1814</v>
      </c>
      <c r="D2009">
        <v>1</v>
      </c>
      <c r="E2009" s="23">
        <v>5</v>
      </c>
      <c r="F2009" t="s">
        <v>8265</v>
      </c>
      <c r="G2009" t="s">
        <v>10486</v>
      </c>
      <c r="H2009" t="s">
        <v>8019</v>
      </c>
      <c r="I2009">
        <f>_xlfn.LET(_xlpm.id,TRIM($A2009),IF(_xlpm.id="","",SUM(COUNTIF('1. OP'!$M:$M,_xlpm.id),COUNTIF('2. JSEL'!$M:$M,_xlpm.id),COUNTIF('3. PSM'!$M:$M,_xlpm.id),COUNTIF('4. SSP'!$M:$M,_xlpm.id),COUNTIF('5. JSACI'!$M:$M,_xlpm.id),COUNTIF('6. AIN'!$M:$M,_xlpm.id),COUNTIF('7. MS'!$M:$M,_xlpm.id),COUNTIF('8. DS'!$M:$M,_xlpm.id),COUNTIF('9. RMF'!$M:$M,_xlpm.id),COUNTIF('10. PCU'!$M:$M,_xlpm.id))))</f>
        <v>0</v>
      </c>
    </row>
    <row r="2010" spans="1:9">
      <c r="A2010" t="s">
        <v>10019</v>
      </c>
      <c r="B2010" t="s">
        <v>10014</v>
      </c>
      <c r="C2010">
        <v>1815</v>
      </c>
      <c r="D2010">
        <v>1</v>
      </c>
      <c r="E2010" s="23">
        <v>6</v>
      </c>
      <c r="F2010" t="s">
        <v>8265</v>
      </c>
      <c r="G2010" t="s">
        <v>10486</v>
      </c>
      <c r="H2010" t="s">
        <v>8019</v>
      </c>
      <c r="I2010">
        <f>_xlfn.LET(_xlpm.id,TRIM($A2010),IF(_xlpm.id="","",SUM(COUNTIF('1. OP'!$M:$M,_xlpm.id),COUNTIF('2. JSEL'!$M:$M,_xlpm.id),COUNTIF('3. PSM'!$M:$M,_xlpm.id),COUNTIF('4. SSP'!$M:$M,_xlpm.id),COUNTIF('5. JSACI'!$M:$M,_xlpm.id),COUNTIF('6. AIN'!$M:$M,_xlpm.id),COUNTIF('7. MS'!$M:$M,_xlpm.id),COUNTIF('8. DS'!$M:$M,_xlpm.id),COUNTIF('9. RMF'!$M:$M,_xlpm.id),COUNTIF('10. PCU'!$M:$M,_xlpm.id))))</f>
        <v>0</v>
      </c>
    </row>
    <row r="2011" spans="1:9">
      <c r="A2011" t="s">
        <v>10020</v>
      </c>
      <c r="B2011" t="s">
        <v>10014</v>
      </c>
      <c r="C2011">
        <v>1816</v>
      </c>
      <c r="D2011">
        <v>1</v>
      </c>
      <c r="E2011" s="23">
        <v>7</v>
      </c>
      <c r="F2011" t="s">
        <v>8265</v>
      </c>
      <c r="G2011" t="s">
        <v>10486</v>
      </c>
      <c r="H2011" t="s">
        <v>8019</v>
      </c>
      <c r="I2011">
        <f>_xlfn.LET(_xlpm.id,TRIM($A2011),IF(_xlpm.id="","",SUM(COUNTIF('1. OP'!$M:$M,_xlpm.id),COUNTIF('2. JSEL'!$M:$M,_xlpm.id),COUNTIF('3. PSM'!$M:$M,_xlpm.id),COUNTIF('4. SSP'!$M:$M,_xlpm.id),COUNTIF('5. JSACI'!$M:$M,_xlpm.id),COUNTIF('6. AIN'!$M:$M,_xlpm.id),COUNTIF('7. MS'!$M:$M,_xlpm.id),COUNTIF('8. DS'!$M:$M,_xlpm.id),COUNTIF('9. RMF'!$M:$M,_xlpm.id),COUNTIF('10. PCU'!$M:$M,_xlpm.id))))</f>
        <v>0</v>
      </c>
    </row>
    <row r="2012" spans="1:9">
      <c r="A2012" t="s">
        <v>10021</v>
      </c>
      <c r="B2012" t="s">
        <v>10014</v>
      </c>
      <c r="C2012">
        <v>1817</v>
      </c>
      <c r="D2012">
        <v>1</v>
      </c>
      <c r="E2012" s="23">
        <v>8</v>
      </c>
      <c r="F2012" t="s">
        <v>8265</v>
      </c>
      <c r="G2012" t="s">
        <v>10486</v>
      </c>
      <c r="H2012" t="s">
        <v>8019</v>
      </c>
      <c r="I2012">
        <f>_xlfn.LET(_xlpm.id,TRIM($A2012),IF(_xlpm.id="","",SUM(COUNTIF('1. OP'!$M:$M,_xlpm.id),COUNTIF('2. JSEL'!$M:$M,_xlpm.id),COUNTIF('3. PSM'!$M:$M,_xlpm.id),COUNTIF('4. SSP'!$M:$M,_xlpm.id),COUNTIF('5. JSACI'!$M:$M,_xlpm.id),COUNTIF('6. AIN'!$M:$M,_xlpm.id),COUNTIF('7. MS'!$M:$M,_xlpm.id),COUNTIF('8. DS'!$M:$M,_xlpm.id),COUNTIF('9. RMF'!$M:$M,_xlpm.id),COUNTIF('10. PCU'!$M:$M,_xlpm.id))))</f>
        <v>0</v>
      </c>
    </row>
    <row r="2013" spans="1:9">
      <c r="A2013" t="s">
        <v>10022</v>
      </c>
      <c r="B2013" t="s">
        <v>10014</v>
      </c>
      <c r="C2013">
        <v>1818</v>
      </c>
      <c r="D2013">
        <v>1</v>
      </c>
      <c r="E2013" s="23">
        <v>9</v>
      </c>
      <c r="F2013" t="s">
        <v>8265</v>
      </c>
      <c r="G2013" t="s">
        <v>10486</v>
      </c>
      <c r="H2013" t="s">
        <v>8019</v>
      </c>
      <c r="I2013">
        <f>_xlfn.LET(_xlpm.id,TRIM($A2013),IF(_xlpm.id="","",SUM(COUNTIF('1. OP'!$M:$M,_xlpm.id),COUNTIF('2. JSEL'!$M:$M,_xlpm.id),COUNTIF('3. PSM'!$M:$M,_xlpm.id),COUNTIF('4. SSP'!$M:$M,_xlpm.id),COUNTIF('5. JSACI'!$M:$M,_xlpm.id),COUNTIF('6. AIN'!$M:$M,_xlpm.id),COUNTIF('7. MS'!$M:$M,_xlpm.id),COUNTIF('8. DS'!$M:$M,_xlpm.id),COUNTIF('9. RMF'!$M:$M,_xlpm.id),COUNTIF('10. PCU'!$M:$M,_xlpm.id))))</f>
        <v>0</v>
      </c>
    </row>
    <row r="2014" spans="1:9">
      <c r="A2014" t="s">
        <v>10023</v>
      </c>
      <c r="B2014" t="s">
        <v>10014</v>
      </c>
      <c r="C2014">
        <v>1819</v>
      </c>
      <c r="D2014">
        <v>1</v>
      </c>
      <c r="E2014" s="23">
        <v>10</v>
      </c>
      <c r="F2014" t="s">
        <v>8265</v>
      </c>
      <c r="G2014" t="s">
        <v>10486</v>
      </c>
      <c r="H2014" t="s">
        <v>8019</v>
      </c>
      <c r="I2014">
        <f>_xlfn.LET(_xlpm.id,TRIM($A2014),IF(_xlpm.id="","",SUM(COUNTIF('1. OP'!$M:$M,_xlpm.id),COUNTIF('2. JSEL'!$M:$M,_xlpm.id),COUNTIF('3. PSM'!$M:$M,_xlpm.id),COUNTIF('4. SSP'!$M:$M,_xlpm.id),COUNTIF('5. JSACI'!$M:$M,_xlpm.id),COUNTIF('6. AIN'!$M:$M,_xlpm.id),COUNTIF('7. MS'!$M:$M,_xlpm.id),COUNTIF('8. DS'!$M:$M,_xlpm.id),COUNTIF('9. RMF'!$M:$M,_xlpm.id),COUNTIF('10. PCU'!$M:$M,_xlpm.id))))</f>
        <v>0</v>
      </c>
    </row>
    <row r="2015" spans="1:9">
      <c r="A2015" t="s">
        <v>10024</v>
      </c>
      <c r="B2015" t="s">
        <v>10014</v>
      </c>
      <c r="C2015">
        <v>1820</v>
      </c>
      <c r="D2015">
        <v>1</v>
      </c>
      <c r="E2015" s="23">
        <v>11</v>
      </c>
      <c r="F2015" t="s">
        <v>8265</v>
      </c>
      <c r="G2015" t="s">
        <v>10486</v>
      </c>
      <c r="H2015" t="s">
        <v>8019</v>
      </c>
      <c r="I2015">
        <f>_xlfn.LET(_xlpm.id,TRIM($A2015),IF(_xlpm.id="","",SUM(COUNTIF('1. OP'!$M:$M,_xlpm.id),COUNTIF('2. JSEL'!$M:$M,_xlpm.id),COUNTIF('3. PSM'!$M:$M,_xlpm.id),COUNTIF('4. SSP'!$M:$M,_xlpm.id),COUNTIF('5. JSACI'!$M:$M,_xlpm.id),COUNTIF('6. AIN'!$M:$M,_xlpm.id),COUNTIF('7. MS'!$M:$M,_xlpm.id),COUNTIF('8. DS'!$M:$M,_xlpm.id),COUNTIF('9. RMF'!$M:$M,_xlpm.id),COUNTIF('10. PCU'!$M:$M,_xlpm.id))))</f>
        <v>0</v>
      </c>
    </row>
    <row r="2016" spans="1:9">
      <c r="A2016" t="s">
        <v>10025</v>
      </c>
      <c r="B2016" t="s">
        <v>10014</v>
      </c>
      <c r="C2016">
        <v>1823</v>
      </c>
      <c r="D2016">
        <v>1</v>
      </c>
      <c r="E2016" s="23">
        <v>12</v>
      </c>
      <c r="F2016" t="s">
        <v>8265</v>
      </c>
      <c r="G2016" t="s">
        <v>10486</v>
      </c>
      <c r="H2016" t="s">
        <v>8019</v>
      </c>
      <c r="I2016">
        <f>_xlfn.LET(_xlpm.id,TRIM($A2016),IF(_xlpm.id="","",SUM(COUNTIF('1. OP'!$M:$M,_xlpm.id),COUNTIF('2. JSEL'!$M:$M,_xlpm.id),COUNTIF('3. PSM'!$M:$M,_xlpm.id),COUNTIF('4. SSP'!$M:$M,_xlpm.id),COUNTIF('5. JSACI'!$M:$M,_xlpm.id),COUNTIF('6. AIN'!$M:$M,_xlpm.id),COUNTIF('7. MS'!$M:$M,_xlpm.id),COUNTIF('8. DS'!$M:$M,_xlpm.id),COUNTIF('9. RMF'!$M:$M,_xlpm.id),COUNTIF('10. PCU'!$M:$M,_xlpm.id))))</f>
        <v>0</v>
      </c>
    </row>
    <row r="2017" spans="1:9">
      <c r="A2017" t="s">
        <v>10026</v>
      </c>
      <c r="B2017" t="s">
        <v>10014</v>
      </c>
      <c r="C2017">
        <v>1825</v>
      </c>
      <c r="D2017">
        <v>1</v>
      </c>
      <c r="E2017" s="23">
        <v>13</v>
      </c>
      <c r="F2017" t="s">
        <v>8265</v>
      </c>
      <c r="G2017" t="s">
        <v>10486</v>
      </c>
      <c r="H2017" t="s">
        <v>8019</v>
      </c>
      <c r="I2017">
        <f>_xlfn.LET(_xlpm.id,TRIM($A2017),IF(_xlpm.id="","",SUM(COUNTIF('1. OP'!$M:$M,_xlpm.id),COUNTIF('2. JSEL'!$M:$M,_xlpm.id),COUNTIF('3. PSM'!$M:$M,_xlpm.id),COUNTIF('4. SSP'!$M:$M,_xlpm.id),COUNTIF('5. JSACI'!$M:$M,_xlpm.id),COUNTIF('6. AIN'!$M:$M,_xlpm.id),COUNTIF('7. MS'!$M:$M,_xlpm.id),COUNTIF('8. DS'!$M:$M,_xlpm.id),COUNTIF('9. RMF'!$M:$M,_xlpm.id),COUNTIF('10. PCU'!$M:$M,_xlpm.id))))</f>
        <v>0</v>
      </c>
    </row>
    <row r="2018" spans="1:9">
      <c r="A2018" t="s">
        <v>10027</v>
      </c>
      <c r="B2018" t="s">
        <v>10014</v>
      </c>
      <c r="C2018">
        <v>1828</v>
      </c>
      <c r="D2018">
        <v>1</v>
      </c>
      <c r="E2018" s="23">
        <v>14</v>
      </c>
      <c r="F2018" t="s">
        <v>8265</v>
      </c>
      <c r="G2018" t="s">
        <v>10486</v>
      </c>
      <c r="H2018" t="s">
        <v>8019</v>
      </c>
      <c r="I2018">
        <f>_xlfn.LET(_xlpm.id,TRIM($A2018),IF(_xlpm.id="","",SUM(COUNTIF('1. OP'!$M:$M,_xlpm.id),COUNTIF('2. JSEL'!$M:$M,_xlpm.id),COUNTIF('3. PSM'!$M:$M,_xlpm.id),COUNTIF('4. SSP'!$M:$M,_xlpm.id),COUNTIF('5. JSACI'!$M:$M,_xlpm.id),COUNTIF('6. AIN'!$M:$M,_xlpm.id),COUNTIF('7. MS'!$M:$M,_xlpm.id),COUNTIF('8. DS'!$M:$M,_xlpm.id),COUNTIF('9. RMF'!$M:$M,_xlpm.id),COUNTIF('10. PCU'!$M:$M,_xlpm.id))))</f>
        <v>0</v>
      </c>
    </row>
    <row r="2019" spans="1:9">
      <c r="A2019" t="s">
        <v>10028</v>
      </c>
      <c r="B2019" t="s">
        <v>10014</v>
      </c>
      <c r="C2019">
        <v>1829</v>
      </c>
      <c r="D2019">
        <v>1</v>
      </c>
      <c r="E2019" s="23">
        <v>15</v>
      </c>
      <c r="F2019" t="s">
        <v>8265</v>
      </c>
      <c r="G2019" t="s">
        <v>10486</v>
      </c>
      <c r="H2019" t="s">
        <v>8019</v>
      </c>
      <c r="I2019">
        <f>_xlfn.LET(_xlpm.id,TRIM($A2019),IF(_xlpm.id="","",SUM(COUNTIF('1. OP'!$M:$M,_xlpm.id),COUNTIF('2. JSEL'!$M:$M,_xlpm.id),COUNTIF('3. PSM'!$M:$M,_xlpm.id),COUNTIF('4. SSP'!$M:$M,_xlpm.id),COUNTIF('5. JSACI'!$M:$M,_xlpm.id),COUNTIF('6. AIN'!$M:$M,_xlpm.id),COUNTIF('7. MS'!$M:$M,_xlpm.id),COUNTIF('8. DS'!$M:$M,_xlpm.id),COUNTIF('9. RMF'!$M:$M,_xlpm.id),COUNTIF('10. PCU'!$M:$M,_xlpm.id))))</f>
        <v>0</v>
      </c>
    </row>
    <row r="2020" spans="1:9">
      <c r="A2020" t="s">
        <v>10029</v>
      </c>
      <c r="B2020" t="s">
        <v>10014</v>
      </c>
      <c r="C2020">
        <v>1830</v>
      </c>
      <c r="D2020">
        <v>1</v>
      </c>
      <c r="E2020" s="23">
        <v>16</v>
      </c>
      <c r="F2020" t="s">
        <v>8265</v>
      </c>
      <c r="G2020" t="s">
        <v>10486</v>
      </c>
      <c r="H2020" t="s">
        <v>8019</v>
      </c>
      <c r="I2020">
        <f>_xlfn.LET(_xlpm.id,TRIM($A2020),IF(_xlpm.id="","",SUM(COUNTIF('1. OP'!$M:$M,_xlpm.id),COUNTIF('2. JSEL'!$M:$M,_xlpm.id),COUNTIF('3. PSM'!$M:$M,_xlpm.id),COUNTIF('4. SSP'!$M:$M,_xlpm.id),COUNTIF('5. JSACI'!$M:$M,_xlpm.id),COUNTIF('6. AIN'!$M:$M,_xlpm.id),COUNTIF('7. MS'!$M:$M,_xlpm.id),COUNTIF('8. DS'!$M:$M,_xlpm.id),COUNTIF('9. RMF'!$M:$M,_xlpm.id),COUNTIF('10. PCU'!$M:$M,_xlpm.id))))</f>
        <v>0</v>
      </c>
    </row>
    <row r="2021" spans="1:9">
      <c r="A2021" t="s">
        <v>10030</v>
      </c>
      <c r="B2021" t="s">
        <v>10014</v>
      </c>
      <c r="C2021">
        <v>1832</v>
      </c>
      <c r="D2021">
        <v>1</v>
      </c>
      <c r="E2021" s="23">
        <v>17</v>
      </c>
      <c r="F2021" t="s">
        <v>8265</v>
      </c>
      <c r="G2021" t="s">
        <v>10486</v>
      </c>
      <c r="H2021" t="s">
        <v>8019</v>
      </c>
      <c r="I2021">
        <f>_xlfn.LET(_xlpm.id,TRIM($A2021),IF(_xlpm.id="","",SUM(COUNTIF('1. OP'!$M:$M,_xlpm.id),COUNTIF('2. JSEL'!$M:$M,_xlpm.id),COUNTIF('3. PSM'!$M:$M,_xlpm.id),COUNTIF('4. SSP'!$M:$M,_xlpm.id),COUNTIF('5. JSACI'!$M:$M,_xlpm.id),COUNTIF('6. AIN'!$M:$M,_xlpm.id),COUNTIF('7. MS'!$M:$M,_xlpm.id),COUNTIF('8. DS'!$M:$M,_xlpm.id),COUNTIF('9. RMF'!$M:$M,_xlpm.id),COUNTIF('10. PCU'!$M:$M,_xlpm.id))))</f>
        <v>0</v>
      </c>
    </row>
    <row r="2022" spans="1:9">
      <c r="A2022" t="s">
        <v>10031</v>
      </c>
      <c r="B2022" t="s">
        <v>10014</v>
      </c>
      <c r="C2022">
        <v>1833</v>
      </c>
      <c r="D2022">
        <v>1</v>
      </c>
      <c r="E2022" s="23">
        <v>18</v>
      </c>
      <c r="F2022" t="s">
        <v>8265</v>
      </c>
      <c r="G2022" t="s">
        <v>10486</v>
      </c>
      <c r="H2022" t="s">
        <v>8019</v>
      </c>
      <c r="I2022">
        <f>_xlfn.LET(_xlpm.id,TRIM($A2022),IF(_xlpm.id="","",SUM(COUNTIF('1. OP'!$M:$M,_xlpm.id),COUNTIF('2. JSEL'!$M:$M,_xlpm.id),COUNTIF('3. PSM'!$M:$M,_xlpm.id),COUNTIF('4. SSP'!$M:$M,_xlpm.id),COUNTIF('5. JSACI'!$M:$M,_xlpm.id),COUNTIF('6. AIN'!$M:$M,_xlpm.id),COUNTIF('7. MS'!$M:$M,_xlpm.id),COUNTIF('8. DS'!$M:$M,_xlpm.id),COUNTIF('9. RMF'!$M:$M,_xlpm.id),COUNTIF('10. PCU'!$M:$M,_xlpm.id))))</f>
        <v>0</v>
      </c>
    </row>
    <row r="2023" spans="1:9">
      <c r="A2023" t="s">
        <v>10032</v>
      </c>
      <c r="B2023" t="s">
        <v>10014</v>
      </c>
      <c r="C2023">
        <v>1835</v>
      </c>
      <c r="D2023">
        <v>1</v>
      </c>
      <c r="E2023" s="23">
        <v>19</v>
      </c>
      <c r="F2023" t="s">
        <v>8265</v>
      </c>
      <c r="G2023" t="s">
        <v>10486</v>
      </c>
      <c r="H2023" t="s">
        <v>8019</v>
      </c>
      <c r="I2023">
        <f>_xlfn.LET(_xlpm.id,TRIM($A2023),IF(_xlpm.id="","",SUM(COUNTIF('1. OP'!$M:$M,_xlpm.id),COUNTIF('2. JSEL'!$M:$M,_xlpm.id),COUNTIF('3. PSM'!$M:$M,_xlpm.id),COUNTIF('4. SSP'!$M:$M,_xlpm.id),COUNTIF('5. JSACI'!$M:$M,_xlpm.id),COUNTIF('6. AIN'!$M:$M,_xlpm.id),COUNTIF('7. MS'!$M:$M,_xlpm.id),COUNTIF('8. DS'!$M:$M,_xlpm.id),COUNTIF('9. RMF'!$M:$M,_xlpm.id),COUNTIF('10. PCU'!$M:$M,_xlpm.id))))</f>
        <v>0</v>
      </c>
    </row>
    <row r="2024" spans="1:9">
      <c r="A2024" t="s">
        <v>10033</v>
      </c>
      <c r="B2024" t="s">
        <v>10014</v>
      </c>
      <c r="C2024">
        <v>1837</v>
      </c>
      <c r="D2024">
        <v>1</v>
      </c>
      <c r="E2024" s="23">
        <v>20</v>
      </c>
      <c r="F2024" t="s">
        <v>8265</v>
      </c>
      <c r="G2024" t="s">
        <v>10486</v>
      </c>
      <c r="H2024" t="s">
        <v>8019</v>
      </c>
      <c r="I2024">
        <f>_xlfn.LET(_xlpm.id,TRIM($A2024),IF(_xlpm.id="","",SUM(COUNTIF('1. OP'!$M:$M,_xlpm.id),COUNTIF('2. JSEL'!$M:$M,_xlpm.id),COUNTIF('3. PSM'!$M:$M,_xlpm.id),COUNTIF('4. SSP'!$M:$M,_xlpm.id),COUNTIF('5. JSACI'!$M:$M,_xlpm.id),COUNTIF('6. AIN'!$M:$M,_xlpm.id),COUNTIF('7. MS'!$M:$M,_xlpm.id),COUNTIF('8. DS'!$M:$M,_xlpm.id),COUNTIF('9. RMF'!$M:$M,_xlpm.id),COUNTIF('10. PCU'!$M:$M,_xlpm.id))))</f>
        <v>0</v>
      </c>
    </row>
    <row r="2025" spans="1:9">
      <c r="A2025" t="s">
        <v>10034</v>
      </c>
      <c r="B2025" t="s">
        <v>10014</v>
      </c>
      <c r="C2025">
        <v>1838</v>
      </c>
      <c r="D2025">
        <v>1</v>
      </c>
      <c r="E2025" s="23">
        <v>21</v>
      </c>
      <c r="F2025" t="s">
        <v>8265</v>
      </c>
      <c r="G2025" t="s">
        <v>10486</v>
      </c>
      <c r="H2025" t="s">
        <v>8019</v>
      </c>
      <c r="I2025">
        <f>_xlfn.LET(_xlpm.id,TRIM($A2025),IF(_xlpm.id="","",SUM(COUNTIF('1. OP'!$M:$M,_xlpm.id),COUNTIF('2. JSEL'!$M:$M,_xlpm.id),COUNTIF('3. PSM'!$M:$M,_xlpm.id),COUNTIF('4. SSP'!$M:$M,_xlpm.id),COUNTIF('5. JSACI'!$M:$M,_xlpm.id),COUNTIF('6. AIN'!$M:$M,_xlpm.id),COUNTIF('7. MS'!$M:$M,_xlpm.id),COUNTIF('8. DS'!$M:$M,_xlpm.id),COUNTIF('9. RMF'!$M:$M,_xlpm.id),COUNTIF('10. PCU'!$M:$M,_xlpm.id))))</f>
        <v>0</v>
      </c>
    </row>
    <row r="2026" spans="1:9">
      <c r="A2026" t="s">
        <v>10035</v>
      </c>
      <c r="B2026" t="s">
        <v>10014</v>
      </c>
      <c r="C2026">
        <v>1839</v>
      </c>
      <c r="D2026">
        <v>1</v>
      </c>
      <c r="E2026" s="23">
        <v>22</v>
      </c>
      <c r="F2026" t="s">
        <v>8265</v>
      </c>
      <c r="G2026" t="s">
        <v>10486</v>
      </c>
      <c r="H2026" t="s">
        <v>8019</v>
      </c>
      <c r="I2026">
        <f>_xlfn.LET(_xlpm.id,TRIM($A2026),IF(_xlpm.id="","",SUM(COUNTIF('1. OP'!$M:$M,_xlpm.id),COUNTIF('2. JSEL'!$M:$M,_xlpm.id),COUNTIF('3. PSM'!$M:$M,_xlpm.id),COUNTIF('4. SSP'!$M:$M,_xlpm.id),COUNTIF('5. JSACI'!$M:$M,_xlpm.id),COUNTIF('6. AIN'!$M:$M,_xlpm.id),COUNTIF('7. MS'!$M:$M,_xlpm.id),COUNTIF('8. DS'!$M:$M,_xlpm.id),COUNTIF('9. RMF'!$M:$M,_xlpm.id),COUNTIF('10. PCU'!$M:$M,_xlpm.id))))</f>
        <v>0</v>
      </c>
    </row>
    <row r="2027" spans="1:9">
      <c r="A2027" t="s">
        <v>10036</v>
      </c>
      <c r="B2027" t="s">
        <v>10014</v>
      </c>
      <c r="C2027">
        <v>1840</v>
      </c>
      <c r="D2027">
        <v>1</v>
      </c>
      <c r="E2027" s="23">
        <v>23</v>
      </c>
      <c r="F2027" t="s">
        <v>8265</v>
      </c>
      <c r="G2027" t="s">
        <v>10486</v>
      </c>
      <c r="H2027" t="s">
        <v>8019</v>
      </c>
      <c r="I2027">
        <f>_xlfn.LET(_xlpm.id,TRIM($A2027),IF(_xlpm.id="","",SUM(COUNTIF('1. OP'!$M:$M,_xlpm.id),COUNTIF('2. JSEL'!$M:$M,_xlpm.id),COUNTIF('3. PSM'!$M:$M,_xlpm.id),COUNTIF('4. SSP'!$M:$M,_xlpm.id),COUNTIF('5. JSACI'!$M:$M,_xlpm.id),COUNTIF('6. AIN'!$M:$M,_xlpm.id),COUNTIF('7. MS'!$M:$M,_xlpm.id),COUNTIF('8. DS'!$M:$M,_xlpm.id),COUNTIF('9. RMF'!$M:$M,_xlpm.id),COUNTIF('10. PCU'!$M:$M,_xlpm.id))))</f>
        <v>0</v>
      </c>
    </row>
    <row r="2028" spans="1:9">
      <c r="A2028" t="s">
        <v>10037</v>
      </c>
      <c r="B2028" t="s">
        <v>10038</v>
      </c>
      <c r="C2028">
        <v>1814</v>
      </c>
      <c r="D2028">
        <v>1</v>
      </c>
      <c r="E2028" s="23">
        <v>1</v>
      </c>
      <c r="F2028" t="s">
        <v>8265</v>
      </c>
      <c r="G2028" t="s">
        <v>10486</v>
      </c>
      <c r="H2028" t="s">
        <v>8019</v>
      </c>
      <c r="I2028">
        <f>_xlfn.LET(_xlpm.id,TRIM($A2028),IF(_xlpm.id="","",SUM(COUNTIF('1. OP'!$M:$M,_xlpm.id),COUNTIF('2. JSEL'!$M:$M,_xlpm.id),COUNTIF('3. PSM'!$M:$M,_xlpm.id),COUNTIF('4. SSP'!$M:$M,_xlpm.id),COUNTIF('5. JSACI'!$M:$M,_xlpm.id),COUNTIF('6. AIN'!$M:$M,_xlpm.id),COUNTIF('7. MS'!$M:$M,_xlpm.id),COUNTIF('8. DS'!$M:$M,_xlpm.id),COUNTIF('9. RMF'!$M:$M,_xlpm.id),COUNTIF('10. PCU'!$M:$M,_xlpm.id))))</f>
        <v>0</v>
      </c>
    </row>
    <row r="2029" spans="1:9">
      <c r="A2029" t="s">
        <v>10039</v>
      </c>
      <c r="B2029" t="s">
        <v>10038</v>
      </c>
      <c r="C2029">
        <v>1814</v>
      </c>
      <c r="D2029">
        <v>1</v>
      </c>
      <c r="E2029" s="23">
        <v>2</v>
      </c>
      <c r="F2029" t="s">
        <v>8265</v>
      </c>
      <c r="G2029" t="s">
        <v>10486</v>
      </c>
      <c r="H2029" t="s">
        <v>8019</v>
      </c>
      <c r="I2029">
        <f>_xlfn.LET(_xlpm.id,TRIM($A2029),IF(_xlpm.id="","",SUM(COUNTIF('1. OP'!$M:$M,_xlpm.id),COUNTIF('2. JSEL'!$M:$M,_xlpm.id),COUNTIF('3. PSM'!$M:$M,_xlpm.id),COUNTIF('4. SSP'!$M:$M,_xlpm.id),COUNTIF('5. JSACI'!$M:$M,_xlpm.id),COUNTIF('6. AIN'!$M:$M,_xlpm.id),COUNTIF('7. MS'!$M:$M,_xlpm.id),COUNTIF('8. DS'!$M:$M,_xlpm.id),COUNTIF('9. RMF'!$M:$M,_xlpm.id),COUNTIF('10. PCU'!$M:$M,_xlpm.id))))</f>
        <v>0</v>
      </c>
    </row>
    <row r="2030" spans="1:9">
      <c r="A2030" t="s">
        <v>10040</v>
      </c>
      <c r="B2030" t="s">
        <v>10038</v>
      </c>
      <c r="C2030">
        <v>1815</v>
      </c>
      <c r="D2030">
        <v>1</v>
      </c>
      <c r="E2030" s="23">
        <v>3</v>
      </c>
      <c r="F2030" t="s">
        <v>8265</v>
      </c>
      <c r="G2030" t="s">
        <v>10486</v>
      </c>
      <c r="H2030" t="s">
        <v>8019</v>
      </c>
      <c r="I2030">
        <f>_xlfn.LET(_xlpm.id,TRIM($A2030),IF(_xlpm.id="","",SUM(COUNTIF('1. OP'!$M:$M,_xlpm.id),COUNTIF('2. JSEL'!$M:$M,_xlpm.id),COUNTIF('3. PSM'!$M:$M,_xlpm.id),COUNTIF('4. SSP'!$M:$M,_xlpm.id),COUNTIF('5. JSACI'!$M:$M,_xlpm.id),COUNTIF('6. AIN'!$M:$M,_xlpm.id),COUNTIF('7. MS'!$M:$M,_xlpm.id),COUNTIF('8. DS'!$M:$M,_xlpm.id),COUNTIF('9. RMF'!$M:$M,_xlpm.id),COUNTIF('10. PCU'!$M:$M,_xlpm.id))))</f>
        <v>0</v>
      </c>
    </row>
    <row r="2031" spans="1:9">
      <c r="A2031" t="s">
        <v>10041</v>
      </c>
      <c r="B2031" t="s">
        <v>10038</v>
      </c>
      <c r="C2031">
        <v>1815</v>
      </c>
      <c r="D2031">
        <v>1</v>
      </c>
      <c r="E2031" s="23">
        <v>4</v>
      </c>
      <c r="F2031" t="s">
        <v>8265</v>
      </c>
      <c r="G2031" t="s">
        <v>10486</v>
      </c>
      <c r="H2031" t="s">
        <v>8019</v>
      </c>
      <c r="I2031">
        <f>_xlfn.LET(_xlpm.id,TRIM($A2031),IF(_xlpm.id="","",SUM(COUNTIF('1. OP'!$M:$M,_xlpm.id),COUNTIF('2. JSEL'!$M:$M,_xlpm.id),COUNTIF('3. PSM'!$M:$M,_xlpm.id),COUNTIF('4. SSP'!$M:$M,_xlpm.id),COUNTIF('5. JSACI'!$M:$M,_xlpm.id),COUNTIF('6. AIN'!$M:$M,_xlpm.id),COUNTIF('7. MS'!$M:$M,_xlpm.id),COUNTIF('8. DS'!$M:$M,_xlpm.id),COUNTIF('9. RMF'!$M:$M,_xlpm.id),COUNTIF('10. PCU'!$M:$M,_xlpm.id))))</f>
        <v>0</v>
      </c>
    </row>
    <row r="2032" spans="1:9">
      <c r="A2032" t="s">
        <v>10042</v>
      </c>
      <c r="B2032" t="s">
        <v>10038</v>
      </c>
      <c r="C2032">
        <v>1816</v>
      </c>
      <c r="D2032">
        <v>1</v>
      </c>
      <c r="E2032" s="23">
        <v>5</v>
      </c>
      <c r="F2032" t="s">
        <v>8265</v>
      </c>
      <c r="G2032" t="s">
        <v>10486</v>
      </c>
      <c r="H2032" t="s">
        <v>8019</v>
      </c>
      <c r="I2032">
        <f>_xlfn.LET(_xlpm.id,TRIM($A2032),IF(_xlpm.id="","",SUM(COUNTIF('1. OP'!$M:$M,_xlpm.id),COUNTIF('2. JSEL'!$M:$M,_xlpm.id),COUNTIF('3. PSM'!$M:$M,_xlpm.id),COUNTIF('4. SSP'!$M:$M,_xlpm.id),COUNTIF('5. JSACI'!$M:$M,_xlpm.id),COUNTIF('6. AIN'!$M:$M,_xlpm.id),COUNTIF('7. MS'!$M:$M,_xlpm.id),COUNTIF('8. DS'!$M:$M,_xlpm.id),COUNTIF('9. RMF'!$M:$M,_xlpm.id),COUNTIF('10. PCU'!$M:$M,_xlpm.id))))</f>
        <v>0</v>
      </c>
    </row>
    <row r="2033" spans="1:9">
      <c r="A2033" t="s">
        <v>10043</v>
      </c>
      <c r="B2033" t="s">
        <v>10038</v>
      </c>
      <c r="C2033">
        <v>1816</v>
      </c>
      <c r="D2033">
        <v>1</v>
      </c>
      <c r="E2033" s="23">
        <v>6</v>
      </c>
      <c r="F2033" t="s">
        <v>8265</v>
      </c>
      <c r="G2033" t="s">
        <v>10486</v>
      </c>
      <c r="H2033" t="s">
        <v>8019</v>
      </c>
      <c r="I2033">
        <f>_xlfn.LET(_xlpm.id,TRIM($A2033),IF(_xlpm.id="","",SUM(COUNTIF('1. OP'!$M:$M,_xlpm.id),COUNTIF('2. JSEL'!$M:$M,_xlpm.id),COUNTIF('3. PSM'!$M:$M,_xlpm.id),COUNTIF('4. SSP'!$M:$M,_xlpm.id),COUNTIF('5. JSACI'!$M:$M,_xlpm.id),COUNTIF('6. AIN'!$M:$M,_xlpm.id),COUNTIF('7. MS'!$M:$M,_xlpm.id),COUNTIF('8. DS'!$M:$M,_xlpm.id),COUNTIF('9. RMF'!$M:$M,_xlpm.id),COUNTIF('10. PCU'!$M:$M,_xlpm.id))))</f>
        <v>0</v>
      </c>
    </row>
    <row r="2034" spans="1:9">
      <c r="A2034" t="s">
        <v>10044</v>
      </c>
      <c r="B2034" t="s">
        <v>10038</v>
      </c>
      <c r="C2034">
        <v>1817</v>
      </c>
      <c r="D2034">
        <v>1</v>
      </c>
      <c r="E2034" s="23">
        <v>7</v>
      </c>
      <c r="F2034" t="s">
        <v>8265</v>
      </c>
      <c r="G2034" t="s">
        <v>10486</v>
      </c>
      <c r="H2034" t="s">
        <v>8019</v>
      </c>
      <c r="I2034">
        <f>_xlfn.LET(_xlpm.id,TRIM($A2034),IF(_xlpm.id="","",SUM(COUNTIF('1. OP'!$M:$M,_xlpm.id),COUNTIF('2. JSEL'!$M:$M,_xlpm.id),COUNTIF('3. PSM'!$M:$M,_xlpm.id),COUNTIF('4. SSP'!$M:$M,_xlpm.id),COUNTIF('5. JSACI'!$M:$M,_xlpm.id),COUNTIF('6. AIN'!$M:$M,_xlpm.id),COUNTIF('7. MS'!$M:$M,_xlpm.id),COUNTIF('8. DS'!$M:$M,_xlpm.id),COUNTIF('9. RMF'!$M:$M,_xlpm.id),COUNTIF('10. PCU'!$M:$M,_xlpm.id))))</f>
        <v>0</v>
      </c>
    </row>
    <row r="2035" spans="1:9">
      <c r="A2035" t="s">
        <v>10045</v>
      </c>
      <c r="B2035" t="s">
        <v>10038</v>
      </c>
      <c r="C2035">
        <v>1817</v>
      </c>
      <c r="D2035">
        <v>1</v>
      </c>
      <c r="E2035" s="23">
        <v>8</v>
      </c>
      <c r="F2035" t="s">
        <v>8265</v>
      </c>
      <c r="G2035" t="s">
        <v>10486</v>
      </c>
      <c r="H2035" t="s">
        <v>8019</v>
      </c>
      <c r="I2035">
        <f>_xlfn.LET(_xlpm.id,TRIM($A2035),IF(_xlpm.id="","",SUM(COUNTIF('1. OP'!$M:$M,_xlpm.id),COUNTIF('2. JSEL'!$M:$M,_xlpm.id),COUNTIF('3. PSM'!$M:$M,_xlpm.id),COUNTIF('4. SSP'!$M:$M,_xlpm.id),COUNTIF('5. JSACI'!$M:$M,_xlpm.id),COUNTIF('6. AIN'!$M:$M,_xlpm.id),COUNTIF('7. MS'!$M:$M,_xlpm.id),COUNTIF('8. DS'!$M:$M,_xlpm.id),COUNTIF('9. RMF'!$M:$M,_xlpm.id),COUNTIF('10. PCU'!$M:$M,_xlpm.id))))</f>
        <v>0</v>
      </c>
    </row>
    <row r="2036" spans="1:9">
      <c r="A2036" t="s">
        <v>10046</v>
      </c>
      <c r="B2036" t="s">
        <v>10038</v>
      </c>
      <c r="C2036">
        <v>1818</v>
      </c>
      <c r="D2036">
        <v>1</v>
      </c>
      <c r="E2036" s="23">
        <v>9</v>
      </c>
      <c r="F2036" t="s">
        <v>8265</v>
      </c>
      <c r="G2036" t="s">
        <v>10486</v>
      </c>
      <c r="H2036" t="s">
        <v>8019</v>
      </c>
      <c r="I2036">
        <f>_xlfn.LET(_xlpm.id,TRIM($A2036),IF(_xlpm.id="","",SUM(COUNTIF('1. OP'!$M:$M,_xlpm.id),COUNTIF('2. JSEL'!$M:$M,_xlpm.id),COUNTIF('3. PSM'!$M:$M,_xlpm.id),COUNTIF('4. SSP'!$M:$M,_xlpm.id),COUNTIF('5. JSACI'!$M:$M,_xlpm.id),COUNTIF('6. AIN'!$M:$M,_xlpm.id),COUNTIF('7. MS'!$M:$M,_xlpm.id),COUNTIF('8. DS'!$M:$M,_xlpm.id),COUNTIF('9. RMF'!$M:$M,_xlpm.id),COUNTIF('10. PCU'!$M:$M,_xlpm.id))))</f>
        <v>0</v>
      </c>
    </row>
    <row r="2037" spans="1:9">
      <c r="A2037" t="s">
        <v>10047</v>
      </c>
      <c r="B2037" t="s">
        <v>10038</v>
      </c>
      <c r="C2037">
        <v>1818</v>
      </c>
      <c r="D2037">
        <v>1</v>
      </c>
      <c r="E2037" s="23">
        <v>10</v>
      </c>
      <c r="F2037" t="s">
        <v>8265</v>
      </c>
      <c r="G2037" t="s">
        <v>10486</v>
      </c>
      <c r="H2037" t="s">
        <v>8019</v>
      </c>
      <c r="I2037">
        <f>_xlfn.LET(_xlpm.id,TRIM($A2037),IF(_xlpm.id="","",SUM(COUNTIF('1. OP'!$M:$M,_xlpm.id),COUNTIF('2. JSEL'!$M:$M,_xlpm.id),COUNTIF('3. PSM'!$M:$M,_xlpm.id),COUNTIF('4. SSP'!$M:$M,_xlpm.id),COUNTIF('5. JSACI'!$M:$M,_xlpm.id),COUNTIF('6. AIN'!$M:$M,_xlpm.id),COUNTIF('7. MS'!$M:$M,_xlpm.id),COUNTIF('8. DS'!$M:$M,_xlpm.id),COUNTIF('9. RMF'!$M:$M,_xlpm.id),COUNTIF('10. PCU'!$M:$M,_xlpm.id))))</f>
        <v>0</v>
      </c>
    </row>
    <row r="2038" spans="1:9">
      <c r="A2038" t="s">
        <v>10048</v>
      </c>
      <c r="B2038" t="s">
        <v>10038</v>
      </c>
      <c r="C2038">
        <v>1819</v>
      </c>
      <c r="D2038">
        <v>1</v>
      </c>
      <c r="E2038" s="23">
        <v>11</v>
      </c>
      <c r="F2038" t="s">
        <v>8265</v>
      </c>
      <c r="G2038" t="s">
        <v>10486</v>
      </c>
      <c r="H2038" t="s">
        <v>8019</v>
      </c>
      <c r="I2038">
        <f>_xlfn.LET(_xlpm.id,TRIM($A2038),IF(_xlpm.id="","",SUM(COUNTIF('1. OP'!$M:$M,_xlpm.id),COUNTIF('2. JSEL'!$M:$M,_xlpm.id),COUNTIF('3. PSM'!$M:$M,_xlpm.id),COUNTIF('4. SSP'!$M:$M,_xlpm.id),COUNTIF('5. JSACI'!$M:$M,_xlpm.id),COUNTIF('6. AIN'!$M:$M,_xlpm.id),COUNTIF('7. MS'!$M:$M,_xlpm.id),COUNTIF('8. DS'!$M:$M,_xlpm.id),COUNTIF('9. RMF'!$M:$M,_xlpm.id),COUNTIF('10. PCU'!$M:$M,_xlpm.id))))</f>
        <v>0</v>
      </c>
    </row>
    <row r="2039" spans="1:9">
      <c r="A2039" t="s">
        <v>10049</v>
      </c>
      <c r="B2039" t="s">
        <v>10038</v>
      </c>
      <c r="C2039">
        <v>1819</v>
      </c>
      <c r="D2039">
        <v>1</v>
      </c>
      <c r="E2039" s="23">
        <v>12</v>
      </c>
      <c r="F2039" t="s">
        <v>8265</v>
      </c>
      <c r="G2039" t="s">
        <v>10486</v>
      </c>
      <c r="H2039" t="s">
        <v>8019</v>
      </c>
      <c r="I2039">
        <f>_xlfn.LET(_xlpm.id,TRIM($A2039),IF(_xlpm.id="","",SUM(COUNTIF('1. OP'!$M:$M,_xlpm.id),COUNTIF('2. JSEL'!$M:$M,_xlpm.id),COUNTIF('3. PSM'!$M:$M,_xlpm.id),COUNTIF('4. SSP'!$M:$M,_xlpm.id),COUNTIF('5. JSACI'!$M:$M,_xlpm.id),COUNTIF('6. AIN'!$M:$M,_xlpm.id),COUNTIF('7. MS'!$M:$M,_xlpm.id),COUNTIF('8. DS'!$M:$M,_xlpm.id),COUNTIF('9. RMF'!$M:$M,_xlpm.id),COUNTIF('10. PCU'!$M:$M,_xlpm.id))))</f>
        <v>0</v>
      </c>
    </row>
    <row r="2040" spans="1:9">
      <c r="A2040" t="s">
        <v>10050</v>
      </c>
      <c r="B2040" t="s">
        <v>10038</v>
      </c>
      <c r="C2040">
        <v>1820</v>
      </c>
      <c r="D2040">
        <v>1</v>
      </c>
      <c r="E2040" s="23">
        <v>13</v>
      </c>
      <c r="F2040" t="s">
        <v>8265</v>
      </c>
      <c r="G2040" t="s">
        <v>10486</v>
      </c>
      <c r="H2040" t="s">
        <v>8019</v>
      </c>
      <c r="I2040">
        <f>_xlfn.LET(_xlpm.id,TRIM($A2040),IF(_xlpm.id="","",SUM(COUNTIF('1. OP'!$M:$M,_xlpm.id),COUNTIF('2. JSEL'!$M:$M,_xlpm.id),COUNTIF('3. PSM'!$M:$M,_xlpm.id),COUNTIF('4. SSP'!$M:$M,_xlpm.id),COUNTIF('5. JSACI'!$M:$M,_xlpm.id),COUNTIF('6. AIN'!$M:$M,_xlpm.id),COUNTIF('7. MS'!$M:$M,_xlpm.id),COUNTIF('8. DS'!$M:$M,_xlpm.id),COUNTIF('9. RMF'!$M:$M,_xlpm.id),COUNTIF('10. PCU'!$M:$M,_xlpm.id))))</f>
        <v>0</v>
      </c>
    </row>
    <row r="2041" spans="1:9">
      <c r="A2041" t="s">
        <v>10051</v>
      </c>
      <c r="B2041" t="s">
        <v>10038</v>
      </c>
      <c r="C2041">
        <v>1820</v>
      </c>
      <c r="D2041">
        <v>1</v>
      </c>
      <c r="E2041" s="23">
        <v>14</v>
      </c>
      <c r="F2041" t="s">
        <v>8265</v>
      </c>
      <c r="G2041" t="s">
        <v>10486</v>
      </c>
      <c r="H2041" t="s">
        <v>8019</v>
      </c>
      <c r="I2041">
        <f>_xlfn.LET(_xlpm.id,TRIM($A2041),IF(_xlpm.id="","",SUM(COUNTIF('1. OP'!$M:$M,_xlpm.id),COUNTIF('2. JSEL'!$M:$M,_xlpm.id),COUNTIF('3. PSM'!$M:$M,_xlpm.id),COUNTIF('4. SSP'!$M:$M,_xlpm.id),COUNTIF('5. JSACI'!$M:$M,_xlpm.id),COUNTIF('6. AIN'!$M:$M,_xlpm.id),COUNTIF('7. MS'!$M:$M,_xlpm.id),COUNTIF('8. DS'!$M:$M,_xlpm.id),COUNTIF('9. RMF'!$M:$M,_xlpm.id),COUNTIF('10. PCU'!$M:$M,_xlpm.id))))</f>
        <v>0</v>
      </c>
    </row>
    <row r="2042" spans="1:9">
      <c r="A2042" t="s">
        <v>10052</v>
      </c>
      <c r="B2042" t="s">
        <v>10038</v>
      </c>
      <c r="C2042">
        <v>1821</v>
      </c>
      <c r="D2042">
        <v>1</v>
      </c>
      <c r="E2042" s="23">
        <v>15</v>
      </c>
      <c r="F2042" t="s">
        <v>8265</v>
      </c>
      <c r="G2042" t="s">
        <v>10486</v>
      </c>
      <c r="H2042" t="s">
        <v>8019</v>
      </c>
      <c r="I2042">
        <f>_xlfn.LET(_xlpm.id,TRIM($A2042),IF(_xlpm.id="","",SUM(COUNTIF('1. OP'!$M:$M,_xlpm.id),COUNTIF('2. JSEL'!$M:$M,_xlpm.id),COUNTIF('3. PSM'!$M:$M,_xlpm.id),COUNTIF('4. SSP'!$M:$M,_xlpm.id),COUNTIF('5. JSACI'!$M:$M,_xlpm.id),COUNTIF('6. AIN'!$M:$M,_xlpm.id),COUNTIF('7. MS'!$M:$M,_xlpm.id),COUNTIF('8. DS'!$M:$M,_xlpm.id),COUNTIF('9. RMF'!$M:$M,_xlpm.id),COUNTIF('10. PCU'!$M:$M,_xlpm.id))))</f>
        <v>0</v>
      </c>
    </row>
    <row r="2043" spans="1:9">
      <c r="A2043" t="s">
        <v>10053</v>
      </c>
      <c r="B2043" t="s">
        <v>10038</v>
      </c>
      <c r="C2043">
        <v>1821</v>
      </c>
      <c r="D2043">
        <v>1</v>
      </c>
      <c r="E2043" s="23">
        <v>16</v>
      </c>
      <c r="F2043" t="s">
        <v>8265</v>
      </c>
      <c r="G2043" t="s">
        <v>10486</v>
      </c>
      <c r="H2043" t="s">
        <v>8019</v>
      </c>
      <c r="I2043">
        <f>_xlfn.LET(_xlpm.id,TRIM($A2043),IF(_xlpm.id="","",SUM(COUNTIF('1. OP'!$M:$M,_xlpm.id),COUNTIF('2. JSEL'!$M:$M,_xlpm.id),COUNTIF('3. PSM'!$M:$M,_xlpm.id),COUNTIF('4. SSP'!$M:$M,_xlpm.id),COUNTIF('5. JSACI'!$M:$M,_xlpm.id),COUNTIF('6. AIN'!$M:$M,_xlpm.id),COUNTIF('7. MS'!$M:$M,_xlpm.id),COUNTIF('8. DS'!$M:$M,_xlpm.id),COUNTIF('9. RMF'!$M:$M,_xlpm.id),COUNTIF('10. PCU'!$M:$M,_xlpm.id))))</f>
        <v>0</v>
      </c>
    </row>
    <row r="2044" spans="1:9">
      <c r="A2044" t="s">
        <v>10054</v>
      </c>
      <c r="B2044" t="s">
        <v>10038</v>
      </c>
      <c r="C2044">
        <v>1822</v>
      </c>
      <c r="D2044">
        <v>1</v>
      </c>
      <c r="E2044" s="23">
        <v>17</v>
      </c>
      <c r="F2044" t="s">
        <v>8265</v>
      </c>
      <c r="G2044" t="s">
        <v>10486</v>
      </c>
      <c r="H2044" t="s">
        <v>8019</v>
      </c>
      <c r="I2044">
        <f>_xlfn.LET(_xlpm.id,TRIM($A2044),IF(_xlpm.id="","",SUM(COUNTIF('1. OP'!$M:$M,_xlpm.id),COUNTIF('2. JSEL'!$M:$M,_xlpm.id),COUNTIF('3. PSM'!$M:$M,_xlpm.id),COUNTIF('4. SSP'!$M:$M,_xlpm.id),COUNTIF('5. JSACI'!$M:$M,_xlpm.id),COUNTIF('6. AIN'!$M:$M,_xlpm.id),COUNTIF('7. MS'!$M:$M,_xlpm.id),COUNTIF('8. DS'!$M:$M,_xlpm.id),COUNTIF('9. RMF'!$M:$M,_xlpm.id),COUNTIF('10. PCU'!$M:$M,_xlpm.id))))</f>
        <v>0</v>
      </c>
    </row>
    <row r="2045" spans="1:9">
      <c r="A2045" t="s">
        <v>10055</v>
      </c>
      <c r="B2045" t="s">
        <v>10038</v>
      </c>
      <c r="C2045">
        <v>1822</v>
      </c>
      <c r="D2045">
        <v>1</v>
      </c>
      <c r="E2045" s="23">
        <v>18</v>
      </c>
      <c r="F2045" t="s">
        <v>8265</v>
      </c>
      <c r="G2045" t="s">
        <v>10486</v>
      </c>
      <c r="H2045" t="s">
        <v>8019</v>
      </c>
      <c r="I2045">
        <f>_xlfn.LET(_xlpm.id,TRIM($A2045),IF(_xlpm.id="","",SUM(COUNTIF('1. OP'!$M:$M,_xlpm.id),COUNTIF('2. JSEL'!$M:$M,_xlpm.id),COUNTIF('3. PSM'!$M:$M,_xlpm.id),COUNTIF('4. SSP'!$M:$M,_xlpm.id),COUNTIF('5. JSACI'!$M:$M,_xlpm.id),COUNTIF('6. AIN'!$M:$M,_xlpm.id),COUNTIF('7. MS'!$M:$M,_xlpm.id),COUNTIF('8. DS'!$M:$M,_xlpm.id),COUNTIF('9. RMF'!$M:$M,_xlpm.id),COUNTIF('10. PCU'!$M:$M,_xlpm.id))))</f>
        <v>0</v>
      </c>
    </row>
    <row r="2046" spans="1:9">
      <c r="A2046" t="s">
        <v>10056</v>
      </c>
      <c r="B2046" t="s">
        <v>10038</v>
      </c>
      <c r="C2046">
        <v>1823</v>
      </c>
      <c r="D2046">
        <v>1</v>
      </c>
      <c r="E2046" s="23">
        <v>19</v>
      </c>
      <c r="F2046" t="s">
        <v>8265</v>
      </c>
      <c r="G2046" t="s">
        <v>10486</v>
      </c>
      <c r="H2046" t="s">
        <v>8019</v>
      </c>
      <c r="I2046">
        <f>_xlfn.LET(_xlpm.id,TRIM($A2046),IF(_xlpm.id="","",SUM(COUNTIF('1. OP'!$M:$M,_xlpm.id),COUNTIF('2. JSEL'!$M:$M,_xlpm.id),COUNTIF('3. PSM'!$M:$M,_xlpm.id),COUNTIF('4. SSP'!$M:$M,_xlpm.id),COUNTIF('5. JSACI'!$M:$M,_xlpm.id),COUNTIF('6. AIN'!$M:$M,_xlpm.id),COUNTIF('7. MS'!$M:$M,_xlpm.id),COUNTIF('8. DS'!$M:$M,_xlpm.id),COUNTIF('9. RMF'!$M:$M,_xlpm.id),COUNTIF('10. PCU'!$M:$M,_xlpm.id))))</f>
        <v>0</v>
      </c>
    </row>
    <row r="2047" spans="1:9">
      <c r="A2047" t="s">
        <v>10057</v>
      </c>
      <c r="B2047" t="s">
        <v>10038</v>
      </c>
      <c r="C2047">
        <v>1823</v>
      </c>
      <c r="D2047">
        <v>1</v>
      </c>
      <c r="E2047" s="23">
        <v>20</v>
      </c>
      <c r="F2047" t="s">
        <v>8265</v>
      </c>
      <c r="G2047" t="s">
        <v>10486</v>
      </c>
      <c r="H2047" t="s">
        <v>8019</v>
      </c>
      <c r="I2047">
        <f>_xlfn.LET(_xlpm.id,TRIM($A2047),IF(_xlpm.id="","",SUM(COUNTIF('1. OP'!$M:$M,_xlpm.id),COUNTIF('2. JSEL'!$M:$M,_xlpm.id),COUNTIF('3. PSM'!$M:$M,_xlpm.id),COUNTIF('4. SSP'!$M:$M,_xlpm.id),COUNTIF('5. JSACI'!$M:$M,_xlpm.id),COUNTIF('6. AIN'!$M:$M,_xlpm.id),COUNTIF('7. MS'!$M:$M,_xlpm.id),COUNTIF('8. DS'!$M:$M,_xlpm.id),COUNTIF('9. RMF'!$M:$M,_xlpm.id),COUNTIF('10. PCU'!$M:$M,_xlpm.id))))</f>
        <v>0</v>
      </c>
    </row>
    <row r="2048" spans="1:9">
      <c r="A2048" t="s">
        <v>10058</v>
      </c>
      <c r="B2048" t="s">
        <v>10038</v>
      </c>
      <c r="C2048">
        <v>1824</v>
      </c>
      <c r="D2048">
        <v>1</v>
      </c>
      <c r="E2048" s="23">
        <v>2</v>
      </c>
      <c r="F2048" t="s">
        <v>8265</v>
      </c>
      <c r="G2048" t="s">
        <v>10486</v>
      </c>
      <c r="H2048" t="s">
        <v>8019</v>
      </c>
      <c r="I2048">
        <f>_xlfn.LET(_xlpm.id,TRIM($A2048),IF(_xlpm.id="","",SUM(COUNTIF('1. OP'!$M:$M,_xlpm.id),COUNTIF('2. JSEL'!$M:$M,_xlpm.id),COUNTIF('3. PSM'!$M:$M,_xlpm.id),COUNTIF('4. SSP'!$M:$M,_xlpm.id),COUNTIF('5. JSACI'!$M:$M,_xlpm.id),COUNTIF('6. AIN'!$M:$M,_xlpm.id),COUNTIF('7. MS'!$M:$M,_xlpm.id),COUNTIF('8. DS'!$M:$M,_xlpm.id),COUNTIF('9. RMF'!$M:$M,_xlpm.id),COUNTIF('10. PCU'!$M:$M,_xlpm.id))))</f>
        <v>0</v>
      </c>
    </row>
    <row r="2049" spans="1:9">
      <c r="A2049" t="s">
        <v>10059</v>
      </c>
      <c r="B2049" t="s">
        <v>10038</v>
      </c>
      <c r="C2049">
        <v>1825</v>
      </c>
      <c r="D2049">
        <v>1</v>
      </c>
      <c r="E2049" s="23">
        <v>1</v>
      </c>
      <c r="F2049" t="s">
        <v>8265</v>
      </c>
      <c r="G2049" t="s">
        <v>10486</v>
      </c>
      <c r="H2049" t="s">
        <v>8019</v>
      </c>
      <c r="I2049">
        <f>_xlfn.LET(_xlpm.id,TRIM($A2049),IF(_xlpm.id="","",SUM(COUNTIF('1. OP'!$M:$M,_xlpm.id),COUNTIF('2. JSEL'!$M:$M,_xlpm.id),COUNTIF('3. PSM'!$M:$M,_xlpm.id),COUNTIF('4. SSP'!$M:$M,_xlpm.id),COUNTIF('5. JSACI'!$M:$M,_xlpm.id),COUNTIF('6. AIN'!$M:$M,_xlpm.id),COUNTIF('7. MS'!$M:$M,_xlpm.id),COUNTIF('8. DS'!$M:$M,_xlpm.id),COUNTIF('9. RMF'!$M:$M,_xlpm.id),COUNTIF('10. PCU'!$M:$M,_xlpm.id))))</f>
        <v>0</v>
      </c>
    </row>
    <row r="2050" spans="1:9">
      <c r="A2050" t="s">
        <v>10060</v>
      </c>
      <c r="B2050" t="s">
        <v>10038</v>
      </c>
      <c r="C2050">
        <v>1825</v>
      </c>
      <c r="D2050">
        <v>1</v>
      </c>
      <c r="E2050" s="23">
        <v>2</v>
      </c>
      <c r="F2050" t="s">
        <v>8265</v>
      </c>
      <c r="G2050" t="s">
        <v>10486</v>
      </c>
      <c r="H2050" t="s">
        <v>8019</v>
      </c>
      <c r="I2050">
        <f>_xlfn.LET(_xlpm.id,TRIM($A2050),IF(_xlpm.id="","",SUM(COUNTIF('1. OP'!$M:$M,_xlpm.id),COUNTIF('2. JSEL'!$M:$M,_xlpm.id),COUNTIF('3. PSM'!$M:$M,_xlpm.id),COUNTIF('4. SSP'!$M:$M,_xlpm.id),COUNTIF('5. JSACI'!$M:$M,_xlpm.id),COUNTIF('6. AIN'!$M:$M,_xlpm.id),COUNTIF('7. MS'!$M:$M,_xlpm.id),COUNTIF('8. DS'!$M:$M,_xlpm.id),COUNTIF('9. RMF'!$M:$M,_xlpm.id),COUNTIF('10. PCU'!$M:$M,_xlpm.id))))</f>
        <v>0</v>
      </c>
    </row>
    <row r="2051" spans="1:9">
      <c r="A2051" t="s">
        <v>10061</v>
      </c>
      <c r="B2051" t="s">
        <v>10038</v>
      </c>
      <c r="C2051">
        <v>1826</v>
      </c>
      <c r="D2051">
        <v>1</v>
      </c>
      <c r="E2051" s="23">
        <v>3</v>
      </c>
      <c r="F2051" t="s">
        <v>8265</v>
      </c>
      <c r="G2051" t="s">
        <v>10486</v>
      </c>
      <c r="H2051" t="s">
        <v>8019</v>
      </c>
      <c r="I2051">
        <f>_xlfn.LET(_xlpm.id,TRIM($A2051),IF(_xlpm.id="","",SUM(COUNTIF('1. OP'!$M:$M,_xlpm.id),COUNTIF('2. JSEL'!$M:$M,_xlpm.id),COUNTIF('3. PSM'!$M:$M,_xlpm.id),COUNTIF('4. SSP'!$M:$M,_xlpm.id),COUNTIF('5. JSACI'!$M:$M,_xlpm.id),COUNTIF('6. AIN'!$M:$M,_xlpm.id),COUNTIF('7. MS'!$M:$M,_xlpm.id),COUNTIF('8. DS'!$M:$M,_xlpm.id),COUNTIF('9. RMF'!$M:$M,_xlpm.id),COUNTIF('10. PCU'!$M:$M,_xlpm.id))))</f>
        <v>0</v>
      </c>
    </row>
    <row r="2052" spans="1:9">
      <c r="A2052" t="s">
        <v>10062</v>
      </c>
      <c r="B2052" t="s">
        <v>10063</v>
      </c>
      <c r="C2052">
        <v>1828</v>
      </c>
      <c r="D2052">
        <v>1</v>
      </c>
      <c r="E2052" s="23">
        <v>1</v>
      </c>
      <c r="F2052" t="s">
        <v>8102</v>
      </c>
      <c r="G2052" t="s">
        <v>10484</v>
      </c>
      <c r="H2052" t="s">
        <v>8021</v>
      </c>
      <c r="I2052">
        <f>_xlfn.LET(_xlpm.id,TRIM($A2052),IF(_xlpm.id="","",SUM(COUNTIF('1. OP'!$M:$M,_xlpm.id),COUNTIF('2. JSEL'!$M:$M,_xlpm.id),COUNTIF('3. PSM'!$M:$M,_xlpm.id),COUNTIF('4. SSP'!$M:$M,_xlpm.id),COUNTIF('5. JSACI'!$M:$M,_xlpm.id),COUNTIF('6. AIN'!$M:$M,_xlpm.id),COUNTIF('7. MS'!$M:$M,_xlpm.id),COUNTIF('8. DS'!$M:$M,_xlpm.id),COUNTIF('9. RMF'!$M:$M,_xlpm.id),COUNTIF('10. PCU'!$M:$M,_xlpm.id))))</f>
        <v>0</v>
      </c>
    </row>
    <row r="2053" spans="1:9">
      <c r="A2053" t="s">
        <v>5557</v>
      </c>
      <c r="B2053" t="s">
        <v>10063</v>
      </c>
      <c r="C2053">
        <v>1833</v>
      </c>
      <c r="D2053">
        <v>1</v>
      </c>
      <c r="E2053" s="23">
        <v>2</v>
      </c>
      <c r="F2053" t="s">
        <v>8102</v>
      </c>
      <c r="G2053" t="s">
        <v>10484</v>
      </c>
      <c r="H2053" t="s">
        <v>8021</v>
      </c>
      <c r="I2053">
        <f>_xlfn.LET(_xlpm.id,TRIM($A2053),IF(_xlpm.id="","",SUM(COUNTIF('1. OP'!$M:$M,_xlpm.id),COUNTIF('2. JSEL'!$M:$M,_xlpm.id),COUNTIF('3. PSM'!$M:$M,_xlpm.id),COUNTIF('4. SSP'!$M:$M,_xlpm.id),COUNTIF('5. JSACI'!$M:$M,_xlpm.id),COUNTIF('6. AIN'!$M:$M,_xlpm.id),COUNTIF('7. MS'!$M:$M,_xlpm.id),COUNTIF('8. DS'!$M:$M,_xlpm.id),COUNTIF('9. RMF'!$M:$M,_xlpm.id),COUNTIF('10. PCU'!$M:$M,_xlpm.id))))</f>
        <v>1</v>
      </c>
    </row>
    <row r="2054" spans="1:9">
      <c r="A2054" t="s">
        <v>7268</v>
      </c>
      <c r="B2054" t="s">
        <v>10063</v>
      </c>
      <c r="C2054">
        <v>1833</v>
      </c>
      <c r="D2054">
        <v>1</v>
      </c>
      <c r="E2054" s="23">
        <v>3</v>
      </c>
      <c r="F2054" t="s">
        <v>8102</v>
      </c>
      <c r="G2054" t="s">
        <v>10484</v>
      </c>
      <c r="H2054" t="s">
        <v>8021</v>
      </c>
      <c r="I2054">
        <f>_xlfn.LET(_xlpm.id,TRIM($A2054),IF(_xlpm.id="","",SUM(COUNTIF('1. OP'!$M:$M,_xlpm.id),COUNTIF('2. JSEL'!$M:$M,_xlpm.id),COUNTIF('3. PSM'!$M:$M,_xlpm.id),COUNTIF('4. SSP'!$M:$M,_xlpm.id),COUNTIF('5. JSACI'!$M:$M,_xlpm.id),COUNTIF('6. AIN'!$M:$M,_xlpm.id),COUNTIF('7. MS'!$M:$M,_xlpm.id),COUNTIF('8. DS'!$M:$M,_xlpm.id),COUNTIF('9. RMF'!$M:$M,_xlpm.id),COUNTIF('10. PCU'!$M:$M,_xlpm.id))))</f>
        <v>2</v>
      </c>
    </row>
    <row r="2055" spans="1:9">
      <c r="A2055" t="s">
        <v>10064</v>
      </c>
      <c r="B2055" t="s">
        <v>10063</v>
      </c>
      <c r="C2055">
        <v>1836</v>
      </c>
      <c r="D2055">
        <v>1</v>
      </c>
      <c r="E2055" s="23">
        <v>4</v>
      </c>
      <c r="F2055" t="s">
        <v>8102</v>
      </c>
      <c r="G2055" t="s">
        <v>10484</v>
      </c>
      <c r="H2055" t="s">
        <v>8021</v>
      </c>
      <c r="I2055">
        <f>_xlfn.LET(_xlpm.id,TRIM($A2055),IF(_xlpm.id="","",SUM(COUNTIF('1. OP'!$M:$M,_xlpm.id),COUNTIF('2. JSEL'!$M:$M,_xlpm.id),COUNTIF('3. PSM'!$M:$M,_xlpm.id),COUNTIF('4. SSP'!$M:$M,_xlpm.id),COUNTIF('5. JSACI'!$M:$M,_xlpm.id),COUNTIF('6. AIN'!$M:$M,_xlpm.id),COUNTIF('7. MS'!$M:$M,_xlpm.id),COUNTIF('8. DS'!$M:$M,_xlpm.id),COUNTIF('9. RMF'!$M:$M,_xlpm.id),COUNTIF('10. PCU'!$M:$M,_xlpm.id))))</f>
        <v>0</v>
      </c>
    </row>
    <row r="2056" spans="1:9">
      <c r="A2056" t="s">
        <v>10065</v>
      </c>
      <c r="B2056" t="s">
        <v>10063</v>
      </c>
      <c r="C2056">
        <v>1836</v>
      </c>
      <c r="D2056">
        <v>1</v>
      </c>
      <c r="E2056" s="23">
        <v>5</v>
      </c>
      <c r="F2056" t="s">
        <v>8102</v>
      </c>
      <c r="G2056" t="s">
        <v>10484</v>
      </c>
      <c r="H2056" t="s">
        <v>8021</v>
      </c>
      <c r="I2056">
        <f>_xlfn.LET(_xlpm.id,TRIM($A2056),IF(_xlpm.id="","",SUM(COUNTIF('1. OP'!$M:$M,_xlpm.id),COUNTIF('2. JSEL'!$M:$M,_xlpm.id),COUNTIF('3. PSM'!$M:$M,_xlpm.id),COUNTIF('4. SSP'!$M:$M,_xlpm.id),COUNTIF('5. JSACI'!$M:$M,_xlpm.id),COUNTIF('6. AIN'!$M:$M,_xlpm.id),COUNTIF('7. MS'!$M:$M,_xlpm.id),COUNTIF('8. DS'!$M:$M,_xlpm.id),COUNTIF('9. RMF'!$M:$M,_xlpm.id),COUNTIF('10. PCU'!$M:$M,_xlpm.id))))</f>
        <v>0</v>
      </c>
    </row>
    <row r="2057" spans="1:9">
      <c r="A2057" t="s">
        <v>10066</v>
      </c>
      <c r="B2057" t="s">
        <v>10063</v>
      </c>
      <c r="C2057">
        <v>1837</v>
      </c>
      <c r="D2057">
        <v>1</v>
      </c>
      <c r="E2057" s="23">
        <v>6</v>
      </c>
      <c r="F2057" t="s">
        <v>8102</v>
      </c>
      <c r="G2057" t="s">
        <v>10484</v>
      </c>
      <c r="H2057" t="s">
        <v>8021</v>
      </c>
      <c r="I2057">
        <f>_xlfn.LET(_xlpm.id,TRIM($A2057),IF(_xlpm.id="","",SUM(COUNTIF('1. OP'!$M:$M,_xlpm.id),COUNTIF('2. JSEL'!$M:$M,_xlpm.id),COUNTIF('3. PSM'!$M:$M,_xlpm.id),COUNTIF('4. SSP'!$M:$M,_xlpm.id),COUNTIF('5. JSACI'!$M:$M,_xlpm.id),COUNTIF('6. AIN'!$M:$M,_xlpm.id),COUNTIF('7. MS'!$M:$M,_xlpm.id),COUNTIF('8. DS'!$M:$M,_xlpm.id),COUNTIF('9. RMF'!$M:$M,_xlpm.id),COUNTIF('10. PCU'!$M:$M,_xlpm.id))))</f>
        <v>0</v>
      </c>
    </row>
    <row r="2058" spans="1:9">
      <c r="A2058" t="s">
        <v>10067</v>
      </c>
      <c r="B2058" t="s">
        <v>10063</v>
      </c>
      <c r="C2058">
        <v>1838</v>
      </c>
      <c r="D2058">
        <v>1</v>
      </c>
      <c r="E2058" s="23">
        <v>7</v>
      </c>
      <c r="F2058" t="s">
        <v>8102</v>
      </c>
      <c r="G2058" t="s">
        <v>10484</v>
      </c>
      <c r="H2058" t="s">
        <v>8021</v>
      </c>
      <c r="I2058">
        <f>_xlfn.LET(_xlpm.id,TRIM($A2058),IF(_xlpm.id="","",SUM(COUNTIF('1. OP'!$M:$M,_xlpm.id),COUNTIF('2. JSEL'!$M:$M,_xlpm.id),COUNTIF('3. PSM'!$M:$M,_xlpm.id),COUNTIF('4. SSP'!$M:$M,_xlpm.id),COUNTIF('5. JSACI'!$M:$M,_xlpm.id),COUNTIF('6. AIN'!$M:$M,_xlpm.id),COUNTIF('7. MS'!$M:$M,_xlpm.id),COUNTIF('8. DS'!$M:$M,_xlpm.id),COUNTIF('9. RMF'!$M:$M,_xlpm.id),COUNTIF('10. PCU'!$M:$M,_xlpm.id))))</f>
        <v>0</v>
      </c>
    </row>
    <row r="2059" spans="1:9">
      <c r="A2059" t="s">
        <v>10068</v>
      </c>
      <c r="B2059" t="s">
        <v>10063</v>
      </c>
      <c r="C2059">
        <v>1840</v>
      </c>
      <c r="D2059">
        <v>1</v>
      </c>
      <c r="E2059" s="23">
        <v>8</v>
      </c>
      <c r="F2059" t="s">
        <v>8102</v>
      </c>
      <c r="G2059" t="s">
        <v>10484</v>
      </c>
      <c r="H2059" t="s">
        <v>8021</v>
      </c>
      <c r="I2059">
        <f>_xlfn.LET(_xlpm.id,TRIM($A2059),IF(_xlpm.id="","",SUM(COUNTIF('1. OP'!$M:$M,_xlpm.id),COUNTIF('2. JSEL'!$M:$M,_xlpm.id),COUNTIF('3. PSM'!$M:$M,_xlpm.id),COUNTIF('4. SSP'!$M:$M,_xlpm.id),COUNTIF('5. JSACI'!$M:$M,_xlpm.id),COUNTIF('6. AIN'!$M:$M,_xlpm.id),COUNTIF('7. MS'!$M:$M,_xlpm.id),COUNTIF('8. DS'!$M:$M,_xlpm.id),COUNTIF('9. RMF'!$M:$M,_xlpm.id),COUNTIF('10. PCU'!$M:$M,_xlpm.id))))</f>
        <v>0</v>
      </c>
    </row>
    <row r="2060" spans="1:9">
      <c r="A2060" t="s">
        <v>7432</v>
      </c>
      <c r="B2060" t="s">
        <v>10074</v>
      </c>
      <c r="C2060">
        <v>1835</v>
      </c>
      <c r="D2060">
        <v>1</v>
      </c>
      <c r="E2060" s="23">
        <v>1</v>
      </c>
      <c r="F2060" t="s">
        <v>8102</v>
      </c>
      <c r="G2060" t="s">
        <v>10484</v>
      </c>
      <c r="H2060" t="s">
        <v>8021</v>
      </c>
      <c r="I2060">
        <f>_xlfn.LET(_xlpm.id,TRIM($A2060),IF(_xlpm.id="","",SUM(COUNTIF('1. OP'!$M:$M,_xlpm.id),COUNTIF('2. JSEL'!$M:$M,_xlpm.id),COUNTIF('3. PSM'!$M:$M,_xlpm.id),COUNTIF('4. SSP'!$M:$M,_xlpm.id),COUNTIF('5. JSACI'!$M:$M,_xlpm.id),COUNTIF('6. AIN'!$M:$M,_xlpm.id),COUNTIF('7. MS'!$M:$M,_xlpm.id),COUNTIF('8. DS'!$M:$M,_xlpm.id),COUNTIF('9. RMF'!$M:$M,_xlpm.id),COUNTIF('10. PCU'!$M:$M,_xlpm.id))))</f>
        <v>1</v>
      </c>
    </row>
    <row r="2061" spans="1:9">
      <c r="A2061" t="s">
        <v>10075</v>
      </c>
      <c r="B2061" t="s">
        <v>10074</v>
      </c>
      <c r="C2061">
        <v>1836</v>
      </c>
      <c r="D2061">
        <v>1</v>
      </c>
      <c r="E2061" s="23">
        <v>2</v>
      </c>
      <c r="F2061" t="s">
        <v>8102</v>
      </c>
      <c r="G2061" t="s">
        <v>10484</v>
      </c>
      <c r="H2061" t="s">
        <v>8021</v>
      </c>
      <c r="I2061">
        <f>_xlfn.LET(_xlpm.id,TRIM($A2061),IF(_xlpm.id="","",SUM(COUNTIF('1. OP'!$M:$M,_xlpm.id),COUNTIF('2. JSEL'!$M:$M,_xlpm.id),COUNTIF('3. PSM'!$M:$M,_xlpm.id),COUNTIF('4. SSP'!$M:$M,_xlpm.id),COUNTIF('5. JSACI'!$M:$M,_xlpm.id),COUNTIF('6. AIN'!$M:$M,_xlpm.id),COUNTIF('7. MS'!$M:$M,_xlpm.id),COUNTIF('8. DS'!$M:$M,_xlpm.id),COUNTIF('9. RMF'!$M:$M,_xlpm.id),COUNTIF('10. PCU'!$M:$M,_xlpm.id))))</f>
        <v>0</v>
      </c>
    </row>
    <row r="2062" spans="1:9">
      <c r="A2062" t="s">
        <v>10076</v>
      </c>
      <c r="B2062" t="s">
        <v>10074</v>
      </c>
      <c r="C2062">
        <v>1836</v>
      </c>
      <c r="D2062">
        <v>1</v>
      </c>
      <c r="E2062" s="23">
        <v>3</v>
      </c>
      <c r="F2062" t="s">
        <v>8102</v>
      </c>
      <c r="G2062" t="s">
        <v>10484</v>
      </c>
      <c r="H2062" t="s">
        <v>8021</v>
      </c>
      <c r="I2062">
        <f>_xlfn.LET(_xlpm.id,TRIM($A2062),IF(_xlpm.id="","",SUM(COUNTIF('1. OP'!$M:$M,_xlpm.id),COUNTIF('2. JSEL'!$M:$M,_xlpm.id),COUNTIF('3. PSM'!$M:$M,_xlpm.id),COUNTIF('4. SSP'!$M:$M,_xlpm.id),COUNTIF('5. JSACI'!$M:$M,_xlpm.id),COUNTIF('6. AIN'!$M:$M,_xlpm.id),COUNTIF('7. MS'!$M:$M,_xlpm.id),COUNTIF('8. DS'!$M:$M,_xlpm.id),COUNTIF('9. RMF'!$M:$M,_xlpm.id),COUNTIF('10. PCU'!$M:$M,_xlpm.id))))</f>
        <v>0</v>
      </c>
    </row>
    <row r="2063" spans="1:9">
      <c r="A2063" t="s">
        <v>10077</v>
      </c>
      <c r="B2063" t="s">
        <v>10074</v>
      </c>
      <c r="C2063">
        <v>1837</v>
      </c>
      <c r="D2063">
        <v>1</v>
      </c>
      <c r="E2063" s="23">
        <v>4</v>
      </c>
      <c r="F2063" t="s">
        <v>8102</v>
      </c>
      <c r="G2063" t="s">
        <v>10484</v>
      </c>
      <c r="H2063" t="s">
        <v>8021</v>
      </c>
      <c r="I2063">
        <f>_xlfn.LET(_xlpm.id,TRIM($A2063),IF(_xlpm.id="","",SUM(COUNTIF('1. OP'!$M:$M,_xlpm.id),COUNTIF('2. JSEL'!$M:$M,_xlpm.id),COUNTIF('3. PSM'!$M:$M,_xlpm.id),COUNTIF('4. SSP'!$M:$M,_xlpm.id),COUNTIF('5. JSACI'!$M:$M,_xlpm.id),COUNTIF('6. AIN'!$M:$M,_xlpm.id),COUNTIF('7. MS'!$M:$M,_xlpm.id),COUNTIF('8. DS'!$M:$M,_xlpm.id),COUNTIF('9. RMF'!$M:$M,_xlpm.id),COUNTIF('10. PCU'!$M:$M,_xlpm.id))))</f>
        <v>0</v>
      </c>
    </row>
    <row r="2064" spans="1:9">
      <c r="A2064" t="s">
        <v>10078</v>
      </c>
      <c r="B2064" t="s">
        <v>10074</v>
      </c>
      <c r="C2064">
        <v>1837</v>
      </c>
      <c r="D2064">
        <v>1</v>
      </c>
      <c r="E2064" s="23">
        <v>5</v>
      </c>
      <c r="F2064" t="s">
        <v>8102</v>
      </c>
      <c r="G2064" t="s">
        <v>10484</v>
      </c>
      <c r="H2064" t="s">
        <v>8021</v>
      </c>
      <c r="I2064">
        <f>_xlfn.LET(_xlpm.id,TRIM($A2064),IF(_xlpm.id="","",SUM(COUNTIF('1. OP'!$M:$M,_xlpm.id),COUNTIF('2. JSEL'!$M:$M,_xlpm.id),COUNTIF('3. PSM'!$M:$M,_xlpm.id),COUNTIF('4. SSP'!$M:$M,_xlpm.id),COUNTIF('5. JSACI'!$M:$M,_xlpm.id),COUNTIF('6. AIN'!$M:$M,_xlpm.id),COUNTIF('7. MS'!$M:$M,_xlpm.id),COUNTIF('8. DS'!$M:$M,_xlpm.id),COUNTIF('9. RMF'!$M:$M,_xlpm.id),COUNTIF('10. PCU'!$M:$M,_xlpm.id))))</f>
        <v>0</v>
      </c>
    </row>
    <row r="2065" spans="1:9">
      <c r="A2065" t="s">
        <v>7560</v>
      </c>
      <c r="B2065" t="s">
        <v>10074</v>
      </c>
      <c r="C2065">
        <v>1838</v>
      </c>
      <c r="D2065">
        <v>1</v>
      </c>
      <c r="E2065" s="23">
        <v>6</v>
      </c>
      <c r="F2065" t="s">
        <v>8102</v>
      </c>
      <c r="G2065" t="s">
        <v>10484</v>
      </c>
      <c r="H2065" t="s">
        <v>8021</v>
      </c>
      <c r="I2065">
        <f>_xlfn.LET(_xlpm.id,TRIM($A2065),IF(_xlpm.id="","",SUM(COUNTIF('1. OP'!$M:$M,_xlpm.id),COUNTIF('2. JSEL'!$M:$M,_xlpm.id),COUNTIF('3. PSM'!$M:$M,_xlpm.id),COUNTIF('4. SSP'!$M:$M,_xlpm.id),COUNTIF('5. JSACI'!$M:$M,_xlpm.id),COUNTIF('6. AIN'!$M:$M,_xlpm.id),COUNTIF('7. MS'!$M:$M,_xlpm.id),COUNTIF('8. DS'!$M:$M,_xlpm.id),COUNTIF('9. RMF'!$M:$M,_xlpm.id),COUNTIF('10. PCU'!$M:$M,_xlpm.id))))</f>
        <v>1</v>
      </c>
    </row>
    <row r="2066" spans="1:9">
      <c r="A2066" t="s">
        <v>10079</v>
      </c>
      <c r="B2066" t="s">
        <v>10074</v>
      </c>
      <c r="C2066">
        <v>1838</v>
      </c>
      <c r="D2066">
        <v>1</v>
      </c>
      <c r="E2066" s="23">
        <v>7</v>
      </c>
      <c r="F2066" t="s">
        <v>8102</v>
      </c>
      <c r="G2066" t="s">
        <v>10484</v>
      </c>
      <c r="H2066" t="s">
        <v>8021</v>
      </c>
      <c r="I2066">
        <f>_xlfn.LET(_xlpm.id,TRIM($A2066),IF(_xlpm.id="","",SUM(COUNTIF('1. OP'!$M:$M,_xlpm.id),COUNTIF('2. JSEL'!$M:$M,_xlpm.id),COUNTIF('3. PSM'!$M:$M,_xlpm.id),COUNTIF('4. SSP'!$M:$M,_xlpm.id),COUNTIF('5. JSACI'!$M:$M,_xlpm.id),COUNTIF('6. AIN'!$M:$M,_xlpm.id),COUNTIF('7. MS'!$M:$M,_xlpm.id),COUNTIF('8. DS'!$M:$M,_xlpm.id),COUNTIF('9. RMF'!$M:$M,_xlpm.id),COUNTIF('10. PCU'!$M:$M,_xlpm.id))))</f>
        <v>0</v>
      </c>
    </row>
    <row r="2067" spans="1:9">
      <c r="A2067" t="s">
        <v>10080</v>
      </c>
      <c r="B2067" t="s">
        <v>10074</v>
      </c>
      <c r="C2067">
        <v>1839</v>
      </c>
      <c r="D2067">
        <v>1</v>
      </c>
      <c r="E2067" s="23">
        <v>8</v>
      </c>
      <c r="F2067" t="s">
        <v>8102</v>
      </c>
      <c r="G2067" t="s">
        <v>10484</v>
      </c>
      <c r="H2067" t="s">
        <v>8021</v>
      </c>
      <c r="I2067">
        <f>_xlfn.LET(_xlpm.id,TRIM($A2067),IF(_xlpm.id="","",SUM(COUNTIF('1. OP'!$M:$M,_xlpm.id),COUNTIF('2. JSEL'!$M:$M,_xlpm.id),COUNTIF('3. PSM'!$M:$M,_xlpm.id),COUNTIF('4. SSP'!$M:$M,_xlpm.id),COUNTIF('5. JSACI'!$M:$M,_xlpm.id),COUNTIF('6. AIN'!$M:$M,_xlpm.id),COUNTIF('7. MS'!$M:$M,_xlpm.id),COUNTIF('8. DS'!$M:$M,_xlpm.id),COUNTIF('9. RMF'!$M:$M,_xlpm.id),COUNTIF('10. PCU'!$M:$M,_xlpm.id))))</f>
        <v>0</v>
      </c>
    </row>
    <row r="2068" spans="1:9">
      <c r="A2068" t="s">
        <v>10081</v>
      </c>
      <c r="B2068" t="s">
        <v>10074</v>
      </c>
      <c r="C2068">
        <v>1839</v>
      </c>
      <c r="D2068">
        <v>1</v>
      </c>
      <c r="E2068" s="23">
        <v>9</v>
      </c>
      <c r="F2068" t="s">
        <v>8102</v>
      </c>
      <c r="G2068" t="s">
        <v>10484</v>
      </c>
      <c r="H2068" t="s">
        <v>8021</v>
      </c>
      <c r="I2068">
        <f>_xlfn.LET(_xlpm.id,TRIM($A2068),IF(_xlpm.id="","",SUM(COUNTIF('1. OP'!$M:$M,_xlpm.id),COUNTIF('2. JSEL'!$M:$M,_xlpm.id),COUNTIF('3. PSM'!$M:$M,_xlpm.id),COUNTIF('4. SSP'!$M:$M,_xlpm.id),COUNTIF('5. JSACI'!$M:$M,_xlpm.id),COUNTIF('6. AIN'!$M:$M,_xlpm.id),COUNTIF('7. MS'!$M:$M,_xlpm.id),COUNTIF('8. DS'!$M:$M,_xlpm.id),COUNTIF('9. RMF'!$M:$M,_xlpm.id),COUNTIF('10. PCU'!$M:$M,_xlpm.id))))</f>
        <v>0</v>
      </c>
    </row>
    <row r="2069" spans="1:9">
      <c r="A2069" t="s">
        <v>10082</v>
      </c>
      <c r="B2069" t="s">
        <v>10074</v>
      </c>
      <c r="C2069">
        <v>1840</v>
      </c>
      <c r="D2069">
        <v>1</v>
      </c>
      <c r="E2069" s="23">
        <v>10</v>
      </c>
      <c r="F2069" t="s">
        <v>8102</v>
      </c>
      <c r="G2069" t="s">
        <v>10484</v>
      </c>
      <c r="H2069" t="s">
        <v>8021</v>
      </c>
      <c r="I2069">
        <f>_xlfn.LET(_xlpm.id,TRIM($A2069),IF(_xlpm.id="","",SUM(COUNTIF('1. OP'!$M:$M,_xlpm.id),COUNTIF('2. JSEL'!$M:$M,_xlpm.id),COUNTIF('3. PSM'!$M:$M,_xlpm.id),COUNTIF('4. SSP'!$M:$M,_xlpm.id),COUNTIF('5. JSACI'!$M:$M,_xlpm.id),COUNTIF('6. AIN'!$M:$M,_xlpm.id),COUNTIF('7. MS'!$M:$M,_xlpm.id),COUNTIF('8. DS'!$M:$M,_xlpm.id),COUNTIF('9. RMF'!$M:$M,_xlpm.id),COUNTIF('10. PCU'!$M:$M,_xlpm.id))))</f>
        <v>0</v>
      </c>
    </row>
    <row r="2070" spans="1:9">
      <c r="A2070" t="s">
        <v>5559</v>
      </c>
      <c r="B2070" t="s">
        <v>10083</v>
      </c>
      <c r="C2070">
        <v>1826</v>
      </c>
      <c r="D2070">
        <v>0</v>
      </c>
      <c r="E2070" s="23">
        <v>0</v>
      </c>
      <c r="F2070" t="s">
        <v>8102</v>
      </c>
      <c r="G2070" t="s">
        <v>10484</v>
      </c>
      <c r="H2070" t="s">
        <v>8021</v>
      </c>
      <c r="I2070">
        <f>_xlfn.LET(_xlpm.id,TRIM($A2070),IF(_xlpm.id="","",SUM(COUNTIF('1. OP'!$M:$M,_xlpm.id),COUNTIF('2. JSEL'!$M:$M,_xlpm.id),COUNTIF('3. PSM'!$M:$M,_xlpm.id),COUNTIF('4. SSP'!$M:$M,_xlpm.id),COUNTIF('5. JSACI'!$M:$M,_xlpm.id),COUNTIF('6. AIN'!$M:$M,_xlpm.id),COUNTIF('7. MS'!$M:$M,_xlpm.id),COUNTIF('8. DS'!$M:$M,_xlpm.id),COUNTIF('9. RMF'!$M:$M,_xlpm.id),COUNTIF('10. PCU'!$M:$M,_xlpm.id))))</f>
        <v>18</v>
      </c>
    </row>
    <row r="2071" spans="1:9">
      <c r="A2071" t="s">
        <v>7270</v>
      </c>
      <c r="B2071" t="s">
        <v>10084</v>
      </c>
      <c r="C2071">
        <v>1834</v>
      </c>
      <c r="D2071">
        <v>0</v>
      </c>
      <c r="E2071" s="23">
        <v>0</v>
      </c>
      <c r="F2071" t="s">
        <v>8102</v>
      </c>
      <c r="G2071" t="s">
        <v>10484</v>
      </c>
      <c r="H2071" t="s">
        <v>8021</v>
      </c>
      <c r="I2071">
        <f>_xlfn.LET(_xlpm.id,TRIM($A2071),IF(_xlpm.id="","",SUM(COUNTIF('1. OP'!$M:$M,_xlpm.id),COUNTIF('2. JSEL'!$M:$M,_xlpm.id),COUNTIF('3. PSM'!$M:$M,_xlpm.id),COUNTIF('4. SSP'!$M:$M,_xlpm.id),COUNTIF('5. JSACI'!$M:$M,_xlpm.id),COUNTIF('6. AIN'!$M:$M,_xlpm.id),COUNTIF('7. MS'!$M:$M,_xlpm.id),COUNTIF('8. DS'!$M:$M,_xlpm.id),COUNTIF('9. RMF'!$M:$M,_xlpm.id),COUNTIF('10. PCU'!$M:$M,_xlpm.id))))</f>
        <v>6</v>
      </c>
    </row>
    <row r="2072" spans="1:9">
      <c r="A2072" t="s">
        <v>10085</v>
      </c>
      <c r="B2072" t="s">
        <v>10086</v>
      </c>
      <c r="C2072">
        <v>1833</v>
      </c>
      <c r="D2072">
        <v>1</v>
      </c>
      <c r="E2072" s="23">
        <v>1</v>
      </c>
      <c r="F2072" t="s">
        <v>8102</v>
      </c>
      <c r="G2072" t="s">
        <v>10484</v>
      </c>
      <c r="H2072" t="s">
        <v>8021</v>
      </c>
      <c r="I2072">
        <f>_xlfn.LET(_xlpm.id,TRIM($A2072),IF(_xlpm.id="","",SUM(COUNTIF('1. OP'!$M:$M,_xlpm.id),COUNTIF('2. JSEL'!$M:$M,_xlpm.id),COUNTIF('3. PSM'!$M:$M,_xlpm.id),COUNTIF('4. SSP'!$M:$M,_xlpm.id),COUNTIF('5. JSACI'!$M:$M,_xlpm.id),COUNTIF('6. AIN'!$M:$M,_xlpm.id),COUNTIF('7. MS'!$M:$M,_xlpm.id),COUNTIF('8. DS'!$M:$M,_xlpm.id),COUNTIF('9. RMF'!$M:$M,_xlpm.id),COUNTIF('10. PCU'!$M:$M,_xlpm.id))))</f>
        <v>0</v>
      </c>
    </row>
    <row r="2073" spans="1:9">
      <c r="A2073" t="s">
        <v>10087</v>
      </c>
      <c r="B2073" t="s">
        <v>10086</v>
      </c>
      <c r="C2073">
        <v>1834</v>
      </c>
      <c r="D2073">
        <v>1</v>
      </c>
      <c r="E2073" s="23">
        <v>2</v>
      </c>
      <c r="F2073" t="s">
        <v>8102</v>
      </c>
      <c r="G2073" t="s">
        <v>10484</v>
      </c>
      <c r="H2073" t="s">
        <v>8021</v>
      </c>
      <c r="I2073">
        <f>_xlfn.LET(_xlpm.id,TRIM($A2073),IF(_xlpm.id="","",SUM(COUNTIF('1. OP'!$M:$M,_xlpm.id),COUNTIF('2. JSEL'!$M:$M,_xlpm.id),COUNTIF('3. PSM'!$M:$M,_xlpm.id),COUNTIF('4. SSP'!$M:$M,_xlpm.id),COUNTIF('5. JSACI'!$M:$M,_xlpm.id),COUNTIF('6. AIN'!$M:$M,_xlpm.id),COUNTIF('7. MS'!$M:$M,_xlpm.id),COUNTIF('8. DS'!$M:$M,_xlpm.id),COUNTIF('9. RMF'!$M:$M,_xlpm.id),COUNTIF('10. PCU'!$M:$M,_xlpm.id))))</f>
        <v>0</v>
      </c>
    </row>
    <row r="2074" spans="1:9">
      <c r="A2074" t="s">
        <v>6556</v>
      </c>
      <c r="B2074" t="s">
        <v>10086</v>
      </c>
      <c r="C2074">
        <v>1835</v>
      </c>
      <c r="D2074">
        <v>1</v>
      </c>
      <c r="E2074" s="23">
        <v>3</v>
      </c>
      <c r="F2074" t="s">
        <v>8102</v>
      </c>
      <c r="G2074" t="s">
        <v>10484</v>
      </c>
      <c r="H2074" t="s">
        <v>8021</v>
      </c>
      <c r="I2074">
        <f>_xlfn.LET(_xlpm.id,TRIM($A2074),IF(_xlpm.id="","",SUM(COUNTIF('1. OP'!$M:$M,_xlpm.id),COUNTIF('2. JSEL'!$M:$M,_xlpm.id),COUNTIF('3. PSM'!$M:$M,_xlpm.id),COUNTIF('4. SSP'!$M:$M,_xlpm.id),COUNTIF('5. JSACI'!$M:$M,_xlpm.id),COUNTIF('6. AIN'!$M:$M,_xlpm.id),COUNTIF('7. MS'!$M:$M,_xlpm.id),COUNTIF('8. DS'!$M:$M,_xlpm.id),COUNTIF('9. RMF'!$M:$M,_xlpm.id),COUNTIF('10. PCU'!$M:$M,_xlpm.id))))</f>
        <v>4</v>
      </c>
    </row>
    <row r="2075" spans="1:9">
      <c r="A2075" t="s">
        <v>5397</v>
      </c>
      <c r="B2075" t="s">
        <v>4636</v>
      </c>
      <c r="C2075">
        <v>1835</v>
      </c>
      <c r="D2075">
        <v>1</v>
      </c>
      <c r="E2075" s="23">
        <v>1</v>
      </c>
      <c r="F2075" t="s">
        <v>8102</v>
      </c>
      <c r="G2075" t="s">
        <v>10484</v>
      </c>
      <c r="H2075" t="s">
        <v>8021</v>
      </c>
      <c r="I2075">
        <f>_xlfn.LET(_xlpm.id,TRIM($A2075),IF(_xlpm.id="","",SUM(COUNTIF('1. OP'!$M:$M,_xlpm.id),COUNTIF('2. JSEL'!$M:$M,_xlpm.id),COUNTIF('3. PSM'!$M:$M,_xlpm.id),COUNTIF('4. SSP'!$M:$M,_xlpm.id),COUNTIF('5. JSACI'!$M:$M,_xlpm.id),COUNTIF('6. AIN'!$M:$M,_xlpm.id),COUNTIF('7. MS'!$M:$M,_xlpm.id),COUNTIF('8. DS'!$M:$M,_xlpm.id),COUNTIF('9. RMF'!$M:$M,_xlpm.id),COUNTIF('10. PCU'!$M:$M,_xlpm.id))))</f>
        <v>21</v>
      </c>
    </row>
    <row r="2076" spans="1:9">
      <c r="A2076" t="s">
        <v>5225</v>
      </c>
      <c r="B2076" t="s">
        <v>4636</v>
      </c>
      <c r="C2076">
        <v>1836</v>
      </c>
      <c r="D2076">
        <v>1</v>
      </c>
      <c r="E2076" s="23">
        <v>2</v>
      </c>
      <c r="F2076" t="s">
        <v>8102</v>
      </c>
      <c r="G2076" t="s">
        <v>10484</v>
      </c>
      <c r="H2076" t="s">
        <v>8021</v>
      </c>
      <c r="I2076">
        <f>_xlfn.LET(_xlpm.id,TRIM($A2076),IF(_xlpm.id="","",SUM(COUNTIF('1. OP'!$M:$M,_xlpm.id),COUNTIF('2. JSEL'!$M:$M,_xlpm.id),COUNTIF('3. PSM'!$M:$M,_xlpm.id),COUNTIF('4. SSP'!$M:$M,_xlpm.id),COUNTIF('5. JSACI'!$M:$M,_xlpm.id),COUNTIF('6. AIN'!$M:$M,_xlpm.id),COUNTIF('7. MS'!$M:$M,_xlpm.id),COUNTIF('8. DS'!$M:$M,_xlpm.id),COUNTIF('9. RMF'!$M:$M,_xlpm.id),COUNTIF('10. PCU'!$M:$M,_xlpm.id))))</f>
        <v>5</v>
      </c>
    </row>
    <row r="2077" spans="1:9">
      <c r="A2077" t="s">
        <v>5428</v>
      </c>
      <c r="B2077" t="s">
        <v>4636</v>
      </c>
      <c r="C2077">
        <v>1836</v>
      </c>
      <c r="D2077">
        <v>1</v>
      </c>
      <c r="E2077" s="23">
        <v>3</v>
      </c>
      <c r="F2077" t="s">
        <v>8102</v>
      </c>
      <c r="G2077" t="s">
        <v>10484</v>
      </c>
      <c r="H2077" t="s">
        <v>8021</v>
      </c>
      <c r="I2077">
        <f>_xlfn.LET(_xlpm.id,TRIM($A2077),IF(_xlpm.id="","",SUM(COUNTIF('1. OP'!$M:$M,_xlpm.id),COUNTIF('2. JSEL'!$M:$M,_xlpm.id),COUNTIF('3. PSM'!$M:$M,_xlpm.id),COUNTIF('4. SSP'!$M:$M,_xlpm.id),COUNTIF('5. JSACI'!$M:$M,_xlpm.id),COUNTIF('6. AIN'!$M:$M,_xlpm.id),COUNTIF('7. MS'!$M:$M,_xlpm.id),COUNTIF('8. DS'!$M:$M,_xlpm.id),COUNTIF('9. RMF'!$M:$M,_xlpm.id),COUNTIF('10. PCU'!$M:$M,_xlpm.id))))</f>
        <v>10</v>
      </c>
    </row>
    <row r="2078" spans="1:9">
      <c r="A2078" t="s">
        <v>10088</v>
      </c>
      <c r="B2078" t="s">
        <v>4636</v>
      </c>
      <c r="C2078">
        <v>1836</v>
      </c>
      <c r="D2078">
        <v>1</v>
      </c>
      <c r="E2078" s="23">
        <v>4</v>
      </c>
      <c r="F2078" t="s">
        <v>8102</v>
      </c>
      <c r="G2078" t="s">
        <v>10484</v>
      </c>
      <c r="H2078" t="s">
        <v>8021</v>
      </c>
      <c r="I2078">
        <f>_xlfn.LET(_xlpm.id,TRIM($A2078),IF(_xlpm.id="","",SUM(COUNTIF('1. OP'!$M:$M,_xlpm.id),COUNTIF('2. JSEL'!$M:$M,_xlpm.id),COUNTIF('3. PSM'!$M:$M,_xlpm.id),COUNTIF('4. SSP'!$M:$M,_xlpm.id),COUNTIF('5. JSACI'!$M:$M,_xlpm.id),COUNTIF('6. AIN'!$M:$M,_xlpm.id),COUNTIF('7. MS'!$M:$M,_xlpm.id),COUNTIF('8. DS'!$M:$M,_xlpm.id),COUNTIF('9. RMF'!$M:$M,_xlpm.id),COUNTIF('10. PCU'!$M:$M,_xlpm.id))))</f>
        <v>0</v>
      </c>
    </row>
    <row r="2079" spans="1:9">
      <c r="A2079" t="s">
        <v>10089</v>
      </c>
      <c r="B2079" t="s">
        <v>10090</v>
      </c>
      <c r="C2079" t="s">
        <v>9054</v>
      </c>
      <c r="D2079">
        <v>1</v>
      </c>
      <c r="E2079" s="23">
        <v>1</v>
      </c>
      <c r="F2079" t="s">
        <v>8102</v>
      </c>
      <c r="G2079" t="s">
        <v>10484</v>
      </c>
      <c r="H2079" t="s">
        <v>8021</v>
      </c>
      <c r="I2079">
        <f>_xlfn.LET(_xlpm.id,TRIM($A2079),IF(_xlpm.id="","",SUM(COUNTIF('1. OP'!$M:$M,_xlpm.id),COUNTIF('2. JSEL'!$M:$M,_xlpm.id),COUNTIF('3. PSM'!$M:$M,_xlpm.id),COUNTIF('4. SSP'!$M:$M,_xlpm.id),COUNTIF('5. JSACI'!$M:$M,_xlpm.id),COUNTIF('6. AIN'!$M:$M,_xlpm.id),COUNTIF('7. MS'!$M:$M,_xlpm.id),COUNTIF('8. DS'!$M:$M,_xlpm.id),COUNTIF('9. RMF'!$M:$M,_xlpm.id),COUNTIF('10. PCU'!$M:$M,_xlpm.id))))</f>
        <v>0</v>
      </c>
    </row>
    <row r="2080" spans="1:9">
      <c r="A2080" t="s">
        <v>10091</v>
      </c>
      <c r="B2080" t="s">
        <v>10090</v>
      </c>
      <c r="C2080" t="s">
        <v>10092</v>
      </c>
      <c r="D2080">
        <v>1</v>
      </c>
      <c r="E2080" s="23">
        <v>2</v>
      </c>
      <c r="F2080" t="s">
        <v>8102</v>
      </c>
      <c r="G2080" t="s">
        <v>10484</v>
      </c>
      <c r="H2080" t="s">
        <v>8021</v>
      </c>
      <c r="I2080">
        <f>_xlfn.LET(_xlpm.id,TRIM($A2080),IF(_xlpm.id="","",SUM(COUNTIF('1. OP'!$M:$M,_xlpm.id),COUNTIF('2. JSEL'!$M:$M,_xlpm.id),COUNTIF('3. PSM'!$M:$M,_xlpm.id),COUNTIF('4. SSP'!$M:$M,_xlpm.id),COUNTIF('5. JSACI'!$M:$M,_xlpm.id),COUNTIF('6. AIN'!$M:$M,_xlpm.id),COUNTIF('7. MS'!$M:$M,_xlpm.id),COUNTIF('8. DS'!$M:$M,_xlpm.id),COUNTIF('9. RMF'!$M:$M,_xlpm.id),COUNTIF('10. PCU'!$M:$M,_xlpm.id))))</f>
        <v>0</v>
      </c>
    </row>
    <row r="2081" spans="1:9">
      <c r="A2081" t="s">
        <v>10093</v>
      </c>
      <c r="B2081" t="s">
        <v>10090</v>
      </c>
      <c r="C2081" t="s">
        <v>10094</v>
      </c>
      <c r="D2081">
        <v>1</v>
      </c>
      <c r="E2081" s="23">
        <v>3</v>
      </c>
      <c r="F2081" t="s">
        <v>8102</v>
      </c>
      <c r="G2081" t="s">
        <v>10484</v>
      </c>
      <c r="H2081" t="s">
        <v>8021</v>
      </c>
      <c r="I2081">
        <f>_xlfn.LET(_xlpm.id,TRIM($A2081),IF(_xlpm.id="","",SUM(COUNTIF('1. OP'!$M:$M,_xlpm.id),COUNTIF('2. JSEL'!$M:$M,_xlpm.id),COUNTIF('3. PSM'!$M:$M,_xlpm.id),COUNTIF('4. SSP'!$M:$M,_xlpm.id),COUNTIF('5. JSACI'!$M:$M,_xlpm.id),COUNTIF('6. AIN'!$M:$M,_xlpm.id),COUNTIF('7. MS'!$M:$M,_xlpm.id),COUNTIF('8. DS'!$M:$M,_xlpm.id),COUNTIF('9. RMF'!$M:$M,_xlpm.id),COUNTIF('10. PCU'!$M:$M,_xlpm.id))))</f>
        <v>0</v>
      </c>
    </row>
    <row r="2082" spans="1:9">
      <c r="A2082" t="s">
        <v>10095</v>
      </c>
      <c r="B2082" t="s">
        <v>10090</v>
      </c>
      <c r="C2082" t="s">
        <v>3043</v>
      </c>
      <c r="D2082">
        <v>1</v>
      </c>
      <c r="E2082" s="23">
        <v>4</v>
      </c>
      <c r="F2082" t="s">
        <v>8102</v>
      </c>
      <c r="G2082" t="s">
        <v>10484</v>
      </c>
      <c r="H2082" t="s">
        <v>8021</v>
      </c>
      <c r="I2082">
        <f>_xlfn.LET(_xlpm.id,TRIM($A2082),IF(_xlpm.id="","",SUM(COUNTIF('1. OP'!$M:$M,_xlpm.id),COUNTIF('2. JSEL'!$M:$M,_xlpm.id),COUNTIF('3. PSM'!$M:$M,_xlpm.id),COUNTIF('4. SSP'!$M:$M,_xlpm.id),COUNTIF('5. JSACI'!$M:$M,_xlpm.id),COUNTIF('6. AIN'!$M:$M,_xlpm.id),COUNTIF('7. MS'!$M:$M,_xlpm.id),COUNTIF('8. DS'!$M:$M,_xlpm.id),COUNTIF('9. RMF'!$M:$M,_xlpm.id),COUNTIF('10. PCU'!$M:$M,_xlpm.id))))</f>
        <v>0</v>
      </c>
    </row>
    <row r="2083" spans="1:9">
      <c r="A2083" t="s">
        <v>7256</v>
      </c>
      <c r="B2083" t="s">
        <v>10090</v>
      </c>
      <c r="C2083" t="s">
        <v>8529</v>
      </c>
      <c r="D2083">
        <v>1</v>
      </c>
      <c r="E2083" s="23">
        <v>5</v>
      </c>
      <c r="F2083" t="s">
        <v>8102</v>
      </c>
      <c r="G2083" t="s">
        <v>10484</v>
      </c>
      <c r="H2083" t="s">
        <v>8021</v>
      </c>
      <c r="I2083">
        <f>_xlfn.LET(_xlpm.id,TRIM($A2083),IF(_xlpm.id="","",SUM(COUNTIF('1. OP'!$M:$M,_xlpm.id),COUNTIF('2. JSEL'!$M:$M,_xlpm.id),COUNTIF('3. PSM'!$M:$M,_xlpm.id),COUNTIF('4. SSP'!$M:$M,_xlpm.id),COUNTIF('5. JSACI'!$M:$M,_xlpm.id),COUNTIF('6. AIN'!$M:$M,_xlpm.id),COUNTIF('7. MS'!$M:$M,_xlpm.id),COUNTIF('8. DS'!$M:$M,_xlpm.id),COUNTIF('9. RMF'!$M:$M,_xlpm.id),COUNTIF('10. PCU'!$M:$M,_xlpm.id))))</f>
        <v>1</v>
      </c>
    </row>
    <row r="2084" spans="1:9">
      <c r="A2084" t="s">
        <v>10096</v>
      </c>
      <c r="B2084" t="s">
        <v>10090</v>
      </c>
      <c r="C2084" t="s">
        <v>10097</v>
      </c>
      <c r="D2084">
        <v>1</v>
      </c>
      <c r="E2084" s="23">
        <v>6</v>
      </c>
      <c r="F2084" t="s">
        <v>8102</v>
      </c>
      <c r="G2084" t="s">
        <v>10484</v>
      </c>
      <c r="H2084" t="s">
        <v>8021</v>
      </c>
      <c r="I2084">
        <f>_xlfn.LET(_xlpm.id,TRIM($A2084),IF(_xlpm.id="","",SUM(COUNTIF('1. OP'!$M:$M,_xlpm.id),COUNTIF('2. JSEL'!$M:$M,_xlpm.id),COUNTIF('3. PSM'!$M:$M,_xlpm.id),COUNTIF('4. SSP'!$M:$M,_xlpm.id),COUNTIF('5. JSACI'!$M:$M,_xlpm.id),COUNTIF('6. AIN'!$M:$M,_xlpm.id),COUNTIF('7. MS'!$M:$M,_xlpm.id),COUNTIF('8. DS'!$M:$M,_xlpm.id),COUNTIF('9. RMF'!$M:$M,_xlpm.id),COUNTIF('10. PCU'!$M:$M,_xlpm.id))))</f>
        <v>0</v>
      </c>
    </row>
    <row r="2085" spans="1:9">
      <c r="A2085" t="s">
        <v>10098</v>
      </c>
      <c r="B2085" t="s">
        <v>10090</v>
      </c>
      <c r="C2085">
        <v>1833</v>
      </c>
      <c r="D2085">
        <v>1</v>
      </c>
      <c r="E2085" s="23">
        <v>7</v>
      </c>
      <c r="F2085" t="s">
        <v>8102</v>
      </c>
      <c r="G2085" t="s">
        <v>10484</v>
      </c>
      <c r="H2085" t="s">
        <v>8021</v>
      </c>
      <c r="I2085">
        <f>_xlfn.LET(_xlpm.id,TRIM($A2085),IF(_xlpm.id="","",SUM(COUNTIF('1. OP'!$M:$M,_xlpm.id),COUNTIF('2. JSEL'!$M:$M,_xlpm.id),COUNTIF('3. PSM'!$M:$M,_xlpm.id),COUNTIF('4. SSP'!$M:$M,_xlpm.id),COUNTIF('5. JSACI'!$M:$M,_xlpm.id),COUNTIF('6. AIN'!$M:$M,_xlpm.id),COUNTIF('7. MS'!$M:$M,_xlpm.id),COUNTIF('8. DS'!$M:$M,_xlpm.id),COUNTIF('9. RMF'!$M:$M,_xlpm.id),COUNTIF('10. PCU'!$M:$M,_xlpm.id))))</f>
        <v>0</v>
      </c>
    </row>
    <row r="2086" spans="1:9">
      <c r="A2086" t="s">
        <v>6423</v>
      </c>
      <c r="B2086" t="s">
        <v>10090</v>
      </c>
      <c r="C2086">
        <v>1834</v>
      </c>
      <c r="D2086">
        <v>1</v>
      </c>
      <c r="E2086" s="23">
        <v>8</v>
      </c>
      <c r="F2086" t="s">
        <v>8102</v>
      </c>
      <c r="G2086" t="s">
        <v>10484</v>
      </c>
      <c r="H2086" t="s">
        <v>8021</v>
      </c>
      <c r="I2086">
        <f>_xlfn.LET(_xlpm.id,TRIM($A2086),IF(_xlpm.id="","",SUM(COUNTIF('1. OP'!$M:$M,_xlpm.id),COUNTIF('2. JSEL'!$M:$M,_xlpm.id),COUNTIF('3. PSM'!$M:$M,_xlpm.id),COUNTIF('4. SSP'!$M:$M,_xlpm.id),COUNTIF('5. JSACI'!$M:$M,_xlpm.id),COUNTIF('6. AIN'!$M:$M,_xlpm.id),COUNTIF('7. MS'!$M:$M,_xlpm.id),COUNTIF('8. DS'!$M:$M,_xlpm.id),COUNTIF('9. RMF'!$M:$M,_xlpm.id),COUNTIF('10. PCU'!$M:$M,_xlpm.id))))</f>
        <v>4</v>
      </c>
    </row>
    <row r="2087" spans="1:9">
      <c r="A2087" t="s">
        <v>6940</v>
      </c>
      <c r="B2087" t="s">
        <v>10090</v>
      </c>
      <c r="C2087">
        <v>1835</v>
      </c>
      <c r="D2087">
        <v>1</v>
      </c>
      <c r="E2087" s="23">
        <v>9</v>
      </c>
      <c r="F2087" t="s">
        <v>8102</v>
      </c>
      <c r="G2087" t="s">
        <v>10484</v>
      </c>
      <c r="H2087" t="s">
        <v>8021</v>
      </c>
      <c r="I2087">
        <f>_xlfn.LET(_xlpm.id,TRIM($A2087),IF(_xlpm.id="","",SUM(COUNTIF('1. OP'!$M:$M,_xlpm.id),COUNTIF('2. JSEL'!$M:$M,_xlpm.id),COUNTIF('3. PSM'!$M:$M,_xlpm.id),COUNTIF('4. SSP'!$M:$M,_xlpm.id),COUNTIF('5. JSACI'!$M:$M,_xlpm.id),COUNTIF('6. AIN'!$M:$M,_xlpm.id),COUNTIF('7. MS'!$M:$M,_xlpm.id),COUNTIF('8. DS'!$M:$M,_xlpm.id),COUNTIF('9. RMF'!$M:$M,_xlpm.id),COUNTIF('10. PCU'!$M:$M,_xlpm.id))))</f>
        <v>6</v>
      </c>
    </row>
    <row r="2088" spans="1:9">
      <c r="A2088" t="s">
        <v>10099</v>
      </c>
      <c r="B2088" t="s">
        <v>10090</v>
      </c>
      <c r="C2088">
        <v>1836</v>
      </c>
      <c r="D2088">
        <v>1</v>
      </c>
      <c r="E2088" s="23">
        <v>10</v>
      </c>
      <c r="F2088" t="s">
        <v>8102</v>
      </c>
      <c r="G2088" t="s">
        <v>10484</v>
      </c>
      <c r="H2088" t="s">
        <v>8021</v>
      </c>
      <c r="I2088">
        <f>_xlfn.LET(_xlpm.id,TRIM($A2088),IF(_xlpm.id="","",SUM(COUNTIF('1. OP'!$M:$M,_xlpm.id),COUNTIF('2. JSEL'!$M:$M,_xlpm.id),COUNTIF('3. PSM'!$M:$M,_xlpm.id),COUNTIF('4. SSP'!$M:$M,_xlpm.id),COUNTIF('5. JSACI'!$M:$M,_xlpm.id),COUNTIF('6. AIN'!$M:$M,_xlpm.id),COUNTIF('7. MS'!$M:$M,_xlpm.id),COUNTIF('8. DS'!$M:$M,_xlpm.id),COUNTIF('9. RMF'!$M:$M,_xlpm.id),COUNTIF('10. PCU'!$M:$M,_xlpm.id))))</f>
        <v>0</v>
      </c>
    </row>
    <row r="2089" spans="1:9">
      <c r="A2089" t="s">
        <v>7565</v>
      </c>
      <c r="B2089" t="s">
        <v>10090</v>
      </c>
      <c r="C2089">
        <v>1837</v>
      </c>
      <c r="D2089">
        <v>1</v>
      </c>
      <c r="E2089" s="23">
        <v>11</v>
      </c>
      <c r="F2089" t="s">
        <v>8102</v>
      </c>
      <c r="G2089" t="s">
        <v>10484</v>
      </c>
      <c r="H2089" t="s">
        <v>8021</v>
      </c>
      <c r="I2089">
        <f>_xlfn.LET(_xlpm.id,TRIM($A2089),IF(_xlpm.id="","",SUM(COUNTIF('1. OP'!$M:$M,_xlpm.id),COUNTIF('2. JSEL'!$M:$M,_xlpm.id),COUNTIF('3. PSM'!$M:$M,_xlpm.id),COUNTIF('4. SSP'!$M:$M,_xlpm.id),COUNTIF('5. JSACI'!$M:$M,_xlpm.id),COUNTIF('6. AIN'!$M:$M,_xlpm.id),COUNTIF('7. MS'!$M:$M,_xlpm.id),COUNTIF('8. DS'!$M:$M,_xlpm.id),COUNTIF('9. RMF'!$M:$M,_xlpm.id),COUNTIF('10. PCU'!$M:$M,_xlpm.id))))</f>
        <v>0</v>
      </c>
    </row>
    <row r="2090" spans="1:9">
      <c r="A2090" t="s">
        <v>10100</v>
      </c>
      <c r="B2090" t="s">
        <v>10090</v>
      </c>
      <c r="C2090">
        <v>1838</v>
      </c>
      <c r="D2090">
        <v>1</v>
      </c>
      <c r="E2090" s="23">
        <v>12</v>
      </c>
      <c r="F2090" t="s">
        <v>8102</v>
      </c>
      <c r="G2090" t="s">
        <v>10484</v>
      </c>
      <c r="H2090" t="s">
        <v>8021</v>
      </c>
      <c r="I2090">
        <f>_xlfn.LET(_xlpm.id,TRIM($A2090),IF(_xlpm.id="","",SUM(COUNTIF('1. OP'!$M:$M,_xlpm.id),COUNTIF('2. JSEL'!$M:$M,_xlpm.id),COUNTIF('3. PSM'!$M:$M,_xlpm.id),COUNTIF('4. SSP'!$M:$M,_xlpm.id),COUNTIF('5. JSACI'!$M:$M,_xlpm.id),COUNTIF('6. AIN'!$M:$M,_xlpm.id),COUNTIF('7. MS'!$M:$M,_xlpm.id),COUNTIF('8. DS'!$M:$M,_xlpm.id),COUNTIF('9. RMF'!$M:$M,_xlpm.id),COUNTIF('10. PCU'!$M:$M,_xlpm.id))))</f>
        <v>0</v>
      </c>
    </row>
    <row r="2091" spans="1:9">
      <c r="A2091" t="s">
        <v>7495</v>
      </c>
      <c r="B2091" t="s">
        <v>10090</v>
      </c>
      <c r="C2091">
        <v>1839</v>
      </c>
      <c r="D2091">
        <v>2</v>
      </c>
      <c r="E2091" s="23">
        <v>1</v>
      </c>
      <c r="F2091" t="s">
        <v>8102</v>
      </c>
      <c r="G2091" t="s">
        <v>10484</v>
      </c>
      <c r="H2091" t="s">
        <v>8021</v>
      </c>
      <c r="I2091">
        <f>_xlfn.LET(_xlpm.id,TRIM($A2091),IF(_xlpm.id="","",SUM(COUNTIF('1. OP'!$M:$M,_xlpm.id),COUNTIF('2. JSEL'!$M:$M,_xlpm.id),COUNTIF('3. PSM'!$M:$M,_xlpm.id),COUNTIF('4. SSP'!$M:$M,_xlpm.id),COUNTIF('5. JSACI'!$M:$M,_xlpm.id),COUNTIF('6. AIN'!$M:$M,_xlpm.id),COUNTIF('7. MS'!$M:$M,_xlpm.id),COUNTIF('8. DS'!$M:$M,_xlpm.id),COUNTIF('9. RMF'!$M:$M,_xlpm.id),COUNTIF('10. PCU'!$M:$M,_xlpm.id))))</f>
        <v>1</v>
      </c>
    </row>
    <row r="2092" spans="1:9">
      <c r="A2092" t="s">
        <v>10101</v>
      </c>
      <c r="B2092" t="s">
        <v>10090</v>
      </c>
      <c r="C2092">
        <v>1840</v>
      </c>
      <c r="D2092">
        <v>2</v>
      </c>
      <c r="E2092" s="23">
        <v>2</v>
      </c>
      <c r="F2092" t="s">
        <v>8102</v>
      </c>
      <c r="G2092" t="s">
        <v>10484</v>
      </c>
      <c r="H2092" t="s">
        <v>8021</v>
      </c>
      <c r="I2092">
        <f>_xlfn.LET(_xlpm.id,TRIM($A2092),IF(_xlpm.id="","",SUM(COUNTIF('1. OP'!$M:$M,_xlpm.id),COUNTIF('2. JSEL'!$M:$M,_xlpm.id),COUNTIF('3. PSM'!$M:$M,_xlpm.id),COUNTIF('4. SSP'!$M:$M,_xlpm.id),COUNTIF('5. JSACI'!$M:$M,_xlpm.id),COUNTIF('6. AIN'!$M:$M,_xlpm.id),COUNTIF('7. MS'!$M:$M,_xlpm.id),COUNTIF('8. DS'!$M:$M,_xlpm.id),COUNTIF('9. RMF'!$M:$M,_xlpm.id),COUNTIF('10. PCU'!$M:$M,_xlpm.id))))</f>
        <v>0</v>
      </c>
    </row>
    <row r="2093" spans="1:9">
      <c r="A2093" t="s">
        <v>10102</v>
      </c>
      <c r="B2093" t="s">
        <v>10103</v>
      </c>
      <c r="C2093">
        <v>1825</v>
      </c>
      <c r="D2093">
        <v>1</v>
      </c>
      <c r="E2093" s="23">
        <v>1</v>
      </c>
      <c r="F2093" t="s">
        <v>8265</v>
      </c>
      <c r="G2093" t="s">
        <v>10484</v>
      </c>
      <c r="H2093" t="s">
        <v>8021</v>
      </c>
      <c r="I2093">
        <f>_xlfn.LET(_xlpm.id,TRIM($A2093),IF(_xlpm.id="","",SUM(COUNTIF('1. OP'!$M:$M,_xlpm.id),COUNTIF('2. JSEL'!$M:$M,_xlpm.id),COUNTIF('3. PSM'!$M:$M,_xlpm.id),COUNTIF('4. SSP'!$M:$M,_xlpm.id),COUNTIF('5. JSACI'!$M:$M,_xlpm.id),COUNTIF('6. AIN'!$M:$M,_xlpm.id),COUNTIF('7. MS'!$M:$M,_xlpm.id),COUNTIF('8. DS'!$M:$M,_xlpm.id),COUNTIF('9. RMF'!$M:$M,_xlpm.id),COUNTIF('10. PCU'!$M:$M,_xlpm.id))))</f>
        <v>0</v>
      </c>
    </row>
    <row r="2094" spans="1:9">
      <c r="A2094" t="s">
        <v>10104</v>
      </c>
      <c r="B2094" t="s">
        <v>10103</v>
      </c>
      <c r="C2094">
        <v>1826</v>
      </c>
      <c r="D2094">
        <v>1</v>
      </c>
      <c r="E2094" s="23">
        <v>2</v>
      </c>
      <c r="F2094" t="s">
        <v>8265</v>
      </c>
      <c r="G2094" t="s">
        <v>10484</v>
      </c>
      <c r="H2094" t="s">
        <v>8021</v>
      </c>
      <c r="I2094">
        <f>_xlfn.LET(_xlpm.id,TRIM($A2094),IF(_xlpm.id="","",SUM(COUNTIF('1. OP'!$M:$M,_xlpm.id),COUNTIF('2. JSEL'!$M:$M,_xlpm.id),COUNTIF('3. PSM'!$M:$M,_xlpm.id),COUNTIF('4. SSP'!$M:$M,_xlpm.id),COUNTIF('5. JSACI'!$M:$M,_xlpm.id),COUNTIF('6. AIN'!$M:$M,_xlpm.id),COUNTIF('7. MS'!$M:$M,_xlpm.id),COUNTIF('8. DS'!$M:$M,_xlpm.id),COUNTIF('9. RMF'!$M:$M,_xlpm.id),COUNTIF('10. PCU'!$M:$M,_xlpm.id))))</f>
        <v>0</v>
      </c>
    </row>
    <row r="2095" spans="1:9">
      <c r="A2095" t="s">
        <v>10105</v>
      </c>
      <c r="B2095" t="s">
        <v>10103</v>
      </c>
      <c r="C2095">
        <v>1827</v>
      </c>
      <c r="D2095">
        <v>1</v>
      </c>
      <c r="E2095" s="23">
        <v>3</v>
      </c>
      <c r="F2095" t="s">
        <v>8265</v>
      </c>
      <c r="G2095" t="s">
        <v>10484</v>
      </c>
      <c r="H2095" t="s">
        <v>8021</v>
      </c>
      <c r="I2095">
        <f>_xlfn.LET(_xlpm.id,TRIM($A2095),IF(_xlpm.id="","",SUM(COUNTIF('1. OP'!$M:$M,_xlpm.id),COUNTIF('2. JSEL'!$M:$M,_xlpm.id),COUNTIF('3. PSM'!$M:$M,_xlpm.id),COUNTIF('4. SSP'!$M:$M,_xlpm.id),COUNTIF('5. JSACI'!$M:$M,_xlpm.id),COUNTIF('6. AIN'!$M:$M,_xlpm.id),COUNTIF('7. MS'!$M:$M,_xlpm.id),COUNTIF('8. DS'!$M:$M,_xlpm.id),COUNTIF('9. RMF'!$M:$M,_xlpm.id),COUNTIF('10. PCU'!$M:$M,_xlpm.id))))</f>
        <v>0</v>
      </c>
    </row>
    <row r="2096" spans="1:9">
      <c r="A2096" t="s">
        <v>7415</v>
      </c>
      <c r="B2096" t="s">
        <v>10103</v>
      </c>
      <c r="C2096">
        <v>1828</v>
      </c>
      <c r="D2096">
        <v>1</v>
      </c>
      <c r="E2096" s="23">
        <v>4</v>
      </c>
      <c r="F2096" t="s">
        <v>8265</v>
      </c>
      <c r="G2096" t="s">
        <v>10484</v>
      </c>
      <c r="H2096" t="s">
        <v>8021</v>
      </c>
      <c r="I2096">
        <f>_xlfn.LET(_xlpm.id,TRIM($A2096),IF(_xlpm.id="","",SUM(COUNTIF('1. OP'!$M:$M,_xlpm.id),COUNTIF('2. JSEL'!$M:$M,_xlpm.id),COUNTIF('3. PSM'!$M:$M,_xlpm.id),COUNTIF('4. SSP'!$M:$M,_xlpm.id),COUNTIF('5. JSACI'!$M:$M,_xlpm.id),COUNTIF('6. AIN'!$M:$M,_xlpm.id),COUNTIF('7. MS'!$M:$M,_xlpm.id),COUNTIF('8. DS'!$M:$M,_xlpm.id),COUNTIF('9. RMF'!$M:$M,_xlpm.id),COUNTIF('10. PCU'!$M:$M,_xlpm.id))))</f>
        <v>1</v>
      </c>
    </row>
    <row r="2097" spans="1:9">
      <c r="A2097" t="s">
        <v>10106</v>
      </c>
      <c r="B2097" t="s">
        <v>10103</v>
      </c>
      <c r="C2097">
        <v>1829</v>
      </c>
      <c r="D2097">
        <v>1</v>
      </c>
      <c r="E2097" s="23">
        <v>5</v>
      </c>
      <c r="F2097" t="s">
        <v>8265</v>
      </c>
      <c r="G2097" t="s">
        <v>10484</v>
      </c>
      <c r="H2097" t="s">
        <v>8021</v>
      </c>
      <c r="I2097">
        <f>_xlfn.LET(_xlpm.id,TRIM($A2097),IF(_xlpm.id="","",SUM(COUNTIF('1. OP'!$M:$M,_xlpm.id),COUNTIF('2. JSEL'!$M:$M,_xlpm.id),COUNTIF('3. PSM'!$M:$M,_xlpm.id),COUNTIF('4. SSP'!$M:$M,_xlpm.id),COUNTIF('5. JSACI'!$M:$M,_xlpm.id),COUNTIF('6. AIN'!$M:$M,_xlpm.id),COUNTIF('7. MS'!$M:$M,_xlpm.id),COUNTIF('8. DS'!$M:$M,_xlpm.id),COUNTIF('9. RMF'!$M:$M,_xlpm.id),COUNTIF('10. PCU'!$M:$M,_xlpm.id))))</f>
        <v>0</v>
      </c>
    </row>
    <row r="2098" spans="1:9">
      <c r="A2098" t="s">
        <v>10107</v>
      </c>
      <c r="B2098" t="s">
        <v>10103</v>
      </c>
      <c r="C2098">
        <v>1830</v>
      </c>
      <c r="D2098">
        <v>1</v>
      </c>
      <c r="E2098" s="23">
        <v>6</v>
      </c>
      <c r="F2098" t="s">
        <v>8265</v>
      </c>
      <c r="G2098" t="s">
        <v>10484</v>
      </c>
      <c r="H2098" t="s">
        <v>8021</v>
      </c>
      <c r="I2098">
        <f>_xlfn.LET(_xlpm.id,TRIM($A2098),IF(_xlpm.id="","",SUM(COUNTIF('1. OP'!$M:$M,_xlpm.id),COUNTIF('2. JSEL'!$M:$M,_xlpm.id),COUNTIF('3. PSM'!$M:$M,_xlpm.id),COUNTIF('4. SSP'!$M:$M,_xlpm.id),COUNTIF('5. JSACI'!$M:$M,_xlpm.id),COUNTIF('6. AIN'!$M:$M,_xlpm.id),COUNTIF('7. MS'!$M:$M,_xlpm.id),COUNTIF('8. DS'!$M:$M,_xlpm.id),COUNTIF('9. RMF'!$M:$M,_xlpm.id),COUNTIF('10. PCU'!$M:$M,_xlpm.id))))</f>
        <v>0</v>
      </c>
    </row>
    <row r="2099" spans="1:9">
      <c r="A2099" t="s">
        <v>10108</v>
      </c>
      <c r="B2099" t="s">
        <v>10103</v>
      </c>
      <c r="C2099">
        <v>1831</v>
      </c>
      <c r="D2099">
        <v>1</v>
      </c>
      <c r="E2099" s="23">
        <v>7</v>
      </c>
      <c r="F2099" t="s">
        <v>8265</v>
      </c>
      <c r="G2099" t="s">
        <v>10484</v>
      </c>
      <c r="H2099" t="s">
        <v>8021</v>
      </c>
      <c r="I2099">
        <f>_xlfn.LET(_xlpm.id,TRIM($A2099),IF(_xlpm.id="","",SUM(COUNTIF('1. OP'!$M:$M,_xlpm.id),COUNTIF('2. JSEL'!$M:$M,_xlpm.id),COUNTIF('3. PSM'!$M:$M,_xlpm.id),COUNTIF('4. SSP'!$M:$M,_xlpm.id),COUNTIF('5. JSACI'!$M:$M,_xlpm.id),COUNTIF('6. AIN'!$M:$M,_xlpm.id),COUNTIF('7. MS'!$M:$M,_xlpm.id),COUNTIF('8. DS'!$M:$M,_xlpm.id),COUNTIF('9. RMF'!$M:$M,_xlpm.id),COUNTIF('10. PCU'!$M:$M,_xlpm.id))))</f>
        <v>0</v>
      </c>
    </row>
    <row r="2100" spans="1:9">
      <c r="A2100" t="s">
        <v>10109</v>
      </c>
      <c r="B2100" t="s">
        <v>10103</v>
      </c>
      <c r="C2100">
        <v>1832</v>
      </c>
      <c r="D2100">
        <v>1</v>
      </c>
      <c r="E2100" s="23">
        <v>8</v>
      </c>
      <c r="F2100" t="s">
        <v>8265</v>
      </c>
      <c r="G2100" t="s">
        <v>10484</v>
      </c>
      <c r="H2100" t="s">
        <v>8021</v>
      </c>
      <c r="I2100">
        <f>_xlfn.LET(_xlpm.id,TRIM($A2100),IF(_xlpm.id="","",SUM(COUNTIF('1. OP'!$M:$M,_xlpm.id),COUNTIF('2. JSEL'!$M:$M,_xlpm.id),COUNTIF('3. PSM'!$M:$M,_xlpm.id),COUNTIF('4. SSP'!$M:$M,_xlpm.id),COUNTIF('5. JSACI'!$M:$M,_xlpm.id),COUNTIF('6. AIN'!$M:$M,_xlpm.id),COUNTIF('7. MS'!$M:$M,_xlpm.id),COUNTIF('8. DS'!$M:$M,_xlpm.id),COUNTIF('9. RMF'!$M:$M,_xlpm.id),COUNTIF('10. PCU'!$M:$M,_xlpm.id))))</f>
        <v>0</v>
      </c>
    </row>
    <row r="2101" spans="1:9">
      <c r="A2101" t="s">
        <v>10110</v>
      </c>
      <c r="B2101" t="s">
        <v>10103</v>
      </c>
      <c r="C2101">
        <v>1833</v>
      </c>
      <c r="D2101">
        <v>1</v>
      </c>
      <c r="E2101" s="23">
        <v>9</v>
      </c>
      <c r="F2101" t="s">
        <v>8265</v>
      </c>
      <c r="G2101" t="s">
        <v>10484</v>
      </c>
      <c r="H2101" t="s">
        <v>8021</v>
      </c>
      <c r="I2101">
        <f>_xlfn.LET(_xlpm.id,TRIM($A2101),IF(_xlpm.id="","",SUM(COUNTIF('1. OP'!$M:$M,_xlpm.id),COUNTIF('2. JSEL'!$M:$M,_xlpm.id),COUNTIF('3. PSM'!$M:$M,_xlpm.id),COUNTIF('4. SSP'!$M:$M,_xlpm.id),COUNTIF('5. JSACI'!$M:$M,_xlpm.id),COUNTIF('6. AIN'!$M:$M,_xlpm.id),COUNTIF('7. MS'!$M:$M,_xlpm.id),COUNTIF('8. DS'!$M:$M,_xlpm.id),COUNTIF('9. RMF'!$M:$M,_xlpm.id),COUNTIF('10. PCU'!$M:$M,_xlpm.id))))</f>
        <v>0</v>
      </c>
    </row>
    <row r="2102" spans="1:9">
      <c r="A2102" t="s">
        <v>10111</v>
      </c>
      <c r="B2102" t="s">
        <v>10103</v>
      </c>
      <c r="C2102">
        <v>1834</v>
      </c>
      <c r="D2102">
        <v>1</v>
      </c>
      <c r="E2102" s="23">
        <v>10</v>
      </c>
      <c r="F2102" t="s">
        <v>8265</v>
      </c>
      <c r="G2102" t="s">
        <v>10484</v>
      </c>
      <c r="H2102" t="s">
        <v>8021</v>
      </c>
      <c r="I2102">
        <f>_xlfn.LET(_xlpm.id,TRIM($A2102),IF(_xlpm.id="","",SUM(COUNTIF('1. OP'!$M:$M,_xlpm.id),COUNTIF('2. JSEL'!$M:$M,_xlpm.id),COUNTIF('3. PSM'!$M:$M,_xlpm.id),COUNTIF('4. SSP'!$M:$M,_xlpm.id),COUNTIF('5. JSACI'!$M:$M,_xlpm.id),COUNTIF('6. AIN'!$M:$M,_xlpm.id),COUNTIF('7. MS'!$M:$M,_xlpm.id),COUNTIF('8. DS'!$M:$M,_xlpm.id),COUNTIF('9. RMF'!$M:$M,_xlpm.id),COUNTIF('10. PCU'!$M:$M,_xlpm.id))))</f>
        <v>0</v>
      </c>
    </row>
    <row r="2103" spans="1:9">
      <c r="A2103" t="s">
        <v>10112</v>
      </c>
      <c r="B2103" t="s">
        <v>10103</v>
      </c>
      <c r="C2103">
        <v>1835</v>
      </c>
      <c r="D2103">
        <v>1</v>
      </c>
      <c r="E2103" s="23">
        <v>11</v>
      </c>
      <c r="F2103" t="s">
        <v>8265</v>
      </c>
      <c r="G2103" t="s">
        <v>10484</v>
      </c>
      <c r="H2103" t="s">
        <v>8021</v>
      </c>
      <c r="I2103">
        <f>_xlfn.LET(_xlpm.id,TRIM($A2103),IF(_xlpm.id="","",SUM(COUNTIF('1. OP'!$M:$M,_xlpm.id),COUNTIF('2. JSEL'!$M:$M,_xlpm.id),COUNTIF('3. PSM'!$M:$M,_xlpm.id),COUNTIF('4. SSP'!$M:$M,_xlpm.id),COUNTIF('5. JSACI'!$M:$M,_xlpm.id),COUNTIF('6. AIN'!$M:$M,_xlpm.id),COUNTIF('7. MS'!$M:$M,_xlpm.id),COUNTIF('8. DS'!$M:$M,_xlpm.id),COUNTIF('9. RMF'!$M:$M,_xlpm.id),COUNTIF('10. PCU'!$M:$M,_xlpm.id))))</f>
        <v>0</v>
      </c>
    </row>
    <row r="2104" spans="1:9">
      <c r="A2104" t="s">
        <v>10113</v>
      </c>
      <c r="B2104" t="s">
        <v>10103</v>
      </c>
      <c r="C2104">
        <v>1836</v>
      </c>
      <c r="D2104">
        <v>1</v>
      </c>
      <c r="E2104" s="23">
        <v>12</v>
      </c>
      <c r="F2104" t="s">
        <v>8265</v>
      </c>
      <c r="G2104" t="s">
        <v>10484</v>
      </c>
      <c r="H2104" t="s">
        <v>8021</v>
      </c>
      <c r="I2104">
        <f>_xlfn.LET(_xlpm.id,TRIM($A2104),IF(_xlpm.id="","",SUM(COUNTIF('1. OP'!$M:$M,_xlpm.id),COUNTIF('2. JSEL'!$M:$M,_xlpm.id),COUNTIF('3. PSM'!$M:$M,_xlpm.id),COUNTIF('4. SSP'!$M:$M,_xlpm.id),COUNTIF('5. JSACI'!$M:$M,_xlpm.id),COUNTIF('6. AIN'!$M:$M,_xlpm.id),COUNTIF('7. MS'!$M:$M,_xlpm.id),COUNTIF('8. DS'!$M:$M,_xlpm.id),COUNTIF('9. RMF'!$M:$M,_xlpm.id),COUNTIF('10. PCU'!$M:$M,_xlpm.id))))</f>
        <v>0</v>
      </c>
    </row>
    <row r="2105" spans="1:9">
      <c r="A2105" t="s">
        <v>10114</v>
      </c>
      <c r="B2105" t="s">
        <v>10103</v>
      </c>
      <c r="C2105">
        <v>1837</v>
      </c>
      <c r="D2105">
        <v>1</v>
      </c>
      <c r="E2105" s="23">
        <v>13</v>
      </c>
      <c r="F2105" t="s">
        <v>8265</v>
      </c>
      <c r="G2105" t="s">
        <v>10484</v>
      </c>
      <c r="H2105" t="s">
        <v>8021</v>
      </c>
      <c r="I2105">
        <f>_xlfn.LET(_xlpm.id,TRIM($A2105),IF(_xlpm.id="","",SUM(COUNTIF('1. OP'!$M:$M,_xlpm.id),COUNTIF('2. JSEL'!$M:$M,_xlpm.id),COUNTIF('3. PSM'!$M:$M,_xlpm.id),COUNTIF('4. SSP'!$M:$M,_xlpm.id),COUNTIF('5. JSACI'!$M:$M,_xlpm.id),COUNTIF('6. AIN'!$M:$M,_xlpm.id),COUNTIF('7. MS'!$M:$M,_xlpm.id),COUNTIF('8. DS'!$M:$M,_xlpm.id),COUNTIF('9. RMF'!$M:$M,_xlpm.id),COUNTIF('10. PCU'!$M:$M,_xlpm.id))))</f>
        <v>0</v>
      </c>
    </row>
    <row r="2106" spans="1:9">
      <c r="A2106" t="s">
        <v>10115</v>
      </c>
      <c r="B2106" t="s">
        <v>10103</v>
      </c>
      <c r="C2106">
        <v>1838</v>
      </c>
      <c r="D2106">
        <v>1</v>
      </c>
      <c r="E2106" s="23">
        <v>14</v>
      </c>
      <c r="F2106" t="s">
        <v>8265</v>
      </c>
      <c r="G2106" t="s">
        <v>10484</v>
      </c>
      <c r="H2106" t="s">
        <v>8021</v>
      </c>
      <c r="I2106">
        <f>_xlfn.LET(_xlpm.id,TRIM($A2106),IF(_xlpm.id="","",SUM(COUNTIF('1. OP'!$M:$M,_xlpm.id),COUNTIF('2. JSEL'!$M:$M,_xlpm.id),COUNTIF('3. PSM'!$M:$M,_xlpm.id),COUNTIF('4. SSP'!$M:$M,_xlpm.id),COUNTIF('5. JSACI'!$M:$M,_xlpm.id),COUNTIF('6. AIN'!$M:$M,_xlpm.id),COUNTIF('7. MS'!$M:$M,_xlpm.id),COUNTIF('8. DS'!$M:$M,_xlpm.id),COUNTIF('9. RMF'!$M:$M,_xlpm.id),COUNTIF('10. PCU'!$M:$M,_xlpm.id))))</f>
        <v>0</v>
      </c>
    </row>
    <row r="2107" spans="1:9">
      <c r="A2107" t="s">
        <v>10116</v>
      </c>
      <c r="B2107" t="s">
        <v>10103</v>
      </c>
      <c r="C2107">
        <v>1839</v>
      </c>
      <c r="D2107">
        <v>1</v>
      </c>
      <c r="E2107" s="23">
        <v>15</v>
      </c>
      <c r="F2107" t="s">
        <v>8265</v>
      </c>
      <c r="G2107" t="s">
        <v>10484</v>
      </c>
      <c r="H2107" t="s">
        <v>8021</v>
      </c>
      <c r="I2107">
        <f>_xlfn.LET(_xlpm.id,TRIM($A2107),IF(_xlpm.id="","",SUM(COUNTIF('1. OP'!$M:$M,_xlpm.id),COUNTIF('2. JSEL'!$M:$M,_xlpm.id),COUNTIF('3. PSM'!$M:$M,_xlpm.id),COUNTIF('4. SSP'!$M:$M,_xlpm.id),COUNTIF('5. JSACI'!$M:$M,_xlpm.id),COUNTIF('6. AIN'!$M:$M,_xlpm.id),COUNTIF('7. MS'!$M:$M,_xlpm.id),COUNTIF('8. DS'!$M:$M,_xlpm.id),COUNTIF('9. RMF'!$M:$M,_xlpm.id),COUNTIF('10. PCU'!$M:$M,_xlpm.id))))</f>
        <v>0</v>
      </c>
    </row>
    <row r="2108" spans="1:9">
      <c r="A2108" t="s">
        <v>10235</v>
      </c>
      <c r="B2108" t="s">
        <v>10153</v>
      </c>
      <c r="C2108">
        <v>1820</v>
      </c>
      <c r="D2108">
        <v>1</v>
      </c>
      <c r="E2108" s="23">
        <v>1</v>
      </c>
      <c r="F2108" t="s">
        <v>8102</v>
      </c>
      <c r="G2108" t="s">
        <v>10484</v>
      </c>
      <c r="H2108" t="s">
        <v>8021</v>
      </c>
      <c r="I2108">
        <f>_xlfn.LET(_xlpm.id,TRIM($A2108),IF(_xlpm.id="","",SUM(COUNTIF('1. OP'!$M:$M,_xlpm.id),COUNTIF('2. JSEL'!$M:$M,_xlpm.id),COUNTIF('3. PSM'!$M:$M,_xlpm.id),COUNTIF('4. SSP'!$M:$M,_xlpm.id),COUNTIF('5. JSACI'!$M:$M,_xlpm.id),COUNTIF('6. AIN'!$M:$M,_xlpm.id),COUNTIF('7. MS'!$M:$M,_xlpm.id),COUNTIF('8. DS'!$M:$M,_xlpm.id),COUNTIF('9. RMF'!$M:$M,_xlpm.id),COUNTIF('10. PCU'!$M:$M,_xlpm.id))))</f>
        <v>0</v>
      </c>
    </row>
    <row r="2109" spans="1:9">
      <c r="A2109" t="s">
        <v>10236</v>
      </c>
      <c r="B2109" t="s">
        <v>10153</v>
      </c>
      <c r="C2109">
        <v>1821</v>
      </c>
      <c r="D2109">
        <v>1</v>
      </c>
      <c r="E2109" s="23">
        <v>2</v>
      </c>
      <c r="F2109" t="s">
        <v>8102</v>
      </c>
      <c r="G2109" t="s">
        <v>10484</v>
      </c>
      <c r="H2109" t="s">
        <v>8021</v>
      </c>
      <c r="I2109">
        <f>_xlfn.LET(_xlpm.id,TRIM($A2109),IF(_xlpm.id="","",SUM(COUNTIF('1. OP'!$M:$M,_xlpm.id),COUNTIF('2. JSEL'!$M:$M,_xlpm.id),COUNTIF('3. PSM'!$M:$M,_xlpm.id),COUNTIF('4. SSP'!$M:$M,_xlpm.id),COUNTIF('5. JSACI'!$M:$M,_xlpm.id),COUNTIF('6. AIN'!$M:$M,_xlpm.id),COUNTIF('7. MS'!$M:$M,_xlpm.id),COUNTIF('8. DS'!$M:$M,_xlpm.id),COUNTIF('9. RMF'!$M:$M,_xlpm.id),COUNTIF('10. PCU'!$M:$M,_xlpm.id))))</f>
        <v>0</v>
      </c>
    </row>
    <row r="2110" spans="1:9">
      <c r="A2110" t="s">
        <v>10237</v>
      </c>
      <c r="B2110" t="s">
        <v>10153</v>
      </c>
      <c r="C2110">
        <v>1821</v>
      </c>
      <c r="D2110">
        <v>1</v>
      </c>
      <c r="E2110" s="23">
        <v>4</v>
      </c>
      <c r="F2110" t="s">
        <v>8102</v>
      </c>
      <c r="G2110" t="s">
        <v>10484</v>
      </c>
      <c r="H2110" t="s">
        <v>8021</v>
      </c>
      <c r="I2110">
        <f>_xlfn.LET(_xlpm.id,TRIM($A2110),IF(_xlpm.id="","",SUM(COUNTIF('1. OP'!$M:$M,_xlpm.id),COUNTIF('2. JSEL'!$M:$M,_xlpm.id),COUNTIF('3. PSM'!$M:$M,_xlpm.id),COUNTIF('4. SSP'!$M:$M,_xlpm.id),COUNTIF('5. JSACI'!$M:$M,_xlpm.id),COUNTIF('6. AIN'!$M:$M,_xlpm.id),COUNTIF('7. MS'!$M:$M,_xlpm.id),COUNTIF('8. DS'!$M:$M,_xlpm.id),COUNTIF('9. RMF'!$M:$M,_xlpm.id),COUNTIF('10. PCU'!$M:$M,_xlpm.id))))</f>
        <v>0</v>
      </c>
    </row>
    <row r="2111" spans="1:9">
      <c r="A2111" t="s">
        <v>10238</v>
      </c>
      <c r="B2111" t="s">
        <v>10153</v>
      </c>
      <c r="C2111">
        <v>1821</v>
      </c>
      <c r="D2111">
        <v>1</v>
      </c>
      <c r="E2111" s="23">
        <v>5</v>
      </c>
      <c r="F2111" t="s">
        <v>8102</v>
      </c>
      <c r="G2111" t="s">
        <v>10484</v>
      </c>
      <c r="H2111" t="s">
        <v>8021</v>
      </c>
      <c r="I2111">
        <f>_xlfn.LET(_xlpm.id,TRIM($A2111),IF(_xlpm.id="","",SUM(COUNTIF('1. OP'!$M:$M,_xlpm.id),COUNTIF('2. JSEL'!$M:$M,_xlpm.id),COUNTIF('3. PSM'!$M:$M,_xlpm.id),COUNTIF('4. SSP'!$M:$M,_xlpm.id),COUNTIF('5. JSACI'!$M:$M,_xlpm.id),COUNTIF('6. AIN'!$M:$M,_xlpm.id),COUNTIF('7. MS'!$M:$M,_xlpm.id),COUNTIF('8. DS'!$M:$M,_xlpm.id),COUNTIF('9. RMF'!$M:$M,_xlpm.id),COUNTIF('10. PCU'!$M:$M,_xlpm.id))))</f>
        <v>0</v>
      </c>
    </row>
    <row r="2112" spans="1:9">
      <c r="A2112" t="s">
        <v>10239</v>
      </c>
      <c r="B2112" t="s">
        <v>10153</v>
      </c>
      <c r="C2112">
        <v>1821</v>
      </c>
      <c r="D2112">
        <v>1</v>
      </c>
      <c r="E2112" s="23">
        <v>6</v>
      </c>
      <c r="F2112" t="s">
        <v>8102</v>
      </c>
      <c r="G2112" t="s">
        <v>10484</v>
      </c>
      <c r="H2112" t="s">
        <v>8021</v>
      </c>
      <c r="I2112">
        <f>_xlfn.LET(_xlpm.id,TRIM($A2112),IF(_xlpm.id="","",SUM(COUNTIF('1. OP'!$M:$M,_xlpm.id),COUNTIF('2. JSEL'!$M:$M,_xlpm.id),COUNTIF('3. PSM'!$M:$M,_xlpm.id),COUNTIF('4. SSP'!$M:$M,_xlpm.id),COUNTIF('5. JSACI'!$M:$M,_xlpm.id),COUNTIF('6. AIN'!$M:$M,_xlpm.id),COUNTIF('7. MS'!$M:$M,_xlpm.id),COUNTIF('8. DS'!$M:$M,_xlpm.id),COUNTIF('9. RMF'!$M:$M,_xlpm.id),COUNTIF('10. PCU'!$M:$M,_xlpm.id))))</f>
        <v>0</v>
      </c>
    </row>
    <row r="2113" spans="1:9">
      <c r="A2113" t="s">
        <v>10240</v>
      </c>
      <c r="B2113" t="s">
        <v>10153</v>
      </c>
      <c r="C2113">
        <v>1822</v>
      </c>
      <c r="D2113">
        <v>1</v>
      </c>
      <c r="E2113" s="23">
        <v>8</v>
      </c>
      <c r="F2113" t="s">
        <v>8102</v>
      </c>
      <c r="G2113" t="s">
        <v>10484</v>
      </c>
      <c r="H2113" t="s">
        <v>8021</v>
      </c>
      <c r="I2113">
        <f>_xlfn.LET(_xlpm.id,TRIM($A2113),IF(_xlpm.id="","",SUM(COUNTIF('1. OP'!$M:$M,_xlpm.id),COUNTIF('2. JSEL'!$M:$M,_xlpm.id),COUNTIF('3. PSM'!$M:$M,_xlpm.id),COUNTIF('4. SSP'!$M:$M,_xlpm.id),COUNTIF('5. JSACI'!$M:$M,_xlpm.id),COUNTIF('6. AIN'!$M:$M,_xlpm.id),COUNTIF('7. MS'!$M:$M,_xlpm.id),COUNTIF('8. DS'!$M:$M,_xlpm.id),COUNTIF('9. RMF'!$M:$M,_xlpm.id),COUNTIF('10. PCU'!$M:$M,_xlpm.id))))</f>
        <v>0</v>
      </c>
    </row>
    <row r="2114" spans="1:9">
      <c r="A2114" t="s">
        <v>10241</v>
      </c>
      <c r="B2114" t="s">
        <v>10153</v>
      </c>
      <c r="C2114">
        <v>1823</v>
      </c>
      <c r="D2114">
        <v>1</v>
      </c>
      <c r="E2114" s="23">
        <v>10</v>
      </c>
      <c r="F2114" t="s">
        <v>8102</v>
      </c>
      <c r="G2114" t="s">
        <v>10484</v>
      </c>
      <c r="H2114" t="s">
        <v>8021</v>
      </c>
      <c r="I2114">
        <f>_xlfn.LET(_xlpm.id,TRIM($A2114),IF(_xlpm.id="","",SUM(COUNTIF('1. OP'!$M:$M,_xlpm.id),COUNTIF('2. JSEL'!$M:$M,_xlpm.id),COUNTIF('3. PSM'!$M:$M,_xlpm.id),COUNTIF('4. SSP'!$M:$M,_xlpm.id),COUNTIF('5. JSACI'!$M:$M,_xlpm.id),COUNTIF('6. AIN'!$M:$M,_xlpm.id),COUNTIF('7. MS'!$M:$M,_xlpm.id),COUNTIF('8. DS'!$M:$M,_xlpm.id),COUNTIF('9. RMF'!$M:$M,_xlpm.id),COUNTIF('10. PCU'!$M:$M,_xlpm.id))))</f>
        <v>0</v>
      </c>
    </row>
    <row r="2115" spans="1:9">
      <c r="A2115" t="s">
        <v>10242</v>
      </c>
      <c r="B2115" t="s">
        <v>10153</v>
      </c>
      <c r="C2115">
        <v>1823</v>
      </c>
      <c r="D2115">
        <v>1</v>
      </c>
      <c r="E2115" s="23">
        <v>11</v>
      </c>
      <c r="F2115" t="s">
        <v>8102</v>
      </c>
      <c r="G2115" t="s">
        <v>10484</v>
      </c>
      <c r="H2115" t="s">
        <v>8021</v>
      </c>
      <c r="I2115">
        <f>_xlfn.LET(_xlpm.id,TRIM($A2115),IF(_xlpm.id="","",SUM(COUNTIF('1. OP'!$M:$M,_xlpm.id),COUNTIF('2. JSEL'!$M:$M,_xlpm.id),COUNTIF('3. PSM'!$M:$M,_xlpm.id),COUNTIF('4. SSP'!$M:$M,_xlpm.id),COUNTIF('5. JSACI'!$M:$M,_xlpm.id),COUNTIF('6. AIN'!$M:$M,_xlpm.id),COUNTIF('7. MS'!$M:$M,_xlpm.id),COUNTIF('8. DS'!$M:$M,_xlpm.id),COUNTIF('9. RMF'!$M:$M,_xlpm.id),COUNTIF('10. PCU'!$M:$M,_xlpm.id))))</f>
        <v>0</v>
      </c>
    </row>
    <row r="2116" spans="1:9">
      <c r="A2116" t="s">
        <v>10243</v>
      </c>
      <c r="B2116" t="s">
        <v>10153</v>
      </c>
      <c r="C2116">
        <v>1823</v>
      </c>
      <c r="D2116">
        <v>1</v>
      </c>
      <c r="E2116" s="23">
        <v>12</v>
      </c>
      <c r="F2116" t="s">
        <v>8102</v>
      </c>
      <c r="G2116" t="s">
        <v>10484</v>
      </c>
      <c r="H2116" t="s">
        <v>8021</v>
      </c>
      <c r="I2116">
        <f>_xlfn.LET(_xlpm.id,TRIM($A2116),IF(_xlpm.id="","",SUM(COUNTIF('1. OP'!$M:$M,_xlpm.id),COUNTIF('2. JSEL'!$M:$M,_xlpm.id),COUNTIF('3. PSM'!$M:$M,_xlpm.id),COUNTIF('4. SSP'!$M:$M,_xlpm.id),COUNTIF('5. JSACI'!$M:$M,_xlpm.id),COUNTIF('6. AIN'!$M:$M,_xlpm.id),COUNTIF('7. MS'!$M:$M,_xlpm.id),COUNTIF('8. DS'!$M:$M,_xlpm.id),COUNTIF('9. RMF'!$M:$M,_xlpm.id),COUNTIF('10. PCU'!$M:$M,_xlpm.id))))</f>
        <v>0</v>
      </c>
    </row>
    <row r="2117" spans="1:9">
      <c r="A2117" t="s">
        <v>10244</v>
      </c>
      <c r="B2117" t="s">
        <v>10153</v>
      </c>
      <c r="C2117">
        <v>1823</v>
      </c>
      <c r="D2117">
        <v>1</v>
      </c>
      <c r="E2117" s="23">
        <v>13</v>
      </c>
      <c r="F2117" t="s">
        <v>8102</v>
      </c>
      <c r="G2117" t="s">
        <v>10484</v>
      </c>
      <c r="H2117" t="s">
        <v>8021</v>
      </c>
      <c r="I2117">
        <f>_xlfn.LET(_xlpm.id,TRIM($A2117),IF(_xlpm.id="","",SUM(COUNTIF('1. OP'!$M:$M,_xlpm.id),COUNTIF('2. JSEL'!$M:$M,_xlpm.id),COUNTIF('3. PSM'!$M:$M,_xlpm.id),COUNTIF('4. SSP'!$M:$M,_xlpm.id),COUNTIF('5. JSACI'!$M:$M,_xlpm.id),COUNTIF('6. AIN'!$M:$M,_xlpm.id),COUNTIF('7. MS'!$M:$M,_xlpm.id),COUNTIF('8. DS'!$M:$M,_xlpm.id),COUNTIF('9. RMF'!$M:$M,_xlpm.id),COUNTIF('10. PCU'!$M:$M,_xlpm.id))))</f>
        <v>0</v>
      </c>
    </row>
    <row r="2118" spans="1:9">
      <c r="A2118" t="s">
        <v>10245</v>
      </c>
      <c r="B2118" t="s">
        <v>10153</v>
      </c>
      <c r="C2118">
        <v>1824</v>
      </c>
      <c r="D2118">
        <v>1</v>
      </c>
      <c r="E2118" s="23">
        <v>14</v>
      </c>
      <c r="F2118" t="s">
        <v>8102</v>
      </c>
      <c r="G2118" t="s">
        <v>10484</v>
      </c>
      <c r="H2118" t="s">
        <v>8021</v>
      </c>
      <c r="I2118">
        <f>_xlfn.LET(_xlpm.id,TRIM($A2118),IF(_xlpm.id="","",SUM(COUNTIF('1. OP'!$M:$M,_xlpm.id),COUNTIF('2. JSEL'!$M:$M,_xlpm.id),COUNTIF('3. PSM'!$M:$M,_xlpm.id),COUNTIF('4. SSP'!$M:$M,_xlpm.id),COUNTIF('5. JSACI'!$M:$M,_xlpm.id),COUNTIF('6. AIN'!$M:$M,_xlpm.id),COUNTIF('7. MS'!$M:$M,_xlpm.id),COUNTIF('8. DS'!$M:$M,_xlpm.id),COUNTIF('9. RMF'!$M:$M,_xlpm.id),COUNTIF('10. PCU'!$M:$M,_xlpm.id))))</f>
        <v>0</v>
      </c>
    </row>
    <row r="2119" spans="1:9">
      <c r="A2119" t="s">
        <v>10246</v>
      </c>
      <c r="B2119" t="s">
        <v>10153</v>
      </c>
      <c r="C2119">
        <v>1824</v>
      </c>
      <c r="D2119">
        <v>1</v>
      </c>
      <c r="E2119" s="23">
        <v>15</v>
      </c>
      <c r="F2119" t="s">
        <v>8102</v>
      </c>
      <c r="G2119" t="s">
        <v>10484</v>
      </c>
      <c r="H2119" t="s">
        <v>8021</v>
      </c>
      <c r="I2119">
        <f>_xlfn.LET(_xlpm.id,TRIM($A2119),IF(_xlpm.id="","",SUM(COUNTIF('1. OP'!$M:$M,_xlpm.id),COUNTIF('2. JSEL'!$M:$M,_xlpm.id),COUNTIF('3. PSM'!$M:$M,_xlpm.id),COUNTIF('4. SSP'!$M:$M,_xlpm.id),COUNTIF('5. JSACI'!$M:$M,_xlpm.id),COUNTIF('6. AIN'!$M:$M,_xlpm.id),COUNTIF('7. MS'!$M:$M,_xlpm.id),COUNTIF('8. DS'!$M:$M,_xlpm.id),COUNTIF('9. RMF'!$M:$M,_xlpm.id),COUNTIF('10. PCU'!$M:$M,_xlpm.id))))</f>
        <v>0</v>
      </c>
    </row>
    <row r="2120" spans="1:9">
      <c r="A2120" t="s">
        <v>10247</v>
      </c>
      <c r="B2120" t="s">
        <v>10153</v>
      </c>
      <c r="C2120">
        <v>1824</v>
      </c>
      <c r="D2120">
        <v>1</v>
      </c>
      <c r="E2120" s="23">
        <v>16</v>
      </c>
      <c r="F2120" t="s">
        <v>8102</v>
      </c>
      <c r="G2120" t="s">
        <v>10484</v>
      </c>
      <c r="H2120" t="s">
        <v>8021</v>
      </c>
      <c r="I2120">
        <f>_xlfn.LET(_xlpm.id,TRIM($A2120),IF(_xlpm.id="","",SUM(COUNTIF('1. OP'!$M:$M,_xlpm.id),COUNTIF('2. JSEL'!$M:$M,_xlpm.id),COUNTIF('3. PSM'!$M:$M,_xlpm.id),COUNTIF('4. SSP'!$M:$M,_xlpm.id),COUNTIF('5. JSACI'!$M:$M,_xlpm.id),COUNTIF('6. AIN'!$M:$M,_xlpm.id),COUNTIF('7. MS'!$M:$M,_xlpm.id),COUNTIF('8. DS'!$M:$M,_xlpm.id),COUNTIF('9. RMF'!$M:$M,_xlpm.id),COUNTIF('10. PCU'!$M:$M,_xlpm.id))))</f>
        <v>0</v>
      </c>
    </row>
    <row r="2121" spans="1:9">
      <c r="A2121" t="s">
        <v>10248</v>
      </c>
      <c r="B2121" t="s">
        <v>10153</v>
      </c>
      <c r="C2121">
        <v>1824</v>
      </c>
      <c r="D2121">
        <v>1</v>
      </c>
      <c r="E2121" s="23">
        <v>17</v>
      </c>
      <c r="F2121" t="s">
        <v>8102</v>
      </c>
      <c r="G2121" t="s">
        <v>10484</v>
      </c>
      <c r="H2121" t="s">
        <v>8021</v>
      </c>
      <c r="I2121">
        <f>_xlfn.LET(_xlpm.id,TRIM($A2121),IF(_xlpm.id="","",SUM(COUNTIF('1. OP'!$M:$M,_xlpm.id),COUNTIF('2. JSEL'!$M:$M,_xlpm.id),COUNTIF('3. PSM'!$M:$M,_xlpm.id),COUNTIF('4. SSP'!$M:$M,_xlpm.id),COUNTIF('5. JSACI'!$M:$M,_xlpm.id),COUNTIF('6. AIN'!$M:$M,_xlpm.id),COUNTIF('7. MS'!$M:$M,_xlpm.id),COUNTIF('8. DS'!$M:$M,_xlpm.id),COUNTIF('9. RMF'!$M:$M,_xlpm.id),COUNTIF('10. PCU'!$M:$M,_xlpm.id))))</f>
        <v>0</v>
      </c>
    </row>
    <row r="2122" spans="1:9">
      <c r="A2122" t="s">
        <v>10249</v>
      </c>
      <c r="B2122" t="s">
        <v>10153</v>
      </c>
      <c r="C2122">
        <v>1825</v>
      </c>
      <c r="D2122">
        <v>1</v>
      </c>
      <c r="E2122" s="23">
        <v>18</v>
      </c>
      <c r="F2122" t="s">
        <v>8102</v>
      </c>
      <c r="G2122" t="s">
        <v>10484</v>
      </c>
      <c r="H2122" t="s">
        <v>8021</v>
      </c>
      <c r="I2122">
        <f>_xlfn.LET(_xlpm.id,TRIM($A2122),IF(_xlpm.id="","",SUM(COUNTIF('1. OP'!$M:$M,_xlpm.id),COUNTIF('2. JSEL'!$M:$M,_xlpm.id),COUNTIF('3. PSM'!$M:$M,_xlpm.id),COUNTIF('4. SSP'!$M:$M,_xlpm.id),COUNTIF('5. JSACI'!$M:$M,_xlpm.id),COUNTIF('6. AIN'!$M:$M,_xlpm.id),COUNTIF('7. MS'!$M:$M,_xlpm.id),COUNTIF('8. DS'!$M:$M,_xlpm.id),COUNTIF('9. RMF'!$M:$M,_xlpm.id),COUNTIF('10. PCU'!$M:$M,_xlpm.id))))</f>
        <v>0</v>
      </c>
    </row>
    <row r="2123" spans="1:9">
      <c r="A2123" t="s">
        <v>10250</v>
      </c>
      <c r="B2123" t="s">
        <v>10153</v>
      </c>
      <c r="C2123">
        <v>1825</v>
      </c>
      <c r="D2123">
        <v>1</v>
      </c>
      <c r="E2123" s="23">
        <v>19</v>
      </c>
      <c r="F2123" t="s">
        <v>8102</v>
      </c>
      <c r="G2123" t="s">
        <v>10484</v>
      </c>
      <c r="H2123" t="s">
        <v>8021</v>
      </c>
      <c r="I2123">
        <f>_xlfn.LET(_xlpm.id,TRIM($A2123),IF(_xlpm.id="","",SUM(COUNTIF('1. OP'!$M:$M,_xlpm.id),COUNTIF('2. JSEL'!$M:$M,_xlpm.id),COUNTIF('3. PSM'!$M:$M,_xlpm.id),COUNTIF('4. SSP'!$M:$M,_xlpm.id),COUNTIF('5. JSACI'!$M:$M,_xlpm.id),COUNTIF('6. AIN'!$M:$M,_xlpm.id),COUNTIF('7. MS'!$M:$M,_xlpm.id),COUNTIF('8. DS'!$M:$M,_xlpm.id),COUNTIF('9. RMF'!$M:$M,_xlpm.id),COUNTIF('10. PCU'!$M:$M,_xlpm.id))))</f>
        <v>0</v>
      </c>
    </row>
    <row r="2124" spans="1:9">
      <c r="A2124" t="s">
        <v>10251</v>
      </c>
      <c r="B2124" t="s">
        <v>10153</v>
      </c>
      <c r="C2124">
        <v>1825</v>
      </c>
      <c r="D2124">
        <v>1</v>
      </c>
      <c r="E2124" s="23">
        <v>20</v>
      </c>
      <c r="F2124" t="s">
        <v>8102</v>
      </c>
      <c r="G2124" t="s">
        <v>10484</v>
      </c>
      <c r="H2124" t="s">
        <v>8021</v>
      </c>
      <c r="I2124">
        <f>_xlfn.LET(_xlpm.id,TRIM($A2124),IF(_xlpm.id="","",SUM(COUNTIF('1. OP'!$M:$M,_xlpm.id),COUNTIF('2. JSEL'!$M:$M,_xlpm.id),COUNTIF('3. PSM'!$M:$M,_xlpm.id),COUNTIF('4. SSP'!$M:$M,_xlpm.id),COUNTIF('5. JSACI'!$M:$M,_xlpm.id),COUNTIF('6. AIN'!$M:$M,_xlpm.id),COUNTIF('7. MS'!$M:$M,_xlpm.id),COUNTIF('8. DS'!$M:$M,_xlpm.id),COUNTIF('9. RMF'!$M:$M,_xlpm.id),COUNTIF('10. PCU'!$M:$M,_xlpm.id))))</f>
        <v>0</v>
      </c>
    </row>
    <row r="2125" spans="1:9">
      <c r="A2125" t="s">
        <v>10252</v>
      </c>
      <c r="B2125" t="s">
        <v>10153</v>
      </c>
      <c r="C2125">
        <v>1825</v>
      </c>
      <c r="D2125">
        <v>1</v>
      </c>
      <c r="E2125" s="23">
        <v>21</v>
      </c>
      <c r="F2125" t="s">
        <v>8102</v>
      </c>
      <c r="G2125" t="s">
        <v>10484</v>
      </c>
      <c r="H2125" t="s">
        <v>8021</v>
      </c>
      <c r="I2125">
        <f>_xlfn.LET(_xlpm.id,TRIM($A2125),IF(_xlpm.id="","",SUM(COUNTIF('1. OP'!$M:$M,_xlpm.id),COUNTIF('2. JSEL'!$M:$M,_xlpm.id),COUNTIF('3. PSM'!$M:$M,_xlpm.id),COUNTIF('4. SSP'!$M:$M,_xlpm.id),COUNTIF('5. JSACI'!$M:$M,_xlpm.id),COUNTIF('6. AIN'!$M:$M,_xlpm.id),COUNTIF('7. MS'!$M:$M,_xlpm.id),COUNTIF('8. DS'!$M:$M,_xlpm.id),COUNTIF('9. RMF'!$M:$M,_xlpm.id),COUNTIF('10. PCU'!$M:$M,_xlpm.id))))</f>
        <v>0</v>
      </c>
    </row>
    <row r="2126" spans="1:9">
      <c r="A2126" t="s">
        <v>10253</v>
      </c>
      <c r="B2126" t="s">
        <v>10153</v>
      </c>
      <c r="C2126">
        <v>1826</v>
      </c>
      <c r="D2126">
        <v>1</v>
      </c>
      <c r="E2126" s="23">
        <v>22</v>
      </c>
      <c r="F2126" t="s">
        <v>8102</v>
      </c>
      <c r="G2126" t="s">
        <v>10484</v>
      </c>
      <c r="H2126" t="s">
        <v>8021</v>
      </c>
      <c r="I2126">
        <f>_xlfn.LET(_xlpm.id,TRIM($A2126),IF(_xlpm.id="","",SUM(COUNTIF('1. OP'!$M:$M,_xlpm.id),COUNTIF('2. JSEL'!$M:$M,_xlpm.id),COUNTIF('3. PSM'!$M:$M,_xlpm.id),COUNTIF('4. SSP'!$M:$M,_xlpm.id),COUNTIF('5. JSACI'!$M:$M,_xlpm.id),COUNTIF('6. AIN'!$M:$M,_xlpm.id),COUNTIF('7. MS'!$M:$M,_xlpm.id),COUNTIF('8. DS'!$M:$M,_xlpm.id),COUNTIF('9. RMF'!$M:$M,_xlpm.id),COUNTIF('10. PCU'!$M:$M,_xlpm.id))))</f>
        <v>0</v>
      </c>
    </row>
    <row r="2127" spans="1:9">
      <c r="A2127" t="s">
        <v>10254</v>
      </c>
      <c r="B2127" t="s">
        <v>10153</v>
      </c>
      <c r="C2127">
        <v>1826</v>
      </c>
      <c r="D2127">
        <v>1</v>
      </c>
      <c r="E2127" s="23">
        <v>23</v>
      </c>
      <c r="F2127" t="s">
        <v>8102</v>
      </c>
      <c r="G2127" t="s">
        <v>10484</v>
      </c>
      <c r="H2127" t="s">
        <v>8021</v>
      </c>
      <c r="I2127">
        <f>_xlfn.LET(_xlpm.id,TRIM($A2127),IF(_xlpm.id="","",SUM(COUNTIF('1. OP'!$M:$M,_xlpm.id),COUNTIF('2. JSEL'!$M:$M,_xlpm.id),COUNTIF('3. PSM'!$M:$M,_xlpm.id),COUNTIF('4. SSP'!$M:$M,_xlpm.id),COUNTIF('5. JSACI'!$M:$M,_xlpm.id),COUNTIF('6. AIN'!$M:$M,_xlpm.id),COUNTIF('7. MS'!$M:$M,_xlpm.id),COUNTIF('8. DS'!$M:$M,_xlpm.id),COUNTIF('9. RMF'!$M:$M,_xlpm.id),COUNTIF('10. PCU'!$M:$M,_xlpm.id))))</f>
        <v>0</v>
      </c>
    </row>
    <row r="2128" spans="1:9">
      <c r="A2128" t="s">
        <v>7390</v>
      </c>
      <c r="B2128" t="s">
        <v>10153</v>
      </c>
      <c r="C2128">
        <v>1826</v>
      </c>
      <c r="D2128">
        <v>1</v>
      </c>
      <c r="E2128" s="23">
        <v>24</v>
      </c>
      <c r="F2128" t="s">
        <v>8102</v>
      </c>
      <c r="G2128" t="s">
        <v>10484</v>
      </c>
      <c r="H2128" t="s">
        <v>8021</v>
      </c>
      <c r="I2128">
        <f>_xlfn.LET(_xlpm.id,TRIM($A2128),IF(_xlpm.id="","",SUM(COUNTIF('1. OP'!$M:$M,_xlpm.id),COUNTIF('2. JSEL'!$M:$M,_xlpm.id),COUNTIF('3. PSM'!$M:$M,_xlpm.id),COUNTIF('4. SSP'!$M:$M,_xlpm.id),COUNTIF('5. JSACI'!$M:$M,_xlpm.id),COUNTIF('6. AIN'!$M:$M,_xlpm.id),COUNTIF('7. MS'!$M:$M,_xlpm.id),COUNTIF('8. DS'!$M:$M,_xlpm.id),COUNTIF('9. RMF'!$M:$M,_xlpm.id),COUNTIF('10. PCU'!$M:$M,_xlpm.id))))</f>
        <v>1</v>
      </c>
    </row>
    <row r="2129" spans="1:9">
      <c r="A2129" t="s">
        <v>10255</v>
      </c>
      <c r="B2129" t="s">
        <v>10153</v>
      </c>
      <c r="C2129">
        <v>1827</v>
      </c>
      <c r="D2129">
        <v>1</v>
      </c>
      <c r="E2129" s="23">
        <v>26</v>
      </c>
      <c r="F2129" t="s">
        <v>8102</v>
      </c>
      <c r="G2129" t="s">
        <v>10484</v>
      </c>
      <c r="H2129" t="s">
        <v>8021</v>
      </c>
      <c r="I2129">
        <f>_xlfn.LET(_xlpm.id,TRIM($A2129),IF(_xlpm.id="","",SUM(COUNTIF('1. OP'!$M:$M,_xlpm.id),COUNTIF('2. JSEL'!$M:$M,_xlpm.id),COUNTIF('3. PSM'!$M:$M,_xlpm.id),COUNTIF('4. SSP'!$M:$M,_xlpm.id),COUNTIF('5. JSACI'!$M:$M,_xlpm.id),COUNTIF('6. AIN'!$M:$M,_xlpm.id),COUNTIF('7. MS'!$M:$M,_xlpm.id),COUNTIF('8. DS'!$M:$M,_xlpm.id),COUNTIF('9. RMF'!$M:$M,_xlpm.id),COUNTIF('10. PCU'!$M:$M,_xlpm.id))))</f>
        <v>0</v>
      </c>
    </row>
    <row r="2130" spans="1:9">
      <c r="A2130" t="s">
        <v>10256</v>
      </c>
      <c r="B2130" t="s">
        <v>10153</v>
      </c>
      <c r="C2130">
        <v>1827</v>
      </c>
      <c r="D2130">
        <v>1</v>
      </c>
      <c r="E2130" s="23">
        <v>27</v>
      </c>
      <c r="F2130" t="s">
        <v>8102</v>
      </c>
      <c r="G2130" t="s">
        <v>10484</v>
      </c>
      <c r="H2130" t="s">
        <v>8021</v>
      </c>
      <c r="I2130">
        <f>_xlfn.LET(_xlpm.id,TRIM($A2130),IF(_xlpm.id="","",SUM(COUNTIF('1. OP'!$M:$M,_xlpm.id),COUNTIF('2. JSEL'!$M:$M,_xlpm.id),COUNTIF('3. PSM'!$M:$M,_xlpm.id),COUNTIF('4. SSP'!$M:$M,_xlpm.id),COUNTIF('5. JSACI'!$M:$M,_xlpm.id),COUNTIF('6. AIN'!$M:$M,_xlpm.id),COUNTIF('7. MS'!$M:$M,_xlpm.id),COUNTIF('8. DS'!$M:$M,_xlpm.id),COUNTIF('9. RMF'!$M:$M,_xlpm.id),COUNTIF('10. PCU'!$M:$M,_xlpm.id))))</f>
        <v>0</v>
      </c>
    </row>
    <row r="2131" spans="1:9">
      <c r="A2131" t="s">
        <v>10257</v>
      </c>
      <c r="B2131" t="s">
        <v>10153</v>
      </c>
      <c r="C2131">
        <v>1827</v>
      </c>
      <c r="D2131">
        <v>1</v>
      </c>
      <c r="E2131" s="23">
        <v>28</v>
      </c>
      <c r="F2131" t="s">
        <v>8102</v>
      </c>
      <c r="G2131" t="s">
        <v>10484</v>
      </c>
      <c r="H2131" t="s">
        <v>8021</v>
      </c>
      <c r="I2131">
        <f>_xlfn.LET(_xlpm.id,TRIM($A2131),IF(_xlpm.id="","",SUM(COUNTIF('1. OP'!$M:$M,_xlpm.id),COUNTIF('2. JSEL'!$M:$M,_xlpm.id),COUNTIF('3. PSM'!$M:$M,_xlpm.id),COUNTIF('4. SSP'!$M:$M,_xlpm.id),COUNTIF('5. JSACI'!$M:$M,_xlpm.id),COUNTIF('6. AIN'!$M:$M,_xlpm.id),COUNTIF('7. MS'!$M:$M,_xlpm.id),COUNTIF('8. DS'!$M:$M,_xlpm.id),COUNTIF('9. RMF'!$M:$M,_xlpm.id),COUNTIF('10. PCU'!$M:$M,_xlpm.id))))</f>
        <v>0</v>
      </c>
    </row>
    <row r="2132" spans="1:9">
      <c r="A2132" t="s">
        <v>10258</v>
      </c>
      <c r="B2132" t="s">
        <v>10153</v>
      </c>
      <c r="C2132">
        <v>1827</v>
      </c>
      <c r="D2132">
        <v>1</v>
      </c>
      <c r="E2132" s="23">
        <v>29</v>
      </c>
      <c r="F2132" t="s">
        <v>8102</v>
      </c>
      <c r="G2132" t="s">
        <v>10484</v>
      </c>
      <c r="H2132" t="s">
        <v>8021</v>
      </c>
      <c r="I2132">
        <f>_xlfn.LET(_xlpm.id,TRIM($A2132),IF(_xlpm.id="","",SUM(COUNTIF('1. OP'!$M:$M,_xlpm.id),COUNTIF('2. JSEL'!$M:$M,_xlpm.id),COUNTIF('3. PSM'!$M:$M,_xlpm.id),COUNTIF('4. SSP'!$M:$M,_xlpm.id),COUNTIF('5. JSACI'!$M:$M,_xlpm.id),COUNTIF('6. AIN'!$M:$M,_xlpm.id),COUNTIF('7. MS'!$M:$M,_xlpm.id),COUNTIF('8. DS'!$M:$M,_xlpm.id),COUNTIF('9. RMF'!$M:$M,_xlpm.id),COUNTIF('10. PCU'!$M:$M,_xlpm.id))))</f>
        <v>0</v>
      </c>
    </row>
    <row r="2133" spans="1:9">
      <c r="A2133" t="s">
        <v>10259</v>
      </c>
      <c r="B2133" t="s">
        <v>10153</v>
      </c>
      <c r="C2133">
        <v>1828</v>
      </c>
      <c r="D2133">
        <v>1</v>
      </c>
      <c r="E2133" s="23">
        <v>30</v>
      </c>
      <c r="F2133" t="s">
        <v>8102</v>
      </c>
      <c r="G2133" t="s">
        <v>10484</v>
      </c>
      <c r="H2133" t="s">
        <v>8021</v>
      </c>
      <c r="I2133">
        <f>_xlfn.LET(_xlpm.id,TRIM($A2133),IF(_xlpm.id="","",SUM(COUNTIF('1. OP'!$M:$M,_xlpm.id),COUNTIF('2. JSEL'!$M:$M,_xlpm.id),COUNTIF('3. PSM'!$M:$M,_xlpm.id),COUNTIF('4. SSP'!$M:$M,_xlpm.id),COUNTIF('5. JSACI'!$M:$M,_xlpm.id),COUNTIF('6. AIN'!$M:$M,_xlpm.id),COUNTIF('7. MS'!$M:$M,_xlpm.id),COUNTIF('8. DS'!$M:$M,_xlpm.id),COUNTIF('9. RMF'!$M:$M,_xlpm.id),COUNTIF('10. PCU'!$M:$M,_xlpm.id))))</f>
        <v>0</v>
      </c>
    </row>
    <row r="2134" spans="1:9">
      <c r="A2134" t="s">
        <v>10260</v>
      </c>
      <c r="B2134" t="s">
        <v>10153</v>
      </c>
      <c r="C2134">
        <v>1828</v>
      </c>
      <c r="D2134">
        <v>1</v>
      </c>
      <c r="E2134" s="23">
        <v>31</v>
      </c>
      <c r="F2134" t="s">
        <v>8102</v>
      </c>
      <c r="G2134" t="s">
        <v>10484</v>
      </c>
      <c r="H2134" t="s">
        <v>8021</v>
      </c>
      <c r="I2134">
        <f>_xlfn.LET(_xlpm.id,TRIM($A2134),IF(_xlpm.id="","",SUM(COUNTIF('1. OP'!$M:$M,_xlpm.id),COUNTIF('2. JSEL'!$M:$M,_xlpm.id),COUNTIF('3. PSM'!$M:$M,_xlpm.id),COUNTIF('4. SSP'!$M:$M,_xlpm.id),COUNTIF('5. JSACI'!$M:$M,_xlpm.id),COUNTIF('6. AIN'!$M:$M,_xlpm.id),COUNTIF('7. MS'!$M:$M,_xlpm.id),COUNTIF('8. DS'!$M:$M,_xlpm.id),COUNTIF('9. RMF'!$M:$M,_xlpm.id),COUNTIF('10. PCU'!$M:$M,_xlpm.id))))</f>
        <v>0</v>
      </c>
    </row>
    <row r="2135" spans="1:9">
      <c r="A2135" t="s">
        <v>10261</v>
      </c>
      <c r="B2135" t="s">
        <v>10153</v>
      </c>
      <c r="C2135">
        <v>1828</v>
      </c>
      <c r="D2135">
        <v>1</v>
      </c>
      <c r="E2135" s="23">
        <v>32</v>
      </c>
      <c r="F2135" t="s">
        <v>8102</v>
      </c>
      <c r="G2135" t="s">
        <v>10484</v>
      </c>
      <c r="H2135" t="s">
        <v>8021</v>
      </c>
      <c r="I2135">
        <f>_xlfn.LET(_xlpm.id,TRIM($A2135),IF(_xlpm.id="","",SUM(COUNTIF('1. OP'!$M:$M,_xlpm.id),COUNTIF('2. JSEL'!$M:$M,_xlpm.id),COUNTIF('3. PSM'!$M:$M,_xlpm.id),COUNTIF('4. SSP'!$M:$M,_xlpm.id),COUNTIF('5. JSACI'!$M:$M,_xlpm.id),COUNTIF('6. AIN'!$M:$M,_xlpm.id),COUNTIF('7. MS'!$M:$M,_xlpm.id),COUNTIF('8. DS'!$M:$M,_xlpm.id),COUNTIF('9. RMF'!$M:$M,_xlpm.id),COUNTIF('10. PCU'!$M:$M,_xlpm.id))))</f>
        <v>0</v>
      </c>
    </row>
    <row r="2136" spans="1:9">
      <c r="A2136" t="s">
        <v>10262</v>
      </c>
      <c r="B2136" t="s">
        <v>10153</v>
      </c>
      <c r="C2136">
        <v>1828</v>
      </c>
      <c r="D2136">
        <v>1</v>
      </c>
      <c r="E2136" s="23">
        <v>33</v>
      </c>
      <c r="F2136" t="s">
        <v>8102</v>
      </c>
      <c r="G2136" t="s">
        <v>10484</v>
      </c>
      <c r="H2136" t="s">
        <v>8021</v>
      </c>
      <c r="I2136">
        <f>_xlfn.LET(_xlpm.id,TRIM($A2136),IF(_xlpm.id="","",SUM(COUNTIF('1. OP'!$M:$M,_xlpm.id),COUNTIF('2. JSEL'!$M:$M,_xlpm.id),COUNTIF('3. PSM'!$M:$M,_xlpm.id),COUNTIF('4. SSP'!$M:$M,_xlpm.id),COUNTIF('5. JSACI'!$M:$M,_xlpm.id),COUNTIF('6. AIN'!$M:$M,_xlpm.id),COUNTIF('7. MS'!$M:$M,_xlpm.id),COUNTIF('8. DS'!$M:$M,_xlpm.id),COUNTIF('9. RMF'!$M:$M,_xlpm.id),COUNTIF('10. PCU'!$M:$M,_xlpm.id))))</f>
        <v>0</v>
      </c>
    </row>
    <row r="2137" spans="1:9">
      <c r="A2137" t="s">
        <v>10263</v>
      </c>
      <c r="B2137" t="s">
        <v>10153</v>
      </c>
      <c r="C2137">
        <v>1829</v>
      </c>
      <c r="D2137">
        <v>1</v>
      </c>
      <c r="E2137" s="23">
        <v>34</v>
      </c>
      <c r="F2137" t="s">
        <v>8102</v>
      </c>
      <c r="G2137" t="s">
        <v>10484</v>
      </c>
      <c r="H2137" t="s">
        <v>8021</v>
      </c>
      <c r="I2137">
        <f>_xlfn.LET(_xlpm.id,TRIM($A2137),IF(_xlpm.id="","",SUM(COUNTIF('1. OP'!$M:$M,_xlpm.id),COUNTIF('2. JSEL'!$M:$M,_xlpm.id),COUNTIF('3. PSM'!$M:$M,_xlpm.id),COUNTIF('4. SSP'!$M:$M,_xlpm.id),COUNTIF('5. JSACI'!$M:$M,_xlpm.id),COUNTIF('6. AIN'!$M:$M,_xlpm.id),COUNTIF('7. MS'!$M:$M,_xlpm.id),COUNTIF('8. DS'!$M:$M,_xlpm.id),COUNTIF('9. RMF'!$M:$M,_xlpm.id),COUNTIF('10. PCU'!$M:$M,_xlpm.id))))</f>
        <v>0</v>
      </c>
    </row>
    <row r="2138" spans="1:9">
      <c r="A2138" t="s">
        <v>10069</v>
      </c>
      <c r="B2138" t="s">
        <v>10154</v>
      </c>
      <c r="C2138">
        <v>1809</v>
      </c>
      <c r="D2138">
        <v>1</v>
      </c>
      <c r="E2138" s="23">
        <v>1</v>
      </c>
      <c r="F2138" t="s">
        <v>8102</v>
      </c>
      <c r="G2138" t="s">
        <v>10484</v>
      </c>
      <c r="H2138" t="s">
        <v>8021</v>
      </c>
      <c r="I2138">
        <f>_xlfn.LET(_xlpm.id,TRIM($A2138),IF(_xlpm.id="","",SUM(COUNTIF('1. OP'!$M:$M,_xlpm.id),COUNTIF('2. JSEL'!$M:$M,_xlpm.id),COUNTIF('3. PSM'!$M:$M,_xlpm.id),COUNTIF('4. SSP'!$M:$M,_xlpm.id),COUNTIF('5. JSACI'!$M:$M,_xlpm.id),COUNTIF('6. AIN'!$M:$M,_xlpm.id),COUNTIF('7. MS'!$M:$M,_xlpm.id),COUNTIF('8. DS'!$M:$M,_xlpm.id),COUNTIF('9. RMF'!$M:$M,_xlpm.id),COUNTIF('10. PCU'!$M:$M,_xlpm.id))))</f>
        <v>0</v>
      </c>
    </row>
    <row r="2139" spans="1:9">
      <c r="A2139" t="s">
        <v>10070</v>
      </c>
      <c r="B2139" t="s">
        <v>10154</v>
      </c>
      <c r="C2139">
        <v>1810</v>
      </c>
      <c r="D2139">
        <v>1</v>
      </c>
      <c r="E2139" s="23">
        <v>2</v>
      </c>
      <c r="F2139" t="s">
        <v>8102</v>
      </c>
      <c r="G2139" t="s">
        <v>10484</v>
      </c>
      <c r="H2139" t="s">
        <v>8021</v>
      </c>
      <c r="I2139">
        <f>_xlfn.LET(_xlpm.id,TRIM($A2139),IF(_xlpm.id="","",SUM(COUNTIF('1. OP'!$M:$M,_xlpm.id),COUNTIF('2. JSEL'!$M:$M,_xlpm.id),COUNTIF('3. PSM'!$M:$M,_xlpm.id),COUNTIF('4. SSP'!$M:$M,_xlpm.id),COUNTIF('5. JSACI'!$M:$M,_xlpm.id),COUNTIF('6. AIN'!$M:$M,_xlpm.id),COUNTIF('7. MS'!$M:$M,_xlpm.id),COUNTIF('8. DS'!$M:$M,_xlpm.id),COUNTIF('9. RMF'!$M:$M,_xlpm.id),COUNTIF('10. PCU'!$M:$M,_xlpm.id))))</f>
        <v>0</v>
      </c>
    </row>
    <row r="2140" spans="1:9">
      <c r="A2140" t="s">
        <v>10071</v>
      </c>
      <c r="B2140" t="s">
        <v>10154</v>
      </c>
      <c r="C2140">
        <v>1811</v>
      </c>
      <c r="D2140">
        <v>1</v>
      </c>
      <c r="E2140" s="23">
        <v>3</v>
      </c>
      <c r="F2140" t="s">
        <v>8102</v>
      </c>
      <c r="G2140" t="s">
        <v>10484</v>
      </c>
      <c r="H2140" t="s">
        <v>8021</v>
      </c>
      <c r="I2140">
        <f>_xlfn.LET(_xlpm.id,TRIM($A2140),IF(_xlpm.id="","",SUM(COUNTIF('1. OP'!$M:$M,_xlpm.id),COUNTIF('2. JSEL'!$M:$M,_xlpm.id),COUNTIF('3. PSM'!$M:$M,_xlpm.id),COUNTIF('4. SSP'!$M:$M,_xlpm.id),COUNTIF('5. JSACI'!$M:$M,_xlpm.id),COUNTIF('6. AIN'!$M:$M,_xlpm.id),COUNTIF('7. MS'!$M:$M,_xlpm.id),COUNTIF('8. DS'!$M:$M,_xlpm.id),COUNTIF('9. RMF'!$M:$M,_xlpm.id),COUNTIF('10. PCU'!$M:$M,_xlpm.id))))</f>
        <v>0</v>
      </c>
    </row>
    <row r="2141" spans="1:9">
      <c r="A2141" t="s">
        <v>7509</v>
      </c>
      <c r="B2141" t="s">
        <v>10154</v>
      </c>
      <c r="C2141">
        <v>1812</v>
      </c>
      <c r="D2141">
        <v>1</v>
      </c>
      <c r="E2141" s="23">
        <v>4</v>
      </c>
      <c r="F2141" t="s">
        <v>8102</v>
      </c>
      <c r="G2141" t="s">
        <v>10484</v>
      </c>
      <c r="H2141" t="s">
        <v>8021</v>
      </c>
      <c r="I2141">
        <f>_xlfn.LET(_xlpm.id,TRIM($A2141),IF(_xlpm.id="","",SUM(COUNTIF('1. OP'!$M:$M,_xlpm.id),COUNTIF('2. JSEL'!$M:$M,_xlpm.id),COUNTIF('3. PSM'!$M:$M,_xlpm.id),COUNTIF('4. SSP'!$M:$M,_xlpm.id),COUNTIF('5. JSACI'!$M:$M,_xlpm.id),COUNTIF('6. AIN'!$M:$M,_xlpm.id),COUNTIF('7. MS'!$M:$M,_xlpm.id),COUNTIF('8. DS'!$M:$M,_xlpm.id),COUNTIF('9. RMF'!$M:$M,_xlpm.id),COUNTIF('10. PCU'!$M:$M,_xlpm.id))))</f>
        <v>1</v>
      </c>
    </row>
    <row r="2142" spans="1:9">
      <c r="A2142" t="s">
        <v>10072</v>
      </c>
      <c r="B2142" t="s">
        <v>10154</v>
      </c>
      <c r="C2142">
        <v>1813</v>
      </c>
      <c r="D2142">
        <v>1</v>
      </c>
      <c r="E2142" s="23">
        <v>5</v>
      </c>
      <c r="F2142" t="s">
        <v>8102</v>
      </c>
      <c r="G2142" t="s">
        <v>10484</v>
      </c>
      <c r="H2142" t="s">
        <v>8021</v>
      </c>
      <c r="I2142">
        <f>_xlfn.LET(_xlpm.id,TRIM($A2142),IF(_xlpm.id="","",SUM(COUNTIF('1. OP'!$M:$M,_xlpm.id),COUNTIF('2. JSEL'!$M:$M,_xlpm.id),COUNTIF('3. PSM'!$M:$M,_xlpm.id),COUNTIF('4. SSP'!$M:$M,_xlpm.id),COUNTIF('5. JSACI'!$M:$M,_xlpm.id),COUNTIF('6. AIN'!$M:$M,_xlpm.id),COUNTIF('7. MS'!$M:$M,_xlpm.id),COUNTIF('8. DS'!$M:$M,_xlpm.id),COUNTIF('9. RMF'!$M:$M,_xlpm.id),COUNTIF('10. PCU'!$M:$M,_xlpm.id))))</f>
        <v>0</v>
      </c>
    </row>
    <row r="2143" spans="1:9">
      <c r="A2143" t="s">
        <v>10073</v>
      </c>
      <c r="B2143" t="s">
        <v>10154</v>
      </c>
      <c r="C2143">
        <v>1814</v>
      </c>
      <c r="D2143">
        <v>1</v>
      </c>
      <c r="E2143" s="23">
        <v>6</v>
      </c>
      <c r="F2143" t="s">
        <v>8102</v>
      </c>
      <c r="G2143" t="s">
        <v>10484</v>
      </c>
      <c r="H2143" t="s">
        <v>8021</v>
      </c>
      <c r="I2143">
        <f>_xlfn.LET(_xlpm.id,TRIM($A2143),IF(_xlpm.id="","",SUM(COUNTIF('1. OP'!$M:$M,_xlpm.id),COUNTIF('2. JSEL'!$M:$M,_xlpm.id),COUNTIF('3. PSM'!$M:$M,_xlpm.id),COUNTIF('4. SSP'!$M:$M,_xlpm.id),COUNTIF('5. JSACI'!$M:$M,_xlpm.id),COUNTIF('6. AIN'!$M:$M,_xlpm.id),COUNTIF('7. MS'!$M:$M,_xlpm.id),COUNTIF('8. DS'!$M:$M,_xlpm.id),COUNTIF('9. RMF'!$M:$M,_xlpm.id),COUNTIF('10. PCU'!$M:$M,_xlpm.id))))</f>
        <v>0</v>
      </c>
    </row>
    <row r="2144" spans="1:9">
      <c r="A2144" t="s">
        <v>10209</v>
      </c>
      <c r="B2144" t="s">
        <v>10155</v>
      </c>
      <c r="C2144">
        <v>1824</v>
      </c>
      <c r="D2144">
        <v>1</v>
      </c>
      <c r="E2144" s="23">
        <v>1</v>
      </c>
      <c r="F2144" t="s">
        <v>8102</v>
      </c>
      <c r="G2144" t="s">
        <v>10484</v>
      </c>
      <c r="H2144" t="s">
        <v>8021</v>
      </c>
      <c r="I2144">
        <f>_xlfn.LET(_xlpm.id,TRIM($A2144),IF(_xlpm.id="","",SUM(COUNTIF('1. OP'!$M:$M,_xlpm.id),COUNTIF('2. JSEL'!$M:$M,_xlpm.id),COUNTIF('3. PSM'!$M:$M,_xlpm.id),COUNTIF('4. SSP'!$M:$M,_xlpm.id),COUNTIF('5. JSACI'!$M:$M,_xlpm.id),COUNTIF('6. AIN'!$M:$M,_xlpm.id),COUNTIF('7. MS'!$M:$M,_xlpm.id),COUNTIF('8. DS'!$M:$M,_xlpm.id),COUNTIF('9. RMF'!$M:$M,_xlpm.id),COUNTIF('10. PCU'!$M:$M,_xlpm.id))))</f>
        <v>0</v>
      </c>
    </row>
    <row r="2145" spans="1:9">
      <c r="A2145" t="s">
        <v>10152</v>
      </c>
      <c r="B2145" t="s">
        <v>10155</v>
      </c>
      <c r="C2145">
        <v>1824</v>
      </c>
      <c r="D2145">
        <v>1</v>
      </c>
      <c r="E2145" s="23">
        <v>2</v>
      </c>
      <c r="F2145" t="s">
        <v>8102</v>
      </c>
      <c r="G2145" t="s">
        <v>10484</v>
      </c>
      <c r="H2145" t="s">
        <v>8021</v>
      </c>
      <c r="I2145">
        <f>_xlfn.LET(_xlpm.id,TRIM($A2145),IF(_xlpm.id="","",SUM(COUNTIF('1. OP'!$M:$M,_xlpm.id),COUNTIF('2. JSEL'!$M:$M,_xlpm.id),COUNTIF('3. PSM'!$M:$M,_xlpm.id),COUNTIF('4. SSP'!$M:$M,_xlpm.id),COUNTIF('5. JSACI'!$M:$M,_xlpm.id),COUNTIF('6. AIN'!$M:$M,_xlpm.id),COUNTIF('7. MS'!$M:$M,_xlpm.id),COUNTIF('8. DS'!$M:$M,_xlpm.id),COUNTIF('9. RMF'!$M:$M,_xlpm.id),COUNTIF('10. PCU'!$M:$M,_xlpm.id))))</f>
        <v>1</v>
      </c>
    </row>
    <row r="2146" spans="1:9">
      <c r="A2146" t="s">
        <v>10210</v>
      </c>
      <c r="B2146" t="s">
        <v>10155</v>
      </c>
      <c r="C2146">
        <v>1824</v>
      </c>
      <c r="D2146">
        <v>1</v>
      </c>
      <c r="E2146" s="23">
        <v>3</v>
      </c>
      <c r="F2146" t="s">
        <v>8102</v>
      </c>
      <c r="G2146" t="s">
        <v>10484</v>
      </c>
      <c r="H2146" t="s">
        <v>8021</v>
      </c>
      <c r="I2146">
        <f>_xlfn.LET(_xlpm.id,TRIM($A2146),IF(_xlpm.id="","",SUM(COUNTIF('1. OP'!$M:$M,_xlpm.id),COUNTIF('2. JSEL'!$M:$M,_xlpm.id),COUNTIF('3. PSM'!$M:$M,_xlpm.id),COUNTIF('4. SSP'!$M:$M,_xlpm.id),COUNTIF('5. JSACI'!$M:$M,_xlpm.id),COUNTIF('6. AIN'!$M:$M,_xlpm.id),COUNTIF('7. MS'!$M:$M,_xlpm.id),COUNTIF('8. DS'!$M:$M,_xlpm.id),COUNTIF('9. RMF'!$M:$M,_xlpm.id),COUNTIF('10. PCU'!$M:$M,_xlpm.id))))</f>
        <v>0</v>
      </c>
    </row>
    <row r="2147" spans="1:9">
      <c r="A2147" t="s">
        <v>10211</v>
      </c>
      <c r="B2147" t="s">
        <v>10155</v>
      </c>
      <c r="C2147">
        <v>1825</v>
      </c>
      <c r="D2147">
        <v>1</v>
      </c>
      <c r="E2147" s="23">
        <v>4</v>
      </c>
      <c r="F2147" t="s">
        <v>8102</v>
      </c>
      <c r="G2147" t="s">
        <v>10484</v>
      </c>
      <c r="H2147" t="s">
        <v>8021</v>
      </c>
      <c r="I2147">
        <f>_xlfn.LET(_xlpm.id,TRIM($A2147),IF(_xlpm.id="","",SUM(COUNTIF('1. OP'!$M:$M,_xlpm.id),COUNTIF('2. JSEL'!$M:$M,_xlpm.id),COUNTIF('3. PSM'!$M:$M,_xlpm.id),COUNTIF('4. SSP'!$M:$M,_xlpm.id),COUNTIF('5. JSACI'!$M:$M,_xlpm.id),COUNTIF('6. AIN'!$M:$M,_xlpm.id),COUNTIF('7. MS'!$M:$M,_xlpm.id),COUNTIF('8. DS'!$M:$M,_xlpm.id),COUNTIF('9. RMF'!$M:$M,_xlpm.id),COUNTIF('10. PCU'!$M:$M,_xlpm.id))))</f>
        <v>0</v>
      </c>
    </row>
    <row r="2148" spans="1:9">
      <c r="A2148" t="s">
        <v>10212</v>
      </c>
      <c r="B2148" t="s">
        <v>10155</v>
      </c>
      <c r="C2148">
        <v>1825</v>
      </c>
      <c r="D2148">
        <v>1</v>
      </c>
      <c r="E2148" s="23">
        <v>5</v>
      </c>
      <c r="F2148" t="s">
        <v>8102</v>
      </c>
      <c r="G2148" t="s">
        <v>10484</v>
      </c>
      <c r="H2148" t="s">
        <v>8021</v>
      </c>
      <c r="I2148">
        <f>_xlfn.LET(_xlpm.id,TRIM($A2148),IF(_xlpm.id="","",SUM(COUNTIF('1. OP'!$M:$M,_xlpm.id),COUNTIF('2. JSEL'!$M:$M,_xlpm.id),COUNTIF('3. PSM'!$M:$M,_xlpm.id),COUNTIF('4. SSP'!$M:$M,_xlpm.id),COUNTIF('5. JSACI'!$M:$M,_xlpm.id),COUNTIF('6. AIN'!$M:$M,_xlpm.id),COUNTIF('7. MS'!$M:$M,_xlpm.id),COUNTIF('8. DS'!$M:$M,_xlpm.id),COUNTIF('9. RMF'!$M:$M,_xlpm.id),COUNTIF('10. PCU'!$M:$M,_xlpm.id))))</f>
        <v>0</v>
      </c>
    </row>
    <row r="2149" spans="1:9">
      <c r="A2149" t="s">
        <v>10213</v>
      </c>
      <c r="B2149" t="s">
        <v>10155</v>
      </c>
      <c r="C2149">
        <v>1825</v>
      </c>
      <c r="D2149">
        <v>1</v>
      </c>
      <c r="E2149" s="23">
        <v>6</v>
      </c>
      <c r="F2149" t="s">
        <v>8102</v>
      </c>
      <c r="G2149" t="s">
        <v>10484</v>
      </c>
      <c r="H2149" t="s">
        <v>8021</v>
      </c>
      <c r="I2149">
        <f>_xlfn.LET(_xlpm.id,TRIM($A2149),IF(_xlpm.id="","",SUM(COUNTIF('1. OP'!$M:$M,_xlpm.id),COUNTIF('2. JSEL'!$M:$M,_xlpm.id),COUNTIF('3. PSM'!$M:$M,_xlpm.id),COUNTIF('4. SSP'!$M:$M,_xlpm.id),COUNTIF('5. JSACI'!$M:$M,_xlpm.id),COUNTIF('6. AIN'!$M:$M,_xlpm.id),COUNTIF('7. MS'!$M:$M,_xlpm.id),COUNTIF('8. DS'!$M:$M,_xlpm.id),COUNTIF('9. RMF'!$M:$M,_xlpm.id),COUNTIF('10. PCU'!$M:$M,_xlpm.id))))</f>
        <v>0</v>
      </c>
    </row>
    <row r="2150" spans="1:9">
      <c r="A2150" t="s">
        <v>10214</v>
      </c>
      <c r="B2150" t="s">
        <v>10155</v>
      </c>
      <c r="C2150">
        <v>1825</v>
      </c>
      <c r="D2150">
        <v>1</v>
      </c>
      <c r="E2150" s="23">
        <v>7</v>
      </c>
      <c r="F2150" t="s">
        <v>8102</v>
      </c>
      <c r="G2150" t="s">
        <v>10484</v>
      </c>
      <c r="H2150" t="s">
        <v>8021</v>
      </c>
      <c r="I2150">
        <f>_xlfn.LET(_xlpm.id,TRIM($A2150),IF(_xlpm.id="","",SUM(COUNTIF('1. OP'!$M:$M,_xlpm.id),COUNTIF('2. JSEL'!$M:$M,_xlpm.id),COUNTIF('3. PSM'!$M:$M,_xlpm.id),COUNTIF('4. SSP'!$M:$M,_xlpm.id),COUNTIF('5. JSACI'!$M:$M,_xlpm.id),COUNTIF('6. AIN'!$M:$M,_xlpm.id),COUNTIF('7. MS'!$M:$M,_xlpm.id),COUNTIF('8. DS'!$M:$M,_xlpm.id),COUNTIF('9. RMF'!$M:$M,_xlpm.id),COUNTIF('10. PCU'!$M:$M,_xlpm.id))))</f>
        <v>0</v>
      </c>
    </row>
    <row r="2151" spans="1:9">
      <c r="A2151" t="s">
        <v>10215</v>
      </c>
      <c r="B2151" t="s">
        <v>10155</v>
      </c>
      <c r="C2151">
        <v>1826</v>
      </c>
      <c r="D2151">
        <v>1</v>
      </c>
      <c r="E2151" s="23">
        <v>8</v>
      </c>
      <c r="F2151" t="s">
        <v>8102</v>
      </c>
      <c r="G2151" t="s">
        <v>10484</v>
      </c>
      <c r="H2151" t="s">
        <v>8021</v>
      </c>
      <c r="I2151">
        <f>_xlfn.LET(_xlpm.id,TRIM($A2151),IF(_xlpm.id="","",SUM(COUNTIF('1. OP'!$M:$M,_xlpm.id),COUNTIF('2. JSEL'!$M:$M,_xlpm.id),COUNTIF('3. PSM'!$M:$M,_xlpm.id),COUNTIF('4. SSP'!$M:$M,_xlpm.id),COUNTIF('5. JSACI'!$M:$M,_xlpm.id),COUNTIF('6. AIN'!$M:$M,_xlpm.id),COUNTIF('7. MS'!$M:$M,_xlpm.id),COUNTIF('8. DS'!$M:$M,_xlpm.id),COUNTIF('9. RMF'!$M:$M,_xlpm.id),COUNTIF('10. PCU'!$M:$M,_xlpm.id))))</f>
        <v>0</v>
      </c>
    </row>
    <row r="2152" spans="1:9">
      <c r="A2152" t="s">
        <v>10216</v>
      </c>
      <c r="B2152" t="s">
        <v>10155</v>
      </c>
      <c r="C2152">
        <v>1826</v>
      </c>
      <c r="D2152">
        <v>1</v>
      </c>
      <c r="E2152" s="23">
        <v>9</v>
      </c>
      <c r="F2152" t="s">
        <v>8102</v>
      </c>
      <c r="G2152" t="s">
        <v>10484</v>
      </c>
      <c r="H2152" t="s">
        <v>8021</v>
      </c>
      <c r="I2152">
        <f>_xlfn.LET(_xlpm.id,TRIM($A2152),IF(_xlpm.id="","",SUM(COUNTIF('1. OP'!$M:$M,_xlpm.id),COUNTIF('2. JSEL'!$M:$M,_xlpm.id),COUNTIF('3. PSM'!$M:$M,_xlpm.id),COUNTIF('4. SSP'!$M:$M,_xlpm.id),COUNTIF('5. JSACI'!$M:$M,_xlpm.id),COUNTIF('6. AIN'!$M:$M,_xlpm.id),COUNTIF('7. MS'!$M:$M,_xlpm.id),COUNTIF('8. DS'!$M:$M,_xlpm.id),COUNTIF('9. RMF'!$M:$M,_xlpm.id),COUNTIF('10. PCU'!$M:$M,_xlpm.id))))</f>
        <v>0</v>
      </c>
    </row>
    <row r="2153" spans="1:9">
      <c r="A2153" t="s">
        <v>10217</v>
      </c>
      <c r="B2153" t="s">
        <v>10155</v>
      </c>
      <c r="C2153">
        <v>1827</v>
      </c>
      <c r="D2153">
        <v>1</v>
      </c>
      <c r="E2153" s="23">
        <v>11</v>
      </c>
      <c r="F2153" t="s">
        <v>8102</v>
      </c>
      <c r="G2153" t="s">
        <v>10484</v>
      </c>
      <c r="H2153" t="s">
        <v>8021</v>
      </c>
      <c r="I2153">
        <f>_xlfn.LET(_xlpm.id,TRIM($A2153),IF(_xlpm.id="","",SUM(COUNTIF('1. OP'!$M:$M,_xlpm.id),COUNTIF('2. JSEL'!$M:$M,_xlpm.id),COUNTIF('3. PSM'!$M:$M,_xlpm.id),COUNTIF('4. SSP'!$M:$M,_xlpm.id),COUNTIF('5. JSACI'!$M:$M,_xlpm.id),COUNTIF('6. AIN'!$M:$M,_xlpm.id),COUNTIF('7. MS'!$M:$M,_xlpm.id),COUNTIF('8. DS'!$M:$M,_xlpm.id),COUNTIF('9. RMF'!$M:$M,_xlpm.id),COUNTIF('10. PCU'!$M:$M,_xlpm.id))))</f>
        <v>0</v>
      </c>
    </row>
    <row r="2154" spans="1:9">
      <c r="A2154" t="s">
        <v>10218</v>
      </c>
      <c r="B2154" t="s">
        <v>10155</v>
      </c>
      <c r="C2154">
        <v>1827</v>
      </c>
      <c r="D2154">
        <v>1</v>
      </c>
      <c r="E2154" s="23">
        <v>12</v>
      </c>
      <c r="F2154" t="s">
        <v>8102</v>
      </c>
      <c r="G2154" t="s">
        <v>10484</v>
      </c>
      <c r="H2154" t="s">
        <v>8021</v>
      </c>
      <c r="I2154">
        <f>_xlfn.LET(_xlpm.id,TRIM($A2154),IF(_xlpm.id="","",SUM(COUNTIF('1. OP'!$M:$M,_xlpm.id),COUNTIF('2. JSEL'!$M:$M,_xlpm.id),COUNTIF('3. PSM'!$M:$M,_xlpm.id),COUNTIF('4. SSP'!$M:$M,_xlpm.id),COUNTIF('5. JSACI'!$M:$M,_xlpm.id),COUNTIF('6. AIN'!$M:$M,_xlpm.id),COUNTIF('7. MS'!$M:$M,_xlpm.id),COUNTIF('8. DS'!$M:$M,_xlpm.id),COUNTIF('9. RMF'!$M:$M,_xlpm.id),COUNTIF('10. PCU'!$M:$M,_xlpm.id))))</f>
        <v>0</v>
      </c>
    </row>
    <row r="2155" spans="1:9">
      <c r="A2155" t="s">
        <v>10219</v>
      </c>
      <c r="B2155" t="s">
        <v>10155</v>
      </c>
      <c r="C2155">
        <v>1828</v>
      </c>
      <c r="D2155">
        <v>1</v>
      </c>
      <c r="E2155" s="23">
        <v>10</v>
      </c>
      <c r="F2155" t="s">
        <v>8102</v>
      </c>
      <c r="G2155" t="s">
        <v>10484</v>
      </c>
      <c r="H2155" t="s">
        <v>8021</v>
      </c>
      <c r="I2155">
        <f>_xlfn.LET(_xlpm.id,TRIM($A2155),IF(_xlpm.id="","",SUM(COUNTIF('1. OP'!$M:$M,_xlpm.id),COUNTIF('2. JSEL'!$M:$M,_xlpm.id),COUNTIF('3. PSM'!$M:$M,_xlpm.id),COUNTIF('4. SSP'!$M:$M,_xlpm.id),COUNTIF('5. JSACI'!$M:$M,_xlpm.id),COUNTIF('6. AIN'!$M:$M,_xlpm.id),COUNTIF('7. MS'!$M:$M,_xlpm.id),COUNTIF('8. DS'!$M:$M,_xlpm.id),COUNTIF('9. RMF'!$M:$M,_xlpm.id),COUNTIF('10. PCU'!$M:$M,_xlpm.id))))</f>
        <v>0</v>
      </c>
    </row>
    <row r="2156" spans="1:9">
      <c r="A2156" t="s">
        <v>10220</v>
      </c>
      <c r="B2156" t="s">
        <v>10155</v>
      </c>
      <c r="C2156">
        <v>1828</v>
      </c>
      <c r="D2156">
        <v>1</v>
      </c>
      <c r="E2156" s="23">
        <v>14</v>
      </c>
      <c r="F2156" t="s">
        <v>8102</v>
      </c>
      <c r="G2156" t="s">
        <v>10484</v>
      </c>
      <c r="H2156" t="s">
        <v>8021</v>
      </c>
      <c r="I2156">
        <f>_xlfn.LET(_xlpm.id,TRIM($A2156),IF(_xlpm.id="","",SUM(COUNTIF('1. OP'!$M:$M,_xlpm.id),COUNTIF('2. JSEL'!$M:$M,_xlpm.id),COUNTIF('3. PSM'!$M:$M,_xlpm.id),COUNTIF('4. SSP'!$M:$M,_xlpm.id),COUNTIF('5. JSACI'!$M:$M,_xlpm.id),COUNTIF('6. AIN'!$M:$M,_xlpm.id),COUNTIF('7. MS'!$M:$M,_xlpm.id),COUNTIF('8. DS'!$M:$M,_xlpm.id),COUNTIF('9. RMF'!$M:$M,_xlpm.id),COUNTIF('10. PCU'!$M:$M,_xlpm.id))))</f>
        <v>0</v>
      </c>
    </row>
    <row r="2157" spans="1:9">
      <c r="A2157" t="s">
        <v>10221</v>
      </c>
      <c r="B2157" t="s">
        <v>10155</v>
      </c>
      <c r="C2157">
        <v>1828</v>
      </c>
      <c r="D2157">
        <v>1</v>
      </c>
      <c r="E2157" s="23">
        <v>15</v>
      </c>
      <c r="F2157" t="s">
        <v>8102</v>
      </c>
      <c r="G2157" t="s">
        <v>10484</v>
      </c>
      <c r="H2157" t="s">
        <v>8021</v>
      </c>
      <c r="I2157">
        <f>_xlfn.LET(_xlpm.id,TRIM($A2157),IF(_xlpm.id="","",SUM(COUNTIF('1. OP'!$M:$M,_xlpm.id),COUNTIF('2. JSEL'!$M:$M,_xlpm.id),COUNTIF('3. PSM'!$M:$M,_xlpm.id),COUNTIF('4. SSP'!$M:$M,_xlpm.id),COUNTIF('5. JSACI'!$M:$M,_xlpm.id),COUNTIF('6. AIN'!$M:$M,_xlpm.id),COUNTIF('7. MS'!$M:$M,_xlpm.id),COUNTIF('8. DS'!$M:$M,_xlpm.id),COUNTIF('9. RMF'!$M:$M,_xlpm.id),COUNTIF('10. PCU'!$M:$M,_xlpm.id))))</f>
        <v>0</v>
      </c>
    </row>
    <row r="2158" spans="1:9">
      <c r="A2158" t="s">
        <v>10222</v>
      </c>
      <c r="B2158" t="s">
        <v>10155</v>
      </c>
      <c r="C2158">
        <v>1829</v>
      </c>
      <c r="D2158">
        <v>1</v>
      </c>
      <c r="E2158" s="23">
        <v>16</v>
      </c>
      <c r="F2158" t="s">
        <v>8102</v>
      </c>
      <c r="G2158" t="s">
        <v>10484</v>
      </c>
      <c r="H2158" t="s">
        <v>8021</v>
      </c>
      <c r="I2158">
        <f>_xlfn.LET(_xlpm.id,TRIM($A2158),IF(_xlpm.id="","",SUM(COUNTIF('1. OP'!$M:$M,_xlpm.id),COUNTIF('2. JSEL'!$M:$M,_xlpm.id),COUNTIF('3. PSM'!$M:$M,_xlpm.id),COUNTIF('4. SSP'!$M:$M,_xlpm.id),COUNTIF('5. JSACI'!$M:$M,_xlpm.id),COUNTIF('6. AIN'!$M:$M,_xlpm.id),COUNTIF('7. MS'!$M:$M,_xlpm.id),COUNTIF('8. DS'!$M:$M,_xlpm.id),COUNTIF('9. RMF'!$M:$M,_xlpm.id),COUNTIF('10. PCU'!$M:$M,_xlpm.id))))</f>
        <v>0</v>
      </c>
    </row>
    <row r="2159" spans="1:9">
      <c r="A2159" t="s">
        <v>10223</v>
      </c>
      <c r="B2159" t="s">
        <v>10155</v>
      </c>
      <c r="C2159">
        <v>1829</v>
      </c>
      <c r="D2159">
        <v>1</v>
      </c>
      <c r="E2159" s="23">
        <v>17</v>
      </c>
      <c r="F2159" t="s">
        <v>8102</v>
      </c>
      <c r="G2159" t="s">
        <v>10484</v>
      </c>
      <c r="H2159" t="s">
        <v>8021</v>
      </c>
      <c r="I2159">
        <f>_xlfn.LET(_xlpm.id,TRIM($A2159),IF(_xlpm.id="","",SUM(COUNTIF('1. OP'!$M:$M,_xlpm.id),COUNTIF('2. JSEL'!$M:$M,_xlpm.id),COUNTIF('3. PSM'!$M:$M,_xlpm.id),COUNTIF('4. SSP'!$M:$M,_xlpm.id),COUNTIF('5. JSACI'!$M:$M,_xlpm.id),COUNTIF('6. AIN'!$M:$M,_xlpm.id),COUNTIF('7. MS'!$M:$M,_xlpm.id),COUNTIF('8. DS'!$M:$M,_xlpm.id),COUNTIF('9. RMF'!$M:$M,_xlpm.id),COUNTIF('10. PCU'!$M:$M,_xlpm.id))))</f>
        <v>0</v>
      </c>
    </row>
    <row r="2160" spans="1:9">
      <c r="A2160" t="s">
        <v>10224</v>
      </c>
      <c r="B2160" t="s">
        <v>10155</v>
      </c>
      <c r="C2160">
        <v>1829</v>
      </c>
      <c r="D2160">
        <v>1</v>
      </c>
      <c r="E2160" s="23">
        <v>18</v>
      </c>
      <c r="F2160" t="s">
        <v>8102</v>
      </c>
      <c r="G2160" t="s">
        <v>10484</v>
      </c>
      <c r="H2160" t="s">
        <v>8021</v>
      </c>
      <c r="I2160">
        <f>_xlfn.LET(_xlpm.id,TRIM($A2160),IF(_xlpm.id="","",SUM(COUNTIF('1. OP'!$M:$M,_xlpm.id),COUNTIF('2. JSEL'!$M:$M,_xlpm.id),COUNTIF('3. PSM'!$M:$M,_xlpm.id),COUNTIF('4. SSP'!$M:$M,_xlpm.id),COUNTIF('5. JSACI'!$M:$M,_xlpm.id),COUNTIF('6. AIN'!$M:$M,_xlpm.id),COUNTIF('7. MS'!$M:$M,_xlpm.id),COUNTIF('8. DS'!$M:$M,_xlpm.id),COUNTIF('9. RMF'!$M:$M,_xlpm.id),COUNTIF('10. PCU'!$M:$M,_xlpm.id))))</f>
        <v>0</v>
      </c>
    </row>
    <row r="2161" spans="1:9">
      <c r="A2161" t="s">
        <v>10225</v>
      </c>
      <c r="B2161" t="s">
        <v>10155</v>
      </c>
      <c r="C2161">
        <v>1829</v>
      </c>
      <c r="D2161">
        <v>1</v>
      </c>
      <c r="E2161" s="23">
        <v>19</v>
      </c>
      <c r="F2161" t="s">
        <v>8102</v>
      </c>
      <c r="G2161" t="s">
        <v>10484</v>
      </c>
      <c r="H2161" t="s">
        <v>8021</v>
      </c>
      <c r="I2161">
        <f>_xlfn.LET(_xlpm.id,TRIM($A2161),IF(_xlpm.id="","",SUM(COUNTIF('1. OP'!$M:$M,_xlpm.id),COUNTIF('2. JSEL'!$M:$M,_xlpm.id),COUNTIF('3. PSM'!$M:$M,_xlpm.id),COUNTIF('4. SSP'!$M:$M,_xlpm.id),COUNTIF('5. JSACI'!$M:$M,_xlpm.id),COUNTIF('6. AIN'!$M:$M,_xlpm.id),COUNTIF('7. MS'!$M:$M,_xlpm.id),COUNTIF('8. DS'!$M:$M,_xlpm.id),COUNTIF('9. RMF'!$M:$M,_xlpm.id),COUNTIF('10. PCU'!$M:$M,_xlpm.id))))</f>
        <v>0</v>
      </c>
    </row>
    <row r="2162" spans="1:9">
      <c r="A2162" t="s">
        <v>10226</v>
      </c>
      <c r="B2162" t="s">
        <v>10155</v>
      </c>
      <c r="C2162">
        <v>1830</v>
      </c>
      <c r="D2162">
        <v>1</v>
      </c>
      <c r="E2162" s="23">
        <v>13</v>
      </c>
      <c r="F2162" t="s">
        <v>8102</v>
      </c>
      <c r="G2162" t="s">
        <v>10484</v>
      </c>
      <c r="H2162" t="s">
        <v>8021</v>
      </c>
      <c r="I2162">
        <f>_xlfn.LET(_xlpm.id,TRIM($A2162),IF(_xlpm.id="","",SUM(COUNTIF('1. OP'!$M:$M,_xlpm.id),COUNTIF('2. JSEL'!$M:$M,_xlpm.id),COUNTIF('3. PSM'!$M:$M,_xlpm.id),COUNTIF('4. SSP'!$M:$M,_xlpm.id),COUNTIF('5. JSACI'!$M:$M,_xlpm.id),COUNTIF('6. AIN'!$M:$M,_xlpm.id),COUNTIF('7. MS'!$M:$M,_xlpm.id),COUNTIF('8. DS'!$M:$M,_xlpm.id),COUNTIF('9. RMF'!$M:$M,_xlpm.id),COUNTIF('10. PCU'!$M:$M,_xlpm.id))))</f>
        <v>0</v>
      </c>
    </row>
    <row r="2163" spans="1:9">
      <c r="A2163" t="s">
        <v>10227</v>
      </c>
      <c r="B2163" t="s">
        <v>10155</v>
      </c>
      <c r="C2163">
        <v>1830</v>
      </c>
      <c r="D2163">
        <v>1</v>
      </c>
      <c r="E2163" s="23">
        <v>20</v>
      </c>
      <c r="F2163" t="s">
        <v>8102</v>
      </c>
      <c r="G2163" t="s">
        <v>10484</v>
      </c>
      <c r="H2163" t="s">
        <v>8021</v>
      </c>
      <c r="I2163">
        <f>_xlfn.LET(_xlpm.id,TRIM($A2163),IF(_xlpm.id="","",SUM(COUNTIF('1. OP'!$M:$M,_xlpm.id),COUNTIF('2. JSEL'!$M:$M,_xlpm.id),COUNTIF('3. PSM'!$M:$M,_xlpm.id),COUNTIF('4. SSP'!$M:$M,_xlpm.id),COUNTIF('5. JSACI'!$M:$M,_xlpm.id),COUNTIF('6. AIN'!$M:$M,_xlpm.id),COUNTIF('7. MS'!$M:$M,_xlpm.id),COUNTIF('8. DS'!$M:$M,_xlpm.id),COUNTIF('9. RMF'!$M:$M,_xlpm.id),COUNTIF('10. PCU'!$M:$M,_xlpm.id))))</f>
        <v>0</v>
      </c>
    </row>
    <row r="2164" spans="1:9">
      <c r="A2164" t="s">
        <v>10228</v>
      </c>
      <c r="B2164" t="s">
        <v>10155</v>
      </c>
      <c r="C2164">
        <v>1830</v>
      </c>
      <c r="D2164">
        <v>1</v>
      </c>
      <c r="E2164" s="23">
        <v>21</v>
      </c>
      <c r="F2164" t="s">
        <v>8102</v>
      </c>
      <c r="G2164" t="s">
        <v>10484</v>
      </c>
      <c r="H2164" t="s">
        <v>8021</v>
      </c>
      <c r="I2164">
        <f>_xlfn.LET(_xlpm.id,TRIM($A2164),IF(_xlpm.id="","",SUM(COUNTIF('1. OP'!$M:$M,_xlpm.id),COUNTIF('2. JSEL'!$M:$M,_xlpm.id),COUNTIF('3. PSM'!$M:$M,_xlpm.id),COUNTIF('4. SSP'!$M:$M,_xlpm.id),COUNTIF('5. JSACI'!$M:$M,_xlpm.id),COUNTIF('6. AIN'!$M:$M,_xlpm.id),COUNTIF('7. MS'!$M:$M,_xlpm.id),COUNTIF('8. DS'!$M:$M,_xlpm.id),COUNTIF('9. RMF'!$M:$M,_xlpm.id),COUNTIF('10. PCU'!$M:$M,_xlpm.id))))</f>
        <v>0</v>
      </c>
    </row>
    <row r="2165" spans="1:9">
      <c r="A2165" t="s">
        <v>10229</v>
      </c>
      <c r="B2165" t="s">
        <v>10155</v>
      </c>
      <c r="C2165">
        <v>1830</v>
      </c>
      <c r="D2165">
        <v>1</v>
      </c>
      <c r="E2165" s="23">
        <v>22</v>
      </c>
      <c r="F2165" t="s">
        <v>8102</v>
      </c>
      <c r="G2165" t="s">
        <v>10484</v>
      </c>
      <c r="H2165" t="s">
        <v>8021</v>
      </c>
      <c r="I2165">
        <f>_xlfn.LET(_xlpm.id,TRIM($A2165),IF(_xlpm.id="","",SUM(COUNTIF('1. OP'!$M:$M,_xlpm.id),COUNTIF('2. JSEL'!$M:$M,_xlpm.id),COUNTIF('3. PSM'!$M:$M,_xlpm.id),COUNTIF('4. SSP'!$M:$M,_xlpm.id),COUNTIF('5. JSACI'!$M:$M,_xlpm.id),COUNTIF('6. AIN'!$M:$M,_xlpm.id),COUNTIF('7. MS'!$M:$M,_xlpm.id),COUNTIF('8. DS'!$M:$M,_xlpm.id),COUNTIF('9. RMF'!$M:$M,_xlpm.id),COUNTIF('10. PCU'!$M:$M,_xlpm.id))))</f>
        <v>0</v>
      </c>
    </row>
    <row r="2166" spans="1:9">
      <c r="A2166" t="s">
        <v>10230</v>
      </c>
      <c r="B2166" t="s">
        <v>10155</v>
      </c>
      <c r="C2166">
        <v>1830</v>
      </c>
      <c r="D2166">
        <v>1</v>
      </c>
      <c r="E2166" s="23">
        <v>23</v>
      </c>
      <c r="F2166" t="s">
        <v>8102</v>
      </c>
      <c r="G2166" t="s">
        <v>10484</v>
      </c>
      <c r="H2166" t="s">
        <v>8021</v>
      </c>
      <c r="I2166">
        <f>_xlfn.LET(_xlpm.id,TRIM($A2166),IF(_xlpm.id="","",SUM(COUNTIF('1. OP'!$M:$M,_xlpm.id),COUNTIF('2. JSEL'!$M:$M,_xlpm.id),COUNTIF('3. PSM'!$M:$M,_xlpm.id),COUNTIF('4. SSP'!$M:$M,_xlpm.id),COUNTIF('5. JSACI'!$M:$M,_xlpm.id),COUNTIF('6. AIN'!$M:$M,_xlpm.id),COUNTIF('7. MS'!$M:$M,_xlpm.id),COUNTIF('8. DS'!$M:$M,_xlpm.id),COUNTIF('9. RMF'!$M:$M,_xlpm.id),COUNTIF('10. PCU'!$M:$M,_xlpm.id))))</f>
        <v>0</v>
      </c>
    </row>
    <row r="2167" spans="1:9">
      <c r="A2167" t="s">
        <v>10231</v>
      </c>
      <c r="B2167" t="s">
        <v>10155</v>
      </c>
      <c r="C2167">
        <v>1831</v>
      </c>
      <c r="D2167">
        <v>1</v>
      </c>
      <c r="E2167" s="23">
        <v>24</v>
      </c>
      <c r="F2167" t="s">
        <v>8102</v>
      </c>
      <c r="G2167" t="s">
        <v>10484</v>
      </c>
      <c r="H2167" t="s">
        <v>8021</v>
      </c>
      <c r="I2167">
        <f>_xlfn.LET(_xlpm.id,TRIM($A2167),IF(_xlpm.id="","",SUM(COUNTIF('1. OP'!$M:$M,_xlpm.id),COUNTIF('2. JSEL'!$M:$M,_xlpm.id),COUNTIF('3. PSM'!$M:$M,_xlpm.id),COUNTIF('4. SSP'!$M:$M,_xlpm.id),COUNTIF('5. JSACI'!$M:$M,_xlpm.id),COUNTIF('6. AIN'!$M:$M,_xlpm.id),COUNTIF('7. MS'!$M:$M,_xlpm.id),COUNTIF('8. DS'!$M:$M,_xlpm.id),COUNTIF('9. RMF'!$M:$M,_xlpm.id),COUNTIF('10. PCU'!$M:$M,_xlpm.id))))</f>
        <v>0</v>
      </c>
    </row>
    <row r="2168" spans="1:9">
      <c r="A2168" t="s">
        <v>10232</v>
      </c>
      <c r="B2168" t="s">
        <v>10155</v>
      </c>
      <c r="C2168">
        <v>1831</v>
      </c>
      <c r="D2168">
        <v>1</v>
      </c>
      <c r="E2168" s="23">
        <v>25</v>
      </c>
      <c r="F2168" t="s">
        <v>8102</v>
      </c>
      <c r="G2168" t="s">
        <v>10484</v>
      </c>
      <c r="H2168" t="s">
        <v>8021</v>
      </c>
      <c r="I2168">
        <f>_xlfn.LET(_xlpm.id,TRIM($A2168),IF(_xlpm.id="","",SUM(COUNTIF('1. OP'!$M:$M,_xlpm.id),COUNTIF('2. JSEL'!$M:$M,_xlpm.id),COUNTIF('3. PSM'!$M:$M,_xlpm.id),COUNTIF('4. SSP'!$M:$M,_xlpm.id),COUNTIF('5. JSACI'!$M:$M,_xlpm.id),COUNTIF('6. AIN'!$M:$M,_xlpm.id),COUNTIF('7. MS'!$M:$M,_xlpm.id),COUNTIF('8. DS'!$M:$M,_xlpm.id),COUNTIF('9. RMF'!$M:$M,_xlpm.id),COUNTIF('10. PCU'!$M:$M,_xlpm.id))))</f>
        <v>0</v>
      </c>
    </row>
    <row r="2169" spans="1:9">
      <c r="A2169" t="s">
        <v>10233</v>
      </c>
      <c r="B2169" t="s">
        <v>10155</v>
      </c>
      <c r="C2169">
        <v>1831</v>
      </c>
      <c r="D2169">
        <v>1</v>
      </c>
      <c r="E2169" s="23">
        <v>26</v>
      </c>
      <c r="F2169" t="s">
        <v>8102</v>
      </c>
      <c r="G2169" t="s">
        <v>10484</v>
      </c>
      <c r="H2169" t="s">
        <v>8021</v>
      </c>
      <c r="I2169">
        <f>_xlfn.LET(_xlpm.id,TRIM($A2169),IF(_xlpm.id="","",SUM(COUNTIF('1. OP'!$M:$M,_xlpm.id),COUNTIF('2. JSEL'!$M:$M,_xlpm.id),COUNTIF('3. PSM'!$M:$M,_xlpm.id),COUNTIF('4. SSP'!$M:$M,_xlpm.id),COUNTIF('5. JSACI'!$M:$M,_xlpm.id),COUNTIF('6. AIN'!$M:$M,_xlpm.id),COUNTIF('7. MS'!$M:$M,_xlpm.id),COUNTIF('8. DS'!$M:$M,_xlpm.id),COUNTIF('9. RMF'!$M:$M,_xlpm.id),COUNTIF('10. PCU'!$M:$M,_xlpm.id))))</f>
        <v>0</v>
      </c>
    </row>
    <row r="2170" spans="1:9">
      <c r="A2170" t="s">
        <v>10234</v>
      </c>
      <c r="B2170" t="s">
        <v>10155</v>
      </c>
      <c r="C2170">
        <v>1831</v>
      </c>
      <c r="D2170">
        <v>1</v>
      </c>
      <c r="E2170" s="23">
        <v>27</v>
      </c>
      <c r="F2170" t="s">
        <v>8102</v>
      </c>
      <c r="G2170" t="s">
        <v>10484</v>
      </c>
      <c r="H2170" t="s">
        <v>8021</v>
      </c>
      <c r="I2170">
        <f>_xlfn.LET(_xlpm.id,TRIM($A2170),IF(_xlpm.id="","",SUM(COUNTIF('1. OP'!$M:$M,_xlpm.id),COUNTIF('2. JSEL'!$M:$M,_xlpm.id),COUNTIF('3. PSM'!$M:$M,_xlpm.id),COUNTIF('4. SSP'!$M:$M,_xlpm.id),COUNTIF('5. JSACI'!$M:$M,_xlpm.id),COUNTIF('6. AIN'!$M:$M,_xlpm.id),COUNTIF('7. MS'!$M:$M,_xlpm.id),COUNTIF('8. DS'!$M:$M,_xlpm.id),COUNTIF('9. RMF'!$M:$M,_xlpm.id),COUNTIF('10. PCU'!$M:$M,_xlpm.id))))</f>
        <v>0</v>
      </c>
    </row>
    <row r="2171" spans="1:9">
      <c r="A2171" t="s">
        <v>10182</v>
      </c>
      <c r="B2171" t="s">
        <v>10180</v>
      </c>
      <c r="C2171">
        <v>1824</v>
      </c>
      <c r="D2171">
        <v>1</v>
      </c>
      <c r="E2171" s="23">
        <v>2</v>
      </c>
      <c r="F2171" t="s">
        <v>8187</v>
      </c>
      <c r="G2171" t="s">
        <v>10502</v>
      </c>
      <c r="H2171" t="s">
        <v>8034</v>
      </c>
      <c r="I2171">
        <f>_xlfn.LET(_xlpm.id,TRIM($A2171),IF(_xlpm.id="","",SUM(COUNTIF('1. OP'!$M:$M,_xlpm.id),COUNTIF('2. JSEL'!$M:$M,_xlpm.id),COUNTIF('3. PSM'!$M:$M,_xlpm.id),COUNTIF('4. SSP'!$M:$M,_xlpm.id),COUNTIF('5. JSACI'!$M:$M,_xlpm.id),COUNTIF('6. AIN'!$M:$M,_xlpm.id),COUNTIF('7. MS'!$M:$M,_xlpm.id),COUNTIF('8. DS'!$M:$M,_xlpm.id),COUNTIF('9. RMF'!$M:$M,_xlpm.id),COUNTIF('10. PCU'!$M:$M,_xlpm.id))))</f>
        <v>0</v>
      </c>
    </row>
    <row r="2172" spans="1:9">
      <c r="A2172" t="s">
        <v>10183</v>
      </c>
      <c r="B2172" t="s">
        <v>10180</v>
      </c>
      <c r="C2172">
        <v>1825</v>
      </c>
      <c r="D2172">
        <v>1</v>
      </c>
      <c r="E2172" s="23">
        <v>4</v>
      </c>
      <c r="F2172" t="s">
        <v>8187</v>
      </c>
      <c r="G2172" t="s">
        <v>10502</v>
      </c>
      <c r="H2172" t="s">
        <v>8034</v>
      </c>
      <c r="I2172">
        <f>_xlfn.LET(_xlpm.id,TRIM($A2172),IF(_xlpm.id="","",SUM(COUNTIF('1. OP'!$M:$M,_xlpm.id),COUNTIF('2. JSEL'!$M:$M,_xlpm.id),COUNTIF('3. PSM'!$M:$M,_xlpm.id),COUNTIF('4. SSP'!$M:$M,_xlpm.id),COUNTIF('5. JSACI'!$M:$M,_xlpm.id),COUNTIF('6. AIN'!$M:$M,_xlpm.id),COUNTIF('7. MS'!$M:$M,_xlpm.id),COUNTIF('8. DS'!$M:$M,_xlpm.id),COUNTIF('9. RMF'!$M:$M,_xlpm.id),COUNTIF('10. PCU'!$M:$M,_xlpm.id))))</f>
        <v>0</v>
      </c>
    </row>
    <row r="2173" spans="1:9">
      <c r="A2173" t="s">
        <v>10184</v>
      </c>
      <c r="B2173" t="s">
        <v>10180</v>
      </c>
      <c r="C2173">
        <v>1826</v>
      </c>
      <c r="D2173">
        <v>1</v>
      </c>
      <c r="E2173" s="23">
        <v>5</v>
      </c>
      <c r="F2173" t="s">
        <v>8187</v>
      </c>
      <c r="G2173" t="s">
        <v>10502</v>
      </c>
      <c r="H2173" t="s">
        <v>8034</v>
      </c>
      <c r="I2173">
        <f>_xlfn.LET(_xlpm.id,TRIM($A2173),IF(_xlpm.id="","",SUM(COUNTIF('1. OP'!$M:$M,_xlpm.id),COUNTIF('2. JSEL'!$M:$M,_xlpm.id),COUNTIF('3. PSM'!$M:$M,_xlpm.id),COUNTIF('4. SSP'!$M:$M,_xlpm.id),COUNTIF('5. JSACI'!$M:$M,_xlpm.id),COUNTIF('6. AIN'!$M:$M,_xlpm.id),COUNTIF('7. MS'!$M:$M,_xlpm.id),COUNTIF('8. DS'!$M:$M,_xlpm.id),COUNTIF('9. RMF'!$M:$M,_xlpm.id),COUNTIF('10. PCU'!$M:$M,_xlpm.id))))</f>
        <v>0</v>
      </c>
    </row>
    <row r="2174" spans="1:9">
      <c r="A2174" t="s">
        <v>10185</v>
      </c>
      <c r="B2174" t="s">
        <v>10180</v>
      </c>
      <c r="C2174">
        <v>1826</v>
      </c>
      <c r="D2174">
        <v>1</v>
      </c>
      <c r="E2174" s="23">
        <v>6</v>
      </c>
      <c r="F2174" t="s">
        <v>8187</v>
      </c>
      <c r="G2174" t="s">
        <v>10502</v>
      </c>
      <c r="H2174" t="s">
        <v>8034</v>
      </c>
      <c r="I2174">
        <f>_xlfn.LET(_xlpm.id,TRIM($A2174),IF(_xlpm.id="","",SUM(COUNTIF('1. OP'!$M:$M,_xlpm.id),COUNTIF('2. JSEL'!$M:$M,_xlpm.id),COUNTIF('3. PSM'!$M:$M,_xlpm.id),COUNTIF('4. SSP'!$M:$M,_xlpm.id),COUNTIF('5. JSACI'!$M:$M,_xlpm.id),COUNTIF('6. AIN'!$M:$M,_xlpm.id),COUNTIF('7. MS'!$M:$M,_xlpm.id),COUNTIF('8. DS'!$M:$M,_xlpm.id),COUNTIF('9. RMF'!$M:$M,_xlpm.id),COUNTIF('10. PCU'!$M:$M,_xlpm.id))))</f>
        <v>0</v>
      </c>
    </row>
    <row r="2175" spans="1:9">
      <c r="A2175" t="s">
        <v>10186</v>
      </c>
      <c r="B2175" t="s">
        <v>10180</v>
      </c>
      <c r="C2175">
        <v>1827</v>
      </c>
      <c r="D2175">
        <v>1</v>
      </c>
      <c r="E2175" s="23">
        <v>7</v>
      </c>
      <c r="F2175" t="s">
        <v>8187</v>
      </c>
      <c r="G2175" t="s">
        <v>10502</v>
      </c>
      <c r="H2175" t="s">
        <v>8034</v>
      </c>
      <c r="I2175">
        <f>_xlfn.LET(_xlpm.id,TRIM($A2175),IF(_xlpm.id="","",SUM(COUNTIF('1. OP'!$M:$M,_xlpm.id),COUNTIF('2. JSEL'!$M:$M,_xlpm.id),COUNTIF('3. PSM'!$M:$M,_xlpm.id),COUNTIF('4. SSP'!$M:$M,_xlpm.id),COUNTIF('5. JSACI'!$M:$M,_xlpm.id),COUNTIF('6. AIN'!$M:$M,_xlpm.id),COUNTIF('7. MS'!$M:$M,_xlpm.id),COUNTIF('8. DS'!$M:$M,_xlpm.id),COUNTIF('9. RMF'!$M:$M,_xlpm.id),COUNTIF('10. PCU'!$M:$M,_xlpm.id))))</f>
        <v>0</v>
      </c>
    </row>
    <row r="2176" spans="1:9">
      <c r="A2176" t="s">
        <v>10187</v>
      </c>
      <c r="B2176" t="s">
        <v>10180</v>
      </c>
      <c r="C2176">
        <v>1827</v>
      </c>
      <c r="D2176">
        <v>1</v>
      </c>
      <c r="E2176" s="23">
        <v>8</v>
      </c>
      <c r="F2176" t="s">
        <v>8187</v>
      </c>
      <c r="G2176" t="s">
        <v>10502</v>
      </c>
      <c r="H2176" t="s">
        <v>8034</v>
      </c>
      <c r="I2176">
        <f>_xlfn.LET(_xlpm.id,TRIM($A2176),IF(_xlpm.id="","",SUM(COUNTIF('1. OP'!$M:$M,_xlpm.id),COUNTIF('2. JSEL'!$M:$M,_xlpm.id),COUNTIF('3. PSM'!$M:$M,_xlpm.id),COUNTIF('4. SSP'!$M:$M,_xlpm.id),COUNTIF('5. JSACI'!$M:$M,_xlpm.id),COUNTIF('6. AIN'!$M:$M,_xlpm.id),COUNTIF('7. MS'!$M:$M,_xlpm.id),COUNTIF('8. DS'!$M:$M,_xlpm.id),COUNTIF('9. RMF'!$M:$M,_xlpm.id),COUNTIF('10. PCU'!$M:$M,_xlpm.id))))</f>
        <v>0</v>
      </c>
    </row>
    <row r="2177" spans="1:9">
      <c r="A2177" t="s">
        <v>10188</v>
      </c>
      <c r="B2177" t="s">
        <v>10180</v>
      </c>
      <c r="C2177">
        <v>1828</v>
      </c>
      <c r="D2177">
        <v>1</v>
      </c>
      <c r="E2177" s="23">
        <v>10</v>
      </c>
      <c r="F2177" t="s">
        <v>8187</v>
      </c>
      <c r="G2177" t="s">
        <v>10502</v>
      </c>
      <c r="H2177" t="s">
        <v>8034</v>
      </c>
      <c r="I2177">
        <f>_xlfn.LET(_xlpm.id,TRIM($A2177),IF(_xlpm.id="","",SUM(COUNTIF('1. OP'!$M:$M,_xlpm.id),COUNTIF('2. JSEL'!$M:$M,_xlpm.id),COUNTIF('3. PSM'!$M:$M,_xlpm.id),COUNTIF('4. SSP'!$M:$M,_xlpm.id),COUNTIF('5. JSACI'!$M:$M,_xlpm.id),COUNTIF('6. AIN'!$M:$M,_xlpm.id),COUNTIF('7. MS'!$M:$M,_xlpm.id),COUNTIF('8. DS'!$M:$M,_xlpm.id),COUNTIF('9. RMF'!$M:$M,_xlpm.id),COUNTIF('10. PCU'!$M:$M,_xlpm.id))))</f>
        <v>0</v>
      </c>
    </row>
    <row r="2178" spans="1:9">
      <c r="A2178" t="s">
        <v>10189</v>
      </c>
      <c r="B2178" t="s">
        <v>10180</v>
      </c>
      <c r="C2178">
        <v>1829</v>
      </c>
      <c r="D2178">
        <v>1</v>
      </c>
      <c r="E2178" s="23">
        <v>1</v>
      </c>
      <c r="F2178" t="s">
        <v>8187</v>
      </c>
      <c r="G2178" t="s">
        <v>10502</v>
      </c>
      <c r="H2178" t="s">
        <v>8034</v>
      </c>
      <c r="I2178">
        <f>_xlfn.LET(_xlpm.id,TRIM($A2178),IF(_xlpm.id="","",SUM(COUNTIF('1. OP'!$M:$M,_xlpm.id),COUNTIF('2. JSEL'!$M:$M,_xlpm.id),COUNTIF('3. PSM'!$M:$M,_xlpm.id),COUNTIF('4. SSP'!$M:$M,_xlpm.id),COUNTIF('5. JSACI'!$M:$M,_xlpm.id),COUNTIF('6. AIN'!$M:$M,_xlpm.id),COUNTIF('7. MS'!$M:$M,_xlpm.id),COUNTIF('8. DS'!$M:$M,_xlpm.id),COUNTIF('9. RMF'!$M:$M,_xlpm.id),COUNTIF('10. PCU'!$M:$M,_xlpm.id))))</f>
        <v>0</v>
      </c>
    </row>
    <row r="2179" spans="1:9">
      <c r="A2179" t="s">
        <v>10190</v>
      </c>
      <c r="B2179" t="s">
        <v>10180</v>
      </c>
      <c r="C2179">
        <v>1829</v>
      </c>
      <c r="D2179">
        <v>1</v>
      </c>
      <c r="E2179" s="23">
        <v>2</v>
      </c>
      <c r="F2179" t="s">
        <v>8187</v>
      </c>
      <c r="G2179" t="s">
        <v>10502</v>
      </c>
      <c r="H2179" t="s">
        <v>8034</v>
      </c>
      <c r="I2179">
        <f>_xlfn.LET(_xlpm.id,TRIM($A2179),IF(_xlpm.id="","",SUM(COUNTIF('1. OP'!$M:$M,_xlpm.id),COUNTIF('2. JSEL'!$M:$M,_xlpm.id),COUNTIF('3. PSM'!$M:$M,_xlpm.id),COUNTIF('4. SSP'!$M:$M,_xlpm.id),COUNTIF('5. JSACI'!$M:$M,_xlpm.id),COUNTIF('6. AIN'!$M:$M,_xlpm.id),COUNTIF('7. MS'!$M:$M,_xlpm.id),COUNTIF('8. DS'!$M:$M,_xlpm.id),COUNTIF('9. RMF'!$M:$M,_xlpm.id),COUNTIF('10. PCU'!$M:$M,_xlpm.id))))</f>
        <v>0</v>
      </c>
    </row>
    <row r="2180" spans="1:9">
      <c r="A2180" t="s">
        <v>10191</v>
      </c>
      <c r="B2180" t="s">
        <v>10180</v>
      </c>
      <c r="C2180">
        <v>1829</v>
      </c>
      <c r="D2180">
        <v>1</v>
      </c>
      <c r="E2180" s="23">
        <v>3</v>
      </c>
      <c r="F2180" t="s">
        <v>8187</v>
      </c>
      <c r="G2180" t="s">
        <v>10502</v>
      </c>
      <c r="H2180" t="s">
        <v>8034</v>
      </c>
      <c r="I2180">
        <f>_xlfn.LET(_xlpm.id,TRIM($A2180),IF(_xlpm.id="","",SUM(COUNTIF('1. OP'!$M:$M,_xlpm.id),COUNTIF('2. JSEL'!$M:$M,_xlpm.id),COUNTIF('3. PSM'!$M:$M,_xlpm.id),COUNTIF('4. SSP'!$M:$M,_xlpm.id),COUNTIF('5. JSACI'!$M:$M,_xlpm.id),COUNTIF('6. AIN'!$M:$M,_xlpm.id),COUNTIF('7. MS'!$M:$M,_xlpm.id),COUNTIF('8. DS'!$M:$M,_xlpm.id),COUNTIF('9. RMF'!$M:$M,_xlpm.id),COUNTIF('10. PCU'!$M:$M,_xlpm.id))))</f>
        <v>0</v>
      </c>
    </row>
    <row r="2181" spans="1:9">
      <c r="A2181" t="s">
        <v>10192</v>
      </c>
      <c r="B2181" t="s">
        <v>10180</v>
      </c>
      <c r="C2181">
        <v>1829</v>
      </c>
      <c r="D2181">
        <v>1</v>
      </c>
      <c r="E2181" s="23">
        <v>4</v>
      </c>
      <c r="F2181" t="s">
        <v>8187</v>
      </c>
      <c r="G2181" t="s">
        <v>10502</v>
      </c>
      <c r="H2181" t="s">
        <v>8034</v>
      </c>
      <c r="I2181">
        <f>_xlfn.LET(_xlpm.id,TRIM($A2181),IF(_xlpm.id="","",SUM(COUNTIF('1. OP'!$M:$M,_xlpm.id),COUNTIF('2. JSEL'!$M:$M,_xlpm.id),COUNTIF('3. PSM'!$M:$M,_xlpm.id),COUNTIF('4. SSP'!$M:$M,_xlpm.id),COUNTIF('5. JSACI'!$M:$M,_xlpm.id),COUNTIF('6. AIN'!$M:$M,_xlpm.id),COUNTIF('7. MS'!$M:$M,_xlpm.id),COUNTIF('8. DS'!$M:$M,_xlpm.id),COUNTIF('9. RMF'!$M:$M,_xlpm.id),COUNTIF('10. PCU'!$M:$M,_xlpm.id))))</f>
        <v>0</v>
      </c>
    </row>
    <row r="2182" spans="1:9">
      <c r="A2182" t="s">
        <v>10193</v>
      </c>
      <c r="B2182" t="s">
        <v>10180</v>
      </c>
      <c r="C2182">
        <v>1830</v>
      </c>
      <c r="D2182">
        <v>2</v>
      </c>
      <c r="E2182" s="23">
        <v>1</v>
      </c>
      <c r="F2182" t="s">
        <v>8187</v>
      </c>
      <c r="G2182" t="s">
        <v>10502</v>
      </c>
      <c r="H2182" t="s">
        <v>8034</v>
      </c>
      <c r="I2182">
        <f>_xlfn.LET(_xlpm.id,TRIM($A2182),IF(_xlpm.id="","",SUM(COUNTIF('1. OP'!$M:$M,_xlpm.id),COUNTIF('2. JSEL'!$M:$M,_xlpm.id),COUNTIF('3. PSM'!$M:$M,_xlpm.id),COUNTIF('4. SSP'!$M:$M,_xlpm.id),COUNTIF('5. JSACI'!$M:$M,_xlpm.id),COUNTIF('6. AIN'!$M:$M,_xlpm.id),COUNTIF('7. MS'!$M:$M,_xlpm.id),COUNTIF('8. DS'!$M:$M,_xlpm.id),COUNTIF('9. RMF'!$M:$M,_xlpm.id),COUNTIF('10. PCU'!$M:$M,_xlpm.id))))</f>
        <v>0</v>
      </c>
    </row>
    <row r="2183" spans="1:9">
      <c r="A2183" t="s">
        <v>10194</v>
      </c>
      <c r="B2183" t="s">
        <v>10180</v>
      </c>
      <c r="C2183">
        <v>1830</v>
      </c>
      <c r="D2183">
        <v>2</v>
      </c>
      <c r="E2183" s="23">
        <v>2</v>
      </c>
      <c r="F2183" t="s">
        <v>8187</v>
      </c>
      <c r="G2183" t="s">
        <v>10502</v>
      </c>
      <c r="H2183" t="s">
        <v>8034</v>
      </c>
      <c r="I2183">
        <f>_xlfn.LET(_xlpm.id,TRIM($A2183),IF(_xlpm.id="","",SUM(COUNTIF('1. OP'!$M:$M,_xlpm.id),COUNTIF('2. JSEL'!$M:$M,_xlpm.id),COUNTIF('3. PSM'!$M:$M,_xlpm.id),COUNTIF('4. SSP'!$M:$M,_xlpm.id),COUNTIF('5. JSACI'!$M:$M,_xlpm.id),COUNTIF('6. AIN'!$M:$M,_xlpm.id),COUNTIF('7. MS'!$M:$M,_xlpm.id),COUNTIF('8. DS'!$M:$M,_xlpm.id),COUNTIF('9. RMF'!$M:$M,_xlpm.id),COUNTIF('10. PCU'!$M:$M,_xlpm.id))))</f>
        <v>0</v>
      </c>
    </row>
    <row r="2184" spans="1:9">
      <c r="A2184" t="s">
        <v>10195</v>
      </c>
      <c r="B2184" t="s">
        <v>10181</v>
      </c>
      <c r="C2184">
        <v>1826</v>
      </c>
      <c r="D2184">
        <v>1</v>
      </c>
      <c r="E2184" s="23">
        <v>1</v>
      </c>
      <c r="F2184" t="s">
        <v>8187</v>
      </c>
      <c r="G2184" t="s">
        <v>10493</v>
      </c>
      <c r="H2184" t="s">
        <v>8034</v>
      </c>
      <c r="I2184">
        <f>_xlfn.LET(_xlpm.id,TRIM($A2184),IF(_xlpm.id="","",SUM(COUNTIF('1. OP'!$M:$M,_xlpm.id),COUNTIF('2. JSEL'!$M:$M,_xlpm.id),COUNTIF('3. PSM'!$M:$M,_xlpm.id),COUNTIF('4. SSP'!$M:$M,_xlpm.id),COUNTIF('5. JSACI'!$M:$M,_xlpm.id),COUNTIF('6. AIN'!$M:$M,_xlpm.id),COUNTIF('7. MS'!$M:$M,_xlpm.id),COUNTIF('8. DS'!$M:$M,_xlpm.id),COUNTIF('9. RMF'!$M:$M,_xlpm.id),COUNTIF('10. PCU'!$M:$M,_xlpm.id))))</f>
        <v>0</v>
      </c>
    </row>
    <row r="2185" spans="1:9">
      <c r="A2185" t="s">
        <v>10196</v>
      </c>
      <c r="B2185" t="s">
        <v>10181</v>
      </c>
      <c r="C2185">
        <v>1826</v>
      </c>
      <c r="D2185">
        <v>1</v>
      </c>
      <c r="E2185" s="23">
        <v>2</v>
      </c>
      <c r="F2185" t="s">
        <v>8187</v>
      </c>
      <c r="G2185" t="s">
        <v>10493</v>
      </c>
      <c r="H2185" t="s">
        <v>8034</v>
      </c>
      <c r="I2185">
        <f>_xlfn.LET(_xlpm.id,TRIM($A2185),IF(_xlpm.id="","",SUM(COUNTIF('1. OP'!$M:$M,_xlpm.id),COUNTIF('2. JSEL'!$M:$M,_xlpm.id),COUNTIF('3. PSM'!$M:$M,_xlpm.id),COUNTIF('4. SSP'!$M:$M,_xlpm.id),COUNTIF('5. JSACI'!$M:$M,_xlpm.id),COUNTIF('6. AIN'!$M:$M,_xlpm.id),COUNTIF('7. MS'!$M:$M,_xlpm.id),COUNTIF('8. DS'!$M:$M,_xlpm.id),COUNTIF('9. RMF'!$M:$M,_xlpm.id),COUNTIF('10. PCU'!$M:$M,_xlpm.id))))</f>
        <v>0</v>
      </c>
    </row>
    <row r="2186" spans="1:9">
      <c r="A2186" t="s">
        <v>10197</v>
      </c>
      <c r="B2186" t="s">
        <v>10181</v>
      </c>
      <c r="C2186">
        <v>1826</v>
      </c>
      <c r="D2186">
        <v>1</v>
      </c>
      <c r="E2186" s="23">
        <v>3</v>
      </c>
      <c r="F2186" t="s">
        <v>8187</v>
      </c>
      <c r="G2186" t="s">
        <v>10493</v>
      </c>
      <c r="H2186" t="s">
        <v>8034</v>
      </c>
      <c r="I2186">
        <f>_xlfn.LET(_xlpm.id,TRIM($A2186),IF(_xlpm.id="","",SUM(COUNTIF('1. OP'!$M:$M,_xlpm.id),COUNTIF('2. JSEL'!$M:$M,_xlpm.id),COUNTIF('3. PSM'!$M:$M,_xlpm.id),COUNTIF('4. SSP'!$M:$M,_xlpm.id),COUNTIF('5. JSACI'!$M:$M,_xlpm.id),COUNTIF('6. AIN'!$M:$M,_xlpm.id),COUNTIF('7. MS'!$M:$M,_xlpm.id),COUNTIF('8. DS'!$M:$M,_xlpm.id),COUNTIF('9. RMF'!$M:$M,_xlpm.id),COUNTIF('10. PCU'!$M:$M,_xlpm.id))))</f>
        <v>0</v>
      </c>
    </row>
    <row r="2187" spans="1:9">
      <c r="A2187" t="s">
        <v>10198</v>
      </c>
      <c r="B2187" t="s">
        <v>10181</v>
      </c>
      <c r="C2187">
        <v>1826</v>
      </c>
      <c r="D2187">
        <v>1</v>
      </c>
      <c r="E2187" s="23">
        <v>4</v>
      </c>
      <c r="F2187" t="s">
        <v>8187</v>
      </c>
      <c r="G2187" t="s">
        <v>10493</v>
      </c>
      <c r="H2187" t="s">
        <v>8034</v>
      </c>
      <c r="I2187">
        <f>_xlfn.LET(_xlpm.id,TRIM($A2187),IF(_xlpm.id="","",SUM(COUNTIF('1. OP'!$M:$M,_xlpm.id),COUNTIF('2. JSEL'!$M:$M,_xlpm.id),COUNTIF('3. PSM'!$M:$M,_xlpm.id),COUNTIF('4. SSP'!$M:$M,_xlpm.id),COUNTIF('5. JSACI'!$M:$M,_xlpm.id),COUNTIF('6. AIN'!$M:$M,_xlpm.id),COUNTIF('7. MS'!$M:$M,_xlpm.id),COUNTIF('8. DS'!$M:$M,_xlpm.id),COUNTIF('9. RMF'!$M:$M,_xlpm.id),COUNTIF('10. PCU'!$M:$M,_xlpm.id))))</f>
        <v>0</v>
      </c>
    </row>
    <row r="2188" spans="1:9">
      <c r="A2188" t="s">
        <v>10199</v>
      </c>
      <c r="B2188" t="s">
        <v>10181</v>
      </c>
      <c r="C2188">
        <v>1827</v>
      </c>
      <c r="D2188">
        <v>1</v>
      </c>
      <c r="E2188" s="23">
        <v>5</v>
      </c>
      <c r="F2188" t="s">
        <v>8187</v>
      </c>
      <c r="G2188" t="s">
        <v>10493</v>
      </c>
      <c r="H2188" t="s">
        <v>8034</v>
      </c>
      <c r="I2188">
        <f>_xlfn.LET(_xlpm.id,TRIM($A2188),IF(_xlpm.id="","",SUM(COUNTIF('1. OP'!$M:$M,_xlpm.id),COUNTIF('2. JSEL'!$M:$M,_xlpm.id),COUNTIF('3. PSM'!$M:$M,_xlpm.id),COUNTIF('4. SSP'!$M:$M,_xlpm.id),COUNTIF('5. JSACI'!$M:$M,_xlpm.id),COUNTIF('6. AIN'!$M:$M,_xlpm.id),COUNTIF('7. MS'!$M:$M,_xlpm.id),COUNTIF('8. DS'!$M:$M,_xlpm.id),COUNTIF('9. RMF'!$M:$M,_xlpm.id),COUNTIF('10. PCU'!$M:$M,_xlpm.id))))</f>
        <v>0</v>
      </c>
    </row>
    <row r="2189" spans="1:9">
      <c r="A2189" t="s">
        <v>10200</v>
      </c>
      <c r="B2189" t="s">
        <v>10181</v>
      </c>
      <c r="C2189">
        <v>1827</v>
      </c>
      <c r="D2189">
        <v>1</v>
      </c>
      <c r="E2189" s="23">
        <v>6</v>
      </c>
      <c r="F2189" t="s">
        <v>8187</v>
      </c>
      <c r="G2189" t="s">
        <v>10493</v>
      </c>
      <c r="H2189" t="s">
        <v>8034</v>
      </c>
      <c r="I2189">
        <f>_xlfn.LET(_xlpm.id,TRIM($A2189),IF(_xlpm.id="","",SUM(COUNTIF('1. OP'!$M:$M,_xlpm.id),COUNTIF('2. JSEL'!$M:$M,_xlpm.id),COUNTIF('3. PSM'!$M:$M,_xlpm.id),COUNTIF('4. SSP'!$M:$M,_xlpm.id),COUNTIF('5. JSACI'!$M:$M,_xlpm.id),COUNTIF('6. AIN'!$M:$M,_xlpm.id),COUNTIF('7. MS'!$M:$M,_xlpm.id),COUNTIF('8. DS'!$M:$M,_xlpm.id),COUNTIF('9. RMF'!$M:$M,_xlpm.id),COUNTIF('10. PCU'!$M:$M,_xlpm.id))))</f>
        <v>0</v>
      </c>
    </row>
    <row r="2190" spans="1:9">
      <c r="A2190" t="s">
        <v>10201</v>
      </c>
      <c r="B2190" t="s">
        <v>10181</v>
      </c>
      <c r="C2190">
        <v>1827</v>
      </c>
      <c r="D2190">
        <v>1</v>
      </c>
      <c r="E2190" s="23">
        <v>7</v>
      </c>
      <c r="F2190" t="s">
        <v>8187</v>
      </c>
      <c r="G2190" t="s">
        <v>10493</v>
      </c>
      <c r="H2190" t="s">
        <v>8034</v>
      </c>
      <c r="I2190">
        <f>_xlfn.LET(_xlpm.id,TRIM($A2190),IF(_xlpm.id="","",SUM(COUNTIF('1. OP'!$M:$M,_xlpm.id),COUNTIF('2. JSEL'!$M:$M,_xlpm.id),COUNTIF('3. PSM'!$M:$M,_xlpm.id),COUNTIF('4. SSP'!$M:$M,_xlpm.id),COUNTIF('5. JSACI'!$M:$M,_xlpm.id),COUNTIF('6. AIN'!$M:$M,_xlpm.id),COUNTIF('7. MS'!$M:$M,_xlpm.id),COUNTIF('8. DS'!$M:$M,_xlpm.id),COUNTIF('9. RMF'!$M:$M,_xlpm.id),COUNTIF('10. PCU'!$M:$M,_xlpm.id))))</f>
        <v>0</v>
      </c>
    </row>
    <row r="2191" spans="1:9">
      <c r="A2191" t="s">
        <v>10202</v>
      </c>
      <c r="B2191" t="s">
        <v>10181</v>
      </c>
      <c r="C2191">
        <v>1827</v>
      </c>
      <c r="D2191">
        <v>1</v>
      </c>
      <c r="E2191" s="23">
        <v>8</v>
      </c>
      <c r="F2191" t="s">
        <v>8187</v>
      </c>
      <c r="G2191" t="s">
        <v>10493</v>
      </c>
      <c r="H2191" t="s">
        <v>8034</v>
      </c>
      <c r="I2191">
        <f>_xlfn.LET(_xlpm.id,TRIM($A2191),IF(_xlpm.id="","",SUM(COUNTIF('1. OP'!$M:$M,_xlpm.id),COUNTIF('2. JSEL'!$M:$M,_xlpm.id),COUNTIF('3. PSM'!$M:$M,_xlpm.id),COUNTIF('4. SSP'!$M:$M,_xlpm.id),COUNTIF('5. JSACI'!$M:$M,_xlpm.id),COUNTIF('6. AIN'!$M:$M,_xlpm.id),COUNTIF('7. MS'!$M:$M,_xlpm.id),COUNTIF('8. DS'!$M:$M,_xlpm.id),COUNTIF('9. RMF'!$M:$M,_xlpm.id),COUNTIF('10. PCU'!$M:$M,_xlpm.id))))</f>
        <v>0</v>
      </c>
    </row>
    <row r="2192" spans="1:9">
      <c r="A2192" t="s">
        <v>10203</v>
      </c>
      <c r="B2192" t="s">
        <v>10181</v>
      </c>
      <c r="C2192">
        <v>1828</v>
      </c>
      <c r="D2192">
        <v>1</v>
      </c>
      <c r="E2192" s="23">
        <v>9</v>
      </c>
      <c r="F2192" t="s">
        <v>8187</v>
      </c>
      <c r="G2192" t="s">
        <v>10493</v>
      </c>
      <c r="H2192" t="s">
        <v>8034</v>
      </c>
      <c r="I2192">
        <f>_xlfn.LET(_xlpm.id,TRIM($A2192),IF(_xlpm.id="","",SUM(COUNTIF('1. OP'!$M:$M,_xlpm.id),COUNTIF('2. JSEL'!$M:$M,_xlpm.id),COUNTIF('3. PSM'!$M:$M,_xlpm.id),COUNTIF('4. SSP'!$M:$M,_xlpm.id),COUNTIF('5. JSACI'!$M:$M,_xlpm.id),COUNTIF('6. AIN'!$M:$M,_xlpm.id),COUNTIF('7. MS'!$M:$M,_xlpm.id),COUNTIF('8. DS'!$M:$M,_xlpm.id),COUNTIF('9. RMF'!$M:$M,_xlpm.id),COUNTIF('10. PCU'!$M:$M,_xlpm.id))))</f>
        <v>0</v>
      </c>
    </row>
    <row r="2193" spans="1:9">
      <c r="A2193" t="s">
        <v>10204</v>
      </c>
      <c r="B2193" t="s">
        <v>10181</v>
      </c>
      <c r="C2193">
        <v>1828</v>
      </c>
      <c r="D2193">
        <v>1</v>
      </c>
      <c r="E2193" s="23">
        <v>10</v>
      </c>
      <c r="F2193" t="s">
        <v>8187</v>
      </c>
      <c r="G2193" t="s">
        <v>10493</v>
      </c>
      <c r="H2193" t="s">
        <v>8034</v>
      </c>
      <c r="I2193">
        <f>_xlfn.LET(_xlpm.id,TRIM($A2193),IF(_xlpm.id="","",SUM(COUNTIF('1. OP'!$M:$M,_xlpm.id),COUNTIF('2. JSEL'!$M:$M,_xlpm.id),COUNTIF('3. PSM'!$M:$M,_xlpm.id),COUNTIF('4. SSP'!$M:$M,_xlpm.id),COUNTIF('5. JSACI'!$M:$M,_xlpm.id),COUNTIF('6. AIN'!$M:$M,_xlpm.id),COUNTIF('7. MS'!$M:$M,_xlpm.id),COUNTIF('8. DS'!$M:$M,_xlpm.id),COUNTIF('9. RMF'!$M:$M,_xlpm.id),COUNTIF('10. PCU'!$M:$M,_xlpm.id))))</f>
        <v>0</v>
      </c>
    </row>
    <row r="2194" spans="1:9">
      <c r="A2194" t="s">
        <v>10205</v>
      </c>
      <c r="B2194" t="s">
        <v>10181</v>
      </c>
      <c r="C2194">
        <v>1829</v>
      </c>
      <c r="D2194">
        <v>1</v>
      </c>
      <c r="E2194" s="23">
        <v>11</v>
      </c>
      <c r="F2194" t="s">
        <v>8187</v>
      </c>
      <c r="G2194" t="s">
        <v>10493</v>
      </c>
      <c r="H2194" t="s">
        <v>8034</v>
      </c>
      <c r="I2194">
        <f>_xlfn.LET(_xlpm.id,TRIM($A2194),IF(_xlpm.id="","",SUM(COUNTIF('1. OP'!$M:$M,_xlpm.id),COUNTIF('2. JSEL'!$M:$M,_xlpm.id),COUNTIF('3. PSM'!$M:$M,_xlpm.id),COUNTIF('4. SSP'!$M:$M,_xlpm.id),COUNTIF('5. JSACI'!$M:$M,_xlpm.id),COUNTIF('6. AIN'!$M:$M,_xlpm.id),COUNTIF('7. MS'!$M:$M,_xlpm.id),COUNTIF('8. DS'!$M:$M,_xlpm.id),COUNTIF('9. RMF'!$M:$M,_xlpm.id),COUNTIF('10. PCU'!$M:$M,_xlpm.id))))</f>
        <v>0</v>
      </c>
    </row>
    <row r="2195" spans="1:9">
      <c r="A2195" t="s">
        <v>10206</v>
      </c>
      <c r="B2195" t="s">
        <v>10181</v>
      </c>
      <c r="C2195">
        <v>1829</v>
      </c>
      <c r="D2195">
        <v>1</v>
      </c>
      <c r="E2195" s="23">
        <v>12</v>
      </c>
      <c r="F2195" t="s">
        <v>8187</v>
      </c>
      <c r="G2195" t="s">
        <v>10493</v>
      </c>
      <c r="H2195" t="s">
        <v>8034</v>
      </c>
      <c r="I2195">
        <f>_xlfn.LET(_xlpm.id,TRIM($A2195),IF(_xlpm.id="","",SUM(COUNTIF('1. OP'!$M:$M,_xlpm.id),COUNTIF('2. JSEL'!$M:$M,_xlpm.id),COUNTIF('3. PSM'!$M:$M,_xlpm.id),COUNTIF('4. SSP'!$M:$M,_xlpm.id),COUNTIF('5. JSACI'!$M:$M,_xlpm.id),COUNTIF('6. AIN'!$M:$M,_xlpm.id),COUNTIF('7. MS'!$M:$M,_xlpm.id),COUNTIF('8. DS'!$M:$M,_xlpm.id),COUNTIF('9. RMF'!$M:$M,_xlpm.id),COUNTIF('10. PCU'!$M:$M,_xlpm.id))))</f>
        <v>0</v>
      </c>
    </row>
    <row r="2196" spans="1:9">
      <c r="A2196" t="s">
        <v>7350</v>
      </c>
      <c r="B2196" t="s">
        <v>10181</v>
      </c>
      <c r="C2196">
        <v>1830</v>
      </c>
      <c r="D2196">
        <v>1</v>
      </c>
      <c r="E2196" s="23">
        <v>13</v>
      </c>
      <c r="F2196" t="s">
        <v>8187</v>
      </c>
      <c r="G2196" t="s">
        <v>10493</v>
      </c>
      <c r="H2196" t="s">
        <v>8034</v>
      </c>
      <c r="I2196">
        <f>_xlfn.LET(_xlpm.id,TRIM($A2196),IF(_xlpm.id="","",SUM(COUNTIF('1. OP'!$M:$M,_xlpm.id),COUNTIF('2. JSEL'!$M:$M,_xlpm.id),COUNTIF('3. PSM'!$M:$M,_xlpm.id),COUNTIF('4. SSP'!$M:$M,_xlpm.id),COUNTIF('5. JSACI'!$M:$M,_xlpm.id),COUNTIF('6. AIN'!$M:$M,_xlpm.id),COUNTIF('7. MS'!$M:$M,_xlpm.id),COUNTIF('8. DS'!$M:$M,_xlpm.id),COUNTIF('9. RMF'!$M:$M,_xlpm.id),COUNTIF('10. PCU'!$M:$M,_xlpm.id))))</f>
        <v>1</v>
      </c>
    </row>
    <row r="2197" spans="1:9">
      <c r="A2197" t="s">
        <v>10207</v>
      </c>
      <c r="B2197" t="s">
        <v>10181</v>
      </c>
      <c r="C2197">
        <v>1830</v>
      </c>
      <c r="D2197">
        <v>1</v>
      </c>
      <c r="E2197" s="23">
        <v>14</v>
      </c>
      <c r="F2197" t="s">
        <v>8187</v>
      </c>
      <c r="G2197" t="s">
        <v>10493</v>
      </c>
      <c r="H2197" t="s">
        <v>8034</v>
      </c>
      <c r="I2197">
        <f>_xlfn.LET(_xlpm.id,TRIM($A2197),IF(_xlpm.id="","",SUM(COUNTIF('1. OP'!$M:$M,_xlpm.id),COUNTIF('2. JSEL'!$M:$M,_xlpm.id),COUNTIF('3. PSM'!$M:$M,_xlpm.id),COUNTIF('4. SSP'!$M:$M,_xlpm.id),COUNTIF('5. JSACI'!$M:$M,_xlpm.id),COUNTIF('6. AIN'!$M:$M,_xlpm.id),COUNTIF('7. MS'!$M:$M,_xlpm.id),COUNTIF('8. DS'!$M:$M,_xlpm.id),COUNTIF('9. RMF'!$M:$M,_xlpm.id),COUNTIF('10. PCU'!$M:$M,_xlpm.id))))</f>
        <v>0</v>
      </c>
    </row>
    <row r="2198" spans="1:9">
      <c r="A2198" t="s">
        <v>10208</v>
      </c>
      <c r="B2198" t="s">
        <v>10181</v>
      </c>
      <c r="C2198">
        <v>1831</v>
      </c>
      <c r="D2198">
        <v>1</v>
      </c>
      <c r="E2198" s="23">
        <v>15</v>
      </c>
      <c r="F2198" t="s">
        <v>8187</v>
      </c>
      <c r="G2198" t="s">
        <v>10493</v>
      </c>
      <c r="H2198" t="s">
        <v>8034</v>
      </c>
      <c r="I2198">
        <f>_xlfn.LET(_xlpm.id,TRIM($A2198),IF(_xlpm.id="","",SUM(COUNTIF('1. OP'!$M:$M,_xlpm.id),COUNTIF('2. JSEL'!$M:$M,_xlpm.id),COUNTIF('3. PSM'!$M:$M,_xlpm.id),COUNTIF('4. SSP'!$M:$M,_xlpm.id),COUNTIF('5. JSACI'!$M:$M,_xlpm.id),COUNTIF('6. AIN'!$M:$M,_xlpm.id),COUNTIF('7. MS'!$M:$M,_xlpm.id),COUNTIF('8. DS'!$M:$M,_xlpm.id),COUNTIF('9. RMF'!$M:$M,_xlpm.id),COUNTIF('10. PCU'!$M:$M,_xlpm.id))))</f>
        <v>0</v>
      </c>
    </row>
    <row r="2199" spans="1:9">
      <c r="A2199" t="s">
        <v>7209</v>
      </c>
      <c r="B2199" t="s">
        <v>10302</v>
      </c>
      <c r="C2199">
        <v>1831</v>
      </c>
      <c r="D2199">
        <v>1</v>
      </c>
      <c r="E2199" s="23">
        <v>1</v>
      </c>
      <c r="F2199" t="s">
        <v>8102</v>
      </c>
      <c r="G2199" t="s">
        <v>10484</v>
      </c>
      <c r="H2199" t="s">
        <v>8021</v>
      </c>
      <c r="I2199">
        <f>_xlfn.LET(_xlpm.id,TRIM($A2199),IF(_xlpm.id="","",SUM(COUNTIF('1. OP'!$M:$M,_xlpm.id),COUNTIF('2. JSEL'!$M:$M,_xlpm.id),COUNTIF('3. PSM'!$M:$M,_xlpm.id),COUNTIF('4. SSP'!$M:$M,_xlpm.id),COUNTIF('5. JSACI'!$M:$M,_xlpm.id),COUNTIF('6. AIN'!$M:$M,_xlpm.id),COUNTIF('7. MS'!$M:$M,_xlpm.id),COUNTIF('8. DS'!$M:$M,_xlpm.id),COUNTIF('9. RMF'!$M:$M,_xlpm.id),COUNTIF('10. PCU'!$M:$M,_xlpm.id))))</f>
        <v>4</v>
      </c>
    </row>
    <row r="2200" spans="1:9">
      <c r="A2200" t="s">
        <v>10304</v>
      </c>
      <c r="B2200" t="s">
        <v>10303</v>
      </c>
      <c r="C2200">
        <v>1827</v>
      </c>
      <c r="D2200">
        <v>1</v>
      </c>
      <c r="E2200" s="23">
        <v>3</v>
      </c>
      <c r="F2200" t="s">
        <v>8102</v>
      </c>
      <c r="G2200" t="s">
        <v>10484</v>
      </c>
      <c r="H2200" t="s">
        <v>8021</v>
      </c>
      <c r="I2200">
        <f>_xlfn.LET(_xlpm.id,TRIM($A2200),IF(_xlpm.id="","",SUM(COUNTIF('1. OP'!$M:$M,_xlpm.id),COUNTIF('2. JSEL'!$M:$M,_xlpm.id),COUNTIF('3. PSM'!$M:$M,_xlpm.id),COUNTIF('4. SSP'!$M:$M,_xlpm.id),COUNTIF('5. JSACI'!$M:$M,_xlpm.id),COUNTIF('6. AIN'!$M:$M,_xlpm.id),COUNTIF('7. MS'!$M:$M,_xlpm.id),COUNTIF('8. DS'!$M:$M,_xlpm.id),COUNTIF('9. RMF'!$M:$M,_xlpm.id),COUNTIF('10. PCU'!$M:$M,_xlpm.id))))</f>
        <v>0</v>
      </c>
    </row>
    <row r="2201" spans="1:9">
      <c r="A2201" t="s">
        <v>10305</v>
      </c>
      <c r="B2201" t="s">
        <v>10303</v>
      </c>
      <c r="C2201">
        <v>1827</v>
      </c>
      <c r="D2201">
        <v>1</v>
      </c>
      <c r="E2201" s="23">
        <v>4</v>
      </c>
      <c r="F2201" t="s">
        <v>8102</v>
      </c>
      <c r="G2201" t="s">
        <v>10484</v>
      </c>
      <c r="H2201" t="s">
        <v>8021</v>
      </c>
      <c r="I2201">
        <f>_xlfn.LET(_xlpm.id,TRIM($A2201),IF(_xlpm.id="","",SUM(COUNTIF('1. OP'!$M:$M,_xlpm.id),COUNTIF('2. JSEL'!$M:$M,_xlpm.id),COUNTIF('3. PSM'!$M:$M,_xlpm.id),COUNTIF('4. SSP'!$M:$M,_xlpm.id),COUNTIF('5. JSACI'!$M:$M,_xlpm.id),COUNTIF('6. AIN'!$M:$M,_xlpm.id),COUNTIF('7. MS'!$M:$M,_xlpm.id),COUNTIF('8. DS'!$M:$M,_xlpm.id),COUNTIF('9. RMF'!$M:$M,_xlpm.id),COUNTIF('10. PCU'!$M:$M,_xlpm.id))))</f>
        <v>0</v>
      </c>
    </row>
    <row r="2202" spans="1:9">
      <c r="A2202" t="s">
        <v>10306</v>
      </c>
      <c r="B2202" t="s">
        <v>10303</v>
      </c>
      <c r="C2202">
        <v>1828</v>
      </c>
      <c r="D2202">
        <v>1</v>
      </c>
      <c r="E2202" s="23">
        <v>5</v>
      </c>
      <c r="F2202" t="s">
        <v>8102</v>
      </c>
      <c r="G2202" t="s">
        <v>10484</v>
      </c>
      <c r="H2202" t="s">
        <v>8021</v>
      </c>
      <c r="I2202">
        <f>_xlfn.LET(_xlpm.id,TRIM($A2202),IF(_xlpm.id="","",SUM(COUNTIF('1. OP'!$M:$M,_xlpm.id),COUNTIF('2. JSEL'!$M:$M,_xlpm.id),COUNTIF('3. PSM'!$M:$M,_xlpm.id),COUNTIF('4. SSP'!$M:$M,_xlpm.id),COUNTIF('5. JSACI'!$M:$M,_xlpm.id),COUNTIF('6. AIN'!$M:$M,_xlpm.id),COUNTIF('7. MS'!$M:$M,_xlpm.id),COUNTIF('8. DS'!$M:$M,_xlpm.id),COUNTIF('9. RMF'!$M:$M,_xlpm.id),COUNTIF('10. PCU'!$M:$M,_xlpm.id))))</f>
        <v>0</v>
      </c>
    </row>
    <row r="2203" spans="1:9">
      <c r="A2203" t="s">
        <v>10307</v>
      </c>
      <c r="B2203" t="s">
        <v>10303</v>
      </c>
      <c r="C2203">
        <v>1828</v>
      </c>
      <c r="D2203">
        <v>1</v>
      </c>
      <c r="E2203" s="23">
        <v>6</v>
      </c>
      <c r="F2203" t="s">
        <v>8102</v>
      </c>
      <c r="G2203" t="s">
        <v>10484</v>
      </c>
      <c r="H2203" t="s">
        <v>8021</v>
      </c>
      <c r="I2203">
        <f>_xlfn.LET(_xlpm.id,TRIM($A2203),IF(_xlpm.id="","",SUM(COUNTIF('1. OP'!$M:$M,_xlpm.id),COUNTIF('2. JSEL'!$M:$M,_xlpm.id),COUNTIF('3. PSM'!$M:$M,_xlpm.id),COUNTIF('4. SSP'!$M:$M,_xlpm.id),COUNTIF('5. JSACI'!$M:$M,_xlpm.id),COUNTIF('6. AIN'!$M:$M,_xlpm.id),COUNTIF('7. MS'!$M:$M,_xlpm.id),COUNTIF('8. DS'!$M:$M,_xlpm.id),COUNTIF('9. RMF'!$M:$M,_xlpm.id),COUNTIF('10. PCU'!$M:$M,_xlpm.id))))</f>
        <v>0</v>
      </c>
    </row>
    <row r="2204" spans="1:9">
      <c r="A2204" t="s">
        <v>10308</v>
      </c>
      <c r="B2204" t="s">
        <v>10303</v>
      </c>
      <c r="C2204">
        <v>1828</v>
      </c>
      <c r="D2204">
        <v>1</v>
      </c>
      <c r="E2204" s="23">
        <v>7</v>
      </c>
      <c r="F2204" t="s">
        <v>8102</v>
      </c>
      <c r="G2204" t="s">
        <v>10484</v>
      </c>
      <c r="H2204" t="s">
        <v>8021</v>
      </c>
      <c r="I2204">
        <f>_xlfn.LET(_xlpm.id,TRIM($A2204),IF(_xlpm.id="","",SUM(COUNTIF('1. OP'!$M:$M,_xlpm.id),COUNTIF('2. JSEL'!$M:$M,_xlpm.id),COUNTIF('3. PSM'!$M:$M,_xlpm.id),COUNTIF('4. SSP'!$M:$M,_xlpm.id),COUNTIF('5. JSACI'!$M:$M,_xlpm.id),COUNTIF('6. AIN'!$M:$M,_xlpm.id),COUNTIF('7. MS'!$M:$M,_xlpm.id),COUNTIF('8. DS'!$M:$M,_xlpm.id),COUNTIF('9. RMF'!$M:$M,_xlpm.id),COUNTIF('10. PCU'!$M:$M,_xlpm.id))))</f>
        <v>0</v>
      </c>
    </row>
    <row r="2205" spans="1:9">
      <c r="A2205" t="s">
        <v>10309</v>
      </c>
      <c r="B2205" t="s">
        <v>10303</v>
      </c>
      <c r="C2205">
        <v>1828</v>
      </c>
      <c r="D2205">
        <v>1</v>
      </c>
      <c r="E2205" s="23">
        <v>8</v>
      </c>
      <c r="F2205" t="s">
        <v>8102</v>
      </c>
      <c r="G2205" t="s">
        <v>10484</v>
      </c>
      <c r="H2205" t="s">
        <v>8021</v>
      </c>
      <c r="I2205">
        <f>_xlfn.LET(_xlpm.id,TRIM($A2205),IF(_xlpm.id="","",SUM(COUNTIF('1. OP'!$M:$M,_xlpm.id),COUNTIF('2. JSEL'!$M:$M,_xlpm.id),COUNTIF('3. PSM'!$M:$M,_xlpm.id),COUNTIF('4. SSP'!$M:$M,_xlpm.id),COUNTIF('5. JSACI'!$M:$M,_xlpm.id),COUNTIF('6. AIN'!$M:$M,_xlpm.id),COUNTIF('7. MS'!$M:$M,_xlpm.id),COUNTIF('8. DS'!$M:$M,_xlpm.id),COUNTIF('9. RMF'!$M:$M,_xlpm.id),COUNTIF('10. PCU'!$M:$M,_xlpm.id))))</f>
        <v>0</v>
      </c>
    </row>
    <row r="2206" spans="1:9">
      <c r="A2206" t="s">
        <v>10310</v>
      </c>
      <c r="B2206" t="s">
        <v>10303</v>
      </c>
      <c r="C2206">
        <v>1829</v>
      </c>
      <c r="D2206">
        <v>1</v>
      </c>
      <c r="E2206" s="23">
        <v>9</v>
      </c>
      <c r="F2206" t="s">
        <v>8102</v>
      </c>
      <c r="G2206" t="s">
        <v>10484</v>
      </c>
      <c r="H2206" t="s">
        <v>8021</v>
      </c>
      <c r="I2206">
        <f>_xlfn.LET(_xlpm.id,TRIM($A2206),IF(_xlpm.id="","",SUM(COUNTIF('1. OP'!$M:$M,_xlpm.id),COUNTIF('2. JSEL'!$M:$M,_xlpm.id),COUNTIF('3. PSM'!$M:$M,_xlpm.id),COUNTIF('4. SSP'!$M:$M,_xlpm.id),COUNTIF('5. JSACI'!$M:$M,_xlpm.id),COUNTIF('6. AIN'!$M:$M,_xlpm.id),COUNTIF('7. MS'!$M:$M,_xlpm.id),COUNTIF('8. DS'!$M:$M,_xlpm.id),COUNTIF('9. RMF'!$M:$M,_xlpm.id),COUNTIF('10. PCU'!$M:$M,_xlpm.id))))</f>
        <v>0</v>
      </c>
    </row>
    <row r="2207" spans="1:9">
      <c r="A2207" t="s">
        <v>10311</v>
      </c>
      <c r="B2207" t="s">
        <v>10303</v>
      </c>
      <c r="C2207">
        <v>1829</v>
      </c>
      <c r="D2207">
        <v>1</v>
      </c>
      <c r="E2207" s="23">
        <v>11</v>
      </c>
      <c r="F2207" t="s">
        <v>8102</v>
      </c>
      <c r="G2207" t="s">
        <v>10484</v>
      </c>
      <c r="H2207" t="s">
        <v>8021</v>
      </c>
      <c r="I2207">
        <f>_xlfn.LET(_xlpm.id,TRIM($A2207),IF(_xlpm.id="","",SUM(COUNTIF('1. OP'!$M:$M,_xlpm.id),COUNTIF('2. JSEL'!$M:$M,_xlpm.id),COUNTIF('3. PSM'!$M:$M,_xlpm.id),COUNTIF('4. SSP'!$M:$M,_xlpm.id),COUNTIF('5. JSACI'!$M:$M,_xlpm.id),COUNTIF('6. AIN'!$M:$M,_xlpm.id),COUNTIF('7. MS'!$M:$M,_xlpm.id),COUNTIF('8. DS'!$M:$M,_xlpm.id),COUNTIF('9. RMF'!$M:$M,_xlpm.id),COUNTIF('10. PCU'!$M:$M,_xlpm.id))))</f>
        <v>0</v>
      </c>
    </row>
    <row r="2208" spans="1:9">
      <c r="A2208" t="s">
        <v>10312</v>
      </c>
      <c r="B2208" t="s">
        <v>10303</v>
      </c>
      <c r="C2208">
        <v>1830</v>
      </c>
      <c r="D2208">
        <v>1</v>
      </c>
      <c r="E2208" s="23">
        <v>13</v>
      </c>
      <c r="F2208" t="s">
        <v>8102</v>
      </c>
      <c r="G2208" t="s">
        <v>10484</v>
      </c>
      <c r="H2208" t="s">
        <v>8021</v>
      </c>
      <c r="I2208">
        <f>_xlfn.LET(_xlpm.id,TRIM($A2208),IF(_xlpm.id="","",SUM(COUNTIF('1. OP'!$M:$M,_xlpm.id),COUNTIF('2. JSEL'!$M:$M,_xlpm.id),COUNTIF('3. PSM'!$M:$M,_xlpm.id),COUNTIF('4. SSP'!$M:$M,_xlpm.id),COUNTIF('5. JSACI'!$M:$M,_xlpm.id),COUNTIF('6. AIN'!$M:$M,_xlpm.id),COUNTIF('7. MS'!$M:$M,_xlpm.id),COUNTIF('8. DS'!$M:$M,_xlpm.id),COUNTIF('9. RMF'!$M:$M,_xlpm.id),COUNTIF('10. PCU'!$M:$M,_xlpm.id))))</f>
        <v>0</v>
      </c>
    </row>
    <row r="2209" spans="1:9">
      <c r="A2209" t="s">
        <v>10313</v>
      </c>
      <c r="B2209" t="s">
        <v>10303</v>
      </c>
      <c r="C2209">
        <v>1830</v>
      </c>
      <c r="D2209">
        <v>1</v>
      </c>
      <c r="E2209" s="23">
        <v>15</v>
      </c>
      <c r="F2209" t="s">
        <v>8102</v>
      </c>
      <c r="G2209" t="s">
        <v>10484</v>
      </c>
      <c r="H2209" t="s">
        <v>8021</v>
      </c>
      <c r="I2209">
        <f>_xlfn.LET(_xlpm.id,TRIM($A2209),IF(_xlpm.id="","",SUM(COUNTIF('1. OP'!$M:$M,_xlpm.id),COUNTIF('2. JSEL'!$M:$M,_xlpm.id),COUNTIF('3. PSM'!$M:$M,_xlpm.id),COUNTIF('4. SSP'!$M:$M,_xlpm.id),COUNTIF('5. JSACI'!$M:$M,_xlpm.id),COUNTIF('6. AIN'!$M:$M,_xlpm.id),COUNTIF('7. MS'!$M:$M,_xlpm.id),COUNTIF('8. DS'!$M:$M,_xlpm.id),COUNTIF('9. RMF'!$M:$M,_xlpm.id),COUNTIF('10. PCU'!$M:$M,_xlpm.id))))</f>
        <v>0</v>
      </c>
    </row>
    <row r="2210" spans="1:9">
      <c r="A2210" t="s">
        <v>10314</v>
      </c>
      <c r="B2210" t="s">
        <v>10303</v>
      </c>
      <c r="C2210">
        <v>1830</v>
      </c>
      <c r="D2210">
        <v>1</v>
      </c>
      <c r="E2210" s="23">
        <v>16</v>
      </c>
      <c r="F2210" t="s">
        <v>8102</v>
      </c>
      <c r="G2210" t="s">
        <v>10484</v>
      </c>
      <c r="H2210" t="s">
        <v>8021</v>
      </c>
      <c r="I2210">
        <f>_xlfn.LET(_xlpm.id,TRIM($A2210),IF(_xlpm.id="","",SUM(COUNTIF('1. OP'!$M:$M,_xlpm.id),COUNTIF('2. JSEL'!$M:$M,_xlpm.id),COUNTIF('3. PSM'!$M:$M,_xlpm.id),COUNTIF('4. SSP'!$M:$M,_xlpm.id),COUNTIF('5. JSACI'!$M:$M,_xlpm.id),COUNTIF('6. AIN'!$M:$M,_xlpm.id),COUNTIF('7. MS'!$M:$M,_xlpm.id),COUNTIF('8. DS'!$M:$M,_xlpm.id),COUNTIF('9. RMF'!$M:$M,_xlpm.id),COUNTIF('10. PCU'!$M:$M,_xlpm.id))))</f>
        <v>0</v>
      </c>
    </row>
    <row r="2211" spans="1:9">
      <c r="A2211" t="s">
        <v>10315</v>
      </c>
      <c r="B2211" t="s">
        <v>10303</v>
      </c>
      <c r="C2211">
        <v>1831</v>
      </c>
      <c r="D2211">
        <v>1</v>
      </c>
      <c r="E2211" s="23">
        <v>5</v>
      </c>
      <c r="F2211" t="s">
        <v>8102</v>
      </c>
      <c r="G2211" t="s">
        <v>10484</v>
      </c>
      <c r="H2211" t="s">
        <v>8021</v>
      </c>
      <c r="I2211">
        <f>_xlfn.LET(_xlpm.id,TRIM($A2211),IF(_xlpm.id="","",SUM(COUNTIF('1. OP'!$M:$M,_xlpm.id),COUNTIF('2. JSEL'!$M:$M,_xlpm.id),COUNTIF('3. PSM'!$M:$M,_xlpm.id),COUNTIF('4. SSP'!$M:$M,_xlpm.id),COUNTIF('5. JSACI'!$M:$M,_xlpm.id),COUNTIF('6. AIN'!$M:$M,_xlpm.id),COUNTIF('7. MS'!$M:$M,_xlpm.id),COUNTIF('8. DS'!$M:$M,_xlpm.id),COUNTIF('9. RMF'!$M:$M,_xlpm.id),COUNTIF('10. PCU'!$M:$M,_xlpm.id))))</f>
        <v>0</v>
      </c>
    </row>
    <row r="2212" spans="1:9">
      <c r="A2212" t="s">
        <v>10316</v>
      </c>
      <c r="B2212" t="s">
        <v>10303</v>
      </c>
      <c r="C2212">
        <v>1831</v>
      </c>
      <c r="D2212">
        <v>1</v>
      </c>
      <c r="E2212" s="23">
        <v>17</v>
      </c>
      <c r="F2212" t="s">
        <v>8102</v>
      </c>
      <c r="G2212" t="s">
        <v>10484</v>
      </c>
      <c r="H2212" t="s">
        <v>8021</v>
      </c>
      <c r="I2212">
        <f>_xlfn.LET(_xlpm.id,TRIM($A2212),IF(_xlpm.id="","",SUM(COUNTIF('1. OP'!$M:$M,_xlpm.id),COUNTIF('2. JSEL'!$M:$M,_xlpm.id),COUNTIF('3. PSM'!$M:$M,_xlpm.id),COUNTIF('4. SSP'!$M:$M,_xlpm.id),COUNTIF('5. JSACI'!$M:$M,_xlpm.id),COUNTIF('6. AIN'!$M:$M,_xlpm.id),COUNTIF('7. MS'!$M:$M,_xlpm.id),COUNTIF('8. DS'!$M:$M,_xlpm.id),COUNTIF('9. RMF'!$M:$M,_xlpm.id),COUNTIF('10. PCU'!$M:$M,_xlpm.id))))</f>
        <v>0</v>
      </c>
    </row>
    <row r="2213" spans="1:9">
      <c r="A2213" t="s">
        <v>10317</v>
      </c>
      <c r="B2213" t="s">
        <v>10303</v>
      </c>
      <c r="C2213">
        <v>1831</v>
      </c>
      <c r="D2213">
        <v>1</v>
      </c>
      <c r="E2213" s="23">
        <v>18</v>
      </c>
      <c r="F2213" t="s">
        <v>8102</v>
      </c>
      <c r="G2213" t="s">
        <v>10484</v>
      </c>
      <c r="H2213" t="s">
        <v>8021</v>
      </c>
      <c r="I2213">
        <f>_xlfn.LET(_xlpm.id,TRIM($A2213),IF(_xlpm.id="","",SUM(COUNTIF('1. OP'!$M:$M,_xlpm.id),COUNTIF('2. JSEL'!$M:$M,_xlpm.id),COUNTIF('3. PSM'!$M:$M,_xlpm.id),COUNTIF('4. SSP'!$M:$M,_xlpm.id),COUNTIF('5. JSACI'!$M:$M,_xlpm.id),COUNTIF('6. AIN'!$M:$M,_xlpm.id),COUNTIF('7. MS'!$M:$M,_xlpm.id),COUNTIF('8. DS'!$M:$M,_xlpm.id),COUNTIF('9. RMF'!$M:$M,_xlpm.id),COUNTIF('10. PCU'!$M:$M,_xlpm.id))))</f>
        <v>0</v>
      </c>
    </row>
    <row r="2214" spans="1:9">
      <c r="A2214" t="s">
        <v>10318</v>
      </c>
      <c r="B2214" t="s">
        <v>10303</v>
      </c>
      <c r="C2214">
        <v>1832</v>
      </c>
      <c r="D2214">
        <v>1</v>
      </c>
      <c r="E2214" s="23">
        <v>6</v>
      </c>
      <c r="F2214" t="s">
        <v>8102</v>
      </c>
      <c r="G2214" t="s">
        <v>10484</v>
      </c>
      <c r="H2214" t="s">
        <v>8021</v>
      </c>
      <c r="I2214">
        <f>_xlfn.LET(_xlpm.id,TRIM($A2214),IF(_xlpm.id="","",SUM(COUNTIF('1. OP'!$M:$M,_xlpm.id),COUNTIF('2. JSEL'!$M:$M,_xlpm.id),COUNTIF('3. PSM'!$M:$M,_xlpm.id),COUNTIF('4. SSP'!$M:$M,_xlpm.id),COUNTIF('5. JSACI'!$M:$M,_xlpm.id),COUNTIF('6. AIN'!$M:$M,_xlpm.id),COUNTIF('7. MS'!$M:$M,_xlpm.id),COUNTIF('8. DS'!$M:$M,_xlpm.id),COUNTIF('9. RMF'!$M:$M,_xlpm.id),COUNTIF('10. PCU'!$M:$M,_xlpm.id))))</f>
        <v>0</v>
      </c>
    </row>
    <row r="2215" spans="1:9">
      <c r="A2215" t="s">
        <v>10319</v>
      </c>
      <c r="B2215" t="s">
        <v>10303</v>
      </c>
      <c r="C2215">
        <v>1833</v>
      </c>
      <c r="D2215">
        <v>1</v>
      </c>
      <c r="E2215" s="23">
        <v>7.2</v>
      </c>
      <c r="F2215" t="s">
        <v>8102</v>
      </c>
      <c r="G2215" t="s">
        <v>10484</v>
      </c>
      <c r="H2215" t="s">
        <v>8021</v>
      </c>
      <c r="I2215">
        <f>_xlfn.LET(_xlpm.id,TRIM($A2215),IF(_xlpm.id="","",SUM(COUNTIF('1. OP'!$M:$M,_xlpm.id),COUNTIF('2. JSEL'!$M:$M,_xlpm.id),COUNTIF('3. PSM'!$M:$M,_xlpm.id),COUNTIF('4. SSP'!$M:$M,_xlpm.id),COUNTIF('5. JSACI'!$M:$M,_xlpm.id),COUNTIF('6. AIN'!$M:$M,_xlpm.id),COUNTIF('7. MS'!$M:$M,_xlpm.id),COUNTIF('8. DS'!$M:$M,_xlpm.id),COUNTIF('9. RMF'!$M:$M,_xlpm.id),COUNTIF('10. PCU'!$M:$M,_xlpm.id))))</f>
        <v>0</v>
      </c>
    </row>
    <row r="2216" spans="1:9">
      <c r="A2216" t="s">
        <v>10320</v>
      </c>
      <c r="B2216" t="s">
        <v>10303</v>
      </c>
      <c r="C2216">
        <v>1833</v>
      </c>
      <c r="D2216">
        <v>1</v>
      </c>
      <c r="E2216" s="23">
        <v>7</v>
      </c>
      <c r="F2216" t="s">
        <v>8102</v>
      </c>
      <c r="G2216" t="s">
        <v>10484</v>
      </c>
      <c r="H2216" t="s">
        <v>8021</v>
      </c>
      <c r="I2216">
        <f>_xlfn.LET(_xlpm.id,TRIM($A2216),IF(_xlpm.id="","",SUM(COUNTIF('1. OP'!$M:$M,_xlpm.id),COUNTIF('2. JSEL'!$M:$M,_xlpm.id),COUNTIF('3. PSM'!$M:$M,_xlpm.id),COUNTIF('4. SSP'!$M:$M,_xlpm.id),COUNTIF('5. JSACI'!$M:$M,_xlpm.id),COUNTIF('6. AIN'!$M:$M,_xlpm.id),COUNTIF('7. MS'!$M:$M,_xlpm.id),COUNTIF('8. DS'!$M:$M,_xlpm.id),COUNTIF('9. RMF'!$M:$M,_xlpm.id),COUNTIF('10. PCU'!$M:$M,_xlpm.id))))</f>
        <v>0</v>
      </c>
    </row>
    <row r="2217" spans="1:9">
      <c r="A2217" t="s">
        <v>5345</v>
      </c>
      <c r="B2217" t="s">
        <v>10303</v>
      </c>
      <c r="C2217">
        <v>1834</v>
      </c>
      <c r="D2217">
        <v>2</v>
      </c>
      <c r="E2217" s="23">
        <v>8.1999999999999993</v>
      </c>
      <c r="F2217" t="s">
        <v>8102</v>
      </c>
      <c r="G2217" t="s">
        <v>10484</v>
      </c>
      <c r="H2217" t="s">
        <v>8021</v>
      </c>
      <c r="I2217">
        <f>_xlfn.LET(_xlpm.id,TRIM($A2217),IF(_xlpm.id="","",SUM(COUNTIF('1. OP'!$M:$M,_xlpm.id),COUNTIF('2. JSEL'!$M:$M,_xlpm.id),COUNTIF('3. PSM'!$M:$M,_xlpm.id),COUNTIF('4. SSP'!$M:$M,_xlpm.id),COUNTIF('5. JSACI'!$M:$M,_xlpm.id),COUNTIF('6. AIN'!$M:$M,_xlpm.id),COUNTIF('7. MS'!$M:$M,_xlpm.id),COUNTIF('8. DS'!$M:$M,_xlpm.id),COUNTIF('9. RMF'!$M:$M,_xlpm.id),COUNTIF('10. PCU'!$M:$M,_xlpm.id))))</f>
        <v>7</v>
      </c>
    </row>
    <row r="2218" spans="1:9">
      <c r="A2218" t="s">
        <v>10321</v>
      </c>
      <c r="B2218" t="s">
        <v>10303</v>
      </c>
      <c r="C2218">
        <v>1834</v>
      </c>
      <c r="D2218">
        <v>2</v>
      </c>
      <c r="E2218" s="23">
        <v>8</v>
      </c>
      <c r="F2218" t="s">
        <v>8102</v>
      </c>
      <c r="G2218" t="s">
        <v>10484</v>
      </c>
      <c r="H2218" t="s">
        <v>8021</v>
      </c>
      <c r="I2218">
        <f>_xlfn.LET(_xlpm.id,TRIM($A2218),IF(_xlpm.id="","",SUM(COUNTIF('1. OP'!$M:$M,_xlpm.id),COUNTIF('2. JSEL'!$M:$M,_xlpm.id),COUNTIF('3. PSM'!$M:$M,_xlpm.id),COUNTIF('4. SSP'!$M:$M,_xlpm.id),COUNTIF('5. JSACI'!$M:$M,_xlpm.id),COUNTIF('6. AIN'!$M:$M,_xlpm.id),COUNTIF('7. MS'!$M:$M,_xlpm.id),COUNTIF('8. DS'!$M:$M,_xlpm.id),COUNTIF('9. RMF'!$M:$M,_xlpm.id),COUNTIF('10. PCU'!$M:$M,_xlpm.id))))</f>
        <v>0</v>
      </c>
    </row>
    <row r="2219" spans="1:9">
      <c r="A2219" t="s">
        <v>10322</v>
      </c>
      <c r="B2219" t="s">
        <v>10303</v>
      </c>
      <c r="C2219">
        <v>1835</v>
      </c>
      <c r="D2219">
        <v>2</v>
      </c>
      <c r="E2219" s="23">
        <v>9</v>
      </c>
      <c r="F2219" t="s">
        <v>8102</v>
      </c>
      <c r="G2219" t="s">
        <v>10484</v>
      </c>
      <c r="H2219" t="s">
        <v>8021</v>
      </c>
      <c r="I2219">
        <f>_xlfn.LET(_xlpm.id,TRIM($A2219),IF(_xlpm.id="","",SUM(COUNTIF('1. OP'!$M:$M,_xlpm.id),COUNTIF('2. JSEL'!$M:$M,_xlpm.id),COUNTIF('3. PSM'!$M:$M,_xlpm.id),COUNTIF('4. SSP'!$M:$M,_xlpm.id),COUNTIF('5. JSACI'!$M:$M,_xlpm.id),COUNTIF('6. AIN'!$M:$M,_xlpm.id),COUNTIF('7. MS'!$M:$M,_xlpm.id),COUNTIF('8. DS'!$M:$M,_xlpm.id),COUNTIF('9. RMF'!$M:$M,_xlpm.id),COUNTIF('10. PCU'!$M:$M,_xlpm.id))))</f>
        <v>0</v>
      </c>
    </row>
    <row r="2220" spans="1:9">
      <c r="A2220" t="s">
        <v>10323</v>
      </c>
      <c r="B2220" t="s">
        <v>10303</v>
      </c>
      <c r="C2220">
        <v>1836</v>
      </c>
      <c r="D2220">
        <v>2</v>
      </c>
      <c r="E2220" s="23">
        <v>10</v>
      </c>
      <c r="F2220" t="s">
        <v>8102</v>
      </c>
      <c r="G2220" t="s">
        <v>10484</v>
      </c>
      <c r="H2220" t="s">
        <v>8021</v>
      </c>
      <c r="I2220">
        <f>_xlfn.LET(_xlpm.id,TRIM($A2220),IF(_xlpm.id="","",SUM(COUNTIF('1. OP'!$M:$M,_xlpm.id),COUNTIF('2. JSEL'!$M:$M,_xlpm.id),COUNTIF('3. PSM'!$M:$M,_xlpm.id),COUNTIF('4. SSP'!$M:$M,_xlpm.id),COUNTIF('5. JSACI'!$M:$M,_xlpm.id),COUNTIF('6. AIN'!$M:$M,_xlpm.id),COUNTIF('7. MS'!$M:$M,_xlpm.id),COUNTIF('8. DS'!$M:$M,_xlpm.id),COUNTIF('9. RMF'!$M:$M,_xlpm.id),COUNTIF('10. PCU'!$M:$M,_xlpm.id))))</f>
        <v>0</v>
      </c>
    </row>
    <row r="2221" spans="1:9">
      <c r="A2221" t="s">
        <v>10324</v>
      </c>
      <c r="B2221" t="s">
        <v>10303</v>
      </c>
      <c r="C2221">
        <v>1837</v>
      </c>
      <c r="D2221">
        <v>2</v>
      </c>
      <c r="E2221" s="23">
        <v>11</v>
      </c>
      <c r="F2221" t="s">
        <v>8102</v>
      </c>
      <c r="G2221" t="s">
        <v>10484</v>
      </c>
      <c r="H2221" t="s">
        <v>8021</v>
      </c>
      <c r="I2221">
        <f>_xlfn.LET(_xlpm.id,TRIM($A2221),IF(_xlpm.id="","",SUM(COUNTIF('1. OP'!$M:$M,_xlpm.id),COUNTIF('2. JSEL'!$M:$M,_xlpm.id),COUNTIF('3. PSM'!$M:$M,_xlpm.id),COUNTIF('4. SSP'!$M:$M,_xlpm.id),COUNTIF('5. JSACI'!$M:$M,_xlpm.id),COUNTIF('6. AIN'!$M:$M,_xlpm.id),COUNTIF('7. MS'!$M:$M,_xlpm.id),COUNTIF('8. DS'!$M:$M,_xlpm.id),COUNTIF('9. RMF'!$M:$M,_xlpm.id),COUNTIF('10. PCU'!$M:$M,_xlpm.id))))</f>
        <v>0</v>
      </c>
    </row>
    <row r="2222" spans="1:9">
      <c r="A2222" t="s">
        <v>10326</v>
      </c>
      <c r="B2222" t="s">
        <v>10325</v>
      </c>
      <c r="C2222">
        <v>1839</v>
      </c>
      <c r="D2222">
        <v>3</v>
      </c>
      <c r="E2222" s="23">
        <v>5</v>
      </c>
      <c r="F2222" t="s">
        <v>8102</v>
      </c>
      <c r="G2222" t="s">
        <v>10484</v>
      </c>
      <c r="H2222" t="s">
        <v>8021</v>
      </c>
      <c r="I2222">
        <f>_xlfn.LET(_xlpm.id,TRIM($A2222),IF(_xlpm.id="","",SUM(COUNTIF('1. OP'!$M:$M,_xlpm.id),COUNTIF('2. JSEL'!$M:$M,_xlpm.id),COUNTIF('3. PSM'!$M:$M,_xlpm.id),COUNTIF('4. SSP'!$M:$M,_xlpm.id),COUNTIF('5. JSACI'!$M:$M,_xlpm.id),COUNTIF('6. AIN'!$M:$M,_xlpm.id),COUNTIF('7. MS'!$M:$M,_xlpm.id),COUNTIF('8. DS'!$M:$M,_xlpm.id),COUNTIF('9. RMF'!$M:$M,_xlpm.id),COUNTIF('10. PCU'!$M:$M,_xlpm.id))))</f>
        <v>0</v>
      </c>
    </row>
    <row r="2223" spans="1:9">
      <c r="A2223" t="s">
        <v>10327</v>
      </c>
      <c r="B2223" t="s">
        <v>10325</v>
      </c>
      <c r="C2223">
        <v>1839</v>
      </c>
      <c r="D2223">
        <v>3</v>
      </c>
      <c r="E2223" s="23">
        <v>6</v>
      </c>
      <c r="F2223" t="s">
        <v>8102</v>
      </c>
      <c r="G2223" t="s">
        <v>10484</v>
      </c>
      <c r="H2223" t="s">
        <v>8021</v>
      </c>
      <c r="I2223">
        <f>_xlfn.LET(_xlpm.id,TRIM($A2223),IF(_xlpm.id="","",SUM(COUNTIF('1. OP'!$M:$M,_xlpm.id),COUNTIF('2. JSEL'!$M:$M,_xlpm.id),COUNTIF('3. PSM'!$M:$M,_xlpm.id),COUNTIF('4. SSP'!$M:$M,_xlpm.id),COUNTIF('5. JSACI'!$M:$M,_xlpm.id),COUNTIF('6. AIN'!$M:$M,_xlpm.id),COUNTIF('7. MS'!$M:$M,_xlpm.id),COUNTIF('8. DS'!$M:$M,_xlpm.id),COUNTIF('9. RMF'!$M:$M,_xlpm.id),COUNTIF('10. PCU'!$M:$M,_xlpm.id))))</f>
        <v>0</v>
      </c>
    </row>
    <row r="2224" spans="1:9">
      <c r="A2224" t="s">
        <v>7506</v>
      </c>
      <c r="B2224" t="s">
        <v>10325</v>
      </c>
      <c r="C2224">
        <v>1839</v>
      </c>
      <c r="D2224">
        <v>3</v>
      </c>
      <c r="E2224" s="23">
        <v>7</v>
      </c>
      <c r="F2224" t="s">
        <v>8102</v>
      </c>
      <c r="G2224" t="s">
        <v>10484</v>
      </c>
      <c r="H2224" t="s">
        <v>8021</v>
      </c>
      <c r="I2224">
        <f>_xlfn.LET(_xlpm.id,TRIM($A2224),IF(_xlpm.id="","",SUM(COUNTIF('1. OP'!$M:$M,_xlpm.id),COUNTIF('2. JSEL'!$M:$M,_xlpm.id),COUNTIF('3. PSM'!$M:$M,_xlpm.id),COUNTIF('4. SSP'!$M:$M,_xlpm.id),COUNTIF('5. JSACI'!$M:$M,_xlpm.id),COUNTIF('6. AIN'!$M:$M,_xlpm.id),COUNTIF('7. MS'!$M:$M,_xlpm.id),COUNTIF('8. DS'!$M:$M,_xlpm.id),COUNTIF('9. RMF'!$M:$M,_xlpm.id),COUNTIF('10. PCU'!$M:$M,_xlpm.id))))</f>
        <v>1</v>
      </c>
    </row>
    <row r="2225" spans="1:9">
      <c r="A2225" t="s">
        <v>10328</v>
      </c>
      <c r="B2225" t="s">
        <v>10325</v>
      </c>
      <c r="C2225">
        <v>1839</v>
      </c>
      <c r="D2225">
        <v>3</v>
      </c>
      <c r="E2225" s="23">
        <v>8</v>
      </c>
      <c r="F2225" t="s">
        <v>8102</v>
      </c>
      <c r="G2225" t="s">
        <v>10484</v>
      </c>
      <c r="H2225" t="s">
        <v>8021</v>
      </c>
      <c r="I2225">
        <f>_xlfn.LET(_xlpm.id,TRIM($A2225),IF(_xlpm.id="","",SUM(COUNTIF('1. OP'!$M:$M,_xlpm.id),COUNTIF('2. JSEL'!$M:$M,_xlpm.id),COUNTIF('3. PSM'!$M:$M,_xlpm.id),COUNTIF('4. SSP'!$M:$M,_xlpm.id),COUNTIF('5. JSACI'!$M:$M,_xlpm.id),COUNTIF('6. AIN'!$M:$M,_xlpm.id),COUNTIF('7. MS'!$M:$M,_xlpm.id),COUNTIF('8. DS'!$M:$M,_xlpm.id),COUNTIF('9. RMF'!$M:$M,_xlpm.id),COUNTIF('10. PCU'!$M:$M,_xlpm.id))))</f>
        <v>0</v>
      </c>
    </row>
    <row r="2226" spans="1:9">
      <c r="A2226" t="s">
        <v>10329</v>
      </c>
      <c r="B2226" t="s">
        <v>10325</v>
      </c>
      <c r="C2226">
        <v>1840</v>
      </c>
      <c r="D2226">
        <v>3</v>
      </c>
      <c r="E2226" s="23">
        <v>9</v>
      </c>
      <c r="F2226" t="s">
        <v>8102</v>
      </c>
      <c r="G2226" t="s">
        <v>10484</v>
      </c>
      <c r="H2226" t="s">
        <v>8021</v>
      </c>
      <c r="I2226">
        <f>_xlfn.LET(_xlpm.id,TRIM($A2226),IF(_xlpm.id="","",SUM(COUNTIF('1. OP'!$M:$M,_xlpm.id),COUNTIF('2. JSEL'!$M:$M,_xlpm.id),COUNTIF('3. PSM'!$M:$M,_xlpm.id),COUNTIF('4. SSP'!$M:$M,_xlpm.id),COUNTIF('5. JSACI'!$M:$M,_xlpm.id),COUNTIF('6. AIN'!$M:$M,_xlpm.id),COUNTIF('7. MS'!$M:$M,_xlpm.id),COUNTIF('8. DS'!$M:$M,_xlpm.id),COUNTIF('9. RMF'!$M:$M,_xlpm.id),COUNTIF('10. PCU'!$M:$M,_xlpm.id))))</f>
        <v>0</v>
      </c>
    </row>
    <row r="2227" spans="1:9">
      <c r="A2227" t="s">
        <v>10330</v>
      </c>
      <c r="B2227" t="s">
        <v>10325</v>
      </c>
      <c r="C2227">
        <v>1840</v>
      </c>
      <c r="D2227">
        <v>3</v>
      </c>
      <c r="E2227" s="23">
        <v>10</v>
      </c>
      <c r="F2227" t="s">
        <v>8102</v>
      </c>
      <c r="G2227" t="s">
        <v>10484</v>
      </c>
      <c r="H2227" t="s">
        <v>8021</v>
      </c>
      <c r="I2227">
        <f>_xlfn.LET(_xlpm.id,TRIM($A2227),IF(_xlpm.id="","",SUM(COUNTIF('1. OP'!$M:$M,_xlpm.id),COUNTIF('2. JSEL'!$M:$M,_xlpm.id),COUNTIF('3. PSM'!$M:$M,_xlpm.id),COUNTIF('4. SSP'!$M:$M,_xlpm.id),COUNTIF('5. JSACI'!$M:$M,_xlpm.id),COUNTIF('6. AIN'!$M:$M,_xlpm.id),COUNTIF('7. MS'!$M:$M,_xlpm.id),COUNTIF('8. DS'!$M:$M,_xlpm.id),COUNTIF('9. RMF'!$M:$M,_xlpm.id),COUNTIF('10. PCU'!$M:$M,_xlpm.id))))</f>
        <v>0</v>
      </c>
    </row>
    <row r="2228" spans="1:9">
      <c r="A2228" t="s">
        <v>10331</v>
      </c>
      <c r="B2228" t="s">
        <v>10325</v>
      </c>
      <c r="C2228">
        <v>1840</v>
      </c>
      <c r="D2228">
        <v>3</v>
      </c>
      <c r="E2228" s="23">
        <v>11</v>
      </c>
      <c r="F2228" t="s">
        <v>8102</v>
      </c>
      <c r="G2228" t="s">
        <v>10484</v>
      </c>
      <c r="H2228" t="s">
        <v>8021</v>
      </c>
      <c r="I2228">
        <f>_xlfn.LET(_xlpm.id,TRIM($A2228),IF(_xlpm.id="","",SUM(COUNTIF('1. OP'!$M:$M,_xlpm.id),COUNTIF('2. JSEL'!$M:$M,_xlpm.id),COUNTIF('3. PSM'!$M:$M,_xlpm.id),COUNTIF('4. SSP'!$M:$M,_xlpm.id),COUNTIF('5. JSACI'!$M:$M,_xlpm.id),COUNTIF('6. AIN'!$M:$M,_xlpm.id),COUNTIF('7. MS'!$M:$M,_xlpm.id),COUNTIF('8. DS'!$M:$M,_xlpm.id),COUNTIF('9. RMF'!$M:$M,_xlpm.id),COUNTIF('10. PCU'!$M:$M,_xlpm.id))))</f>
        <v>0</v>
      </c>
    </row>
    <row r="2229" spans="1:9">
      <c r="A2229" t="s">
        <v>10333</v>
      </c>
      <c r="B2229" t="s">
        <v>10332</v>
      </c>
      <c r="C2229">
        <v>1816</v>
      </c>
      <c r="D2229">
        <v>1</v>
      </c>
      <c r="E2229" s="24" t="s">
        <v>8432</v>
      </c>
      <c r="F2229" t="s">
        <v>8102</v>
      </c>
      <c r="G2229" t="s">
        <v>10484</v>
      </c>
      <c r="H2229" t="s">
        <v>8021</v>
      </c>
      <c r="I2229">
        <f>_xlfn.LET(_xlpm.id,TRIM($A2229),IF(_xlpm.id="","",SUM(COUNTIF('1. OP'!$M:$M,_xlpm.id),COUNTIF('2. JSEL'!$M:$M,_xlpm.id),COUNTIF('3. PSM'!$M:$M,_xlpm.id),COUNTIF('4. SSP'!$M:$M,_xlpm.id),COUNTIF('5. JSACI'!$M:$M,_xlpm.id),COUNTIF('6. AIN'!$M:$M,_xlpm.id),COUNTIF('7. MS'!$M:$M,_xlpm.id),COUNTIF('8. DS'!$M:$M,_xlpm.id),COUNTIF('9. RMF'!$M:$M,_xlpm.id),COUNTIF('10. PCU'!$M:$M,_xlpm.id))))</f>
        <v>0</v>
      </c>
    </row>
    <row r="2230" spans="1:9">
      <c r="A2230" t="s">
        <v>10334</v>
      </c>
      <c r="B2230" t="s">
        <v>10332</v>
      </c>
      <c r="C2230">
        <v>1816</v>
      </c>
      <c r="D2230">
        <v>1</v>
      </c>
      <c r="E2230" s="23">
        <v>19</v>
      </c>
      <c r="F2230" t="s">
        <v>8102</v>
      </c>
      <c r="G2230" t="s">
        <v>10484</v>
      </c>
      <c r="H2230" t="s">
        <v>8021</v>
      </c>
      <c r="I2230">
        <f>_xlfn.LET(_xlpm.id,TRIM($A2230),IF(_xlpm.id="","",SUM(COUNTIF('1. OP'!$M:$M,_xlpm.id),COUNTIF('2. JSEL'!$M:$M,_xlpm.id),COUNTIF('3. PSM'!$M:$M,_xlpm.id),COUNTIF('4. SSP'!$M:$M,_xlpm.id),COUNTIF('5. JSACI'!$M:$M,_xlpm.id),COUNTIF('6. AIN'!$M:$M,_xlpm.id),COUNTIF('7. MS'!$M:$M,_xlpm.id),COUNTIF('8. DS'!$M:$M,_xlpm.id),COUNTIF('9. RMF'!$M:$M,_xlpm.id),COUNTIF('10. PCU'!$M:$M,_xlpm.id))))</f>
        <v>0</v>
      </c>
    </row>
    <row r="2231" spans="1:9">
      <c r="A2231" t="s">
        <v>10335</v>
      </c>
      <c r="B2231" t="s">
        <v>10332</v>
      </c>
      <c r="C2231">
        <v>1819</v>
      </c>
      <c r="D2231">
        <v>1</v>
      </c>
      <c r="E2231" s="23">
        <v>14</v>
      </c>
      <c r="F2231" t="s">
        <v>8102</v>
      </c>
      <c r="G2231" t="s">
        <v>10484</v>
      </c>
      <c r="H2231" t="s">
        <v>8021</v>
      </c>
      <c r="I2231">
        <f>_xlfn.LET(_xlpm.id,TRIM($A2231),IF(_xlpm.id="","",SUM(COUNTIF('1. OP'!$M:$M,_xlpm.id),COUNTIF('2. JSEL'!$M:$M,_xlpm.id),COUNTIF('3. PSM'!$M:$M,_xlpm.id),COUNTIF('4. SSP'!$M:$M,_xlpm.id),COUNTIF('5. JSACI'!$M:$M,_xlpm.id),COUNTIF('6. AIN'!$M:$M,_xlpm.id),COUNTIF('7. MS'!$M:$M,_xlpm.id),COUNTIF('8. DS'!$M:$M,_xlpm.id),COUNTIF('9. RMF'!$M:$M,_xlpm.id),COUNTIF('10. PCU'!$M:$M,_xlpm.id))))</f>
        <v>0</v>
      </c>
    </row>
    <row r="2232" spans="1:9">
      <c r="A2232" t="s">
        <v>10336</v>
      </c>
      <c r="B2232" t="s">
        <v>10332</v>
      </c>
      <c r="C2232">
        <v>1819</v>
      </c>
      <c r="D2232">
        <v>1</v>
      </c>
      <c r="E2232" s="23">
        <v>15</v>
      </c>
      <c r="F2232" t="s">
        <v>8102</v>
      </c>
      <c r="G2232" t="s">
        <v>10484</v>
      </c>
      <c r="H2232" t="s">
        <v>8021</v>
      </c>
      <c r="I2232">
        <f>_xlfn.LET(_xlpm.id,TRIM($A2232),IF(_xlpm.id="","",SUM(COUNTIF('1. OP'!$M:$M,_xlpm.id),COUNTIF('2. JSEL'!$M:$M,_xlpm.id),COUNTIF('3. PSM'!$M:$M,_xlpm.id),COUNTIF('4. SSP'!$M:$M,_xlpm.id),COUNTIF('5. JSACI'!$M:$M,_xlpm.id),COUNTIF('6. AIN'!$M:$M,_xlpm.id),COUNTIF('7. MS'!$M:$M,_xlpm.id),COUNTIF('8. DS'!$M:$M,_xlpm.id),COUNTIF('9. RMF'!$M:$M,_xlpm.id),COUNTIF('10. PCU'!$M:$M,_xlpm.id))))</f>
        <v>0</v>
      </c>
    </row>
    <row r="2233" spans="1:9">
      <c r="A2233" t="s">
        <v>10337</v>
      </c>
      <c r="B2233" t="s">
        <v>10332</v>
      </c>
      <c r="C2233">
        <v>1819</v>
      </c>
      <c r="D2233">
        <v>1</v>
      </c>
      <c r="E2233" s="23">
        <v>16</v>
      </c>
      <c r="F2233" t="s">
        <v>8102</v>
      </c>
      <c r="G2233" t="s">
        <v>10484</v>
      </c>
      <c r="H2233" t="s">
        <v>8021</v>
      </c>
      <c r="I2233">
        <f>_xlfn.LET(_xlpm.id,TRIM($A2233),IF(_xlpm.id="","",SUM(COUNTIF('1. OP'!$M:$M,_xlpm.id),COUNTIF('2. JSEL'!$M:$M,_xlpm.id),COUNTIF('3. PSM'!$M:$M,_xlpm.id),COUNTIF('4. SSP'!$M:$M,_xlpm.id),COUNTIF('5. JSACI'!$M:$M,_xlpm.id),COUNTIF('6. AIN'!$M:$M,_xlpm.id),COUNTIF('7. MS'!$M:$M,_xlpm.id),COUNTIF('8. DS'!$M:$M,_xlpm.id),COUNTIF('9. RMF'!$M:$M,_xlpm.id),COUNTIF('10. PCU'!$M:$M,_xlpm.id))))</f>
        <v>0</v>
      </c>
    </row>
    <row r="2234" spans="1:9">
      <c r="A2234" t="s">
        <v>10338</v>
      </c>
      <c r="B2234" t="s">
        <v>10332</v>
      </c>
      <c r="C2234">
        <v>1820</v>
      </c>
      <c r="D2234">
        <v>1</v>
      </c>
      <c r="E2234" s="23">
        <v>17</v>
      </c>
      <c r="F2234" t="s">
        <v>8102</v>
      </c>
      <c r="G2234" t="s">
        <v>10484</v>
      </c>
      <c r="H2234" t="s">
        <v>8021</v>
      </c>
      <c r="I2234">
        <f>_xlfn.LET(_xlpm.id,TRIM($A2234),IF(_xlpm.id="","",SUM(COUNTIF('1. OP'!$M:$M,_xlpm.id),COUNTIF('2. JSEL'!$M:$M,_xlpm.id),COUNTIF('3. PSM'!$M:$M,_xlpm.id),COUNTIF('4. SSP'!$M:$M,_xlpm.id),COUNTIF('5. JSACI'!$M:$M,_xlpm.id),COUNTIF('6. AIN'!$M:$M,_xlpm.id),COUNTIF('7. MS'!$M:$M,_xlpm.id),COUNTIF('8. DS'!$M:$M,_xlpm.id),COUNTIF('9. RMF'!$M:$M,_xlpm.id),COUNTIF('10. PCU'!$M:$M,_xlpm.id))))</f>
        <v>0</v>
      </c>
    </row>
    <row r="2235" spans="1:9">
      <c r="A2235" t="s">
        <v>10339</v>
      </c>
      <c r="B2235" t="s">
        <v>10332</v>
      </c>
      <c r="C2235">
        <v>1820</v>
      </c>
      <c r="D2235">
        <v>1</v>
      </c>
      <c r="E2235" s="23">
        <v>18</v>
      </c>
      <c r="F2235" t="s">
        <v>8102</v>
      </c>
      <c r="G2235" t="s">
        <v>10484</v>
      </c>
      <c r="H2235" t="s">
        <v>8021</v>
      </c>
      <c r="I2235">
        <f>_xlfn.LET(_xlpm.id,TRIM($A2235),IF(_xlpm.id="","",SUM(COUNTIF('1. OP'!$M:$M,_xlpm.id),COUNTIF('2. JSEL'!$M:$M,_xlpm.id),COUNTIF('3. PSM'!$M:$M,_xlpm.id),COUNTIF('4. SSP'!$M:$M,_xlpm.id),COUNTIF('5. JSACI'!$M:$M,_xlpm.id),COUNTIF('6. AIN'!$M:$M,_xlpm.id),COUNTIF('7. MS'!$M:$M,_xlpm.id),COUNTIF('8. DS'!$M:$M,_xlpm.id),COUNTIF('9. RMF'!$M:$M,_xlpm.id),COUNTIF('10. PCU'!$M:$M,_xlpm.id))))</f>
        <v>0</v>
      </c>
    </row>
    <row r="2236" spans="1:9">
      <c r="A2236" t="s">
        <v>10340</v>
      </c>
      <c r="B2236" t="s">
        <v>10332</v>
      </c>
      <c r="C2236">
        <v>1820</v>
      </c>
      <c r="D2236">
        <v>1</v>
      </c>
      <c r="E2236" s="23">
        <v>19</v>
      </c>
      <c r="F2236" t="s">
        <v>8102</v>
      </c>
      <c r="G2236" t="s">
        <v>10484</v>
      </c>
      <c r="H2236" t="s">
        <v>8021</v>
      </c>
      <c r="I2236">
        <f>_xlfn.LET(_xlpm.id,TRIM($A2236),IF(_xlpm.id="","",SUM(COUNTIF('1. OP'!$M:$M,_xlpm.id),COUNTIF('2. JSEL'!$M:$M,_xlpm.id),COUNTIF('3. PSM'!$M:$M,_xlpm.id),COUNTIF('4. SSP'!$M:$M,_xlpm.id),COUNTIF('5. JSACI'!$M:$M,_xlpm.id),COUNTIF('6. AIN'!$M:$M,_xlpm.id),COUNTIF('7. MS'!$M:$M,_xlpm.id),COUNTIF('8. DS'!$M:$M,_xlpm.id),COUNTIF('9. RMF'!$M:$M,_xlpm.id),COUNTIF('10. PCU'!$M:$M,_xlpm.id))))</f>
        <v>0</v>
      </c>
    </row>
    <row r="2237" spans="1:9">
      <c r="A2237" t="s">
        <v>10341</v>
      </c>
      <c r="B2237" t="s">
        <v>10332</v>
      </c>
      <c r="C2237">
        <v>1820</v>
      </c>
      <c r="D2237">
        <v>1</v>
      </c>
      <c r="E2237" s="23">
        <v>20</v>
      </c>
      <c r="F2237" t="s">
        <v>8102</v>
      </c>
      <c r="G2237" t="s">
        <v>10484</v>
      </c>
      <c r="H2237" t="s">
        <v>8021</v>
      </c>
      <c r="I2237">
        <f>_xlfn.LET(_xlpm.id,TRIM($A2237),IF(_xlpm.id="","",SUM(COUNTIF('1. OP'!$M:$M,_xlpm.id),COUNTIF('2. JSEL'!$M:$M,_xlpm.id),COUNTIF('3. PSM'!$M:$M,_xlpm.id),COUNTIF('4. SSP'!$M:$M,_xlpm.id),COUNTIF('5. JSACI'!$M:$M,_xlpm.id),COUNTIF('6. AIN'!$M:$M,_xlpm.id),COUNTIF('7. MS'!$M:$M,_xlpm.id),COUNTIF('8. DS'!$M:$M,_xlpm.id),COUNTIF('9. RMF'!$M:$M,_xlpm.id),COUNTIF('10. PCU'!$M:$M,_xlpm.id))))</f>
        <v>0</v>
      </c>
    </row>
    <row r="2238" spans="1:9">
      <c r="A2238" t="s">
        <v>10342</v>
      </c>
      <c r="B2238" t="s">
        <v>10332</v>
      </c>
      <c r="C2238">
        <v>1821</v>
      </c>
      <c r="D2238">
        <v>1</v>
      </c>
      <c r="E2238" s="23">
        <v>21</v>
      </c>
      <c r="F2238" t="s">
        <v>8102</v>
      </c>
      <c r="G2238" t="s">
        <v>10484</v>
      </c>
      <c r="H2238" t="s">
        <v>8021</v>
      </c>
      <c r="I2238">
        <f>_xlfn.LET(_xlpm.id,TRIM($A2238),IF(_xlpm.id="","",SUM(COUNTIF('1. OP'!$M:$M,_xlpm.id),COUNTIF('2. JSEL'!$M:$M,_xlpm.id),COUNTIF('3. PSM'!$M:$M,_xlpm.id),COUNTIF('4. SSP'!$M:$M,_xlpm.id),COUNTIF('5. JSACI'!$M:$M,_xlpm.id),COUNTIF('6. AIN'!$M:$M,_xlpm.id),COUNTIF('7. MS'!$M:$M,_xlpm.id),COUNTIF('8. DS'!$M:$M,_xlpm.id),COUNTIF('9. RMF'!$M:$M,_xlpm.id),COUNTIF('10. PCU'!$M:$M,_xlpm.id))))</f>
        <v>0</v>
      </c>
    </row>
    <row r="2239" spans="1:9">
      <c r="A2239" t="s">
        <v>10343</v>
      </c>
      <c r="B2239" t="s">
        <v>10332</v>
      </c>
      <c r="C2239">
        <v>1821</v>
      </c>
      <c r="D2239">
        <v>1</v>
      </c>
      <c r="E2239" s="23">
        <v>22</v>
      </c>
      <c r="F2239" t="s">
        <v>8102</v>
      </c>
      <c r="G2239" t="s">
        <v>10484</v>
      </c>
      <c r="H2239" t="s">
        <v>8021</v>
      </c>
      <c r="I2239">
        <f>_xlfn.LET(_xlpm.id,TRIM($A2239),IF(_xlpm.id="","",SUM(COUNTIF('1. OP'!$M:$M,_xlpm.id),COUNTIF('2. JSEL'!$M:$M,_xlpm.id),COUNTIF('3. PSM'!$M:$M,_xlpm.id),COUNTIF('4. SSP'!$M:$M,_xlpm.id),COUNTIF('5. JSACI'!$M:$M,_xlpm.id),COUNTIF('6. AIN'!$M:$M,_xlpm.id),COUNTIF('7. MS'!$M:$M,_xlpm.id),COUNTIF('8. DS'!$M:$M,_xlpm.id),COUNTIF('9. RMF'!$M:$M,_xlpm.id),COUNTIF('10. PCU'!$M:$M,_xlpm.id))))</f>
        <v>0</v>
      </c>
    </row>
    <row r="2240" spans="1:9">
      <c r="A2240" t="s">
        <v>10344</v>
      </c>
      <c r="B2240" t="s">
        <v>10332</v>
      </c>
      <c r="C2240">
        <v>1821</v>
      </c>
      <c r="D2240">
        <v>1</v>
      </c>
      <c r="E2240" s="23">
        <v>23</v>
      </c>
      <c r="F2240" t="s">
        <v>8102</v>
      </c>
      <c r="G2240" t="s">
        <v>10484</v>
      </c>
      <c r="H2240" t="s">
        <v>8021</v>
      </c>
      <c r="I2240">
        <f>_xlfn.LET(_xlpm.id,TRIM($A2240),IF(_xlpm.id="","",SUM(COUNTIF('1. OP'!$M:$M,_xlpm.id),COUNTIF('2. JSEL'!$M:$M,_xlpm.id),COUNTIF('3. PSM'!$M:$M,_xlpm.id),COUNTIF('4. SSP'!$M:$M,_xlpm.id),COUNTIF('5. JSACI'!$M:$M,_xlpm.id),COUNTIF('6. AIN'!$M:$M,_xlpm.id),COUNTIF('7. MS'!$M:$M,_xlpm.id),COUNTIF('8. DS'!$M:$M,_xlpm.id),COUNTIF('9. RMF'!$M:$M,_xlpm.id),COUNTIF('10. PCU'!$M:$M,_xlpm.id))))</f>
        <v>0</v>
      </c>
    </row>
    <row r="2241" spans="1:9">
      <c r="A2241" t="s">
        <v>10345</v>
      </c>
      <c r="B2241" t="s">
        <v>10332</v>
      </c>
      <c r="C2241">
        <v>1821</v>
      </c>
      <c r="D2241">
        <v>1</v>
      </c>
      <c r="E2241" s="23">
        <v>24</v>
      </c>
      <c r="F2241" t="s">
        <v>8102</v>
      </c>
      <c r="G2241" t="s">
        <v>10484</v>
      </c>
      <c r="H2241" t="s">
        <v>8021</v>
      </c>
      <c r="I2241">
        <f>_xlfn.LET(_xlpm.id,TRIM($A2241),IF(_xlpm.id="","",SUM(COUNTIF('1. OP'!$M:$M,_xlpm.id),COUNTIF('2. JSEL'!$M:$M,_xlpm.id),COUNTIF('3. PSM'!$M:$M,_xlpm.id),COUNTIF('4. SSP'!$M:$M,_xlpm.id),COUNTIF('5. JSACI'!$M:$M,_xlpm.id),COUNTIF('6. AIN'!$M:$M,_xlpm.id),COUNTIF('7. MS'!$M:$M,_xlpm.id),COUNTIF('8. DS'!$M:$M,_xlpm.id),COUNTIF('9. RMF'!$M:$M,_xlpm.id),COUNTIF('10. PCU'!$M:$M,_xlpm.id))))</f>
        <v>0</v>
      </c>
    </row>
    <row r="2242" spans="1:9">
      <c r="A2242" t="s">
        <v>10346</v>
      </c>
      <c r="B2242" t="s">
        <v>10332</v>
      </c>
      <c r="C2242">
        <v>1822</v>
      </c>
      <c r="D2242">
        <v>1</v>
      </c>
      <c r="E2242" s="23">
        <v>25</v>
      </c>
      <c r="F2242" t="s">
        <v>8102</v>
      </c>
      <c r="G2242" t="s">
        <v>10484</v>
      </c>
      <c r="H2242" t="s">
        <v>8021</v>
      </c>
      <c r="I2242">
        <f>_xlfn.LET(_xlpm.id,TRIM($A2242),IF(_xlpm.id="","",SUM(COUNTIF('1. OP'!$M:$M,_xlpm.id),COUNTIF('2. JSEL'!$M:$M,_xlpm.id),COUNTIF('3. PSM'!$M:$M,_xlpm.id),COUNTIF('4. SSP'!$M:$M,_xlpm.id),COUNTIF('5. JSACI'!$M:$M,_xlpm.id),COUNTIF('6. AIN'!$M:$M,_xlpm.id),COUNTIF('7. MS'!$M:$M,_xlpm.id),COUNTIF('8. DS'!$M:$M,_xlpm.id),COUNTIF('9. RMF'!$M:$M,_xlpm.id),COUNTIF('10. PCU'!$M:$M,_xlpm.id))))</f>
        <v>0</v>
      </c>
    </row>
    <row r="2243" spans="1:9">
      <c r="A2243" t="s">
        <v>10347</v>
      </c>
      <c r="B2243" t="s">
        <v>10332</v>
      </c>
      <c r="C2243">
        <v>1822</v>
      </c>
      <c r="D2243">
        <v>1</v>
      </c>
      <c r="E2243" s="23">
        <v>26</v>
      </c>
      <c r="F2243" t="s">
        <v>8102</v>
      </c>
      <c r="G2243" t="s">
        <v>10484</v>
      </c>
      <c r="H2243" t="s">
        <v>8021</v>
      </c>
      <c r="I2243">
        <f>_xlfn.LET(_xlpm.id,TRIM($A2243),IF(_xlpm.id="","",SUM(COUNTIF('1. OP'!$M:$M,_xlpm.id),COUNTIF('2. JSEL'!$M:$M,_xlpm.id),COUNTIF('3. PSM'!$M:$M,_xlpm.id),COUNTIF('4. SSP'!$M:$M,_xlpm.id),COUNTIF('5. JSACI'!$M:$M,_xlpm.id),COUNTIF('6. AIN'!$M:$M,_xlpm.id),COUNTIF('7. MS'!$M:$M,_xlpm.id),COUNTIF('8. DS'!$M:$M,_xlpm.id),COUNTIF('9. RMF'!$M:$M,_xlpm.id),COUNTIF('10. PCU'!$M:$M,_xlpm.id))))</f>
        <v>0</v>
      </c>
    </row>
    <row r="2244" spans="1:9">
      <c r="A2244" t="s">
        <v>10348</v>
      </c>
      <c r="B2244" t="s">
        <v>10332</v>
      </c>
      <c r="C2244">
        <v>1822</v>
      </c>
      <c r="D2244">
        <v>1</v>
      </c>
      <c r="E2244" s="23">
        <v>27</v>
      </c>
      <c r="F2244" t="s">
        <v>8102</v>
      </c>
      <c r="G2244" t="s">
        <v>10484</v>
      </c>
      <c r="H2244" t="s">
        <v>8021</v>
      </c>
      <c r="I2244">
        <f>_xlfn.LET(_xlpm.id,TRIM($A2244),IF(_xlpm.id="","",SUM(COUNTIF('1. OP'!$M:$M,_xlpm.id),COUNTIF('2. JSEL'!$M:$M,_xlpm.id),COUNTIF('3. PSM'!$M:$M,_xlpm.id),COUNTIF('4. SSP'!$M:$M,_xlpm.id),COUNTIF('5. JSACI'!$M:$M,_xlpm.id),COUNTIF('6. AIN'!$M:$M,_xlpm.id),COUNTIF('7. MS'!$M:$M,_xlpm.id),COUNTIF('8. DS'!$M:$M,_xlpm.id),COUNTIF('9. RMF'!$M:$M,_xlpm.id),COUNTIF('10. PCU'!$M:$M,_xlpm.id))))</f>
        <v>0</v>
      </c>
    </row>
    <row r="2245" spans="1:9">
      <c r="A2245" t="s">
        <v>10349</v>
      </c>
      <c r="B2245" t="s">
        <v>10332</v>
      </c>
      <c r="C2245">
        <v>1822</v>
      </c>
      <c r="D2245">
        <v>1</v>
      </c>
      <c r="E2245" s="23">
        <v>28</v>
      </c>
      <c r="F2245" t="s">
        <v>8102</v>
      </c>
      <c r="G2245" t="s">
        <v>10484</v>
      </c>
      <c r="H2245" t="s">
        <v>8021</v>
      </c>
      <c r="I2245">
        <f>_xlfn.LET(_xlpm.id,TRIM($A2245),IF(_xlpm.id="","",SUM(COUNTIF('1. OP'!$M:$M,_xlpm.id),COUNTIF('2. JSEL'!$M:$M,_xlpm.id),COUNTIF('3. PSM'!$M:$M,_xlpm.id),COUNTIF('4. SSP'!$M:$M,_xlpm.id),COUNTIF('5. JSACI'!$M:$M,_xlpm.id),COUNTIF('6. AIN'!$M:$M,_xlpm.id),COUNTIF('7. MS'!$M:$M,_xlpm.id),COUNTIF('8. DS'!$M:$M,_xlpm.id),COUNTIF('9. RMF'!$M:$M,_xlpm.id),COUNTIF('10. PCU'!$M:$M,_xlpm.id))))</f>
        <v>0</v>
      </c>
    </row>
    <row r="2246" spans="1:9">
      <c r="A2246" t="s">
        <v>10350</v>
      </c>
      <c r="B2246" t="s">
        <v>10332</v>
      </c>
      <c r="C2246">
        <v>1823</v>
      </c>
      <c r="D2246">
        <v>1</v>
      </c>
      <c r="E2246" s="23">
        <v>29</v>
      </c>
      <c r="F2246" t="s">
        <v>8102</v>
      </c>
      <c r="G2246" t="s">
        <v>10484</v>
      </c>
      <c r="H2246" t="s">
        <v>8021</v>
      </c>
      <c r="I2246">
        <f>_xlfn.LET(_xlpm.id,TRIM($A2246),IF(_xlpm.id="","",SUM(COUNTIF('1. OP'!$M:$M,_xlpm.id),COUNTIF('2. JSEL'!$M:$M,_xlpm.id),COUNTIF('3. PSM'!$M:$M,_xlpm.id),COUNTIF('4. SSP'!$M:$M,_xlpm.id),COUNTIF('5. JSACI'!$M:$M,_xlpm.id),COUNTIF('6. AIN'!$M:$M,_xlpm.id),COUNTIF('7. MS'!$M:$M,_xlpm.id),COUNTIF('8. DS'!$M:$M,_xlpm.id),COUNTIF('9. RMF'!$M:$M,_xlpm.id),COUNTIF('10. PCU'!$M:$M,_xlpm.id))))</f>
        <v>0</v>
      </c>
    </row>
    <row r="2247" spans="1:9">
      <c r="A2247" t="s">
        <v>10351</v>
      </c>
      <c r="B2247" t="s">
        <v>10332</v>
      </c>
      <c r="C2247">
        <v>1823</v>
      </c>
      <c r="D2247">
        <v>1</v>
      </c>
      <c r="E2247" s="23">
        <v>30</v>
      </c>
      <c r="F2247" t="s">
        <v>8102</v>
      </c>
      <c r="G2247" t="s">
        <v>10484</v>
      </c>
      <c r="H2247" t="s">
        <v>8021</v>
      </c>
      <c r="I2247">
        <f>_xlfn.LET(_xlpm.id,TRIM($A2247),IF(_xlpm.id="","",SUM(COUNTIF('1. OP'!$M:$M,_xlpm.id),COUNTIF('2. JSEL'!$M:$M,_xlpm.id),COUNTIF('3. PSM'!$M:$M,_xlpm.id),COUNTIF('4. SSP'!$M:$M,_xlpm.id),COUNTIF('5. JSACI'!$M:$M,_xlpm.id),COUNTIF('6. AIN'!$M:$M,_xlpm.id),COUNTIF('7. MS'!$M:$M,_xlpm.id),COUNTIF('8. DS'!$M:$M,_xlpm.id),COUNTIF('9. RMF'!$M:$M,_xlpm.id),COUNTIF('10. PCU'!$M:$M,_xlpm.id))))</f>
        <v>0</v>
      </c>
    </row>
    <row r="2248" spans="1:9">
      <c r="A2248" t="s">
        <v>10352</v>
      </c>
      <c r="B2248" t="s">
        <v>10332</v>
      </c>
      <c r="C2248">
        <v>1823</v>
      </c>
      <c r="D2248">
        <v>1</v>
      </c>
      <c r="E2248" s="23">
        <v>31</v>
      </c>
      <c r="F2248" t="s">
        <v>8102</v>
      </c>
      <c r="G2248" t="s">
        <v>10484</v>
      </c>
      <c r="H2248" t="s">
        <v>8021</v>
      </c>
      <c r="I2248">
        <f>_xlfn.LET(_xlpm.id,TRIM($A2248),IF(_xlpm.id="","",SUM(COUNTIF('1. OP'!$M:$M,_xlpm.id),COUNTIF('2. JSEL'!$M:$M,_xlpm.id),COUNTIF('3. PSM'!$M:$M,_xlpm.id),COUNTIF('4. SSP'!$M:$M,_xlpm.id),COUNTIF('5. JSACI'!$M:$M,_xlpm.id),COUNTIF('6. AIN'!$M:$M,_xlpm.id),COUNTIF('7. MS'!$M:$M,_xlpm.id),COUNTIF('8. DS'!$M:$M,_xlpm.id),COUNTIF('9. RMF'!$M:$M,_xlpm.id),COUNTIF('10. PCU'!$M:$M,_xlpm.id))))</f>
        <v>0</v>
      </c>
    </row>
    <row r="2249" spans="1:9">
      <c r="A2249" t="s">
        <v>10353</v>
      </c>
      <c r="B2249" t="s">
        <v>10332</v>
      </c>
      <c r="C2249">
        <v>1823</v>
      </c>
      <c r="D2249">
        <v>1</v>
      </c>
      <c r="E2249" s="23">
        <v>32</v>
      </c>
      <c r="F2249" t="s">
        <v>8102</v>
      </c>
      <c r="G2249" t="s">
        <v>10484</v>
      </c>
      <c r="H2249" t="s">
        <v>8021</v>
      </c>
      <c r="I2249">
        <f>_xlfn.LET(_xlpm.id,TRIM($A2249),IF(_xlpm.id="","",SUM(COUNTIF('1. OP'!$M:$M,_xlpm.id),COUNTIF('2. JSEL'!$M:$M,_xlpm.id),COUNTIF('3. PSM'!$M:$M,_xlpm.id),COUNTIF('4. SSP'!$M:$M,_xlpm.id),COUNTIF('5. JSACI'!$M:$M,_xlpm.id),COUNTIF('6. AIN'!$M:$M,_xlpm.id),COUNTIF('7. MS'!$M:$M,_xlpm.id),COUNTIF('8. DS'!$M:$M,_xlpm.id),COUNTIF('9. RMF'!$M:$M,_xlpm.id),COUNTIF('10. PCU'!$M:$M,_xlpm.id))))</f>
        <v>0</v>
      </c>
    </row>
    <row r="2250" spans="1:9">
      <c r="A2250" t="s">
        <v>10354</v>
      </c>
      <c r="B2250" t="s">
        <v>10332</v>
      </c>
      <c r="C2250">
        <v>1824</v>
      </c>
      <c r="D2250">
        <v>1</v>
      </c>
      <c r="E2250" s="23">
        <v>33</v>
      </c>
      <c r="F2250" t="s">
        <v>8102</v>
      </c>
      <c r="G2250" t="s">
        <v>10484</v>
      </c>
      <c r="H2250" t="s">
        <v>8021</v>
      </c>
      <c r="I2250">
        <f>_xlfn.LET(_xlpm.id,TRIM($A2250),IF(_xlpm.id="","",SUM(COUNTIF('1. OP'!$M:$M,_xlpm.id),COUNTIF('2. JSEL'!$M:$M,_xlpm.id),COUNTIF('3. PSM'!$M:$M,_xlpm.id),COUNTIF('4. SSP'!$M:$M,_xlpm.id),COUNTIF('5. JSACI'!$M:$M,_xlpm.id),COUNTIF('6. AIN'!$M:$M,_xlpm.id),COUNTIF('7. MS'!$M:$M,_xlpm.id),COUNTIF('8. DS'!$M:$M,_xlpm.id),COUNTIF('9. RMF'!$M:$M,_xlpm.id),COUNTIF('10. PCU'!$M:$M,_xlpm.id))))</f>
        <v>0</v>
      </c>
    </row>
    <row r="2251" spans="1:9">
      <c r="A2251" t="s">
        <v>10355</v>
      </c>
      <c r="B2251" t="s">
        <v>10332</v>
      </c>
      <c r="C2251">
        <v>1824</v>
      </c>
      <c r="D2251">
        <v>1</v>
      </c>
      <c r="E2251" s="23">
        <v>34</v>
      </c>
      <c r="F2251" t="s">
        <v>8102</v>
      </c>
      <c r="G2251" t="s">
        <v>10484</v>
      </c>
      <c r="H2251" t="s">
        <v>8021</v>
      </c>
      <c r="I2251">
        <f>_xlfn.LET(_xlpm.id,TRIM($A2251),IF(_xlpm.id="","",SUM(COUNTIF('1. OP'!$M:$M,_xlpm.id),COUNTIF('2. JSEL'!$M:$M,_xlpm.id),COUNTIF('3. PSM'!$M:$M,_xlpm.id),COUNTIF('4. SSP'!$M:$M,_xlpm.id),COUNTIF('5. JSACI'!$M:$M,_xlpm.id),COUNTIF('6. AIN'!$M:$M,_xlpm.id),COUNTIF('7. MS'!$M:$M,_xlpm.id),COUNTIF('8. DS'!$M:$M,_xlpm.id),COUNTIF('9. RMF'!$M:$M,_xlpm.id),COUNTIF('10. PCU'!$M:$M,_xlpm.id))))</f>
        <v>0</v>
      </c>
    </row>
    <row r="2252" spans="1:9">
      <c r="A2252" t="s">
        <v>10356</v>
      </c>
      <c r="B2252" t="s">
        <v>10332</v>
      </c>
      <c r="C2252">
        <v>1824</v>
      </c>
      <c r="D2252">
        <v>1</v>
      </c>
      <c r="E2252" s="23">
        <v>35</v>
      </c>
      <c r="F2252" t="s">
        <v>8102</v>
      </c>
      <c r="G2252" t="s">
        <v>10484</v>
      </c>
      <c r="H2252" t="s">
        <v>8021</v>
      </c>
      <c r="I2252">
        <f>_xlfn.LET(_xlpm.id,TRIM($A2252),IF(_xlpm.id="","",SUM(COUNTIF('1. OP'!$M:$M,_xlpm.id),COUNTIF('2. JSEL'!$M:$M,_xlpm.id),COUNTIF('3. PSM'!$M:$M,_xlpm.id),COUNTIF('4. SSP'!$M:$M,_xlpm.id),COUNTIF('5. JSACI'!$M:$M,_xlpm.id),COUNTIF('6. AIN'!$M:$M,_xlpm.id),COUNTIF('7. MS'!$M:$M,_xlpm.id),COUNTIF('8. DS'!$M:$M,_xlpm.id),COUNTIF('9. RMF'!$M:$M,_xlpm.id),COUNTIF('10. PCU'!$M:$M,_xlpm.id))))</f>
        <v>0</v>
      </c>
    </row>
    <row r="2253" spans="1:9">
      <c r="A2253" t="s">
        <v>10357</v>
      </c>
      <c r="B2253" t="s">
        <v>10332</v>
      </c>
      <c r="C2253">
        <v>1824</v>
      </c>
      <c r="D2253">
        <v>1</v>
      </c>
      <c r="E2253" s="23">
        <v>36</v>
      </c>
      <c r="F2253" t="s">
        <v>8102</v>
      </c>
      <c r="G2253" t="s">
        <v>10484</v>
      </c>
      <c r="H2253" t="s">
        <v>8021</v>
      </c>
      <c r="I2253">
        <f>_xlfn.LET(_xlpm.id,TRIM($A2253),IF(_xlpm.id="","",SUM(COUNTIF('1. OP'!$M:$M,_xlpm.id),COUNTIF('2. JSEL'!$M:$M,_xlpm.id),COUNTIF('3. PSM'!$M:$M,_xlpm.id),COUNTIF('4. SSP'!$M:$M,_xlpm.id),COUNTIF('5. JSACI'!$M:$M,_xlpm.id),COUNTIF('6. AIN'!$M:$M,_xlpm.id),COUNTIF('7. MS'!$M:$M,_xlpm.id),COUNTIF('8. DS'!$M:$M,_xlpm.id),COUNTIF('9. RMF'!$M:$M,_xlpm.id),COUNTIF('10. PCU'!$M:$M,_xlpm.id))))</f>
        <v>0</v>
      </c>
    </row>
    <row r="2254" spans="1:9">
      <c r="A2254" t="s">
        <v>10358</v>
      </c>
      <c r="B2254" t="s">
        <v>10332</v>
      </c>
      <c r="C2254">
        <v>1825</v>
      </c>
      <c r="D2254">
        <v>1</v>
      </c>
      <c r="E2254" s="23">
        <v>37</v>
      </c>
      <c r="F2254" t="s">
        <v>8102</v>
      </c>
      <c r="G2254" t="s">
        <v>10484</v>
      </c>
      <c r="H2254" t="s">
        <v>8021</v>
      </c>
      <c r="I2254">
        <f>_xlfn.LET(_xlpm.id,TRIM($A2254),IF(_xlpm.id="","",SUM(COUNTIF('1. OP'!$M:$M,_xlpm.id),COUNTIF('2. JSEL'!$M:$M,_xlpm.id),COUNTIF('3. PSM'!$M:$M,_xlpm.id),COUNTIF('4. SSP'!$M:$M,_xlpm.id),COUNTIF('5. JSACI'!$M:$M,_xlpm.id),COUNTIF('6. AIN'!$M:$M,_xlpm.id),COUNTIF('7. MS'!$M:$M,_xlpm.id),COUNTIF('8. DS'!$M:$M,_xlpm.id),COUNTIF('9. RMF'!$M:$M,_xlpm.id),COUNTIF('10. PCU'!$M:$M,_xlpm.id))))</f>
        <v>0</v>
      </c>
    </row>
    <row r="2255" spans="1:9">
      <c r="A2255" t="s">
        <v>10359</v>
      </c>
      <c r="B2255" t="s">
        <v>10332</v>
      </c>
      <c r="C2255">
        <v>1825</v>
      </c>
      <c r="D2255">
        <v>1</v>
      </c>
      <c r="E2255" s="23">
        <v>38</v>
      </c>
      <c r="F2255" t="s">
        <v>8102</v>
      </c>
      <c r="G2255" t="s">
        <v>10484</v>
      </c>
      <c r="H2255" t="s">
        <v>8021</v>
      </c>
      <c r="I2255">
        <f>_xlfn.LET(_xlpm.id,TRIM($A2255),IF(_xlpm.id="","",SUM(COUNTIF('1. OP'!$M:$M,_xlpm.id),COUNTIF('2. JSEL'!$M:$M,_xlpm.id),COUNTIF('3. PSM'!$M:$M,_xlpm.id),COUNTIF('4. SSP'!$M:$M,_xlpm.id),COUNTIF('5. JSACI'!$M:$M,_xlpm.id),COUNTIF('6. AIN'!$M:$M,_xlpm.id),COUNTIF('7. MS'!$M:$M,_xlpm.id),COUNTIF('8. DS'!$M:$M,_xlpm.id),COUNTIF('9. RMF'!$M:$M,_xlpm.id),COUNTIF('10. PCU'!$M:$M,_xlpm.id))))</f>
        <v>0</v>
      </c>
    </row>
    <row r="2256" spans="1:9">
      <c r="A2256" t="s">
        <v>10360</v>
      </c>
      <c r="B2256" t="s">
        <v>10332</v>
      </c>
      <c r="C2256">
        <v>1825</v>
      </c>
      <c r="D2256">
        <v>1</v>
      </c>
      <c r="E2256" s="23">
        <v>39</v>
      </c>
      <c r="F2256" t="s">
        <v>8102</v>
      </c>
      <c r="G2256" t="s">
        <v>10484</v>
      </c>
      <c r="H2256" t="s">
        <v>8021</v>
      </c>
      <c r="I2256">
        <f>_xlfn.LET(_xlpm.id,TRIM($A2256),IF(_xlpm.id="","",SUM(COUNTIF('1. OP'!$M:$M,_xlpm.id),COUNTIF('2. JSEL'!$M:$M,_xlpm.id),COUNTIF('3. PSM'!$M:$M,_xlpm.id),COUNTIF('4. SSP'!$M:$M,_xlpm.id),COUNTIF('5. JSACI'!$M:$M,_xlpm.id),COUNTIF('6. AIN'!$M:$M,_xlpm.id),COUNTIF('7. MS'!$M:$M,_xlpm.id),COUNTIF('8. DS'!$M:$M,_xlpm.id),COUNTIF('9. RMF'!$M:$M,_xlpm.id),COUNTIF('10. PCU'!$M:$M,_xlpm.id))))</f>
        <v>0</v>
      </c>
    </row>
    <row r="2257" spans="1:9">
      <c r="A2257" t="s">
        <v>10361</v>
      </c>
      <c r="B2257" t="s">
        <v>10332</v>
      </c>
      <c r="C2257">
        <v>1825</v>
      </c>
      <c r="D2257">
        <v>1</v>
      </c>
      <c r="E2257" s="23">
        <v>40</v>
      </c>
      <c r="F2257" t="s">
        <v>8102</v>
      </c>
      <c r="G2257" t="s">
        <v>10484</v>
      </c>
      <c r="H2257" t="s">
        <v>8021</v>
      </c>
      <c r="I2257">
        <f>_xlfn.LET(_xlpm.id,TRIM($A2257),IF(_xlpm.id="","",SUM(COUNTIF('1. OP'!$M:$M,_xlpm.id),COUNTIF('2. JSEL'!$M:$M,_xlpm.id),COUNTIF('3. PSM'!$M:$M,_xlpm.id),COUNTIF('4. SSP'!$M:$M,_xlpm.id),COUNTIF('5. JSACI'!$M:$M,_xlpm.id),COUNTIF('6. AIN'!$M:$M,_xlpm.id),COUNTIF('7. MS'!$M:$M,_xlpm.id),COUNTIF('8. DS'!$M:$M,_xlpm.id),COUNTIF('9. RMF'!$M:$M,_xlpm.id),COUNTIF('10. PCU'!$M:$M,_xlpm.id))))</f>
        <v>0</v>
      </c>
    </row>
    <row r="2258" spans="1:9">
      <c r="A2258" t="s">
        <v>10362</v>
      </c>
      <c r="B2258" t="s">
        <v>10332</v>
      </c>
      <c r="C2258">
        <v>1826</v>
      </c>
      <c r="D2258">
        <v>1</v>
      </c>
      <c r="E2258" s="23">
        <v>41</v>
      </c>
      <c r="F2258" t="s">
        <v>8102</v>
      </c>
      <c r="G2258" t="s">
        <v>10484</v>
      </c>
      <c r="H2258" t="s">
        <v>8021</v>
      </c>
      <c r="I2258">
        <f>_xlfn.LET(_xlpm.id,TRIM($A2258),IF(_xlpm.id="","",SUM(COUNTIF('1. OP'!$M:$M,_xlpm.id),COUNTIF('2. JSEL'!$M:$M,_xlpm.id),COUNTIF('3. PSM'!$M:$M,_xlpm.id),COUNTIF('4. SSP'!$M:$M,_xlpm.id),COUNTIF('5. JSACI'!$M:$M,_xlpm.id),COUNTIF('6. AIN'!$M:$M,_xlpm.id),COUNTIF('7. MS'!$M:$M,_xlpm.id),COUNTIF('8. DS'!$M:$M,_xlpm.id),COUNTIF('9. RMF'!$M:$M,_xlpm.id),COUNTIF('10. PCU'!$M:$M,_xlpm.id))))</f>
        <v>0</v>
      </c>
    </row>
    <row r="2259" spans="1:9">
      <c r="A2259" t="s">
        <v>10363</v>
      </c>
      <c r="B2259" t="s">
        <v>10332</v>
      </c>
      <c r="C2259">
        <v>1826</v>
      </c>
      <c r="D2259">
        <v>1</v>
      </c>
      <c r="E2259" s="23">
        <v>42</v>
      </c>
      <c r="F2259" t="s">
        <v>8102</v>
      </c>
      <c r="G2259" t="s">
        <v>10484</v>
      </c>
      <c r="H2259" t="s">
        <v>8021</v>
      </c>
      <c r="I2259">
        <f>_xlfn.LET(_xlpm.id,TRIM($A2259),IF(_xlpm.id="","",SUM(COUNTIF('1. OP'!$M:$M,_xlpm.id),COUNTIF('2. JSEL'!$M:$M,_xlpm.id),COUNTIF('3. PSM'!$M:$M,_xlpm.id),COUNTIF('4. SSP'!$M:$M,_xlpm.id),COUNTIF('5. JSACI'!$M:$M,_xlpm.id),COUNTIF('6. AIN'!$M:$M,_xlpm.id),COUNTIF('7. MS'!$M:$M,_xlpm.id),COUNTIF('8. DS'!$M:$M,_xlpm.id),COUNTIF('9. RMF'!$M:$M,_xlpm.id),COUNTIF('10. PCU'!$M:$M,_xlpm.id))))</f>
        <v>0</v>
      </c>
    </row>
    <row r="2260" spans="1:9">
      <c r="A2260" t="s">
        <v>10364</v>
      </c>
      <c r="B2260" t="s">
        <v>10332</v>
      </c>
      <c r="C2260">
        <v>1826</v>
      </c>
      <c r="D2260">
        <v>1</v>
      </c>
      <c r="E2260" s="23">
        <v>43</v>
      </c>
      <c r="F2260" t="s">
        <v>8102</v>
      </c>
      <c r="G2260" t="s">
        <v>10484</v>
      </c>
      <c r="H2260" t="s">
        <v>8021</v>
      </c>
      <c r="I2260">
        <f>_xlfn.LET(_xlpm.id,TRIM($A2260),IF(_xlpm.id="","",SUM(COUNTIF('1. OP'!$M:$M,_xlpm.id),COUNTIF('2. JSEL'!$M:$M,_xlpm.id),COUNTIF('3. PSM'!$M:$M,_xlpm.id),COUNTIF('4. SSP'!$M:$M,_xlpm.id),COUNTIF('5. JSACI'!$M:$M,_xlpm.id),COUNTIF('6. AIN'!$M:$M,_xlpm.id),COUNTIF('7. MS'!$M:$M,_xlpm.id),COUNTIF('8. DS'!$M:$M,_xlpm.id),COUNTIF('9. RMF'!$M:$M,_xlpm.id),COUNTIF('10. PCU'!$M:$M,_xlpm.id))))</f>
        <v>0</v>
      </c>
    </row>
    <row r="2261" spans="1:9">
      <c r="A2261" t="s">
        <v>10365</v>
      </c>
      <c r="B2261" t="s">
        <v>10332</v>
      </c>
      <c r="C2261">
        <v>1826</v>
      </c>
      <c r="D2261">
        <v>1</v>
      </c>
      <c r="E2261" s="23">
        <v>44</v>
      </c>
      <c r="F2261" t="s">
        <v>8102</v>
      </c>
      <c r="G2261" t="s">
        <v>10484</v>
      </c>
      <c r="H2261" t="s">
        <v>8021</v>
      </c>
      <c r="I2261">
        <f>_xlfn.LET(_xlpm.id,TRIM($A2261),IF(_xlpm.id="","",SUM(COUNTIF('1. OP'!$M:$M,_xlpm.id),COUNTIF('2. JSEL'!$M:$M,_xlpm.id),COUNTIF('3. PSM'!$M:$M,_xlpm.id),COUNTIF('4. SSP'!$M:$M,_xlpm.id),COUNTIF('5. JSACI'!$M:$M,_xlpm.id),COUNTIF('6. AIN'!$M:$M,_xlpm.id),COUNTIF('7. MS'!$M:$M,_xlpm.id),COUNTIF('8. DS'!$M:$M,_xlpm.id),COUNTIF('9. RMF'!$M:$M,_xlpm.id),COUNTIF('10. PCU'!$M:$M,_xlpm.id))))</f>
        <v>0</v>
      </c>
    </row>
    <row r="2262" spans="1:9">
      <c r="A2262" t="s">
        <v>10366</v>
      </c>
      <c r="B2262" t="s">
        <v>10332</v>
      </c>
      <c r="C2262">
        <v>1827</v>
      </c>
      <c r="D2262">
        <v>1</v>
      </c>
      <c r="E2262" s="23">
        <v>45</v>
      </c>
      <c r="F2262" t="s">
        <v>8102</v>
      </c>
      <c r="G2262" t="s">
        <v>10484</v>
      </c>
      <c r="H2262" t="s">
        <v>8021</v>
      </c>
      <c r="I2262">
        <f>_xlfn.LET(_xlpm.id,TRIM($A2262),IF(_xlpm.id="","",SUM(COUNTIF('1. OP'!$M:$M,_xlpm.id),COUNTIF('2. JSEL'!$M:$M,_xlpm.id),COUNTIF('3. PSM'!$M:$M,_xlpm.id),COUNTIF('4. SSP'!$M:$M,_xlpm.id),COUNTIF('5. JSACI'!$M:$M,_xlpm.id),COUNTIF('6. AIN'!$M:$M,_xlpm.id),COUNTIF('7. MS'!$M:$M,_xlpm.id),COUNTIF('8. DS'!$M:$M,_xlpm.id),COUNTIF('9. RMF'!$M:$M,_xlpm.id),COUNTIF('10. PCU'!$M:$M,_xlpm.id))))</f>
        <v>0</v>
      </c>
    </row>
    <row r="2263" spans="1:9">
      <c r="A2263" t="s">
        <v>10367</v>
      </c>
      <c r="B2263" t="s">
        <v>10332</v>
      </c>
      <c r="C2263">
        <v>1827</v>
      </c>
      <c r="D2263">
        <v>1</v>
      </c>
      <c r="E2263" s="23">
        <v>46</v>
      </c>
      <c r="F2263" t="s">
        <v>8102</v>
      </c>
      <c r="G2263" t="s">
        <v>10484</v>
      </c>
      <c r="H2263" t="s">
        <v>8021</v>
      </c>
      <c r="I2263">
        <f>_xlfn.LET(_xlpm.id,TRIM($A2263),IF(_xlpm.id="","",SUM(COUNTIF('1. OP'!$M:$M,_xlpm.id),COUNTIF('2. JSEL'!$M:$M,_xlpm.id),COUNTIF('3. PSM'!$M:$M,_xlpm.id),COUNTIF('4. SSP'!$M:$M,_xlpm.id),COUNTIF('5. JSACI'!$M:$M,_xlpm.id),COUNTIF('6. AIN'!$M:$M,_xlpm.id),COUNTIF('7. MS'!$M:$M,_xlpm.id),COUNTIF('8. DS'!$M:$M,_xlpm.id),COUNTIF('9. RMF'!$M:$M,_xlpm.id),COUNTIF('10. PCU'!$M:$M,_xlpm.id))))</f>
        <v>0</v>
      </c>
    </row>
    <row r="2264" spans="1:9">
      <c r="A2264" t="s">
        <v>10368</v>
      </c>
      <c r="B2264" t="s">
        <v>10332</v>
      </c>
      <c r="C2264">
        <v>1827</v>
      </c>
      <c r="D2264">
        <v>1</v>
      </c>
      <c r="E2264" s="23">
        <v>47</v>
      </c>
      <c r="F2264" t="s">
        <v>8102</v>
      </c>
      <c r="G2264" t="s">
        <v>10484</v>
      </c>
      <c r="H2264" t="s">
        <v>8021</v>
      </c>
      <c r="I2264">
        <f>_xlfn.LET(_xlpm.id,TRIM($A2264),IF(_xlpm.id="","",SUM(COUNTIF('1. OP'!$M:$M,_xlpm.id),COUNTIF('2. JSEL'!$M:$M,_xlpm.id),COUNTIF('3. PSM'!$M:$M,_xlpm.id),COUNTIF('4. SSP'!$M:$M,_xlpm.id),COUNTIF('5. JSACI'!$M:$M,_xlpm.id),COUNTIF('6. AIN'!$M:$M,_xlpm.id),COUNTIF('7. MS'!$M:$M,_xlpm.id),COUNTIF('8. DS'!$M:$M,_xlpm.id),COUNTIF('9. RMF'!$M:$M,_xlpm.id),COUNTIF('10. PCU'!$M:$M,_xlpm.id))))</f>
        <v>0</v>
      </c>
    </row>
    <row r="2265" spans="1:9">
      <c r="A2265" t="s">
        <v>10369</v>
      </c>
      <c r="B2265" t="s">
        <v>10332</v>
      </c>
      <c r="C2265">
        <v>1827</v>
      </c>
      <c r="D2265">
        <v>1</v>
      </c>
      <c r="E2265" s="23">
        <v>48</v>
      </c>
      <c r="F2265" t="s">
        <v>8102</v>
      </c>
      <c r="G2265" t="s">
        <v>10484</v>
      </c>
      <c r="H2265" t="s">
        <v>8021</v>
      </c>
      <c r="I2265">
        <f>_xlfn.LET(_xlpm.id,TRIM($A2265),IF(_xlpm.id="","",SUM(COUNTIF('1. OP'!$M:$M,_xlpm.id),COUNTIF('2. JSEL'!$M:$M,_xlpm.id),COUNTIF('3. PSM'!$M:$M,_xlpm.id),COUNTIF('4. SSP'!$M:$M,_xlpm.id),COUNTIF('5. JSACI'!$M:$M,_xlpm.id),COUNTIF('6. AIN'!$M:$M,_xlpm.id),COUNTIF('7. MS'!$M:$M,_xlpm.id),COUNTIF('8. DS'!$M:$M,_xlpm.id),COUNTIF('9. RMF'!$M:$M,_xlpm.id),COUNTIF('10. PCU'!$M:$M,_xlpm.id))))</f>
        <v>0</v>
      </c>
    </row>
    <row r="2266" spans="1:9">
      <c r="A2266" t="s">
        <v>10370</v>
      </c>
      <c r="B2266" t="s">
        <v>10332</v>
      </c>
      <c r="C2266">
        <v>1828</v>
      </c>
      <c r="D2266">
        <v>1</v>
      </c>
      <c r="E2266" s="23">
        <v>49</v>
      </c>
      <c r="F2266" t="s">
        <v>8102</v>
      </c>
      <c r="G2266" t="s">
        <v>10484</v>
      </c>
      <c r="H2266" t="s">
        <v>8021</v>
      </c>
      <c r="I2266">
        <f>_xlfn.LET(_xlpm.id,TRIM($A2266),IF(_xlpm.id="","",SUM(COUNTIF('1. OP'!$M:$M,_xlpm.id),COUNTIF('2. JSEL'!$M:$M,_xlpm.id),COUNTIF('3. PSM'!$M:$M,_xlpm.id),COUNTIF('4. SSP'!$M:$M,_xlpm.id),COUNTIF('5. JSACI'!$M:$M,_xlpm.id),COUNTIF('6. AIN'!$M:$M,_xlpm.id),COUNTIF('7. MS'!$M:$M,_xlpm.id),COUNTIF('8. DS'!$M:$M,_xlpm.id),COUNTIF('9. RMF'!$M:$M,_xlpm.id),COUNTIF('10. PCU'!$M:$M,_xlpm.id))))</f>
        <v>0</v>
      </c>
    </row>
    <row r="2267" spans="1:9">
      <c r="A2267" t="s">
        <v>10371</v>
      </c>
      <c r="B2267" t="s">
        <v>10332</v>
      </c>
      <c r="C2267">
        <v>1828</v>
      </c>
      <c r="D2267">
        <v>1</v>
      </c>
      <c r="E2267" s="23">
        <v>50</v>
      </c>
      <c r="F2267" t="s">
        <v>8102</v>
      </c>
      <c r="G2267" t="s">
        <v>10484</v>
      </c>
      <c r="H2267" t="s">
        <v>8021</v>
      </c>
      <c r="I2267">
        <f>_xlfn.LET(_xlpm.id,TRIM($A2267),IF(_xlpm.id="","",SUM(COUNTIF('1. OP'!$M:$M,_xlpm.id),COUNTIF('2. JSEL'!$M:$M,_xlpm.id),COUNTIF('3. PSM'!$M:$M,_xlpm.id),COUNTIF('4. SSP'!$M:$M,_xlpm.id),COUNTIF('5. JSACI'!$M:$M,_xlpm.id),COUNTIF('6. AIN'!$M:$M,_xlpm.id),COUNTIF('7. MS'!$M:$M,_xlpm.id),COUNTIF('8. DS'!$M:$M,_xlpm.id),COUNTIF('9. RMF'!$M:$M,_xlpm.id),COUNTIF('10. PCU'!$M:$M,_xlpm.id))))</f>
        <v>0</v>
      </c>
    </row>
    <row r="2268" spans="1:9">
      <c r="A2268" t="s">
        <v>10372</v>
      </c>
      <c r="B2268" t="s">
        <v>10332</v>
      </c>
      <c r="C2268">
        <v>1828</v>
      </c>
      <c r="D2268">
        <v>1</v>
      </c>
      <c r="E2268" s="23">
        <v>51</v>
      </c>
      <c r="F2268" t="s">
        <v>8102</v>
      </c>
      <c r="G2268" t="s">
        <v>10484</v>
      </c>
      <c r="H2268" t="s">
        <v>8021</v>
      </c>
      <c r="I2268">
        <f>_xlfn.LET(_xlpm.id,TRIM($A2268),IF(_xlpm.id="","",SUM(COUNTIF('1. OP'!$M:$M,_xlpm.id),COUNTIF('2. JSEL'!$M:$M,_xlpm.id),COUNTIF('3. PSM'!$M:$M,_xlpm.id),COUNTIF('4. SSP'!$M:$M,_xlpm.id),COUNTIF('5. JSACI'!$M:$M,_xlpm.id),COUNTIF('6. AIN'!$M:$M,_xlpm.id),COUNTIF('7. MS'!$M:$M,_xlpm.id),COUNTIF('8. DS'!$M:$M,_xlpm.id),COUNTIF('9. RMF'!$M:$M,_xlpm.id),COUNTIF('10. PCU'!$M:$M,_xlpm.id))))</f>
        <v>0</v>
      </c>
    </row>
    <row r="2269" spans="1:9">
      <c r="A2269" t="s">
        <v>10373</v>
      </c>
      <c r="B2269" t="s">
        <v>10332</v>
      </c>
      <c r="C2269">
        <v>1828</v>
      </c>
      <c r="D2269">
        <v>1</v>
      </c>
      <c r="E2269" s="23">
        <v>52</v>
      </c>
      <c r="F2269" t="s">
        <v>8102</v>
      </c>
      <c r="G2269" t="s">
        <v>10484</v>
      </c>
      <c r="H2269" t="s">
        <v>8021</v>
      </c>
      <c r="I2269">
        <f>_xlfn.LET(_xlpm.id,TRIM($A2269),IF(_xlpm.id="","",SUM(COUNTIF('1. OP'!$M:$M,_xlpm.id),COUNTIF('2. JSEL'!$M:$M,_xlpm.id),COUNTIF('3. PSM'!$M:$M,_xlpm.id),COUNTIF('4. SSP'!$M:$M,_xlpm.id),COUNTIF('5. JSACI'!$M:$M,_xlpm.id),COUNTIF('6. AIN'!$M:$M,_xlpm.id),COUNTIF('7. MS'!$M:$M,_xlpm.id),COUNTIF('8. DS'!$M:$M,_xlpm.id),COUNTIF('9. RMF'!$M:$M,_xlpm.id),COUNTIF('10. PCU'!$M:$M,_xlpm.id))))</f>
        <v>0</v>
      </c>
    </row>
    <row r="2270" spans="1:9">
      <c r="A2270" t="s">
        <v>10374</v>
      </c>
      <c r="B2270" t="s">
        <v>10332</v>
      </c>
      <c r="C2270">
        <v>1829</v>
      </c>
      <c r="D2270">
        <v>1</v>
      </c>
      <c r="E2270" s="23">
        <v>53</v>
      </c>
      <c r="F2270" t="s">
        <v>8102</v>
      </c>
      <c r="G2270" t="s">
        <v>10484</v>
      </c>
      <c r="H2270" t="s">
        <v>8021</v>
      </c>
      <c r="I2270">
        <f>_xlfn.LET(_xlpm.id,TRIM($A2270),IF(_xlpm.id="","",SUM(COUNTIF('1. OP'!$M:$M,_xlpm.id),COUNTIF('2. JSEL'!$M:$M,_xlpm.id),COUNTIF('3. PSM'!$M:$M,_xlpm.id),COUNTIF('4. SSP'!$M:$M,_xlpm.id),COUNTIF('5. JSACI'!$M:$M,_xlpm.id),COUNTIF('6. AIN'!$M:$M,_xlpm.id),COUNTIF('7. MS'!$M:$M,_xlpm.id),COUNTIF('8. DS'!$M:$M,_xlpm.id),COUNTIF('9. RMF'!$M:$M,_xlpm.id),COUNTIF('10. PCU'!$M:$M,_xlpm.id))))</f>
        <v>0</v>
      </c>
    </row>
    <row r="2271" spans="1:9">
      <c r="A2271" t="s">
        <v>10375</v>
      </c>
      <c r="B2271" t="s">
        <v>10332</v>
      </c>
      <c r="C2271">
        <v>1829</v>
      </c>
      <c r="D2271">
        <v>1</v>
      </c>
      <c r="E2271" s="23">
        <v>54</v>
      </c>
      <c r="F2271" t="s">
        <v>8102</v>
      </c>
      <c r="G2271" t="s">
        <v>10484</v>
      </c>
      <c r="H2271" t="s">
        <v>8021</v>
      </c>
      <c r="I2271">
        <f>_xlfn.LET(_xlpm.id,TRIM($A2271),IF(_xlpm.id="","",SUM(COUNTIF('1. OP'!$M:$M,_xlpm.id),COUNTIF('2. JSEL'!$M:$M,_xlpm.id),COUNTIF('3. PSM'!$M:$M,_xlpm.id),COUNTIF('4. SSP'!$M:$M,_xlpm.id),COUNTIF('5. JSACI'!$M:$M,_xlpm.id),COUNTIF('6. AIN'!$M:$M,_xlpm.id),COUNTIF('7. MS'!$M:$M,_xlpm.id),COUNTIF('8. DS'!$M:$M,_xlpm.id),COUNTIF('9. RMF'!$M:$M,_xlpm.id),COUNTIF('10. PCU'!$M:$M,_xlpm.id))))</f>
        <v>0</v>
      </c>
    </row>
    <row r="2272" spans="1:9">
      <c r="A2272" t="s">
        <v>10376</v>
      </c>
      <c r="B2272" t="s">
        <v>10332</v>
      </c>
      <c r="C2272">
        <v>1829</v>
      </c>
      <c r="D2272">
        <v>1</v>
      </c>
      <c r="E2272" s="23">
        <v>55</v>
      </c>
      <c r="F2272" t="s">
        <v>8102</v>
      </c>
      <c r="G2272" t="s">
        <v>10484</v>
      </c>
      <c r="H2272" t="s">
        <v>8021</v>
      </c>
      <c r="I2272">
        <f>_xlfn.LET(_xlpm.id,TRIM($A2272),IF(_xlpm.id="","",SUM(COUNTIF('1. OP'!$M:$M,_xlpm.id),COUNTIF('2. JSEL'!$M:$M,_xlpm.id),COUNTIF('3. PSM'!$M:$M,_xlpm.id),COUNTIF('4. SSP'!$M:$M,_xlpm.id),COUNTIF('5. JSACI'!$M:$M,_xlpm.id),COUNTIF('6. AIN'!$M:$M,_xlpm.id),COUNTIF('7. MS'!$M:$M,_xlpm.id),COUNTIF('8. DS'!$M:$M,_xlpm.id),COUNTIF('9. RMF'!$M:$M,_xlpm.id),COUNTIF('10. PCU'!$M:$M,_xlpm.id))))</f>
        <v>0</v>
      </c>
    </row>
    <row r="2273" spans="1:9">
      <c r="A2273" t="s">
        <v>10377</v>
      </c>
      <c r="B2273" t="s">
        <v>10332</v>
      </c>
      <c r="C2273">
        <v>1829</v>
      </c>
      <c r="D2273">
        <v>1</v>
      </c>
      <c r="E2273" s="23">
        <v>56</v>
      </c>
      <c r="F2273" t="s">
        <v>8102</v>
      </c>
      <c r="G2273" t="s">
        <v>10484</v>
      </c>
      <c r="H2273" t="s">
        <v>8021</v>
      </c>
      <c r="I2273">
        <f>_xlfn.LET(_xlpm.id,TRIM($A2273),IF(_xlpm.id="","",SUM(COUNTIF('1. OP'!$M:$M,_xlpm.id),COUNTIF('2. JSEL'!$M:$M,_xlpm.id),COUNTIF('3. PSM'!$M:$M,_xlpm.id),COUNTIF('4. SSP'!$M:$M,_xlpm.id),COUNTIF('5. JSACI'!$M:$M,_xlpm.id),COUNTIF('6. AIN'!$M:$M,_xlpm.id),COUNTIF('7. MS'!$M:$M,_xlpm.id),COUNTIF('8. DS'!$M:$M,_xlpm.id),COUNTIF('9. RMF'!$M:$M,_xlpm.id),COUNTIF('10. PCU'!$M:$M,_xlpm.id))))</f>
        <v>0</v>
      </c>
    </row>
    <row r="2274" spans="1:9">
      <c r="A2274" t="s">
        <v>10378</v>
      </c>
      <c r="B2274" t="s">
        <v>10332</v>
      </c>
      <c r="C2274">
        <v>1830</v>
      </c>
      <c r="D2274">
        <v>1</v>
      </c>
      <c r="E2274" s="23">
        <v>57</v>
      </c>
      <c r="F2274" t="s">
        <v>8102</v>
      </c>
      <c r="G2274" t="s">
        <v>10484</v>
      </c>
      <c r="H2274" t="s">
        <v>8021</v>
      </c>
      <c r="I2274">
        <f>_xlfn.LET(_xlpm.id,TRIM($A2274),IF(_xlpm.id="","",SUM(COUNTIF('1. OP'!$M:$M,_xlpm.id),COUNTIF('2. JSEL'!$M:$M,_xlpm.id),COUNTIF('3. PSM'!$M:$M,_xlpm.id),COUNTIF('4. SSP'!$M:$M,_xlpm.id),COUNTIF('5. JSACI'!$M:$M,_xlpm.id),COUNTIF('6. AIN'!$M:$M,_xlpm.id),COUNTIF('7. MS'!$M:$M,_xlpm.id),COUNTIF('8. DS'!$M:$M,_xlpm.id),COUNTIF('9. RMF'!$M:$M,_xlpm.id),COUNTIF('10. PCU'!$M:$M,_xlpm.id))))</f>
        <v>0</v>
      </c>
    </row>
    <row r="2275" spans="1:9">
      <c r="A2275" t="s">
        <v>10379</v>
      </c>
      <c r="B2275" t="s">
        <v>10332</v>
      </c>
      <c r="C2275">
        <v>1830</v>
      </c>
      <c r="D2275">
        <v>1</v>
      </c>
      <c r="E2275" s="23">
        <v>58</v>
      </c>
      <c r="F2275" t="s">
        <v>8102</v>
      </c>
      <c r="G2275" t="s">
        <v>10484</v>
      </c>
      <c r="H2275" t="s">
        <v>8021</v>
      </c>
      <c r="I2275">
        <f>_xlfn.LET(_xlpm.id,TRIM($A2275),IF(_xlpm.id="","",SUM(COUNTIF('1. OP'!$M:$M,_xlpm.id),COUNTIF('2. JSEL'!$M:$M,_xlpm.id),COUNTIF('3. PSM'!$M:$M,_xlpm.id),COUNTIF('4. SSP'!$M:$M,_xlpm.id),COUNTIF('5. JSACI'!$M:$M,_xlpm.id),COUNTIF('6. AIN'!$M:$M,_xlpm.id),COUNTIF('7. MS'!$M:$M,_xlpm.id),COUNTIF('8. DS'!$M:$M,_xlpm.id),COUNTIF('9. RMF'!$M:$M,_xlpm.id),COUNTIF('10. PCU'!$M:$M,_xlpm.id))))</f>
        <v>0</v>
      </c>
    </row>
    <row r="2276" spans="1:9">
      <c r="A2276" t="s">
        <v>10380</v>
      </c>
      <c r="B2276" t="s">
        <v>4943</v>
      </c>
      <c r="C2276">
        <v>1820</v>
      </c>
      <c r="D2276">
        <v>1</v>
      </c>
      <c r="E2276" s="23">
        <v>1</v>
      </c>
      <c r="F2276" t="s">
        <v>9151</v>
      </c>
      <c r="G2276" t="s">
        <v>10495</v>
      </c>
      <c r="H2276" t="s">
        <v>8036</v>
      </c>
      <c r="I2276">
        <f>_xlfn.LET(_xlpm.id,TRIM($A2276),IF(_xlpm.id="","",SUM(COUNTIF('1. OP'!$M:$M,_xlpm.id),COUNTIF('2. JSEL'!$M:$M,_xlpm.id),COUNTIF('3. PSM'!$M:$M,_xlpm.id),COUNTIF('4. SSP'!$M:$M,_xlpm.id),COUNTIF('5. JSACI'!$M:$M,_xlpm.id),COUNTIF('6. AIN'!$M:$M,_xlpm.id),COUNTIF('7. MS'!$M:$M,_xlpm.id),COUNTIF('8. DS'!$M:$M,_xlpm.id),COUNTIF('9. RMF'!$M:$M,_xlpm.id),COUNTIF('10. PCU'!$M:$M,_xlpm.id))))</f>
        <v>0</v>
      </c>
    </row>
    <row r="2277" spans="1:9">
      <c r="A2277" t="s">
        <v>10381</v>
      </c>
      <c r="B2277" t="s">
        <v>4943</v>
      </c>
      <c r="C2277">
        <v>1822</v>
      </c>
      <c r="D2277">
        <v>1</v>
      </c>
      <c r="E2277" s="23">
        <v>3</v>
      </c>
      <c r="F2277" t="s">
        <v>9151</v>
      </c>
      <c r="G2277" t="s">
        <v>10495</v>
      </c>
      <c r="H2277" t="s">
        <v>8036</v>
      </c>
      <c r="I2277">
        <f>_xlfn.LET(_xlpm.id,TRIM($A2277),IF(_xlpm.id="","",SUM(COUNTIF('1. OP'!$M:$M,_xlpm.id),COUNTIF('2. JSEL'!$M:$M,_xlpm.id),COUNTIF('3. PSM'!$M:$M,_xlpm.id),COUNTIF('4. SSP'!$M:$M,_xlpm.id),COUNTIF('5. JSACI'!$M:$M,_xlpm.id),COUNTIF('6. AIN'!$M:$M,_xlpm.id),COUNTIF('7. MS'!$M:$M,_xlpm.id),COUNTIF('8. DS'!$M:$M,_xlpm.id),COUNTIF('9. RMF'!$M:$M,_xlpm.id),COUNTIF('10. PCU'!$M:$M,_xlpm.id))))</f>
        <v>0</v>
      </c>
    </row>
    <row r="2278" spans="1:9">
      <c r="A2278" t="s">
        <v>10382</v>
      </c>
      <c r="B2278" t="s">
        <v>4943</v>
      </c>
      <c r="C2278">
        <v>1825</v>
      </c>
      <c r="D2278">
        <v>1</v>
      </c>
      <c r="E2278" s="23">
        <v>7</v>
      </c>
      <c r="F2278" t="s">
        <v>9151</v>
      </c>
      <c r="G2278" t="s">
        <v>10495</v>
      </c>
      <c r="H2278" t="s">
        <v>8036</v>
      </c>
      <c r="I2278">
        <f>_xlfn.LET(_xlpm.id,TRIM($A2278),IF(_xlpm.id="","",SUM(COUNTIF('1. OP'!$M:$M,_xlpm.id),COUNTIF('2. JSEL'!$M:$M,_xlpm.id),COUNTIF('3. PSM'!$M:$M,_xlpm.id),COUNTIF('4. SSP'!$M:$M,_xlpm.id),COUNTIF('5. JSACI'!$M:$M,_xlpm.id),COUNTIF('6. AIN'!$M:$M,_xlpm.id),COUNTIF('7. MS'!$M:$M,_xlpm.id),COUNTIF('8. DS'!$M:$M,_xlpm.id),COUNTIF('9. RMF'!$M:$M,_xlpm.id),COUNTIF('10. PCU'!$M:$M,_xlpm.id))))</f>
        <v>0</v>
      </c>
    </row>
    <row r="2279" spans="1:9">
      <c r="A2279" t="s">
        <v>10383</v>
      </c>
      <c r="B2279" t="s">
        <v>4943</v>
      </c>
      <c r="C2279">
        <v>1825</v>
      </c>
      <c r="D2279">
        <v>1</v>
      </c>
      <c r="E2279" s="23">
        <v>8</v>
      </c>
      <c r="F2279" t="s">
        <v>9151</v>
      </c>
      <c r="G2279" t="s">
        <v>10495</v>
      </c>
      <c r="H2279" t="s">
        <v>8036</v>
      </c>
      <c r="I2279">
        <f>_xlfn.LET(_xlpm.id,TRIM($A2279),IF(_xlpm.id="","",SUM(COUNTIF('1. OP'!$M:$M,_xlpm.id),COUNTIF('2. JSEL'!$M:$M,_xlpm.id),COUNTIF('3. PSM'!$M:$M,_xlpm.id),COUNTIF('4. SSP'!$M:$M,_xlpm.id),COUNTIF('5. JSACI'!$M:$M,_xlpm.id),COUNTIF('6. AIN'!$M:$M,_xlpm.id),COUNTIF('7. MS'!$M:$M,_xlpm.id),COUNTIF('8. DS'!$M:$M,_xlpm.id),COUNTIF('9. RMF'!$M:$M,_xlpm.id),COUNTIF('10. PCU'!$M:$M,_xlpm.id))))</f>
        <v>0</v>
      </c>
    </row>
    <row r="2280" spans="1:9">
      <c r="A2280" t="s">
        <v>10384</v>
      </c>
      <c r="B2280" t="s">
        <v>4943</v>
      </c>
      <c r="C2280">
        <v>1826</v>
      </c>
      <c r="D2280">
        <v>1</v>
      </c>
      <c r="E2280" s="23">
        <v>9</v>
      </c>
      <c r="F2280" t="s">
        <v>9151</v>
      </c>
      <c r="G2280" t="s">
        <v>10495</v>
      </c>
      <c r="H2280" t="s">
        <v>8036</v>
      </c>
      <c r="I2280">
        <f>_xlfn.LET(_xlpm.id,TRIM($A2280),IF(_xlpm.id="","",SUM(COUNTIF('1. OP'!$M:$M,_xlpm.id),COUNTIF('2. JSEL'!$M:$M,_xlpm.id),COUNTIF('3. PSM'!$M:$M,_xlpm.id),COUNTIF('4. SSP'!$M:$M,_xlpm.id),COUNTIF('5. JSACI'!$M:$M,_xlpm.id),COUNTIF('6. AIN'!$M:$M,_xlpm.id),COUNTIF('7. MS'!$M:$M,_xlpm.id),COUNTIF('8. DS'!$M:$M,_xlpm.id),COUNTIF('9. RMF'!$M:$M,_xlpm.id),COUNTIF('10. PCU'!$M:$M,_xlpm.id))))</f>
        <v>0</v>
      </c>
    </row>
    <row r="2281" spans="1:9">
      <c r="A2281" t="s">
        <v>10385</v>
      </c>
      <c r="B2281" t="s">
        <v>4943</v>
      </c>
      <c r="C2281">
        <v>1828</v>
      </c>
      <c r="D2281">
        <v>1</v>
      </c>
      <c r="E2281" s="23">
        <v>12</v>
      </c>
      <c r="F2281" t="s">
        <v>9151</v>
      </c>
      <c r="G2281" t="s">
        <v>10495</v>
      </c>
      <c r="H2281" t="s">
        <v>8036</v>
      </c>
      <c r="I2281">
        <f>_xlfn.LET(_xlpm.id,TRIM($A2281),IF(_xlpm.id="","",SUM(COUNTIF('1. OP'!$M:$M,_xlpm.id),COUNTIF('2. JSEL'!$M:$M,_xlpm.id),COUNTIF('3. PSM'!$M:$M,_xlpm.id),COUNTIF('4. SSP'!$M:$M,_xlpm.id),COUNTIF('5. JSACI'!$M:$M,_xlpm.id),COUNTIF('6. AIN'!$M:$M,_xlpm.id),COUNTIF('7. MS'!$M:$M,_xlpm.id),COUNTIF('8. DS'!$M:$M,_xlpm.id),COUNTIF('9. RMF'!$M:$M,_xlpm.id),COUNTIF('10. PCU'!$M:$M,_xlpm.id))))</f>
        <v>0</v>
      </c>
    </row>
    <row r="2282" spans="1:9">
      <c r="A2282" t="s">
        <v>10386</v>
      </c>
      <c r="B2282" t="s">
        <v>4943</v>
      </c>
      <c r="C2282">
        <v>1829</v>
      </c>
      <c r="D2282">
        <v>1</v>
      </c>
      <c r="E2282" s="23">
        <v>13</v>
      </c>
      <c r="F2282" t="s">
        <v>9151</v>
      </c>
      <c r="G2282" t="s">
        <v>10495</v>
      </c>
      <c r="H2282" t="s">
        <v>8036</v>
      </c>
      <c r="I2282">
        <f>_xlfn.LET(_xlpm.id,TRIM($A2282),IF(_xlpm.id="","",SUM(COUNTIF('1. OP'!$M:$M,_xlpm.id),COUNTIF('2. JSEL'!$M:$M,_xlpm.id),COUNTIF('3. PSM'!$M:$M,_xlpm.id),COUNTIF('4. SSP'!$M:$M,_xlpm.id),COUNTIF('5. JSACI'!$M:$M,_xlpm.id),COUNTIF('6. AIN'!$M:$M,_xlpm.id),COUNTIF('7. MS'!$M:$M,_xlpm.id),COUNTIF('8. DS'!$M:$M,_xlpm.id),COUNTIF('9. RMF'!$M:$M,_xlpm.id),COUNTIF('10. PCU'!$M:$M,_xlpm.id))))</f>
        <v>0</v>
      </c>
    </row>
    <row r="2283" spans="1:9">
      <c r="A2283" t="s">
        <v>10387</v>
      </c>
      <c r="B2283" t="s">
        <v>4943</v>
      </c>
      <c r="C2283">
        <v>1830</v>
      </c>
      <c r="D2283">
        <v>1</v>
      </c>
      <c r="E2283" s="23">
        <v>14</v>
      </c>
      <c r="F2283" t="s">
        <v>9151</v>
      </c>
      <c r="G2283" t="s">
        <v>10495</v>
      </c>
      <c r="H2283" t="s">
        <v>8036</v>
      </c>
      <c r="I2283">
        <f>_xlfn.LET(_xlpm.id,TRIM($A2283),IF(_xlpm.id="","",SUM(COUNTIF('1. OP'!$M:$M,_xlpm.id),COUNTIF('2. JSEL'!$M:$M,_xlpm.id),COUNTIF('3. PSM'!$M:$M,_xlpm.id),COUNTIF('4. SSP'!$M:$M,_xlpm.id),COUNTIF('5. JSACI'!$M:$M,_xlpm.id),COUNTIF('6. AIN'!$M:$M,_xlpm.id),COUNTIF('7. MS'!$M:$M,_xlpm.id),COUNTIF('8. DS'!$M:$M,_xlpm.id),COUNTIF('9. RMF'!$M:$M,_xlpm.id),COUNTIF('10. PCU'!$M:$M,_xlpm.id))))</f>
        <v>0</v>
      </c>
    </row>
    <row r="2284" spans="1:9">
      <c r="A2284" t="s">
        <v>10388</v>
      </c>
      <c r="B2284" t="s">
        <v>4943</v>
      </c>
      <c r="C2284">
        <v>1831</v>
      </c>
      <c r="D2284">
        <v>1</v>
      </c>
      <c r="E2284" s="23">
        <v>15</v>
      </c>
      <c r="F2284" t="s">
        <v>9151</v>
      </c>
      <c r="G2284" t="s">
        <v>10495</v>
      </c>
      <c r="H2284" t="s">
        <v>8036</v>
      </c>
      <c r="I2284">
        <f>_xlfn.LET(_xlpm.id,TRIM($A2284),IF(_xlpm.id="","",SUM(COUNTIF('1. OP'!$M:$M,_xlpm.id),COUNTIF('2. JSEL'!$M:$M,_xlpm.id),COUNTIF('3. PSM'!$M:$M,_xlpm.id),COUNTIF('4. SSP'!$M:$M,_xlpm.id),COUNTIF('5. JSACI'!$M:$M,_xlpm.id),COUNTIF('6. AIN'!$M:$M,_xlpm.id),COUNTIF('7. MS'!$M:$M,_xlpm.id),COUNTIF('8. DS'!$M:$M,_xlpm.id),COUNTIF('9. RMF'!$M:$M,_xlpm.id),COUNTIF('10. PCU'!$M:$M,_xlpm.id))))</f>
        <v>0</v>
      </c>
    </row>
    <row r="2285" spans="1:9">
      <c r="A2285" t="s">
        <v>10389</v>
      </c>
      <c r="B2285" t="s">
        <v>4943</v>
      </c>
      <c r="C2285">
        <v>1831</v>
      </c>
      <c r="D2285">
        <v>1</v>
      </c>
      <c r="E2285" s="23">
        <v>16</v>
      </c>
      <c r="F2285" t="s">
        <v>9151</v>
      </c>
      <c r="G2285" t="s">
        <v>10495</v>
      </c>
      <c r="H2285" t="s">
        <v>8036</v>
      </c>
      <c r="I2285">
        <f>_xlfn.LET(_xlpm.id,TRIM($A2285),IF(_xlpm.id="","",SUM(COUNTIF('1. OP'!$M:$M,_xlpm.id),COUNTIF('2. JSEL'!$M:$M,_xlpm.id),COUNTIF('3. PSM'!$M:$M,_xlpm.id),COUNTIF('4. SSP'!$M:$M,_xlpm.id),COUNTIF('5. JSACI'!$M:$M,_xlpm.id),COUNTIF('6. AIN'!$M:$M,_xlpm.id),COUNTIF('7. MS'!$M:$M,_xlpm.id),COUNTIF('8. DS'!$M:$M,_xlpm.id),COUNTIF('9. RMF'!$M:$M,_xlpm.id),COUNTIF('10. PCU'!$M:$M,_xlpm.id))))</f>
        <v>0</v>
      </c>
    </row>
    <row r="2286" spans="1:9">
      <c r="A2286" t="s">
        <v>10390</v>
      </c>
      <c r="B2286" t="s">
        <v>4943</v>
      </c>
      <c r="C2286">
        <v>1832</v>
      </c>
      <c r="D2286">
        <v>1</v>
      </c>
      <c r="E2286" s="23">
        <v>18</v>
      </c>
      <c r="F2286" t="s">
        <v>9151</v>
      </c>
      <c r="G2286" t="s">
        <v>10495</v>
      </c>
      <c r="H2286" t="s">
        <v>8036</v>
      </c>
      <c r="I2286">
        <f>_xlfn.LET(_xlpm.id,TRIM($A2286),IF(_xlpm.id="","",SUM(COUNTIF('1. OP'!$M:$M,_xlpm.id),COUNTIF('2. JSEL'!$M:$M,_xlpm.id),COUNTIF('3. PSM'!$M:$M,_xlpm.id),COUNTIF('4. SSP'!$M:$M,_xlpm.id),COUNTIF('5. JSACI'!$M:$M,_xlpm.id),COUNTIF('6. AIN'!$M:$M,_xlpm.id),COUNTIF('7. MS'!$M:$M,_xlpm.id),COUNTIF('8. DS'!$M:$M,_xlpm.id),COUNTIF('9. RMF'!$M:$M,_xlpm.id),COUNTIF('10. PCU'!$M:$M,_xlpm.id))))</f>
        <v>0</v>
      </c>
    </row>
    <row r="2287" spans="1:9">
      <c r="A2287" t="s">
        <v>10391</v>
      </c>
      <c r="B2287" t="s">
        <v>4943</v>
      </c>
      <c r="C2287">
        <v>1834</v>
      </c>
      <c r="D2287">
        <v>1</v>
      </c>
      <c r="E2287" s="23">
        <v>20</v>
      </c>
      <c r="F2287" t="s">
        <v>9151</v>
      </c>
      <c r="G2287" t="s">
        <v>10495</v>
      </c>
      <c r="H2287" t="s">
        <v>8036</v>
      </c>
      <c r="I2287">
        <f>_xlfn.LET(_xlpm.id,TRIM($A2287),IF(_xlpm.id="","",SUM(COUNTIF('1. OP'!$M:$M,_xlpm.id),COUNTIF('2. JSEL'!$M:$M,_xlpm.id),COUNTIF('3. PSM'!$M:$M,_xlpm.id),COUNTIF('4. SSP'!$M:$M,_xlpm.id),COUNTIF('5. JSACI'!$M:$M,_xlpm.id),COUNTIF('6. AIN'!$M:$M,_xlpm.id),COUNTIF('7. MS'!$M:$M,_xlpm.id),COUNTIF('8. DS'!$M:$M,_xlpm.id),COUNTIF('9. RMF'!$M:$M,_xlpm.id),COUNTIF('10. PCU'!$M:$M,_xlpm.id))))</f>
        <v>0</v>
      </c>
    </row>
    <row r="2288" spans="1:9">
      <c r="A2288" t="s">
        <v>10394</v>
      </c>
      <c r="B2288" t="s">
        <v>10393</v>
      </c>
      <c r="C2288">
        <v>1801</v>
      </c>
      <c r="D2288">
        <v>1</v>
      </c>
      <c r="E2288" s="23">
        <v>3</v>
      </c>
      <c r="F2288" t="s">
        <v>9187</v>
      </c>
      <c r="G2288" t="s">
        <v>10497</v>
      </c>
      <c r="H2288" t="s">
        <v>10162</v>
      </c>
      <c r="I2288">
        <f>_xlfn.LET(_xlpm.id,TRIM($A2288),IF(_xlpm.id="","",SUM(COUNTIF('1. OP'!$M:$M,_xlpm.id),COUNTIF('2. JSEL'!$M:$M,_xlpm.id),COUNTIF('3. PSM'!$M:$M,_xlpm.id),COUNTIF('4. SSP'!$M:$M,_xlpm.id),COUNTIF('5. JSACI'!$M:$M,_xlpm.id),COUNTIF('6. AIN'!$M:$M,_xlpm.id),COUNTIF('7. MS'!$M:$M,_xlpm.id),COUNTIF('8. DS'!$M:$M,_xlpm.id),COUNTIF('9. RMF'!$M:$M,_xlpm.id),COUNTIF('10. PCU'!$M:$M,_xlpm.id))))</f>
        <v>0</v>
      </c>
    </row>
    <row r="2289" spans="1:9">
      <c r="A2289" t="s">
        <v>10395</v>
      </c>
      <c r="B2289" t="s">
        <v>10393</v>
      </c>
      <c r="C2289">
        <v>1801</v>
      </c>
      <c r="D2289">
        <v>1</v>
      </c>
      <c r="E2289" s="23">
        <v>4</v>
      </c>
      <c r="F2289" t="s">
        <v>9187</v>
      </c>
      <c r="G2289" t="s">
        <v>10497</v>
      </c>
      <c r="H2289" t="s">
        <v>10162</v>
      </c>
      <c r="I2289">
        <f>_xlfn.LET(_xlpm.id,TRIM($A2289),IF(_xlpm.id="","",SUM(COUNTIF('1. OP'!$M:$M,_xlpm.id),COUNTIF('2. JSEL'!$M:$M,_xlpm.id),COUNTIF('3. PSM'!$M:$M,_xlpm.id),COUNTIF('4. SSP'!$M:$M,_xlpm.id),COUNTIF('5. JSACI'!$M:$M,_xlpm.id),COUNTIF('6. AIN'!$M:$M,_xlpm.id),COUNTIF('7. MS'!$M:$M,_xlpm.id),COUNTIF('8. DS'!$M:$M,_xlpm.id),COUNTIF('9. RMF'!$M:$M,_xlpm.id),COUNTIF('10. PCU'!$M:$M,_xlpm.id))))</f>
        <v>0</v>
      </c>
    </row>
    <row r="2290" spans="1:9">
      <c r="A2290" t="s">
        <v>10396</v>
      </c>
      <c r="B2290" t="s">
        <v>10393</v>
      </c>
      <c r="C2290">
        <v>1802</v>
      </c>
      <c r="D2290">
        <v>1</v>
      </c>
      <c r="E2290" s="23">
        <v>5</v>
      </c>
      <c r="F2290" t="s">
        <v>9187</v>
      </c>
      <c r="G2290" t="s">
        <v>10497</v>
      </c>
      <c r="H2290" t="s">
        <v>10162</v>
      </c>
      <c r="I2290">
        <f>_xlfn.LET(_xlpm.id,TRIM($A2290),IF(_xlpm.id="","",SUM(COUNTIF('1. OP'!$M:$M,_xlpm.id),COUNTIF('2. JSEL'!$M:$M,_xlpm.id),COUNTIF('3. PSM'!$M:$M,_xlpm.id),COUNTIF('4. SSP'!$M:$M,_xlpm.id),COUNTIF('5. JSACI'!$M:$M,_xlpm.id),COUNTIF('6. AIN'!$M:$M,_xlpm.id),COUNTIF('7. MS'!$M:$M,_xlpm.id),COUNTIF('8. DS'!$M:$M,_xlpm.id),COUNTIF('9. RMF'!$M:$M,_xlpm.id),COUNTIF('10. PCU'!$M:$M,_xlpm.id))))</f>
        <v>0</v>
      </c>
    </row>
    <row r="2291" spans="1:9">
      <c r="A2291" t="s">
        <v>10397</v>
      </c>
      <c r="B2291" t="s">
        <v>10393</v>
      </c>
      <c r="C2291">
        <v>1803</v>
      </c>
      <c r="D2291">
        <v>1</v>
      </c>
      <c r="E2291" s="23">
        <v>6</v>
      </c>
      <c r="F2291" t="s">
        <v>9187</v>
      </c>
      <c r="G2291" t="s">
        <v>10497</v>
      </c>
      <c r="H2291" t="s">
        <v>10162</v>
      </c>
      <c r="I2291">
        <f>_xlfn.LET(_xlpm.id,TRIM($A2291),IF(_xlpm.id="","",SUM(COUNTIF('1. OP'!$M:$M,_xlpm.id),COUNTIF('2. JSEL'!$M:$M,_xlpm.id),COUNTIF('3. PSM'!$M:$M,_xlpm.id),COUNTIF('4. SSP'!$M:$M,_xlpm.id),COUNTIF('5. JSACI'!$M:$M,_xlpm.id),COUNTIF('6. AIN'!$M:$M,_xlpm.id),COUNTIF('7. MS'!$M:$M,_xlpm.id),COUNTIF('8. DS'!$M:$M,_xlpm.id),COUNTIF('9. RMF'!$M:$M,_xlpm.id),COUNTIF('10. PCU'!$M:$M,_xlpm.id))))</f>
        <v>0</v>
      </c>
    </row>
    <row r="2292" spans="1:9">
      <c r="A2292" t="s">
        <v>10398</v>
      </c>
      <c r="B2292" t="s">
        <v>10393</v>
      </c>
      <c r="C2292">
        <v>1804</v>
      </c>
      <c r="D2292">
        <v>1</v>
      </c>
      <c r="E2292" s="23">
        <v>7</v>
      </c>
      <c r="F2292" t="s">
        <v>9187</v>
      </c>
      <c r="G2292" t="s">
        <v>10497</v>
      </c>
      <c r="H2292" t="s">
        <v>10162</v>
      </c>
      <c r="I2292">
        <f>_xlfn.LET(_xlpm.id,TRIM($A2292),IF(_xlpm.id="","",SUM(COUNTIF('1. OP'!$M:$M,_xlpm.id),COUNTIF('2. JSEL'!$M:$M,_xlpm.id),COUNTIF('3. PSM'!$M:$M,_xlpm.id),COUNTIF('4. SSP'!$M:$M,_xlpm.id),COUNTIF('5. JSACI'!$M:$M,_xlpm.id),COUNTIF('6. AIN'!$M:$M,_xlpm.id),COUNTIF('7. MS'!$M:$M,_xlpm.id),COUNTIF('8. DS'!$M:$M,_xlpm.id),COUNTIF('9. RMF'!$M:$M,_xlpm.id),COUNTIF('10. PCU'!$M:$M,_xlpm.id))))</f>
        <v>0</v>
      </c>
    </row>
    <row r="2293" spans="1:9">
      <c r="A2293" t="s">
        <v>10400</v>
      </c>
      <c r="B2293" t="s">
        <v>10399</v>
      </c>
      <c r="C2293">
        <v>1825</v>
      </c>
      <c r="D2293">
        <v>1</v>
      </c>
      <c r="E2293" s="23">
        <v>1</v>
      </c>
      <c r="F2293" t="s">
        <v>9187</v>
      </c>
      <c r="G2293" t="s">
        <v>10497</v>
      </c>
      <c r="H2293" t="s">
        <v>10162</v>
      </c>
      <c r="I2293">
        <f>_xlfn.LET(_xlpm.id,TRIM($A2293),IF(_xlpm.id="","",SUM(COUNTIF('1. OP'!$M:$M,_xlpm.id),COUNTIF('2. JSEL'!$M:$M,_xlpm.id),COUNTIF('3. PSM'!$M:$M,_xlpm.id),COUNTIF('4. SSP'!$M:$M,_xlpm.id),COUNTIF('5. JSACI'!$M:$M,_xlpm.id),COUNTIF('6. AIN'!$M:$M,_xlpm.id),COUNTIF('7. MS'!$M:$M,_xlpm.id),COUNTIF('8. DS'!$M:$M,_xlpm.id),COUNTIF('9. RMF'!$M:$M,_xlpm.id),COUNTIF('10. PCU'!$M:$M,_xlpm.id))))</f>
        <v>0</v>
      </c>
    </row>
    <row r="2294" spans="1:9">
      <c r="A2294" t="s">
        <v>10401</v>
      </c>
      <c r="B2294" t="s">
        <v>10399</v>
      </c>
      <c r="C2294">
        <v>1826</v>
      </c>
      <c r="D2294">
        <v>1</v>
      </c>
      <c r="E2294" s="23">
        <v>2</v>
      </c>
      <c r="F2294" t="s">
        <v>9187</v>
      </c>
      <c r="G2294" t="s">
        <v>10497</v>
      </c>
      <c r="H2294" t="s">
        <v>10162</v>
      </c>
      <c r="I2294">
        <f>_xlfn.LET(_xlpm.id,TRIM($A2294),IF(_xlpm.id="","",SUM(COUNTIF('1. OP'!$M:$M,_xlpm.id),COUNTIF('2. JSEL'!$M:$M,_xlpm.id),COUNTIF('3. PSM'!$M:$M,_xlpm.id),COUNTIF('4. SSP'!$M:$M,_xlpm.id),COUNTIF('5. JSACI'!$M:$M,_xlpm.id),COUNTIF('6. AIN'!$M:$M,_xlpm.id),COUNTIF('7. MS'!$M:$M,_xlpm.id),COUNTIF('8. DS'!$M:$M,_xlpm.id),COUNTIF('9. RMF'!$M:$M,_xlpm.id),COUNTIF('10. PCU'!$M:$M,_xlpm.id))))</f>
        <v>0</v>
      </c>
    </row>
    <row r="2295" spans="1:9">
      <c r="A2295" t="s">
        <v>10403</v>
      </c>
      <c r="B2295" t="s">
        <v>10402</v>
      </c>
      <c r="C2295">
        <v>1803</v>
      </c>
      <c r="D2295">
        <v>1</v>
      </c>
      <c r="E2295" s="23">
        <v>1</v>
      </c>
      <c r="F2295" t="s">
        <v>9187</v>
      </c>
      <c r="G2295" t="s">
        <v>10497</v>
      </c>
      <c r="H2295" t="s">
        <v>10162</v>
      </c>
      <c r="I2295">
        <f>_xlfn.LET(_xlpm.id,TRIM($A2295),IF(_xlpm.id="","",SUM(COUNTIF('1. OP'!$M:$M,_xlpm.id),COUNTIF('2. JSEL'!$M:$M,_xlpm.id),COUNTIF('3. PSM'!$M:$M,_xlpm.id),COUNTIF('4. SSP'!$M:$M,_xlpm.id),COUNTIF('5. JSACI'!$M:$M,_xlpm.id),COUNTIF('6. AIN'!$M:$M,_xlpm.id),COUNTIF('7. MS'!$M:$M,_xlpm.id),COUNTIF('8. DS'!$M:$M,_xlpm.id),COUNTIF('9. RMF'!$M:$M,_xlpm.id),COUNTIF('10. PCU'!$M:$M,_xlpm.id))))</f>
        <v>0</v>
      </c>
    </row>
    <row r="2296" spans="1:9">
      <c r="A2296" t="s">
        <v>10404</v>
      </c>
      <c r="B2296" t="s">
        <v>10402</v>
      </c>
      <c r="C2296">
        <v>1804</v>
      </c>
      <c r="D2296">
        <v>1</v>
      </c>
      <c r="E2296" s="23">
        <v>2</v>
      </c>
      <c r="F2296" t="s">
        <v>9187</v>
      </c>
      <c r="G2296" t="s">
        <v>10497</v>
      </c>
      <c r="H2296" t="s">
        <v>10162</v>
      </c>
      <c r="I2296">
        <f>_xlfn.LET(_xlpm.id,TRIM($A2296),IF(_xlpm.id="","",SUM(COUNTIF('1. OP'!$M:$M,_xlpm.id),COUNTIF('2. JSEL'!$M:$M,_xlpm.id),COUNTIF('3. PSM'!$M:$M,_xlpm.id),COUNTIF('4. SSP'!$M:$M,_xlpm.id),COUNTIF('5. JSACI'!$M:$M,_xlpm.id),COUNTIF('6. AIN'!$M:$M,_xlpm.id),COUNTIF('7. MS'!$M:$M,_xlpm.id),COUNTIF('8. DS'!$M:$M,_xlpm.id),COUNTIF('9. RMF'!$M:$M,_xlpm.id),COUNTIF('10. PCU'!$M:$M,_xlpm.id))))</f>
        <v>0</v>
      </c>
    </row>
    <row r="2297" spans="1:9">
      <c r="A2297" t="s">
        <v>10405</v>
      </c>
      <c r="B2297" t="s">
        <v>10402</v>
      </c>
      <c r="C2297">
        <v>1804</v>
      </c>
      <c r="D2297">
        <v>1</v>
      </c>
      <c r="E2297" s="23">
        <v>3</v>
      </c>
      <c r="F2297" t="s">
        <v>9187</v>
      </c>
      <c r="G2297" t="s">
        <v>10497</v>
      </c>
      <c r="H2297" t="s">
        <v>10162</v>
      </c>
      <c r="I2297">
        <f>_xlfn.LET(_xlpm.id,TRIM($A2297),IF(_xlpm.id="","",SUM(COUNTIF('1. OP'!$M:$M,_xlpm.id),COUNTIF('2. JSEL'!$M:$M,_xlpm.id),COUNTIF('3. PSM'!$M:$M,_xlpm.id),COUNTIF('4. SSP'!$M:$M,_xlpm.id),COUNTIF('5. JSACI'!$M:$M,_xlpm.id),COUNTIF('6. AIN'!$M:$M,_xlpm.id),COUNTIF('7. MS'!$M:$M,_xlpm.id),COUNTIF('8. DS'!$M:$M,_xlpm.id),COUNTIF('9. RMF'!$M:$M,_xlpm.id),COUNTIF('10. PCU'!$M:$M,_xlpm.id))))</f>
        <v>0</v>
      </c>
    </row>
    <row r="2298" spans="1:9">
      <c r="A2298" t="s">
        <v>10406</v>
      </c>
      <c r="B2298" t="s">
        <v>10402</v>
      </c>
      <c r="C2298">
        <v>1804</v>
      </c>
      <c r="D2298">
        <v>1</v>
      </c>
      <c r="E2298" s="23">
        <v>4</v>
      </c>
      <c r="F2298" t="s">
        <v>9187</v>
      </c>
      <c r="G2298" t="s">
        <v>10497</v>
      </c>
      <c r="H2298" t="s">
        <v>10162</v>
      </c>
      <c r="I2298">
        <f>_xlfn.LET(_xlpm.id,TRIM($A2298),IF(_xlpm.id="","",SUM(COUNTIF('1. OP'!$M:$M,_xlpm.id),COUNTIF('2. JSEL'!$M:$M,_xlpm.id),COUNTIF('3. PSM'!$M:$M,_xlpm.id),COUNTIF('4. SSP'!$M:$M,_xlpm.id),COUNTIF('5. JSACI'!$M:$M,_xlpm.id),COUNTIF('6. AIN'!$M:$M,_xlpm.id),COUNTIF('7. MS'!$M:$M,_xlpm.id),COUNTIF('8. DS'!$M:$M,_xlpm.id),COUNTIF('9. RMF'!$M:$M,_xlpm.id),COUNTIF('10. PCU'!$M:$M,_xlpm.id))))</f>
        <v>0</v>
      </c>
    </row>
    <row r="2299" spans="1:9">
      <c r="A2299" t="s">
        <v>10407</v>
      </c>
      <c r="B2299" t="s">
        <v>10402</v>
      </c>
      <c r="C2299">
        <v>1805</v>
      </c>
      <c r="D2299">
        <v>2</v>
      </c>
      <c r="E2299" s="23">
        <v>1</v>
      </c>
      <c r="F2299" t="s">
        <v>9187</v>
      </c>
      <c r="G2299" t="s">
        <v>10497</v>
      </c>
      <c r="H2299" t="s">
        <v>10162</v>
      </c>
      <c r="I2299">
        <f>_xlfn.LET(_xlpm.id,TRIM($A2299),IF(_xlpm.id="","",SUM(COUNTIF('1. OP'!$M:$M,_xlpm.id),COUNTIF('2. JSEL'!$M:$M,_xlpm.id),COUNTIF('3. PSM'!$M:$M,_xlpm.id),COUNTIF('4. SSP'!$M:$M,_xlpm.id),COUNTIF('5. JSACI'!$M:$M,_xlpm.id),COUNTIF('6. AIN'!$M:$M,_xlpm.id),COUNTIF('7. MS'!$M:$M,_xlpm.id),COUNTIF('8. DS'!$M:$M,_xlpm.id),COUNTIF('9. RMF'!$M:$M,_xlpm.id),COUNTIF('10. PCU'!$M:$M,_xlpm.id))))</f>
        <v>0</v>
      </c>
    </row>
    <row r="2300" spans="1:9">
      <c r="A2300" t="s">
        <v>10408</v>
      </c>
      <c r="B2300" t="s">
        <v>10402</v>
      </c>
      <c r="C2300">
        <v>1805</v>
      </c>
      <c r="D2300">
        <v>2</v>
      </c>
      <c r="E2300" s="23">
        <v>2</v>
      </c>
      <c r="F2300" t="s">
        <v>9187</v>
      </c>
      <c r="G2300" t="s">
        <v>10497</v>
      </c>
      <c r="H2300" t="s">
        <v>10162</v>
      </c>
      <c r="I2300">
        <f>_xlfn.LET(_xlpm.id,TRIM($A2300),IF(_xlpm.id="","",SUM(COUNTIF('1. OP'!$M:$M,_xlpm.id),COUNTIF('2. JSEL'!$M:$M,_xlpm.id),COUNTIF('3. PSM'!$M:$M,_xlpm.id),COUNTIF('4. SSP'!$M:$M,_xlpm.id),COUNTIF('5. JSACI'!$M:$M,_xlpm.id),COUNTIF('6. AIN'!$M:$M,_xlpm.id),COUNTIF('7. MS'!$M:$M,_xlpm.id),COUNTIF('8. DS'!$M:$M,_xlpm.id),COUNTIF('9. RMF'!$M:$M,_xlpm.id),COUNTIF('10. PCU'!$M:$M,_xlpm.id))))</f>
        <v>0</v>
      </c>
    </row>
    <row r="2301" spans="1:9">
      <c r="A2301" t="s">
        <v>10409</v>
      </c>
      <c r="B2301" t="s">
        <v>10402</v>
      </c>
      <c r="C2301">
        <v>1805</v>
      </c>
      <c r="D2301">
        <v>2</v>
      </c>
      <c r="E2301" s="23">
        <v>3</v>
      </c>
      <c r="F2301" t="s">
        <v>9187</v>
      </c>
      <c r="G2301" t="s">
        <v>10497</v>
      </c>
      <c r="H2301" t="s">
        <v>10162</v>
      </c>
      <c r="I2301">
        <f>_xlfn.LET(_xlpm.id,TRIM($A2301),IF(_xlpm.id="","",SUM(COUNTIF('1. OP'!$M:$M,_xlpm.id),COUNTIF('2. JSEL'!$M:$M,_xlpm.id),COUNTIF('3. PSM'!$M:$M,_xlpm.id),COUNTIF('4. SSP'!$M:$M,_xlpm.id),COUNTIF('5. JSACI'!$M:$M,_xlpm.id),COUNTIF('6. AIN'!$M:$M,_xlpm.id),COUNTIF('7. MS'!$M:$M,_xlpm.id),COUNTIF('8. DS'!$M:$M,_xlpm.id),COUNTIF('9. RMF'!$M:$M,_xlpm.id),COUNTIF('10. PCU'!$M:$M,_xlpm.id))))</f>
        <v>0</v>
      </c>
    </row>
    <row r="2302" spans="1:9">
      <c r="A2302" t="s">
        <v>10410</v>
      </c>
      <c r="B2302" t="s">
        <v>10402</v>
      </c>
      <c r="C2302">
        <v>1805</v>
      </c>
      <c r="D2302">
        <v>2</v>
      </c>
      <c r="E2302" s="23">
        <v>4</v>
      </c>
      <c r="F2302" t="s">
        <v>9187</v>
      </c>
      <c r="G2302" t="s">
        <v>10497</v>
      </c>
      <c r="H2302" t="s">
        <v>10162</v>
      </c>
      <c r="I2302">
        <f>_xlfn.LET(_xlpm.id,TRIM($A2302),IF(_xlpm.id="","",SUM(COUNTIF('1. OP'!$M:$M,_xlpm.id),COUNTIF('2. JSEL'!$M:$M,_xlpm.id),COUNTIF('3. PSM'!$M:$M,_xlpm.id),COUNTIF('4. SSP'!$M:$M,_xlpm.id),COUNTIF('5. JSACI'!$M:$M,_xlpm.id),COUNTIF('6. AIN'!$M:$M,_xlpm.id),COUNTIF('7. MS'!$M:$M,_xlpm.id),COUNTIF('8. DS'!$M:$M,_xlpm.id),COUNTIF('9. RMF'!$M:$M,_xlpm.id),COUNTIF('10. PCU'!$M:$M,_xlpm.id))))</f>
        <v>0</v>
      </c>
    </row>
    <row r="2303" spans="1:9">
      <c r="A2303" t="s">
        <v>6527</v>
      </c>
      <c r="B2303" t="s">
        <v>4611</v>
      </c>
      <c r="C2303">
        <v>1834</v>
      </c>
      <c r="D2303">
        <v>1</v>
      </c>
      <c r="E2303" s="24" t="s">
        <v>8432</v>
      </c>
      <c r="F2303" t="s">
        <v>8459</v>
      </c>
      <c r="G2303" t="s">
        <v>10503</v>
      </c>
      <c r="H2303" t="s">
        <v>8020</v>
      </c>
      <c r="I2303">
        <f>_xlfn.LET(_xlpm.id,TRIM($A2303),IF(_xlpm.id="","",SUM(COUNTIF('1. OP'!$M:$M,_xlpm.id),COUNTIF('2. JSEL'!$M:$M,_xlpm.id),COUNTIF('3. PSM'!$M:$M,_xlpm.id),COUNTIF('4. SSP'!$M:$M,_xlpm.id),COUNTIF('5. JSACI'!$M:$M,_xlpm.id),COUNTIF('6. AIN'!$M:$M,_xlpm.id),COUNTIF('7. MS'!$M:$M,_xlpm.id),COUNTIF('8. DS'!$M:$M,_xlpm.id),COUNTIF('9. RMF'!$M:$M,_xlpm.id),COUNTIF('10. PCU'!$M:$M,_xlpm.id))))</f>
        <v>1</v>
      </c>
    </row>
  </sheetData>
  <pageMargins left="0.7" right="0.7" top="0.75" bottom="0.75" header="0.3" footer="0.3"/>
  <pageSetup orientation="portrait" horizontalDpi="1200" verticalDpi="1200" r:id="rId1"/>
  <ignoredErrors>
    <ignoredError sqref="E637:E638"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FA0F-155F-40E7-A127-AD732E7A0B26}">
  <sheetPr codeName="Sheet12"/>
  <dimension ref="A1:I35"/>
  <sheetViews>
    <sheetView workbookViewId="0">
      <selection activeCell="F47" sqref="F47"/>
    </sheetView>
  </sheetViews>
  <sheetFormatPr defaultColWidth="8.77734375" defaultRowHeight="14.4"/>
  <cols>
    <col min="1" max="9" width="5.77734375" style="5" customWidth="1"/>
  </cols>
  <sheetData>
    <row r="1" spans="1:9">
      <c r="A1" s="5" t="s">
        <v>3032</v>
      </c>
      <c r="B1" s="5" t="s">
        <v>10457</v>
      </c>
      <c r="C1" s="5" t="s">
        <v>10458</v>
      </c>
      <c r="D1" s="5" t="s">
        <v>10479</v>
      </c>
      <c r="E1" s="5" t="s">
        <v>8031</v>
      </c>
      <c r="F1" s="5" t="s">
        <v>8032</v>
      </c>
      <c r="G1" s="5" t="s">
        <v>3034</v>
      </c>
      <c r="H1" s="5" t="s">
        <v>138</v>
      </c>
      <c r="I1" s="5" t="s">
        <v>10295</v>
      </c>
    </row>
    <row r="2" spans="1:9" ht="14.55" customHeight="1">
      <c r="A2" s="5" t="s">
        <v>2999</v>
      </c>
      <c r="B2" s="5" t="s">
        <v>10459</v>
      </c>
      <c r="C2" s="5" t="s">
        <v>0</v>
      </c>
      <c r="D2" s="5" t="s">
        <v>10469</v>
      </c>
      <c r="E2" s="5">
        <v>1813</v>
      </c>
      <c r="F2" s="5">
        <v>1813</v>
      </c>
      <c r="G2" s="5">
        <v>1</v>
      </c>
      <c r="H2" s="5">
        <v>1</v>
      </c>
      <c r="I2" s="5" t="s">
        <v>8459</v>
      </c>
    </row>
    <row r="3" spans="1:9">
      <c r="A3" s="5" t="s">
        <v>3000</v>
      </c>
      <c r="B3" s="5" t="s">
        <v>10459</v>
      </c>
      <c r="C3" s="5" t="s">
        <v>0</v>
      </c>
      <c r="D3" s="5" t="s">
        <v>10469</v>
      </c>
      <c r="E3" s="5">
        <v>1813</v>
      </c>
      <c r="F3" s="5">
        <v>1813</v>
      </c>
      <c r="G3" s="5">
        <v>1</v>
      </c>
      <c r="H3" s="5">
        <v>2</v>
      </c>
      <c r="I3" s="5" t="s">
        <v>8459</v>
      </c>
    </row>
    <row r="4" spans="1:9">
      <c r="A4" s="5" t="s">
        <v>3004</v>
      </c>
      <c r="B4" s="5" t="s">
        <v>10459</v>
      </c>
      <c r="C4" s="5" t="s">
        <v>0</v>
      </c>
      <c r="D4" s="5" t="s">
        <v>10469</v>
      </c>
      <c r="E4" s="5">
        <v>1814</v>
      </c>
      <c r="F4" s="5">
        <v>1814</v>
      </c>
      <c r="G4" s="5">
        <v>1</v>
      </c>
      <c r="H4" s="5">
        <v>3</v>
      </c>
      <c r="I4" s="5" t="s">
        <v>8459</v>
      </c>
    </row>
    <row r="5" spans="1:9">
      <c r="A5" s="5" t="s">
        <v>3001</v>
      </c>
      <c r="B5" s="5" t="s">
        <v>10460</v>
      </c>
      <c r="C5" s="5" t="s">
        <v>1</v>
      </c>
      <c r="D5" s="5" t="s">
        <v>10470</v>
      </c>
      <c r="E5" s="5">
        <v>1826</v>
      </c>
      <c r="F5" s="5">
        <v>1826</v>
      </c>
      <c r="G5" s="5">
        <v>1</v>
      </c>
      <c r="H5" s="5">
        <v>1</v>
      </c>
      <c r="I5" s="5" t="s">
        <v>8459</v>
      </c>
    </row>
    <row r="6" spans="1:9">
      <c r="A6" s="5" t="s">
        <v>3002</v>
      </c>
      <c r="B6" s="5" t="s">
        <v>10460</v>
      </c>
      <c r="C6" s="5" t="s">
        <v>1</v>
      </c>
      <c r="D6" s="5" t="s">
        <v>10470</v>
      </c>
      <c r="E6" s="5">
        <v>1826</v>
      </c>
      <c r="F6" s="5">
        <v>1826</v>
      </c>
      <c r="G6" s="5">
        <v>1</v>
      </c>
      <c r="H6" s="5">
        <v>1</v>
      </c>
      <c r="I6" s="5" t="s">
        <v>8459</v>
      </c>
    </row>
    <row r="7" spans="1:9">
      <c r="A7" s="5" t="s">
        <v>3003</v>
      </c>
      <c r="B7" s="5" t="s">
        <v>10460</v>
      </c>
      <c r="C7" s="5" t="s">
        <v>1</v>
      </c>
      <c r="D7" s="5" t="s">
        <v>10470</v>
      </c>
      <c r="E7" s="5">
        <v>1826</v>
      </c>
      <c r="F7" s="5">
        <v>1826</v>
      </c>
      <c r="G7" s="5">
        <v>1</v>
      </c>
      <c r="H7" s="5">
        <v>1</v>
      </c>
      <c r="I7" s="5" t="s">
        <v>8459</v>
      </c>
    </row>
    <row r="8" spans="1:9">
      <c r="A8" s="5" t="s">
        <v>3005</v>
      </c>
      <c r="B8" s="5" t="s">
        <v>10461</v>
      </c>
      <c r="C8" s="5" t="s">
        <v>3036</v>
      </c>
      <c r="D8" s="5" t="s">
        <v>10473</v>
      </c>
      <c r="E8" s="5">
        <v>1827</v>
      </c>
      <c r="F8" s="5">
        <v>1827</v>
      </c>
      <c r="G8" s="5">
        <v>1</v>
      </c>
      <c r="H8" s="5">
        <v>1</v>
      </c>
      <c r="I8" s="5" t="s">
        <v>8459</v>
      </c>
    </row>
    <row r="9" spans="1:9">
      <c r="A9" s="5" t="s">
        <v>3006</v>
      </c>
      <c r="B9" s="5" t="s">
        <v>10461</v>
      </c>
      <c r="C9" s="5" t="s">
        <v>3036</v>
      </c>
      <c r="D9" s="5" t="s">
        <v>10473</v>
      </c>
      <c r="E9" s="5">
        <v>1827</v>
      </c>
      <c r="F9" s="5">
        <v>1827</v>
      </c>
      <c r="G9" s="5">
        <v>1</v>
      </c>
      <c r="H9" s="5">
        <v>2</v>
      </c>
      <c r="I9" s="5" t="s">
        <v>8459</v>
      </c>
    </row>
    <row r="10" spans="1:9">
      <c r="A10" s="5" t="s">
        <v>3007</v>
      </c>
      <c r="B10" s="5" t="s">
        <v>10461</v>
      </c>
      <c r="C10" s="5" t="s">
        <v>3036</v>
      </c>
      <c r="D10" s="5" t="s">
        <v>10473</v>
      </c>
      <c r="E10" s="5">
        <v>1827</v>
      </c>
      <c r="F10" s="5">
        <v>1827</v>
      </c>
      <c r="G10" s="5">
        <v>1</v>
      </c>
      <c r="H10" s="5">
        <v>3</v>
      </c>
      <c r="I10" s="5" t="s">
        <v>8459</v>
      </c>
    </row>
    <row r="11" spans="1:9">
      <c r="A11" s="5" t="s">
        <v>3008</v>
      </c>
      <c r="B11" s="5" t="s">
        <v>10461</v>
      </c>
      <c r="C11" s="5" t="s">
        <v>3036</v>
      </c>
      <c r="D11" s="5" t="s">
        <v>10473</v>
      </c>
      <c r="E11" s="5">
        <v>1827</v>
      </c>
      <c r="F11" s="5">
        <v>1828</v>
      </c>
      <c r="G11" s="5">
        <v>1</v>
      </c>
      <c r="H11" s="5">
        <v>4</v>
      </c>
      <c r="I11" s="5" t="s">
        <v>8459</v>
      </c>
    </row>
    <row r="12" spans="1:9">
      <c r="A12" s="5" t="s">
        <v>3009</v>
      </c>
      <c r="B12" s="5" t="s">
        <v>10462</v>
      </c>
      <c r="C12" s="5" t="s">
        <v>10463</v>
      </c>
      <c r="D12" s="5" t="s">
        <v>10474</v>
      </c>
      <c r="E12" s="5">
        <v>1831</v>
      </c>
      <c r="F12" s="5">
        <v>1831</v>
      </c>
      <c r="G12" s="5">
        <v>1</v>
      </c>
      <c r="H12" s="5">
        <v>1</v>
      </c>
      <c r="I12" s="5" t="s">
        <v>8459</v>
      </c>
    </row>
    <row r="13" spans="1:9">
      <c r="A13" s="5" t="s">
        <v>3010</v>
      </c>
      <c r="B13" s="5" t="s">
        <v>10462</v>
      </c>
      <c r="C13" s="5" t="s">
        <v>10463</v>
      </c>
      <c r="D13" s="5" t="s">
        <v>10474</v>
      </c>
      <c r="E13" s="5">
        <v>1832</v>
      </c>
      <c r="F13" s="5">
        <v>1832</v>
      </c>
      <c r="G13" s="5">
        <v>1</v>
      </c>
      <c r="H13" s="5">
        <v>1</v>
      </c>
      <c r="I13" s="5" t="s">
        <v>8459</v>
      </c>
    </row>
    <row r="14" spans="1:9">
      <c r="A14" s="5" t="s">
        <v>3011</v>
      </c>
      <c r="B14" s="5" t="s">
        <v>10462</v>
      </c>
      <c r="C14" s="5" t="s">
        <v>10463</v>
      </c>
      <c r="D14" s="5" t="s">
        <v>10474</v>
      </c>
      <c r="E14" s="5">
        <v>1833</v>
      </c>
      <c r="F14" s="5">
        <v>1833</v>
      </c>
      <c r="G14" s="5">
        <v>1</v>
      </c>
      <c r="H14" s="5">
        <v>1</v>
      </c>
      <c r="I14" s="5" t="s">
        <v>8459</v>
      </c>
    </row>
    <row r="15" spans="1:9">
      <c r="A15" s="5" t="s">
        <v>3268</v>
      </c>
      <c r="B15" s="5" t="s">
        <v>10464</v>
      </c>
      <c r="C15" s="5" t="s">
        <v>3038</v>
      </c>
      <c r="D15" s="5" t="s">
        <v>10477</v>
      </c>
      <c r="E15" s="5">
        <v>1832</v>
      </c>
      <c r="F15" s="5">
        <v>1832</v>
      </c>
      <c r="G15" s="5">
        <v>1</v>
      </c>
      <c r="H15" s="5">
        <v>1</v>
      </c>
      <c r="I15" s="5" t="s">
        <v>8459</v>
      </c>
    </row>
    <row r="16" spans="1:9">
      <c r="A16" s="5" t="s">
        <v>3269</v>
      </c>
      <c r="B16" s="5" t="s">
        <v>10464</v>
      </c>
      <c r="C16" s="5" t="s">
        <v>3038</v>
      </c>
      <c r="D16" s="5" t="s">
        <v>10477</v>
      </c>
      <c r="E16" s="5">
        <v>1833</v>
      </c>
      <c r="F16" s="5">
        <v>1833</v>
      </c>
      <c r="G16" s="5">
        <v>1</v>
      </c>
      <c r="H16" s="5">
        <v>2</v>
      </c>
      <c r="I16" s="5" t="s">
        <v>8459</v>
      </c>
    </row>
    <row r="17" spans="1:9">
      <c r="A17" s="5" t="s">
        <v>3270</v>
      </c>
      <c r="B17" s="5" t="s">
        <v>10464</v>
      </c>
      <c r="C17" s="5" t="s">
        <v>3038</v>
      </c>
      <c r="D17" s="5" t="s">
        <v>10477</v>
      </c>
      <c r="E17" s="5">
        <v>1835</v>
      </c>
      <c r="F17" s="5">
        <v>1835</v>
      </c>
      <c r="G17" s="5">
        <v>1</v>
      </c>
      <c r="H17" s="5">
        <v>4</v>
      </c>
      <c r="I17" s="5" t="s">
        <v>8459</v>
      </c>
    </row>
    <row r="18" spans="1:9">
      <c r="A18" s="5" t="s">
        <v>3271</v>
      </c>
      <c r="B18" s="5" t="s">
        <v>10464</v>
      </c>
      <c r="C18" s="5" t="s">
        <v>3038</v>
      </c>
      <c r="D18" s="5" t="s">
        <v>10477</v>
      </c>
      <c r="E18" s="5">
        <v>1836</v>
      </c>
      <c r="F18" s="5">
        <v>1836</v>
      </c>
      <c r="G18" s="5">
        <v>1</v>
      </c>
      <c r="H18" s="5">
        <v>5</v>
      </c>
      <c r="I18" s="5" t="s">
        <v>8459</v>
      </c>
    </row>
    <row r="19" spans="1:9">
      <c r="A19" s="5" t="s">
        <v>3012</v>
      </c>
      <c r="B19" s="5" t="s">
        <v>10467</v>
      </c>
      <c r="C19" s="5" t="s">
        <v>3035</v>
      </c>
      <c r="D19" s="5" t="s">
        <v>10471</v>
      </c>
      <c r="E19" s="5">
        <v>1833</v>
      </c>
      <c r="F19" s="5">
        <v>1833</v>
      </c>
      <c r="G19" s="5">
        <v>1</v>
      </c>
      <c r="H19" s="5">
        <v>1</v>
      </c>
      <c r="I19" s="5" t="s">
        <v>8459</v>
      </c>
    </row>
    <row r="20" spans="1:9">
      <c r="A20" s="5" t="s">
        <v>3013</v>
      </c>
      <c r="B20" s="5" t="s">
        <v>10467</v>
      </c>
      <c r="C20" s="5" t="s">
        <v>3035</v>
      </c>
      <c r="D20" s="5" t="s">
        <v>10471</v>
      </c>
      <c r="E20" s="5">
        <v>1834</v>
      </c>
      <c r="F20" s="5">
        <v>1834</v>
      </c>
      <c r="G20" s="5">
        <v>1</v>
      </c>
      <c r="H20" s="5">
        <v>2</v>
      </c>
      <c r="I20" s="5" t="s">
        <v>8459</v>
      </c>
    </row>
    <row r="21" spans="1:9">
      <c r="A21" s="5" t="s">
        <v>3014</v>
      </c>
      <c r="B21" s="5" t="s">
        <v>10467</v>
      </c>
      <c r="C21" s="5" t="s">
        <v>3035</v>
      </c>
      <c r="D21" s="5" t="s">
        <v>10471</v>
      </c>
      <c r="E21" s="5">
        <v>1835</v>
      </c>
      <c r="F21" s="5">
        <v>1835</v>
      </c>
      <c r="G21" s="5">
        <v>1</v>
      </c>
      <c r="H21" s="5">
        <v>3</v>
      </c>
      <c r="I21" s="5" t="s">
        <v>8459</v>
      </c>
    </row>
    <row r="22" spans="1:9">
      <c r="A22" s="5" t="s">
        <v>3015</v>
      </c>
      <c r="B22" s="5" t="s">
        <v>10467</v>
      </c>
      <c r="C22" s="5" t="s">
        <v>3035</v>
      </c>
      <c r="D22" s="5" t="s">
        <v>10471</v>
      </c>
      <c r="E22" s="5">
        <v>1836</v>
      </c>
      <c r="F22" s="5">
        <v>1836</v>
      </c>
      <c r="G22" s="5">
        <v>1</v>
      </c>
      <c r="H22" s="5">
        <v>4</v>
      </c>
      <c r="I22" s="5" t="s">
        <v>8459</v>
      </c>
    </row>
    <row r="23" spans="1:9">
      <c r="A23" s="5" t="s">
        <v>3019</v>
      </c>
      <c r="B23" s="5" t="s">
        <v>10467</v>
      </c>
      <c r="C23" s="5" t="s">
        <v>3035</v>
      </c>
      <c r="D23" s="5" t="s">
        <v>10471</v>
      </c>
      <c r="E23" s="5">
        <v>1837</v>
      </c>
      <c r="F23" s="5">
        <v>1837</v>
      </c>
      <c r="G23" s="5">
        <v>1</v>
      </c>
      <c r="H23" s="5">
        <v>5</v>
      </c>
      <c r="I23" s="5" t="s">
        <v>8459</v>
      </c>
    </row>
    <row r="24" spans="1:9">
      <c r="A24" s="5" t="s">
        <v>3018</v>
      </c>
      <c r="B24" s="5" t="s">
        <v>10467</v>
      </c>
      <c r="C24" s="5" t="s">
        <v>3035</v>
      </c>
      <c r="D24" s="5" t="s">
        <v>10471</v>
      </c>
      <c r="E24" s="5">
        <v>1838</v>
      </c>
      <c r="F24" s="5">
        <v>1838</v>
      </c>
      <c r="G24" s="5">
        <v>1</v>
      </c>
      <c r="H24" s="5">
        <v>6</v>
      </c>
      <c r="I24" s="5" t="s">
        <v>8459</v>
      </c>
    </row>
    <row r="25" spans="1:9">
      <c r="A25" s="5" t="s">
        <v>3017</v>
      </c>
      <c r="B25" s="5" t="s">
        <v>10467</v>
      </c>
      <c r="C25" s="5" t="s">
        <v>3035</v>
      </c>
      <c r="D25" s="5" t="s">
        <v>10471</v>
      </c>
      <c r="E25" s="5">
        <v>1839</v>
      </c>
      <c r="F25" s="5">
        <v>1839</v>
      </c>
      <c r="G25" s="5">
        <v>1</v>
      </c>
      <c r="H25" s="5">
        <v>7</v>
      </c>
      <c r="I25" s="5" t="s">
        <v>8459</v>
      </c>
    </row>
    <row r="26" spans="1:9">
      <c r="A26" s="5" t="s">
        <v>3016</v>
      </c>
      <c r="B26" s="5" t="s">
        <v>10467</v>
      </c>
      <c r="C26" s="5" t="s">
        <v>3035</v>
      </c>
      <c r="D26" s="5" t="s">
        <v>10471</v>
      </c>
      <c r="E26" s="5">
        <v>1840</v>
      </c>
      <c r="F26" s="5">
        <v>1840</v>
      </c>
      <c r="G26" s="5">
        <v>1</v>
      </c>
      <c r="H26" s="5">
        <v>8</v>
      </c>
      <c r="I26" s="5" t="s">
        <v>8459</v>
      </c>
    </row>
    <row r="27" spans="1:9">
      <c r="A27" s="5" t="s">
        <v>3027</v>
      </c>
      <c r="B27" s="5" t="s">
        <v>3037</v>
      </c>
      <c r="C27" s="5" t="s">
        <v>3037</v>
      </c>
      <c r="D27" s="5" t="s">
        <v>10476</v>
      </c>
      <c r="E27" s="5">
        <v>1835</v>
      </c>
      <c r="F27" s="5">
        <v>1835</v>
      </c>
      <c r="G27" s="5">
        <v>1</v>
      </c>
      <c r="H27" s="5">
        <v>1</v>
      </c>
      <c r="I27" s="5" t="s">
        <v>8459</v>
      </c>
    </row>
    <row r="28" spans="1:9">
      <c r="A28" s="5" t="s">
        <v>3026</v>
      </c>
      <c r="B28" s="5" t="s">
        <v>10466</v>
      </c>
      <c r="C28" s="5" t="s">
        <v>10411</v>
      </c>
      <c r="D28" s="5" t="s">
        <v>10475</v>
      </c>
      <c r="E28" s="5">
        <v>1835</v>
      </c>
      <c r="F28" s="5">
        <v>1836</v>
      </c>
      <c r="G28" s="5">
        <v>1</v>
      </c>
      <c r="H28" s="5">
        <v>1</v>
      </c>
      <c r="I28" s="5" t="s">
        <v>8459</v>
      </c>
    </row>
    <row r="29" spans="1:9">
      <c r="A29" s="5" t="s">
        <v>3021</v>
      </c>
      <c r="B29" s="5" t="s">
        <v>10465</v>
      </c>
      <c r="C29" s="5" t="s">
        <v>2063</v>
      </c>
      <c r="D29" s="5" t="s">
        <v>10472</v>
      </c>
      <c r="E29" s="5">
        <v>1835</v>
      </c>
      <c r="F29" s="5">
        <v>1835</v>
      </c>
      <c r="G29" s="5">
        <v>1</v>
      </c>
      <c r="H29" s="5">
        <v>1</v>
      </c>
      <c r="I29" s="5" t="s">
        <v>8459</v>
      </c>
    </row>
    <row r="30" spans="1:9">
      <c r="A30" s="5" t="s">
        <v>3022</v>
      </c>
      <c r="B30" s="5" t="s">
        <v>10465</v>
      </c>
      <c r="C30" s="5" t="s">
        <v>2063</v>
      </c>
      <c r="D30" s="5" t="s">
        <v>10472</v>
      </c>
      <c r="E30" s="5">
        <v>1836</v>
      </c>
      <c r="F30" s="5">
        <v>1836</v>
      </c>
      <c r="G30" s="5">
        <v>1</v>
      </c>
      <c r="H30" s="5">
        <v>2</v>
      </c>
      <c r="I30" s="5" t="s">
        <v>8459</v>
      </c>
    </row>
    <row r="31" spans="1:9">
      <c r="A31" s="5" t="s">
        <v>10468</v>
      </c>
      <c r="B31" s="5" t="s">
        <v>10465</v>
      </c>
      <c r="C31" s="5" t="s">
        <v>2063</v>
      </c>
      <c r="D31" s="5" t="s">
        <v>10472</v>
      </c>
      <c r="E31" s="5">
        <v>1837</v>
      </c>
      <c r="F31" s="5">
        <v>1837</v>
      </c>
      <c r="G31" s="5">
        <v>1</v>
      </c>
      <c r="H31" s="5">
        <v>3</v>
      </c>
      <c r="I31" s="5" t="s">
        <v>8459</v>
      </c>
    </row>
    <row r="32" spans="1:9">
      <c r="A32" s="5" t="s">
        <v>3023</v>
      </c>
      <c r="B32" s="5" t="s">
        <v>10465</v>
      </c>
      <c r="C32" s="5" t="s">
        <v>2063</v>
      </c>
      <c r="D32" s="5" t="s">
        <v>10472</v>
      </c>
      <c r="E32" s="5">
        <v>1837</v>
      </c>
      <c r="F32" s="5">
        <v>1837</v>
      </c>
      <c r="G32" s="5">
        <v>1</v>
      </c>
      <c r="H32" s="5">
        <v>4</v>
      </c>
      <c r="I32" s="5" t="s">
        <v>8459</v>
      </c>
    </row>
    <row r="33" spans="1:9">
      <c r="A33" s="5" t="s">
        <v>3024</v>
      </c>
      <c r="B33" s="5" t="s">
        <v>10465</v>
      </c>
      <c r="C33" s="5" t="s">
        <v>2063</v>
      </c>
      <c r="D33" s="5" t="s">
        <v>10472</v>
      </c>
      <c r="E33" s="5">
        <v>1839</v>
      </c>
      <c r="F33" s="5">
        <v>1839</v>
      </c>
      <c r="G33" s="5">
        <v>1</v>
      </c>
      <c r="H33" s="5">
        <v>5</v>
      </c>
      <c r="I33" s="5" t="s">
        <v>8459</v>
      </c>
    </row>
    <row r="34" spans="1:9">
      <c r="A34" s="5" t="s">
        <v>3025</v>
      </c>
      <c r="B34" s="22" t="s">
        <v>10465</v>
      </c>
      <c r="C34" s="5" t="s">
        <v>2063</v>
      </c>
      <c r="D34" s="5" t="s">
        <v>10472</v>
      </c>
      <c r="E34" s="5">
        <v>1840</v>
      </c>
      <c r="F34" s="5">
        <v>1841</v>
      </c>
      <c r="G34" s="5">
        <v>1</v>
      </c>
      <c r="H34" s="5">
        <v>6</v>
      </c>
      <c r="I34" s="5" t="s">
        <v>8459</v>
      </c>
    </row>
    <row r="35" spans="1:9">
      <c r="A35" s="5" t="s">
        <v>3020</v>
      </c>
      <c r="B35" s="5" t="s">
        <v>1925</v>
      </c>
      <c r="C35" s="5" t="s">
        <v>1925</v>
      </c>
      <c r="D35" s="5" t="s">
        <v>10478</v>
      </c>
      <c r="E35" s="5">
        <v>1836</v>
      </c>
      <c r="F35" s="5">
        <v>1836</v>
      </c>
      <c r="G35" s="5">
        <v>1</v>
      </c>
      <c r="H35" s="5">
        <v>1</v>
      </c>
      <c r="I35" s="5" t="s">
        <v>8459</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6206-8D7B-4D00-A0A0-F0F3862E7AEC}">
  <sheetPr codeName="Sheet6"/>
  <dimension ref="A1:M35"/>
  <sheetViews>
    <sheetView workbookViewId="0">
      <selection activeCell="F28" sqref="F28"/>
    </sheetView>
  </sheetViews>
  <sheetFormatPr defaultColWidth="8.77734375" defaultRowHeight="14.4"/>
  <cols>
    <col min="1" max="12" width="10.77734375" customWidth="1"/>
  </cols>
  <sheetData>
    <row r="1" spans="1:13">
      <c r="C1" t="s">
        <v>3045</v>
      </c>
      <c r="D1" t="s">
        <v>3046</v>
      </c>
      <c r="E1" t="s">
        <v>3047</v>
      </c>
      <c r="F1" t="s">
        <v>3048</v>
      </c>
      <c r="G1" t="s">
        <v>3049</v>
      </c>
      <c r="H1" t="s">
        <v>3050</v>
      </c>
      <c r="I1" t="s">
        <v>3051</v>
      </c>
      <c r="J1" t="s">
        <v>3052</v>
      </c>
      <c r="K1" t="s">
        <v>3053</v>
      </c>
      <c r="L1" t="s">
        <v>3054</v>
      </c>
    </row>
    <row r="2" spans="1:13">
      <c r="A2" s="41" t="s">
        <v>2530</v>
      </c>
      <c r="B2" t="s">
        <v>2531</v>
      </c>
      <c r="C2">
        <f>COUNTA('1. OP'!J2:J1048576)</f>
        <v>289</v>
      </c>
      <c r="D2">
        <f>COUNTA('2. JSEL'!J2:J1048576)</f>
        <v>47</v>
      </c>
      <c r="E2">
        <f>COUNTA('3. PSM'!J2:J1048576)</f>
        <v>205</v>
      </c>
      <c r="F2">
        <f>COUNTA('4. SSP'!J2:J1048576)</f>
        <v>494</v>
      </c>
      <c r="G2">
        <f>COUNTA('5. JSACI'!J2:J1048576)</f>
        <v>45</v>
      </c>
      <c r="H2">
        <f>COUNTA('6. AIN'!J2:J1048576)</f>
        <v>857</v>
      </c>
      <c r="I2">
        <f>COUNTA('7. MS'!J2:J1048576)</f>
        <v>16</v>
      </c>
      <c r="J2">
        <f>COUNTA('8. DS'!J2:J1048576)</f>
        <v>384</v>
      </c>
      <c r="K2">
        <f>COUNTA('9. RMF'!J2:J1048576)</f>
        <v>703</v>
      </c>
      <c r="L2">
        <f>COUNTA('10. PCU'!J2:J1048576)</f>
        <v>8</v>
      </c>
    </row>
    <row r="3" spans="1:13">
      <c r="A3" s="41"/>
      <c r="B3" t="s">
        <v>2532</v>
      </c>
      <c r="C3">
        <f>SUM('1. OP'!H2:H5536)</f>
        <v>1848.9999999999998</v>
      </c>
      <c r="D3">
        <f>SUM('2. JSEL'!H2:H1048576)</f>
        <v>279</v>
      </c>
      <c r="E3">
        <f>SUM('3. PSM'!H2:H1048576)</f>
        <v>1063.0000000000005</v>
      </c>
      <c r="F3">
        <f>SUM('4. SSP'!H2:H1048576)</f>
        <v>562.99999999999966</v>
      </c>
      <c r="G3">
        <f>SUM('5. JSACI'!H2:H1048576)</f>
        <v>235.00000000000003</v>
      </c>
      <c r="H3">
        <f>SUM('6. AIN'!H2:H1048576)</f>
        <v>3323.0000000000018</v>
      </c>
      <c r="I3">
        <f>SUM('7. MS'!H2:H1048573)</f>
        <v>14</v>
      </c>
      <c r="J3">
        <f>SUM('8. DS'!H2:H1048576)</f>
        <v>426.99999999999926</v>
      </c>
      <c r="K3">
        <f>SUM('9. RMF'!H2:H1048576)</f>
        <v>2886</v>
      </c>
      <c r="L3">
        <f>SUM('10. PCU'!H2:H1048576)</f>
        <v>16</v>
      </c>
    </row>
    <row r="4" spans="1:13">
      <c r="A4" s="41" t="s">
        <v>2510</v>
      </c>
      <c r="B4" t="s">
        <v>2533</v>
      </c>
      <c r="C4" cm="1">
        <f t="array" ref="C4">SUM(_xlfn.BYROW('1. OP'!R2:R10002, _xlfn.LAMBDA(_xlpm.x, --ISNUMBER(MATCH("TRUE", _xlfn.TEXTSPLIT(LOWER(_xlpm.x)," "), 0)))))</f>
        <v>67</v>
      </c>
      <c r="D4" cm="1">
        <f t="array" ref="D4">SUM(_xlfn.BYROW('2. JSEL'!R2:R48, _xlfn.LAMBDA(_xlpm.x, --ISNUMBER(MATCH("TRUE", _xlfn.TEXTSPLIT(LOWER(_xlpm.x)," "), 0)))))</f>
        <v>15</v>
      </c>
      <c r="E4" cm="1">
        <f t="array" ref="E4">SUM(_xlfn.BYROW('3. PSM'!R2:R206, _xlfn.LAMBDA(_xlpm.x, --ISNUMBER(MATCH("TRUE", _xlfn.TEXTSPLIT(LOWER(_xlpm.x)," "), 0)))))</f>
        <v>205</v>
      </c>
      <c r="F4" cm="1">
        <f t="array" ref="F4">SUM(_xlfn.BYROW('4. SSP'!R2:R495, _xlfn.LAMBDA(_xlpm.x, --ISNUMBER(MATCH("TRUE", _xlfn.TEXTSPLIT(LOWER(_xlpm.x)," "), 0)))))</f>
        <v>418</v>
      </c>
      <c r="G4" cm="1">
        <f t="array" ref="G4">SUM(_xlfn.BYROW('5. JSACI'!R2:R46, _xlfn.LAMBDA(_xlpm.x, --ISNUMBER(MATCH("TRUE", _xlfn.TEXTSPLIT(LOWER(_xlpm.x)," "), 0)))))</f>
        <v>28</v>
      </c>
      <c r="H4" cm="1">
        <f t="array" ref="H4">SUM(_xlfn.BYROW('6. AIN'!R2:R858, _xlfn.LAMBDA(_xlpm.x, --ISNUMBER(MATCH("TRUE", _xlfn.TEXTSPLIT(LOWER(_xlpm.x)," "), 0)))))</f>
        <v>722</v>
      </c>
      <c r="I4" cm="1">
        <f t="array" ref="I4">SUM(_xlfn.BYROW('7. MS'!R2:R9999, _xlfn.LAMBDA(_xlpm.x, --ISNUMBER(MATCH("TRUE", _xlfn.TEXTSPLIT(LOWER(_xlpm.x)," "), 0)))))</f>
        <v>13</v>
      </c>
      <c r="J4" cm="1">
        <f t="array" ref="J4">SUM(_xlfn.BYROW('8. DS'!R2:R10006, _xlfn.LAMBDA(_xlpm.x, --ISNUMBER(MATCH("TRUE", _xlfn.TEXTSPLIT(LOWER(_xlpm.x)," "), 0)))))</f>
        <v>382</v>
      </c>
      <c r="K4" cm="1">
        <f t="array" ref="K4">SUM(_xlfn.BYROW('9. RMF'!R2:R10124, _xlfn.LAMBDA(_xlpm.x, --ISNUMBER(MATCH("TRUE", _xlfn.TEXTSPLIT(LOWER(_xlpm.x)," "), 0)))))</f>
        <v>557</v>
      </c>
      <c r="L4" cm="1">
        <f t="array" ref="L4">SUM(_xlfn.BYROW('10. PCU'!R2:R10001, _xlfn.LAMBDA(_xlpm.x, --ISNUMBER(MATCH("TRUE", _xlfn.TEXTSPLIT(LOWER(_xlpm.x)," "), 0)))))</f>
        <v>4</v>
      </c>
    </row>
    <row r="5" spans="1:13">
      <c r="A5" s="41"/>
      <c r="B5" t="s">
        <v>2534</v>
      </c>
      <c r="C5" s="12">
        <f>SUMIF('1. OP'!$R:$R,"TRUE",'1. OP'!$H:$H)</f>
        <v>741.5</v>
      </c>
      <c r="D5" s="12">
        <f>SUMIF('2. JSEL'!$R:$R,"TRUE",'2. JSEL'!$H:$H)</f>
        <v>132.5</v>
      </c>
      <c r="E5" s="12">
        <f>SUMIF('3. PSM'!$R:$R,"TRUE",'3. PSM'!$H:$H)</f>
        <v>1063.0000000000005</v>
      </c>
      <c r="F5" s="12">
        <f>SUMIF('4. SSP'!$R:$R,"TRUE",'4. SSP'!$H:$H)</f>
        <v>477.88333333333276</v>
      </c>
      <c r="G5" s="12">
        <f>SUMIF('5. JSACI'!$R:$R,"TRUE",'5. JSACI'!$H:$H)</f>
        <v>162.33333333333334</v>
      </c>
      <c r="H5" s="12">
        <f>SUMIF('6. AIN'!$R:$R,"TRUE",'6. AIN'!$H:$H)</f>
        <v>3005.8333333333344</v>
      </c>
      <c r="I5" s="12">
        <f>SUMIF('7. MS'!$R:$R,"TRUE",'7. MS'!$H:$H)</f>
        <v>12</v>
      </c>
      <c r="J5" s="12">
        <f>SUMIF('8. DS'!$R:$R,"TRUE",'8. DS'!$H:$H)</f>
        <v>426.04999999999927</v>
      </c>
      <c r="K5" s="12">
        <f>SUMIF('9. RMF'!$R:$R,"TRUE",'9. RMF'!$H:$H)</f>
        <v>2492.1666666666665</v>
      </c>
      <c r="L5" s="12">
        <f>SUMIF('10. PCU'!$R:$R,"TRUE",'10. PCU'!$H:$H)</f>
        <v>6.25</v>
      </c>
      <c r="M5" s="12"/>
    </row>
    <row r="6" spans="1:13">
      <c r="A6" s="41"/>
      <c r="B6" t="s">
        <v>2536</v>
      </c>
      <c r="C6" s="7">
        <f>IFERROR(C4/C2,"")</f>
        <v>0.23183391003460208</v>
      </c>
      <c r="D6" s="7">
        <f t="shared" ref="D6:L6" si="0">IFERROR(D4/D2,"")</f>
        <v>0.31914893617021278</v>
      </c>
      <c r="E6" s="7">
        <f t="shared" si="0"/>
        <v>1</v>
      </c>
      <c r="F6" s="7">
        <f t="shared" si="0"/>
        <v>0.84615384615384615</v>
      </c>
      <c r="G6" s="7">
        <f t="shared" si="0"/>
        <v>0.62222222222222223</v>
      </c>
      <c r="H6" s="7">
        <f t="shared" si="0"/>
        <v>0.84247374562427069</v>
      </c>
      <c r="I6" s="7">
        <f t="shared" si="0"/>
        <v>0.8125</v>
      </c>
      <c r="J6" s="7">
        <f t="shared" si="0"/>
        <v>0.99479166666666663</v>
      </c>
      <c r="K6" s="7">
        <f t="shared" si="0"/>
        <v>0.79231863442389761</v>
      </c>
      <c r="L6" s="7">
        <f t="shared" si="0"/>
        <v>0.5</v>
      </c>
    </row>
    <row r="7" spans="1:13">
      <c r="A7" s="41"/>
      <c r="B7" t="s">
        <v>2535</v>
      </c>
      <c r="C7" s="7">
        <f>IFERROR(C5/C3,"")</f>
        <v>0.40102758247701464</v>
      </c>
      <c r="D7" s="7">
        <f t="shared" ref="D7:L7" si="1">IFERROR(D5/D3,"")</f>
        <v>0.47491039426523296</v>
      </c>
      <c r="E7" s="7">
        <f t="shared" si="1"/>
        <v>1</v>
      </c>
      <c r="F7" s="7">
        <f t="shared" si="1"/>
        <v>0.84881586737714576</v>
      </c>
      <c r="G7" s="7">
        <f t="shared" si="1"/>
        <v>0.69078014184397163</v>
      </c>
      <c r="H7" s="7">
        <f t="shared" si="1"/>
        <v>0.90455411776507155</v>
      </c>
      <c r="I7" s="7">
        <f t="shared" si="1"/>
        <v>0.8571428571428571</v>
      </c>
      <c r="J7" s="7">
        <f>IFERROR(J5/J3,"")</f>
        <v>0.99777517564402818</v>
      </c>
      <c r="K7" s="7">
        <f t="shared" si="1"/>
        <v>0.86353661353661348</v>
      </c>
      <c r="L7" s="7">
        <f t="shared" si="1"/>
        <v>0.390625</v>
      </c>
    </row>
    <row r="8" spans="1:13">
      <c r="A8" s="40" t="s">
        <v>11499</v>
      </c>
      <c r="B8" t="s">
        <v>778</v>
      </c>
      <c r="C8">
        <f>COUNTIF('1. OP'!O2:O10002, "*Local*")</f>
        <v>180</v>
      </c>
      <c r="D8">
        <f>COUNTIF('2. JSEL'!O2:O48, "*Local*")</f>
        <v>28</v>
      </c>
      <c r="E8">
        <f>COUNTIF('3. PSM'!O2:O206, "*Local*")</f>
        <v>28</v>
      </c>
      <c r="F8">
        <f>COUNTIF('4. SSP'!O2:O495, "*Local*")</f>
        <v>262</v>
      </c>
      <c r="G8">
        <f>COUNTIF('5. JSACI'!O2:O46, "*Local*")</f>
        <v>31</v>
      </c>
      <c r="H8">
        <f>COUNTIF('6. AIN'!O2:O858, "*Local*")</f>
        <v>303</v>
      </c>
      <c r="I8">
        <f>COUNTIF('7. MS'!O2:O9999, "*Local*")</f>
        <v>4</v>
      </c>
      <c r="J8">
        <f>COUNTIF('8. DS'!O2:O10006, "*Local*")</f>
        <v>132</v>
      </c>
      <c r="K8">
        <f>COUNTIF('9. RMF'!O2:O10124, "*Local*")</f>
        <v>452</v>
      </c>
      <c r="L8">
        <f>COUNTIF('10. PCU'!O2:O10001, "*Local*")</f>
        <v>2</v>
      </c>
    </row>
    <row r="9" spans="1:13">
      <c r="A9" s="41"/>
      <c r="B9" t="s">
        <v>5072</v>
      </c>
      <c r="C9">
        <f>COUNTIF('1. OP'!O2:O10002, "*Reuse (Translation)*")</f>
        <v>59</v>
      </c>
      <c r="D9">
        <f>COUNTIF('2. JSEL'!O2:O48, "*Reuse (Translation)*")</f>
        <v>13</v>
      </c>
      <c r="E9">
        <f>COUNTIF('3. PSM'!O2:O206, "*Reuse (Translation)*")</f>
        <v>128</v>
      </c>
      <c r="F9">
        <f>COUNTIF('4. SSP'!O2:O495, "*Reuse (Translation)*")</f>
        <v>173</v>
      </c>
      <c r="G9">
        <f>COUNTIF('5. JSACI'!O2:O46, "*Reuse (Translation)*")</f>
        <v>6</v>
      </c>
      <c r="H9">
        <f>COUNTIF('6. AIN'!O2:O858, "*Reuse (Translation)*")</f>
        <v>449</v>
      </c>
      <c r="I9">
        <f>COUNTIF('7. MS'!O2:O9999, "*Reuse (Translation)*")</f>
        <v>10</v>
      </c>
      <c r="J9">
        <f>COUNTIF('8. DS'!O2:O10006, "*Reuse (Translation)*")</f>
        <v>134</v>
      </c>
      <c r="K9">
        <f>COUNTIF('9. RMF'!O2:O10124, "*Reuse (Translation)*")</f>
        <v>132</v>
      </c>
      <c r="L9">
        <f>COUNTIF('10. PCU'!O2:O10001, "*Reuse (Translation)*")</f>
        <v>4</v>
      </c>
    </row>
    <row r="10" spans="1:13">
      <c r="A10" s="41"/>
      <c r="B10" t="s">
        <v>10264</v>
      </c>
      <c r="C10">
        <f>COUNTIF('1. OP'!O2:O10002, "*Reuse (Reprint)*")</f>
        <v>34</v>
      </c>
      <c r="D10">
        <f>COUNTIF('2. JSEL'!O2:O48, "*Reuse (Reprint)*")</f>
        <v>1</v>
      </c>
      <c r="E10">
        <f>COUNTIF('3. PSM'!O2:O206, "*Reuse (Reprint)*")</f>
        <v>0</v>
      </c>
      <c r="F10">
        <f>COUNTIF('4. SSP'!O2:O495, "*Reuse (Reprint)*")</f>
        <v>1</v>
      </c>
      <c r="G10">
        <f>COUNTIF('5. JSACI'!O2:O46, "*Reuse (Reprint)*")</f>
        <v>1</v>
      </c>
      <c r="H10">
        <f>COUNTIF('6. AIN'!O2:O858, "*Reuse (Reprint)*")</f>
        <v>50</v>
      </c>
      <c r="I10">
        <f>COUNTIF('7. MS'!O2:O9999, "*Reuse (Reprint)*")</f>
        <v>0</v>
      </c>
      <c r="J10">
        <f>COUNTIF('8. DS'!O2:O10006, "*Reuse (Reprint)*")</f>
        <v>18</v>
      </c>
      <c r="K10">
        <f>COUNTIF('9. RMF'!O2:O10124, "*Reuse (Reprint)*")</f>
        <v>39</v>
      </c>
      <c r="L10">
        <f>COUNTIF('10. PCU'!O2:O10001, "*Reuse (Reprint)*")</f>
        <v>1</v>
      </c>
    </row>
    <row r="11" spans="1:13">
      <c r="A11" s="41"/>
      <c r="B11" t="s">
        <v>11522</v>
      </c>
      <c r="C11">
        <f>COUNTIF('1. OP'!O2:O10002, "*Adaptation*")</f>
        <v>5</v>
      </c>
      <c r="D11">
        <f>COUNTIF('2. JSEL'!O2:O48, "*Adaptation*")</f>
        <v>5</v>
      </c>
      <c r="E11">
        <f>COUNTIF('3. PSM'!O2:O206, "*Adaptation*")</f>
        <v>49</v>
      </c>
      <c r="F11">
        <f>COUNTIF('4. SSP'!O2:O495, "*Adaptation*")</f>
        <v>56</v>
      </c>
      <c r="G11">
        <f>COUNTIF('5. JSACI'!O2:O46, "*Adaptation*")</f>
        <v>6</v>
      </c>
      <c r="H11">
        <f>COUNTIF('6. AIN'!O2:O858, "*Adaptation*")</f>
        <v>53</v>
      </c>
      <c r="I11">
        <f>COUNTIF('7. MS'!O2:O9999, "*Adaptation*")</f>
        <v>2</v>
      </c>
      <c r="J11">
        <f>COUNTIF('8. DS'!O2:O10006, "*Adaptation*")</f>
        <v>98</v>
      </c>
      <c r="K11">
        <f>COUNTIF('9. RMF'!O2:O10124, "*Adaptation*")</f>
        <v>76</v>
      </c>
      <c r="L11">
        <f>COUNTIF('10. PCU'!O2:O10001, "*Adaptation*")</f>
        <v>1</v>
      </c>
    </row>
    <row r="12" spans="1:13">
      <c r="A12" s="41"/>
      <c r="B12" t="s">
        <v>3262</v>
      </c>
      <c r="C12">
        <f>SUM(C9:C11)</f>
        <v>98</v>
      </c>
      <c r="D12">
        <f t="shared" ref="D12:L12" si="2">SUM(D9:D11)</f>
        <v>19</v>
      </c>
      <c r="E12">
        <f t="shared" si="2"/>
        <v>177</v>
      </c>
      <c r="F12">
        <f t="shared" si="2"/>
        <v>230</v>
      </c>
      <c r="G12">
        <f t="shared" si="2"/>
        <v>13</v>
      </c>
      <c r="H12">
        <f t="shared" si="2"/>
        <v>552</v>
      </c>
      <c r="I12">
        <f t="shared" si="2"/>
        <v>12</v>
      </c>
      <c r="J12">
        <f t="shared" si="2"/>
        <v>250</v>
      </c>
      <c r="K12">
        <f t="shared" si="2"/>
        <v>247</v>
      </c>
      <c r="L12">
        <f t="shared" si="2"/>
        <v>6</v>
      </c>
    </row>
    <row r="13" spans="1:13">
      <c r="A13" s="41"/>
      <c r="B13" t="s">
        <v>2568</v>
      </c>
      <c r="C13" s="7">
        <f>IFERROR(C9/C2,"")</f>
        <v>0.20415224913494809</v>
      </c>
      <c r="D13" s="7">
        <f t="shared" ref="D13:L13" si="3">IFERROR(D9/D2,"")</f>
        <v>0.27659574468085107</v>
      </c>
      <c r="E13" s="7">
        <f t="shared" si="3"/>
        <v>0.62439024390243902</v>
      </c>
      <c r="F13" s="7">
        <f t="shared" si="3"/>
        <v>0.35020242914979755</v>
      </c>
      <c r="G13" s="7">
        <f t="shared" si="3"/>
        <v>0.13333333333333333</v>
      </c>
      <c r="H13" s="7">
        <f t="shared" si="3"/>
        <v>0.52392065344224037</v>
      </c>
      <c r="I13" s="7">
        <f t="shared" si="3"/>
        <v>0.625</v>
      </c>
      <c r="J13" s="7">
        <f t="shared" si="3"/>
        <v>0.34895833333333331</v>
      </c>
      <c r="K13" s="7">
        <f t="shared" si="3"/>
        <v>0.18776671408250356</v>
      </c>
      <c r="L13" s="7">
        <f t="shared" si="3"/>
        <v>0.5</v>
      </c>
    </row>
    <row r="14" spans="1:13">
      <c r="A14" s="41"/>
      <c r="B14" t="s">
        <v>11521</v>
      </c>
      <c r="C14" s="7">
        <f>IFERROR(C10/C2,"")</f>
        <v>0.11764705882352941</v>
      </c>
      <c r="D14" s="7">
        <f t="shared" ref="D14:L14" si="4">IFERROR(D10/D2,"")</f>
        <v>2.1276595744680851E-2</v>
      </c>
      <c r="E14" s="7">
        <f t="shared" si="4"/>
        <v>0</v>
      </c>
      <c r="F14" s="7">
        <f t="shared" si="4"/>
        <v>2.0242914979757085E-3</v>
      </c>
      <c r="G14" s="7">
        <f t="shared" si="4"/>
        <v>2.2222222222222223E-2</v>
      </c>
      <c r="H14" s="7">
        <f t="shared" si="4"/>
        <v>5.8343057176196034E-2</v>
      </c>
      <c r="I14" s="7">
        <f t="shared" si="4"/>
        <v>0</v>
      </c>
      <c r="J14" s="7">
        <f t="shared" si="4"/>
        <v>4.6875E-2</v>
      </c>
      <c r="K14" s="7">
        <f t="shared" si="4"/>
        <v>5.5476529160739689E-2</v>
      </c>
      <c r="L14" s="7">
        <f t="shared" si="4"/>
        <v>0.125</v>
      </c>
    </row>
    <row r="15" spans="1:13">
      <c r="A15" s="41"/>
      <c r="B15" t="s">
        <v>3263</v>
      </c>
      <c r="C15" s="7">
        <f>IFERROR(C12/C2,"")</f>
        <v>0.33910034602076122</v>
      </c>
      <c r="D15" s="7">
        <f t="shared" ref="D15:L15" si="5">IFERROR(D12/D2,"")</f>
        <v>0.40425531914893614</v>
      </c>
      <c r="E15" s="7">
        <f t="shared" si="5"/>
        <v>0.86341463414634145</v>
      </c>
      <c r="F15" s="7">
        <f t="shared" si="5"/>
        <v>0.46558704453441296</v>
      </c>
      <c r="G15" s="7">
        <f t="shared" si="5"/>
        <v>0.28888888888888886</v>
      </c>
      <c r="H15" s="7">
        <f t="shared" si="5"/>
        <v>0.64410735122520424</v>
      </c>
      <c r="I15" s="7">
        <f t="shared" si="5"/>
        <v>0.75</v>
      </c>
      <c r="J15" s="7">
        <f t="shared" si="5"/>
        <v>0.65104166666666663</v>
      </c>
      <c r="K15" s="7">
        <f t="shared" si="5"/>
        <v>0.35135135135135137</v>
      </c>
      <c r="L15" s="7">
        <f t="shared" si="5"/>
        <v>0.75</v>
      </c>
    </row>
    <row r="16" spans="1:13">
      <c r="A16" s="40" t="s">
        <v>11498</v>
      </c>
      <c r="B16" t="s">
        <v>778</v>
      </c>
      <c r="C16">
        <f>COUNTIFS('1. OP'!O2:O10002,"*Local*",'1. OP'!R2:R10002,"TRUE")</f>
        <v>47</v>
      </c>
      <c r="D16">
        <f>COUNTIFS('2. JSEL'!O2:O48,"*Local*",'2. JSEL'!R2:R48,"TRUE")</f>
        <v>4</v>
      </c>
      <c r="E16">
        <f>COUNTIFS('3. PSM'!O2:O206,"*Local*",'3. PSM'!R2:R206,"TRUE")</f>
        <v>28</v>
      </c>
      <c r="F16">
        <f>COUNTIFS('4. SSP'!O2:O495,"*Local*",'4. SSP'!R2:R495,"TRUE")</f>
        <v>186</v>
      </c>
      <c r="G16">
        <f>COUNTIFS('5. JSACI'!O2:O46,"*Local*",'5. JSACI'!R2:R46,"TRUE")</f>
        <v>15</v>
      </c>
      <c r="H16">
        <f>COUNTIFS('6. AIN'!O2:O858,"*Local*",'6. AIN'!R2:R858,"TRUE")</f>
        <v>169</v>
      </c>
      <c r="I16">
        <f>COUNTIFS('7. MS'!O2:O9999,"*Local*",'7. MS'!R2:R9999,"TRUE")</f>
        <v>1</v>
      </c>
      <c r="J16">
        <f>COUNTIFS('8. DS'!O2:O10006,"*Local*",'8. DS'!R2:R10006,"TRUE")</f>
        <v>130</v>
      </c>
      <c r="K16">
        <f>COUNTIFS('9. RMF'!O2:O10124,"*Local*",'9. RMF'!R2:R10124,"TRUE")</f>
        <v>306</v>
      </c>
      <c r="L16">
        <f>COUNTIFS('10. PCU'!O2:O10001,"*Local*",'10. PCU'!R2:R10001,"TRUE")</f>
        <v>0</v>
      </c>
    </row>
    <row r="17" spans="1:12">
      <c r="A17" s="41"/>
      <c r="B17" t="s">
        <v>5072</v>
      </c>
      <c r="C17">
        <f>COUNTIFS('1. OP'!O2:O10002,"*Reuse (Translation)*",'1. OP'!R2:R10002,"TRUE")</f>
        <v>3</v>
      </c>
      <c r="D17">
        <f>COUNTIFS('2. JSEL'!O2:O48,"*Reuse (Translation)*",'2. JSEL'!R2:R48,"TRUE")</f>
        <v>7</v>
      </c>
      <c r="E17">
        <f>COUNTIFS('3. PSM'!O2:O206,"*Reuse (Translation)*",'3. PSM'!R2:R206,"TRUE")</f>
        <v>128</v>
      </c>
      <c r="F17">
        <f>COUNTIFS('4. SSP'!O2:O495,"*Reuse (Translation)*",'4. SSP'!R2:R495,"TRUE")</f>
        <v>173</v>
      </c>
      <c r="G17">
        <f>COUNTIFS('5. JSACI'!O2:O46,"*Reuse (Translation)*",'5. JSACI'!R2:R46,"TRUE")</f>
        <v>5</v>
      </c>
      <c r="H17">
        <f>COUNTIFS('6. AIN'!O2:O858,"*Reuse (Translation)*",'6. AIN'!R2:R858,"TRUE")</f>
        <v>448</v>
      </c>
      <c r="I17">
        <f>COUNTIFS('7. MS'!O2:O9999,"*Reuse (Translation)*",'7. MS'!R2:R9999,"TRUE")</f>
        <v>10</v>
      </c>
      <c r="J17">
        <f>COUNTIFS('8. DS'!O2:O10006,"*Reuse (Translation)*",'8. DS'!R2:R10006,"TRUE")</f>
        <v>134</v>
      </c>
      <c r="K17">
        <f>COUNTIFS('9. RMF'!O2:O10124,"*Reuse (Translation)*",'9. RMF'!R2:R10124,"TRUE")</f>
        <v>132</v>
      </c>
      <c r="L17">
        <f>COUNTIFS('10. PCU'!O2:O10001,"*Reuse (Translation)*",'10. PCU'!R2:R10001,"TRUE")</f>
        <v>3</v>
      </c>
    </row>
    <row r="18" spans="1:12">
      <c r="A18" s="41"/>
      <c r="B18" t="s">
        <v>10264</v>
      </c>
      <c r="C18">
        <f>COUNTIFS('1. OP'!O2:O10002,"*Reuse (Reprint)*",'1. OP'!R2:R10002,"TRUE")</f>
        <v>7</v>
      </c>
      <c r="D18">
        <f>COUNTIFS('2. JSEL'!O2:O48,"*Reuse (Reprint)*",'2. JSEL'!R2:R48,"TRUE")</f>
        <v>0</v>
      </c>
      <c r="E18">
        <f>COUNTIFS('3. PSM'!O2:O206,"*Reuse (Reprint)*",'3. PSM'!R2:R206,"TRUE")</f>
        <v>0</v>
      </c>
      <c r="F18">
        <f>COUNTIFS('4. SSP'!O2:O495,"*Reuse (Reprint)*",'4. SSP'!R2:R495,"TRUE")</f>
        <v>1</v>
      </c>
      <c r="G18">
        <f>COUNTIFS('5. JSACI'!O2:O46,"*Reuse (Reprint)*",'5. JSACI'!R2:R46,"TRUE")</f>
        <v>1</v>
      </c>
      <c r="H18">
        <f>COUNTIFS('6. AIN'!O2:O858,"*Reuse (Reprint)*",'6. AIN'!R2:R858,"TRUE")</f>
        <v>50</v>
      </c>
      <c r="I18">
        <f>COUNTIFS('7. MS'!O2:O9999,"*Reuse (Reprint)*",'7. MS'!R2:R9999,"TRUE")</f>
        <v>0</v>
      </c>
      <c r="J18">
        <f>COUNTIFS('8. DS'!O2:O10006,"*Reuse (Reprint)*",'8. DS'!R2:R10006,"TRUE")</f>
        <v>18</v>
      </c>
      <c r="K18">
        <f>COUNTIFS('9. RMF'!O2:O10124,"*Reuse (Reprint)*",'9. RMF'!R2:R10124,"TRUE")</f>
        <v>39</v>
      </c>
      <c r="L18">
        <f>COUNTIFS('10. PCU'!O2:O10001,"*Reuse (Reprint)*",'10. PCU'!R2:R10001,"TRUE")</f>
        <v>0</v>
      </c>
    </row>
    <row r="19" spans="1:12">
      <c r="A19" s="41"/>
      <c r="B19" t="s">
        <v>11522</v>
      </c>
      <c r="C19">
        <f>COUNTIFS('1. OP'!O2:O10002,"*Adaptation*",'1. OP'!R2:R10002,"TRUE")</f>
        <v>4</v>
      </c>
      <c r="D19">
        <f>COUNTIFS('2. JSEL'!O2:O48,"*Adaptation*",'2. JSEL'!R2:R48,"TRUE")</f>
        <v>4</v>
      </c>
      <c r="E19">
        <f>COUNTIFS('3. PSM'!O2:O206,"*Adaptation*",'3. PSM'!R2:R206,"TRUE")</f>
        <v>49</v>
      </c>
      <c r="F19">
        <f>COUNTIFS('4. SSP'!O2:O495,"*Adaptation*",'4. SSP'!R2:R495,"TRUE")</f>
        <v>56</v>
      </c>
      <c r="G19">
        <f>COUNTIFS('5. JSACI'!O2:O46,"*Adaptation*",'5. JSACI'!R2:R46,"TRUE")</f>
        <v>6</v>
      </c>
      <c r="H19">
        <f>COUNTIFS('6. AIN'!O2:O858,"*Adaptation*",'6. AIN'!R2:R858,"TRUE")</f>
        <v>53</v>
      </c>
      <c r="I19">
        <f>COUNTIFS('7. MS'!O2:O9999,"*Adaptation*",'7. MS'!R2:R9999,"TRUE")</f>
        <v>2</v>
      </c>
      <c r="J19">
        <f>COUNTIFS('8. DS'!O2:O10006,"*Adaptation*",'8. DS'!R2:R10006,"TRUE")</f>
        <v>98</v>
      </c>
      <c r="K19">
        <f>COUNTIFS('9. RMF'!O2:O10124,"*Adaptation*",'9. RMF'!R2:R10124,"TRUE")</f>
        <v>76</v>
      </c>
      <c r="L19">
        <f>COUNTIFS('10. PCU'!O2:O10001,"*Adaptation*",'10. PCU'!R2:R10001,"TRUE")</f>
        <v>1</v>
      </c>
    </row>
    <row r="20" spans="1:12">
      <c r="A20" s="41"/>
      <c r="B20" t="s">
        <v>3262</v>
      </c>
      <c r="C20">
        <f>SUM(C17:C19)</f>
        <v>14</v>
      </c>
      <c r="D20">
        <f t="shared" ref="D20:L20" si="6">SUM(D17:D19)</f>
        <v>11</v>
      </c>
      <c r="E20">
        <f>SUM(E17:E19)</f>
        <v>177</v>
      </c>
      <c r="F20">
        <f t="shared" si="6"/>
        <v>230</v>
      </c>
      <c r="G20">
        <f t="shared" si="6"/>
        <v>12</v>
      </c>
      <c r="H20">
        <f t="shared" si="6"/>
        <v>551</v>
      </c>
      <c r="I20">
        <f t="shared" si="6"/>
        <v>12</v>
      </c>
      <c r="J20">
        <f t="shared" si="6"/>
        <v>250</v>
      </c>
      <c r="K20">
        <f t="shared" si="6"/>
        <v>247</v>
      </c>
      <c r="L20">
        <f t="shared" si="6"/>
        <v>4</v>
      </c>
    </row>
    <row r="21" spans="1:12">
      <c r="A21" s="41"/>
      <c r="B21" t="s">
        <v>2568</v>
      </c>
      <c r="C21" s="7">
        <f>IFERROR(C17/C4,"")</f>
        <v>4.4776119402985072E-2</v>
      </c>
      <c r="D21" s="7">
        <f t="shared" ref="D21:L21" si="7">IFERROR(D17/D4,"")</f>
        <v>0.46666666666666667</v>
      </c>
      <c r="E21" s="7">
        <f t="shared" si="7"/>
        <v>0.62439024390243902</v>
      </c>
      <c r="F21" s="7">
        <f t="shared" si="7"/>
        <v>0.4138755980861244</v>
      </c>
      <c r="G21" s="7">
        <f t="shared" si="7"/>
        <v>0.17857142857142858</v>
      </c>
      <c r="H21" s="7">
        <f t="shared" si="7"/>
        <v>0.62049861495844871</v>
      </c>
      <c r="I21" s="7">
        <f t="shared" si="7"/>
        <v>0.76923076923076927</v>
      </c>
      <c r="J21" s="7">
        <f t="shared" si="7"/>
        <v>0.35078534031413611</v>
      </c>
      <c r="K21" s="7">
        <f t="shared" si="7"/>
        <v>0.23698384201077199</v>
      </c>
      <c r="L21" s="7">
        <f t="shared" si="7"/>
        <v>0.75</v>
      </c>
    </row>
    <row r="22" spans="1:12">
      <c r="A22" s="41"/>
      <c r="B22" t="s">
        <v>11521</v>
      </c>
      <c r="C22" s="7">
        <f>IFERROR(C18/C4,"")</f>
        <v>0.1044776119402985</v>
      </c>
      <c r="D22" s="7">
        <f t="shared" ref="D22:L22" si="8">IFERROR(D18/D4,"")</f>
        <v>0</v>
      </c>
      <c r="E22" s="7">
        <f t="shared" si="8"/>
        <v>0</v>
      </c>
      <c r="F22" s="7">
        <f t="shared" si="8"/>
        <v>2.3923444976076554E-3</v>
      </c>
      <c r="G22" s="7">
        <f t="shared" si="8"/>
        <v>3.5714285714285712E-2</v>
      </c>
      <c r="H22" s="7">
        <f t="shared" si="8"/>
        <v>6.9252077562326875E-2</v>
      </c>
      <c r="I22" s="7">
        <f t="shared" si="8"/>
        <v>0</v>
      </c>
      <c r="J22" s="7">
        <f t="shared" si="8"/>
        <v>4.712041884816754E-2</v>
      </c>
      <c r="K22" s="7">
        <f t="shared" si="8"/>
        <v>7.0017953321364457E-2</v>
      </c>
      <c r="L22" s="7">
        <f t="shared" si="8"/>
        <v>0</v>
      </c>
    </row>
    <row r="23" spans="1:12">
      <c r="A23" s="41"/>
      <c r="B23" t="s">
        <v>3263</v>
      </c>
      <c r="C23" s="19">
        <f>IFERROR(C20/C4,"")</f>
        <v>0.20895522388059701</v>
      </c>
      <c r="D23" s="19">
        <f t="shared" ref="D23:L23" si="9">IFERROR(D20/D4,"")</f>
        <v>0.73333333333333328</v>
      </c>
      <c r="E23" s="19">
        <f t="shared" si="9"/>
        <v>0.86341463414634145</v>
      </c>
      <c r="F23" s="19">
        <f t="shared" si="9"/>
        <v>0.55023923444976075</v>
      </c>
      <c r="G23" s="19">
        <f t="shared" si="9"/>
        <v>0.42857142857142855</v>
      </c>
      <c r="H23" s="19">
        <f t="shared" si="9"/>
        <v>0.76315789473684215</v>
      </c>
      <c r="I23" s="19">
        <f t="shared" si="9"/>
        <v>0.92307692307692313</v>
      </c>
      <c r="J23" s="19">
        <f t="shared" si="9"/>
        <v>0.65445026178010468</v>
      </c>
      <c r="K23" s="19">
        <f t="shared" si="9"/>
        <v>0.44344703770197486</v>
      </c>
      <c r="L23" s="19">
        <f t="shared" si="9"/>
        <v>1</v>
      </c>
    </row>
    <row r="24" spans="1:12">
      <c r="A24" s="40" t="s">
        <v>11500</v>
      </c>
      <c r="B24" t="s">
        <v>778</v>
      </c>
      <c r="C24" s="11">
        <f>SUMIFS('1. OP'!$H:$H,'1. OP'!$R:$R,"TRUE",'1. OP'!$O:$O,"Local")</f>
        <v>514</v>
      </c>
      <c r="D24" s="11">
        <f>SUMIFS('2. JSEL'!$H:$H,'2. JSEL'!$R:$R,"TRUE",'2. JSEL'!$O:$O,"Local")</f>
        <v>39</v>
      </c>
      <c r="E24" s="11">
        <f>SUMIFS('3. PSM'!$H:$H,'3. PSM'!$R:$R,"TRUE",'3. PSM'!$O:$O,"Local")</f>
        <v>161.33333333333334</v>
      </c>
      <c r="F24" s="11">
        <f>SUMIFS('4. SSP'!$H:$H,'4. SSP'!$R:$R,"TRUE",'4. SSP'!$O:$O,"Local")</f>
        <v>298.98333333333335</v>
      </c>
      <c r="G24" s="11">
        <f>SUMIFS('5. JSACI'!$H:$H,'5. JSACI'!$R:$R,"TRUE",'5. JSACI'!$O:$O,"Local")</f>
        <v>105.5</v>
      </c>
      <c r="H24" s="11">
        <f>SUMIFS('6. AIN'!$H:$H,'6. AIN'!$R:$R,"TRUE",'6. AIN'!$O:$O,"Local")</f>
        <v>945.00000000000023</v>
      </c>
      <c r="I24" s="11">
        <f>SUMIFS('7. MS'!$H:$H,'7. MS'!$R:$R,"TRUE",'7. MS'!$O:$O,"Local")</f>
        <v>0.5</v>
      </c>
      <c r="J24" s="11">
        <f>SUMIFS('8. DS'!$H:$H,'8. DS'!$R:$R,"TRUE",'8. DS'!$O:$O,"Local")</f>
        <v>160.0619047619048</v>
      </c>
      <c r="K24" s="11">
        <f>SUMIFS('9. RMF'!$H:$H,'9. RMF'!$R:$R,"TRUE",'9. RMF'!$O:$O,"Local")</f>
        <v>1744.4166666666663</v>
      </c>
      <c r="L24" s="11">
        <f>SUMIFS('10. PCU'!$H:$H,'10. PCU'!$R:$R,"TRUE",'10. PCU'!$O:$O,"Local")</f>
        <v>0</v>
      </c>
    </row>
    <row r="25" spans="1:12">
      <c r="A25" s="41"/>
      <c r="B25" t="s">
        <v>5072</v>
      </c>
      <c r="C25" s="11">
        <f>SUMIFS('1. OP'!$H:$H,'1. OP'!$R:$R,"TRUE",'1. OP'!$O:$O,"Reuse (Translation)")</f>
        <v>24.5</v>
      </c>
      <c r="D25" s="11">
        <f>SUMIFS('2. JSEL'!$H:$H,'2. JSEL'!$R:$R,"TRUE",'2. JSEL'!$O:$O,"Reuse (Translation)")</f>
        <v>50</v>
      </c>
      <c r="E25" s="11">
        <f>SUMIFS('3. PSM'!$H:$H,'3. PSM'!$R:$R,"TRUE",'3. PSM'!$O:$O,"Reuse (Translation)")</f>
        <v>775.3333333333336</v>
      </c>
      <c r="F25" s="11">
        <f>SUMIFS('4. SSP'!$H:$H,'4. SSP'!$R:$R,"TRUE",'4. SSP'!$O:$O,"Reuse (Translation)")</f>
        <v>137.8238095238095</v>
      </c>
      <c r="G25" s="11">
        <f>SUMIFS('5. JSACI'!$H:$H,'5. JSACI'!$R:$R,"TRUE",'5. JSACI'!$O:$O,"Reuse (Translation)")</f>
        <v>25.833333333333332</v>
      </c>
      <c r="H25" s="11">
        <f>SUMIFS('6. AIN'!$H:$H,'6. AIN'!$R:$R,"TRUE",'6. AIN'!$O:$O,"Reuse (Translation)")</f>
        <v>1714.083333333333</v>
      </c>
      <c r="I25" s="11">
        <f>SUMIFS('7. MS'!$H:$H,'7. MS'!$R:$R,"TRUE",'7. MS'!$O:$O,"Reuse (Translation)")</f>
        <v>9.6666666666666661</v>
      </c>
      <c r="J25" s="11">
        <f>SUMIFS('8. DS'!$H:$H,'8. DS'!$R:$R,"TRUE",'8. DS'!$O:$O,"Reuse (Translation)")</f>
        <v>153.16428571428574</v>
      </c>
      <c r="K25" s="11">
        <f>SUMIFS('9. RMF'!$H:$H,'9. RMF'!$R:$R,"TRUE",'9. RMF'!$O:$O,"Reuse (Translation)")</f>
        <v>500.03333333333336</v>
      </c>
      <c r="L25" s="11">
        <f>SUMIFS('10. PCU'!$H:$H,'10. PCU'!$R:$R,"TRUE",'10. PCU'!$O:$O,"Reuse (Translation)")</f>
        <v>1.25</v>
      </c>
    </row>
    <row r="26" spans="1:12">
      <c r="A26" s="41"/>
      <c r="B26" t="s">
        <v>10264</v>
      </c>
      <c r="C26" s="11">
        <f>SUMIFS('1. OP'!$H:$H,'1. OP'!$R:$R,"TRUE",'1. OP'!$O:$O,"Reuse (Reprint)")</f>
        <v>76</v>
      </c>
      <c r="D26" s="11">
        <f>SUMIFS('2. JSEL'!$H:$H,'2. JSEL'!$R:$R,"TRUE",'2. JSEL'!$O:$O,"Reuse (Reprint)")</f>
        <v>0</v>
      </c>
      <c r="E26" s="11">
        <f>SUMIFS('3. PSM'!$H:$H,'3. PSM'!$R:$R,"TRUE",'3. PSM'!$O:$O,"Reuse (Reprint)")</f>
        <v>0</v>
      </c>
      <c r="F26" s="11">
        <f>SUMIFS('4. SSP'!$H:$H,'4. SSP'!$R:$R,"TRUE",'4. SSP'!$O:$O,"Reuse (Reprint)")</f>
        <v>3.5</v>
      </c>
      <c r="G26" s="11">
        <f>SUMIFS('5. JSACI'!$H:$H,'5. JSACI'!$R:$R,"TRUE",'5. JSACI'!$O:$O,"Reuse (Reprint)")</f>
        <v>6</v>
      </c>
      <c r="H26" s="11">
        <f>SUMIFS('6. AIN'!$H:$H,'6. AIN'!$R:$R,"TRUE",'6. AIN'!$O:$O,"Reuse (Reprint)")</f>
        <v>216.75000000000003</v>
      </c>
      <c r="I26" s="11">
        <f>SUMIFS('7. MS'!$H:$H,'7. MS'!$R:$R,"TRUE",'7. MS'!$O:$O,"Reuse (Reprint)")</f>
        <v>0</v>
      </c>
      <c r="J26" s="11">
        <f>SUMIFS('8. DS'!$H:$H,'8. DS'!$R:$R,"TRUE",'8. DS'!$O:$O,"Reuse (Reprint)")</f>
        <v>50.166666666666671</v>
      </c>
      <c r="K26" s="11">
        <f>SUMIFS('9. RMF'!$H:$H,'9. RMF'!$R:$R,"TRUE",'9. RMF'!$O:$O,"Reuse (Reprint)")</f>
        <v>119.61666666666666</v>
      </c>
      <c r="L26" s="11">
        <f>SUMIFS('10. PCU'!$H:$H,'10. PCU'!$R:$R,"TRUE",'10. PCU'!$O:$O,"Reuse (Reprint)")</f>
        <v>0</v>
      </c>
    </row>
    <row r="27" spans="1:12">
      <c r="A27" s="41"/>
      <c r="B27" t="s">
        <v>11522</v>
      </c>
      <c r="C27" s="11">
        <f>SUMIFS('1. OP'!$H:$H,'1. OP'!$R:$R,"TRUE",'1. OP'!$O:$O,"Adaptation")</f>
        <v>42</v>
      </c>
      <c r="D27" s="11">
        <f>SUMIFS('2. JSEL'!$H:$H,'2. JSEL'!$R:$R,"TRUE",'2. JSEL'!$O:$O,"Adaptation")</f>
        <v>43.5</v>
      </c>
      <c r="E27" s="11">
        <f>SUMIFS('3. PSM'!$H:$H,'3. PSM'!$R:$R,"TRUE",'3. PSM'!$O:$O,"Adaptation")</f>
        <v>126.33333333333331</v>
      </c>
      <c r="F27" s="11">
        <f>SUMIFS('4. SSP'!$H:$H,'4. SSP'!$R:$R,"TRUE",'4. SSP'!$O:$O,"Adaptation")</f>
        <v>36.909523809523805</v>
      </c>
      <c r="G27" s="11">
        <f>SUMIFS('5. JSACI'!$H:$H,'5. JSACI'!$R:$R,"TRUE",'5. JSACI'!$O:$O,"Adaptation")</f>
        <v>23.5</v>
      </c>
      <c r="H27" s="11">
        <f>SUMIFS('6. AIN'!$H:$H,'6. AIN'!$R:$R,"TRUE",'6. AIN'!$O:$O,"Adaptation")</f>
        <v>121.49999999999997</v>
      </c>
      <c r="I27" s="11">
        <f>SUMIFS('7. MS'!$H:$H,'7. MS'!$R:$R,"TRUE",'7. MS'!$O:$O,"Adaptation")</f>
        <v>1.8333333333333333</v>
      </c>
      <c r="J27" s="11">
        <f>SUMIFS('8. DS'!$H:$H,'8. DS'!$R:$R,"TRUE",'8. DS'!$O:$O,"Adaptation")</f>
        <v>59.907142857142858</v>
      </c>
      <c r="K27" s="11">
        <f>SUMIFS('9. RMF'!$H:$H,'9. RMF'!$R:$R,"TRUE",'9. RMF'!$O:$O,"Adaptation")</f>
        <v>96.09999999999998</v>
      </c>
      <c r="L27" s="11">
        <f>SUMIFS('10. PCU'!$H:$H,'10. PCU'!$R:$R,"TRUE",'10. PCU'!$O:$O,"Adaptation")</f>
        <v>5</v>
      </c>
    </row>
    <row r="28" spans="1:12">
      <c r="A28" s="41"/>
      <c r="B28" t="s">
        <v>3262</v>
      </c>
      <c r="C28" s="11">
        <f>SUM(C25:C27)</f>
        <v>142.5</v>
      </c>
      <c r="D28" s="11">
        <f t="shared" ref="D28:L28" si="10">SUM(D25:D27)</f>
        <v>93.5</v>
      </c>
      <c r="E28" s="11">
        <f t="shared" si="10"/>
        <v>901.66666666666697</v>
      </c>
      <c r="F28" s="11">
        <f t="shared" si="10"/>
        <v>178.23333333333329</v>
      </c>
      <c r="G28" s="11">
        <f t="shared" si="10"/>
        <v>55.333333333333329</v>
      </c>
      <c r="H28" s="11">
        <f t="shared" si="10"/>
        <v>2052.333333333333</v>
      </c>
      <c r="I28" s="11">
        <f t="shared" si="10"/>
        <v>11.5</v>
      </c>
      <c r="J28" s="11">
        <f t="shared" si="10"/>
        <v>263.23809523809524</v>
      </c>
      <c r="K28" s="11">
        <f t="shared" si="10"/>
        <v>715.75</v>
      </c>
      <c r="L28" s="11">
        <f t="shared" si="10"/>
        <v>6.25</v>
      </c>
    </row>
    <row r="29" spans="1:12">
      <c r="A29" s="41"/>
      <c r="B29" t="s">
        <v>2568</v>
      </c>
      <c r="C29" s="7">
        <f>IFERROR(C25/C5,"")</f>
        <v>3.3041132838840186E-2</v>
      </c>
      <c r="D29" s="7">
        <f t="shared" ref="D29:L29" si="11">IFERROR(D25/D5,"")</f>
        <v>0.37735849056603776</v>
      </c>
      <c r="E29" s="7">
        <f t="shared" si="11"/>
        <v>0.72938225148949509</v>
      </c>
      <c r="F29" s="7">
        <f t="shared" si="11"/>
        <v>0.28840472121607713</v>
      </c>
      <c r="G29" s="7">
        <f t="shared" si="11"/>
        <v>0.15913757700205336</v>
      </c>
      <c r="H29" s="7">
        <f t="shared" si="11"/>
        <v>0.57025228721929555</v>
      </c>
      <c r="I29" s="7">
        <f t="shared" si="11"/>
        <v>0.80555555555555547</v>
      </c>
      <c r="J29" s="7">
        <f t="shared" si="11"/>
        <v>0.35949838214830654</v>
      </c>
      <c r="K29" s="7">
        <f t="shared" si="11"/>
        <v>0.20064201163646092</v>
      </c>
      <c r="L29" s="7">
        <f t="shared" si="11"/>
        <v>0.2</v>
      </c>
    </row>
    <row r="30" spans="1:12">
      <c r="A30" s="41"/>
      <c r="B30" t="s">
        <v>11521</v>
      </c>
      <c r="C30" s="7">
        <f>IFERROR(C26/C5,"")</f>
        <v>0.10249494268374916</v>
      </c>
      <c r="D30" s="7">
        <f t="shared" ref="D30:L30" si="12">IFERROR(D26/D5,"")</f>
        <v>0</v>
      </c>
      <c r="E30" s="7">
        <f t="shared" si="12"/>
        <v>0</v>
      </c>
      <c r="F30" s="7">
        <f t="shared" si="12"/>
        <v>7.3239633104314255E-3</v>
      </c>
      <c r="G30" s="7">
        <f t="shared" si="12"/>
        <v>3.6960985626283367E-2</v>
      </c>
      <c r="H30" s="7">
        <f t="shared" si="12"/>
        <v>7.2109786526199038E-2</v>
      </c>
      <c r="I30" s="7">
        <f t="shared" si="12"/>
        <v>0</v>
      </c>
      <c r="J30" s="7">
        <f t="shared" si="12"/>
        <v>0.11774830810155323</v>
      </c>
      <c r="K30" s="7">
        <f t="shared" si="12"/>
        <v>4.7997057446666221E-2</v>
      </c>
      <c r="L30" s="7">
        <f t="shared" si="12"/>
        <v>0</v>
      </c>
    </row>
    <row r="31" spans="1:12">
      <c r="A31" s="41"/>
      <c r="B31" t="s">
        <v>3263</v>
      </c>
      <c r="C31" s="7">
        <f>IFERROR(C28/C5,"")</f>
        <v>0.19217801753202968</v>
      </c>
      <c r="D31" s="7">
        <f t="shared" ref="D31:L31" si="13">IFERROR(D28/D5,"")</f>
        <v>0.70566037735849052</v>
      </c>
      <c r="E31" s="7">
        <f t="shared" si="13"/>
        <v>0.848228284728755</v>
      </c>
      <c r="F31" s="7">
        <f t="shared" si="13"/>
        <v>0.37296411257977924</v>
      </c>
      <c r="G31" s="7">
        <f t="shared" si="13"/>
        <v>0.34086242299794656</v>
      </c>
      <c r="H31" s="7">
        <f t="shared" si="13"/>
        <v>0.68278347657332927</v>
      </c>
      <c r="I31" s="7">
        <f t="shared" si="13"/>
        <v>0.95833333333333337</v>
      </c>
      <c r="J31" s="7">
        <f t="shared" si="13"/>
        <v>0.61785728256799832</v>
      </c>
      <c r="K31" s="7">
        <f t="shared" si="13"/>
        <v>0.28719989299806059</v>
      </c>
      <c r="L31" s="7">
        <f t="shared" si="13"/>
        <v>1</v>
      </c>
    </row>
    <row r="32" spans="1:12" ht="14.55" customHeight="1">
      <c r="A32" s="40"/>
    </row>
    <row r="33" spans="1:5">
      <c r="A33" s="40"/>
      <c r="E33" s="18"/>
    </row>
    <row r="34" spans="1:5">
      <c r="A34" s="40"/>
    </row>
    <row r="35" spans="1:5">
      <c r="A35" s="40"/>
    </row>
  </sheetData>
  <mergeCells count="6">
    <mergeCell ref="A32:A35"/>
    <mergeCell ref="A2:A3"/>
    <mergeCell ref="A4:A7"/>
    <mergeCell ref="A8:A15"/>
    <mergeCell ref="A16:A23"/>
    <mergeCell ref="A24:A31"/>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E261-C79E-4DAB-8DE4-34B8B8B86E21}">
  <sheetPr codeName="Sheet3"/>
  <dimension ref="A1:R290"/>
  <sheetViews>
    <sheetView topLeftCell="A46" zoomScaleNormal="100" workbookViewId="0">
      <selection activeCell="O72" sqref="O72"/>
    </sheetView>
  </sheetViews>
  <sheetFormatPr defaultColWidth="8.77734375" defaultRowHeight="14.4"/>
  <cols>
    <col min="1" max="2" width="5.77734375" customWidth="1"/>
    <col min="3" max="3" width="5.77734375" style="4" customWidth="1"/>
    <col min="4" max="7" width="5.77734375" style="2" customWidth="1"/>
    <col min="8" max="8" width="5.77734375" style="8" customWidth="1"/>
    <col min="9" max="10" width="5.77734375" style="3" customWidth="1"/>
    <col min="11" max="11" width="5.77734375" style="4" customWidth="1"/>
    <col min="12" max="13" width="5.77734375" style="5" customWidth="1"/>
    <col min="14" max="14" width="5.77734375" customWidth="1"/>
    <col min="15" max="17" width="5.77734375" style="4" customWidth="1"/>
    <col min="18" max="18" width="5.77734375" style="1" customWidth="1"/>
    <col min="19" max="19" width="8.77734375" customWidth="1"/>
  </cols>
  <sheetData>
    <row r="1" spans="1:18">
      <c r="A1" t="s">
        <v>3032</v>
      </c>
      <c r="B1" t="s">
        <v>3281</v>
      </c>
      <c r="C1" s="4" t="s">
        <v>41</v>
      </c>
      <c r="D1" s="2" t="s">
        <v>3282</v>
      </c>
      <c r="E1" s="2" t="s">
        <v>34</v>
      </c>
      <c r="F1" s="4" t="s">
        <v>8031</v>
      </c>
      <c r="G1" s="4" t="s">
        <v>8032</v>
      </c>
      <c r="H1" s="8" t="s">
        <v>2530</v>
      </c>
      <c r="I1" s="2" t="s">
        <v>5</v>
      </c>
      <c r="J1" s="2" t="s">
        <v>4</v>
      </c>
      <c r="K1" s="4" t="s">
        <v>11402</v>
      </c>
      <c r="L1" s="5" t="s">
        <v>11401</v>
      </c>
      <c r="M1" s="4" t="s">
        <v>11400</v>
      </c>
      <c r="N1" s="4" t="s">
        <v>5006</v>
      </c>
      <c r="O1" s="4" t="s">
        <v>11506</v>
      </c>
      <c r="P1" s="4" t="s">
        <v>11403</v>
      </c>
      <c r="Q1" t="s">
        <v>1948</v>
      </c>
      <c r="R1" s="1" t="s">
        <v>2062</v>
      </c>
    </row>
    <row r="2" spans="1:18">
      <c r="A2" s="5" t="s">
        <v>2999</v>
      </c>
      <c r="B2" s="5" t="s">
        <v>4049</v>
      </c>
      <c r="C2" s="4" t="s">
        <v>8002</v>
      </c>
      <c r="D2" s="2">
        <v>1</v>
      </c>
      <c r="E2" s="2">
        <v>1</v>
      </c>
      <c r="F2" s="2">
        <v>3</v>
      </c>
      <c r="G2" s="2">
        <v>8</v>
      </c>
      <c r="H2" s="8" cm="1">
        <f t="array" ref="H2">_xlfn.LET(_xlpm.s,IFERROR(--F2,""),_xlpm.e,IFERROR(--G2,""),IF(OR(_xlpm.s="",_xlpm.e="",_xlpm.e&lt;_xlpm.s),"",_xlfn.LET(_xlpm.p,_xlfn.SEQUENCE(_xlpm.e-_xlpm.s+1,1,_xlpm.s,1),SUM(1/COUNTIFS($D:$D,D2,$E:$E,E2,$F:$F,"&lt;&gt;N/A",$G:$G,"&lt;&gt;N/A",$F:$F,"&lt;="&amp;_xlpm.p,$G:$G,"&gt;="&amp;_xlpm.p)))))</f>
        <v>6</v>
      </c>
      <c r="I2" s="4" t="s">
        <v>7</v>
      </c>
      <c r="J2" s="4" t="s">
        <v>503</v>
      </c>
      <c r="K2" s="4" t="s">
        <v>7</v>
      </c>
      <c r="L2" s="4" t="s">
        <v>7</v>
      </c>
      <c r="M2" s="4" t="s">
        <v>7</v>
      </c>
      <c r="N2" s="4" t="s">
        <v>7</v>
      </c>
      <c r="O2" s="4" t="s">
        <v>778</v>
      </c>
      <c r="P2" s="4" t="s">
        <v>7834</v>
      </c>
      <c r="R2" s="2" t="b">
        <v>0</v>
      </c>
    </row>
    <row r="3" spans="1:18">
      <c r="A3" s="5" t="s">
        <v>2999</v>
      </c>
      <c r="B3" s="5" t="s">
        <v>4050</v>
      </c>
      <c r="C3" s="4" t="s">
        <v>8002</v>
      </c>
      <c r="D3" s="2">
        <v>1</v>
      </c>
      <c r="E3" s="2">
        <v>1</v>
      </c>
      <c r="F3" s="2">
        <v>9</v>
      </c>
      <c r="G3" s="2">
        <v>10</v>
      </c>
      <c r="H3" s="8" cm="1">
        <f t="array" ref="H3">_xlfn.LET(_xlpm.s,IFERROR(--F3,""),_xlpm.e,IFERROR(--G3,""),IF(OR(_xlpm.s="",_xlpm.e="",_xlpm.e&lt;_xlpm.s),"",_xlfn.LET(_xlpm.p,_xlfn.SEQUENCE(_xlpm.e-_xlpm.s+1,1,_xlpm.s,1),SUM(1/COUNTIFS($D:$D,D3,$E:$E,E3,$F:$F,"&lt;&gt;N/A",$G:$G,"&lt;&gt;N/A",$F:$F,"&lt;="&amp;_xlpm.p,$G:$G,"&gt;="&amp;_xlpm.p)))))</f>
        <v>1.5</v>
      </c>
      <c r="I3" s="4" t="s">
        <v>2</v>
      </c>
      <c r="J3" s="4" t="s">
        <v>3</v>
      </c>
      <c r="K3" s="4" t="s">
        <v>7</v>
      </c>
      <c r="L3" s="5" t="s">
        <v>4486</v>
      </c>
      <c r="M3" t="s">
        <v>5068</v>
      </c>
      <c r="N3" t="s">
        <v>8050</v>
      </c>
      <c r="O3" s="4" t="s">
        <v>11522</v>
      </c>
      <c r="P3" s="4" t="s">
        <v>8019</v>
      </c>
      <c r="R3" s="2" t="b">
        <v>1</v>
      </c>
    </row>
    <row r="4" spans="1:18">
      <c r="A4" s="5" t="s">
        <v>2999</v>
      </c>
      <c r="B4" s="5" t="s">
        <v>4051</v>
      </c>
      <c r="C4" s="4" t="s">
        <v>8002</v>
      </c>
      <c r="D4" s="2">
        <v>1</v>
      </c>
      <c r="E4" s="2">
        <v>1</v>
      </c>
      <c r="F4" s="2">
        <v>10</v>
      </c>
      <c r="G4" s="2">
        <v>21</v>
      </c>
      <c r="H4" s="8" cm="1">
        <f t="array" ref="H4">_xlfn.LET(_xlpm.s,IFERROR(--F4,""),_xlpm.e,IFERROR(--G4,""),IF(OR(_xlpm.s="",_xlpm.e="",_xlpm.e&lt;_xlpm.s),"",_xlfn.LET(_xlpm.p,_xlfn.SEQUENCE(_xlpm.e-_xlpm.s+1,1,_xlpm.s,1),SUM(1/COUNTIFS($D:$D,D4,$E:$E,E4,$F:$F,"&lt;&gt;N/A",$G:$G,"&lt;&gt;N/A",$F:$F,"&lt;="&amp;_xlpm.p,$G:$G,"&gt;="&amp;_xlpm.p)))))</f>
        <v>11.5</v>
      </c>
      <c r="I4" s="4" t="s">
        <v>2</v>
      </c>
      <c r="J4" s="3" t="s">
        <v>6</v>
      </c>
      <c r="K4" s="4" t="s">
        <v>7</v>
      </c>
      <c r="L4" s="5" t="s">
        <v>7</v>
      </c>
      <c r="M4" s="5" t="s">
        <v>5068</v>
      </c>
      <c r="N4" t="s">
        <v>8028</v>
      </c>
      <c r="O4" s="4" t="s">
        <v>5072</v>
      </c>
      <c r="P4" s="4" t="s">
        <v>8019</v>
      </c>
      <c r="R4" s="2" t="b">
        <v>1</v>
      </c>
    </row>
    <row r="5" spans="1:18">
      <c r="A5" s="5" t="s">
        <v>2999</v>
      </c>
      <c r="B5" s="5" t="s">
        <v>4052</v>
      </c>
      <c r="C5" s="4" t="s">
        <v>8002</v>
      </c>
      <c r="D5" s="2">
        <v>1</v>
      </c>
      <c r="E5" s="2">
        <v>1</v>
      </c>
      <c r="F5" s="2">
        <v>22</v>
      </c>
      <c r="G5" s="2">
        <v>34</v>
      </c>
      <c r="H5" s="8" cm="1">
        <f t="array" ref="H5">_xlfn.LET(_xlpm.s,IFERROR(--F5,""),_xlpm.e,IFERROR(--G5,""),IF(OR(_xlpm.s="",_xlpm.e="",_xlpm.e&lt;_xlpm.s),"",_xlfn.LET(_xlpm.p,_xlfn.SEQUENCE(_xlpm.e-_xlpm.s+1,1,_xlpm.s,1),SUM(1/COUNTIFS($D:$D,D5,$E:$E,E5,$F:$F,"&lt;&gt;N/A",$G:$G,"&lt;&gt;N/A",$F:$F,"&lt;="&amp;_xlpm.p,$G:$G,"&gt;="&amp;_xlpm.p)))))</f>
        <v>12.5</v>
      </c>
      <c r="I5" s="3" t="s">
        <v>8</v>
      </c>
      <c r="J5" s="3" t="s">
        <v>10292</v>
      </c>
      <c r="K5" s="4" t="s">
        <v>9</v>
      </c>
      <c r="L5" s="5" t="s">
        <v>4487</v>
      </c>
      <c r="M5" s="5" t="s">
        <v>7</v>
      </c>
      <c r="N5" s="5" t="s">
        <v>2664</v>
      </c>
      <c r="O5" s="4" t="s">
        <v>10264</v>
      </c>
      <c r="P5" s="4" t="s">
        <v>8020</v>
      </c>
      <c r="R5" s="2" t="b">
        <v>1</v>
      </c>
    </row>
    <row r="6" spans="1:18">
      <c r="A6" s="5" t="s">
        <v>2999</v>
      </c>
      <c r="B6" s="5" t="s">
        <v>4053</v>
      </c>
      <c r="C6" s="4" t="s">
        <v>8002</v>
      </c>
      <c r="D6" s="2">
        <v>1</v>
      </c>
      <c r="E6" s="2">
        <v>1</v>
      </c>
      <c r="F6" s="2">
        <v>34</v>
      </c>
      <c r="G6" s="2">
        <v>49</v>
      </c>
      <c r="H6" s="8" cm="1">
        <f t="array" ref="H6">_xlfn.LET(_xlpm.s,IFERROR(--F6,""),_xlpm.e,IFERROR(--G6,""),IF(OR(_xlpm.s="",_xlpm.e="",_xlpm.e&lt;_xlpm.s),"",_xlfn.LET(_xlpm.p,_xlfn.SEQUENCE(_xlpm.e-_xlpm.s+1,1,_xlpm.s,1),SUM(1/COUNTIFS($D:$D,D6,$E:$E,E6,$F:$F,"&lt;&gt;N/A",$G:$G,"&lt;&gt;N/A",$F:$F,"&lt;="&amp;_xlpm.p,$G:$G,"&gt;="&amp;_xlpm.p)))))</f>
        <v>15</v>
      </c>
      <c r="I6" s="3" t="s">
        <v>8</v>
      </c>
      <c r="J6" s="3" t="s">
        <v>10</v>
      </c>
      <c r="K6" s="4" t="s">
        <v>12</v>
      </c>
      <c r="L6" s="5" t="s">
        <v>7</v>
      </c>
      <c r="M6" s="5" t="s">
        <v>7</v>
      </c>
      <c r="N6" t="s">
        <v>2657</v>
      </c>
      <c r="O6" s="4" t="s">
        <v>11522</v>
      </c>
      <c r="P6" s="4" t="s">
        <v>8021</v>
      </c>
      <c r="Q6" s="4" t="s">
        <v>5067</v>
      </c>
      <c r="R6" s="2" t="b">
        <v>1</v>
      </c>
    </row>
    <row r="7" spans="1:18">
      <c r="A7" s="5" t="s">
        <v>2999</v>
      </c>
      <c r="B7" s="5" t="s">
        <v>4054</v>
      </c>
      <c r="C7" s="4" t="s">
        <v>8002</v>
      </c>
      <c r="D7" s="2">
        <v>1</v>
      </c>
      <c r="E7" s="2">
        <v>1</v>
      </c>
      <c r="F7" s="2">
        <v>49</v>
      </c>
      <c r="G7" s="2">
        <v>57</v>
      </c>
      <c r="H7" s="8" cm="1">
        <f t="array" ref="H7">_xlfn.LET(_xlpm.s,IFERROR(--F7,""),_xlpm.e,IFERROR(--G7,""),IF(OR(_xlpm.s="",_xlpm.e="",_xlpm.e&lt;_xlpm.s),"",_xlfn.LET(_xlpm.p,_xlfn.SEQUENCE(_xlpm.e-_xlpm.s+1,1,_xlpm.s,1),SUM(1/COUNTIFS($D:$D,D7,$E:$E,E7,$F:$F,"&lt;&gt;N/A",$G:$G,"&lt;&gt;N/A",$F:$F,"&lt;="&amp;_xlpm.p,$G:$G,"&gt;="&amp;_xlpm.p)))))</f>
        <v>8.5</v>
      </c>
      <c r="I7" s="3" t="s">
        <v>11</v>
      </c>
      <c r="J7" s="3" t="s">
        <v>13</v>
      </c>
      <c r="K7" s="4" t="s">
        <v>4491</v>
      </c>
      <c r="L7" s="5" t="s">
        <v>7</v>
      </c>
      <c r="M7" s="5" t="s">
        <v>7</v>
      </c>
      <c r="N7" s="5" t="s">
        <v>7</v>
      </c>
      <c r="O7" s="4" t="s">
        <v>778</v>
      </c>
      <c r="P7" s="4" t="s">
        <v>7834</v>
      </c>
      <c r="R7" s="2" t="b">
        <v>1</v>
      </c>
    </row>
    <row r="8" spans="1:18">
      <c r="A8" s="5" t="s">
        <v>2999</v>
      </c>
      <c r="B8" s="5" t="s">
        <v>4055</v>
      </c>
      <c r="C8" s="4" t="s">
        <v>8002</v>
      </c>
      <c r="D8" s="2">
        <v>1</v>
      </c>
      <c r="E8" s="2">
        <v>1</v>
      </c>
      <c r="F8" s="2">
        <v>58</v>
      </c>
      <c r="G8" s="2">
        <v>59</v>
      </c>
      <c r="H8" s="8" cm="1">
        <f t="array" ref="H8">_xlfn.LET(_xlpm.s,IFERROR(--F8,""),_xlpm.e,IFERROR(--G8,""),IF(OR(_xlpm.s="",_xlpm.e="",_xlpm.e&lt;_xlpm.s),"",_xlfn.LET(_xlpm.p,_xlfn.SEQUENCE(_xlpm.e-_xlpm.s+1,1,_xlpm.s,1),SUM(1/COUNTIFS($D:$D,D8,$E:$E,E8,$F:$F,"&lt;&gt;N/A",$G:$G,"&lt;&gt;N/A",$F:$F,"&lt;="&amp;_xlpm.p,$G:$G,"&gt;="&amp;_xlpm.p)))))</f>
        <v>2</v>
      </c>
      <c r="I8" s="3" t="s">
        <v>14</v>
      </c>
      <c r="J8" s="3" t="s">
        <v>15</v>
      </c>
      <c r="K8" s="4" t="s">
        <v>7</v>
      </c>
      <c r="L8" s="5" t="s">
        <v>7</v>
      </c>
      <c r="M8" s="5" t="s">
        <v>7</v>
      </c>
      <c r="N8" s="5" t="s">
        <v>7</v>
      </c>
      <c r="O8" s="4" t="s">
        <v>778</v>
      </c>
      <c r="P8" s="4" t="s">
        <v>7834</v>
      </c>
      <c r="R8" s="2" t="b">
        <v>1</v>
      </c>
    </row>
    <row r="9" spans="1:18">
      <c r="A9" s="5" t="s">
        <v>2999</v>
      </c>
      <c r="B9" s="5" t="s">
        <v>4056</v>
      </c>
      <c r="C9" s="4" t="s">
        <v>8002</v>
      </c>
      <c r="D9" s="2">
        <v>1</v>
      </c>
      <c r="E9" s="2">
        <v>1</v>
      </c>
      <c r="F9" s="2">
        <v>60</v>
      </c>
      <c r="G9" s="2">
        <v>67</v>
      </c>
      <c r="H9" s="8" cm="1">
        <f t="array" ref="H9">_xlfn.LET(_xlpm.s,IFERROR(--F9,""),_xlpm.e,IFERROR(--G9,""),IF(OR(_xlpm.s="",_xlpm.e="",_xlpm.e&lt;_xlpm.s),"",_xlfn.LET(_xlpm.p,_xlfn.SEQUENCE(_xlpm.e-_xlpm.s+1,1,_xlpm.s,1),SUM(1/COUNTIFS($D:$D,D9,$E:$E,E9,$F:$F,"&lt;&gt;N/A",$G:$G,"&lt;&gt;N/A",$F:$F,"&lt;="&amp;_xlpm.p,$G:$G,"&gt;="&amp;_xlpm.p)))))</f>
        <v>8</v>
      </c>
      <c r="I9" s="3" t="s">
        <v>14</v>
      </c>
      <c r="J9" s="3" t="s">
        <v>17</v>
      </c>
      <c r="K9" s="4" t="s">
        <v>140</v>
      </c>
      <c r="L9" s="5" t="s">
        <v>7</v>
      </c>
      <c r="M9" s="5" t="s">
        <v>7</v>
      </c>
      <c r="N9" s="5" t="s">
        <v>7</v>
      </c>
      <c r="O9" s="4" t="s">
        <v>778</v>
      </c>
      <c r="P9" s="4" t="s">
        <v>7834</v>
      </c>
      <c r="R9" s="2" t="b">
        <v>1</v>
      </c>
    </row>
    <row r="10" spans="1:18">
      <c r="A10" s="5" t="s">
        <v>2999</v>
      </c>
      <c r="B10" s="5" t="s">
        <v>4057</v>
      </c>
      <c r="C10" s="4" t="s">
        <v>8002</v>
      </c>
      <c r="D10" s="2">
        <v>1</v>
      </c>
      <c r="E10" s="2">
        <v>1</v>
      </c>
      <c r="F10" s="2">
        <v>68</v>
      </c>
      <c r="G10" s="2">
        <v>73</v>
      </c>
      <c r="H10" s="8" cm="1">
        <f t="array" ref="H10">_xlfn.LET(_xlpm.s,IFERROR(--F10,""),_xlpm.e,IFERROR(--G10,""),IF(OR(_xlpm.s="",_xlpm.e="",_xlpm.e&lt;_xlpm.s),"",_xlfn.LET(_xlpm.p,_xlfn.SEQUENCE(_xlpm.e-_xlpm.s+1,1,_xlpm.s,1),SUM(1/COUNTIFS($D:$D,D10,$E:$E,E10,$F:$F,"&lt;&gt;N/A",$G:$G,"&lt;&gt;N/A",$F:$F,"&lt;="&amp;_xlpm.p,$G:$G,"&gt;="&amp;_xlpm.p)))))</f>
        <v>6</v>
      </c>
      <c r="I10" s="3" t="s">
        <v>196</v>
      </c>
      <c r="J10" s="3" t="s">
        <v>18</v>
      </c>
      <c r="K10" s="4" t="s">
        <v>12</v>
      </c>
      <c r="L10" s="4" t="s">
        <v>7</v>
      </c>
      <c r="M10" s="5" t="s">
        <v>7</v>
      </c>
      <c r="N10" s="4" t="s">
        <v>7</v>
      </c>
      <c r="O10" s="4" t="s">
        <v>778</v>
      </c>
      <c r="P10" s="4" t="s">
        <v>7834</v>
      </c>
      <c r="R10" s="2" t="b">
        <v>0</v>
      </c>
    </row>
    <row r="11" spans="1:18">
      <c r="A11" s="5" t="s">
        <v>2999</v>
      </c>
      <c r="B11" s="5" t="s">
        <v>4058</v>
      </c>
      <c r="C11" s="4" t="s">
        <v>8002</v>
      </c>
      <c r="D11" s="2">
        <v>1</v>
      </c>
      <c r="E11" s="2">
        <v>1</v>
      </c>
      <c r="F11" s="2">
        <v>74</v>
      </c>
      <c r="G11" s="2">
        <v>75</v>
      </c>
      <c r="H11" s="8" cm="1">
        <f t="array" ref="H11">_xlfn.LET(_xlpm.s,IFERROR(--F11,""),_xlpm.e,IFERROR(--G11,""),IF(OR(_xlpm.s="",_xlpm.e="",_xlpm.e&lt;_xlpm.s),"",_xlfn.LET(_xlpm.p,_xlfn.SEQUENCE(_xlpm.e-_xlpm.s+1,1,_xlpm.s,1),SUM(1/COUNTIFS($D:$D,D11,$E:$E,E11,$F:$F,"&lt;&gt;N/A",$G:$G,"&lt;&gt;N/A",$F:$F,"&lt;="&amp;_xlpm.p,$G:$G,"&gt;="&amp;_xlpm.p)))))</f>
        <v>2</v>
      </c>
      <c r="I11" s="3" t="s">
        <v>196</v>
      </c>
      <c r="J11" s="3" t="s">
        <v>19</v>
      </c>
      <c r="K11" s="4" t="s">
        <v>20</v>
      </c>
      <c r="L11" s="4" t="s">
        <v>7</v>
      </c>
      <c r="M11" s="5" t="s">
        <v>7</v>
      </c>
      <c r="N11" s="4" t="s">
        <v>7</v>
      </c>
      <c r="O11" s="4" t="s">
        <v>778</v>
      </c>
      <c r="P11" s="4" t="s">
        <v>7834</v>
      </c>
      <c r="R11" s="2" t="b">
        <v>0</v>
      </c>
    </row>
    <row r="12" spans="1:18">
      <c r="A12" s="5" t="s">
        <v>2999</v>
      </c>
      <c r="B12" s="5" t="s">
        <v>4059</v>
      </c>
      <c r="C12" s="4" t="s">
        <v>8002</v>
      </c>
      <c r="D12" s="2">
        <v>1</v>
      </c>
      <c r="E12" s="2">
        <v>1</v>
      </c>
      <c r="F12" s="2">
        <v>76</v>
      </c>
      <c r="G12" s="2">
        <v>78</v>
      </c>
      <c r="H12" s="8" cm="1">
        <f t="array" ref="H12">_xlfn.LET(_xlpm.s,IFERROR(--F12,""),_xlpm.e,IFERROR(--G12,""),IF(OR(_xlpm.s="",_xlpm.e="",_xlpm.e&lt;_xlpm.s),"",_xlfn.LET(_xlpm.p,_xlfn.SEQUENCE(_xlpm.e-_xlpm.s+1,1,_xlpm.s,1),SUM(1/COUNTIFS($D:$D,D12,$E:$E,E12,$F:$F,"&lt;&gt;N/A",$G:$G,"&lt;&gt;N/A",$F:$F,"&lt;="&amp;_xlpm.p,$G:$G,"&gt;="&amp;_xlpm.p)))))</f>
        <v>3</v>
      </c>
      <c r="I12" s="3" t="s">
        <v>196</v>
      </c>
      <c r="J12" s="3" t="s">
        <v>21</v>
      </c>
      <c r="K12" s="4" t="s">
        <v>22</v>
      </c>
      <c r="L12" s="4" t="s">
        <v>7</v>
      </c>
      <c r="M12" s="5" t="s">
        <v>7</v>
      </c>
      <c r="N12" s="4" t="s">
        <v>7</v>
      </c>
      <c r="O12" s="4" t="s">
        <v>778</v>
      </c>
      <c r="P12" s="4" t="s">
        <v>7834</v>
      </c>
      <c r="R12" s="2" t="b">
        <v>0</v>
      </c>
    </row>
    <row r="13" spans="1:18">
      <c r="A13" s="5" t="s">
        <v>2999</v>
      </c>
      <c r="B13" s="5" t="s">
        <v>4060</v>
      </c>
      <c r="C13" s="4" t="s">
        <v>8002</v>
      </c>
      <c r="D13" s="2">
        <v>1</v>
      </c>
      <c r="E13" s="2">
        <v>1</v>
      </c>
      <c r="F13" s="2">
        <v>79</v>
      </c>
      <c r="G13" s="2">
        <v>87</v>
      </c>
      <c r="H13" s="8" cm="1">
        <f t="array" ref="H13">_xlfn.LET(_xlpm.s,IFERROR(--F13,""),_xlpm.e,IFERROR(--G13,""),IF(OR(_xlpm.s="",_xlpm.e="",_xlpm.e&lt;_xlpm.s),"",_xlfn.LET(_xlpm.p,_xlfn.SEQUENCE(_xlpm.e-_xlpm.s+1,1,_xlpm.s,1),SUM(1/COUNTIFS($D:$D,D13,$E:$E,E13,$F:$F,"&lt;&gt;N/A",$G:$G,"&lt;&gt;N/A",$F:$F,"&lt;="&amp;_xlpm.p,$G:$G,"&gt;="&amp;_xlpm.p)))))</f>
        <v>9</v>
      </c>
      <c r="I13" s="3" t="s">
        <v>196</v>
      </c>
      <c r="J13" s="3" t="s">
        <v>23</v>
      </c>
      <c r="K13" s="4" t="s">
        <v>24</v>
      </c>
      <c r="L13" s="4" t="s">
        <v>7</v>
      </c>
      <c r="M13" s="5" t="s">
        <v>7</v>
      </c>
      <c r="N13" s="4" t="s">
        <v>7699</v>
      </c>
      <c r="O13" s="4" t="s">
        <v>10264</v>
      </c>
      <c r="P13" s="4" t="s">
        <v>8020</v>
      </c>
      <c r="R13" s="2" t="b">
        <v>0</v>
      </c>
    </row>
    <row r="14" spans="1:18">
      <c r="A14" s="5" t="s">
        <v>2999</v>
      </c>
      <c r="B14" s="5" t="s">
        <v>4061</v>
      </c>
      <c r="C14" s="4" t="s">
        <v>8002</v>
      </c>
      <c r="D14" s="2">
        <v>1</v>
      </c>
      <c r="E14" s="2">
        <v>1</v>
      </c>
      <c r="F14" s="2">
        <v>88</v>
      </c>
      <c r="G14" s="2">
        <v>90</v>
      </c>
      <c r="H14" s="8" cm="1">
        <f t="array" ref="H14">_xlfn.LET(_xlpm.s,IFERROR(--F14,""),_xlpm.e,IFERROR(--G14,""),IF(OR(_xlpm.s="",_xlpm.e="",_xlpm.e&lt;_xlpm.s),"",_xlfn.LET(_xlpm.p,_xlfn.SEQUENCE(_xlpm.e-_xlpm.s+1,1,_xlpm.s,1),SUM(1/COUNTIFS($D:$D,D14,$E:$E,E14,$F:$F,"&lt;&gt;N/A",$G:$G,"&lt;&gt;N/A",$F:$F,"&lt;="&amp;_xlpm.p,$G:$G,"&gt;="&amp;_xlpm.p)))))</f>
        <v>3</v>
      </c>
      <c r="I14" s="3" t="s">
        <v>196</v>
      </c>
      <c r="J14" s="3" t="s">
        <v>26</v>
      </c>
      <c r="K14" s="4" t="s">
        <v>25</v>
      </c>
      <c r="L14" s="4" t="s">
        <v>7</v>
      </c>
      <c r="M14" s="5" t="s">
        <v>7</v>
      </c>
      <c r="N14" s="4" t="s">
        <v>7</v>
      </c>
      <c r="O14" s="4" t="s">
        <v>778</v>
      </c>
      <c r="P14" s="4" t="s">
        <v>7834</v>
      </c>
      <c r="R14" s="2" t="b">
        <v>0</v>
      </c>
    </row>
    <row r="15" spans="1:18">
      <c r="A15" s="5" t="s">
        <v>2999</v>
      </c>
      <c r="B15" s="5" t="s">
        <v>4062</v>
      </c>
      <c r="C15" s="4" t="s">
        <v>8002</v>
      </c>
      <c r="D15" s="2">
        <v>1</v>
      </c>
      <c r="E15" s="2">
        <v>1</v>
      </c>
      <c r="F15" s="2">
        <v>91</v>
      </c>
      <c r="G15" s="2">
        <v>93</v>
      </c>
      <c r="H15" s="8" cm="1">
        <f t="array" ref="H15">_xlfn.LET(_xlpm.s,IFERROR(--F15,""),_xlpm.e,IFERROR(--G15,""),IF(OR(_xlpm.s="",_xlpm.e="",_xlpm.e&lt;_xlpm.s),"",_xlfn.LET(_xlpm.p,_xlfn.SEQUENCE(_xlpm.e-_xlpm.s+1,1,_xlpm.s,1),SUM(1/COUNTIFS($D:$D,D15,$E:$E,E15,$F:$F,"&lt;&gt;N/A",$G:$G,"&lt;&gt;N/A",$F:$F,"&lt;="&amp;_xlpm.p,$G:$G,"&gt;="&amp;_xlpm.p)))))</f>
        <v>2.5</v>
      </c>
      <c r="I15" s="3" t="s">
        <v>196</v>
      </c>
      <c r="J15" s="3" t="s">
        <v>40</v>
      </c>
      <c r="K15" s="4" t="s">
        <v>162</v>
      </c>
      <c r="L15" s="4" t="s">
        <v>7</v>
      </c>
      <c r="M15" s="5" t="s">
        <v>7</v>
      </c>
      <c r="N15" s="4" t="s">
        <v>7</v>
      </c>
      <c r="O15" s="4" t="s">
        <v>778</v>
      </c>
      <c r="P15" s="4" t="s">
        <v>7834</v>
      </c>
      <c r="R15" s="2" t="b">
        <v>0</v>
      </c>
    </row>
    <row r="16" spans="1:18">
      <c r="A16" s="5" t="s">
        <v>2999</v>
      </c>
      <c r="B16" s="5" t="s">
        <v>4063</v>
      </c>
      <c r="C16" s="4" t="s">
        <v>8002</v>
      </c>
      <c r="D16" s="2">
        <v>1</v>
      </c>
      <c r="E16" s="2">
        <v>1</v>
      </c>
      <c r="F16" s="2">
        <v>93</v>
      </c>
      <c r="G16" s="2">
        <v>95</v>
      </c>
      <c r="H16" s="8" cm="1">
        <f t="array" ref="H16">_xlfn.LET(_xlpm.s,IFERROR(--F16,""),_xlpm.e,IFERROR(--G16,""),IF(OR(_xlpm.s="",_xlpm.e="",_xlpm.e&lt;_xlpm.s),"",_xlfn.LET(_xlpm.p,_xlfn.SEQUENCE(_xlpm.e-_xlpm.s+1,1,_xlpm.s,1),SUM(1/COUNTIFS($D:$D,D16,$E:$E,E16,$F:$F,"&lt;&gt;N/A",$G:$G,"&lt;&gt;N/A",$F:$F,"&lt;="&amp;_xlpm.p,$G:$G,"&gt;="&amp;_xlpm.p)))))</f>
        <v>2</v>
      </c>
      <c r="I16" s="3" t="s">
        <v>196</v>
      </c>
      <c r="J16" s="3" t="s">
        <v>4413</v>
      </c>
      <c r="K16" s="4" t="s">
        <v>4492</v>
      </c>
      <c r="L16" s="4" t="s">
        <v>7</v>
      </c>
      <c r="M16" s="5" t="s">
        <v>7</v>
      </c>
      <c r="N16" s="4" t="s">
        <v>7</v>
      </c>
      <c r="O16" s="4" t="s">
        <v>778</v>
      </c>
      <c r="P16" s="4" t="s">
        <v>7834</v>
      </c>
      <c r="R16" s="2" t="b">
        <v>0</v>
      </c>
    </row>
    <row r="17" spans="1:18">
      <c r="A17" s="5" t="s">
        <v>2999</v>
      </c>
      <c r="B17" s="5" t="s">
        <v>4064</v>
      </c>
      <c r="C17" s="4" t="s">
        <v>8002</v>
      </c>
      <c r="D17" s="2">
        <v>1</v>
      </c>
      <c r="E17" s="2">
        <v>1</v>
      </c>
      <c r="F17" s="2">
        <v>95</v>
      </c>
      <c r="G17" s="2">
        <v>96</v>
      </c>
      <c r="H17" s="8" cm="1">
        <f t="array" ref="H17">_xlfn.LET(_xlpm.s,IFERROR(--F17,""),_xlpm.e,IFERROR(--G17,""),IF(OR(_xlpm.s="",_xlpm.e="",_xlpm.e&lt;_xlpm.s),"",_xlfn.LET(_xlpm.p,_xlfn.SEQUENCE(_xlpm.e-_xlpm.s+1,1,_xlpm.s,1),SUM(1/COUNTIFS($D:$D,D17,$E:$E,E17,$F:$F,"&lt;&gt;N/A",$G:$G,"&lt;&gt;N/A",$F:$F,"&lt;="&amp;_xlpm.p,$G:$G,"&gt;="&amp;_xlpm.p)))))</f>
        <v>1.5</v>
      </c>
      <c r="I17" s="3" t="s">
        <v>196</v>
      </c>
      <c r="J17" s="3" t="s">
        <v>27</v>
      </c>
      <c r="K17" s="4" t="s">
        <v>4493</v>
      </c>
      <c r="L17" s="4" t="s">
        <v>7</v>
      </c>
      <c r="M17" s="5" t="s">
        <v>7</v>
      </c>
      <c r="N17" s="4" t="s">
        <v>7</v>
      </c>
      <c r="O17" s="4" t="s">
        <v>778</v>
      </c>
      <c r="P17" s="4" t="s">
        <v>7834</v>
      </c>
      <c r="R17" s="2" t="b">
        <v>0</v>
      </c>
    </row>
    <row r="18" spans="1:18">
      <c r="A18" s="5" t="s">
        <v>2999</v>
      </c>
      <c r="B18" s="5" t="s">
        <v>4065</v>
      </c>
      <c r="C18" s="4" t="s">
        <v>8002</v>
      </c>
      <c r="D18" s="2">
        <v>1</v>
      </c>
      <c r="E18" s="2">
        <v>1</v>
      </c>
      <c r="F18" s="2">
        <v>97</v>
      </c>
      <c r="G18" s="2">
        <v>100</v>
      </c>
      <c r="H18" s="8" cm="1">
        <f t="array" ref="H18">_xlfn.LET(_xlpm.s,IFERROR(--F18,""),_xlpm.e,IFERROR(--G18,""),IF(OR(_xlpm.s="",_xlpm.e="",_xlpm.e&lt;_xlpm.s),"",_xlfn.LET(_xlpm.p,_xlfn.SEQUENCE(_xlpm.e-_xlpm.s+1,1,_xlpm.s,1),SUM(1/COUNTIFS($D:$D,D18,$E:$E,E18,$F:$F,"&lt;&gt;N/A",$G:$G,"&lt;&gt;N/A",$F:$F,"&lt;="&amp;_xlpm.p,$G:$G,"&gt;="&amp;_xlpm.p)))))</f>
        <v>4</v>
      </c>
      <c r="I18" s="3" t="s">
        <v>54</v>
      </c>
      <c r="J18" s="3" t="s">
        <v>28</v>
      </c>
      <c r="K18" s="4" t="s">
        <v>29</v>
      </c>
      <c r="L18" s="4" t="s">
        <v>7</v>
      </c>
      <c r="M18" s="5" t="s">
        <v>7</v>
      </c>
      <c r="N18" s="4" t="s">
        <v>1946</v>
      </c>
      <c r="O18" s="4" t="s">
        <v>7</v>
      </c>
      <c r="P18" t="s">
        <v>8020</v>
      </c>
      <c r="R18" s="2" t="b">
        <v>0</v>
      </c>
    </row>
    <row r="19" spans="1:18">
      <c r="A19" s="5" t="s">
        <v>2999</v>
      </c>
      <c r="B19" s="5" t="s">
        <v>4066</v>
      </c>
      <c r="C19" s="4" t="s">
        <v>8002</v>
      </c>
      <c r="D19" s="2">
        <v>1</v>
      </c>
      <c r="E19" s="2">
        <v>1</v>
      </c>
      <c r="F19" s="2">
        <v>101</v>
      </c>
      <c r="G19" s="2">
        <v>107</v>
      </c>
      <c r="H19" s="8" cm="1">
        <f t="array" ref="H19">_xlfn.LET(_xlpm.s,IFERROR(--F19,""),_xlpm.e,IFERROR(--G19,""),IF(OR(_xlpm.s="",_xlpm.e="",_xlpm.e&lt;_xlpm.s),"",_xlfn.LET(_xlpm.p,_xlfn.SEQUENCE(_xlpm.e-_xlpm.s+1,1,_xlpm.s,1),SUM(1/COUNTIFS($D:$D,D19,$E:$E,E19,$F:$F,"&lt;&gt;N/A",$G:$G,"&lt;&gt;N/A",$F:$F,"&lt;="&amp;_xlpm.p,$G:$G,"&gt;="&amp;_xlpm.p)))))</f>
        <v>7</v>
      </c>
      <c r="I19" s="3" t="s">
        <v>30</v>
      </c>
      <c r="J19" s="3" t="s">
        <v>31</v>
      </c>
      <c r="K19" s="4" t="s">
        <v>141</v>
      </c>
      <c r="L19" s="4" t="s">
        <v>7</v>
      </c>
      <c r="M19" s="5" t="s">
        <v>7</v>
      </c>
      <c r="N19" s="4" t="s">
        <v>7</v>
      </c>
      <c r="O19" t="s">
        <v>10264</v>
      </c>
      <c r="P19" t="s">
        <v>8020</v>
      </c>
      <c r="Q19" t="s">
        <v>2019</v>
      </c>
      <c r="R19" s="2" t="b">
        <v>0</v>
      </c>
    </row>
    <row r="20" spans="1:18">
      <c r="A20" s="5" t="s">
        <v>2999</v>
      </c>
      <c r="B20" s="5" t="s">
        <v>4067</v>
      </c>
      <c r="C20" s="4" t="s">
        <v>8002</v>
      </c>
      <c r="D20" s="2">
        <v>1</v>
      </c>
      <c r="E20" s="2">
        <v>1</v>
      </c>
      <c r="F20" s="2">
        <v>108</v>
      </c>
      <c r="G20" s="2">
        <v>109</v>
      </c>
      <c r="H20" s="8" cm="1">
        <f t="array" ref="H20">_xlfn.LET(_xlpm.s,IFERROR(--F20,""),_xlpm.e,IFERROR(--G20,""),IF(OR(_xlpm.s="",_xlpm.e="",_xlpm.e&lt;_xlpm.s),"",_xlfn.LET(_xlpm.p,_xlfn.SEQUENCE(_xlpm.e-_xlpm.s+1,1,_xlpm.s,1),SUM(1/COUNTIFS($D:$D,D20,$E:$E,E20,$F:$F,"&lt;&gt;N/A",$G:$G,"&lt;&gt;N/A",$F:$F,"&lt;="&amp;_xlpm.p,$G:$G,"&gt;="&amp;_xlpm.p)))))</f>
        <v>2</v>
      </c>
      <c r="I20" s="3" t="s">
        <v>30</v>
      </c>
      <c r="J20" s="3" t="s">
        <v>32</v>
      </c>
      <c r="K20" s="4" t="s">
        <v>33</v>
      </c>
      <c r="L20" s="4" t="s">
        <v>7</v>
      </c>
      <c r="M20" s="5" t="s">
        <v>7</v>
      </c>
      <c r="N20" s="4" t="s">
        <v>7</v>
      </c>
      <c r="O20" s="4" t="s">
        <v>5072</v>
      </c>
      <c r="P20" s="4" t="s">
        <v>8020</v>
      </c>
      <c r="Q20" s="4" t="s">
        <v>2021</v>
      </c>
      <c r="R20" s="2" t="b">
        <v>0</v>
      </c>
    </row>
    <row r="21" spans="1:18">
      <c r="A21" s="5" t="s">
        <v>2999</v>
      </c>
      <c r="B21" s="5" t="s">
        <v>4068</v>
      </c>
      <c r="C21" s="4" t="s">
        <v>8002</v>
      </c>
      <c r="D21" s="2">
        <v>1</v>
      </c>
      <c r="E21" s="2">
        <v>1</v>
      </c>
      <c r="F21" s="2">
        <v>110</v>
      </c>
      <c r="G21" s="2">
        <v>111</v>
      </c>
      <c r="H21" s="8" cm="1">
        <f t="array" ref="H21">_xlfn.LET(_xlpm.s,IFERROR(--F21,""),_xlpm.e,IFERROR(--G21,""),IF(OR(_xlpm.s="",_xlpm.e="",_xlpm.e&lt;_xlpm.s),"",_xlfn.LET(_xlpm.p,_xlfn.SEQUENCE(_xlpm.e-_xlpm.s+1,1,_xlpm.s,1),SUM(1/COUNTIFS($D:$D,D21,$E:$E,E21,$F:$F,"&lt;&gt;N/A",$G:$G,"&lt;&gt;N/A",$F:$F,"&lt;="&amp;_xlpm.p,$G:$G,"&gt;="&amp;_xlpm.p)))))</f>
        <v>2</v>
      </c>
      <c r="I21" s="3" t="s">
        <v>30</v>
      </c>
      <c r="J21" s="3" t="s">
        <v>35</v>
      </c>
      <c r="K21" s="4" t="s">
        <v>36</v>
      </c>
      <c r="L21" s="4" t="s">
        <v>7</v>
      </c>
      <c r="M21" s="5" t="s">
        <v>7</v>
      </c>
      <c r="N21" s="4" t="s">
        <v>7</v>
      </c>
      <c r="O21" s="4" t="s">
        <v>5072</v>
      </c>
      <c r="P21" s="4" t="s">
        <v>8022</v>
      </c>
      <c r="Q21" s="4" t="s">
        <v>2022</v>
      </c>
      <c r="R21" s="2" t="b">
        <v>0</v>
      </c>
    </row>
    <row r="22" spans="1:18">
      <c r="A22" s="5" t="s">
        <v>2999</v>
      </c>
      <c r="B22" s="5" t="s">
        <v>4069</v>
      </c>
      <c r="C22" s="4" t="s">
        <v>8002</v>
      </c>
      <c r="D22" s="2">
        <v>1</v>
      </c>
      <c r="E22" s="2">
        <v>1</v>
      </c>
      <c r="F22" s="2">
        <v>112</v>
      </c>
      <c r="G22" s="2">
        <v>121</v>
      </c>
      <c r="H22" s="8" cm="1">
        <f t="array" ref="H22">_xlfn.LET(_xlpm.s,IFERROR(--F22,""),_xlpm.e,IFERROR(--G22,""),IF(OR(_xlpm.s="",_xlpm.e="",_xlpm.e&lt;_xlpm.s),"",_xlfn.LET(_xlpm.p,_xlfn.SEQUENCE(_xlpm.e-_xlpm.s+1,1,_xlpm.s,1),SUM(1/COUNTIFS($D:$D,D22,$E:$E,E22,$F:$F,"&lt;&gt;N/A",$G:$G,"&lt;&gt;N/A",$F:$F,"&lt;="&amp;_xlpm.p,$G:$G,"&gt;="&amp;_xlpm.p)))))</f>
        <v>9.5</v>
      </c>
      <c r="I22" s="3" t="s">
        <v>30</v>
      </c>
      <c r="J22" s="3" t="s">
        <v>37</v>
      </c>
      <c r="K22" s="4" t="s">
        <v>7</v>
      </c>
      <c r="L22" s="4" t="s">
        <v>7</v>
      </c>
      <c r="M22" s="5" t="s">
        <v>7</v>
      </c>
      <c r="N22" s="4" t="s">
        <v>7</v>
      </c>
      <c r="O22" s="4" t="s">
        <v>778</v>
      </c>
      <c r="P22" s="4" t="s">
        <v>7834</v>
      </c>
      <c r="R22" s="2" t="b">
        <v>0</v>
      </c>
    </row>
    <row r="23" spans="1:18">
      <c r="A23" s="5" t="s">
        <v>2999</v>
      </c>
      <c r="B23" s="5" t="s">
        <v>4070</v>
      </c>
      <c r="C23" s="4" t="s">
        <v>8002</v>
      </c>
      <c r="D23" s="2">
        <v>1</v>
      </c>
      <c r="E23" s="2">
        <v>1</v>
      </c>
      <c r="F23" s="2">
        <v>121</v>
      </c>
      <c r="G23" s="2">
        <v>122</v>
      </c>
      <c r="H23" s="8" cm="1">
        <f t="array" ref="H23">_xlfn.LET(_xlpm.s,IFERROR(--F23,""),_xlpm.e,IFERROR(--G23,""),IF(OR(_xlpm.s="",_xlpm.e="",_xlpm.e&lt;_xlpm.s),"",_xlfn.LET(_xlpm.p,_xlfn.SEQUENCE(_xlpm.e-_xlpm.s+1,1,_xlpm.s,1),SUM(1/COUNTIFS($D:$D,D23,$E:$E,E23,$F:$F,"&lt;&gt;N/A",$G:$G,"&lt;&gt;N/A",$F:$F,"&lt;="&amp;_xlpm.p,$G:$G,"&gt;="&amp;_xlpm.p)))))</f>
        <v>1</v>
      </c>
      <c r="I23" s="3" t="s">
        <v>30</v>
      </c>
      <c r="J23" s="3" t="s">
        <v>2401</v>
      </c>
      <c r="K23" s="4" t="s">
        <v>7</v>
      </c>
      <c r="L23" s="4" t="s">
        <v>7</v>
      </c>
      <c r="M23" s="5" t="s">
        <v>7</v>
      </c>
      <c r="N23" s="4" t="s">
        <v>7</v>
      </c>
      <c r="O23" s="4" t="s">
        <v>778</v>
      </c>
      <c r="P23" s="4" t="s">
        <v>7834</v>
      </c>
      <c r="R23" s="2" t="b">
        <v>0</v>
      </c>
    </row>
    <row r="24" spans="1:18">
      <c r="A24" s="5" t="s">
        <v>2999</v>
      </c>
      <c r="B24" s="5" t="s">
        <v>4071</v>
      </c>
      <c r="C24" s="4" t="s">
        <v>8002</v>
      </c>
      <c r="D24" s="2">
        <v>1</v>
      </c>
      <c r="E24" s="2">
        <v>1</v>
      </c>
      <c r="F24" s="2">
        <v>122</v>
      </c>
      <c r="G24" s="2">
        <v>125</v>
      </c>
      <c r="H24" s="8" cm="1">
        <f t="array" ref="H24">_xlfn.LET(_xlpm.s,IFERROR(--F24,""),_xlpm.e,IFERROR(--G24,""),IF(OR(_xlpm.s="",_xlpm.e="",_xlpm.e&lt;_xlpm.s),"",_xlfn.LET(_xlpm.p,_xlfn.SEQUENCE(_xlpm.e-_xlpm.s+1,1,_xlpm.s,1),SUM(1/COUNTIFS($D:$D,D24,$E:$E,E24,$F:$F,"&lt;&gt;N/A",$G:$G,"&lt;&gt;N/A",$F:$F,"&lt;="&amp;_xlpm.p,$G:$G,"&gt;="&amp;_xlpm.p)))))</f>
        <v>3.5</v>
      </c>
      <c r="I24" s="3" t="s">
        <v>38</v>
      </c>
      <c r="J24" s="3" t="s">
        <v>39</v>
      </c>
      <c r="K24" s="4" t="s">
        <v>7</v>
      </c>
      <c r="L24" s="4" t="s">
        <v>7</v>
      </c>
      <c r="M24" s="5" t="s">
        <v>7</v>
      </c>
      <c r="N24" s="4" t="s">
        <v>7</v>
      </c>
      <c r="O24" t="s">
        <v>10264</v>
      </c>
      <c r="P24" t="s">
        <v>8020</v>
      </c>
      <c r="Q24" t="s">
        <v>2020</v>
      </c>
      <c r="R24" s="2" t="b">
        <v>0</v>
      </c>
    </row>
    <row r="25" spans="1:18">
      <c r="A25" s="5" t="s">
        <v>2999</v>
      </c>
      <c r="B25" s="5" t="s">
        <v>4072</v>
      </c>
      <c r="C25" s="4" t="s">
        <v>8003</v>
      </c>
      <c r="D25" s="2">
        <v>1</v>
      </c>
      <c r="E25" s="2">
        <v>2</v>
      </c>
      <c r="F25" s="2">
        <v>3</v>
      </c>
      <c r="G25" s="2">
        <v>7</v>
      </c>
      <c r="H25" s="8" cm="1">
        <f t="array" ref="H25">_xlfn.LET(_xlpm.s,IFERROR(--F25,""),_xlpm.e,IFERROR(--G25,""),IF(OR(_xlpm.s="",_xlpm.e="",_xlpm.e&lt;_xlpm.s),"",_xlfn.LET(_xlpm.p,_xlfn.SEQUENCE(_xlpm.e-_xlpm.s+1,1,_xlpm.s,1),SUM(1/COUNTIFS($D:$D,D25,$E:$E,E25,$F:$F,"&lt;&gt;N/A",$G:$G,"&lt;&gt;N/A",$F:$F,"&lt;="&amp;_xlpm.p,$G:$G,"&gt;="&amp;_xlpm.p)))))</f>
        <v>5</v>
      </c>
      <c r="I25" s="3" t="s">
        <v>10608</v>
      </c>
      <c r="J25" s="3" t="s">
        <v>42</v>
      </c>
      <c r="K25" s="4" t="s">
        <v>43</v>
      </c>
      <c r="L25" s="5" t="s">
        <v>7</v>
      </c>
      <c r="M25" s="5" t="s">
        <v>7</v>
      </c>
      <c r="N25" s="5" t="s">
        <v>7</v>
      </c>
      <c r="O25" s="4" t="s">
        <v>778</v>
      </c>
      <c r="P25" s="4" t="s">
        <v>7834</v>
      </c>
      <c r="R25" s="2" t="b">
        <v>1</v>
      </c>
    </row>
    <row r="26" spans="1:18">
      <c r="A26" s="5" t="s">
        <v>2999</v>
      </c>
      <c r="B26" s="5" t="s">
        <v>4073</v>
      </c>
      <c r="C26" s="4" t="s">
        <v>8003</v>
      </c>
      <c r="D26" s="2">
        <v>1</v>
      </c>
      <c r="E26" s="2">
        <v>2</v>
      </c>
      <c r="F26" s="2">
        <v>8</v>
      </c>
      <c r="G26" s="2">
        <v>12</v>
      </c>
      <c r="H26" s="8" cm="1">
        <f t="array" ref="H26">_xlfn.LET(_xlpm.s,IFERROR(--F26,""),_xlpm.e,IFERROR(--G26,""),IF(OR(_xlpm.s="",_xlpm.e="",_xlpm.e&lt;_xlpm.s),"",_xlfn.LET(_xlpm.p,_xlfn.SEQUENCE(_xlpm.e-_xlpm.s+1,1,_xlpm.s,1),SUM(1/COUNTIFS($D:$D,D26,$E:$E,E26,$F:$F,"&lt;&gt;N/A",$G:$G,"&lt;&gt;N/A",$F:$F,"&lt;="&amp;_xlpm.p,$G:$G,"&gt;="&amp;_xlpm.p)))))</f>
        <v>4.5</v>
      </c>
      <c r="I26" s="3" t="s">
        <v>44</v>
      </c>
      <c r="J26" s="3" t="s">
        <v>45</v>
      </c>
      <c r="K26" s="4" t="s">
        <v>594</v>
      </c>
      <c r="L26" s="5" t="s">
        <v>4488</v>
      </c>
      <c r="M26" t="s">
        <v>5066</v>
      </c>
      <c r="N26" t="s">
        <v>8035</v>
      </c>
      <c r="O26" s="4" t="s">
        <v>5072</v>
      </c>
      <c r="P26" s="4" t="s">
        <v>8021</v>
      </c>
      <c r="R26" s="2" t="b">
        <v>1</v>
      </c>
    </row>
    <row r="27" spans="1:18">
      <c r="A27" s="5" t="s">
        <v>2999</v>
      </c>
      <c r="B27" s="5" t="s">
        <v>4074</v>
      </c>
      <c r="C27" s="4" t="s">
        <v>8003</v>
      </c>
      <c r="D27" s="2">
        <v>1</v>
      </c>
      <c r="E27" s="2">
        <v>2</v>
      </c>
      <c r="F27" s="2">
        <v>12</v>
      </c>
      <c r="G27" s="2">
        <v>14</v>
      </c>
      <c r="H27" s="8" cm="1">
        <f t="array" ref="H27">_xlfn.LET(_xlpm.s,IFERROR(--F27,""),_xlpm.e,IFERROR(--G27,""),IF(OR(_xlpm.s="",_xlpm.e="",_xlpm.e&lt;_xlpm.s),"",_xlfn.LET(_xlpm.p,_xlfn.SEQUENCE(_xlpm.e-_xlpm.s+1,1,_xlpm.s,1),SUM(1/COUNTIFS($D:$D,D27,$E:$E,E27,$F:$F,"&lt;&gt;N/A",$G:$G,"&lt;&gt;N/A",$F:$F,"&lt;="&amp;_xlpm.p,$G:$G,"&gt;="&amp;_xlpm.p)))))</f>
        <v>2.5</v>
      </c>
      <c r="I27" s="3" t="s">
        <v>44</v>
      </c>
      <c r="J27" s="3" t="s">
        <v>46</v>
      </c>
      <c r="K27" s="4" t="s">
        <v>7</v>
      </c>
      <c r="L27" s="5" t="s">
        <v>7</v>
      </c>
      <c r="M27" s="5" t="s">
        <v>7</v>
      </c>
      <c r="N27" s="5" t="s">
        <v>7</v>
      </c>
      <c r="O27" s="4" t="s">
        <v>778</v>
      </c>
      <c r="P27" s="4" t="s">
        <v>7834</v>
      </c>
      <c r="R27" s="2" t="b">
        <v>1</v>
      </c>
    </row>
    <row r="28" spans="1:18">
      <c r="A28" s="5" t="s">
        <v>2999</v>
      </c>
      <c r="B28" s="5" t="s">
        <v>4075</v>
      </c>
      <c r="C28" s="4" t="s">
        <v>8003</v>
      </c>
      <c r="D28" s="2">
        <v>1</v>
      </c>
      <c r="E28" s="2">
        <v>2</v>
      </c>
      <c r="F28" s="2">
        <v>15</v>
      </c>
      <c r="G28" s="2">
        <v>43</v>
      </c>
      <c r="H28" s="8" cm="1">
        <f t="array" ref="H28">_xlfn.LET(_xlpm.s,IFERROR(--F28,""),_xlpm.e,IFERROR(--G28,""),IF(OR(_xlpm.s="",_xlpm.e="",_xlpm.e&lt;_xlpm.s),"",_xlfn.LET(_xlpm.p,_xlfn.SEQUENCE(_xlpm.e-_xlpm.s+1,1,_xlpm.s,1),SUM(1/COUNTIFS($D:$D,D28,$E:$E,E28,$F:$F,"&lt;&gt;N/A",$G:$G,"&lt;&gt;N/A",$F:$F,"&lt;="&amp;_xlpm.p,$G:$G,"&gt;="&amp;_xlpm.p)))))</f>
        <v>28.5</v>
      </c>
      <c r="I28" s="3" t="s">
        <v>8</v>
      </c>
      <c r="J28" s="3" t="s">
        <v>47</v>
      </c>
      <c r="K28" s="4" t="s">
        <v>48</v>
      </c>
      <c r="L28" s="5" t="s">
        <v>7</v>
      </c>
      <c r="M28" s="5" t="s">
        <v>7</v>
      </c>
      <c r="N28" s="5" t="s">
        <v>7</v>
      </c>
      <c r="O28" s="4" t="s">
        <v>778</v>
      </c>
      <c r="P28" s="4" t="s">
        <v>7834</v>
      </c>
      <c r="R28" s="2" t="b">
        <v>1</v>
      </c>
    </row>
    <row r="29" spans="1:18">
      <c r="A29" s="5" t="s">
        <v>2999</v>
      </c>
      <c r="B29" s="5" t="s">
        <v>4076</v>
      </c>
      <c r="C29" s="4" t="s">
        <v>8003</v>
      </c>
      <c r="D29" s="2">
        <v>1</v>
      </c>
      <c r="E29" s="2">
        <v>2</v>
      </c>
      <c r="F29" s="2">
        <v>43</v>
      </c>
      <c r="G29" s="2">
        <v>56</v>
      </c>
      <c r="H29" s="8" cm="1">
        <f t="array" ref="H29">_xlfn.LET(_xlpm.s,IFERROR(--F29,""),_xlpm.e,IFERROR(--G29,""),IF(OR(_xlpm.s="",_xlpm.e="",_xlpm.e&lt;_xlpm.s),"",_xlfn.LET(_xlpm.p,_xlfn.SEQUENCE(_xlpm.e-_xlpm.s+1,1,_xlpm.s,1),SUM(1/COUNTIFS($D:$D,D29,$E:$E,E29,$F:$F,"&lt;&gt;N/A",$G:$G,"&lt;&gt;N/A",$F:$F,"&lt;="&amp;_xlpm.p,$G:$G,"&gt;="&amp;_xlpm.p)))))</f>
        <v>13</v>
      </c>
      <c r="I29" s="3" t="s">
        <v>8</v>
      </c>
      <c r="J29" s="3" t="s">
        <v>3198</v>
      </c>
      <c r="K29" s="4" t="s">
        <v>9</v>
      </c>
      <c r="L29" s="5" t="s">
        <v>4487</v>
      </c>
      <c r="M29" s="5" t="s">
        <v>7</v>
      </c>
      <c r="N29" s="5" t="s">
        <v>2664</v>
      </c>
      <c r="O29" s="4" t="s">
        <v>10264</v>
      </c>
      <c r="P29" s="4" t="s">
        <v>8020</v>
      </c>
      <c r="R29" s="2" t="b">
        <v>1</v>
      </c>
    </row>
    <row r="30" spans="1:18">
      <c r="A30" s="5" t="s">
        <v>2999</v>
      </c>
      <c r="B30" s="5" t="s">
        <v>4077</v>
      </c>
      <c r="C30" s="4" t="s">
        <v>8003</v>
      </c>
      <c r="D30" s="2">
        <v>1</v>
      </c>
      <c r="E30" s="2">
        <v>2</v>
      </c>
      <c r="F30" s="2">
        <v>56</v>
      </c>
      <c r="G30" s="2">
        <v>63</v>
      </c>
      <c r="H30" s="8" cm="1">
        <f t="array" ref="H30">_xlfn.LET(_xlpm.s,IFERROR(--F30,""),_xlpm.e,IFERROR(--G30,""),IF(OR(_xlpm.s="",_xlpm.e="",_xlpm.e&lt;_xlpm.s),"",_xlfn.LET(_xlpm.p,_xlfn.SEQUENCE(_xlpm.e-_xlpm.s+1,1,_xlpm.s,1),SUM(1/COUNTIFS($D:$D,D30,$E:$E,E30,$F:$F,"&lt;&gt;N/A",$G:$G,"&lt;&gt;N/A",$F:$F,"&lt;="&amp;_xlpm.p,$G:$G,"&gt;="&amp;_xlpm.p)))))</f>
        <v>7.5</v>
      </c>
      <c r="I30" s="3" t="s">
        <v>14</v>
      </c>
      <c r="J30" s="3" t="s">
        <v>49</v>
      </c>
      <c r="K30" s="4" t="s">
        <v>50</v>
      </c>
      <c r="L30" s="5" t="s">
        <v>7</v>
      </c>
      <c r="M30" s="5" t="s">
        <v>7</v>
      </c>
      <c r="N30" s="5" t="s">
        <v>7</v>
      </c>
      <c r="O30" s="4" t="s">
        <v>778</v>
      </c>
      <c r="P30" s="4" t="s">
        <v>7834</v>
      </c>
      <c r="R30" s="2" t="b">
        <v>1</v>
      </c>
    </row>
    <row r="31" spans="1:18">
      <c r="A31" s="5" t="s">
        <v>2999</v>
      </c>
      <c r="B31" s="5" t="s">
        <v>4078</v>
      </c>
      <c r="C31" s="4" t="s">
        <v>8003</v>
      </c>
      <c r="D31" s="2">
        <v>1</v>
      </c>
      <c r="E31" s="2">
        <v>2</v>
      </c>
      <c r="F31" s="2">
        <v>64</v>
      </c>
      <c r="G31" s="2">
        <v>73</v>
      </c>
      <c r="H31" s="8" cm="1">
        <f t="array" ref="H31">_xlfn.LET(_xlpm.s,IFERROR(--F31,""),_xlpm.e,IFERROR(--G31,""),IF(OR(_xlpm.s="",_xlpm.e="",_xlpm.e&lt;_xlpm.s),"",_xlfn.LET(_xlpm.p,_xlfn.SEQUENCE(_xlpm.e-_xlpm.s+1,1,_xlpm.s,1),SUM(1/COUNTIFS($D:$D,D31,$E:$E,E31,$F:$F,"&lt;&gt;N/A",$G:$G,"&lt;&gt;N/A",$F:$F,"&lt;="&amp;_xlpm.p,$G:$G,"&gt;="&amp;_xlpm.p)))))</f>
        <v>10</v>
      </c>
      <c r="I31" s="3" t="s">
        <v>16</v>
      </c>
      <c r="J31" s="3" t="s">
        <v>51</v>
      </c>
      <c r="K31" s="4" t="s">
        <v>12</v>
      </c>
      <c r="L31" s="4" t="s">
        <v>7</v>
      </c>
      <c r="M31" s="5" t="s">
        <v>7</v>
      </c>
      <c r="N31" s="4" t="s">
        <v>7</v>
      </c>
      <c r="O31" s="4" t="s">
        <v>778</v>
      </c>
      <c r="P31" s="4" t="s">
        <v>7834</v>
      </c>
      <c r="R31" s="2" t="b">
        <v>0</v>
      </c>
    </row>
    <row r="32" spans="1:18">
      <c r="A32" s="5" t="s">
        <v>2999</v>
      </c>
      <c r="B32" s="5" t="s">
        <v>4079</v>
      </c>
      <c r="C32" s="4" t="s">
        <v>8003</v>
      </c>
      <c r="D32" s="2">
        <v>1</v>
      </c>
      <c r="E32" s="2">
        <v>2</v>
      </c>
      <c r="F32" s="2">
        <v>74</v>
      </c>
      <c r="G32" s="2">
        <v>74</v>
      </c>
      <c r="H32" s="8" cm="1">
        <f t="array" ref="H32">_xlfn.LET(_xlpm.s,IFERROR(--F32,""),_xlpm.e,IFERROR(--G32,""),IF(OR(_xlpm.s="",_xlpm.e="",_xlpm.e&lt;_xlpm.s),"",_xlfn.LET(_xlpm.p,_xlfn.SEQUENCE(_xlpm.e-_xlpm.s+1,1,_xlpm.s,1),SUM(1/COUNTIFS($D:$D,D32,$E:$E,E32,$F:$F,"&lt;&gt;N/A",$G:$G,"&lt;&gt;N/A",$F:$F,"&lt;="&amp;_xlpm.p,$G:$G,"&gt;="&amp;_xlpm.p)))))</f>
        <v>1</v>
      </c>
      <c r="I32" s="3" t="s">
        <v>16</v>
      </c>
      <c r="J32" s="3" t="s">
        <v>2068</v>
      </c>
      <c r="K32" s="4" t="s">
        <v>20</v>
      </c>
      <c r="L32" s="4" t="s">
        <v>7</v>
      </c>
      <c r="M32" s="5" t="s">
        <v>7</v>
      </c>
      <c r="N32" s="4" t="s">
        <v>7</v>
      </c>
      <c r="O32" s="4" t="s">
        <v>778</v>
      </c>
      <c r="P32" s="4" t="s">
        <v>7834</v>
      </c>
      <c r="R32" s="2" t="b">
        <v>0</v>
      </c>
    </row>
    <row r="33" spans="1:18">
      <c r="A33" s="5" t="s">
        <v>2999</v>
      </c>
      <c r="B33" s="5" t="s">
        <v>4080</v>
      </c>
      <c r="C33" s="4" t="s">
        <v>8003</v>
      </c>
      <c r="D33" s="2">
        <v>1</v>
      </c>
      <c r="E33" s="2">
        <v>2</v>
      </c>
      <c r="F33" s="2">
        <v>75</v>
      </c>
      <c r="G33" s="2">
        <v>80</v>
      </c>
      <c r="H33" s="8" cm="1">
        <f t="array" ref="H33">_xlfn.LET(_xlpm.s,IFERROR(--F33,""),_xlpm.e,IFERROR(--G33,""),IF(OR(_xlpm.s="",_xlpm.e="",_xlpm.e&lt;_xlpm.s),"",_xlfn.LET(_xlpm.p,_xlfn.SEQUENCE(_xlpm.e-_xlpm.s+1,1,_xlpm.s,1),SUM(1/COUNTIFS($D:$D,D33,$E:$E,E33,$F:$F,"&lt;&gt;N/A",$G:$G,"&lt;&gt;N/A",$F:$F,"&lt;="&amp;_xlpm.p,$G:$G,"&gt;="&amp;_xlpm.p)))))</f>
        <v>5.5</v>
      </c>
      <c r="I33" s="3" t="s">
        <v>16</v>
      </c>
      <c r="J33" s="3" t="s">
        <v>52</v>
      </c>
      <c r="K33" s="4" t="s">
        <v>1952</v>
      </c>
      <c r="L33" s="4" t="s">
        <v>7</v>
      </c>
      <c r="M33" s="5" t="s">
        <v>7</v>
      </c>
      <c r="N33" t="s">
        <v>8051</v>
      </c>
      <c r="O33" s="4" t="s">
        <v>10264</v>
      </c>
      <c r="P33" s="4" t="s">
        <v>8020</v>
      </c>
      <c r="R33" s="2" t="b">
        <v>0</v>
      </c>
    </row>
    <row r="34" spans="1:18">
      <c r="A34" s="5" t="s">
        <v>2999</v>
      </c>
      <c r="B34" s="5" t="s">
        <v>4081</v>
      </c>
      <c r="C34" s="4" t="s">
        <v>8003</v>
      </c>
      <c r="D34" s="2">
        <v>1</v>
      </c>
      <c r="E34" s="2">
        <v>2</v>
      </c>
      <c r="F34" s="2">
        <v>80</v>
      </c>
      <c r="G34" s="2">
        <v>81</v>
      </c>
      <c r="H34" s="8" cm="1">
        <f t="array" ref="H34">_xlfn.LET(_xlpm.s,IFERROR(--F34,""),_xlpm.e,IFERROR(--G34,""),IF(OR(_xlpm.s="",_xlpm.e="",_xlpm.e&lt;_xlpm.s),"",_xlfn.LET(_xlpm.p,_xlfn.SEQUENCE(_xlpm.e-_xlpm.s+1,1,_xlpm.s,1),SUM(1/COUNTIFS($D:$D,D34,$E:$E,E34,$F:$F,"&lt;&gt;N/A",$G:$G,"&lt;&gt;N/A",$F:$F,"&lt;="&amp;_xlpm.p,$G:$G,"&gt;="&amp;_xlpm.p)))))</f>
        <v>1.5</v>
      </c>
      <c r="I34" s="3" t="s">
        <v>16</v>
      </c>
      <c r="J34" s="3" t="s">
        <v>53</v>
      </c>
      <c r="K34" s="4" t="s">
        <v>1952</v>
      </c>
      <c r="L34" s="4" t="s">
        <v>7</v>
      </c>
      <c r="M34" s="5" t="s">
        <v>7</v>
      </c>
      <c r="N34" t="s">
        <v>8051</v>
      </c>
      <c r="O34" s="4" t="s">
        <v>10264</v>
      </c>
      <c r="P34" s="4" t="s">
        <v>8020</v>
      </c>
      <c r="R34" s="2" t="b">
        <v>0</v>
      </c>
    </row>
    <row r="35" spans="1:18">
      <c r="A35" s="5" t="s">
        <v>2999</v>
      </c>
      <c r="B35" s="5" t="s">
        <v>4082</v>
      </c>
      <c r="C35" s="4" t="s">
        <v>8003</v>
      </c>
      <c r="D35" s="2">
        <v>1</v>
      </c>
      <c r="E35" s="2">
        <v>2</v>
      </c>
      <c r="F35" s="2">
        <v>82</v>
      </c>
      <c r="G35" s="2">
        <v>82</v>
      </c>
      <c r="H35" s="8" cm="1">
        <f t="array" ref="H35">_xlfn.LET(_xlpm.s,IFERROR(--F35,""),_xlpm.e,IFERROR(--G35,""),IF(OR(_xlpm.s="",_xlpm.e="",_xlpm.e&lt;_xlpm.s),"",_xlfn.LET(_xlpm.p,_xlfn.SEQUENCE(_xlpm.e-_xlpm.s+1,1,_xlpm.s,1),SUM(1/COUNTIFS($D:$D,D35,$E:$E,E35,$F:$F,"&lt;&gt;N/A",$G:$G,"&lt;&gt;N/A",$F:$F,"&lt;="&amp;_xlpm.p,$G:$G,"&gt;="&amp;_xlpm.p)))))</f>
        <v>1</v>
      </c>
      <c r="I35" s="3" t="s">
        <v>16</v>
      </c>
      <c r="J35" s="3" t="s">
        <v>2525</v>
      </c>
      <c r="K35" s="4" t="s">
        <v>156</v>
      </c>
      <c r="L35" s="4" t="s">
        <v>7</v>
      </c>
      <c r="M35" s="5" t="s">
        <v>7</v>
      </c>
      <c r="N35" s="4" t="s">
        <v>1947</v>
      </c>
      <c r="O35" s="4" t="s">
        <v>10264</v>
      </c>
      <c r="P35" s="4" t="s">
        <v>8020</v>
      </c>
      <c r="R35" s="2" t="b">
        <v>0</v>
      </c>
    </row>
    <row r="36" spans="1:18">
      <c r="A36" s="5" t="s">
        <v>2999</v>
      </c>
      <c r="B36" s="5" t="s">
        <v>4083</v>
      </c>
      <c r="C36" s="4" t="s">
        <v>8003</v>
      </c>
      <c r="D36" s="2">
        <v>1</v>
      </c>
      <c r="E36" s="2">
        <v>2</v>
      </c>
      <c r="F36" s="2">
        <v>83</v>
      </c>
      <c r="G36" s="2">
        <v>85</v>
      </c>
      <c r="H36" s="8" cm="1">
        <f t="array" ref="H36">_xlfn.LET(_xlpm.s,IFERROR(--F36,""),_xlpm.e,IFERROR(--G36,""),IF(OR(_xlpm.s="",_xlpm.e="",_xlpm.e&lt;_xlpm.s),"",_xlfn.LET(_xlpm.p,_xlfn.SEQUENCE(_xlpm.e-_xlpm.s+1,1,_xlpm.s,1),SUM(1/COUNTIFS($D:$D,D36,$E:$E,E36,$F:$F,"&lt;&gt;N/A",$G:$G,"&lt;&gt;N/A",$F:$F,"&lt;="&amp;_xlpm.p,$G:$G,"&gt;="&amp;_xlpm.p)))))</f>
        <v>3</v>
      </c>
      <c r="I36" s="3" t="s">
        <v>16</v>
      </c>
      <c r="J36" s="3" t="s">
        <v>40</v>
      </c>
      <c r="K36" s="4" t="s">
        <v>162</v>
      </c>
      <c r="L36" s="4" t="s">
        <v>7</v>
      </c>
      <c r="M36" s="5" t="s">
        <v>7</v>
      </c>
      <c r="N36" s="4" t="s">
        <v>7</v>
      </c>
      <c r="O36" s="4" t="s">
        <v>778</v>
      </c>
      <c r="P36" s="4" t="s">
        <v>7834</v>
      </c>
      <c r="R36" s="2" t="b">
        <v>0</v>
      </c>
    </row>
    <row r="37" spans="1:18">
      <c r="A37" s="5" t="s">
        <v>2999</v>
      </c>
      <c r="B37" s="5" t="s">
        <v>4084</v>
      </c>
      <c r="C37" s="4" t="s">
        <v>8003</v>
      </c>
      <c r="D37" s="2">
        <v>1</v>
      </c>
      <c r="E37" s="2">
        <v>2</v>
      </c>
      <c r="F37" s="2">
        <v>86</v>
      </c>
      <c r="G37" s="2">
        <v>98</v>
      </c>
      <c r="H37" s="8" cm="1">
        <f t="array" ref="H37">_xlfn.LET(_xlpm.s,IFERROR(--F37,""),_xlpm.e,IFERROR(--G37,""),IF(OR(_xlpm.s="",_xlpm.e="",_xlpm.e&lt;_xlpm.s),"",_xlfn.LET(_xlpm.p,_xlfn.SEQUENCE(_xlpm.e-_xlpm.s+1,1,_xlpm.s,1),SUM(1/COUNTIFS($D:$D,D37,$E:$E,E37,$F:$F,"&lt;&gt;N/A",$G:$G,"&lt;&gt;N/A",$F:$F,"&lt;="&amp;_xlpm.p,$G:$G,"&gt;="&amp;_xlpm.p)))))</f>
        <v>13</v>
      </c>
      <c r="I37" s="3" t="s">
        <v>54</v>
      </c>
      <c r="J37" s="3" t="s">
        <v>2067</v>
      </c>
      <c r="K37" s="4" t="s">
        <v>29</v>
      </c>
      <c r="L37" s="4" t="s">
        <v>7</v>
      </c>
      <c r="M37" s="5" t="s">
        <v>7</v>
      </c>
      <c r="N37" s="4" t="s">
        <v>1946</v>
      </c>
      <c r="O37" s="4" t="s">
        <v>7</v>
      </c>
      <c r="P37" s="4" t="s">
        <v>8020</v>
      </c>
      <c r="R37" s="2" t="b">
        <v>0</v>
      </c>
    </row>
    <row r="38" spans="1:18">
      <c r="A38" s="5" t="s">
        <v>2999</v>
      </c>
      <c r="B38" s="5" t="s">
        <v>4085</v>
      </c>
      <c r="C38" s="4" t="s">
        <v>8003</v>
      </c>
      <c r="D38" s="2">
        <v>1</v>
      </c>
      <c r="E38" s="2">
        <v>2</v>
      </c>
      <c r="F38" s="2">
        <v>99</v>
      </c>
      <c r="G38" s="2">
        <v>105</v>
      </c>
      <c r="H38" s="8" cm="1">
        <f t="array" ref="H38">_xlfn.LET(_xlpm.s,IFERROR(--F38,""),_xlpm.e,IFERROR(--G38,""),IF(OR(_xlpm.s="",_xlpm.e="",_xlpm.e&lt;_xlpm.s),"",_xlfn.LET(_xlpm.p,_xlfn.SEQUENCE(_xlpm.e-_xlpm.s+1,1,_xlpm.s,1),SUM(1/COUNTIFS($D:$D,D38,$E:$E,E38,$F:$F,"&lt;&gt;N/A",$G:$G,"&lt;&gt;N/A",$F:$F,"&lt;="&amp;_xlpm.p,$G:$G,"&gt;="&amp;_xlpm.p)))))</f>
        <v>6.5</v>
      </c>
      <c r="I38" s="3" t="s">
        <v>2</v>
      </c>
      <c r="J38" s="3" t="s">
        <v>10732</v>
      </c>
      <c r="K38" s="4" t="s">
        <v>130</v>
      </c>
      <c r="L38" s="5" t="s">
        <v>7</v>
      </c>
      <c r="M38" s="5" t="s">
        <v>7</v>
      </c>
      <c r="N38" s="5" t="s">
        <v>7</v>
      </c>
      <c r="O38" s="4" t="s">
        <v>778</v>
      </c>
      <c r="P38" s="4" t="s">
        <v>7834</v>
      </c>
      <c r="R38" s="2" t="b">
        <v>1</v>
      </c>
    </row>
    <row r="39" spans="1:18">
      <c r="A39" s="5" t="s">
        <v>2999</v>
      </c>
      <c r="B39" s="5" t="s">
        <v>4086</v>
      </c>
      <c r="C39" s="4" t="s">
        <v>8003</v>
      </c>
      <c r="D39" s="2">
        <v>1</v>
      </c>
      <c r="E39" s="2">
        <v>2</v>
      </c>
      <c r="F39" s="2">
        <v>105</v>
      </c>
      <c r="G39" s="2">
        <v>106</v>
      </c>
      <c r="H39" s="8" cm="1">
        <f t="array" ref="H39">_xlfn.LET(_xlpm.s,IFERROR(--F39,""),_xlpm.e,IFERROR(--G39,""),IF(OR(_xlpm.s="",_xlpm.e="",_xlpm.e&lt;_xlpm.s),"",_xlfn.LET(_xlpm.p,_xlfn.SEQUENCE(_xlpm.e-_xlpm.s+1,1,_xlpm.s,1),SUM(1/COUNTIFS($D:$D,D39,$E:$E,E39,$F:$F,"&lt;&gt;N/A",$G:$G,"&lt;&gt;N/A",$F:$F,"&lt;="&amp;_xlpm.p,$G:$G,"&gt;="&amp;_xlpm.p)))))</f>
        <v>1</v>
      </c>
      <c r="I39" s="3" t="s">
        <v>7</v>
      </c>
      <c r="J39" s="3" t="s">
        <v>27</v>
      </c>
      <c r="K39" s="4" t="s">
        <v>7</v>
      </c>
      <c r="L39" s="4" t="s">
        <v>7</v>
      </c>
      <c r="M39" s="5" t="s">
        <v>7</v>
      </c>
      <c r="N39" s="4" t="s">
        <v>7</v>
      </c>
      <c r="O39" s="4" t="s">
        <v>778</v>
      </c>
      <c r="P39" s="4" t="s">
        <v>7834</v>
      </c>
      <c r="R39" s="2" t="b">
        <v>0</v>
      </c>
    </row>
    <row r="40" spans="1:18">
      <c r="A40" s="5" t="s">
        <v>2999</v>
      </c>
      <c r="B40" s="5" t="s">
        <v>4087</v>
      </c>
      <c r="C40" s="4" t="s">
        <v>8003</v>
      </c>
      <c r="D40" s="2">
        <v>1</v>
      </c>
      <c r="E40" s="2">
        <v>2</v>
      </c>
      <c r="F40" s="2">
        <v>106</v>
      </c>
      <c r="G40" s="2">
        <v>108</v>
      </c>
      <c r="H40" s="8" cm="1">
        <f t="array" ref="H40">_xlfn.LET(_xlpm.s,IFERROR(--F40,""),_xlpm.e,IFERROR(--G40,""),IF(OR(_xlpm.s="",_xlpm.e="",_xlpm.e&lt;_xlpm.s),"",_xlfn.LET(_xlpm.p,_xlfn.SEQUENCE(_xlpm.e-_xlpm.s+1,1,_xlpm.s,1),SUM(1/COUNTIFS($D:$D,D40,$E:$E,E40,$F:$F,"&lt;&gt;N/A",$G:$G,"&lt;&gt;N/A",$F:$F,"&lt;="&amp;_xlpm.p,$G:$G,"&gt;="&amp;_xlpm.p)))))</f>
        <v>2</v>
      </c>
      <c r="I40" s="3" t="s">
        <v>7</v>
      </c>
      <c r="J40" s="3" t="s">
        <v>1428</v>
      </c>
      <c r="K40" s="4" t="s">
        <v>7</v>
      </c>
      <c r="L40" s="4" t="s">
        <v>7</v>
      </c>
      <c r="M40" s="5" t="s">
        <v>7</v>
      </c>
      <c r="N40" s="4" t="s">
        <v>7</v>
      </c>
      <c r="O40" s="4" t="s">
        <v>778</v>
      </c>
      <c r="P40" s="4" t="s">
        <v>7834</v>
      </c>
      <c r="R40" s="2" t="b">
        <v>0</v>
      </c>
    </row>
    <row r="41" spans="1:18">
      <c r="A41" s="5" t="s">
        <v>2999</v>
      </c>
      <c r="B41" s="5" t="s">
        <v>4088</v>
      </c>
      <c r="C41" s="4" t="s">
        <v>8003</v>
      </c>
      <c r="D41" s="2">
        <v>1</v>
      </c>
      <c r="E41" s="2">
        <v>2</v>
      </c>
      <c r="F41" s="2">
        <v>108</v>
      </c>
      <c r="G41" s="2">
        <v>111</v>
      </c>
      <c r="H41" s="8" cm="1">
        <f t="array" ref="H41">_xlfn.LET(_xlpm.s,IFERROR(--F41,""),_xlpm.e,IFERROR(--G41,""),IF(OR(_xlpm.s="",_xlpm.e="",_xlpm.e&lt;_xlpm.s),"",_xlfn.LET(_xlpm.p,_xlfn.SEQUENCE(_xlpm.e-_xlpm.s+1,1,_xlpm.s,1),SUM(1/COUNTIFS($D:$D,D41,$E:$E,E41,$F:$F,"&lt;&gt;N/A",$G:$G,"&lt;&gt;N/A",$F:$F,"&lt;="&amp;_xlpm.p,$G:$G,"&gt;="&amp;_xlpm.p)))))</f>
        <v>3.5</v>
      </c>
      <c r="I41" s="3" t="s">
        <v>7</v>
      </c>
      <c r="J41" s="3" t="s">
        <v>3171</v>
      </c>
      <c r="K41" s="4" t="s">
        <v>7</v>
      </c>
      <c r="L41" s="4" t="s">
        <v>7</v>
      </c>
      <c r="M41" s="5" t="s">
        <v>7</v>
      </c>
      <c r="N41" s="4" t="s">
        <v>7</v>
      </c>
      <c r="O41" s="4" t="s">
        <v>778</v>
      </c>
      <c r="P41" s="4" t="s">
        <v>7834</v>
      </c>
      <c r="R41" s="2" t="b">
        <v>0</v>
      </c>
    </row>
    <row r="42" spans="1:18">
      <c r="A42" s="5" t="s">
        <v>2999</v>
      </c>
      <c r="B42" s="5" t="s">
        <v>4089</v>
      </c>
      <c r="C42" s="4" t="s">
        <v>8003</v>
      </c>
      <c r="D42" s="2">
        <v>1</v>
      </c>
      <c r="E42" s="2">
        <v>2</v>
      </c>
      <c r="F42" s="2">
        <v>112</v>
      </c>
      <c r="G42" s="2">
        <v>113</v>
      </c>
      <c r="H42" s="8" cm="1">
        <f t="array" ref="H42">_xlfn.LET(_xlpm.s,IFERROR(--F42,""),_xlpm.e,IFERROR(--G42,""),IF(OR(_xlpm.s="",_xlpm.e="",_xlpm.e&lt;_xlpm.s),"",_xlfn.LET(_xlpm.p,_xlfn.SEQUENCE(_xlpm.e-_xlpm.s+1,1,_xlpm.s,1),SUM(1/COUNTIFS($D:$D,D42,$E:$E,E42,$F:$F,"&lt;&gt;N/A",$G:$G,"&lt;&gt;N/A",$F:$F,"&lt;="&amp;_xlpm.p,$G:$G,"&gt;="&amp;_xlpm.p)))))</f>
        <v>2</v>
      </c>
      <c r="I42" s="3" t="s">
        <v>7</v>
      </c>
      <c r="J42" s="3" t="s">
        <v>2524</v>
      </c>
      <c r="K42" s="4" t="s">
        <v>7</v>
      </c>
      <c r="L42" s="4" t="s">
        <v>7</v>
      </c>
      <c r="M42" s="5" t="s">
        <v>7</v>
      </c>
      <c r="N42" s="4" t="s">
        <v>7</v>
      </c>
      <c r="O42" s="4" t="s">
        <v>778</v>
      </c>
      <c r="P42" s="4" t="s">
        <v>7834</v>
      </c>
      <c r="R42" s="2" t="b">
        <v>0</v>
      </c>
    </row>
    <row r="43" spans="1:18">
      <c r="A43" s="5" t="s">
        <v>2999</v>
      </c>
      <c r="B43" s="5" t="s">
        <v>4090</v>
      </c>
      <c r="C43" s="4" t="s">
        <v>8004</v>
      </c>
      <c r="D43" s="2">
        <v>1</v>
      </c>
      <c r="E43" s="2">
        <v>3</v>
      </c>
      <c r="F43" s="2">
        <v>3</v>
      </c>
      <c r="G43" s="2">
        <v>15</v>
      </c>
      <c r="H43" s="8" cm="1">
        <f t="array" ref="H43">_xlfn.LET(_xlpm.s,IFERROR(--F43,""),_xlpm.e,IFERROR(--G43,""),IF(OR(_xlpm.s="",_xlpm.e="",_xlpm.e&lt;_xlpm.s),"",_xlfn.LET(_xlpm.p,_xlfn.SEQUENCE(_xlpm.e-_xlpm.s+1,1,_xlpm.s,1),SUM(1/COUNTIFS($D:$D,D43,$E:$E,E43,$F:$F,"&lt;&gt;N/A",$G:$G,"&lt;&gt;N/A",$F:$F,"&lt;="&amp;_xlpm.p,$G:$G,"&gt;="&amp;_xlpm.p)))))</f>
        <v>13</v>
      </c>
      <c r="I43" s="3" t="s">
        <v>14</v>
      </c>
      <c r="J43" s="3" t="s">
        <v>61</v>
      </c>
      <c r="K43" s="4" t="s">
        <v>62</v>
      </c>
      <c r="L43" s="5" t="s">
        <v>7</v>
      </c>
      <c r="M43" s="5" t="s">
        <v>7</v>
      </c>
      <c r="N43" s="5" t="s">
        <v>7</v>
      </c>
      <c r="O43" s="4" t="s">
        <v>778</v>
      </c>
      <c r="P43" s="4" t="s">
        <v>7834</v>
      </c>
      <c r="R43" s="2" t="b">
        <v>1</v>
      </c>
    </row>
    <row r="44" spans="1:18">
      <c r="A44" s="5" t="s">
        <v>2999</v>
      </c>
      <c r="B44" s="5" t="s">
        <v>4091</v>
      </c>
      <c r="C44" s="4" t="s">
        <v>8004</v>
      </c>
      <c r="D44" s="2">
        <v>1</v>
      </c>
      <c r="E44" s="2">
        <v>3</v>
      </c>
      <c r="F44" s="2">
        <v>16</v>
      </c>
      <c r="G44" s="2">
        <v>23</v>
      </c>
      <c r="H44" s="8" cm="1">
        <f t="array" ref="H44">_xlfn.LET(_xlpm.s,IFERROR(--F44,""),_xlpm.e,IFERROR(--G44,""),IF(OR(_xlpm.s="",_xlpm.e="",_xlpm.e&lt;_xlpm.s),"",_xlfn.LET(_xlpm.p,_xlfn.SEQUENCE(_xlpm.e-_xlpm.s+1,1,_xlpm.s,1),SUM(1/COUNTIFS($D:$D,D44,$E:$E,E44,$F:$F,"&lt;&gt;N/A",$G:$G,"&lt;&gt;N/A",$F:$F,"&lt;="&amp;_xlpm.p,$G:$G,"&gt;="&amp;_xlpm.p)))))</f>
        <v>7.5</v>
      </c>
      <c r="I44" s="3" t="s">
        <v>63</v>
      </c>
      <c r="J44" s="3" t="s">
        <v>4469</v>
      </c>
      <c r="K44" s="4" t="s">
        <v>64</v>
      </c>
      <c r="L44" s="5" t="s">
        <v>7</v>
      </c>
      <c r="M44" s="5" t="s">
        <v>7</v>
      </c>
      <c r="N44" s="5" t="s">
        <v>7</v>
      </c>
      <c r="O44" s="4" t="s">
        <v>778</v>
      </c>
      <c r="P44" s="4" t="s">
        <v>7834</v>
      </c>
      <c r="Q44" s="4" t="s">
        <v>1949</v>
      </c>
      <c r="R44" s="2" t="b">
        <v>1</v>
      </c>
    </row>
    <row r="45" spans="1:18">
      <c r="A45" s="5" t="s">
        <v>2999</v>
      </c>
      <c r="B45" s="5" t="s">
        <v>4092</v>
      </c>
      <c r="C45" s="4" t="s">
        <v>8004</v>
      </c>
      <c r="D45" s="2">
        <v>1</v>
      </c>
      <c r="E45" s="2">
        <v>3</v>
      </c>
      <c r="F45" s="2">
        <v>23</v>
      </c>
      <c r="G45" s="2">
        <v>31</v>
      </c>
      <c r="H45" s="8" cm="1">
        <f t="array" ref="H45">_xlfn.LET(_xlpm.s,IFERROR(--F45,""),_xlpm.e,IFERROR(--G45,""),IF(OR(_xlpm.s="",_xlpm.e="",_xlpm.e&lt;_xlpm.s),"",_xlfn.LET(_xlpm.p,_xlfn.SEQUENCE(_xlpm.e-_xlpm.s+1,1,_xlpm.s,1),SUM(1/COUNTIFS($D:$D,D45,$E:$E,E45,$F:$F,"&lt;&gt;N/A",$G:$G,"&lt;&gt;N/A",$F:$F,"&lt;="&amp;_xlpm.p,$G:$G,"&gt;="&amp;_xlpm.p)))))</f>
        <v>8.5</v>
      </c>
      <c r="I45" s="3" t="s">
        <v>7</v>
      </c>
      <c r="J45" s="3" t="s">
        <v>142</v>
      </c>
      <c r="K45" s="4" t="s">
        <v>65</v>
      </c>
      <c r="L45" s="4" t="s">
        <v>7</v>
      </c>
      <c r="M45" s="5" t="s">
        <v>7</v>
      </c>
      <c r="N45" s="4" t="s">
        <v>7</v>
      </c>
      <c r="O45" s="4" t="s">
        <v>778</v>
      </c>
      <c r="P45" s="4" t="s">
        <v>7834</v>
      </c>
      <c r="Q45" s="4" t="s">
        <v>1950</v>
      </c>
      <c r="R45" s="2" t="b">
        <v>0</v>
      </c>
    </row>
    <row r="46" spans="1:18">
      <c r="A46" s="5" t="s">
        <v>2999</v>
      </c>
      <c r="B46" s="5" t="s">
        <v>4093</v>
      </c>
      <c r="C46" s="4" t="s">
        <v>8004</v>
      </c>
      <c r="D46" s="2">
        <v>1</v>
      </c>
      <c r="E46" s="2">
        <v>3</v>
      </c>
      <c r="F46" s="2">
        <v>32</v>
      </c>
      <c r="G46" s="2">
        <v>38</v>
      </c>
      <c r="H46" s="8" cm="1">
        <f t="array" ref="H46">_xlfn.LET(_xlpm.s,IFERROR(--F46,""),_xlpm.e,IFERROR(--G46,""),IF(OR(_xlpm.s="",_xlpm.e="",_xlpm.e&lt;_xlpm.s),"",_xlfn.LET(_xlpm.p,_xlfn.SEQUENCE(_xlpm.e-_xlpm.s+1,1,_xlpm.s,1),SUM(1/COUNTIFS($D:$D,D46,$E:$E,E46,$F:$F,"&lt;&gt;N/A",$G:$G,"&lt;&gt;N/A",$F:$F,"&lt;="&amp;_xlpm.p,$G:$G,"&gt;="&amp;_xlpm.p)))))</f>
        <v>7</v>
      </c>
      <c r="I46" s="3" t="s">
        <v>7</v>
      </c>
      <c r="J46" s="3" t="s">
        <v>66</v>
      </c>
      <c r="K46" s="4" t="s">
        <v>4494</v>
      </c>
      <c r="L46" s="5" t="s">
        <v>7</v>
      </c>
      <c r="M46" s="5" t="s">
        <v>7</v>
      </c>
      <c r="N46" s="5" t="s">
        <v>7</v>
      </c>
      <c r="O46" s="4" t="s">
        <v>778</v>
      </c>
      <c r="P46" s="4" t="s">
        <v>7834</v>
      </c>
      <c r="Q46" s="4" t="s">
        <v>2670</v>
      </c>
      <c r="R46" s="2" t="b">
        <v>1</v>
      </c>
    </row>
    <row r="47" spans="1:18">
      <c r="A47" s="5" t="s">
        <v>2999</v>
      </c>
      <c r="B47" s="5" t="s">
        <v>4094</v>
      </c>
      <c r="C47" s="4" t="s">
        <v>8004</v>
      </c>
      <c r="D47" s="2">
        <v>1</v>
      </c>
      <c r="E47" s="2">
        <v>3</v>
      </c>
      <c r="F47" s="2">
        <v>39</v>
      </c>
      <c r="G47" s="2">
        <v>48</v>
      </c>
      <c r="H47" s="8" cm="1">
        <f t="array" ref="H47">_xlfn.LET(_xlpm.s,IFERROR(--F47,""),_xlpm.e,IFERROR(--G47,""),IF(OR(_xlpm.s="",_xlpm.e="",_xlpm.e&lt;_xlpm.s),"",_xlfn.LET(_xlpm.p,_xlfn.SEQUENCE(_xlpm.e-_xlpm.s+1,1,_xlpm.s,1),SUM(1/COUNTIFS($D:$D,D47,$E:$E,E47,$F:$F,"&lt;&gt;N/A",$G:$G,"&lt;&gt;N/A",$F:$F,"&lt;="&amp;_xlpm.p,$G:$G,"&gt;="&amp;_xlpm.p)))))</f>
        <v>10</v>
      </c>
      <c r="I47" s="3" t="s">
        <v>8</v>
      </c>
      <c r="J47" s="3" t="s">
        <v>67</v>
      </c>
      <c r="K47" s="4" t="s">
        <v>9</v>
      </c>
      <c r="L47" s="5" t="s">
        <v>4487</v>
      </c>
      <c r="M47" s="5" t="s">
        <v>7</v>
      </c>
      <c r="N47" s="5" t="s">
        <v>2664</v>
      </c>
      <c r="O47" s="4" t="s">
        <v>10264</v>
      </c>
      <c r="P47" s="4" t="s">
        <v>8020</v>
      </c>
      <c r="Q47" s="4" t="s">
        <v>1951</v>
      </c>
      <c r="R47" s="2" t="b">
        <v>1</v>
      </c>
    </row>
    <row r="48" spans="1:18">
      <c r="A48" s="5" t="s">
        <v>2999</v>
      </c>
      <c r="B48" s="5" t="s">
        <v>4095</v>
      </c>
      <c r="C48" s="4" t="s">
        <v>8004</v>
      </c>
      <c r="D48" s="2">
        <v>1</v>
      </c>
      <c r="E48" s="2">
        <v>3</v>
      </c>
      <c r="F48" s="2">
        <v>49</v>
      </c>
      <c r="G48" s="2">
        <v>60</v>
      </c>
      <c r="H48" s="8" cm="1">
        <f t="array" ref="H48">_xlfn.LET(_xlpm.s,IFERROR(--F48,""),_xlpm.e,IFERROR(--G48,""),IF(OR(_xlpm.s="",_xlpm.e="",_xlpm.e&lt;_xlpm.s),"",_xlfn.LET(_xlpm.p,_xlfn.SEQUENCE(_xlpm.e-_xlpm.s+1,1,_xlpm.s,1),SUM(1/COUNTIFS($D:$D,D48,$E:$E,E48,$F:$F,"&lt;&gt;N/A",$G:$G,"&lt;&gt;N/A",$F:$F,"&lt;="&amp;_xlpm.p,$G:$G,"&gt;="&amp;_xlpm.p)))))</f>
        <v>12</v>
      </c>
      <c r="I48" s="3" t="s">
        <v>54</v>
      </c>
      <c r="J48" s="3" t="s">
        <v>68</v>
      </c>
      <c r="K48" s="4" t="s">
        <v>29</v>
      </c>
      <c r="L48" s="4" t="s">
        <v>7</v>
      </c>
      <c r="M48" s="5" t="s">
        <v>7</v>
      </c>
      <c r="N48" s="4" t="s">
        <v>1946</v>
      </c>
      <c r="O48" s="4" t="s">
        <v>7</v>
      </c>
      <c r="P48" s="4" t="s">
        <v>8020</v>
      </c>
      <c r="R48" s="2" t="b">
        <v>0</v>
      </c>
    </row>
    <row r="49" spans="1:18">
      <c r="A49" s="5" t="s">
        <v>2999</v>
      </c>
      <c r="B49" s="5" t="s">
        <v>4096</v>
      </c>
      <c r="C49" s="4" t="s">
        <v>8004</v>
      </c>
      <c r="D49" s="2">
        <v>1</v>
      </c>
      <c r="E49" s="2">
        <v>3</v>
      </c>
      <c r="F49" s="2">
        <v>61</v>
      </c>
      <c r="G49" s="2">
        <v>64</v>
      </c>
      <c r="H49" s="8" cm="1">
        <f t="array" ref="H49">_xlfn.LET(_xlpm.s,IFERROR(--F49,""),_xlpm.e,IFERROR(--G49,""),IF(OR(_xlpm.s="",_xlpm.e="",_xlpm.e&lt;_xlpm.s),"",_xlfn.LET(_xlpm.p,_xlfn.SEQUENCE(_xlpm.e-_xlpm.s+1,1,_xlpm.s,1),SUM(1/COUNTIFS($D:$D,D49,$E:$E,E49,$F:$F,"&lt;&gt;N/A",$G:$G,"&lt;&gt;N/A",$F:$F,"&lt;="&amp;_xlpm.p,$G:$G,"&gt;="&amp;_xlpm.p)))))</f>
        <v>3.5</v>
      </c>
      <c r="I49" s="3" t="s">
        <v>16</v>
      </c>
      <c r="J49" s="3" t="s">
        <v>69</v>
      </c>
      <c r="K49" s="4" t="s">
        <v>1952</v>
      </c>
      <c r="L49" s="4" t="s">
        <v>7</v>
      </c>
      <c r="M49" s="5" t="s">
        <v>7</v>
      </c>
      <c r="N49" t="s">
        <v>8051</v>
      </c>
      <c r="O49" s="4" t="s">
        <v>10264</v>
      </c>
      <c r="P49" s="4" t="s">
        <v>8020</v>
      </c>
      <c r="R49" s="2" t="b">
        <v>0</v>
      </c>
    </row>
    <row r="50" spans="1:18">
      <c r="A50" s="5" t="s">
        <v>2999</v>
      </c>
      <c r="B50" s="5" t="s">
        <v>4097</v>
      </c>
      <c r="C50" s="4" t="s">
        <v>8004</v>
      </c>
      <c r="D50" s="2">
        <v>1</v>
      </c>
      <c r="E50" s="2">
        <v>3</v>
      </c>
      <c r="F50" s="2">
        <v>64</v>
      </c>
      <c r="G50" s="2">
        <v>66</v>
      </c>
      <c r="H50" s="8" cm="1">
        <f t="array" ref="H50">_xlfn.LET(_xlpm.s,IFERROR(--F50,""),_xlpm.e,IFERROR(--G50,""),IF(OR(_xlpm.s="",_xlpm.e="",_xlpm.e&lt;_xlpm.s),"",_xlfn.LET(_xlpm.p,_xlfn.SEQUENCE(_xlpm.e-_xlpm.s+1,1,_xlpm.s,1),SUM(1/COUNTIFS($D:$D,D50,$E:$E,E50,$F:$F,"&lt;&gt;N/A",$G:$G,"&lt;&gt;N/A",$F:$F,"&lt;="&amp;_xlpm.p,$G:$G,"&gt;="&amp;_xlpm.p)))))</f>
        <v>2.5</v>
      </c>
      <c r="I50" s="3" t="s">
        <v>16</v>
      </c>
      <c r="J50" s="3" t="s">
        <v>70</v>
      </c>
      <c r="K50" s="4" t="s">
        <v>1952</v>
      </c>
      <c r="L50" s="4" t="s">
        <v>7</v>
      </c>
      <c r="M50" s="5" t="s">
        <v>7</v>
      </c>
      <c r="N50" t="s">
        <v>8051</v>
      </c>
      <c r="O50" s="4" t="s">
        <v>10264</v>
      </c>
      <c r="P50" s="4" t="s">
        <v>8020</v>
      </c>
      <c r="R50" s="2" t="b">
        <v>0</v>
      </c>
    </row>
    <row r="51" spans="1:18">
      <c r="A51" s="5" t="s">
        <v>2999</v>
      </c>
      <c r="B51" s="5" t="s">
        <v>4098</v>
      </c>
      <c r="C51" s="4" t="s">
        <v>8004</v>
      </c>
      <c r="D51" s="2">
        <v>1</v>
      </c>
      <c r="E51" s="2">
        <v>3</v>
      </c>
      <c r="F51" s="2">
        <v>67</v>
      </c>
      <c r="G51" s="2">
        <v>68</v>
      </c>
      <c r="H51" s="8" cm="1">
        <f t="array" ref="H51">_xlfn.LET(_xlpm.s,IFERROR(--F51,""),_xlpm.e,IFERROR(--G51,""),IF(OR(_xlpm.s="",_xlpm.e="",_xlpm.e&lt;_xlpm.s),"",_xlfn.LET(_xlpm.p,_xlfn.SEQUENCE(_xlpm.e-_xlpm.s+1,1,_xlpm.s,1),SUM(1/COUNTIFS($D:$D,D51,$E:$E,E51,$F:$F,"&lt;&gt;N/A",$G:$G,"&lt;&gt;N/A",$F:$F,"&lt;="&amp;_xlpm.p,$G:$G,"&gt;="&amp;_xlpm.p)))))</f>
        <v>2</v>
      </c>
      <c r="I51" s="3" t="s">
        <v>16</v>
      </c>
      <c r="J51" s="3" t="s">
        <v>53</v>
      </c>
      <c r="K51" s="4" t="s">
        <v>1952</v>
      </c>
      <c r="L51" s="4" t="s">
        <v>7</v>
      </c>
      <c r="M51" s="5" t="s">
        <v>7</v>
      </c>
      <c r="N51" t="s">
        <v>8051</v>
      </c>
      <c r="O51" s="4" t="s">
        <v>10264</v>
      </c>
      <c r="P51" s="4" t="s">
        <v>8020</v>
      </c>
      <c r="R51" s="2" t="b">
        <v>0</v>
      </c>
    </row>
    <row r="52" spans="1:18">
      <c r="A52" s="5" t="s">
        <v>2999</v>
      </c>
      <c r="B52" s="5" t="s">
        <v>4099</v>
      </c>
      <c r="C52" s="4" t="s">
        <v>8004</v>
      </c>
      <c r="D52" s="2">
        <v>1</v>
      </c>
      <c r="E52" s="2">
        <v>3</v>
      </c>
      <c r="F52" s="2">
        <v>69</v>
      </c>
      <c r="G52" s="2">
        <v>78</v>
      </c>
      <c r="H52" s="8" cm="1">
        <f t="array" ref="H52">_xlfn.LET(_xlpm.s,IFERROR(--F52,""),_xlpm.e,IFERROR(--G52,""),IF(OR(_xlpm.s="",_xlpm.e="",_xlpm.e&lt;_xlpm.s),"",_xlfn.LET(_xlpm.p,_xlfn.SEQUENCE(_xlpm.e-_xlpm.s+1,1,_xlpm.s,1),SUM(1/COUNTIFS($D:$D,D52,$E:$E,E52,$F:$F,"&lt;&gt;N/A",$G:$G,"&lt;&gt;N/A",$F:$F,"&lt;="&amp;_xlpm.p,$G:$G,"&gt;="&amp;_xlpm.p)))))</f>
        <v>9.5</v>
      </c>
      <c r="I52" s="3" t="s">
        <v>16</v>
      </c>
      <c r="J52" s="3" t="s">
        <v>71</v>
      </c>
      <c r="K52" s="4" t="s">
        <v>12</v>
      </c>
      <c r="L52" s="4" t="s">
        <v>7</v>
      </c>
      <c r="M52" s="5" t="s">
        <v>7</v>
      </c>
      <c r="N52" s="4" t="s">
        <v>7</v>
      </c>
      <c r="O52" s="4" t="s">
        <v>778</v>
      </c>
      <c r="P52" s="4" t="s">
        <v>7834</v>
      </c>
      <c r="R52" s="2" t="b">
        <v>0</v>
      </c>
    </row>
    <row r="53" spans="1:18">
      <c r="A53" s="5" t="s">
        <v>2999</v>
      </c>
      <c r="B53" s="5" t="s">
        <v>4100</v>
      </c>
      <c r="C53" s="4" t="s">
        <v>8004</v>
      </c>
      <c r="D53" s="2">
        <v>1</v>
      </c>
      <c r="E53" s="2">
        <v>3</v>
      </c>
      <c r="F53" s="2">
        <v>78</v>
      </c>
      <c r="G53" s="2">
        <v>81</v>
      </c>
      <c r="H53" s="8" cm="1">
        <f t="array" ref="H53">_xlfn.LET(_xlpm.s,IFERROR(--F53,""),_xlpm.e,IFERROR(--G53,""),IF(OR(_xlpm.s="",_xlpm.e="",_xlpm.e&lt;_xlpm.s),"",_xlfn.LET(_xlpm.p,_xlfn.SEQUENCE(_xlpm.e-_xlpm.s+1,1,_xlpm.s,1),SUM(1/COUNTIFS($D:$D,D53,$E:$E,E53,$F:$F,"&lt;&gt;N/A",$G:$G,"&lt;&gt;N/A",$F:$F,"&lt;="&amp;_xlpm.p,$G:$G,"&gt;="&amp;_xlpm.p)))))</f>
        <v>3</v>
      </c>
      <c r="I53" s="3" t="s">
        <v>16</v>
      </c>
      <c r="J53" s="3" t="s">
        <v>40</v>
      </c>
      <c r="K53" s="4" t="s">
        <v>162</v>
      </c>
      <c r="L53" s="4" t="s">
        <v>7</v>
      </c>
      <c r="M53" s="5" t="s">
        <v>7</v>
      </c>
      <c r="N53" s="4" t="s">
        <v>7</v>
      </c>
      <c r="O53" s="4" t="s">
        <v>778</v>
      </c>
      <c r="P53" s="4" t="s">
        <v>7834</v>
      </c>
      <c r="R53" s="2" t="b">
        <v>0</v>
      </c>
    </row>
    <row r="54" spans="1:18">
      <c r="A54" s="5" t="s">
        <v>2999</v>
      </c>
      <c r="B54" s="5" t="s">
        <v>4101</v>
      </c>
      <c r="C54" s="4" t="s">
        <v>8004</v>
      </c>
      <c r="D54" s="2">
        <v>1</v>
      </c>
      <c r="E54" s="2">
        <v>3</v>
      </c>
      <c r="F54" s="2">
        <v>81</v>
      </c>
      <c r="G54" s="2">
        <v>85</v>
      </c>
      <c r="H54" s="8" cm="1">
        <f t="array" ref="H54">_xlfn.LET(_xlpm.s,IFERROR(--F54,""),_xlpm.e,IFERROR(--G54,""),IF(OR(_xlpm.s="",_xlpm.e="",_xlpm.e&lt;_xlpm.s),"",_xlfn.LET(_xlpm.p,_xlfn.SEQUENCE(_xlpm.e-_xlpm.s+1,1,_xlpm.s,1),SUM(1/COUNTIFS($D:$D,D54,$E:$E,E54,$F:$F,"&lt;&gt;N/A",$G:$G,"&lt;&gt;N/A",$F:$F,"&lt;="&amp;_xlpm.p,$G:$G,"&gt;="&amp;_xlpm.p)))))</f>
        <v>4</v>
      </c>
      <c r="I54" s="3" t="s">
        <v>30</v>
      </c>
      <c r="J54" s="3" t="s">
        <v>72</v>
      </c>
      <c r="K54" s="4" t="s">
        <v>4495</v>
      </c>
      <c r="L54" s="4" t="s">
        <v>7</v>
      </c>
      <c r="M54" s="5" t="s">
        <v>7</v>
      </c>
      <c r="N54" s="4" t="s">
        <v>2399</v>
      </c>
      <c r="O54" t="s">
        <v>5072</v>
      </c>
      <c r="P54" t="s">
        <v>8019</v>
      </c>
      <c r="R54" s="2" t="b">
        <v>0</v>
      </c>
    </row>
    <row r="55" spans="1:18">
      <c r="A55" s="5" t="s">
        <v>2999</v>
      </c>
      <c r="B55" s="5" t="s">
        <v>4102</v>
      </c>
      <c r="C55" s="4" t="s">
        <v>8004</v>
      </c>
      <c r="D55" s="2">
        <v>1</v>
      </c>
      <c r="E55" s="2">
        <v>3</v>
      </c>
      <c r="F55" s="2">
        <v>85</v>
      </c>
      <c r="G55" s="2">
        <v>88</v>
      </c>
      <c r="H55" s="8" cm="1">
        <f t="array" ref="H55">_xlfn.LET(_xlpm.s,IFERROR(--F55,""),_xlpm.e,IFERROR(--G55,""),IF(OR(_xlpm.s="",_xlpm.e="",_xlpm.e&lt;_xlpm.s),"",_xlfn.LET(_xlpm.p,_xlfn.SEQUENCE(_xlpm.e-_xlpm.s+1,1,_xlpm.s,1),SUM(1/COUNTIFS($D:$D,D55,$E:$E,E55,$F:$F,"&lt;&gt;N/A",$G:$G,"&lt;&gt;N/A",$F:$F,"&lt;="&amp;_xlpm.p,$G:$G,"&gt;="&amp;_xlpm.p)))))</f>
        <v>3</v>
      </c>
      <c r="I55" s="3" t="s">
        <v>30</v>
      </c>
      <c r="J55" s="3" t="s">
        <v>78</v>
      </c>
      <c r="K55" s="4" t="s">
        <v>7</v>
      </c>
      <c r="L55" s="4" t="s">
        <v>7</v>
      </c>
      <c r="M55" s="5" t="s">
        <v>7</v>
      </c>
      <c r="N55" s="4" t="s">
        <v>7</v>
      </c>
      <c r="O55" t="s">
        <v>5072</v>
      </c>
      <c r="P55" t="s">
        <v>8020</v>
      </c>
      <c r="Q55" s="4" t="s">
        <v>2021</v>
      </c>
      <c r="R55" s="2" t="b">
        <v>0</v>
      </c>
    </row>
    <row r="56" spans="1:18">
      <c r="A56" s="5" t="s">
        <v>2999</v>
      </c>
      <c r="B56" s="5" t="s">
        <v>4103</v>
      </c>
      <c r="C56" s="4" t="s">
        <v>8004</v>
      </c>
      <c r="D56" s="2">
        <v>1</v>
      </c>
      <c r="E56" s="2">
        <v>3</v>
      </c>
      <c r="F56" s="2">
        <v>88</v>
      </c>
      <c r="G56" s="2">
        <v>93</v>
      </c>
      <c r="H56" s="8" cm="1">
        <f t="array" ref="H56">_xlfn.LET(_xlpm.s,IFERROR(--F56,""),_xlpm.e,IFERROR(--G56,""),IF(OR(_xlpm.s="",_xlpm.e="",_xlpm.e&lt;_xlpm.s),"",_xlfn.LET(_xlpm.p,_xlfn.SEQUENCE(_xlpm.e-_xlpm.s+1,1,_xlpm.s,1),SUM(1/COUNTIFS($D:$D,D56,$E:$E,E56,$F:$F,"&lt;&gt;N/A",$G:$G,"&lt;&gt;N/A",$F:$F,"&lt;="&amp;_xlpm.p,$G:$G,"&gt;="&amp;_xlpm.p)))))</f>
        <v>5</v>
      </c>
      <c r="I56" s="3" t="s">
        <v>30</v>
      </c>
      <c r="J56" s="3" t="s">
        <v>77</v>
      </c>
      <c r="K56" s="4" t="s">
        <v>7</v>
      </c>
      <c r="L56" s="4" t="s">
        <v>7</v>
      </c>
      <c r="M56" s="5" t="s">
        <v>7</v>
      </c>
      <c r="N56" s="4" t="s">
        <v>7</v>
      </c>
      <c r="O56" t="s">
        <v>5072</v>
      </c>
      <c r="P56" t="s">
        <v>8020</v>
      </c>
      <c r="Q56" s="4" t="s">
        <v>2021</v>
      </c>
      <c r="R56" s="2" t="b">
        <v>0</v>
      </c>
    </row>
    <row r="57" spans="1:18">
      <c r="A57" s="5" t="s">
        <v>2999</v>
      </c>
      <c r="B57" s="5" t="s">
        <v>4104</v>
      </c>
      <c r="C57" s="4" t="s">
        <v>8004</v>
      </c>
      <c r="D57" s="2">
        <v>1</v>
      </c>
      <c r="E57" s="2">
        <v>3</v>
      </c>
      <c r="F57" s="2">
        <v>93</v>
      </c>
      <c r="G57" s="2">
        <v>95</v>
      </c>
      <c r="H57" s="8" cm="1">
        <f t="array" ref="H57">_xlfn.LET(_xlpm.s,IFERROR(--F57,""),_xlpm.e,IFERROR(--G57,""),IF(OR(_xlpm.s="",_xlpm.e="",_xlpm.e&lt;_xlpm.s),"",_xlfn.LET(_xlpm.p,_xlfn.SEQUENCE(_xlpm.e-_xlpm.s+1,1,_xlpm.s,1),SUM(1/COUNTIFS($D:$D,D57,$E:$E,E57,$F:$F,"&lt;&gt;N/A",$G:$G,"&lt;&gt;N/A",$F:$F,"&lt;="&amp;_xlpm.p,$G:$G,"&gt;="&amp;_xlpm.p)))))</f>
        <v>2</v>
      </c>
      <c r="I57" s="3" t="s">
        <v>30</v>
      </c>
      <c r="J57" s="3" t="s">
        <v>76</v>
      </c>
      <c r="K57" s="4" t="s">
        <v>7</v>
      </c>
      <c r="L57" s="4" t="s">
        <v>7</v>
      </c>
      <c r="M57" s="5" t="s">
        <v>7</v>
      </c>
      <c r="N57" s="4" t="s">
        <v>7</v>
      </c>
      <c r="O57" s="4" t="s">
        <v>778</v>
      </c>
      <c r="P57" s="4" t="s">
        <v>7834</v>
      </c>
      <c r="R57" s="2" t="b">
        <v>0</v>
      </c>
    </row>
    <row r="58" spans="1:18">
      <c r="A58" s="5" t="s">
        <v>2999</v>
      </c>
      <c r="B58" s="5" t="s">
        <v>4105</v>
      </c>
      <c r="C58" s="4" t="s">
        <v>8004</v>
      </c>
      <c r="D58" s="2">
        <v>1</v>
      </c>
      <c r="E58" s="2">
        <v>3</v>
      </c>
      <c r="F58" s="2">
        <v>95</v>
      </c>
      <c r="G58" s="2">
        <v>98</v>
      </c>
      <c r="H58" s="8" cm="1">
        <f t="array" ref="H58">_xlfn.LET(_xlpm.s,IFERROR(--F58,""),_xlpm.e,IFERROR(--G58,""),IF(OR(_xlpm.s="",_xlpm.e="",_xlpm.e&lt;_xlpm.s),"",_xlfn.LET(_xlpm.p,_xlfn.SEQUENCE(_xlpm.e-_xlpm.s+1,1,_xlpm.s,1),SUM(1/COUNTIFS($D:$D,D58,$E:$E,E58,$F:$F,"&lt;&gt;N/A",$G:$G,"&lt;&gt;N/A",$F:$F,"&lt;="&amp;_xlpm.p,$G:$G,"&gt;="&amp;_xlpm.p)))))</f>
        <v>3</v>
      </c>
      <c r="I58" s="3" t="s">
        <v>75</v>
      </c>
      <c r="J58" s="3" t="s">
        <v>79</v>
      </c>
      <c r="K58" s="4" t="s">
        <v>7</v>
      </c>
      <c r="L58" s="4" t="s">
        <v>7</v>
      </c>
      <c r="M58" s="5" t="s">
        <v>7</v>
      </c>
      <c r="N58" s="4" t="s">
        <v>7</v>
      </c>
      <c r="O58" s="4" t="s">
        <v>778</v>
      </c>
      <c r="P58" s="4" t="s">
        <v>7834</v>
      </c>
      <c r="R58" s="2" t="b">
        <v>0</v>
      </c>
    </row>
    <row r="59" spans="1:18">
      <c r="A59" s="5" t="s">
        <v>2999</v>
      </c>
      <c r="B59" s="5" t="s">
        <v>4106</v>
      </c>
      <c r="C59" s="4" t="s">
        <v>8004</v>
      </c>
      <c r="D59" s="2">
        <v>1</v>
      </c>
      <c r="E59" s="2">
        <v>3</v>
      </c>
      <c r="F59" s="2">
        <v>98</v>
      </c>
      <c r="G59" s="2">
        <v>100</v>
      </c>
      <c r="H59" s="8" cm="1">
        <f t="array" ref="H59">_xlfn.LET(_xlpm.s,IFERROR(--F59,""),_xlpm.e,IFERROR(--G59,""),IF(OR(_xlpm.s="",_xlpm.e="",_xlpm.e&lt;_xlpm.s),"",_xlfn.LET(_xlpm.p,_xlfn.SEQUENCE(_xlpm.e-_xlpm.s+1,1,_xlpm.s,1),SUM(1/COUNTIFS($D:$D,D59,$E:$E,E59,$F:$F,"&lt;&gt;N/A",$G:$G,"&lt;&gt;N/A",$F:$F,"&lt;="&amp;_xlpm.p,$G:$G,"&gt;="&amp;_xlpm.p)))))</f>
        <v>2</v>
      </c>
      <c r="I59" s="3" t="s">
        <v>75</v>
      </c>
      <c r="J59" s="3" t="s">
        <v>4031</v>
      </c>
      <c r="K59" s="4" t="s">
        <v>7</v>
      </c>
      <c r="L59" s="4" t="s">
        <v>7</v>
      </c>
      <c r="M59" s="5" t="s">
        <v>7</v>
      </c>
      <c r="N59" s="4" t="s">
        <v>7</v>
      </c>
      <c r="O59" s="4" t="s">
        <v>778</v>
      </c>
      <c r="P59" s="4" t="s">
        <v>7834</v>
      </c>
      <c r="R59" s="2" t="b">
        <v>0</v>
      </c>
    </row>
    <row r="60" spans="1:18">
      <c r="A60" s="5" t="s">
        <v>2999</v>
      </c>
      <c r="B60" s="5" t="s">
        <v>4107</v>
      </c>
      <c r="C60" s="4" t="s">
        <v>8004</v>
      </c>
      <c r="D60" s="2">
        <v>1</v>
      </c>
      <c r="E60" s="2">
        <v>3</v>
      </c>
      <c r="F60" s="2">
        <v>100</v>
      </c>
      <c r="G60" s="2">
        <v>105</v>
      </c>
      <c r="H60" s="8" cm="1">
        <f t="array" ref="H60">_xlfn.LET(_xlpm.s,IFERROR(--F60,""),_xlpm.e,IFERROR(--G60,""),IF(OR(_xlpm.s="",_xlpm.e="",_xlpm.e&lt;_xlpm.s),"",_xlfn.LET(_xlpm.p,_xlfn.SEQUENCE(_xlpm.e-_xlpm.s+1,1,_xlpm.s,1),SUM(1/COUNTIFS($D:$D,D60,$E:$E,E60,$F:$F,"&lt;&gt;N/A",$G:$G,"&lt;&gt;N/A",$F:$F,"&lt;="&amp;_xlpm.p,$G:$G,"&gt;="&amp;_xlpm.p)))))</f>
        <v>5</v>
      </c>
      <c r="I60" s="3" t="s">
        <v>75</v>
      </c>
      <c r="J60" s="3" t="s">
        <v>80</v>
      </c>
      <c r="K60" s="4" t="s">
        <v>7</v>
      </c>
      <c r="L60" s="4" t="s">
        <v>7</v>
      </c>
      <c r="M60" s="5" t="s">
        <v>7</v>
      </c>
      <c r="N60" s="4" t="s">
        <v>7</v>
      </c>
      <c r="O60" s="4" t="s">
        <v>778</v>
      </c>
      <c r="P60" s="4" t="s">
        <v>7834</v>
      </c>
      <c r="R60" s="2" t="b">
        <v>0</v>
      </c>
    </row>
    <row r="61" spans="1:18">
      <c r="A61" s="5" t="s">
        <v>2999</v>
      </c>
      <c r="B61" s="5" t="s">
        <v>4108</v>
      </c>
      <c r="C61" s="4" t="s">
        <v>8004</v>
      </c>
      <c r="D61" s="2">
        <v>1</v>
      </c>
      <c r="E61" s="2">
        <v>3</v>
      </c>
      <c r="F61" s="2">
        <v>105</v>
      </c>
      <c r="G61" s="2">
        <v>106</v>
      </c>
      <c r="H61" s="8" cm="1">
        <f t="array" ref="H61">_xlfn.LET(_xlpm.s,IFERROR(--F61,""),_xlpm.e,IFERROR(--G61,""),IF(OR(_xlpm.s="",_xlpm.e="",_xlpm.e&lt;_xlpm.s),"",_xlfn.LET(_xlpm.p,_xlfn.SEQUENCE(_xlpm.e-_xlpm.s+1,1,_xlpm.s,1),SUM(1/COUNTIFS($D:$D,D61,$E:$E,E61,$F:$F,"&lt;&gt;N/A",$G:$G,"&lt;&gt;N/A",$F:$F,"&lt;="&amp;_xlpm.p,$G:$G,"&gt;="&amp;_xlpm.p)))))</f>
        <v>1</v>
      </c>
      <c r="I61" s="3" t="s">
        <v>75</v>
      </c>
      <c r="J61" s="3" t="s">
        <v>2400</v>
      </c>
      <c r="K61" s="4" t="s">
        <v>7</v>
      </c>
      <c r="L61" s="4" t="s">
        <v>7</v>
      </c>
      <c r="M61" s="5" t="s">
        <v>7</v>
      </c>
      <c r="N61" s="4" t="s">
        <v>7</v>
      </c>
      <c r="O61" s="4" t="s">
        <v>778</v>
      </c>
      <c r="P61" s="4" t="s">
        <v>7834</v>
      </c>
      <c r="R61" s="2" t="b">
        <v>0</v>
      </c>
    </row>
    <row r="62" spans="1:18">
      <c r="A62" s="5" t="s">
        <v>2999</v>
      </c>
      <c r="B62" s="5" t="s">
        <v>4109</v>
      </c>
      <c r="C62" s="4" t="s">
        <v>8004</v>
      </c>
      <c r="D62" s="2">
        <v>1</v>
      </c>
      <c r="E62" s="2">
        <v>3</v>
      </c>
      <c r="F62" s="2">
        <v>106</v>
      </c>
      <c r="G62" s="2">
        <v>108</v>
      </c>
      <c r="H62" s="8" cm="1">
        <f t="array" ref="H62">_xlfn.LET(_xlpm.s,IFERROR(--F62,""),_xlpm.e,IFERROR(--G62,""),IF(OR(_xlpm.s="",_xlpm.e="",_xlpm.e&lt;_xlpm.s),"",_xlfn.LET(_xlpm.p,_xlfn.SEQUENCE(_xlpm.e-_xlpm.s+1,1,_xlpm.s,1),SUM(1/COUNTIFS($D:$D,D62,$E:$E,E62,$F:$F,"&lt;&gt;N/A",$G:$G,"&lt;&gt;N/A",$F:$F,"&lt;="&amp;_xlpm.p,$G:$G,"&gt;="&amp;_xlpm.p)))))</f>
        <v>2</v>
      </c>
      <c r="I62" s="3" t="s">
        <v>75</v>
      </c>
      <c r="J62" s="3" t="s">
        <v>10791</v>
      </c>
      <c r="K62" s="4" t="s">
        <v>7</v>
      </c>
      <c r="L62" s="4" t="s">
        <v>4489</v>
      </c>
      <c r="M62" s="5" t="s">
        <v>7</v>
      </c>
      <c r="N62" s="4" t="s">
        <v>7</v>
      </c>
      <c r="O62" s="4" t="s">
        <v>11522</v>
      </c>
      <c r="P62" t="s">
        <v>8019</v>
      </c>
      <c r="Q62" s="4" t="s">
        <v>10792</v>
      </c>
      <c r="R62" s="2" t="b">
        <v>0</v>
      </c>
    </row>
    <row r="63" spans="1:18">
      <c r="A63" s="5" t="s">
        <v>2999</v>
      </c>
      <c r="B63" s="5" t="s">
        <v>4110</v>
      </c>
      <c r="C63" s="4" t="s">
        <v>8004</v>
      </c>
      <c r="D63" s="2">
        <v>1</v>
      </c>
      <c r="E63" s="2">
        <v>3</v>
      </c>
      <c r="F63" s="2">
        <v>108</v>
      </c>
      <c r="G63" s="2">
        <v>110</v>
      </c>
      <c r="H63" s="8" cm="1">
        <f t="array" ref="H63">_xlfn.LET(_xlpm.s,IFERROR(--F63,""),_xlpm.e,IFERROR(--G63,""),IF(OR(_xlpm.s="",_xlpm.e="",_xlpm.e&lt;_xlpm.s),"",_xlfn.LET(_xlpm.p,_xlfn.SEQUENCE(_xlpm.e-_xlpm.s+1,1,_xlpm.s,1),SUM(1/COUNTIFS($D:$D,D63,$E:$E,E63,$F:$F,"&lt;&gt;N/A",$G:$G,"&lt;&gt;N/A",$F:$F,"&lt;="&amp;_xlpm.p,$G:$G,"&gt;="&amp;_xlpm.p)))))</f>
        <v>2.5</v>
      </c>
      <c r="I63" s="3" t="s">
        <v>75</v>
      </c>
      <c r="J63" s="3" t="s">
        <v>121</v>
      </c>
      <c r="K63" s="4" t="s">
        <v>7</v>
      </c>
      <c r="L63" s="4" t="s">
        <v>7</v>
      </c>
      <c r="M63" s="5" t="s">
        <v>7</v>
      </c>
      <c r="N63" s="4" t="s">
        <v>7</v>
      </c>
      <c r="O63" s="4" t="s">
        <v>778</v>
      </c>
      <c r="P63" s="4" t="s">
        <v>7834</v>
      </c>
      <c r="Q63" s="4" t="s">
        <v>2025</v>
      </c>
      <c r="R63" s="2" t="b">
        <v>0</v>
      </c>
    </row>
    <row r="64" spans="1:18">
      <c r="A64" s="5" t="s">
        <v>2999</v>
      </c>
      <c r="B64" s="5" t="s">
        <v>4111</v>
      </c>
      <c r="C64" s="4" t="s">
        <v>8004</v>
      </c>
      <c r="D64" s="2">
        <v>1</v>
      </c>
      <c r="E64" s="2">
        <v>3</v>
      </c>
      <c r="F64" s="2">
        <v>111</v>
      </c>
      <c r="G64" s="2">
        <v>112</v>
      </c>
      <c r="H64" s="8" cm="1">
        <f t="array" ref="H64">_xlfn.LET(_xlpm.s,IFERROR(--F64,""),_xlpm.e,IFERROR(--G64,""),IF(OR(_xlpm.s="",_xlpm.e="",_xlpm.e&lt;_xlpm.s),"",_xlfn.LET(_xlpm.p,_xlfn.SEQUENCE(_xlpm.e-_xlpm.s+1,1,_xlpm.s,1),SUM(1/COUNTIFS($D:$D,D64,$E:$E,E64,$F:$F,"&lt;&gt;N/A",$G:$G,"&lt;&gt;N/A",$F:$F,"&lt;="&amp;_xlpm.p,$G:$G,"&gt;="&amp;_xlpm.p)))))</f>
        <v>2</v>
      </c>
      <c r="I64" s="3" t="s">
        <v>75</v>
      </c>
      <c r="J64" s="3" t="s">
        <v>2526</v>
      </c>
      <c r="K64" s="4" t="s">
        <v>7</v>
      </c>
      <c r="L64" s="4" t="s">
        <v>7</v>
      </c>
      <c r="M64" s="5" t="s">
        <v>7</v>
      </c>
      <c r="N64" s="4" t="s">
        <v>7</v>
      </c>
      <c r="O64" s="4" t="s">
        <v>778</v>
      </c>
      <c r="P64" s="4" t="s">
        <v>7834</v>
      </c>
      <c r="Q64" s="4" t="s">
        <v>1956</v>
      </c>
      <c r="R64" s="2" t="b">
        <v>0</v>
      </c>
    </row>
    <row r="65" spans="1:18">
      <c r="A65" s="5" t="s">
        <v>2999</v>
      </c>
      <c r="B65" s="5" t="s">
        <v>4112</v>
      </c>
      <c r="C65" s="4" t="s">
        <v>8004</v>
      </c>
      <c r="D65" s="2">
        <v>1</v>
      </c>
      <c r="E65" s="2">
        <v>3</v>
      </c>
      <c r="F65" s="2">
        <v>113</v>
      </c>
      <c r="G65" s="2">
        <v>113</v>
      </c>
      <c r="H65" s="8" cm="1">
        <f t="array" ref="H65">_xlfn.LET(_xlpm.s,IFERROR(--F65,""),_xlpm.e,IFERROR(--G65,""),IF(OR(_xlpm.s="",_xlpm.e="",_xlpm.e&lt;_xlpm.s),"",_xlfn.LET(_xlpm.p,_xlfn.SEQUENCE(_xlpm.e-_xlpm.s+1,1,_xlpm.s,1),SUM(1/COUNTIFS($D:$D,D65,$E:$E,E65,$F:$F,"&lt;&gt;N/A",$G:$G,"&lt;&gt;N/A",$F:$F,"&lt;="&amp;_xlpm.p,$G:$G,"&gt;="&amp;_xlpm.p)))))</f>
        <v>1</v>
      </c>
      <c r="I65" s="3" t="s">
        <v>75</v>
      </c>
      <c r="J65" s="3" t="s">
        <v>73</v>
      </c>
      <c r="K65" s="4" t="s">
        <v>7</v>
      </c>
      <c r="L65" s="4" t="s">
        <v>7</v>
      </c>
      <c r="M65" s="5" t="s">
        <v>7</v>
      </c>
      <c r="N65" s="4" t="s">
        <v>7</v>
      </c>
      <c r="O65" s="4" t="s">
        <v>778</v>
      </c>
      <c r="P65" s="4" t="s">
        <v>7834</v>
      </c>
      <c r="Q65" s="4" t="s">
        <v>1955</v>
      </c>
      <c r="R65" s="2" t="b">
        <v>0</v>
      </c>
    </row>
    <row r="66" spans="1:18">
      <c r="A66" s="5" t="s">
        <v>2999</v>
      </c>
      <c r="B66" s="5" t="s">
        <v>4113</v>
      </c>
      <c r="C66" s="4" t="s">
        <v>8005</v>
      </c>
      <c r="D66" s="2">
        <v>1</v>
      </c>
      <c r="E66" s="2">
        <v>4</v>
      </c>
      <c r="F66" s="2">
        <v>3</v>
      </c>
      <c r="G66" s="2">
        <v>5</v>
      </c>
      <c r="H66" s="8" cm="1">
        <f t="array" ref="H66">_xlfn.LET(_xlpm.s,IFERROR(--F66,""),_xlpm.e,IFERROR(--G66,""),IF(OR(_xlpm.s="",_xlpm.e="",_xlpm.e&lt;_xlpm.s),"",_xlfn.LET(_xlpm.p,_xlfn.SEQUENCE(_xlpm.e-_xlpm.s+1,1,_xlpm.s,1),SUM(1/COUNTIFS($D:$D,D66,$E:$E,E66,$F:$F,"&lt;&gt;N/A",$G:$G,"&lt;&gt;N/A",$F:$F,"&lt;="&amp;_xlpm.p,$G:$G,"&gt;="&amp;_xlpm.p)))))</f>
        <v>2.5</v>
      </c>
      <c r="I66" s="3" t="s">
        <v>16</v>
      </c>
      <c r="J66" s="3" t="s">
        <v>81</v>
      </c>
      <c r="K66" s="4" t="s">
        <v>1233</v>
      </c>
      <c r="L66" s="4" t="s">
        <v>7</v>
      </c>
      <c r="M66" s="5" t="s">
        <v>7</v>
      </c>
      <c r="N66" s="4" t="s">
        <v>7</v>
      </c>
      <c r="O66" s="4" t="s">
        <v>778</v>
      </c>
      <c r="P66" s="4" t="s">
        <v>7834</v>
      </c>
      <c r="Q66" t="s">
        <v>2404</v>
      </c>
      <c r="R66" s="2" t="b">
        <v>0</v>
      </c>
    </row>
    <row r="67" spans="1:18">
      <c r="A67" s="5" t="s">
        <v>2999</v>
      </c>
      <c r="B67" s="5" t="s">
        <v>4114</v>
      </c>
      <c r="C67" s="4" t="s">
        <v>8005</v>
      </c>
      <c r="D67" s="2">
        <v>1</v>
      </c>
      <c r="E67" s="2">
        <v>4</v>
      </c>
      <c r="F67" s="2">
        <v>5</v>
      </c>
      <c r="G67" s="2">
        <v>8</v>
      </c>
      <c r="H67" s="8" cm="1">
        <f t="array" ref="H67">_xlfn.LET(_xlpm.s,IFERROR(--F67,""),_xlpm.e,IFERROR(--G67,""),IF(OR(_xlpm.s="",_xlpm.e="",_xlpm.e&lt;_xlpm.s),"",_xlfn.LET(_xlpm.p,_xlfn.SEQUENCE(_xlpm.e-_xlpm.s+1,1,_xlpm.s,1),SUM(1/COUNTIFS($D:$D,D67,$E:$E,E67,$F:$F,"&lt;&gt;N/A",$G:$G,"&lt;&gt;N/A",$F:$F,"&lt;="&amp;_xlpm.p,$G:$G,"&gt;="&amp;_xlpm.p)))))</f>
        <v>3</v>
      </c>
      <c r="I67" s="3" t="s">
        <v>16</v>
      </c>
      <c r="J67" s="3" t="s">
        <v>82</v>
      </c>
      <c r="K67" s="4" t="s">
        <v>12</v>
      </c>
      <c r="L67" s="4" t="s">
        <v>7</v>
      </c>
      <c r="M67" s="5" t="s">
        <v>7</v>
      </c>
      <c r="N67" s="4" t="s">
        <v>7</v>
      </c>
      <c r="O67" s="4" t="s">
        <v>778</v>
      </c>
      <c r="P67" s="4" t="s">
        <v>7834</v>
      </c>
      <c r="Q67" t="s">
        <v>2404</v>
      </c>
      <c r="R67" s="2" t="b">
        <v>0</v>
      </c>
    </row>
    <row r="68" spans="1:18">
      <c r="A68" s="5" t="s">
        <v>2999</v>
      </c>
      <c r="B68" s="5" t="s">
        <v>4115</v>
      </c>
      <c r="C68" s="4" t="s">
        <v>8005</v>
      </c>
      <c r="D68" s="2">
        <v>1</v>
      </c>
      <c r="E68" s="2">
        <v>4</v>
      </c>
      <c r="F68" s="2">
        <v>8</v>
      </c>
      <c r="G68" s="2">
        <v>9</v>
      </c>
      <c r="H68" s="8" cm="1">
        <f t="array" ref="H68">_xlfn.LET(_xlpm.s,IFERROR(--F68,""),_xlpm.e,IFERROR(--G68,""),IF(OR(_xlpm.s="",_xlpm.e="",_xlpm.e&lt;_xlpm.s),"",_xlfn.LET(_xlpm.p,_xlfn.SEQUENCE(_xlpm.e-_xlpm.s+1,1,_xlpm.s,1),SUM(1/COUNTIFS($D:$D,D68,$E:$E,E68,$F:$F,"&lt;&gt;N/A",$G:$G,"&lt;&gt;N/A",$F:$F,"&lt;="&amp;_xlpm.p,$G:$G,"&gt;="&amp;_xlpm.p)))))</f>
        <v>1.5</v>
      </c>
      <c r="I68" s="3" t="s">
        <v>16</v>
      </c>
      <c r="J68" s="3" t="s">
        <v>83</v>
      </c>
      <c r="K68" s="4" t="s">
        <v>4496</v>
      </c>
      <c r="L68" s="4" t="s">
        <v>7</v>
      </c>
      <c r="M68" s="5" t="s">
        <v>7</v>
      </c>
      <c r="N68" s="4" t="s">
        <v>7</v>
      </c>
      <c r="O68" s="4" t="s">
        <v>778</v>
      </c>
      <c r="P68" s="4" t="s">
        <v>7834</v>
      </c>
      <c r="Q68" s="4" t="s">
        <v>1954</v>
      </c>
      <c r="R68" s="2" t="b">
        <v>0</v>
      </c>
    </row>
    <row r="69" spans="1:18">
      <c r="A69" s="5" t="s">
        <v>2999</v>
      </c>
      <c r="B69" s="5" t="s">
        <v>4116</v>
      </c>
      <c r="C69" s="4" t="s">
        <v>8005</v>
      </c>
      <c r="D69" s="2">
        <v>1</v>
      </c>
      <c r="E69" s="2">
        <v>4</v>
      </c>
      <c r="F69" s="2">
        <v>10</v>
      </c>
      <c r="G69" s="2">
        <v>10</v>
      </c>
      <c r="H69" s="8" cm="1">
        <f t="array" ref="H69">_xlfn.LET(_xlpm.s,IFERROR(--F69,""),_xlpm.e,IFERROR(--G69,""),IF(OR(_xlpm.s="",_xlpm.e="",_xlpm.e&lt;_xlpm.s),"",_xlfn.LET(_xlpm.p,_xlfn.SEQUENCE(_xlpm.e-_xlpm.s+1,1,_xlpm.s,1),SUM(1/COUNTIFS($D:$D,D69,$E:$E,E69,$F:$F,"&lt;&gt;N/A",$G:$G,"&lt;&gt;N/A",$F:$F,"&lt;="&amp;_xlpm.p,$G:$G,"&gt;="&amp;_xlpm.p)))))</f>
        <v>1</v>
      </c>
      <c r="I69" s="3" t="s">
        <v>16</v>
      </c>
      <c r="J69" s="3" t="s">
        <v>84</v>
      </c>
      <c r="K69" s="4" t="s">
        <v>1952</v>
      </c>
      <c r="L69" s="4" t="s">
        <v>7</v>
      </c>
      <c r="M69" s="5" t="s">
        <v>7</v>
      </c>
      <c r="N69" t="s">
        <v>2402</v>
      </c>
      <c r="O69" s="4" t="s">
        <v>10264</v>
      </c>
      <c r="P69" s="4" t="s">
        <v>8020</v>
      </c>
      <c r="R69" s="2" t="b">
        <v>0</v>
      </c>
    </row>
    <row r="70" spans="1:18">
      <c r="A70" s="5" t="s">
        <v>2999</v>
      </c>
      <c r="B70" s="5" t="s">
        <v>4117</v>
      </c>
      <c r="C70" s="4" t="s">
        <v>8005</v>
      </c>
      <c r="D70" s="2">
        <v>1</v>
      </c>
      <c r="E70" s="2">
        <v>4</v>
      </c>
      <c r="F70" s="2">
        <v>11</v>
      </c>
      <c r="G70" s="2">
        <v>20</v>
      </c>
      <c r="H70" s="8" cm="1">
        <f t="array" ref="H70">_xlfn.LET(_xlpm.s,IFERROR(--F70,""),_xlpm.e,IFERROR(--G70,""),IF(OR(_xlpm.s="",_xlpm.e="",_xlpm.e&lt;_xlpm.s),"",_xlfn.LET(_xlpm.p,_xlfn.SEQUENCE(_xlpm.e-_xlpm.s+1,1,_xlpm.s,1),SUM(1/COUNTIFS($D:$D,D70,$E:$E,E70,$F:$F,"&lt;&gt;N/A",$G:$G,"&lt;&gt;N/A",$F:$F,"&lt;="&amp;_xlpm.p,$G:$G,"&gt;="&amp;_xlpm.p)))))</f>
        <v>10</v>
      </c>
      <c r="I70" s="3" t="s">
        <v>16</v>
      </c>
      <c r="J70" s="3" t="s">
        <v>4032</v>
      </c>
      <c r="K70" s="4" t="s">
        <v>4497</v>
      </c>
      <c r="L70" s="4" t="s">
        <v>7</v>
      </c>
      <c r="M70" s="5" t="s">
        <v>7</v>
      </c>
      <c r="N70" s="4" t="s">
        <v>7</v>
      </c>
      <c r="O70" s="4" t="s">
        <v>778</v>
      </c>
      <c r="P70" s="4" t="s">
        <v>7834</v>
      </c>
      <c r="R70" s="2" t="b">
        <v>0</v>
      </c>
    </row>
    <row r="71" spans="1:18">
      <c r="A71" s="5" t="s">
        <v>2999</v>
      </c>
      <c r="B71" s="5" t="s">
        <v>4118</v>
      </c>
      <c r="C71" s="4" t="s">
        <v>8005</v>
      </c>
      <c r="D71" s="2">
        <v>1</v>
      </c>
      <c r="E71" s="2">
        <v>4</v>
      </c>
      <c r="F71" s="2">
        <v>21</v>
      </c>
      <c r="G71" s="2">
        <v>29</v>
      </c>
      <c r="H71" s="8" cm="1">
        <f t="array" ref="H71">_xlfn.LET(_xlpm.s,IFERROR(--F71,""),_xlpm.e,IFERROR(--G71,""),IF(OR(_xlpm.s="",_xlpm.e="",_xlpm.e&lt;_xlpm.s),"",_xlfn.LET(_xlpm.p,_xlfn.SEQUENCE(_xlpm.e-_xlpm.s+1,1,_xlpm.s,1),SUM(1/COUNTIFS($D:$D,D71,$E:$E,E71,$F:$F,"&lt;&gt;N/A",$G:$G,"&lt;&gt;N/A",$F:$F,"&lt;="&amp;_xlpm.p,$G:$G,"&gt;="&amp;_xlpm.p)))))</f>
        <v>8.5</v>
      </c>
      <c r="I71" s="3" t="s">
        <v>85</v>
      </c>
      <c r="J71" s="3" t="s">
        <v>4033</v>
      </c>
      <c r="K71" t="s">
        <v>595</v>
      </c>
      <c r="L71" s="4" t="s">
        <v>7</v>
      </c>
      <c r="M71" s="5" t="s">
        <v>7</v>
      </c>
      <c r="N71" s="4" t="s">
        <v>7</v>
      </c>
      <c r="O71" s="4" t="s">
        <v>778</v>
      </c>
      <c r="P71" s="4" t="s">
        <v>7834</v>
      </c>
      <c r="Q71" s="4" t="s">
        <v>1953</v>
      </c>
      <c r="R71" s="2" t="b">
        <v>0</v>
      </c>
    </row>
    <row r="72" spans="1:18">
      <c r="A72" s="5" t="s">
        <v>2999</v>
      </c>
      <c r="B72" s="5" t="s">
        <v>4119</v>
      </c>
      <c r="C72" s="4" t="s">
        <v>8005</v>
      </c>
      <c r="D72" s="2">
        <v>1</v>
      </c>
      <c r="E72" s="2">
        <v>4</v>
      </c>
      <c r="F72" s="2">
        <v>29</v>
      </c>
      <c r="G72" s="2">
        <v>39</v>
      </c>
      <c r="H72" s="8" cm="1">
        <f t="array" ref="H72">_xlfn.LET(_xlpm.s,IFERROR(--F72,""),_xlpm.e,IFERROR(--G72,""),IF(OR(_xlpm.s="",_xlpm.e="",_xlpm.e&lt;_xlpm.s),"",_xlfn.LET(_xlpm.p,_xlfn.SEQUENCE(_xlpm.e-_xlpm.s+1,1,_xlpm.s,1),SUM(1/COUNTIFS($D:$D,D72,$E:$E,E72,$F:$F,"&lt;&gt;N/A",$G:$G,"&lt;&gt;N/A",$F:$F,"&lt;="&amp;_xlpm.p,$G:$G,"&gt;="&amp;_xlpm.p)))))</f>
        <v>10.5</v>
      </c>
      <c r="I72" s="3" t="s">
        <v>86</v>
      </c>
      <c r="J72" s="3" t="s">
        <v>87</v>
      </c>
      <c r="K72" s="4" t="s">
        <v>7</v>
      </c>
      <c r="L72" s="4" t="s">
        <v>7</v>
      </c>
      <c r="M72" s="5" t="s">
        <v>7</v>
      </c>
      <c r="N72" s="4" t="s">
        <v>2403</v>
      </c>
      <c r="O72" s="4" t="s">
        <v>10264</v>
      </c>
      <c r="P72" s="4" t="s">
        <v>8020</v>
      </c>
      <c r="R72" s="2" t="b">
        <v>0</v>
      </c>
    </row>
    <row r="73" spans="1:18">
      <c r="A73" s="5" t="s">
        <v>2999</v>
      </c>
      <c r="B73" s="5" t="s">
        <v>4120</v>
      </c>
      <c r="C73" s="4" t="s">
        <v>8005</v>
      </c>
      <c r="D73" s="2">
        <v>1</v>
      </c>
      <c r="E73" s="2">
        <v>4</v>
      </c>
      <c r="F73" s="2">
        <v>40</v>
      </c>
      <c r="G73" s="2">
        <v>68</v>
      </c>
      <c r="H73" s="8" cm="1">
        <f t="array" ref="H73">_xlfn.LET(_xlpm.s,IFERROR(--F73,""),_xlpm.e,IFERROR(--G73,""),IF(OR(_xlpm.s="",_xlpm.e="",_xlpm.e&lt;_xlpm.s),"",_xlfn.LET(_xlpm.p,_xlfn.SEQUENCE(_xlpm.e-_xlpm.s+1,1,_xlpm.s,1),SUM(1/COUNTIFS($D:$D,D73,$E:$E,E73,$F:$F,"&lt;&gt;N/A",$G:$G,"&lt;&gt;N/A",$F:$F,"&lt;="&amp;_xlpm.p,$G:$G,"&gt;="&amp;_xlpm.p)))))</f>
        <v>28.5</v>
      </c>
      <c r="I73" s="3" t="s">
        <v>54</v>
      </c>
      <c r="J73" s="3" t="s">
        <v>3202</v>
      </c>
      <c r="K73" s="4" t="s">
        <v>156</v>
      </c>
      <c r="L73" s="4" t="s">
        <v>7</v>
      </c>
      <c r="M73" s="5" t="s">
        <v>7</v>
      </c>
      <c r="N73" s="4" t="s">
        <v>7</v>
      </c>
      <c r="O73" s="4" t="s">
        <v>778</v>
      </c>
      <c r="P73" s="4" t="s">
        <v>7834</v>
      </c>
      <c r="R73" s="2" t="b">
        <v>0</v>
      </c>
    </row>
    <row r="74" spans="1:18">
      <c r="A74" s="5" t="s">
        <v>2999</v>
      </c>
      <c r="B74" s="5" t="s">
        <v>4121</v>
      </c>
      <c r="C74" s="4" t="s">
        <v>8005</v>
      </c>
      <c r="D74" s="2">
        <v>1</v>
      </c>
      <c r="E74" s="2">
        <v>4</v>
      </c>
      <c r="F74" s="2">
        <v>68</v>
      </c>
      <c r="G74" s="2">
        <v>81</v>
      </c>
      <c r="H74" s="8" cm="1">
        <f t="array" ref="H74">_xlfn.LET(_xlpm.s,IFERROR(--F74,""),_xlpm.e,IFERROR(--G74,""),IF(OR(_xlpm.s="",_xlpm.e="",_xlpm.e&lt;_xlpm.s),"",_xlfn.LET(_xlpm.p,_xlfn.SEQUENCE(_xlpm.e-_xlpm.s+1,1,_xlpm.s,1),SUM(1/COUNTIFS($D:$D,D74,$E:$E,E74,$F:$F,"&lt;&gt;N/A",$G:$G,"&lt;&gt;N/A",$F:$F,"&lt;="&amp;_xlpm.p,$G:$G,"&gt;="&amp;_xlpm.p)))))</f>
        <v>13</v>
      </c>
      <c r="I74" s="3" t="s">
        <v>2</v>
      </c>
      <c r="J74" s="3" t="s">
        <v>88</v>
      </c>
      <c r="K74" s="4" t="s">
        <v>12</v>
      </c>
      <c r="L74" s="5" t="s">
        <v>7</v>
      </c>
      <c r="M74" s="5" t="s">
        <v>7</v>
      </c>
      <c r="N74" s="4" t="s">
        <v>7</v>
      </c>
      <c r="O74" s="4" t="s">
        <v>778</v>
      </c>
      <c r="P74" s="4" t="s">
        <v>7834</v>
      </c>
      <c r="Q74" s="4" t="s">
        <v>2732</v>
      </c>
      <c r="R74" s="2" t="b">
        <v>1</v>
      </c>
    </row>
    <row r="75" spans="1:18">
      <c r="A75" s="5" t="s">
        <v>2999</v>
      </c>
      <c r="B75" s="5" t="s">
        <v>4122</v>
      </c>
      <c r="C75" s="4" t="s">
        <v>8005</v>
      </c>
      <c r="D75" s="2">
        <v>1</v>
      </c>
      <c r="E75" s="2">
        <v>4</v>
      </c>
      <c r="F75" s="2">
        <v>81</v>
      </c>
      <c r="G75" s="2">
        <v>83</v>
      </c>
      <c r="H75" s="8" cm="1">
        <f t="array" ref="H75">_xlfn.LET(_xlpm.s,IFERROR(--F75,""),_xlpm.e,IFERROR(--G75,""),IF(OR(_xlpm.s="",_xlpm.e="",_xlpm.e&lt;_xlpm.s),"",_xlfn.LET(_xlpm.p,_xlfn.SEQUENCE(_xlpm.e-_xlpm.s+1,1,_xlpm.s,1),SUM(1/COUNTIFS($D:$D,D75,$E:$E,E75,$F:$F,"&lt;&gt;N/A",$G:$G,"&lt;&gt;N/A",$F:$F,"&lt;="&amp;_xlpm.p,$G:$G,"&gt;="&amp;_xlpm.p)))))</f>
        <v>2.5</v>
      </c>
      <c r="I75" s="3" t="s">
        <v>74</v>
      </c>
      <c r="J75" s="3" t="s">
        <v>2527</v>
      </c>
      <c r="K75" s="4" t="s">
        <v>7</v>
      </c>
      <c r="L75" s="4" t="s">
        <v>7</v>
      </c>
      <c r="M75" s="5" t="s">
        <v>7</v>
      </c>
      <c r="N75" s="4" t="s">
        <v>7</v>
      </c>
      <c r="O75" s="4" t="s">
        <v>778</v>
      </c>
      <c r="P75" s="4" t="s">
        <v>7834</v>
      </c>
      <c r="Q75" t="s">
        <v>1961</v>
      </c>
      <c r="R75" s="2" t="b">
        <v>0</v>
      </c>
    </row>
    <row r="76" spans="1:18">
      <c r="A76" s="5" t="s">
        <v>2999</v>
      </c>
      <c r="B76" s="5" t="s">
        <v>4123</v>
      </c>
      <c r="C76" s="4" t="s">
        <v>8005</v>
      </c>
      <c r="D76" s="2">
        <v>1</v>
      </c>
      <c r="E76" s="2">
        <v>4</v>
      </c>
      <c r="F76" s="2">
        <v>84</v>
      </c>
      <c r="G76" s="2">
        <v>86</v>
      </c>
      <c r="H76" s="8" cm="1">
        <f t="array" ref="H76">_xlfn.LET(_xlpm.s,IFERROR(--F76,""),_xlpm.e,IFERROR(--G76,""),IF(OR(_xlpm.s="",_xlpm.e="",_xlpm.e&lt;_xlpm.s),"",_xlfn.LET(_xlpm.p,_xlfn.SEQUENCE(_xlpm.e-_xlpm.s+1,1,_xlpm.s,1),SUM(1/COUNTIFS($D:$D,D76,$E:$E,E76,$F:$F,"&lt;&gt;N/A",$G:$G,"&lt;&gt;N/A",$F:$F,"&lt;="&amp;_xlpm.p,$G:$G,"&gt;="&amp;_xlpm.p)))))</f>
        <v>3</v>
      </c>
      <c r="I76" s="3" t="s">
        <v>30</v>
      </c>
      <c r="J76" s="3" t="s">
        <v>89</v>
      </c>
      <c r="K76" s="4" t="s">
        <v>7</v>
      </c>
      <c r="L76" s="4" t="s">
        <v>7</v>
      </c>
      <c r="M76" s="5" t="s">
        <v>7</v>
      </c>
      <c r="N76" s="4" t="s">
        <v>7</v>
      </c>
      <c r="O76" s="4" t="s">
        <v>5072</v>
      </c>
      <c r="P76" s="4" t="s">
        <v>8020</v>
      </c>
      <c r="Q76" s="4" t="s">
        <v>1963</v>
      </c>
      <c r="R76" s="2" t="b">
        <v>0</v>
      </c>
    </row>
    <row r="77" spans="1:18">
      <c r="A77" s="5" t="s">
        <v>2999</v>
      </c>
      <c r="B77" s="5" t="s">
        <v>4124</v>
      </c>
      <c r="C77" s="4" t="s">
        <v>8005</v>
      </c>
      <c r="D77" s="2">
        <v>1</v>
      </c>
      <c r="E77" s="2">
        <v>4</v>
      </c>
      <c r="F77" s="2">
        <v>87</v>
      </c>
      <c r="G77" s="2">
        <v>89</v>
      </c>
      <c r="H77" s="8" cm="1">
        <f t="array" ref="H77">_xlfn.LET(_xlpm.s,IFERROR(--F77,""),_xlpm.e,IFERROR(--G77,""),IF(OR(_xlpm.s="",_xlpm.e="",_xlpm.e&lt;_xlpm.s),"",_xlfn.LET(_xlpm.p,_xlfn.SEQUENCE(_xlpm.e-_xlpm.s+1,1,_xlpm.s,1),SUM(1/COUNTIFS($D:$D,D77,$E:$E,E77,$F:$F,"&lt;&gt;N/A",$G:$G,"&lt;&gt;N/A",$F:$F,"&lt;="&amp;_xlpm.p,$G:$G,"&gt;="&amp;_xlpm.p)))))</f>
        <v>2.5</v>
      </c>
      <c r="I77" s="3" t="s">
        <v>30</v>
      </c>
      <c r="J77" s="3" t="s">
        <v>10173</v>
      </c>
      <c r="K77" s="4" t="s">
        <v>7</v>
      </c>
      <c r="L77" s="4" t="s">
        <v>7</v>
      </c>
      <c r="M77" s="5" t="s">
        <v>7</v>
      </c>
      <c r="N77" s="4" t="s">
        <v>7</v>
      </c>
      <c r="O77" s="4" t="s">
        <v>5072</v>
      </c>
      <c r="P77" s="4" t="s">
        <v>8036</v>
      </c>
      <c r="Q77" s="4" t="s">
        <v>1962</v>
      </c>
      <c r="R77" s="2" t="b">
        <v>0</v>
      </c>
    </row>
    <row r="78" spans="1:18">
      <c r="A78" s="5" t="s">
        <v>2999</v>
      </c>
      <c r="B78" s="5" t="s">
        <v>4125</v>
      </c>
      <c r="C78" s="4" t="s">
        <v>8005</v>
      </c>
      <c r="D78" s="2">
        <v>1</v>
      </c>
      <c r="E78" s="2">
        <v>4</v>
      </c>
      <c r="F78" s="2">
        <v>89</v>
      </c>
      <c r="G78" s="2">
        <v>93</v>
      </c>
      <c r="H78" s="8" cm="1">
        <f t="array" ref="H78">_xlfn.LET(_xlpm.s,IFERROR(--F78,""),_xlpm.e,IFERROR(--G78,""),IF(OR(_xlpm.s="",_xlpm.e="",_xlpm.e&lt;_xlpm.s),"",_xlfn.LET(_xlpm.p,_xlfn.SEQUENCE(_xlpm.e-_xlpm.s+1,1,_xlpm.s,1),SUM(1/COUNTIFS($D:$D,D78,$E:$E,E78,$F:$F,"&lt;&gt;N/A",$G:$G,"&lt;&gt;N/A",$F:$F,"&lt;="&amp;_xlpm.p,$G:$G,"&gt;="&amp;_xlpm.p)))))</f>
        <v>4.5</v>
      </c>
      <c r="I78" s="3" t="s">
        <v>7</v>
      </c>
      <c r="J78" s="3" t="s">
        <v>4034</v>
      </c>
      <c r="K78" s="4" t="s">
        <v>7</v>
      </c>
      <c r="L78" s="4" t="s">
        <v>7</v>
      </c>
      <c r="M78" s="5" t="s">
        <v>7</v>
      </c>
      <c r="N78" s="4" t="s">
        <v>7</v>
      </c>
      <c r="O78" s="4" t="s">
        <v>778</v>
      </c>
      <c r="P78" s="4" t="s">
        <v>7834</v>
      </c>
      <c r="R78" s="2" t="b">
        <v>1</v>
      </c>
    </row>
    <row r="79" spans="1:18">
      <c r="A79" s="5" t="s">
        <v>2999</v>
      </c>
      <c r="B79" s="5" t="s">
        <v>4126</v>
      </c>
      <c r="C79" s="4" t="s">
        <v>8005</v>
      </c>
      <c r="D79" s="2">
        <v>1</v>
      </c>
      <c r="E79" s="2">
        <v>4</v>
      </c>
      <c r="F79" s="2">
        <v>94</v>
      </c>
      <c r="G79" s="2">
        <v>95</v>
      </c>
      <c r="H79" s="8" cm="1">
        <f t="array" ref="H79">_xlfn.LET(_xlpm.s,IFERROR(--F79,""),_xlpm.e,IFERROR(--G79,""),IF(OR(_xlpm.s="",_xlpm.e="",_xlpm.e&lt;_xlpm.s),"",_xlfn.LET(_xlpm.p,_xlfn.SEQUENCE(_xlpm.e-_xlpm.s+1,1,_xlpm.s,1),SUM(1/COUNTIFS($D:$D,D79,$E:$E,E79,$F:$F,"&lt;&gt;N/A",$G:$G,"&lt;&gt;N/A",$F:$F,"&lt;="&amp;_xlpm.p,$G:$G,"&gt;="&amp;_xlpm.p)))))</f>
        <v>2</v>
      </c>
      <c r="I79" s="3" t="s">
        <v>75</v>
      </c>
      <c r="J79" s="3" t="s">
        <v>90</v>
      </c>
      <c r="K79" s="4" t="s">
        <v>7</v>
      </c>
      <c r="L79" s="4" t="s">
        <v>7</v>
      </c>
      <c r="M79" s="5" t="s">
        <v>7</v>
      </c>
      <c r="N79" s="4" t="s">
        <v>7</v>
      </c>
      <c r="O79" s="4" t="s">
        <v>778</v>
      </c>
      <c r="P79" s="4" t="s">
        <v>7834</v>
      </c>
      <c r="Q79" s="4" t="s">
        <v>1959</v>
      </c>
      <c r="R79" s="2" t="b">
        <v>0</v>
      </c>
    </row>
    <row r="80" spans="1:18">
      <c r="A80" s="5" t="s">
        <v>2999</v>
      </c>
      <c r="B80" s="5" t="s">
        <v>4127</v>
      </c>
      <c r="C80" s="4" t="s">
        <v>8005</v>
      </c>
      <c r="D80" s="2">
        <v>1</v>
      </c>
      <c r="E80" s="2">
        <v>4</v>
      </c>
      <c r="F80" s="2">
        <v>96</v>
      </c>
      <c r="G80" s="2">
        <v>97</v>
      </c>
      <c r="H80" s="8" cm="1">
        <f t="array" ref="H80">_xlfn.LET(_xlpm.s,IFERROR(--F80,""),_xlpm.e,IFERROR(--G80,""),IF(OR(_xlpm.s="",_xlpm.e="",_xlpm.e&lt;_xlpm.s),"",_xlfn.LET(_xlpm.p,_xlfn.SEQUENCE(_xlpm.e-_xlpm.s+1,1,_xlpm.s,1),SUM(1/COUNTIFS($D:$D,D80,$E:$E,E80,$F:$F,"&lt;&gt;N/A",$G:$G,"&lt;&gt;N/A",$F:$F,"&lt;="&amp;_xlpm.p,$G:$G,"&gt;="&amp;_xlpm.p)))))</f>
        <v>1.5</v>
      </c>
      <c r="I80" s="3" t="s">
        <v>38</v>
      </c>
      <c r="J80" s="3" t="s">
        <v>91</v>
      </c>
      <c r="K80" s="4" t="s">
        <v>7</v>
      </c>
      <c r="L80" s="4" t="s">
        <v>7</v>
      </c>
      <c r="M80" s="5" t="s">
        <v>7</v>
      </c>
      <c r="N80" s="4" t="s">
        <v>7</v>
      </c>
      <c r="O80" s="4" t="s">
        <v>778</v>
      </c>
      <c r="P80" s="4" t="s">
        <v>7834</v>
      </c>
      <c r="Q80" s="4" t="s">
        <v>1960</v>
      </c>
      <c r="R80" s="2" t="b">
        <v>0</v>
      </c>
    </row>
    <row r="81" spans="1:18">
      <c r="A81" s="5" t="s">
        <v>2999</v>
      </c>
      <c r="B81" s="5" t="s">
        <v>4128</v>
      </c>
      <c r="C81" s="4" t="s">
        <v>8005</v>
      </c>
      <c r="D81" s="2">
        <v>1</v>
      </c>
      <c r="E81" s="2">
        <v>4</v>
      </c>
      <c r="F81" s="2">
        <v>97</v>
      </c>
      <c r="G81" s="2">
        <v>105</v>
      </c>
      <c r="H81" s="8" cm="1">
        <f t="array" ref="H81">_xlfn.LET(_xlpm.s,IFERROR(--F81,""),_xlpm.e,IFERROR(--G81,""),IF(OR(_xlpm.s="",_xlpm.e="",_xlpm.e&lt;_xlpm.s),"",_xlfn.LET(_xlpm.p,_xlfn.SEQUENCE(_xlpm.e-_xlpm.s+1,1,_xlpm.s,1),SUM(1/COUNTIFS($D:$D,D81,$E:$E,E81,$F:$F,"&lt;&gt;N/A",$G:$G,"&lt;&gt;N/A",$F:$F,"&lt;="&amp;_xlpm.p,$G:$G,"&gt;="&amp;_xlpm.p)))))</f>
        <v>8.5</v>
      </c>
      <c r="I81" s="3" t="s">
        <v>38</v>
      </c>
      <c r="J81" s="3" t="s">
        <v>92</v>
      </c>
      <c r="K81" s="4" t="s">
        <v>7</v>
      </c>
      <c r="L81" s="4" t="s">
        <v>7</v>
      </c>
      <c r="M81" s="5" t="s">
        <v>7</v>
      </c>
      <c r="N81" s="4" t="s">
        <v>7</v>
      </c>
      <c r="O81" t="s">
        <v>5072</v>
      </c>
      <c r="P81" t="s">
        <v>8019</v>
      </c>
      <c r="Q81" s="4" t="s">
        <v>1958</v>
      </c>
      <c r="R81" s="2" t="b">
        <v>0</v>
      </c>
    </row>
    <row r="82" spans="1:18">
      <c r="A82" s="5" t="s">
        <v>2999</v>
      </c>
      <c r="B82" s="5" t="s">
        <v>4129</v>
      </c>
      <c r="C82" s="4" t="s">
        <v>8005</v>
      </c>
      <c r="D82" s="2">
        <v>1</v>
      </c>
      <c r="E82" s="2">
        <v>4</v>
      </c>
      <c r="F82" s="2">
        <v>106</v>
      </c>
      <c r="G82" s="2">
        <v>107</v>
      </c>
      <c r="H82" s="8" cm="1">
        <f t="array" ref="H82">_xlfn.LET(_xlpm.s,IFERROR(--F82,""),_xlpm.e,IFERROR(--G82,""),IF(OR(_xlpm.s="",_xlpm.e="",_xlpm.e&lt;_xlpm.s),"",_xlfn.LET(_xlpm.p,_xlfn.SEQUENCE(_xlpm.e-_xlpm.s+1,1,_xlpm.s,1),SUM(1/COUNTIFS($D:$D,D82,$E:$E,E82,$F:$F,"&lt;&gt;N/A",$G:$G,"&lt;&gt;N/A",$F:$F,"&lt;="&amp;_xlpm.p,$G:$G,"&gt;="&amp;_xlpm.p)))))</f>
        <v>2</v>
      </c>
      <c r="I82" s="3" t="s">
        <v>7</v>
      </c>
      <c r="J82" s="3" t="s">
        <v>108</v>
      </c>
      <c r="K82" s="4" t="s">
        <v>7</v>
      </c>
      <c r="L82" s="4" t="s">
        <v>7</v>
      </c>
      <c r="M82" s="5" t="s">
        <v>7</v>
      </c>
      <c r="N82" s="4" t="s">
        <v>7</v>
      </c>
      <c r="O82" s="4" t="s">
        <v>778</v>
      </c>
      <c r="P82" s="4" t="s">
        <v>7834</v>
      </c>
      <c r="Q82" s="4" t="s">
        <v>1957</v>
      </c>
      <c r="R82" s="2" t="b">
        <v>0</v>
      </c>
    </row>
    <row r="83" spans="1:18">
      <c r="A83" s="5" t="s">
        <v>2999</v>
      </c>
      <c r="B83" s="5" t="s">
        <v>4130</v>
      </c>
      <c r="C83" s="4" t="s">
        <v>8006</v>
      </c>
      <c r="D83" s="2">
        <v>1</v>
      </c>
      <c r="E83" s="2">
        <v>5</v>
      </c>
      <c r="F83" s="2">
        <v>3</v>
      </c>
      <c r="G83" s="2">
        <v>15</v>
      </c>
      <c r="H83" s="8" cm="1">
        <f t="array" ref="H83">_xlfn.LET(_xlpm.s,IFERROR(--F83,""),_xlpm.e,IFERROR(--G83,""),IF(OR(_xlpm.s="",_xlpm.e="",_xlpm.e&lt;_xlpm.s),"",_xlfn.LET(_xlpm.p,_xlfn.SEQUENCE(_xlpm.e-_xlpm.s+1,1,_xlpm.s,1),SUM(1/COUNTIFS($D:$D,D83,$E:$E,E83,$F:$F,"&lt;&gt;N/A",$G:$G,"&lt;&gt;N/A",$F:$F,"&lt;="&amp;_xlpm.p,$G:$G,"&gt;="&amp;_xlpm.p)))))</f>
        <v>12.5</v>
      </c>
      <c r="I83" s="3" t="s">
        <v>8</v>
      </c>
      <c r="J83" s="3" t="s">
        <v>93</v>
      </c>
      <c r="K83" s="4" t="s">
        <v>12</v>
      </c>
      <c r="L83" s="5" t="s">
        <v>7</v>
      </c>
      <c r="M83" s="5" t="s">
        <v>7</v>
      </c>
      <c r="N83" t="s">
        <v>7700</v>
      </c>
      <c r="O83" s="4" t="s">
        <v>11522</v>
      </c>
      <c r="P83" s="4" t="s">
        <v>8020</v>
      </c>
      <c r="Q83" s="4" t="s">
        <v>11523</v>
      </c>
      <c r="R83" s="2" t="b">
        <v>1</v>
      </c>
    </row>
    <row r="84" spans="1:18">
      <c r="A84" s="5" t="s">
        <v>2999</v>
      </c>
      <c r="B84" s="5" t="s">
        <v>4131</v>
      </c>
      <c r="C84" s="4" t="s">
        <v>8006</v>
      </c>
      <c r="D84" s="2">
        <v>1</v>
      </c>
      <c r="E84" s="2">
        <v>5</v>
      </c>
      <c r="F84" s="2">
        <v>15</v>
      </c>
      <c r="G84" s="2">
        <v>18</v>
      </c>
      <c r="H84" s="8" cm="1">
        <f t="array" ref="H84">_xlfn.LET(_xlpm.s,IFERROR(--F84,""),_xlpm.e,IFERROR(--G84,""),IF(OR(_xlpm.s="",_xlpm.e="",_xlpm.e&lt;_xlpm.s),"",_xlfn.LET(_xlpm.p,_xlfn.SEQUENCE(_xlpm.e-_xlpm.s+1,1,_xlpm.s,1),SUM(1/COUNTIFS($D:$D,D84,$E:$E,E84,$F:$F,"&lt;&gt;N/A",$G:$G,"&lt;&gt;N/A",$F:$F,"&lt;="&amp;_xlpm.p,$G:$G,"&gt;="&amp;_xlpm.p)))))</f>
        <v>3</v>
      </c>
      <c r="I84" s="3" t="s">
        <v>196</v>
      </c>
      <c r="J84" s="3" t="s">
        <v>94</v>
      </c>
      <c r="K84" s="4" t="s">
        <v>1237</v>
      </c>
      <c r="L84" s="4" t="s">
        <v>7</v>
      </c>
      <c r="M84" s="5" t="s">
        <v>7</v>
      </c>
      <c r="N84" s="4" t="s">
        <v>7</v>
      </c>
      <c r="O84" s="4" t="s">
        <v>778</v>
      </c>
      <c r="P84" s="4" t="s">
        <v>7834</v>
      </c>
      <c r="Q84" s="4" t="s">
        <v>2030</v>
      </c>
      <c r="R84" s="2" t="b">
        <v>0</v>
      </c>
    </row>
    <row r="85" spans="1:18">
      <c r="A85" s="5" t="s">
        <v>2999</v>
      </c>
      <c r="B85" s="5" t="s">
        <v>4132</v>
      </c>
      <c r="C85" s="4" t="s">
        <v>8006</v>
      </c>
      <c r="D85" s="2">
        <v>1</v>
      </c>
      <c r="E85" s="2">
        <v>5</v>
      </c>
      <c r="F85" s="2">
        <v>18</v>
      </c>
      <c r="G85" s="2">
        <v>29</v>
      </c>
      <c r="H85" s="8" cm="1">
        <f t="array" ref="H85">_xlfn.LET(_xlpm.s,IFERROR(--F85,""),_xlpm.e,IFERROR(--G85,""),IF(OR(_xlpm.s="",_xlpm.e="",_xlpm.e&lt;_xlpm.s),"",_xlfn.LET(_xlpm.p,_xlfn.SEQUENCE(_xlpm.e-_xlpm.s+1,1,_xlpm.s,1),SUM(1/COUNTIFS($D:$D,D85,$E:$E,E85,$F:$F,"&lt;&gt;N/A",$G:$G,"&lt;&gt;N/A",$F:$F,"&lt;="&amp;_xlpm.p,$G:$G,"&gt;="&amp;_xlpm.p)))))</f>
        <v>11.5</v>
      </c>
      <c r="I85" s="3" t="s">
        <v>85</v>
      </c>
      <c r="J85" s="3" t="s">
        <v>95</v>
      </c>
      <c r="K85" s="4" t="s">
        <v>1238</v>
      </c>
      <c r="L85" s="4" t="s">
        <v>7</v>
      </c>
      <c r="M85" s="5" t="s">
        <v>7</v>
      </c>
      <c r="N85" s="4" t="s">
        <v>7</v>
      </c>
      <c r="O85" s="4" t="s">
        <v>7</v>
      </c>
      <c r="P85" s="4" t="s">
        <v>8023</v>
      </c>
      <c r="Q85" s="4" t="s">
        <v>6950</v>
      </c>
      <c r="R85" s="2" t="b">
        <v>0</v>
      </c>
    </row>
    <row r="86" spans="1:18">
      <c r="A86" s="5" t="s">
        <v>2999</v>
      </c>
      <c r="B86" s="5" t="s">
        <v>4133</v>
      </c>
      <c r="C86" s="4" t="s">
        <v>8006</v>
      </c>
      <c r="D86" s="2">
        <v>1</v>
      </c>
      <c r="E86" s="2">
        <v>5</v>
      </c>
      <c r="F86" s="2">
        <v>30</v>
      </c>
      <c r="G86" s="2">
        <v>31</v>
      </c>
      <c r="H86" s="8" cm="1">
        <f t="array" ref="H86">_xlfn.LET(_xlpm.s,IFERROR(--F86,""),_xlpm.e,IFERROR(--G86,""),IF(OR(_xlpm.s="",_xlpm.e="",_xlpm.e&lt;_xlpm.s),"",_xlfn.LET(_xlpm.p,_xlfn.SEQUENCE(_xlpm.e-_xlpm.s+1,1,_xlpm.s,1),SUM(1/COUNTIFS($D:$D,D86,$E:$E,E86,$F:$F,"&lt;&gt;N/A",$G:$G,"&lt;&gt;N/A",$F:$F,"&lt;="&amp;_xlpm.p,$G:$G,"&gt;="&amp;_xlpm.p)))))</f>
        <v>1.5</v>
      </c>
      <c r="I86" s="3" t="s">
        <v>85</v>
      </c>
      <c r="J86" s="3" t="s">
        <v>97</v>
      </c>
      <c r="K86" s="4" t="s">
        <v>1952</v>
      </c>
      <c r="L86" s="4" t="s">
        <v>7</v>
      </c>
      <c r="M86" s="5" t="s">
        <v>7</v>
      </c>
      <c r="N86" s="4" t="s">
        <v>7701</v>
      </c>
      <c r="O86" s="4" t="s">
        <v>10264</v>
      </c>
      <c r="P86" s="4" t="s">
        <v>8020</v>
      </c>
      <c r="R86" s="2" t="b">
        <v>0</v>
      </c>
    </row>
    <row r="87" spans="1:18">
      <c r="A87" s="5" t="s">
        <v>2999</v>
      </c>
      <c r="B87" s="5" t="s">
        <v>4134</v>
      </c>
      <c r="C87" s="4" t="s">
        <v>8006</v>
      </c>
      <c r="D87" s="2">
        <v>1</v>
      </c>
      <c r="E87" s="2">
        <v>5</v>
      </c>
      <c r="F87" s="2">
        <v>31</v>
      </c>
      <c r="G87" s="2">
        <v>33</v>
      </c>
      <c r="H87" s="8" cm="1">
        <f t="array" ref="H87">_xlfn.LET(_xlpm.s,IFERROR(--F87,""),_xlpm.e,IFERROR(--G87,""),IF(OR(_xlpm.s="",_xlpm.e="",_xlpm.e&lt;_xlpm.s),"",_xlfn.LET(_xlpm.p,_xlfn.SEQUENCE(_xlpm.e-_xlpm.s+1,1,_xlpm.s,1),SUM(1/COUNTIFS($D:$D,D87,$E:$E,E87,$F:$F,"&lt;&gt;N/A",$G:$G,"&lt;&gt;N/A",$F:$F,"&lt;="&amp;_xlpm.p,$G:$G,"&gt;="&amp;_xlpm.p)))))</f>
        <v>2</v>
      </c>
      <c r="I87" s="3" t="s">
        <v>85</v>
      </c>
      <c r="J87" s="3" t="s">
        <v>96</v>
      </c>
      <c r="K87" s="4" t="s">
        <v>1952</v>
      </c>
      <c r="L87" s="4" t="s">
        <v>7</v>
      </c>
      <c r="M87" s="5" t="s">
        <v>7</v>
      </c>
      <c r="N87" t="s">
        <v>8051</v>
      </c>
      <c r="O87" s="4" t="s">
        <v>10264</v>
      </c>
      <c r="P87" s="4" t="s">
        <v>8020</v>
      </c>
      <c r="R87" s="2" t="b">
        <v>0</v>
      </c>
    </row>
    <row r="88" spans="1:18">
      <c r="A88" s="5" t="s">
        <v>2999</v>
      </c>
      <c r="B88" s="5" t="s">
        <v>4135</v>
      </c>
      <c r="C88" s="4" t="s">
        <v>8006</v>
      </c>
      <c r="D88" s="2">
        <v>1</v>
      </c>
      <c r="E88" s="2">
        <v>5</v>
      </c>
      <c r="F88" s="2">
        <v>33</v>
      </c>
      <c r="G88" s="2">
        <v>34</v>
      </c>
      <c r="H88" s="8" cm="1">
        <f t="array" ref="H88">_xlfn.LET(_xlpm.s,IFERROR(--F88,""),_xlpm.e,IFERROR(--G88,""),IF(OR(_xlpm.s="",_xlpm.e="",_xlpm.e&lt;_xlpm.s),"",_xlfn.LET(_xlpm.p,_xlfn.SEQUENCE(_xlpm.e-_xlpm.s+1,1,_xlpm.s,1),SUM(1/COUNTIFS($D:$D,D88,$E:$E,E88,$F:$F,"&lt;&gt;N/A",$G:$G,"&lt;&gt;N/A",$F:$F,"&lt;="&amp;_xlpm.p,$G:$G,"&gt;="&amp;_xlpm.p)))))</f>
        <v>0.83333333333333326</v>
      </c>
      <c r="I88" s="3" t="s">
        <v>85</v>
      </c>
      <c r="J88" s="3" t="s">
        <v>98</v>
      </c>
      <c r="K88" s="4" t="s">
        <v>1952</v>
      </c>
      <c r="L88" s="4" t="s">
        <v>7</v>
      </c>
      <c r="M88" s="5" t="s">
        <v>7</v>
      </c>
      <c r="N88" t="s">
        <v>8051</v>
      </c>
      <c r="O88" s="4" t="s">
        <v>10264</v>
      </c>
      <c r="P88" s="4" t="s">
        <v>8020</v>
      </c>
      <c r="R88" s="2" t="b">
        <v>0</v>
      </c>
    </row>
    <row r="89" spans="1:18">
      <c r="A89" s="5" t="s">
        <v>2999</v>
      </c>
      <c r="B89" s="5" t="s">
        <v>4136</v>
      </c>
      <c r="C89" s="4" t="s">
        <v>8006</v>
      </c>
      <c r="D89" s="2">
        <v>1</v>
      </c>
      <c r="E89" s="2">
        <v>5</v>
      </c>
      <c r="F89" s="2">
        <v>34</v>
      </c>
      <c r="G89" s="2">
        <v>34</v>
      </c>
      <c r="H89" s="8" cm="1">
        <f t="array" ref="H89">_xlfn.LET(_xlpm.s,IFERROR(--F89,""),_xlpm.e,IFERROR(--G89,""),IF(OR(_xlpm.s="",_xlpm.e="",_xlpm.e&lt;_xlpm.s),"",_xlfn.LET(_xlpm.p,_xlfn.SEQUENCE(_xlpm.e-_xlpm.s+1,1,_xlpm.s,1),SUM(1/COUNTIFS($D:$D,D89,$E:$E,E89,$F:$F,"&lt;&gt;N/A",$G:$G,"&lt;&gt;N/A",$F:$F,"&lt;="&amp;_xlpm.p,$G:$G,"&gt;="&amp;_xlpm.p)))))</f>
        <v>0.33333333333333331</v>
      </c>
      <c r="I89" s="3" t="s">
        <v>85</v>
      </c>
      <c r="J89" s="3" t="s">
        <v>99</v>
      </c>
      <c r="K89" s="4" t="s">
        <v>1952</v>
      </c>
      <c r="L89" s="4" t="s">
        <v>7</v>
      </c>
      <c r="M89" s="5" t="s">
        <v>7</v>
      </c>
      <c r="N89" t="s">
        <v>8051</v>
      </c>
      <c r="O89" s="4" t="s">
        <v>10264</v>
      </c>
      <c r="P89" s="4" t="s">
        <v>8020</v>
      </c>
      <c r="R89" s="2" t="b">
        <v>0</v>
      </c>
    </row>
    <row r="90" spans="1:18">
      <c r="A90" s="5" t="s">
        <v>2999</v>
      </c>
      <c r="B90" s="5" t="s">
        <v>4137</v>
      </c>
      <c r="C90" s="4" t="s">
        <v>8006</v>
      </c>
      <c r="D90" s="2">
        <v>1</v>
      </c>
      <c r="E90" s="2">
        <v>5</v>
      </c>
      <c r="F90" s="2">
        <v>34</v>
      </c>
      <c r="G90" s="2">
        <v>36</v>
      </c>
      <c r="H90" s="8" cm="1">
        <f t="array" ref="H90">_xlfn.LET(_xlpm.s,IFERROR(--F90,""),_xlpm.e,IFERROR(--G90,""),IF(OR(_xlpm.s="",_xlpm.e="",_xlpm.e&lt;_xlpm.s),"",_xlfn.LET(_xlpm.p,_xlfn.SEQUENCE(_xlpm.e-_xlpm.s+1,1,_xlpm.s,1),SUM(1/COUNTIFS($D:$D,D90,$E:$E,E90,$F:$F,"&lt;&gt;N/A",$G:$G,"&lt;&gt;N/A",$F:$F,"&lt;="&amp;_xlpm.p,$G:$G,"&gt;="&amp;_xlpm.p)))))</f>
        <v>2.333333333333333</v>
      </c>
      <c r="I90" s="3" t="s">
        <v>85</v>
      </c>
      <c r="J90" s="3" t="s">
        <v>100</v>
      </c>
      <c r="K90" s="4" t="s">
        <v>7</v>
      </c>
      <c r="L90" s="4" t="s">
        <v>7</v>
      </c>
      <c r="M90" s="5" t="s">
        <v>7</v>
      </c>
      <c r="N90" s="4" t="s">
        <v>7</v>
      </c>
      <c r="O90" s="4" t="s">
        <v>778</v>
      </c>
      <c r="P90" s="4" t="s">
        <v>7834</v>
      </c>
      <c r="R90" s="2" t="b">
        <v>0</v>
      </c>
    </row>
    <row r="91" spans="1:18">
      <c r="A91" s="5" t="s">
        <v>2999</v>
      </c>
      <c r="B91" s="5" t="s">
        <v>4138</v>
      </c>
      <c r="C91" s="4" t="s">
        <v>8006</v>
      </c>
      <c r="D91" s="2">
        <v>1</v>
      </c>
      <c r="E91" s="2">
        <v>5</v>
      </c>
      <c r="F91" s="2">
        <v>37</v>
      </c>
      <c r="G91" s="2">
        <v>43</v>
      </c>
      <c r="H91" s="8" cm="1">
        <f t="array" ref="H91">_xlfn.LET(_xlpm.s,IFERROR(--F91,""),_xlpm.e,IFERROR(--G91,""),IF(OR(_xlpm.s="",_xlpm.e="",_xlpm.e&lt;_xlpm.s),"",_xlfn.LET(_xlpm.p,_xlfn.SEQUENCE(_xlpm.e-_xlpm.s+1,1,_xlpm.s,1),SUM(1/COUNTIFS($D:$D,D91,$E:$E,E91,$F:$F,"&lt;&gt;N/A",$G:$G,"&lt;&gt;N/A",$F:$F,"&lt;="&amp;_xlpm.p,$G:$G,"&gt;="&amp;_xlpm.p)))))</f>
        <v>7</v>
      </c>
      <c r="I91" s="3" t="s">
        <v>85</v>
      </c>
      <c r="J91" s="3" t="s">
        <v>4409</v>
      </c>
      <c r="K91" s="4" t="s">
        <v>12</v>
      </c>
      <c r="L91" s="4" t="s">
        <v>7</v>
      </c>
      <c r="M91" s="5" t="s">
        <v>7</v>
      </c>
      <c r="N91" s="4" t="s">
        <v>7</v>
      </c>
      <c r="O91" s="4" t="s">
        <v>778</v>
      </c>
      <c r="P91" s="4" t="s">
        <v>7834</v>
      </c>
      <c r="Q91" t="s">
        <v>10266</v>
      </c>
      <c r="R91" s="2" t="b">
        <v>0</v>
      </c>
    </row>
    <row r="92" spans="1:18">
      <c r="A92" s="5" t="s">
        <v>2999</v>
      </c>
      <c r="B92" s="5" t="s">
        <v>4139</v>
      </c>
      <c r="C92" s="4" t="s">
        <v>8006</v>
      </c>
      <c r="D92" s="2">
        <v>1</v>
      </c>
      <c r="E92" s="2">
        <v>5</v>
      </c>
      <c r="F92" s="2">
        <v>44</v>
      </c>
      <c r="G92" s="2">
        <v>44</v>
      </c>
      <c r="H92" s="8" cm="1">
        <f t="array" ref="H92">_xlfn.LET(_xlpm.s,IFERROR(--F92,""),_xlpm.e,IFERROR(--G92,""),IF(OR(_xlpm.s="",_xlpm.e="",_xlpm.e&lt;_xlpm.s),"",_xlfn.LET(_xlpm.p,_xlfn.SEQUENCE(_xlpm.e-_xlpm.s+1,1,_xlpm.s,1),SUM(1/COUNTIFS($D:$D,D92,$E:$E,E92,$F:$F,"&lt;&gt;N/A",$G:$G,"&lt;&gt;N/A",$F:$F,"&lt;="&amp;_xlpm.p,$G:$G,"&gt;="&amp;_xlpm.p)))))</f>
        <v>1</v>
      </c>
      <c r="I92" s="3" t="s">
        <v>85</v>
      </c>
      <c r="J92" s="3" t="s">
        <v>102</v>
      </c>
      <c r="K92" s="4" t="s">
        <v>7</v>
      </c>
      <c r="L92" s="4" t="s">
        <v>7</v>
      </c>
      <c r="M92" s="5" t="s">
        <v>7</v>
      </c>
      <c r="N92" s="4" t="s">
        <v>7</v>
      </c>
      <c r="O92" s="4" t="s">
        <v>10264</v>
      </c>
      <c r="P92" s="4" t="s">
        <v>8020</v>
      </c>
      <c r="Q92" s="4" t="s">
        <v>10267</v>
      </c>
      <c r="R92" s="2" t="b">
        <v>0</v>
      </c>
    </row>
    <row r="93" spans="1:18">
      <c r="A93" s="5" t="s">
        <v>2999</v>
      </c>
      <c r="B93" s="5" t="s">
        <v>4140</v>
      </c>
      <c r="C93" s="4" t="s">
        <v>8006</v>
      </c>
      <c r="D93" s="2">
        <v>1</v>
      </c>
      <c r="E93" s="2">
        <v>5</v>
      </c>
      <c r="F93" s="2">
        <v>45</v>
      </c>
      <c r="G93" s="2">
        <v>50</v>
      </c>
      <c r="H93" s="8" cm="1">
        <f t="array" ref="H93">_xlfn.LET(_xlpm.s,IFERROR(--F93,""),_xlpm.e,IFERROR(--G93,""),IF(OR(_xlpm.s="",_xlpm.e="",_xlpm.e&lt;_xlpm.s),"",_xlfn.LET(_xlpm.p,_xlfn.SEQUENCE(_xlpm.e-_xlpm.s+1,1,_xlpm.s,1),SUM(1/COUNTIFS($D:$D,D93,$E:$E,E93,$F:$F,"&lt;&gt;N/A",$G:$G,"&lt;&gt;N/A",$F:$F,"&lt;="&amp;_xlpm.p,$G:$G,"&gt;="&amp;_xlpm.p)))))</f>
        <v>5.5</v>
      </c>
      <c r="I93" s="3" t="s">
        <v>85</v>
      </c>
      <c r="J93" s="3" t="s">
        <v>101</v>
      </c>
      <c r="K93" s="4" t="s">
        <v>1235</v>
      </c>
      <c r="L93" s="4" t="s">
        <v>7</v>
      </c>
      <c r="M93" s="5" t="s">
        <v>7</v>
      </c>
      <c r="N93" s="4" t="s">
        <v>7702</v>
      </c>
      <c r="O93" s="4" t="s">
        <v>10264</v>
      </c>
      <c r="P93" s="4" t="s">
        <v>8020</v>
      </c>
      <c r="R93" s="2" t="b">
        <v>0</v>
      </c>
    </row>
    <row r="94" spans="1:18">
      <c r="A94" s="5" t="s">
        <v>2999</v>
      </c>
      <c r="B94" s="5" t="s">
        <v>4141</v>
      </c>
      <c r="C94" s="4" t="s">
        <v>8006</v>
      </c>
      <c r="D94" s="2">
        <v>1</v>
      </c>
      <c r="E94" s="2">
        <v>5</v>
      </c>
      <c r="F94" s="2">
        <v>50</v>
      </c>
      <c r="G94" s="2">
        <v>61</v>
      </c>
      <c r="H94" s="8" cm="1">
        <f t="array" ref="H94">_xlfn.LET(_xlpm.s,IFERROR(--F94,""),_xlpm.e,IFERROR(--G94,""),IF(OR(_xlpm.s="",_xlpm.e="",_xlpm.e&lt;_xlpm.s),"",_xlfn.LET(_xlpm.p,_xlfn.SEQUENCE(_xlpm.e-_xlpm.s+1,1,_xlpm.s,1),SUM(1/COUNTIFS($D:$D,D94,$E:$E,E94,$F:$F,"&lt;&gt;N/A",$G:$G,"&lt;&gt;N/A",$F:$F,"&lt;="&amp;_xlpm.p,$G:$G,"&gt;="&amp;_xlpm.p)))))</f>
        <v>11</v>
      </c>
      <c r="I94" s="3" t="s">
        <v>54</v>
      </c>
      <c r="J94" s="3" t="s">
        <v>103</v>
      </c>
      <c r="K94" s="4" t="s">
        <v>7</v>
      </c>
      <c r="L94" s="4" t="s">
        <v>7</v>
      </c>
      <c r="M94" s="5" t="s">
        <v>7</v>
      </c>
      <c r="N94" s="4" t="s">
        <v>7</v>
      </c>
      <c r="O94" s="4" t="s">
        <v>778</v>
      </c>
      <c r="P94" s="4" t="s">
        <v>7834</v>
      </c>
      <c r="Q94" s="4" t="s">
        <v>2031</v>
      </c>
      <c r="R94" s="2" t="b">
        <v>0</v>
      </c>
    </row>
    <row r="95" spans="1:18">
      <c r="A95" s="5" t="s">
        <v>2999</v>
      </c>
      <c r="B95" s="5" t="s">
        <v>4142</v>
      </c>
      <c r="C95" s="4" t="s">
        <v>8006</v>
      </c>
      <c r="D95" s="2">
        <v>1</v>
      </c>
      <c r="E95" s="2">
        <v>5</v>
      </c>
      <c r="F95" s="2">
        <v>61</v>
      </c>
      <c r="G95" s="2">
        <v>69</v>
      </c>
      <c r="H95" s="8" cm="1">
        <f t="array" ref="H95">_xlfn.LET(_xlpm.s,IFERROR(--F95,""),_xlpm.e,IFERROR(--G95,""),IF(OR(_xlpm.s="",_xlpm.e="",_xlpm.e&lt;_xlpm.s),"",_xlfn.LET(_xlpm.p,_xlfn.SEQUENCE(_xlpm.e-_xlpm.s+1,1,_xlpm.s,1),SUM(1/COUNTIFS($D:$D,D95,$E:$E,E95,$F:$F,"&lt;&gt;N/A",$G:$G,"&lt;&gt;N/A",$F:$F,"&lt;="&amp;_xlpm.p,$G:$G,"&gt;="&amp;_xlpm.p)))))</f>
        <v>8.5</v>
      </c>
      <c r="I95" s="3" t="s">
        <v>54</v>
      </c>
      <c r="J95" s="3" t="s">
        <v>3194</v>
      </c>
      <c r="K95" s="4" t="s">
        <v>7</v>
      </c>
      <c r="L95" s="4" t="s">
        <v>7</v>
      </c>
      <c r="M95" s="5" t="s">
        <v>7</v>
      </c>
      <c r="N95" s="4" t="s">
        <v>7</v>
      </c>
      <c r="O95" s="4" t="s">
        <v>778</v>
      </c>
      <c r="P95" s="4" t="s">
        <v>7834</v>
      </c>
      <c r="Q95" s="4" t="s">
        <v>2018</v>
      </c>
      <c r="R95" s="2" t="b">
        <v>0</v>
      </c>
    </row>
    <row r="96" spans="1:18">
      <c r="A96" s="5" t="s">
        <v>2999</v>
      </c>
      <c r="B96" s="5" t="s">
        <v>4143</v>
      </c>
      <c r="C96" s="4" t="s">
        <v>8006</v>
      </c>
      <c r="D96" s="2">
        <v>1</v>
      </c>
      <c r="E96" s="2">
        <v>5</v>
      </c>
      <c r="F96" s="2">
        <v>70</v>
      </c>
      <c r="G96" s="2">
        <v>83</v>
      </c>
      <c r="H96" s="8" cm="1">
        <f t="array" ref="H96">_xlfn.LET(_xlpm.s,IFERROR(--F96,""),_xlpm.e,IFERROR(--G96,""),IF(OR(_xlpm.s="",_xlpm.e="",_xlpm.e&lt;_xlpm.s),"",_xlfn.LET(_xlpm.p,_xlfn.SEQUENCE(_xlpm.e-_xlpm.s+1,1,_xlpm.s,1),SUM(1/COUNTIFS($D:$D,D96,$E:$E,E96,$F:$F,"&lt;&gt;N/A",$G:$G,"&lt;&gt;N/A",$F:$F,"&lt;="&amp;_xlpm.p,$G:$G,"&gt;="&amp;_xlpm.p)))))</f>
        <v>13.5</v>
      </c>
      <c r="I96" s="3" t="s">
        <v>30</v>
      </c>
      <c r="J96" s="3" t="s">
        <v>104</v>
      </c>
      <c r="K96" s="4" t="s">
        <v>10783</v>
      </c>
      <c r="L96" s="4" t="s">
        <v>7</v>
      </c>
      <c r="M96" s="5" t="s">
        <v>7</v>
      </c>
      <c r="N96" s="4" t="s">
        <v>7</v>
      </c>
      <c r="O96" t="s">
        <v>5072</v>
      </c>
      <c r="P96" t="s">
        <v>8020</v>
      </c>
      <c r="Q96" s="4" t="s">
        <v>2017</v>
      </c>
      <c r="R96" s="2" t="b">
        <v>0</v>
      </c>
    </row>
    <row r="97" spans="1:18">
      <c r="A97" s="5" t="s">
        <v>2999</v>
      </c>
      <c r="B97" s="5" t="s">
        <v>4144</v>
      </c>
      <c r="C97" s="4" t="s">
        <v>8006</v>
      </c>
      <c r="D97" s="2">
        <v>1</v>
      </c>
      <c r="E97" s="2">
        <v>5</v>
      </c>
      <c r="F97" s="2">
        <v>83</v>
      </c>
      <c r="G97" s="2">
        <v>86</v>
      </c>
      <c r="H97" s="8" cm="1">
        <f t="array" ref="H97">_xlfn.LET(_xlpm.s,IFERROR(--F97,""),_xlpm.e,IFERROR(--G97,""),IF(OR(_xlpm.s="",_xlpm.e="",_xlpm.e&lt;_xlpm.s),"",_xlfn.LET(_xlpm.p,_xlfn.SEQUENCE(_xlpm.e-_xlpm.s+1,1,_xlpm.s,1),SUM(1/COUNTIFS($D:$D,D97,$E:$E,E97,$F:$F,"&lt;&gt;N/A",$G:$G,"&lt;&gt;N/A",$F:$F,"&lt;="&amp;_xlpm.p,$G:$G,"&gt;="&amp;_xlpm.p)))))</f>
        <v>3</v>
      </c>
      <c r="I97" s="3" t="s">
        <v>30</v>
      </c>
      <c r="J97" s="3" t="s">
        <v>105</v>
      </c>
      <c r="K97" s="4" t="s">
        <v>7</v>
      </c>
      <c r="L97" s="4" t="s">
        <v>7</v>
      </c>
      <c r="M97" s="5" t="s">
        <v>7</v>
      </c>
      <c r="N97" s="4" t="s">
        <v>7</v>
      </c>
      <c r="O97" t="s">
        <v>5072</v>
      </c>
      <c r="P97" t="s">
        <v>8021</v>
      </c>
      <c r="Q97" s="4" t="s">
        <v>2016</v>
      </c>
      <c r="R97" s="2" t="b">
        <v>0</v>
      </c>
    </row>
    <row r="98" spans="1:18">
      <c r="A98" s="5" t="s">
        <v>2999</v>
      </c>
      <c r="B98" s="5" t="s">
        <v>4145</v>
      </c>
      <c r="C98" s="4" t="s">
        <v>8006</v>
      </c>
      <c r="D98" s="2">
        <v>1</v>
      </c>
      <c r="E98" s="2">
        <v>5</v>
      </c>
      <c r="F98" s="2">
        <v>86</v>
      </c>
      <c r="G98" s="2">
        <v>111</v>
      </c>
      <c r="H98" s="8" cm="1">
        <f t="array" ref="H98">_xlfn.LET(_xlpm.s,IFERROR(--F98,""),_xlpm.e,IFERROR(--G98,""),IF(OR(_xlpm.s="",_xlpm.e="",_xlpm.e&lt;_xlpm.s),"",_xlfn.LET(_xlpm.p,_xlfn.SEQUENCE(_xlpm.e-_xlpm.s+1,1,_xlpm.s,1),SUM(1/COUNTIFS($D:$D,D98,$E:$E,E98,$F:$F,"&lt;&gt;N/A",$G:$G,"&lt;&gt;N/A",$F:$F,"&lt;="&amp;_xlpm.p,$G:$G,"&gt;="&amp;_xlpm.p)))))</f>
        <v>25.5</v>
      </c>
      <c r="I98" s="3" t="s">
        <v>30</v>
      </c>
      <c r="J98" s="3" t="s">
        <v>106</v>
      </c>
      <c r="K98" s="4" t="s">
        <v>7</v>
      </c>
      <c r="L98" s="4" t="s">
        <v>7</v>
      </c>
      <c r="M98" s="5" t="s">
        <v>7</v>
      </c>
      <c r="N98" s="4" t="s">
        <v>7</v>
      </c>
      <c r="O98" t="s">
        <v>5072</v>
      </c>
      <c r="P98" t="s">
        <v>8019</v>
      </c>
      <c r="Q98" s="4" t="s">
        <v>2015</v>
      </c>
      <c r="R98" s="2" t="b">
        <v>0</v>
      </c>
    </row>
    <row r="99" spans="1:18">
      <c r="A99" s="5" t="s">
        <v>2999</v>
      </c>
      <c r="B99" s="5" t="s">
        <v>4146</v>
      </c>
      <c r="C99" s="4" t="s">
        <v>8006</v>
      </c>
      <c r="D99" s="2">
        <v>1</v>
      </c>
      <c r="E99" s="2">
        <v>5</v>
      </c>
      <c r="F99" s="2">
        <v>112</v>
      </c>
      <c r="G99" s="2">
        <v>124</v>
      </c>
      <c r="H99" s="8" cm="1">
        <f t="array" ref="H99">_xlfn.LET(_xlpm.s,IFERROR(--F99,""),_xlpm.e,IFERROR(--G99,""),IF(OR(_xlpm.s="",_xlpm.e="",_xlpm.e&lt;_xlpm.s),"",_xlfn.LET(_xlpm.p,_xlfn.SEQUENCE(_xlpm.e-_xlpm.s+1,1,_xlpm.s,1),SUM(1/COUNTIFS($D:$D,D99,$E:$E,E99,$F:$F,"&lt;&gt;N/A",$G:$G,"&lt;&gt;N/A",$F:$F,"&lt;="&amp;_xlpm.p,$G:$G,"&gt;="&amp;_xlpm.p)))))</f>
        <v>13</v>
      </c>
      <c r="I99" s="3" t="s">
        <v>30</v>
      </c>
      <c r="J99" s="3" t="s">
        <v>107</v>
      </c>
      <c r="K99" s="4" t="s">
        <v>7</v>
      </c>
      <c r="L99" s="4" t="s">
        <v>7</v>
      </c>
      <c r="M99" s="5" t="s">
        <v>7</v>
      </c>
      <c r="N99" s="4" t="s">
        <v>7</v>
      </c>
      <c r="O99" s="4" t="s">
        <v>778</v>
      </c>
      <c r="P99" s="4" t="s">
        <v>7834</v>
      </c>
      <c r="Q99" s="4" t="s">
        <v>2014</v>
      </c>
      <c r="R99" s="2" t="b">
        <v>0</v>
      </c>
    </row>
    <row r="100" spans="1:18">
      <c r="A100" s="5" t="s">
        <v>2999</v>
      </c>
      <c r="B100" s="5" t="s">
        <v>4147</v>
      </c>
      <c r="C100" s="4" t="s">
        <v>8006</v>
      </c>
      <c r="D100" s="2">
        <v>1</v>
      </c>
      <c r="E100" s="2">
        <v>5</v>
      </c>
      <c r="F100" s="2">
        <v>125</v>
      </c>
      <c r="G100" s="2">
        <v>126</v>
      </c>
      <c r="H100" s="8" cm="1">
        <f t="array" ref="H100">_xlfn.LET(_xlpm.s,IFERROR(--F100,""),_xlpm.e,IFERROR(--G100,""),IF(OR(_xlpm.s="",_xlpm.e="",_xlpm.e&lt;_xlpm.s),"",_xlfn.LET(_xlpm.p,_xlfn.SEQUENCE(_xlpm.e-_xlpm.s+1,1,_xlpm.s,1),SUM(1/COUNTIFS($D:$D,D100,$E:$E,E100,$F:$F,"&lt;&gt;N/A",$G:$G,"&lt;&gt;N/A",$F:$F,"&lt;="&amp;_xlpm.p,$G:$G,"&gt;="&amp;_xlpm.p)))))</f>
        <v>2</v>
      </c>
      <c r="I100" s="3" t="s">
        <v>7</v>
      </c>
      <c r="J100" s="3" t="s">
        <v>108</v>
      </c>
      <c r="K100" s="4" t="s">
        <v>7</v>
      </c>
      <c r="L100" s="4" t="s">
        <v>7</v>
      </c>
      <c r="M100" s="5" t="s">
        <v>7</v>
      </c>
      <c r="N100" s="4" t="s">
        <v>7</v>
      </c>
      <c r="O100" s="4" t="s">
        <v>778</v>
      </c>
      <c r="P100" s="4" t="s">
        <v>7834</v>
      </c>
      <c r="Q100" s="4" t="s">
        <v>1964</v>
      </c>
      <c r="R100" s="2" t="b">
        <v>0</v>
      </c>
    </row>
    <row r="101" spans="1:18">
      <c r="A101" s="5" t="s">
        <v>2999</v>
      </c>
      <c r="B101" s="5" t="s">
        <v>4148</v>
      </c>
      <c r="C101" s="4" t="s">
        <v>8007</v>
      </c>
      <c r="D101" s="2">
        <v>1</v>
      </c>
      <c r="E101" s="2">
        <v>6</v>
      </c>
      <c r="F101" s="2">
        <v>3</v>
      </c>
      <c r="G101" s="2">
        <v>14</v>
      </c>
      <c r="H101" s="8" cm="1">
        <f t="array" ref="H101">_xlfn.LET(_xlpm.s,IFERROR(--F101,""),_xlpm.e,IFERROR(--G101,""),IF(OR(_xlpm.s="",_xlpm.e="",_xlpm.e&lt;_xlpm.s),"",_xlfn.LET(_xlpm.p,_xlfn.SEQUENCE(_xlpm.e-_xlpm.s+1,1,_xlpm.s,1),SUM(1/COUNTIFS($D:$D,D101,$E:$E,E101,$F:$F,"&lt;&gt;N/A",$G:$G,"&lt;&gt;N/A",$F:$F,"&lt;="&amp;_xlpm.p,$G:$G,"&gt;="&amp;_xlpm.p)))))</f>
        <v>12</v>
      </c>
      <c r="I101" s="3" t="s">
        <v>196</v>
      </c>
      <c r="J101" s="3" t="s">
        <v>109</v>
      </c>
      <c r="K101" s="4" t="s">
        <v>7</v>
      </c>
      <c r="L101" s="4" t="s">
        <v>7</v>
      </c>
      <c r="M101" s="5" t="s">
        <v>7</v>
      </c>
      <c r="N101" s="4" t="s">
        <v>7</v>
      </c>
      <c r="O101" s="4" t="s">
        <v>778</v>
      </c>
      <c r="P101" s="4" t="s">
        <v>7834</v>
      </c>
      <c r="Q101" s="4" t="s">
        <v>2027</v>
      </c>
      <c r="R101" s="2" t="b">
        <v>0</v>
      </c>
    </row>
    <row r="102" spans="1:18">
      <c r="A102" s="5" t="s">
        <v>2999</v>
      </c>
      <c r="B102" s="5" t="s">
        <v>4149</v>
      </c>
      <c r="C102" s="4" t="s">
        <v>8007</v>
      </c>
      <c r="D102" s="2">
        <v>1</v>
      </c>
      <c r="E102" s="2">
        <v>6</v>
      </c>
      <c r="F102" s="2">
        <v>15</v>
      </c>
      <c r="G102" s="2">
        <v>22</v>
      </c>
      <c r="H102" s="8" cm="1">
        <f t="array" ref="H102">_xlfn.LET(_xlpm.s,IFERROR(--F102,""),_xlpm.e,IFERROR(--G102,""),IF(OR(_xlpm.s="",_xlpm.e="",_xlpm.e&lt;_xlpm.s),"",_xlfn.LET(_xlpm.p,_xlfn.SEQUENCE(_xlpm.e-_xlpm.s+1,1,_xlpm.s,1),SUM(1/COUNTIFS($D:$D,D102,$E:$E,E102,$F:$F,"&lt;&gt;N/A",$G:$G,"&lt;&gt;N/A",$F:$F,"&lt;="&amp;_xlpm.p,$G:$G,"&gt;="&amp;_xlpm.p)))))</f>
        <v>7.5</v>
      </c>
      <c r="I102" s="3" t="s">
        <v>112</v>
      </c>
      <c r="J102" s="3" t="s">
        <v>110</v>
      </c>
      <c r="K102" s="4" t="s">
        <v>4497</v>
      </c>
      <c r="L102" s="4" t="s">
        <v>7</v>
      </c>
      <c r="M102" s="5" t="s">
        <v>7</v>
      </c>
      <c r="N102" s="4" t="s">
        <v>7</v>
      </c>
      <c r="O102" s="4" t="s">
        <v>778</v>
      </c>
      <c r="P102" s="4" t="s">
        <v>7834</v>
      </c>
      <c r="Q102" t="s">
        <v>2028</v>
      </c>
      <c r="R102" s="2" t="b">
        <v>0</v>
      </c>
    </row>
    <row r="103" spans="1:18">
      <c r="A103" s="5" t="s">
        <v>2999</v>
      </c>
      <c r="B103" s="5" t="s">
        <v>4150</v>
      </c>
      <c r="C103" s="4" t="s">
        <v>8007</v>
      </c>
      <c r="D103" s="2">
        <v>1</v>
      </c>
      <c r="E103" s="2">
        <v>6</v>
      </c>
      <c r="F103" s="2">
        <v>22</v>
      </c>
      <c r="G103" s="2">
        <v>27</v>
      </c>
      <c r="H103" s="8" cm="1">
        <f t="array" ref="H103">_xlfn.LET(_xlpm.s,IFERROR(--F103,""),_xlpm.e,IFERROR(--G103,""),IF(OR(_xlpm.s="",_xlpm.e="",_xlpm.e&lt;_xlpm.s),"",_xlfn.LET(_xlpm.p,_xlfn.SEQUENCE(_xlpm.e-_xlpm.s+1,1,_xlpm.s,1),SUM(1/COUNTIFS($D:$D,D103,$E:$E,E103,$F:$F,"&lt;&gt;N/A",$G:$G,"&lt;&gt;N/A",$F:$F,"&lt;="&amp;_xlpm.p,$G:$G,"&gt;="&amp;_xlpm.p)))))</f>
        <v>5</v>
      </c>
      <c r="I103" s="3" t="s">
        <v>112</v>
      </c>
      <c r="J103" s="3" t="s">
        <v>111</v>
      </c>
      <c r="K103" s="4" t="s">
        <v>7</v>
      </c>
      <c r="L103" s="4" t="s">
        <v>7</v>
      </c>
      <c r="M103" s="5" t="s">
        <v>7</v>
      </c>
      <c r="N103" s="4" t="s">
        <v>7</v>
      </c>
      <c r="O103" s="4" t="s">
        <v>778</v>
      </c>
      <c r="P103" s="4" t="s">
        <v>7834</v>
      </c>
      <c r="Q103" s="4" t="s">
        <v>2029</v>
      </c>
      <c r="R103" s="2" t="b">
        <v>0</v>
      </c>
    </row>
    <row r="104" spans="1:18">
      <c r="A104" s="5" t="s">
        <v>2999</v>
      </c>
      <c r="B104" s="5" t="s">
        <v>4151</v>
      </c>
      <c r="C104" s="4" t="s">
        <v>8007</v>
      </c>
      <c r="D104" s="2">
        <v>1</v>
      </c>
      <c r="E104" s="2">
        <v>6</v>
      </c>
      <c r="F104" s="2">
        <v>27</v>
      </c>
      <c r="G104" s="2">
        <v>27</v>
      </c>
      <c r="H104" s="8" cm="1">
        <f t="array" ref="H104">_xlfn.LET(_xlpm.s,IFERROR(--F104,""),_xlpm.e,IFERROR(--G104,""),IF(OR(_xlpm.s="",_xlpm.e="",_xlpm.e&lt;_xlpm.s),"",_xlfn.LET(_xlpm.p,_xlfn.SEQUENCE(_xlpm.e-_xlpm.s+1,1,_xlpm.s,1),SUM(1/COUNTIFS($D:$D,D104,$E:$E,E104,$F:$F,"&lt;&gt;N/A",$G:$G,"&lt;&gt;N/A",$F:$F,"&lt;="&amp;_xlpm.p,$G:$G,"&gt;="&amp;_xlpm.p)))))</f>
        <v>0.5</v>
      </c>
      <c r="I104" s="3" t="s">
        <v>112</v>
      </c>
      <c r="J104" s="3" t="s">
        <v>113</v>
      </c>
      <c r="K104" s="4" t="s">
        <v>20</v>
      </c>
      <c r="L104" s="4" t="s">
        <v>7</v>
      </c>
      <c r="M104" s="5" t="s">
        <v>7</v>
      </c>
      <c r="N104" s="4" t="s">
        <v>7</v>
      </c>
      <c r="O104" s="4" t="s">
        <v>778</v>
      </c>
      <c r="P104" s="4" t="s">
        <v>7834</v>
      </c>
      <c r="R104" s="2" t="b">
        <v>0</v>
      </c>
    </row>
    <row r="105" spans="1:18">
      <c r="A105" s="5" t="s">
        <v>2999</v>
      </c>
      <c r="B105" s="5" t="s">
        <v>4152</v>
      </c>
      <c r="C105" s="4" t="s">
        <v>8007</v>
      </c>
      <c r="D105" s="2">
        <v>1</v>
      </c>
      <c r="E105" s="2">
        <v>6</v>
      </c>
      <c r="F105" s="2">
        <v>28</v>
      </c>
      <c r="G105" s="2">
        <v>30</v>
      </c>
      <c r="H105" s="8" cm="1">
        <f t="array" ref="H105">_xlfn.LET(_xlpm.s,IFERROR(--F105,""),_xlpm.e,IFERROR(--G105,""),IF(OR(_xlpm.s="",_xlpm.e="",_xlpm.e&lt;_xlpm.s),"",_xlfn.LET(_xlpm.p,_xlfn.SEQUENCE(_xlpm.e-_xlpm.s+1,1,_xlpm.s,1),SUM(1/COUNTIFS($D:$D,D105,$E:$E,E105,$F:$F,"&lt;&gt;N/A",$G:$G,"&lt;&gt;N/A",$F:$F,"&lt;="&amp;_xlpm.p,$G:$G,"&gt;="&amp;_xlpm.p)))))</f>
        <v>3</v>
      </c>
      <c r="I105" s="3" t="s">
        <v>112</v>
      </c>
      <c r="J105" s="3" t="s">
        <v>114</v>
      </c>
      <c r="K105" s="4" t="s">
        <v>125</v>
      </c>
      <c r="L105" s="4" t="s">
        <v>7</v>
      </c>
      <c r="M105" s="5" t="s">
        <v>7</v>
      </c>
      <c r="N105" s="4" t="s">
        <v>7</v>
      </c>
      <c r="O105" s="4" t="s">
        <v>778</v>
      </c>
      <c r="P105" s="4" t="s">
        <v>7834</v>
      </c>
      <c r="Q105" s="4" t="s">
        <v>2036</v>
      </c>
      <c r="R105" s="2" t="b">
        <v>0</v>
      </c>
    </row>
    <row r="106" spans="1:18">
      <c r="A106" s="5" t="s">
        <v>2999</v>
      </c>
      <c r="B106" s="5" t="s">
        <v>4153</v>
      </c>
      <c r="C106" s="4" t="s">
        <v>8007</v>
      </c>
      <c r="D106" s="2">
        <v>1</v>
      </c>
      <c r="E106" s="2">
        <v>6</v>
      </c>
      <c r="F106" s="2">
        <v>31</v>
      </c>
      <c r="G106" s="2">
        <v>43</v>
      </c>
      <c r="H106" s="8" cm="1">
        <f t="array" ref="H106">_xlfn.LET(_xlpm.s,IFERROR(--F106,""),_xlpm.e,IFERROR(--G106,""),IF(OR(_xlpm.s="",_xlpm.e="",_xlpm.e&lt;_xlpm.s),"",_xlfn.LET(_xlpm.p,_xlfn.SEQUENCE(_xlpm.e-_xlpm.s+1,1,_xlpm.s,1),SUM(1/COUNTIFS($D:$D,D106,$E:$E,E106,$F:$F,"&lt;&gt;N/A",$G:$G,"&lt;&gt;N/A",$F:$F,"&lt;="&amp;_xlpm.p,$G:$G,"&gt;="&amp;_xlpm.p)))))</f>
        <v>13</v>
      </c>
      <c r="I106" s="3" t="s">
        <v>8</v>
      </c>
      <c r="J106" s="3" t="s">
        <v>115</v>
      </c>
      <c r="K106" s="4" t="s">
        <v>12</v>
      </c>
      <c r="L106" s="5" t="s">
        <v>7</v>
      </c>
      <c r="M106" s="5" t="s">
        <v>7</v>
      </c>
      <c r="N106" t="s">
        <v>7700</v>
      </c>
      <c r="O106" s="4" t="s">
        <v>11522</v>
      </c>
      <c r="P106" s="4" t="s">
        <v>8020</v>
      </c>
      <c r="Q106" s="4" t="s">
        <v>11523</v>
      </c>
      <c r="R106" s="2" t="b">
        <v>1</v>
      </c>
    </row>
    <row r="107" spans="1:18">
      <c r="A107" s="5" t="s">
        <v>2999</v>
      </c>
      <c r="B107" s="5" t="s">
        <v>4154</v>
      </c>
      <c r="C107" s="4" t="s">
        <v>8007</v>
      </c>
      <c r="D107" s="2">
        <v>1</v>
      </c>
      <c r="E107" s="2">
        <v>6</v>
      </c>
      <c r="F107" s="2">
        <v>44</v>
      </c>
      <c r="G107" s="2">
        <v>57</v>
      </c>
      <c r="H107" s="8" cm="1">
        <f t="array" ref="H107">_xlfn.LET(_xlpm.s,IFERROR(--F107,""),_xlpm.e,IFERROR(--G107,""),IF(OR(_xlpm.s="",_xlpm.e="",_xlpm.e&lt;_xlpm.s),"",_xlfn.LET(_xlpm.p,_xlfn.SEQUENCE(_xlpm.e-_xlpm.s+1,1,_xlpm.s,1),SUM(1/COUNTIFS($D:$D,D107,$E:$E,E107,$F:$F,"&lt;&gt;N/A",$G:$G,"&lt;&gt;N/A",$F:$F,"&lt;="&amp;_xlpm.p,$G:$G,"&gt;="&amp;_xlpm.p)))))</f>
        <v>14</v>
      </c>
      <c r="I107" s="3" t="s">
        <v>54</v>
      </c>
      <c r="J107" s="3" t="s">
        <v>116</v>
      </c>
      <c r="K107" s="4" t="s">
        <v>7</v>
      </c>
      <c r="L107" s="4" t="s">
        <v>7</v>
      </c>
      <c r="M107" s="5" t="s">
        <v>7</v>
      </c>
      <c r="N107" s="4" t="s">
        <v>7</v>
      </c>
      <c r="O107" s="4" t="s">
        <v>778</v>
      </c>
      <c r="P107" s="4" t="s">
        <v>7834</v>
      </c>
      <c r="R107" s="2" t="b">
        <v>0</v>
      </c>
    </row>
    <row r="108" spans="1:18">
      <c r="A108" s="5" t="s">
        <v>2999</v>
      </c>
      <c r="B108" s="5" t="s">
        <v>4155</v>
      </c>
      <c r="C108" s="4" t="s">
        <v>8007</v>
      </c>
      <c r="D108" s="2">
        <v>1</v>
      </c>
      <c r="E108" s="2">
        <v>6</v>
      </c>
      <c r="F108" s="2">
        <v>58</v>
      </c>
      <c r="G108" s="2">
        <v>70</v>
      </c>
      <c r="H108" s="8" cm="1">
        <f t="array" ref="H108">_xlfn.LET(_xlpm.s,IFERROR(--F108,""),_xlpm.e,IFERROR(--G108,""),IF(OR(_xlpm.s="",_xlpm.e="",_xlpm.e&lt;_xlpm.s),"",_xlfn.LET(_xlpm.p,_xlfn.SEQUENCE(_xlpm.e-_xlpm.s+1,1,_xlpm.s,1),SUM(1/COUNTIFS($D:$D,D108,$E:$E,E108,$F:$F,"&lt;&gt;N/A",$G:$G,"&lt;&gt;N/A",$F:$F,"&lt;="&amp;_xlpm.p,$G:$G,"&gt;="&amp;_xlpm.p)))))</f>
        <v>13</v>
      </c>
      <c r="I108" s="3" t="s">
        <v>117</v>
      </c>
      <c r="J108" s="3" t="s">
        <v>118</v>
      </c>
      <c r="K108" s="5" t="s">
        <v>7</v>
      </c>
      <c r="L108" s="5" t="s">
        <v>7</v>
      </c>
      <c r="M108" s="5" t="s">
        <v>7</v>
      </c>
      <c r="N108" s="5" t="s">
        <v>2405</v>
      </c>
      <c r="O108" s="4" t="s">
        <v>10264</v>
      </c>
      <c r="P108" s="4" t="s">
        <v>8020</v>
      </c>
      <c r="R108" s="2" t="b">
        <v>1</v>
      </c>
    </row>
    <row r="109" spans="1:18">
      <c r="A109" s="5" t="s">
        <v>2999</v>
      </c>
      <c r="B109" s="5" t="s">
        <v>4156</v>
      </c>
      <c r="C109" s="4" t="s">
        <v>8007</v>
      </c>
      <c r="D109" s="2">
        <v>1</v>
      </c>
      <c r="E109" s="2">
        <v>6</v>
      </c>
      <c r="F109" s="2">
        <v>71</v>
      </c>
      <c r="G109" s="2">
        <v>77</v>
      </c>
      <c r="H109" s="8" cm="1">
        <f t="array" ref="H109">_xlfn.LET(_xlpm.s,IFERROR(--F109,""),_xlpm.e,IFERROR(--G109,""),IF(OR(_xlpm.s="",_xlpm.e="",_xlpm.e&lt;_xlpm.s),"",_xlfn.LET(_xlpm.p,_xlfn.SEQUENCE(_xlpm.e-_xlpm.s+1,1,_xlpm.s,1),SUM(1/COUNTIFS($D:$D,D109,$E:$E,E109,$F:$F,"&lt;&gt;N/A",$G:$G,"&lt;&gt;N/A",$F:$F,"&lt;="&amp;_xlpm.p,$G:$G,"&gt;="&amp;_xlpm.p)))))</f>
        <v>6.5</v>
      </c>
      <c r="I109" s="3" t="s">
        <v>59</v>
      </c>
      <c r="J109" s="3" t="s">
        <v>119</v>
      </c>
      <c r="K109" s="15" t="s">
        <v>1236</v>
      </c>
      <c r="L109" s="5" t="s">
        <v>7</v>
      </c>
      <c r="M109" s="5" t="s">
        <v>7</v>
      </c>
      <c r="N109" s="5" t="s">
        <v>1943</v>
      </c>
      <c r="O109" s="4" t="s">
        <v>7</v>
      </c>
      <c r="P109" s="4" t="s">
        <v>8020</v>
      </c>
      <c r="R109" s="2" t="b">
        <v>1</v>
      </c>
    </row>
    <row r="110" spans="1:18">
      <c r="A110" s="5" t="s">
        <v>2999</v>
      </c>
      <c r="B110" s="5" t="s">
        <v>4157</v>
      </c>
      <c r="C110" s="4" t="s">
        <v>8007</v>
      </c>
      <c r="D110" s="2">
        <v>1</v>
      </c>
      <c r="E110" s="2">
        <v>6</v>
      </c>
      <c r="F110" s="2">
        <v>77</v>
      </c>
      <c r="G110" s="2">
        <v>86</v>
      </c>
      <c r="H110" s="8" cm="1">
        <f t="array" ref="H110">_xlfn.LET(_xlpm.s,IFERROR(--F110,""),_xlpm.e,IFERROR(--G110,""),IF(OR(_xlpm.s="",_xlpm.e="",_xlpm.e&lt;_xlpm.s),"",_xlfn.LET(_xlpm.p,_xlfn.SEQUENCE(_xlpm.e-_xlpm.s+1,1,_xlpm.s,1),SUM(1/COUNTIFS($D:$D,D110,$E:$E,E110,$F:$F,"&lt;&gt;N/A",$G:$G,"&lt;&gt;N/A",$F:$F,"&lt;="&amp;_xlpm.p,$G:$G,"&gt;="&amp;_xlpm.p)))))</f>
        <v>9.5</v>
      </c>
      <c r="I110" s="3" t="s">
        <v>30</v>
      </c>
      <c r="J110" s="3" t="s">
        <v>120</v>
      </c>
      <c r="K110" s="4" t="s">
        <v>7</v>
      </c>
      <c r="L110" s="4" t="s">
        <v>7</v>
      </c>
      <c r="M110" s="5" t="s">
        <v>7</v>
      </c>
      <c r="N110" s="4" t="s">
        <v>7</v>
      </c>
      <c r="O110" s="4" t="s">
        <v>778</v>
      </c>
      <c r="P110" s="4" t="s">
        <v>7834</v>
      </c>
      <c r="Q110" s="4" t="s">
        <v>2026</v>
      </c>
      <c r="R110" s="2" t="b">
        <v>0</v>
      </c>
    </row>
    <row r="111" spans="1:18">
      <c r="A111" s="5" t="s">
        <v>2999</v>
      </c>
      <c r="B111" s="5" t="s">
        <v>4158</v>
      </c>
      <c r="C111" s="4" t="s">
        <v>8007</v>
      </c>
      <c r="D111" s="2">
        <v>1</v>
      </c>
      <c r="E111" s="2">
        <v>6</v>
      </c>
      <c r="F111" s="2">
        <v>87</v>
      </c>
      <c r="G111" s="2">
        <v>90</v>
      </c>
      <c r="H111" s="8" cm="1">
        <f t="array" ref="H111">_xlfn.LET(_xlpm.s,IFERROR(--F111,""),_xlpm.e,IFERROR(--G111,""),IF(OR(_xlpm.s="",_xlpm.e="",_xlpm.e&lt;_xlpm.s),"",_xlfn.LET(_xlpm.p,_xlfn.SEQUENCE(_xlpm.e-_xlpm.s+1,1,_xlpm.s,1),SUM(1/COUNTIFS($D:$D,D111,$E:$E,E111,$F:$F,"&lt;&gt;N/A",$G:$G,"&lt;&gt;N/A",$F:$F,"&lt;="&amp;_xlpm.p,$G:$G,"&gt;="&amp;_xlpm.p)))))</f>
        <v>3.5</v>
      </c>
      <c r="I111" s="3" t="s">
        <v>7</v>
      </c>
      <c r="J111" s="3" t="s">
        <v>121</v>
      </c>
      <c r="K111" s="4" t="s">
        <v>7</v>
      </c>
      <c r="L111" s="4" t="s">
        <v>7</v>
      </c>
      <c r="M111" s="5" t="s">
        <v>7</v>
      </c>
      <c r="N111" s="4" t="s">
        <v>7</v>
      </c>
      <c r="O111" s="4" t="s">
        <v>778</v>
      </c>
      <c r="P111" s="4" t="s">
        <v>7834</v>
      </c>
      <c r="Q111" s="4" t="s">
        <v>2025</v>
      </c>
      <c r="R111" s="2" t="b">
        <v>0</v>
      </c>
    </row>
    <row r="112" spans="1:18">
      <c r="A112" s="5" t="s">
        <v>2999</v>
      </c>
      <c r="B112" s="5" t="s">
        <v>4159</v>
      </c>
      <c r="C112" s="4" t="s">
        <v>8007</v>
      </c>
      <c r="D112" s="2">
        <v>1</v>
      </c>
      <c r="E112" s="2">
        <v>6</v>
      </c>
      <c r="F112" s="2">
        <v>90</v>
      </c>
      <c r="G112" s="2">
        <v>95</v>
      </c>
      <c r="H112" s="8" cm="1">
        <f t="array" ref="H112">_xlfn.LET(_xlpm.s,IFERROR(--F112,""),_xlpm.e,IFERROR(--G112,""),IF(OR(_xlpm.s="",_xlpm.e="",_xlpm.e&lt;_xlpm.s),"",_xlfn.LET(_xlpm.p,_xlfn.SEQUENCE(_xlpm.e-_xlpm.s+1,1,_xlpm.s,1),SUM(1/COUNTIFS($D:$D,D112,$E:$E,E112,$F:$F,"&lt;&gt;N/A",$G:$G,"&lt;&gt;N/A",$F:$F,"&lt;="&amp;_xlpm.p,$G:$G,"&gt;="&amp;_xlpm.p)))))</f>
        <v>5</v>
      </c>
      <c r="I112" s="3" t="s">
        <v>7</v>
      </c>
      <c r="J112" s="3" t="s">
        <v>122</v>
      </c>
      <c r="K112" s="4" t="s">
        <v>7</v>
      </c>
      <c r="L112" s="4" t="s">
        <v>7</v>
      </c>
      <c r="M112" s="5" t="s">
        <v>7</v>
      </c>
      <c r="N112" s="4" t="s">
        <v>7</v>
      </c>
      <c r="O112" s="4" t="s">
        <v>778</v>
      </c>
      <c r="P112" s="4" t="s">
        <v>7834</v>
      </c>
      <c r="Q112" s="4" t="s">
        <v>2024</v>
      </c>
      <c r="R112" s="2" t="b">
        <v>0</v>
      </c>
    </row>
    <row r="113" spans="1:18">
      <c r="A113" s="5" t="s">
        <v>2999</v>
      </c>
      <c r="B113" s="5" t="s">
        <v>4160</v>
      </c>
      <c r="C113" s="4" t="s">
        <v>8007</v>
      </c>
      <c r="D113" s="2">
        <v>1</v>
      </c>
      <c r="E113" s="2">
        <v>6</v>
      </c>
      <c r="F113" s="2">
        <v>95</v>
      </c>
      <c r="G113" s="2">
        <v>98</v>
      </c>
      <c r="H113" s="8" cm="1">
        <f t="array" ref="H113">_xlfn.LET(_xlpm.s,IFERROR(--F113,""),_xlpm.e,IFERROR(--G113,""),IF(OR(_xlpm.s="",_xlpm.e="",_xlpm.e&lt;_xlpm.s),"",_xlfn.LET(_xlpm.p,_xlfn.SEQUENCE(_xlpm.e-_xlpm.s+1,1,_xlpm.s,1),SUM(1/COUNTIFS($D:$D,D113,$E:$E,E113,$F:$F,"&lt;&gt;N/A",$G:$G,"&lt;&gt;N/A",$F:$F,"&lt;="&amp;_xlpm.p,$G:$G,"&gt;="&amp;_xlpm.p)))))</f>
        <v>3.5</v>
      </c>
      <c r="I113" s="3" t="s">
        <v>7</v>
      </c>
      <c r="J113" s="3" t="s">
        <v>123</v>
      </c>
      <c r="K113" s="4" t="s">
        <v>161</v>
      </c>
      <c r="L113" s="4" t="s">
        <v>7</v>
      </c>
      <c r="M113" s="5" t="s">
        <v>7</v>
      </c>
      <c r="N113" s="4" t="s">
        <v>7</v>
      </c>
      <c r="O113" s="4" t="s">
        <v>778</v>
      </c>
      <c r="P113" s="4" t="s">
        <v>7834</v>
      </c>
      <c r="Q113" s="4" t="s">
        <v>2023</v>
      </c>
      <c r="R113" s="2" t="b">
        <v>0</v>
      </c>
    </row>
    <row r="114" spans="1:18">
      <c r="A114" s="5" t="s">
        <v>2999</v>
      </c>
      <c r="B114" s="5" t="s">
        <v>4161</v>
      </c>
      <c r="C114" s="4" t="s">
        <v>8007</v>
      </c>
      <c r="D114" s="2">
        <v>1</v>
      </c>
      <c r="E114" s="2">
        <v>6</v>
      </c>
      <c r="F114" s="2">
        <v>99</v>
      </c>
      <c r="G114" s="2">
        <v>100</v>
      </c>
      <c r="H114" s="8" cm="1">
        <f t="array" ref="H114">_xlfn.LET(_xlpm.s,IFERROR(--F114,""),_xlpm.e,IFERROR(--G114,""),IF(OR(_xlpm.s="",_xlpm.e="",_xlpm.e&lt;_xlpm.s),"",_xlfn.LET(_xlpm.p,_xlfn.SEQUENCE(_xlpm.e-_xlpm.s+1,1,_xlpm.s,1),SUM(1/COUNTIFS($D:$D,D114,$E:$E,E114,$F:$F,"&lt;&gt;N/A",$G:$G,"&lt;&gt;N/A",$F:$F,"&lt;="&amp;_xlpm.p,$G:$G,"&gt;="&amp;_xlpm.p)))))</f>
        <v>2</v>
      </c>
      <c r="I114" s="3" t="s">
        <v>7</v>
      </c>
      <c r="J114" s="3" t="s">
        <v>108</v>
      </c>
      <c r="K114" s="4" t="s">
        <v>7</v>
      </c>
      <c r="L114" s="4" t="s">
        <v>7</v>
      </c>
      <c r="M114" s="5" t="s">
        <v>7</v>
      </c>
      <c r="N114" s="4" t="s">
        <v>7</v>
      </c>
      <c r="O114" s="4" t="s">
        <v>778</v>
      </c>
      <c r="P114" s="4" t="s">
        <v>7834</v>
      </c>
      <c r="Q114" s="4" t="s">
        <v>2011</v>
      </c>
      <c r="R114" s="2" t="b">
        <v>0</v>
      </c>
    </row>
    <row r="115" spans="1:18">
      <c r="A115" s="5" t="s">
        <v>2999</v>
      </c>
      <c r="B115" s="5" t="s">
        <v>4162</v>
      </c>
      <c r="C115" s="4" t="s">
        <v>8007</v>
      </c>
      <c r="D115" s="2">
        <v>1</v>
      </c>
      <c r="E115" s="2">
        <v>6</v>
      </c>
      <c r="F115" s="2">
        <v>103</v>
      </c>
      <c r="G115" s="2">
        <v>107</v>
      </c>
      <c r="H115" s="8" cm="1">
        <f t="array" ref="H115">_xlfn.LET(_xlpm.s,IFERROR(--F115,""),_xlpm.e,IFERROR(--G115,""),IF(OR(_xlpm.s="",_xlpm.e="",_xlpm.e&lt;_xlpm.s),"",_xlfn.LET(_xlpm.p,_xlfn.SEQUENCE(_xlpm.e-_xlpm.s+1,1,_xlpm.s,1),SUM(1/COUNTIFS($D:$D,D115,$E:$E,E115,$F:$F,"&lt;&gt;N/A",$G:$G,"&lt;&gt;N/A",$F:$F,"&lt;="&amp;_xlpm.p,$G:$G,"&gt;="&amp;_xlpm.p)))))</f>
        <v>5</v>
      </c>
      <c r="I115" s="3" t="s">
        <v>7</v>
      </c>
      <c r="J115" s="3" t="s">
        <v>4035</v>
      </c>
      <c r="K115" s="4" t="s">
        <v>7</v>
      </c>
      <c r="L115" s="4" t="s">
        <v>7</v>
      </c>
      <c r="M115" s="5" t="s">
        <v>7</v>
      </c>
      <c r="N115" s="4" t="s">
        <v>7</v>
      </c>
      <c r="O115" s="4" t="s">
        <v>778</v>
      </c>
      <c r="P115" s="4" t="s">
        <v>7834</v>
      </c>
      <c r="R115" s="2" t="b">
        <v>0</v>
      </c>
    </row>
    <row r="116" spans="1:18">
      <c r="A116" s="5" t="s">
        <v>3000</v>
      </c>
      <c r="B116" s="5" t="s">
        <v>4163</v>
      </c>
      <c r="C116" s="4" t="s">
        <v>8001</v>
      </c>
      <c r="D116" s="2">
        <v>2</v>
      </c>
      <c r="E116" s="2">
        <v>1</v>
      </c>
      <c r="F116" s="2">
        <v>3</v>
      </c>
      <c r="G116" s="2">
        <v>11</v>
      </c>
      <c r="H116" s="8" cm="1">
        <f t="array" ref="H116">_xlfn.LET(_xlpm.s,IFERROR(--F116,""),_xlpm.e,IFERROR(--G116,""),IF(OR(_xlpm.s="",_xlpm.e="",_xlpm.e&lt;_xlpm.s),"",_xlfn.LET(_xlpm.p,_xlfn.SEQUENCE(_xlpm.e-_xlpm.s+1,1,_xlpm.s,1),SUM(1/COUNTIFS($D:$D,D116,$E:$E,E116,$F:$F,"&lt;&gt;N/A",$G:$G,"&lt;&gt;N/A",$F:$F,"&lt;="&amp;_xlpm.p,$G:$G,"&gt;="&amp;_xlpm.p)))))</f>
        <v>8.5</v>
      </c>
      <c r="I116" s="3" t="s">
        <v>44</v>
      </c>
      <c r="J116" s="3" t="s">
        <v>126</v>
      </c>
      <c r="K116" s="4" t="s">
        <v>595</v>
      </c>
      <c r="L116" s="5" t="s">
        <v>7</v>
      </c>
      <c r="M116" s="5" t="s">
        <v>7</v>
      </c>
      <c r="N116" t="s">
        <v>7703</v>
      </c>
      <c r="O116" s="4" t="s">
        <v>5072</v>
      </c>
      <c r="P116" s="4" t="s">
        <v>8021</v>
      </c>
      <c r="R116" s="1" t="b">
        <v>1</v>
      </c>
    </row>
    <row r="117" spans="1:18">
      <c r="A117" s="5" t="s">
        <v>3000</v>
      </c>
      <c r="B117" s="5" t="s">
        <v>4164</v>
      </c>
      <c r="C117" s="4" t="s">
        <v>8001</v>
      </c>
      <c r="D117" s="2">
        <v>2</v>
      </c>
      <c r="E117" s="2">
        <v>1</v>
      </c>
      <c r="F117" s="2">
        <v>11</v>
      </c>
      <c r="G117" s="2">
        <v>17</v>
      </c>
      <c r="H117" s="8" cm="1">
        <f t="array" ref="H117">_xlfn.LET(_xlpm.s,IFERROR(--F117,""),_xlpm.e,IFERROR(--G117,""),IF(OR(_xlpm.s="",_xlpm.e="",_xlpm.e&lt;_xlpm.s),"",_xlfn.LET(_xlpm.p,_xlfn.SEQUENCE(_xlpm.e-_xlpm.s+1,1,_xlpm.s,1),SUM(1/COUNTIFS($D:$D,D117,$E:$E,E117,$F:$F,"&lt;&gt;N/A",$G:$G,"&lt;&gt;N/A",$F:$F,"&lt;="&amp;_xlpm.p,$G:$G,"&gt;="&amp;_xlpm.p)))))</f>
        <v>6</v>
      </c>
      <c r="I117" s="3" t="s">
        <v>127</v>
      </c>
      <c r="J117" s="3" t="s">
        <v>128</v>
      </c>
      <c r="K117" s="4" t="s">
        <v>1007</v>
      </c>
      <c r="L117" t="s">
        <v>7</v>
      </c>
      <c r="M117" s="5" t="s">
        <v>7</v>
      </c>
      <c r="N117" t="s">
        <v>7</v>
      </c>
      <c r="O117" s="4" t="s">
        <v>778</v>
      </c>
      <c r="P117" s="4" t="s">
        <v>7834</v>
      </c>
      <c r="R117" s="1" t="b">
        <v>1</v>
      </c>
    </row>
    <row r="118" spans="1:18">
      <c r="A118" s="5" t="s">
        <v>3000</v>
      </c>
      <c r="B118" s="5" t="s">
        <v>4165</v>
      </c>
      <c r="C118" s="4" t="s">
        <v>8001</v>
      </c>
      <c r="D118" s="2">
        <v>2</v>
      </c>
      <c r="E118" s="2">
        <v>1</v>
      </c>
      <c r="F118" s="2">
        <v>17</v>
      </c>
      <c r="G118" s="2">
        <v>35</v>
      </c>
      <c r="H118" s="8" cm="1">
        <f t="array" ref="H118">_xlfn.LET(_xlpm.s,IFERROR(--F118,""),_xlpm.e,IFERROR(--G118,""),IF(OR(_xlpm.s="",_xlpm.e="",_xlpm.e&lt;_xlpm.s),"",_xlfn.LET(_xlpm.p,_xlfn.SEQUENCE(_xlpm.e-_xlpm.s+1,1,_xlpm.s,1),SUM(1/COUNTIFS($D:$D,D118,$E:$E,E118,$F:$F,"&lt;&gt;N/A",$G:$G,"&lt;&gt;N/A",$F:$F,"&lt;="&amp;_xlpm.p,$G:$G,"&gt;="&amp;_xlpm.p)))))</f>
        <v>18</v>
      </c>
      <c r="I118" s="3" t="s">
        <v>11</v>
      </c>
      <c r="J118" s="3" t="s">
        <v>129</v>
      </c>
      <c r="K118" s="4" t="s">
        <v>131</v>
      </c>
      <c r="L118" s="5" t="s">
        <v>7</v>
      </c>
      <c r="M118" s="5" t="s">
        <v>7</v>
      </c>
      <c r="N118" t="s">
        <v>7</v>
      </c>
      <c r="O118" s="4" t="s">
        <v>778</v>
      </c>
      <c r="P118" s="4" t="s">
        <v>7834</v>
      </c>
      <c r="Q118" s="4" t="s">
        <v>2005</v>
      </c>
      <c r="R118" s="1" t="b">
        <v>1</v>
      </c>
    </row>
    <row r="119" spans="1:18">
      <c r="A119" s="5" t="s">
        <v>3000</v>
      </c>
      <c r="B119" s="5" t="s">
        <v>4166</v>
      </c>
      <c r="C119" s="4" t="s">
        <v>8001</v>
      </c>
      <c r="D119" s="2">
        <v>2</v>
      </c>
      <c r="E119" s="2">
        <v>1</v>
      </c>
      <c r="F119" s="2">
        <v>35</v>
      </c>
      <c r="G119" s="2">
        <v>38</v>
      </c>
      <c r="H119" s="8" cm="1">
        <f t="array" ref="H119">_xlfn.LET(_xlpm.s,IFERROR(--F119,""),_xlpm.e,IFERROR(--G119,""),IF(OR(_xlpm.s="",_xlpm.e="",_xlpm.e&lt;_xlpm.s),"",_xlfn.LET(_xlpm.p,_xlfn.SEQUENCE(_xlpm.e-_xlpm.s+1,1,_xlpm.s,1),SUM(1/COUNTIFS($D:$D,D119,$E:$E,E119,$F:$F,"&lt;&gt;N/A",$G:$G,"&lt;&gt;N/A",$F:$F,"&lt;="&amp;_xlpm.p,$G:$G,"&gt;="&amp;_xlpm.p)))))</f>
        <v>3</v>
      </c>
      <c r="I119" s="3" t="s">
        <v>2</v>
      </c>
      <c r="J119" s="3" t="s">
        <v>3200</v>
      </c>
      <c r="K119" s="4" t="s">
        <v>130</v>
      </c>
      <c r="L119" s="5" t="s">
        <v>7</v>
      </c>
      <c r="M119" s="5" t="s">
        <v>7</v>
      </c>
      <c r="N119" s="5" t="s">
        <v>7</v>
      </c>
      <c r="O119" s="4" t="s">
        <v>778</v>
      </c>
      <c r="P119" s="4" t="s">
        <v>7834</v>
      </c>
      <c r="Q119" s="4" t="s">
        <v>2006</v>
      </c>
      <c r="R119" s="1" t="b">
        <v>1</v>
      </c>
    </row>
    <row r="120" spans="1:18">
      <c r="A120" s="5" t="s">
        <v>3000</v>
      </c>
      <c r="B120" s="5" t="s">
        <v>4167</v>
      </c>
      <c r="C120" s="4" t="s">
        <v>8001</v>
      </c>
      <c r="D120" s="2">
        <v>2</v>
      </c>
      <c r="E120" s="2">
        <v>1</v>
      </c>
      <c r="F120" s="2">
        <v>38</v>
      </c>
      <c r="G120" s="2">
        <v>40</v>
      </c>
      <c r="H120" s="8" cm="1">
        <f t="array" ref="H120">_xlfn.LET(_xlpm.s,IFERROR(--F120,""),_xlpm.e,IFERROR(--G120,""),IF(OR(_xlpm.s="",_xlpm.e="",_xlpm.e&lt;_xlpm.s),"",_xlfn.LET(_xlpm.p,_xlfn.SEQUENCE(_xlpm.e-_xlpm.s+1,1,_xlpm.s,1),SUM(1/COUNTIFS($D:$D,D120,$E:$E,E120,$F:$F,"&lt;&gt;N/A",$G:$G,"&lt;&gt;N/A",$F:$F,"&lt;="&amp;_xlpm.p,$G:$G,"&gt;="&amp;_xlpm.p)))))</f>
        <v>2</v>
      </c>
      <c r="I120" s="3" t="s">
        <v>16</v>
      </c>
      <c r="J120" s="3" t="s">
        <v>2998</v>
      </c>
      <c r="K120" s="4" t="s">
        <v>7</v>
      </c>
      <c r="L120" s="4" t="s">
        <v>7</v>
      </c>
      <c r="M120" s="5" t="s">
        <v>7</v>
      </c>
      <c r="N120" s="4" t="s">
        <v>7</v>
      </c>
      <c r="O120" s="4" t="s">
        <v>778</v>
      </c>
      <c r="P120" s="4" t="s">
        <v>7834</v>
      </c>
      <c r="R120" s="2" t="b">
        <v>0</v>
      </c>
    </row>
    <row r="121" spans="1:18">
      <c r="A121" s="5" t="s">
        <v>3000</v>
      </c>
      <c r="B121" s="5" t="s">
        <v>4168</v>
      </c>
      <c r="C121" s="4" t="s">
        <v>8001</v>
      </c>
      <c r="D121" s="2">
        <v>2</v>
      </c>
      <c r="E121" s="2">
        <v>1</v>
      </c>
      <c r="F121" s="2">
        <v>40</v>
      </c>
      <c r="G121" s="2">
        <v>41</v>
      </c>
      <c r="H121" s="8" cm="1">
        <f t="array" ref="H121">_xlfn.LET(_xlpm.s,IFERROR(--F121,""),_xlpm.e,IFERROR(--G121,""),IF(OR(_xlpm.s="",_xlpm.e="",_xlpm.e&lt;_xlpm.s),"",_xlfn.LET(_xlpm.p,_xlfn.SEQUENCE(_xlpm.e-_xlpm.s+1,1,_xlpm.s,1),SUM(1/COUNTIFS($D:$D,D121,$E:$E,E121,$F:$F,"&lt;&gt;N/A",$G:$G,"&lt;&gt;N/A",$F:$F,"&lt;="&amp;_xlpm.p,$G:$G,"&gt;="&amp;_xlpm.p)))))</f>
        <v>1</v>
      </c>
      <c r="I121" s="3" t="s">
        <v>16</v>
      </c>
      <c r="J121" s="3" t="s">
        <v>84</v>
      </c>
      <c r="K121" s="4" t="s">
        <v>1952</v>
      </c>
      <c r="L121" s="4" t="s">
        <v>7</v>
      </c>
      <c r="M121" s="5" t="s">
        <v>7</v>
      </c>
      <c r="N121" s="4" t="s">
        <v>2013</v>
      </c>
      <c r="O121" s="4" t="s">
        <v>10264</v>
      </c>
      <c r="P121" s="4" t="s">
        <v>8020</v>
      </c>
      <c r="R121" s="2" t="b">
        <v>0</v>
      </c>
    </row>
    <row r="122" spans="1:18">
      <c r="A122" s="5" t="s">
        <v>3000</v>
      </c>
      <c r="B122" s="5" t="s">
        <v>4169</v>
      </c>
      <c r="C122" s="4" t="s">
        <v>8001</v>
      </c>
      <c r="D122" s="2">
        <v>2</v>
      </c>
      <c r="E122" s="2">
        <v>1</v>
      </c>
      <c r="F122" s="2">
        <v>41</v>
      </c>
      <c r="G122" s="2">
        <v>42</v>
      </c>
      <c r="H122" s="8" cm="1">
        <f t="array" ref="H122">_xlfn.LET(_xlpm.s,IFERROR(--F122,""),_xlpm.e,IFERROR(--G122,""),IF(OR(_xlpm.s="",_xlpm.e="",_xlpm.e&lt;_xlpm.s),"",_xlfn.LET(_xlpm.p,_xlfn.SEQUENCE(_xlpm.e-_xlpm.s+1,1,_xlpm.s,1),SUM(1/COUNTIFS($D:$D,D122,$E:$E,E122,$F:$F,"&lt;&gt;N/A",$G:$G,"&lt;&gt;N/A",$F:$F,"&lt;="&amp;_xlpm.p,$G:$G,"&gt;="&amp;_xlpm.p)))))</f>
        <v>1</v>
      </c>
      <c r="I122" s="3" t="s">
        <v>16</v>
      </c>
      <c r="J122" s="3" t="s">
        <v>69</v>
      </c>
      <c r="K122" s="4" t="s">
        <v>7</v>
      </c>
      <c r="L122" s="4" t="s">
        <v>7</v>
      </c>
      <c r="M122" s="5" t="s">
        <v>7</v>
      </c>
      <c r="N122" s="4" t="s">
        <v>7</v>
      </c>
      <c r="O122" s="4" t="s">
        <v>778</v>
      </c>
      <c r="P122" s="4" t="s">
        <v>7834</v>
      </c>
      <c r="Q122" s="4" t="s">
        <v>2407</v>
      </c>
      <c r="R122" s="2" t="b">
        <v>0</v>
      </c>
    </row>
    <row r="123" spans="1:18">
      <c r="A123" s="5" t="s">
        <v>3000</v>
      </c>
      <c r="B123" s="5" t="s">
        <v>4170</v>
      </c>
      <c r="C123" s="4" t="s">
        <v>8001</v>
      </c>
      <c r="D123" s="2">
        <v>2</v>
      </c>
      <c r="E123" s="2">
        <v>1</v>
      </c>
      <c r="F123" s="2">
        <v>42</v>
      </c>
      <c r="G123" s="2">
        <v>46</v>
      </c>
      <c r="H123" s="8" cm="1">
        <f t="array" ref="H123">_xlfn.LET(_xlpm.s,IFERROR(--F123,""),_xlpm.e,IFERROR(--G123,""),IF(OR(_xlpm.s="",_xlpm.e="",_xlpm.e&lt;_xlpm.s),"",_xlfn.LET(_xlpm.p,_xlfn.SEQUENCE(_xlpm.e-_xlpm.s+1,1,_xlpm.s,1),SUM(1/COUNTIFS($D:$D,D123,$E:$E,E123,$F:$F,"&lt;&gt;N/A",$G:$G,"&lt;&gt;N/A",$F:$F,"&lt;="&amp;_xlpm.p,$G:$G,"&gt;="&amp;_xlpm.p)))))</f>
        <v>4</v>
      </c>
      <c r="I123" s="3" t="s">
        <v>16</v>
      </c>
      <c r="J123" s="3" t="s">
        <v>2406</v>
      </c>
      <c r="K123" s="4" t="s">
        <v>7</v>
      </c>
      <c r="L123" s="4" t="s">
        <v>4490</v>
      </c>
      <c r="M123" s="5" t="s">
        <v>7</v>
      </c>
      <c r="N123" s="4" t="s">
        <v>2408</v>
      </c>
      <c r="O123" s="4" t="s">
        <v>5072</v>
      </c>
      <c r="P123" s="4" t="s">
        <v>8019</v>
      </c>
      <c r="Q123" s="4" t="s">
        <v>5071</v>
      </c>
      <c r="R123" s="2" t="b">
        <v>0</v>
      </c>
    </row>
    <row r="124" spans="1:18">
      <c r="A124" s="5" t="s">
        <v>3000</v>
      </c>
      <c r="B124" s="5" t="s">
        <v>4171</v>
      </c>
      <c r="C124" s="4" t="s">
        <v>8001</v>
      </c>
      <c r="D124" s="2">
        <v>2</v>
      </c>
      <c r="E124" s="2">
        <v>1</v>
      </c>
      <c r="F124" s="2">
        <v>46</v>
      </c>
      <c r="G124" s="2">
        <v>47</v>
      </c>
      <c r="H124" s="8" cm="1">
        <f t="array" ref="H124">_xlfn.LET(_xlpm.s,IFERROR(--F124,""),_xlpm.e,IFERROR(--G124,""),IF(OR(_xlpm.s="",_xlpm.e="",_xlpm.e&lt;_xlpm.s),"",_xlfn.LET(_xlpm.p,_xlfn.SEQUENCE(_xlpm.e-_xlpm.s+1,1,_xlpm.s,1),SUM(1/COUNTIFS($D:$D,D124,$E:$E,E124,$F:$F,"&lt;&gt;N/A",$G:$G,"&lt;&gt;N/A",$F:$F,"&lt;="&amp;_xlpm.p,$G:$G,"&gt;="&amp;_xlpm.p)))))</f>
        <v>1</v>
      </c>
      <c r="I124" s="3" t="s">
        <v>16</v>
      </c>
      <c r="J124" s="3" t="s">
        <v>132</v>
      </c>
      <c r="K124" s="4" t="s">
        <v>7</v>
      </c>
      <c r="L124" s="4" t="s">
        <v>7</v>
      </c>
      <c r="M124" s="5" t="s">
        <v>7</v>
      </c>
      <c r="N124" s="4" t="s">
        <v>7</v>
      </c>
      <c r="O124" s="4" t="s">
        <v>778</v>
      </c>
      <c r="P124" s="4" t="s">
        <v>7834</v>
      </c>
      <c r="Q124" s="4" t="s">
        <v>2012</v>
      </c>
      <c r="R124" s="2" t="b">
        <v>0</v>
      </c>
    </row>
    <row r="125" spans="1:18">
      <c r="A125" s="5" t="s">
        <v>3000</v>
      </c>
      <c r="B125" s="5" t="s">
        <v>4172</v>
      </c>
      <c r="C125" s="4" t="s">
        <v>8001</v>
      </c>
      <c r="D125" s="2">
        <v>2</v>
      </c>
      <c r="E125" s="2">
        <v>1</v>
      </c>
      <c r="F125" s="2">
        <v>47</v>
      </c>
      <c r="G125" s="2">
        <v>58</v>
      </c>
      <c r="H125" s="8" cm="1">
        <f t="array" ref="H125">_xlfn.LET(_xlpm.s,IFERROR(--F125,""),_xlpm.e,IFERROR(--G125,""),IF(OR(_xlpm.s="",_xlpm.e="",_xlpm.e&lt;_xlpm.s),"",_xlfn.LET(_xlpm.p,_xlfn.SEQUENCE(_xlpm.e-_xlpm.s+1,1,_xlpm.s,1),SUM(1/COUNTIFS($D:$D,D125,$E:$E,E125,$F:$F,"&lt;&gt;N/A",$G:$G,"&lt;&gt;N/A",$F:$F,"&lt;="&amp;_xlpm.p,$G:$G,"&gt;="&amp;_xlpm.p)))))</f>
        <v>11</v>
      </c>
      <c r="I125" s="3" t="s">
        <v>59</v>
      </c>
      <c r="J125" s="3" t="s">
        <v>10613</v>
      </c>
      <c r="K125" s="4" t="s">
        <v>7</v>
      </c>
      <c r="L125" s="4" t="s">
        <v>7</v>
      </c>
      <c r="M125" s="5" t="s">
        <v>7</v>
      </c>
      <c r="N125" s="4" t="s">
        <v>2410</v>
      </c>
      <c r="O125" s="4" t="s">
        <v>778</v>
      </c>
      <c r="P125" s="4" t="s">
        <v>7834</v>
      </c>
      <c r="Q125" s="4" t="s">
        <v>2409</v>
      </c>
      <c r="R125" s="1" t="b">
        <v>1</v>
      </c>
    </row>
    <row r="126" spans="1:18">
      <c r="A126" s="5" t="s">
        <v>3000</v>
      </c>
      <c r="B126" s="5" t="s">
        <v>4173</v>
      </c>
      <c r="C126" s="4" t="s">
        <v>8001</v>
      </c>
      <c r="D126" s="2">
        <v>2</v>
      </c>
      <c r="E126" s="2">
        <v>1</v>
      </c>
      <c r="F126" s="2">
        <v>58</v>
      </c>
      <c r="G126" s="2">
        <v>66</v>
      </c>
      <c r="H126" s="8" cm="1">
        <f t="array" ref="H126">_xlfn.LET(_xlpm.s,IFERROR(--F126,""),_xlpm.e,IFERROR(--G126,""),IF(OR(_xlpm.s="",_xlpm.e="",_xlpm.e&lt;_xlpm.s),"",_xlfn.LET(_xlpm.p,_xlfn.SEQUENCE(_xlpm.e-_xlpm.s+1,1,_xlpm.s,1),SUM(1/COUNTIFS($D:$D,D126,$E:$E,E126,$F:$F,"&lt;&gt;N/A",$G:$G,"&lt;&gt;N/A",$F:$F,"&lt;="&amp;_xlpm.p,$G:$G,"&gt;="&amp;_xlpm.p)))))</f>
        <v>8</v>
      </c>
      <c r="I126" s="3" t="s">
        <v>54</v>
      </c>
      <c r="J126" s="3" t="s">
        <v>133</v>
      </c>
      <c r="K126" s="4" t="s">
        <v>7</v>
      </c>
      <c r="L126" s="4" t="s">
        <v>7</v>
      </c>
      <c r="M126" s="5" t="s">
        <v>7</v>
      </c>
      <c r="N126" s="4" t="s">
        <v>7</v>
      </c>
      <c r="O126" s="4" t="s">
        <v>778</v>
      </c>
      <c r="P126" s="4" t="s">
        <v>7834</v>
      </c>
      <c r="R126" s="2" t="b">
        <v>0</v>
      </c>
    </row>
    <row r="127" spans="1:18">
      <c r="A127" s="5" t="s">
        <v>3000</v>
      </c>
      <c r="B127" s="5" t="s">
        <v>4174</v>
      </c>
      <c r="C127" s="4" t="s">
        <v>8001</v>
      </c>
      <c r="D127" s="2">
        <v>2</v>
      </c>
      <c r="E127" s="2">
        <v>1</v>
      </c>
      <c r="F127" s="2">
        <v>66</v>
      </c>
      <c r="G127" s="2">
        <v>73</v>
      </c>
      <c r="H127" s="8" cm="1">
        <f t="array" ref="H127">_xlfn.LET(_xlpm.s,IFERROR(--F127,""),_xlpm.e,IFERROR(--G127,""),IF(OR(_xlpm.s="",_xlpm.e="",_xlpm.e&lt;_xlpm.s),"",_xlfn.LET(_xlpm.p,_xlfn.SEQUENCE(_xlpm.e-_xlpm.s+1,1,_xlpm.s,1),SUM(1/COUNTIFS($D:$D,D127,$E:$E,E127,$F:$F,"&lt;&gt;N/A",$G:$G,"&lt;&gt;N/A",$F:$F,"&lt;="&amp;_xlpm.p,$G:$G,"&gt;="&amp;_xlpm.p)))))</f>
        <v>7</v>
      </c>
      <c r="I127" s="3" t="s">
        <v>30</v>
      </c>
      <c r="J127" s="3" t="s">
        <v>134</v>
      </c>
      <c r="K127" s="4" t="s">
        <v>10615</v>
      </c>
      <c r="L127" s="4" t="s">
        <v>7</v>
      </c>
      <c r="M127" s="5" t="s">
        <v>7</v>
      </c>
      <c r="N127" s="4" t="s">
        <v>7</v>
      </c>
      <c r="O127" s="4" t="s">
        <v>5072</v>
      </c>
      <c r="P127" s="4" t="s">
        <v>8024</v>
      </c>
      <c r="Q127" s="4" t="s">
        <v>10174</v>
      </c>
      <c r="R127" s="2" t="b">
        <v>0</v>
      </c>
    </row>
    <row r="128" spans="1:18">
      <c r="A128" s="5" t="s">
        <v>3000</v>
      </c>
      <c r="B128" s="5" t="s">
        <v>4175</v>
      </c>
      <c r="C128" s="4" t="s">
        <v>8001</v>
      </c>
      <c r="D128" s="2">
        <v>2</v>
      </c>
      <c r="E128" s="2">
        <v>1</v>
      </c>
      <c r="F128" s="2">
        <v>73</v>
      </c>
      <c r="G128" s="2">
        <v>78</v>
      </c>
      <c r="H128" s="8" cm="1">
        <f t="array" ref="H128">_xlfn.LET(_xlpm.s,IFERROR(--F128,""),_xlpm.e,IFERROR(--G128,""),IF(OR(_xlpm.s="",_xlpm.e="",_xlpm.e&lt;_xlpm.s),"",_xlfn.LET(_xlpm.p,_xlfn.SEQUENCE(_xlpm.e-_xlpm.s+1,1,_xlpm.s,1),SUM(1/COUNTIFS($D:$D,D128,$E:$E,E128,$F:$F,"&lt;&gt;N/A",$G:$G,"&lt;&gt;N/A",$F:$F,"&lt;="&amp;_xlpm.p,$G:$G,"&gt;="&amp;_xlpm.p)))))</f>
        <v>5.5</v>
      </c>
      <c r="I128" s="3" t="s">
        <v>30</v>
      </c>
      <c r="J128" s="3" t="s">
        <v>135</v>
      </c>
      <c r="K128" s="4" t="s">
        <v>10614</v>
      </c>
      <c r="L128" s="4" t="s">
        <v>7</v>
      </c>
      <c r="M128" s="5" t="s">
        <v>7</v>
      </c>
      <c r="N128" s="4" t="s">
        <v>7</v>
      </c>
      <c r="O128" s="4" t="s">
        <v>5072</v>
      </c>
      <c r="P128" s="4" t="s">
        <v>8024</v>
      </c>
      <c r="Q128" s="4" t="s">
        <v>2007</v>
      </c>
      <c r="R128" s="2" t="b">
        <v>0</v>
      </c>
    </row>
    <row r="129" spans="1:18">
      <c r="A129" s="5" t="s">
        <v>3000</v>
      </c>
      <c r="B129" s="5" t="s">
        <v>4176</v>
      </c>
      <c r="C129" s="4" t="s">
        <v>8001</v>
      </c>
      <c r="D129" s="2">
        <v>2</v>
      </c>
      <c r="E129" s="2">
        <v>1</v>
      </c>
      <c r="F129" s="2">
        <v>79</v>
      </c>
      <c r="G129" s="2">
        <v>80</v>
      </c>
      <c r="H129" s="8" cm="1">
        <f t="array" ref="H129">_xlfn.LET(_xlpm.s,IFERROR(--F129,""),_xlpm.e,IFERROR(--G129,""),IF(OR(_xlpm.s="",_xlpm.e="",_xlpm.e&lt;_xlpm.s),"",_xlfn.LET(_xlpm.p,_xlfn.SEQUENCE(_xlpm.e-_xlpm.s+1,1,_xlpm.s,1),SUM(1/COUNTIFS($D:$D,D129,$E:$E,E129,$F:$F,"&lt;&gt;N/A",$G:$G,"&lt;&gt;N/A",$F:$F,"&lt;="&amp;_xlpm.p,$G:$G,"&gt;="&amp;_xlpm.p)))))</f>
        <v>1.5</v>
      </c>
      <c r="I129" s="3" t="s">
        <v>30</v>
      </c>
      <c r="J129" s="3" t="s">
        <v>136</v>
      </c>
      <c r="K129" s="4" t="s">
        <v>7</v>
      </c>
      <c r="L129" s="4" t="s">
        <v>7</v>
      </c>
      <c r="M129" s="5" t="s">
        <v>7</v>
      </c>
      <c r="N129" s="4" t="s">
        <v>7</v>
      </c>
      <c r="O129" s="4" t="s">
        <v>5072</v>
      </c>
      <c r="P129" s="4" t="s">
        <v>8025</v>
      </c>
      <c r="Q129" s="4" t="s">
        <v>2008</v>
      </c>
      <c r="R129" s="2" t="b">
        <v>0</v>
      </c>
    </row>
    <row r="130" spans="1:18">
      <c r="A130" s="5" t="s">
        <v>3000</v>
      </c>
      <c r="B130" s="5" t="s">
        <v>4177</v>
      </c>
      <c r="C130" s="4" t="s">
        <v>8001</v>
      </c>
      <c r="D130" s="2">
        <v>2</v>
      </c>
      <c r="E130" s="2">
        <v>1</v>
      </c>
      <c r="F130" s="2">
        <v>80</v>
      </c>
      <c r="G130" s="2">
        <v>82</v>
      </c>
      <c r="H130" s="8" cm="1">
        <f t="array" ref="H130">_xlfn.LET(_xlpm.s,IFERROR(--F130,""),_xlpm.e,IFERROR(--G130,""),IF(OR(_xlpm.s="",_xlpm.e="",_xlpm.e&lt;_xlpm.s),"",_xlfn.LET(_xlpm.p,_xlfn.SEQUENCE(_xlpm.e-_xlpm.s+1,1,_xlpm.s,1),SUM(1/COUNTIFS($D:$D,D130,$E:$E,E130,$F:$F,"&lt;&gt;N/A",$G:$G,"&lt;&gt;N/A",$F:$F,"&lt;="&amp;_xlpm.p,$G:$G,"&gt;="&amp;_xlpm.p)))))</f>
        <v>2</v>
      </c>
      <c r="I130" s="3" t="s">
        <v>30</v>
      </c>
      <c r="J130" s="3" t="s">
        <v>137</v>
      </c>
      <c r="K130" s="4" t="s">
        <v>7</v>
      </c>
      <c r="L130" s="4" t="s">
        <v>7</v>
      </c>
      <c r="M130" s="5" t="s">
        <v>7</v>
      </c>
      <c r="N130" s="4" t="s">
        <v>7</v>
      </c>
      <c r="O130" s="4" t="s">
        <v>778</v>
      </c>
      <c r="P130" s="4" t="s">
        <v>7834</v>
      </c>
      <c r="Q130" s="4" t="s">
        <v>2009</v>
      </c>
      <c r="R130" s="2" t="b">
        <v>0</v>
      </c>
    </row>
    <row r="131" spans="1:18">
      <c r="A131" s="5" t="s">
        <v>3000</v>
      </c>
      <c r="B131" s="5" t="s">
        <v>4178</v>
      </c>
      <c r="C131" s="4" t="s">
        <v>8001</v>
      </c>
      <c r="D131" s="2">
        <v>2</v>
      </c>
      <c r="E131" s="2">
        <v>1</v>
      </c>
      <c r="F131" s="2">
        <v>82</v>
      </c>
      <c r="G131" s="2">
        <v>83</v>
      </c>
      <c r="H131" s="8" cm="1">
        <f t="array" ref="H131">_xlfn.LET(_xlpm.s,IFERROR(--F131,""),_xlpm.e,IFERROR(--G131,""),IF(OR(_xlpm.s="",_xlpm.e="",_xlpm.e&lt;_xlpm.s),"",_xlfn.LET(_xlpm.p,_xlfn.SEQUENCE(_xlpm.e-_xlpm.s+1,1,_xlpm.s,1),SUM(1/COUNTIFS($D:$D,D131,$E:$E,E131,$F:$F,"&lt;&gt;N/A",$G:$G,"&lt;&gt;N/A",$F:$F,"&lt;="&amp;_xlpm.p,$G:$G,"&gt;="&amp;_xlpm.p)))))</f>
        <v>1</v>
      </c>
      <c r="I131" s="3" t="s">
        <v>30</v>
      </c>
      <c r="J131" s="3" t="s">
        <v>27</v>
      </c>
      <c r="K131" s="4" t="s">
        <v>7</v>
      </c>
      <c r="L131" s="4" t="s">
        <v>7</v>
      </c>
      <c r="M131" s="5" t="s">
        <v>7</v>
      </c>
      <c r="N131" s="4" t="s">
        <v>7</v>
      </c>
      <c r="O131" s="4" t="s">
        <v>778</v>
      </c>
      <c r="P131" s="4" t="s">
        <v>7834</v>
      </c>
      <c r="Q131" s="4" t="s">
        <v>2010</v>
      </c>
      <c r="R131" s="2" t="b">
        <v>0</v>
      </c>
    </row>
    <row r="132" spans="1:18">
      <c r="A132" s="5" t="s">
        <v>3000</v>
      </c>
      <c r="B132" s="5" t="s">
        <v>4179</v>
      </c>
      <c r="C132" s="4" t="s">
        <v>8001</v>
      </c>
      <c r="D132" s="2">
        <v>2</v>
      </c>
      <c r="E132" s="2">
        <v>1</v>
      </c>
      <c r="F132" s="2">
        <v>83</v>
      </c>
      <c r="G132" s="2">
        <v>83</v>
      </c>
      <c r="H132" s="8" cm="1">
        <f t="array" ref="H132">_xlfn.LET(_xlpm.s,IFERROR(--F132,""),_xlpm.e,IFERROR(--G132,""),IF(OR(_xlpm.s="",_xlpm.e="",_xlpm.e&lt;_xlpm.s),"",_xlfn.LET(_xlpm.p,_xlfn.SEQUENCE(_xlpm.e-_xlpm.s+1,1,_xlpm.s,1),SUM(1/COUNTIFS($D:$D,D132,$E:$E,E132,$F:$F,"&lt;&gt;N/A",$G:$G,"&lt;&gt;N/A",$F:$F,"&lt;="&amp;_xlpm.p,$G:$G,"&gt;="&amp;_xlpm.p)))))</f>
        <v>0.5</v>
      </c>
      <c r="I132" s="3" t="s">
        <v>30</v>
      </c>
      <c r="J132" s="3" t="s">
        <v>108</v>
      </c>
      <c r="K132" s="4" t="s">
        <v>7</v>
      </c>
      <c r="L132" s="4" t="s">
        <v>7</v>
      </c>
      <c r="M132" s="5" t="s">
        <v>7</v>
      </c>
      <c r="N132" s="4" t="s">
        <v>7</v>
      </c>
      <c r="O132" s="4" t="s">
        <v>778</v>
      </c>
      <c r="P132" s="4" t="s">
        <v>7834</v>
      </c>
      <c r="Q132" s="4" t="s">
        <v>2011</v>
      </c>
      <c r="R132" s="2" t="b">
        <v>0</v>
      </c>
    </row>
    <row r="133" spans="1:18">
      <c r="A133" s="5" t="s">
        <v>3000</v>
      </c>
      <c r="B133" s="5" t="s">
        <v>4180</v>
      </c>
      <c r="C133" s="4" t="s">
        <v>8008</v>
      </c>
      <c r="D133" s="2">
        <v>2</v>
      </c>
      <c r="E133" s="2">
        <v>2</v>
      </c>
      <c r="F133" s="2">
        <v>3</v>
      </c>
      <c r="G133" s="2">
        <v>12</v>
      </c>
      <c r="H133" s="8" cm="1">
        <f t="array" ref="H133">_xlfn.LET(_xlpm.s,IFERROR(--F133,""),_xlpm.e,IFERROR(--G133,""),IF(OR(_xlpm.s="",_xlpm.e="",_xlpm.e&lt;_xlpm.s),"",_xlfn.LET(_xlpm.p,_xlfn.SEQUENCE(_xlpm.e-_xlpm.s+1,1,_xlpm.s,1),SUM(1/COUNTIFS($D:$D,D133,$E:$E,E133,$F:$F,"&lt;&gt;N/A",$G:$G,"&lt;&gt;N/A",$F:$F,"&lt;="&amp;_xlpm.p,$G:$G,"&gt;="&amp;_xlpm.p)))))</f>
        <v>9.5</v>
      </c>
      <c r="I133" s="3" t="s">
        <v>8</v>
      </c>
      <c r="J133" s="3" t="s">
        <v>139</v>
      </c>
      <c r="K133" s="4" t="s">
        <v>12</v>
      </c>
      <c r="L133" s="5" t="s">
        <v>7</v>
      </c>
      <c r="M133" s="5" t="s">
        <v>7</v>
      </c>
      <c r="N133" t="s">
        <v>7704</v>
      </c>
      <c r="O133" s="4" t="s">
        <v>10264</v>
      </c>
      <c r="P133" s="4" t="s">
        <v>8020</v>
      </c>
      <c r="R133" s="1" t="b">
        <v>1</v>
      </c>
    </row>
    <row r="134" spans="1:18">
      <c r="A134" s="5" t="s">
        <v>3000</v>
      </c>
      <c r="B134" s="5" t="s">
        <v>4181</v>
      </c>
      <c r="C134" s="4" t="s">
        <v>8008</v>
      </c>
      <c r="D134" s="2">
        <v>2</v>
      </c>
      <c r="E134" s="2">
        <v>2</v>
      </c>
      <c r="F134" s="2">
        <v>12</v>
      </c>
      <c r="G134" s="2">
        <v>20</v>
      </c>
      <c r="H134" s="8" cm="1">
        <f t="array" ref="H134">_xlfn.LET(_xlpm.s,IFERROR(--F134,""),_xlpm.e,IFERROR(--G134,""),IF(OR(_xlpm.s="",_xlpm.e="",_xlpm.e&lt;_xlpm.s),"",_xlfn.LET(_xlpm.p,_xlfn.SEQUENCE(_xlpm.e-_xlpm.s+1,1,_xlpm.s,1),SUM(1/COUNTIFS($D:$D,D134,$E:$E,E134,$F:$F,"&lt;&gt;N/A",$G:$G,"&lt;&gt;N/A",$F:$F,"&lt;="&amp;_xlpm.p,$G:$G,"&gt;="&amp;_xlpm.p)))))</f>
        <v>8.5</v>
      </c>
      <c r="I134" s="3" t="s">
        <v>11</v>
      </c>
      <c r="J134" s="3" t="s">
        <v>143</v>
      </c>
      <c r="K134" s="4" t="s">
        <v>144</v>
      </c>
      <c r="L134" s="5" t="s">
        <v>7</v>
      </c>
      <c r="M134" s="5" t="s">
        <v>7</v>
      </c>
      <c r="N134" t="s">
        <v>7</v>
      </c>
      <c r="O134" s="4" t="s">
        <v>778</v>
      </c>
      <c r="P134" s="4" t="s">
        <v>7834</v>
      </c>
      <c r="R134" s="1" t="b">
        <v>1</v>
      </c>
    </row>
    <row r="135" spans="1:18">
      <c r="A135" s="5" t="s">
        <v>3000</v>
      </c>
      <c r="B135" s="5" t="s">
        <v>4182</v>
      </c>
      <c r="C135" s="4" t="s">
        <v>8008</v>
      </c>
      <c r="D135" s="2">
        <v>2</v>
      </c>
      <c r="E135" s="2">
        <v>2</v>
      </c>
      <c r="F135" s="2">
        <v>21</v>
      </c>
      <c r="G135" s="2">
        <v>29</v>
      </c>
      <c r="H135" s="8" cm="1">
        <f t="array" ref="H135">_xlfn.LET(_xlpm.s,IFERROR(--F135,""),_xlpm.e,IFERROR(--G135,""),IF(OR(_xlpm.s="",_xlpm.e="",_xlpm.e&lt;_xlpm.s),"",_xlfn.LET(_xlpm.p,_xlfn.SEQUENCE(_xlpm.e-_xlpm.s+1,1,_xlpm.s,1),SUM(1/COUNTIFS($D:$D,D135,$E:$E,E135,$F:$F,"&lt;&gt;N/A",$G:$G,"&lt;&gt;N/A",$F:$F,"&lt;="&amp;_xlpm.p,$G:$G,"&gt;="&amp;_xlpm.p)))))</f>
        <v>8.5</v>
      </c>
      <c r="I135" s="3" t="s">
        <v>127</v>
      </c>
      <c r="J135" s="3" t="s">
        <v>145</v>
      </c>
      <c r="K135" s="4" t="s">
        <v>158</v>
      </c>
      <c r="L135" s="5" t="s">
        <v>7</v>
      </c>
      <c r="M135" s="5" t="s">
        <v>7</v>
      </c>
      <c r="N135" t="s">
        <v>7</v>
      </c>
      <c r="O135" s="4" t="s">
        <v>778</v>
      </c>
      <c r="P135" s="4" t="s">
        <v>7834</v>
      </c>
      <c r="R135" s="1" t="b">
        <v>1</v>
      </c>
    </row>
    <row r="136" spans="1:18">
      <c r="A136" s="5" t="s">
        <v>3000</v>
      </c>
      <c r="B136" s="5" t="s">
        <v>4183</v>
      </c>
      <c r="C136" s="4" t="s">
        <v>8008</v>
      </c>
      <c r="D136" s="2">
        <v>2</v>
      </c>
      <c r="E136" s="2">
        <v>2</v>
      </c>
      <c r="F136" s="2">
        <v>29</v>
      </c>
      <c r="G136" s="2">
        <v>32</v>
      </c>
      <c r="H136" s="8" cm="1">
        <f t="array" ref="H136">_xlfn.LET(_xlpm.s,IFERROR(--F136,""),_xlpm.e,IFERROR(--G136,""),IF(OR(_xlpm.s="",_xlpm.e="",_xlpm.e&lt;_xlpm.s),"",_xlfn.LET(_xlpm.p,_xlfn.SEQUENCE(_xlpm.e-_xlpm.s+1,1,_xlpm.s,1),SUM(1/COUNTIFS($D:$D,D136,$E:$E,E136,$F:$F,"&lt;&gt;N/A",$G:$G,"&lt;&gt;N/A",$F:$F,"&lt;="&amp;_xlpm.p,$G:$G,"&gt;="&amp;_xlpm.p)))))</f>
        <v>3</v>
      </c>
      <c r="I136" s="3" t="s">
        <v>196</v>
      </c>
      <c r="J136" s="3" t="s">
        <v>146</v>
      </c>
      <c r="K136" s="4" t="s">
        <v>162</v>
      </c>
      <c r="L136" s="4" t="s">
        <v>7</v>
      </c>
      <c r="M136" s="5" t="s">
        <v>7</v>
      </c>
      <c r="N136" s="4" t="s">
        <v>7</v>
      </c>
      <c r="O136" s="4" t="s">
        <v>778</v>
      </c>
      <c r="P136" s="4" t="s">
        <v>7834</v>
      </c>
      <c r="R136" s="2" t="b">
        <v>0</v>
      </c>
    </row>
    <row r="137" spans="1:18">
      <c r="A137" s="5" t="s">
        <v>3000</v>
      </c>
      <c r="B137" s="5" t="s">
        <v>4184</v>
      </c>
      <c r="C137" s="4" t="s">
        <v>8008</v>
      </c>
      <c r="D137" s="2">
        <v>2</v>
      </c>
      <c r="E137" s="2">
        <v>2</v>
      </c>
      <c r="F137" s="2">
        <v>32</v>
      </c>
      <c r="G137" s="2">
        <v>36</v>
      </c>
      <c r="H137" s="8" cm="1">
        <f t="array" ref="H137">_xlfn.LET(_xlpm.s,IFERROR(--F137,""),_xlpm.e,IFERROR(--G137,""),IF(OR(_xlpm.s="",_xlpm.e="",_xlpm.e&lt;_xlpm.s),"",_xlfn.LET(_xlpm.p,_xlfn.SEQUENCE(_xlpm.e-_xlpm.s+1,1,_xlpm.s,1),SUM(1/COUNTIFS($D:$D,D137,$E:$E,E137,$F:$F,"&lt;&gt;N/A",$G:$G,"&lt;&gt;N/A",$F:$F,"&lt;="&amp;_xlpm.p,$G:$G,"&gt;="&amp;_xlpm.p)))))</f>
        <v>4</v>
      </c>
      <c r="I137" s="3" t="s">
        <v>196</v>
      </c>
      <c r="J137" s="3" t="s">
        <v>147</v>
      </c>
      <c r="K137" s="4" t="s">
        <v>148</v>
      </c>
      <c r="L137" s="4" t="s">
        <v>7</v>
      </c>
      <c r="M137" s="5" t="s">
        <v>7</v>
      </c>
      <c r="N137" s="4" t="s">
        <v>7</v>
      </c>
      <c r="O137" s="4" t="s">
        <v>778</v>
      </c>
      <c r="P137" s="4" t="s">
        <v>7834</v>
      </c>
      <c r="R137" s="2" t="b">
        <v>0</v>
      </c>
    </row>
    <row r="138" spans="1:18">
      <c r="A138" s="5" t="s">
        <v>3000</v>
      </c>
      <c r="B138" s="5" t="s">
        <v>4185</v>
      </c>
      <c r="C138" s="4" t="s">
        <v>8008</v>
      </c>
      <c r="D138" s="2">
        <v>2</v>
      </c>
      <c r="E138" s="2">
        <v>2</v>
      </c>
      <c r="F138" s="2">
        <v>36</v>
      </c>
      <c r="G138" s="2">
        <v>38</v>
      </c>
      <c r="H138" s="8" cm="1">
        <f t="array" ref="H138">_xlfn.LET(_xlpm.s,IFERROR(--F138,""),_xlpm.e,IFERROR(--G138,""),IF(OR(_xlpm.s="",_xlpm.e="",_xlpm.e&lt;_xlpm.s),"",_xlfn.LET(_xlpm.p,_xlfn.SEQUENCE(_xlpm.e-_xlpm.s+1,1,_xlpm.s,1),SUM(1/COUNTIFS($D:$D,D138,$E:$E,E138,$F:$F,"&lt;&gt;N/A",$G:$G,"&lt;&gt;N/A",$F:$F,"&lt;="&amp;_xlpm.p,$G:$G,"&gt;="&amp;_xlpm.p)))))</f>
        <v>2</v>
      </c>
      <c r="I138" s="3" t="s">
        <v>196</v>
      </c>
      <c r="J138" s="3" t="s">
        <v>149</v>
      </c>
      <c r="K138" s="4" t="s">
        <v>125</v>
      </c>
      <c r="L138" s="4" t="s">
        <v>7</v>
      </c>
      <c r="M138" s="5" t="s">
        <v>7</v>
      </c>
      <c r="N138" s="4" t="s">
        <v>7</v>
      </c>
      <c r="O138" s="4" t="s">
        <v>778</v>
      </c>
      <c r="P138" s="4" t="s">
        <v>7834</v>
      </c>
      <c r="Q138" s="4" t="s">
        <v>2036</v>
      </c>
      <c r="R138" s="2" t="b">
        <v>0</v>
      </c>
    </row>
    <row r="139" spans="1:18">
      <c r="A139" s="5" t="s">
        <v>3000</v>
      </c>
      <c r="B139" s="5" t="s">
        <v>4186</v>
      </c>
      <c r="C139" s="4" t="s">
        <v>8008</v>
      </c>
      <c r="D139" s="2">
        <v>2</v>
      </c>
      <c r="E139" s="2">
        <v>2</v>
      </c>
      <c r="F139" s="2">
        <v>38</v>
      </c>
      <c r="G139" s="2">
        <v>41</v>
      </c>
      <c r="H139" s="8" cm="1">
        <f t="array" ref="H139">_xlfn.LET(_xlpm.s,IFERROR(--F139,""),_xlpm.e,IFERROR(--G139,""),IF(OR(_xlpm.s="",_xlpm.e="",_xlpm.e&lt;_xlpm.s),"",_xlfn.LET(_xlpm.p,_xlfn.SEQUENCE(_xlpm.e-_xlpm.s+1,1,_xlpm.s,1),SUM(1/COUNTIFS($D:$D,D139,$E:$E,E139,$F:$F,"&lt;&gt;N/A",$G:$G,"&lt;&gt;N/A",$F:$F,"&lt;="&amp;_xlpm.p,$G:$G,"&gt;="&amp;_xlpm.p)))))</f>
        <v>3</v>
      </c>
      <c r="I139" s="3" t="s">
        <v>196</v>
      </c>
      <c r="J139" t="s">
        <v>150</v>
      </c>
      <c r="K139" s="4" t="s">
        <v>12</v>
      </c>
      <c r="L139" s="4" t="s">
        <v>7</v>
      </c>
      <c r="M139" s="5" t="s">
        <v>7</v>
      </c>
      <c r="N139" s="4" t="s">
        <v>7</v>
      </c>
      <c r="O139" s="4" t="s">
        <v>778</v>
      </c>
      <c r="P139" s="4" t="s">
        <v>7834</v>
      </c>
      <c r="R139" s="2" t="b">
        <v>0</v>
      </c>
    </row>
    <row r="140" spans="1:18">
      <c r="A140" s="5" t="s">
        <v>3000</v>
      </c>
      <c r="B140" s="5" t="s">
        <v>4187</v>
      </c>
      <c r="C140" s="4" t="s">
        <v>8008</v>
      </c>
      <c r="D140" s="2">
        <v>2</v>
      </c>
      <c r="E140" s="2">
        <v>2</v>
      </c>
      <c r="F140" s="2">
        <v>41</v>
      </c>
      <c r="G140" s="2">
        <v>50</v>
      </c>
      <c r="H140" s="8" cm="1">
        <f t="array" ref="H140">_xlfn.LET(_xlpm.s,IFERROR(--F140,""),_xlpm.e,IFERROR(--G140,""),IF(OR(_xlpm.s="",_xlpm.e="",_xlpm.e&lt;_xlpm.s),"",_xlfn.LET(_xlpm.p,_xlfn.SEQUENCE(_xlpm.e-_xlpm.s+1,1,_xlpm.s,1),SUM(1/COUNTIFS($D:$D,D140,$E:$E,E140,$F:$F,"&lt;&gt;N/A",$G:$G,"&lt;&gt;N/A",$F:$F,"&lt;="&amp;_xlpm.p,$G:$G,"&gt;="&amp;_xlpm.p)))))</f>
        <v>9</v>
      </c>
      <c r="I140" s="3" t="s">
        <v>2</v>
      </c>
      <c r="J140" s="3" t="s">
        <v>151</v>
      </c>
      <c r="K140" s="4" t="s">
        <v>152</v>
      </c>
      <c r="L140" s="5" t="s">
        <v>7</v>
      </c>
      <c r="M140" s="5" t="s">
        <v>7</v>
      </c>
      <c r="N140" t="s">
        <v>1944</v>
      </c>
      <c r="O140" s="4" t="s">
        <v>7</v>
      </c>
      <c r="P140" s="4" t="s">
        <v>8020</v>
      </c>
      <c r="R140" s="1" t="b">
        <v>1</v>
      </c>
    </row>
    <row r="141" spans="1:18">
      <c r="A141" s="5" t="s">
        <v>3000</v>
      </c>
      <c r="B141" s="5" t="s">
        <v>4188</v>
      </c>
      <c r="C141" s="4" t="s">
        <v>8008</v>
      </c>
      <c r="D141" s="2">
        <v>2</v>
      </c>
      <c r="E141" s="2">
        <v>2</v>
      </c>
      <c r="F141" s="2">
        <v>50</v>
      </c>
      <c r="G141" s="2">
        <v>62</v>
      </c>
      <c r="H141" s="8" cm="1">
        <f t="array" ref="H141">_xlfn.LET(_xlpm.s,IFERROR(--F141,""),_xlpm.e,IFERROR(--G141,""),IF(OR(_xlpm.s="",_xlpm.e="",_xlpm.e&lt;_xlpm.s),"",_xlfn.LET(_xlpm.p,_xlfn.SEQUENCE(_xlpm.e-_xlpm.s+1,1,_xlpm.s,1),SUM(1/COUNTIFS($D:$D,D141,$E:$E,E141,$F:$F,"&lt;&gt;N/A",$G:$G,"&lt;&gt;N/A",$F:$F,"&lt;="&amp;_xlpm.p,$G:$G,"&gt;="&amp;_xlpm.p)))))</f>
        <v>12</v>
      </c>
      <c r="I141" s="3" t="s">
        <v>54</v>
      </c>
      <c r="J141" s="3" t="s">
        <v>153</v>
      </c>
      <c r="K141" s="4" t="s">
        <v>2037</v>
      </c>
      <c r="L141" s="4" t="s">
        <v>7</v>
      </c>
      <c r="M141" s="5" t="s">
        <v>7</v>
      </c>
      <c r="N141" s="4" t="s">
        <v>7</v>
      </c>
      <c r="O141" s="4" t="s">
        <v>778</v>
      </c>
      <c r="P141" s="4" t="s">
        <v>7834</v>
      </c>
      <c r="Q141" s="4" t="s">
        <v>2038</v>
      </c>
      <c r="R141" s="2" t="b">
        <v>0</v>
      </c>
    </row>
    <row r="142" spans="1:18">
      <c r="A142" s="5" t="s">
        <v>3000</v>
      </c>
      <c r="B142" s="5" t="s">
        <v>4189</v>
      </c>
      <c r="C142" s="4" t="s">
        <v>8008</v>
      </c>
      <c r="D142" s="2">
        <v>2</v>
      </c>
      <c r="E142" s="2">
        <v>2</v>
      </c>
      <c r="F142" s="2">
        <v>62</v>
      </c>
      <c r="G142" s="2">
        <v>65</v>
      </c>
      <c r="H142" s="8" cm="1">
        <f t="array" ref="H142">_xlfn.LET(_xlpm.s,IFERROR(--F142,""),_xlpm.e,IFERROR(--G142,""),IF(OR(_xlpm.s="",_xlpm.e="",_xlpm.e&lt;_xlpm.s),"",_xlfn.LET(_xlpm.p,_xlfn.SEQUENCE(_xlpm.e-_xlpm.s+1,1,_xlpm.s,1),SUM(1/COUNTIFS($D:$D,D142,$E:$E,E142,$F:$F,"&lt;&gt;N/A",$G:$G,"&lt;&gt;N/A",$F:$F,"&lt;="&amp;_xlpm.p,$G:$G,"&gt;="&amp;_xlpm.p)))))</f>
        <v>3</v>
      </c>
      <c r="I142" s="3" t="s">
        <v>30</v>
      </c>
      <c r="J142" s="3" t="s">
        <v>10616</v>
      </c>
      <c r="K142" s="4" t="s">
        <v>7</v>
      </c>
      <c r="L142" s="4" t="s">
        <v>7</v>
      </c>
      <c r="M142" s="5" t="s">
        <v>7</v>
      </c>
      <c r="N142" s="4" t="s">
        <v>7</v>
      </c>
      <c r="O142" s="4" t="s">
        <v>5072</v>
      </c>
      <c r="P142" s="4" t="s">
        <v>8036</v>
      </c>
      <c r="Q142" s="4" t="s">
        <v>2035</v>
      </c>
      <c r="R142" s="2" t="b">
        <v>0</v>
      </c>
    </row>
    <row r="143" spans="1:18">
      <c r="A143" s="5" t="s">
        <v>3000</v>
      </c>
      <c r="B143" s="5" t="s">
        <v>4190</v>
      </c>
      <c r="C143" s="4" t="s">
        <v>8008</v>
      </c>
      <c r="D143" s="2">
        <v>2</v>
      </c>
      <c r="E143" s="2">
        <v>2</v>
      </c>
      <c r="F143" s="2">
        <v>65</v>
      </c>
      <c r="G143" s="2">
        <v>66</v>
      </c>
      <c r="H143" s="8" cm="1">
        <f t="array" ref="H143">_xlfn.LET(_xlpm.s,IFERROR(--F143,""),_xlpm.e,IFERROR(--G143,""),IF(OR(_xlpm.s="",_xlpm.e="",_xlpm.e&lt;_xlpm.s),"",_xlfn.LET(_xlpm.p,_xlfn.SEQUENCE(_xlpm.e-_xlpm.s+1,1,_xlpm.s,1),SUM(1/COUNTIFS($D:$D,D143,$E:$E,E143,$F:$F,"&lt;&gt;N/A",$G:$G,"&lt;&gt;N/A",$F:$F,"&lt;="&amp;_xlpm.p,$G:$G,"&gt;="&amp;_xlpm.p)))))</f>
        <v>1</v>
      </c>
      <c r="I143" s="3" t="s">
        <v>30</v>
      </c>
      <c r="J143" s="3" t="s">
        <v>10617</v>
      </c>
      <c r="K143" s="4" t="s">
        <v>7</v>
      </c>
      <c r="L143" s="4" t="s">
        <v>7</v>
      </c>
      <c r="M143" s="5" t="s">
        <v>7</v>
      </c>
      <c r="N143" s="4" t="s">
        <v>7</v>
      </c>
      <c r="O143" s="4" t="s">
        <v>5072</v>
      </c>
      <c r="P143" s="4" t="s">
        <v>8024</v>
      </c>
      <c r="Q143" s="4" t="s">
        <v>2035</v>
      </c>
      <c r="R143" s="2" t="b">
        <v>0</v>
      </c>
    </row>
    <row r="144" spans="1:18">
      <c r="A144" s="5" t="s">
        <v>3000</v>
      </c>
      <c r="B144" s="5" t="s">
        <v>4191</v>
      </c>
      <c r="C144" s="4" t="s">
        <v>8008</v>
      </c>
      <c r="D144" s="2">
        <v>2</v>
      </c>
      <c r="E144" s="2">
        <v>2</v>
      </c>
      <c r="F144" s="2">
        <v>66</v>
      </c>
      <c r="G144" s="2">
        <v>69</v>
      </c>
      <c r="H144" s="8" cm="1">
        <f t="array" ref="H144">_xlfn.LET(_xlpm.s,IFERROR(--F144,""),_xlpm.e,IFERROR(--G144,""),IF(OR(_xlpm.s="",_xlpm.e="",_xlpm.e&lt;_xlpm.s),"",_xlfn.LET(_xlpm.p,_xlfn.SEQUENCE(_xlpm.e-_xlpm.s+1,1,_xlpm.s,1),SUM(1/COUNTIFS($D:$D,D144,$E:$E,E144,$F:$F,"&lt;&gt;N/A",$G:$G,"&lt;&gt;N/A",$F:$F,"&lt;="&amp;_xlpm.p,$G:$G,"&gt;="&amp;_xlpm.p)))))</f>
        <v>3</v>
      </c>
      <c r="I144" s="3" t="s">
        <v>30</v>
      </c>
      <c r="J144" s="3" t="s">
        <v>10618</v>
      </c>
      <c r="K144" s="4" t="s">
        <v>7</v>
      </c>
      <c r="L144" s="4" t="s">
        <v>7</v>
      </c>
      <c r="M144" s="5" t="s">
        <v>7</v>
      </c>
      <c r="N144" s="4" t="s">
        <v>7</v>
      </c>
      <c r="O144" s="4" t="s">
        <v>778</v>
      </c>
      <c r="P144" s="4" t="s">
        <v>7834</v>
      </c>
      <c r="Q144" s="4" t="s">
        <v>2034</v>
      </c>
      <c r="R144" s="2" t="b">
        <v>0</v>
      </c>
    </row>
    <row r="145" spans="1:18">
      <c r="A145" s="5" t="s">
        <v>3000</v>
      </c>
      <c r="B145" s="5" t="s">
        <v>4192</v>
      </c>
      <c r="C145" s="4" t="s">
        <v>8008</v>
      </c>
      <c r="D145" s="2">
        <v>2</v>
      </c>
      <c r="E145" s="2">
        <v>2</v>
      </c>
      <c r="F145" s="2">
        <v>69</v>
      </c>
      <c r="G145" s="2">
        <v>72</v>
      </c>
      <c r="H145" s="8" cm="1">
        <f t="array" ref="H145">_xlfn.LET(_xlpm.s,IFERROR(--F145,""),_xlpm.e,IFERROR(--G145,""),IF(OR(_xlpm.s="",_xlpm.e="",_xlpm.e&lt;_xlpm.s),"",_xlfn.LET(_xlpm.p,_xlfn.SEQUENCE(_xlpm.e-_xlpm.s+1,1,_xlpm.s,1),SUM(1/COUNTIFS($D:$D,D145,$E:$E,E145,$F:$F,"&lt;&gt;N/A",$G:$G,"&lt;&gt;N/A",$F:$F,"&lt;="&amp;_xlpm.p,$G:$G,"&gt;="&amp;_xlpm.p)))))</f>
        <v>3</v>
      </c>
      <c r="I145" s="3" t="s">
        <v>30</v>
      </c>
      <c r="J145" s="3" t="s">
        <v>154</v>
      </c>
      <c r="K145" s="4" t="s">
        <v>7</v>
      </c>
      <c r="L145" s="4" t="s">
        <v>7</v>
      </c>
      <c r="M145" s="5" t="s">
        <v>7</v>
      </c>
      <c r="N145" s="4" t="s">
        <v>7</v>
      </c>
      <c r="O145" s="4" t="s">
        <v>778</v>
      </c>
      <c r="P145" s="4" t="s">
        <v>7834</v>
      </c>
      <c r="Q145" s="4" t="s">
        <v>2033</v>
      </c>
      <c r="R145" s="2" t="b">
        <v>0</v>
      </c>
    </row>
    <row r="146" spans="1:18">
      <c r="A146" s="5" t="s">
        <v>3000</v>
      </c>
      <c r="B146" s="5" t="s">
        <v>4193</v>
      </c>
      <c r="C146" s="4" t="s">
        <v>8008</v>
      </c>
      <c r="D146" s="2">
        <v>2</v>
      </c>
      <c r="E146" s="2">
        <v>2</v>
      </c>
      <c r="F146" s="2">
        <v>72</v>
      </c>
      <c r="G146" s="2">
        <v>73</v>
      </c>
      <c r="H146" s="8" cm="1">
        <f t="array" ref="H146">_xlfn.LET(_xlpm.s,IFERROR(--F146,""),_xlpm.e,IFERROR(--G146,""),IF(OR(_xlpm.s="",_xlpm.e="",_xlpm.e&lt;_xlpm.s),"",_xlfn.LET(_xlpm.p,_xlfn.SEQUENCE(_xlpm.e-_xlpm.s+1,1,_xlpm.s,1),SUM(1/COUNTIFS($D:$D,D146,$E:$E,E146,$F:$F,"&lt;&gt;N/A",$G:$G,"&lt;&gt;N/A",$F:$F,"&lt;="&amp;_xlpm.p,$G:$G,"&gt;="&amp;_xlpm.p)))))</f>
        <v>1.5</v>
      </c>
      <c r="I146" s="3" t="s">
        <v>30</v>
      </c>
      <c r="J146" t="s">
        <v>155</v>
      </c>
      <c r="K146" s="4" t="s">
        <v>7</v>
      </c>
      <c r="L146" s="4" t="s">
        <v>7</v>
      </c>
      <c r="M146" s="5" t="s">
        <v>7</v>
      </c>
      <c r="N146" s="4" t="s">
        <v>7</v>
      </c>
      <c r="O146" s="4" t="s">
        <v>778</v>
      </c>
      <c r="P146" s="4" t="s">
        <v>7834</v>
      </c>
      <c r="Q146" s="4" t="s">
        <v>2032</v>
      </c>
      <c r="R146" s="2" t="b">
        <v>0</v>
      </c>
    </row>
    <row r="147" spans="1:18">
      <c r="A147" s="5" t="s">
        <v>3000</v>
      </c>
      <c r="B147" s="5" t="s">
        <v>4194</v>
      </c>
      <c r="C147" s="4" t="s">
        <v>8009</v>
      </c>
      <c r="D147" s="2">
        <v>2</v>
      </c>
      <c r="E147" s="2">
        <v>3</v>
      </c>
      <c r="F147" s="2">
        <v>3</v>
      </c>
      <c r="G147" s="2">
        <v>8</v>
      </c>
      <c r="H147" s="8" cm="1">
        <f t="array" ref="H147">_xlfn.LET(_xlpm.s,IFERROR(--F147,""),_xlpm.e,IFERROR(--G147,""),IF(OR(_xlpm.s="",_xlpm.e="",_xlpm.e&lt;_xlpm.s),"",_xlfn.LET(_xlpm.p,_xlfn.SEQUENCE(_xlpm.e-_xlpm.s+1,1,_xlpm.s,1),SUM(1/COUNTIFS($D:$D,D147,$E:$E,E147,$F:$F,"&lt;&gt;N/A",$G:$G,"&lt;&gt;N/A",$F:$F,"&lt;="&amp;_xlpm.p,$G:$G,"&gt;="&amp;_xlpm.p)))))</f>
        <v>6</v>
      </c>
      <c r="I147" s="3" t="s">
        <v>127</v>
      </c>
      <c r="J147" s="3" t="s">
        <v>157</v>
      </c>
      <c r="K147" s="4" t="s">
        <v>158</v>
      </c>
      <c r="L147" s="5" t="s">
        <v>7</v>
      </c>
      <c r="M147" s="5" t="s">
        <v>7</v>
      </c>
      <c r="N147" t="s">
        <v>7</v>
      </c>
      <c r="O147" s="4" t="s">
        <v>778</v>
      </c>
      <c r="P147" s="4" t="s">
        <v>7834</v>
      </c>
      <c r="R147" s="1" t="b">
        <v>1</v>
      </c>
    </row>
    <row r="148" spans="1:18">
      <c r="A148" s="5" t="s">
        <v>3000</v>
      </c>
      <c r="B148" s="5" t="s">
        <v>4195</v>
      </c>
      <c r="C148" s="25" t="s">
        <v>8009</v>
      </c>
      <c r="D148" s="26">
        <v>2</v>
      </c>
      <c r="E148" s="26">
        <v>3</v>
      </c>
      <c r="F148" s="26">
        <v>9</v>
      </c>
      <c r="G148" s="26">
        <v>15</v>
      </c>
      <c r="H148" s="27" cm="1">
        <f t="array" ref="H148">_xlfn.LET(_xlpm.s,IFERROR(--F148,""),_xlpm.e,IFERROR(--G148,""),IF(OR(_xlpm.s="",_xlpm.e="",_xlpm.e&lt;_xlpm.s),"",_xlfn.LET(_xlpm.p,_xlfn.SEQUENCE(_xlpm.e-_xlpm.s+1,1,_xlpm.s,1),SUM(1/COUNTIFS($D:$D,D148,$E:$E,E148,$F:$F,"&lt;&gt;N/A",$G:$G,"&lt;&gt;N/A",$F:$F,"&lt;="&amp;_xlpm.p,$G:$G,"&gt;="&amp;_xlpm.p)))))</f>
        <v>7</v>
      </c>
      <c r="I148" s="28" t="s">
        <v>117</v>
      </c>
      <c r="J148" s="28" t="s">
        <v>2079</v>
      </c>
      <c r="K148" s="25" t="s">
        <v>7</v>
      </c>
      <c r="L148" s="29" t="s">
        <v>7</v>
      </c>
      <c r="M148" s="29" t="s">
        <v>7</v>
      </c>
      <c r="N148" s="29" t="s">
        <v>2405</v>
      </c>
      <c r="O148" s="25" t="s">
        <v>10264</v>
      </c>
      <c r="P148" s="4" t="s">
        <v>8020</v>
      </c>
      <c r="R148" s="1" t="b">
        <v>1</v>
      </c>
    </row>
    <row r="149" spans="1:18">
      <c r="A149" s="5" t="s">
        <v>3000</v>
      </c>
      <c r="B149" s="5" t="s">
        <v>4196</v>
      </c>
      <c r="C149" s="25" t="s">
        <v>8009</v>
      </c>
      <c r="D149" s="26">
        <v>2</v>
      </c>
      <c r="E149" s="26">
        <v>3</v>
      </c>
      <c r="F149" s="26">
        <v>16</v>
      </c>
      <c r="G149" s="26">
        <v>20</v>
      </c>
      <c r="H149" s="27" cm="1">
        <f t="array" ref="H149">_xlfn.LET(_xlpm.s,IFERROR(--F149,""),_xlpm.e,IFERROR(--G149,""),IF(OR(_xlpm.s="",_xlpm.e="",_xlpm.e&lt;_xlpm.s),"",_xlfn.LET(_xlpm.p,_xlfn.SEQUENCE(_xlpm.e-_xlpm.s+1,1,_xlpm.s,1),SUM(1/COUNTIFS($D:$D,D149,$E:$E,E149,$F:$F,"&lt;&gt;N/A",$G:$G,"&lt;&gt;N/A",$F:$F,"&lt;="&amp;_xlpm.p,$G:$G,"&gt;="&amp;_xlpm.p)))))</f>
        <v>4.5</v>
      </c>
      <c r="I149" s="28" t="s">
        <v>11</v>
      </c>
      <c r="J149" s="28" t="s">
        <v>10619</v>
      </c>
      <c r="K149" s="25" t="s">
        <v>144</v>
      </c>
      <c r="L149" s="29" t="s">
        <v>7</v>
      </c>
      <c r="M149" s="29" t="s">
        <v>7</v>
      </c>
      <c r="N149" s="30" t="s">
        <v>7</v>
      </c>
      <c r="O149" s="25" t="s">
        <v>778</v>
      </c>
      <c r="P149" s="4" t="s">
        <v>7834</v>
      </c>
      <c r="R149" s="1" t="b">
        <v>1</v>
      </c>
    </row>
    <row r="150" spans="1:18">
      <c r="A150" s="5" t="s">
        <v>3000</v>
      </c>
      <c r="B150" s="5" t="s">
        <v>4197</v>
      </c>
      <c r="C150" s="25" t="s">
        <v>8009</v>
      </c>
      <c r="D150" s="26">
        <v>2</v>
      </c>
      <c r="E150" s="26">
        <v>3</v>
      </c>
      <c r="F150" s="26">
        <v>20</v>
      </c>
      <c r="G150" s="26">
        <v>24</v>
      </c>
      <c r="H150" s="27" cm="1">
        <f t="array" ref="H150">_xlfn.LET(_xlpm.s,IFERROR(--F150,""),_xlpm.e,IFERROR(--G150,""),IF(OR(_xlpm.s="",_xlpm.e="",_xlpm.e&lt;_xlpm.s),"",_xlfn.LET(_xlpm.p,_xlfn.SEQUENCE(_xlpm.e-_xlpm.s+1,1,_xlpm.s,1),SUM(1/COUNTIFS($D:$D,D150,$E:$E,E150,$F:$F,"&lt;&gt;N/A",$G:$G,"&lt;&gt;N/A",$F:$F,"&lt;="&amp;_xlpm.p,$G:$G,"&gt;="&amp;_xlpm.p)))))</f>
        <v>4</v>
      </c>
      <c r="I150" s="28" t="s">
        <v>8</v>
      </c>
      <c r="J150" s="28" t="s">
        <v>5022</v>
      </c>
      <c r="K150" s="25" t="s">
        <v>12</v>
      </c>
      <c r="L150" s="29" t="s">
        <v>7</v>
      </c>
      <c r="M150" s="29" t="s">
        <v>7</v>
      </c>
      <c r="N150" s="30" t="s">
        <v>7</v>
      </c>
      <c r="O150" s="25" t="s">
        <v>778</v>
      </c>
      <c r="P150" s="4" t="s">
        <v>7834</v>
      </c>
      <c r="Q150" s="4" t="s">
        <v>5023</v>
      </c>
      <c r="R150" s="1" t="b">
        <v>1</v>
      </c>
    </row>
    <row r="151" spans="1:18">
      <c r="A151" s="5" t="s">
        <v>3000</v>
      </c>
      <c r="B151" s="5" t="s">
        <v>4198</v>
      </c>
      <c r="C151" s="25" t="s">
        <v>8009</v>
      </c>
      <c r="D151" s="26">
        <v>2</v>
      </c>
      <c r="E151" s="26">
        <v>3</v>
      </c>
      <c r="F151" s="26">
        <v>24</v>
      </c>
      <c r="G151" s="26">
        <v>33</v>
      </c>
      <c r="H151" s="27" cm="1">
        <f t="array" ref="H151">_xlfn.LET(_xlpm.s,IFERROR(--F151,""),_xlpm.e,IFERROR(--G151,""),IF(OR(_xlpm.s="",_xlpm.e="",_xlpm.e&lt;_xlpm.s),"",_xlfn.LET(_xlpm.p,_xlfn.SEQUENCE(_xlpm.e-_xlpm.s+1,1,_xlpm.s,1),SUM(1/COUNTIFS($D:$D,D151,$E:$E,E151,$F:$F,"&lt;&gt;N/A",$G:$G,"&lt;&gt;N/A",$F:$F,"&lt;="&amp;_xlpm.p,$G:$G,"&gt;="&amp;_xlpm.p)))))</f>
        <v>9.5</v>
      </c>
      <c r="I151" s="28" t="s">
        <v>56</v>
      </c>
      <c r="J151" s="28" t="s">
        <v>159</v>
      </c>
      <c r="K151" s="25" t="s">
        <v>160</v>
      </c>
      <c r="L151" s="25" t="s">
        <v>7</v>
      </c>
      <c r="M151" s="29" t="s">
        <v>7</v>
      </c>
      <c r="N151" s="25" t="s">
        <v>2411</v>
      </c>
      <c r="O151" s="25" t="s">
        <v>778</v>
      </c>
      <c r="P151" s="4" t="s">
        <v>7834</v>
      </c>
      <c r="R151" s="2" t="b">
        <v>1</v>
      </c>
    </row>
    <row r="152" spans="1:18">
      <c r="A152" s="5" t="s">
        <v>3000</v>
      </c>
      <c r="B152" s="5" t="s">
        <v>4199</v>
      </c>
      <c r="C152" s="31" t="s">
        <v>8009</v>
      </c>
      <c r="D152" s="32">
        <v>2</v>
      </c>
      <c r="E152" s="32">
        <v>3</v>
      </c>
      <c r="F152" s="32">
        <v>34</v>
      </c>
      <c r="G152" s="32">
        <v>49</v>
      </c>
      <c r="H152" s="27" cm="1">
        <f t="array" ref="H152">_xlfn.LET(_xlpm.s,IFERROR(--F152,""),_xlpm.e,IFERROR(--G152,""),IF(OR(_xlpm.s="",_xlpm.e="",_xlpm.e&lt;_xlpm.s),"",_xlfn.LET(_xlpm.p,_xlfn.SEQUENCE(_xlpm.e-_xlpm.s+1,1,_xlpm.s,1),SUM(1/COUNTIFS($D:$D,D152,$E:$E,E152,$F:$F,"&lt;&gt;N/A",$G:$G,"&lt;&gt;N/A",$F:$F,"&lt;="&amp;_xlpm.p,$G:$G,"&gt;="&amp;_xlpm.p)))))</f>
        <v>15.5</v>
      </c>
      <c r="I152" s="33" t="s">
        <v>2</v>
      </c>
      <c r="J152" s="33" t="s">
        <v>215</v>
      </c>
      <c r="K152" s="31" t="s">
        <v>1252</v>
      </c>
      <c r="L152" s="29" t="s">
        <v>7</v>
      </c>
      <c r="M152" s="29" t="s">
        <v>7</v>
      </c>
      <c r="N152" s="30" t="s">
        <v>1944</v>
      </c>
      <c r="O152" s="25" t="s">
        <v>7</v>
      </c>
      <c r="P152" s="4" t="s">
        <v>8020</v>
      </c>
      <c r="Q152" s="4" t="s">
        <v>2733</v>
      </c>
      <c r="R152" s="39" t="b">
        <v>1</v>
      </c>
    </row>
    <row r="153" spans="1:18">
      <c r="A153" s="5" t="s">
        <v>3000</v>
      </c>
      <c r="B153" s="5" t="s">
        <v>4200</v>
      </c>
      <c r="C153" s="31" t="s">
        <v>8009</v>
      </c>
      <c r="D153" s="32">
        <v>2</v>
      </c>
      <c r="E153" s="32">
        <v>3</v>
      </c>
      <c r="F153" s="32">
        <v>49</v>
      </c>
      <c r="G153" s="32">
        <v>52</v>
      </c>
      <c r="H153" s="27" cm="1">
        <f t="array" ref="H153">_xlfn.LET(_xlpm.s,IFERROR(--F153,""),_xlpm.e,IFERROR(--G153,""),IF(OR(_xlpm.s="",_xlpm.e="",_xlpm.e&lt;_xlpm.s),"",_xlfn.LET(_xlpm.p,_xlfn.SEQUENCE(_xlpm.e-_xlpm.s+1,1,_xlpm.s,1),SUM(1/COUNTIFS($D:$D,D153,$E:$E,E153,$F:$F,"&lt;&gt;N/A",$G:$G,"&lt;&gt;N/A",$F:$F,"&lt;="&amp;_xlpm.p,$G:$G,"&gt;="&amp;_xlpm.p)))))</f>
        <v>3</v>
      </c>
      <c r="I153" s="33" t="s">
        <v>2</v>
      </c>
      <c r="J153" s="33" t="s">
        <v>216</v>
      </c>
      <c r="K153" s="31" t="s">
        <v>12</v>
      </c>
      <c r="L153" s="29" t="s">
        <v>7</v>
      </c>
      <c r="M153" s="25" t="s">
        <v>7</v>
      </c>
      <c r="N153" s="25" t="s">
        <v>7</v>
      </c>
      <c r="O153" s="25" t="s">
        <v>778</v>
      </c>
      <c r="P153" s="4" t="s">
        <v>7834</v>
      </c>
      <c r="R153" s="39" t="b">
        <v>1</v>
      </c>
    </row>
    <row r="154" spans="1:18">
      <c r="A154" s="5" t="s">
        <v>3000</v>
      </c>
      <c r="B154" s="5" t="s">
        <v>4201</v>
      </c>
      <c r="C154" s="25" t="s">
        <v>8009</v>
      </c>
      <c r="D154" s="26">
        <v>2</v>
      </c>
      <c r="E154" s="26">
        <v>3</v>
      </c>
      <c r="F154" s="26">
        <v>52</v>
      </c>
      <c r="G154" s="26">
        <v>54</v>
      </c>
      <c r="H154" s="27" cm="1">
        <f t="array" ref="H154">_xlfn.LET(_xlpm.s,IFERROR(--F154,""),_xlpm.e,IFERROR(--G154,""),IF(OR(_xlpm.s="",_xlpm.e="",_xlpm.e&lt;_xlpm.s),"",_xlfn.LET(_xlpm.p,_xlfn.SEQUENCE(_xlpm.e-_xlpm.s+1,1,_xlpm.s,1),SUM(1/COUNTIFS($D:$D,D154,$E:$E,E154,$F:$F,"&lt;&gt;N/A",$G:$G,"&lt;&gt;N/A",$F:$F,"&lt;="&amp;_xlpm.p,$G:$G,"&gt;="&amp;_xlpm.p)))))</f>
        <v>2</v>
      </c>
      <c r="I154" s="28" t="s">
        <v>196</v>
      </c>
      <c r="J154" s="28" t="s">
        <v>217</v>
      </c>
      <c r="K154" s="25" t="s">
        <v>4497</v>
      </c>
      <c r="L154" s="25" t="s">
        <v>7</v>
      </c>
      <c r="M154" s="25" t="s">
        <v>7</v>
      </c>
      <c r="N154" s="25" t="s">
        <v>7</v>
      </c>
      <c r="O154" s="25" t="s">
        <v>10264</v>
      </c>
      <c r="P154" s="4" t="s">
        <v>8020</v>
      </c>
      <c r="Q154" s="4" t="s">
        <v>2047</v>
      </c>
      <c r="R154" s="2" t="b">
        <v>0</v>
      </c>
    </row>
    <row r="155" spans="1:18">
      <c r="A155" s="5" t="s">
        <v>3000</v>
      </c>
      <c r="B155" s="5" t="s">
        <v>4202</v>
      </c>
      <c r="C155" s="25" t="s">
        <v>8009</v>
      </c>
      <c r="D155" s="26">
        <v>2</v>
      </c>
      <c r="E155" s="26">
        <v>3</v>
      </c>
      <c r="F155" s="26">
        <v>54</v>
      </c>
      <c r="G155" s="26">
        <v>58</v>
      </c>
      <c r="H155" s="27" cm="1">
        <f t="array" ref="H155">_xlfn.LET(_xlpm.s,IFERROR(--F155,""),_xlpm.e,IFERROR(--G155,""),IF(OR(_xlpm.s="",_xlpm.e="",_xlpm.e&lt;_xlpm.s),"",_xlfn.LET(_xlpm.p,_xlfn.SEQUENCE(_xlpm.e-_xlpm.s+1,1,_xlpm.s,1),SUM(1/COUNTIFS($D:$D,D155,$E:$E,E155,$F:$F,"&lt;&gt;N/A",$G:$G,"&lt;&gt;N/A",$F:$F,"&lt;="&amp;_xlpm.p,$G:$G,"&gt;="&amp;_xlpm.p)))))</f>
        <v>4</v>
      </c>
      <c r="I155" s="28" t="s">
        <v>196</v>
      </c>
      <c r="J155" s="30" t="s">
        <v>218</v>
      </c>
      <c r="K155" s="25" t="s">
        <v>4497</v>
      </c>
      <c r="L155" s="25" t="s">
        <v>7</v>
      </c>
      <c r="M155" s="25" t="s">
        <v>7</v>
      </c>
      <c r="N155" s="25" t="s">
        <v>7</v>
      </c>
      <c r="O155" s="25" t="s">
        <v>10264</v>
      </c>
      <c r="P155" s="4" t="s">
        <v>8020</v>
      </c>
      <c r="Q155" s="4" t="s">
        <v>2046</v>
      </c>
      <c r="R155" s="2" t="b">
        <v>0</v>
      </c>
    </row>
    <row r="156" spans="1:18">
      <c r="A156" s="5" t="s">
        <v>3000</v>
      </c>
      <c r="B156" s="5" t="s">
        <v>4203</v>
      </c>
      <c r="C156" s="25" t="s">
        <v>8009</v>
      </c>
      <c r="D156" s="26">
        <v>2</v>
      </c>
      <c r="E156" s="26">
        <v>3</v>
      </c>
      <c r="F156" s="26">
        <v>58</v>
      </c>
      <c r="G156" s="26">
        <v>61</v>
      </c>
      <c r="H156" s="27" cm="1">
        <f t="array" ref="H156">_xlfn.LET(_xlpm.s,IFERROR(--F156,""),_xlpm.e,IFERROR(--G156,""),IF(OR(_xlpm.s="",_xlpm.e="",_xlpm.e&lt;_xlpm.s),"",_xlfn.LET(_xlpm.p,_xlfn.SEQUENCE(_xlpm.e-_xlpm.s+1,1,_xlpm.s,1),SUM(1/COUNTIFS($D:$D,D156,$E:$E,E156,$F:$F,"&lt;&gt;N/A",$G:$G,"&lt;&gt;N/A",$F:$F,"&lt;="&amp;_xlpm.p,$G:$G,"&gt;="&amp;_xlpm.p)))))</f>
        <v>3</v>
      </c>
      <c r="I156" s="28" t="s">
        <v>196</v>
      </c>
      <c r="J156" s="28" t="s">
        <v>219</v>
      </c>
      <c r="K156" s="25" t="s">
        <v>7</v>
      </c>
      <c r="L156" s="25" t="s">
        <v>7</v>
      </c>
      <c r="M156" s="25" t="s">
        <v>7</v>
      </c>
      <c r="N156" s="25" t="s">
        <v>7</v>
      </c>
      <c r="O156" s="25" t="s">
        <v>5072</v>
      </c>
      <c r="P156" s="4" t="s">
        <v>8020</v>
      </c>
      <c r="Q156" s="4" t="s">
        <v>2045</v>
      </c>
      <c r="R156" s="2" t="b">
        <v>0</v>
      </c>
    </row>
    <row r="157" spans="1:18">
      <c r="A157" s="5" t="s">
        <v>3000</v>
      </c>
      <c r="B157" s="5" t="s">
        <v>4204</v>
      </c>
      <c r="C157" s="25" t="s">
        <v>8009</v>
      </c>
      <c r="D157" s="26">
        <v>2</v>
      </c>
      <c r="E157" s="26">
        <v>3</v>
      </c>
      <c r="F157" s="26">
        <v>61</v>
      </c>
      <c r="G157" s="26">
        <v>68</v>
      </c>
      <c r="H157" s="27" cm="1">
        <f t="array" ref="H157">_xlfn.LET(_xlpm.s,IFERROR(--F157,""),_xlpm.e,IFERROR(--G157,""),IF(OR(_xlpm.s="",_xlpm.e="",_xlpm.e&lt;_xlpm.s),"",_xlfn.LET(_xlpm.p,_xlfn.SEQUENCE(_xlpm.e-_xlpm.s+1,1,_xlpm.s,1),SUM(1/COUNTIFS($D:$D,D157,$E:$E,E157,$F:$F,"&lt;&gt;N/A",$G:$G,"&lt;&gt;N/A",$F:$F,"&lt;="&amp;_xlpm.p,$G:$G,"&gt;="&amp;_xlpm.p)))))</f>
        <v>7</v>
      </c>
      <c r="I157" s="28" t="s">
        <v>54</v>
      </c>
      <c r="J157" s="28" t="s">
        <v>220</v>
      </c>
      <c r="K157" s="25" t="s">
        <v>7</v>
      </c>
      <c r="L157" s="25" t="s">
        <v>7</v>
      </c>
      <c r="M157" s="25" t="s">
        <v>7</v>
      </c>
      <c r="N157" s="25" t="s">
        <v>7</v>
      </c>
      <c r="O157" s="25" t="s">
        <v>778</v>
      </c>
      <c r="P157" s="4" t="s">
        <v>7834</v>
      </c>
      <c r="Q157" s="4" t="s">
        <v>2044</v>
      </c>
      <c r="R157" s="2" t="b">
        <v>0</v>
      </c>
    </row>
    <row r="158" spans="1:18">
      <c r="A158" s="5" t="s">
        <v>3000</v>
      </c>
      <c r="B158" s="5" t="s">
        <v>4205</v>
      </c>
      <c r="C158" s="25" t="s">
        <v>8009</v>
      </c>
      <c r="D158" s="26">
        <v>2</v>
      </c>
      <c r="E158" s="26">
        <v>3</v>
      </c>
      <c r="F158" s="26">
        <v>68</v>
      </c>
      <c r="G158" s="26">
        <v>78</v>
      </c>
      <c r="H158" s="27" cm="1">
        <f t="array" ref="H158">_xlfn.LET(_xlpm.s,IFERROR(--F158,""),_xlpm.e,IFERROR(--G158,""),IF(OR(_xlpm.s="",_xlpm.e="",_xlpm.e&lt;_xlpm.s),"",_xlfn.LET(_xlpm.p,_xlfn.SEQUENCE(_xlpm.e-_xlpm.s+1,1,_xlpm.s,1),SUM(1/COUNTIFS($D:$D,D158,$E:$E,E158,$F:$F,"&lt;&gt;N/A",$G:$G,"&lt;&gt;N/A",$F:$F,"&lt;="&amp;_xlpm.p,$G:$G,"&gt;="&amp;_xlpm.p)))))</f>
        <v>10</v>
      </c>
      <c r="I158" s="28" t="s">
        <v>7</v>
      </c>
      <c r="J158" s="28" t="s">
        <v>221</v>
      </c>
      <c r="K158" s="25" t="s">
        <v>7</v>
      </c>
      <c r="L158" s="25" t="s">
        <v>7</v>
      </c>
      <c r="M158" s="25" t="s">
        <v>7</v>
      </c>
      <c r="N158" s="25" t="s">
        <v>7</v>
      </c>
      <c r="O158" s="25" t="s">
        <v>778</v>
      </c>
      <c r="P158" s="4" t="s">
        <v>7834</v>
      </c>
      <c r="Q158" s="4" t="s">
        <v>2043</v>
      </c>
      <c r="R158" s="2" t="b">
        <v>0</v>
      </c>
    </row>
    <row r="159" spans="1:18">
      <c r="A159" s="5" t="s">
        <v>3000</v>
      </c>
      <c r="B159" s="5" t="s">
        <v>4206</v>
      </c>
      <c r="C159" s="25" t="s">
        <v>8009</v>
      </c>
      <c r="D159" s="26">
        <v>2</v>
      </c>
      <c r="E159" s="26">
        <v>3</v>
      </c>
      <c r="F159" s="26">
        <v>78</v>
      </c>
      <c r="G159" s="26">
        <v>79</v>
      </c>
      <c r="H159" s="27" cm="1">
        <f t="array" ref="H159">_xlfn.LET(_xlpm.s,IFERROR(--F159,""),_xlpm.e,IFERROR(--G159,""),IF(OR(_xlpm.s="",_xlpm.e="",_xlpm.e&lt;_xlpm.s),"",_xlfn.LET(_xlpm.p,_xlfn.SEQUENCE(_xlpm.e-_xlpm.s+1,1,_xlpm.s,1),SUM(1/COUNTIFS($D:$D,D159,$E:$E,E159,$F:$F,"&lt;&gt;N/A",$G:$G,"&lt;&gt;N/A",$F:$F,"&lt;="&amp;_xlpm.p,$G:$G,"&gt;="&amp;_xlpm.p)))))</f>
        <v>1</v>
      </c>
      <c r="I159" s="34" t="s">
        <v>7</v>
      </c>
      <c r="J159" s="35" t="s">
        <v>222</v>
      </c>
      <c r="K159" s="36" t="s">
        <v>7</v>
      </c>
      <c r="L159" s="36" t="s">
        <v>7</v>
      </c>
      <c r="M159" s="25" t="s">
        <v>7</v>
      </c>
      <c r="N159" s="25" t="s">
        <v>7</v>
      </c>
      <c r="O159" s="25" t="s">
        <v>5072</v>
      </c>
      <c r="P159" s="4" t="s">
        <v>8019</v>
      </c>
      <c r="Q159" s="4" t="s">
        <v>2042</v>
      </c>
      <c r="R159" s="2" t="b">
        <v>0</v>
      </c>
    </row>
    <row r="160" spans="1:18">
      <c r="A160" s="5" t="s">
        <v>3000</v>
      </c>
      <c r="B160" s="5" t="s">
        <v>4207</v>
      </c>
      <c r="C160" s="25" t="s">
        <v>8009</v>
      </c>
      <c r="D160" s="26">
        <v>2</v>
      </c>
      <c r="E160" s="26">
        <v>3</v>
      </c>
      <c r="F160" s="26">
        <v>79</v>
      </c>
      <c r="G160" s="26">
        <v>80</v>
      </c>
      <c r="H160" s="27" cm="1">
        <f t="array" ref="H160">_xlfn.LET(_xlpm.s,IFERROR(--F160,""),_xlpm.e,IFERROR(--G160,""),IF(OR(_xlpm.s="",_xlpm.e="",_xlpm.e&lt;_xlpm.s),"",_xlfn.LET(_xlpm.p,_xlfn.SEQUENCE(_xlpm.e-_xlpm.s+1,1,_xlpm.s,1),SUM(1/COUNTIFS($D:$D,D160,$E:$E,E160,$F:$F,"&lt;&gt;N/A",$G:$G,"&lt;&gt;N/A",$F:$F,"&lt;="&amp;_xlpm.p,$G:$G,"&gt;="&amp;_xlpm.p)))))</f>
        <v>1</v>
      </c>
      <c r="I160" s="34" t="s">
        <v>7</v>
      </c>
      <c r="J160" s="35" t="s">
        <v>154</v>
      </c>
      <c r="K160" s="36" t="s">
        <v>7</v>
      </c>
      <c r="L160" s="36" t="s">
        <v>7</v>
      </c>
      <c r="M160" s="25" t="s">
        <v>7</v>
      </c>
      <c r="N160" s="25" t="s">
        <v>7</v>
      </c>
      <c r="O160" s="25" t="s">
        <v>778</v>
      </c>
      <c r="P160" s="4" t="s">
        <v>7834</v>
      </c>
      <c r="Q160" s="4" t="s">
        <v>2041</v>
      </c>
      <c r="R160" s="2" t="b">
        <v>0</v>
      </c>
    </row>
    <row r="161" spans="1:18">
      <c r="A161" s="5" t="s">
        <v>3000</v>
      </c>
      <c r="B161" s="5" t="s">
        <v>4208</v>
      </c>
      <c r="C161" s="25" t="s">
        <v>8009</v>
      </c>
      <c r="D161" s="26">
        <v>2</v>
      </c>
      <c r="E161" s="26">
        <v>3</v>
      </c>
      <c r="F161" s="26">
        <v>80</v>
      </c>
      <c r="G161" s="26">
        <v>81</v>
      </c>
      <c r="H161" s="27" cm="1">
        <f t="array" ref="H161">_xlfn.LET(_xlpm.s,IFERROR(--F161,""),_xlpm.e,IFERROR(--G161,""),IF(OR(_xlpm.s="",_xlpm.e="",_xlpm.e&lt;_xlpm.s),"",_xlfn.LET(_xlpm.p,_xlfn.SEQUENCE(_xlpm.e-_xlpm.s+1,1,_xlpm.s,1),SUM(1/COUNTIFS($D:$D,D161,$E:$E,E161,$F:$F,"&lt;&gt;N/A",$G:$G,"&lt;&gt;N/A",$F:$F,"&lt;="&amp;_xlpm.p,$G:$G,"&gt;="&amp;_xlpm.p)))))</f>
        <v>1</v>
      </c>
      <c r="I161" s="34" t="s">
        <v>7</v>
      </c>
      <c r="J161" s="34" t="s">
        <v>27</v>
      </c>
      <c r="K161" s="36" t="s">
        <v>7</v>
      </c>
      <c r="L161" s="36" t="s">
        <v>7</v>
      </c>
      <c r="M161" s="25" t="s">
        <v>7</v>
      </c>
      <c r="N161" s="25" t="s">
        <v>7</v>
      </c>
      <c r="O161" s="25" t="s">
        <v>778</v>
      </c>
      <c r="P161" s="4" t="s">
        <v>7834</v>
      </c>
      <c r="Q161" s="4" t="s">
        <v>2040</v>
      </c>
      <c r="R161" s="2" t="b">
        <v>0</v>
      </c>
    </row>
    <row r="162" spans="1:18">
      <c r="A162" s="5" t="s">
        <v>3000</v>
      </c>
      <c r="B162" s="5" t="s">
        <v>4209</v>
      </c>
      <c r="C162" s="25" t="s">
        <v>8009</v>
      </c>
      <c r="D162" s="26">
        <v>2</v>
      </c>
      <c r="E162" s="26">
        <v>3</v>
      </c>
      <c r="F162" s="26">
        <v>81</v>
      </c>
      <c r="G162" s="26">
        <v>82</v>
      </c>
      <c r="H162" s="27" cm="1">
        <f t="array" ref="H162">_xlfn.LET(_xlpm.s,IFERROR(--F162,""),_xlpm.e,IFERROR(--G162,""),IF(OR(_xlpm.s="",_xlpm.e="",_xlpm.e&lt;_xlpm.s),"",_xlfn.LET(_xlpm.p,_xlfn.SEQUENCE(_xlpm.e-_xlpm.s+1,1,_xlpm.s,1),SUM(1/COUNTIFS($D:$D,D162,$E:$E,E162,$F:$F,"&lt;&gt;N/A",$G:$G,"&lt;&gt;N/A",$F:$F,"&lt;="&amp;_xlpm.p,$G:$G,"&gt;="&amp;_xlpm.p)))))</f>
        <v>1.5</v>
      </c>
      <c r="I162" s="34" t="s">
        <v>7</v>
      </c>
      <c r="J162" s="35" t="s">
        <v>108</v>
      </c>
      <c r="K162" s="36" t="s">
        <v>7</v>
      </c>
      <c r="L162" s="36" t="s">
        <v>7</v>
      </c>
      <c r="M162" s="25" t="s">
        <v>7</v>
      </c>
      <c r="N162" s="25" t="s">
        <v>7</v>
      </c>
      <c r="O162" s="25" t="s">
        <v>778</v>
      </c>
      <c r="P162" s="4" t="s">
        <v>7834</v>
      </c>
      <c r="Q162" s="4" t="s">
        <v>2039</v>
      </c>
      <c r="R162" s="2" t="b">
        <v>0</v>
      </c>
    </row>
    <row r="163" spans="1:18">
      <c r="A163" s="5" t="s">
        <v>3000</v>
      </c>
      <c r="B163" s="5" t="s">
        <v>4210</v>
      </c>
      <c r="C163" s="25" t="s">
        <v>8010</v>
      </c>
      <c r="D163" s="26">
        <v>2</v>
      </c>
      <c r="E163" s="26">
        <v>4</v>
      </c>
      <c r="F163" s="26">
        <v>3</v>
      </c>
      <c r="G163" s="26">
        <v>11</v>
      </c>
      <c r="H163" s="27" cm="1">
        <f t="array" ref="H163">_xlfn.LET(_xlpm.s,IFERROR(--F163,""),_xlpm.e,IFERROR(--G163,""),IF(OR(_xlpm.s="",_xlpm.e="",_xlpm.e&lt;_xlpm.s),"",_xlfn.LET(_xlpm.p,_xlfn.SEQUENCE(_xlpm.e-_xlpm.s+1,1,_xlpm.s,1),SUM(1/COUNTIFS($D:$D,D163,$E:$E,E163,$F:$F,"&lt;&gt;N/A",$G:$G,"&lt;&gt;N/A",$F:$F,"&lt;="&amp;_xlpm.p,$G:$G,"&gt;="&amp;_xlpm.p)))))</f>
        <v>8.5</v>
      </c>
      <c r="I163" s="34" t="s">
        <v>7</v>
      </c>
      <c r="J163" s="34" t="s">
        <v>223</v>
      </c>
      <c r="K163" s="36" t="s">
        <v>12</v>
      </c>
      <c r="L163" s="36" t="s">
        <v>7</v>
      </c>
      <c r="M163" s="25" t="s">
        <v>7</v>
      </c>
      <c r="N163" s="25" t="s">
        <v>7</v>
      </c>
      <c r="O163" s="25" t="s">
        <v>778</v>
      </c>
      <c r="P163" s="4" t="s">
        <v>7834</v>
      </c>
      <c r="R163" s="1" t="b">
        <v>1</v>
      </c>
    </row>
    <row r="164" spans="1:18">
      <c r="A164" s="5" t="s">
        <v>3000</v>
      </c>
      <c r="B164" s="5" t="s">
        <v>4211</v>
      </c>
      <c r="C164" s="25" t="s">
        <v>8010</v>
      </c>
      <c r="D164" s="26">
        <v>2</v>
      </c>
      <c r="E164" s="26">
        <v>4</v>
      </c>
      <c r="F164" s="26">
        <v>11</v>
      </c>
      <c r="G164" s="26">
        <v>19</v>
      </c>
      <c r="H164" s="27" cm="1">
        <f t="array" ref="H164">_xlfn.LET(_xlpm.s,IFERROR(--F164,""),_xlpm.e,IFERROR(--G164,""),IF(OR(_xlpm.s="",_xlpm.e="",_xlpm.e&lt;_xlpm.s),"",_xlfn.LET(_xlpm.p,_xlfn.SEQUENCE(_xlpm.e-_xlpm.s+1,1,_xlpm.s,1),SUM(1/COUNTIFS($D:$D,D164,$E:$E,E164,$F:$F,"&lt;&gt;N/A",$G:$G,"&lt;&gt;N/A",$F:$F,"&lt;="&amp;_xlpm.p,$G:$G,"&gt;="&amp;_xlpm.p)))))</f>
        <v>8</v>
      </c>
      <c r="I164" s="34" t="s">
        <v>8</v>
      </c>
      <c r="J164" s="34" t="s">
        <v>274</v>
      </c>
      <c r="K164" s="36" t="s">
        <v>275</v>
      </c>
      <c r="L164" s="37" t="s">
        <v>7</v>
      </c>
      <c r="M164" s="29" t="s">
        <v>7</v>
      </c>
      <c r="N164" s="30" t="s">
        <v>7</v>
      </c>
      <c r="O164" s="25" t="s">
        <v>778</v>
      </c>
      <c r="P164" s="4" t="s">
        <v>7834</v>
      </c>
      <c r="R164" s="1" t="b">
        <v>1</v>
      </c>
    </row>
    <row r="165" spans="1:18">
      <c r="A165" s="5" t="s">
        <v>3000</v>
      </c>
      <c r="B165" s="5" t="s">
        <v>4212</v>
      </c>
      <c r="C165" s="25" t="s">
        <v>8010</v>
      </c>
      <c r="D165" s="26">
        <v>2</v>
      </c>
      <c r="E165" s="26">
        <v>4</v>
      </c>
      <c r="F165" s="26">
        <v>19</v>
      </c>
      <c r="G165" s="26">
        <v>29</v>
      </c>
      <c r="H165" s="27" cm="1">
        <f t="array" ref="H165">_xlfn.LET(_xlpm.s,IFERROR(--F165,""),_xlpm.e,IFERROR(--G165,""),IF(OR(_xlpm.s="",_xlpm.e="",_xlpm.e&lt;_xlpm.s),"",_xlfn.LET(_xlpm.p,_xlfn.SEQUENCE(_xlpm.e-_xlpm.s+1,1,_xlpm.s,1),SUM(1/COUNTIFS($D:$D,D165,$E:$E,E165,$F:$F,"&lt;&gt;N/A",$G:$G,"&lt;&gt;N/A",$F:$F,"&lt;="&amp;_xlpm.p,$G:$G,"&gt;="&amp;_xlpm.p)))))</f>
        <v>10</v>
      </c>
      <c r="I165" s="34" t="s">
        <v>11</v>
      </c>
      <c r="J165" s="34" t="s">
        <v>341</v>
      </c>
      <c r="K165" s="36" t="s">
        <v>144</v>
      </c>
      <c r="L165" s="37" t="s">
        <v>7</v>
      </c>
      <c r="M165" s="29" t="s">
        <v>7</v>
      </c>
      <c r="N165" s="30" t="s">
        <v>7</v>
      </c>
      <c r="O165" s="25" t="s">
        <v>778</v>
      </c>
      <c r="P165" s="4" t="s">
        <v>7834</v>
      </c>
      <c r="R165" s="1" t="b">
        <v>1</v>
      </c>
    </row>
    <row r="166" spans="1:18">
      <c r="A166" s="5" t="s">
        <v>3000</v>
      </c>
      <c r="B166" s="5" t="s">
        <v>4213</v>
      </c>
      <c r="C166" s="25" t="s">
        <v>8010</v>
      </c>
      <c r="D166" s="26">
        <v>2</v>
      </c>
      <c r="E166" s="26">
        <v>4</v>
      </c>
      <c r="F166" s="26">
        <v>29</v>
      </c>
      <c r="G166" s="26">
        <v>48</v>
      </c>
      <c r="H166" s="27" cm="1">
        <f t="array" ref="H166">_xlfn.LET(_xlpm.s,IFERROR(--F166,""),_xlpm.e,IFERROR(--G166,""),IF(OR(_xlpm.s="",_xlpm.e="",_xlpm.e&lt;_xlpm.s),"",_xlfn.LET(_xlpm.p,_xlfn.SEQUENCE(_xlpm.e-_xlpm.s+1,1,_xlpm.s,1),SUM(1/COUNTIFS($D:$D,D166,$E:$E,E166,$F:$F,"&lt;&gt;N/A",$G:$G,"&lt;&gt;N/A",$F:$F,"&lt;="&amp;_xlpm.p,$G:$G,"&gt;="&amp;_xlpm.p)))))</f>
        <v>19</v>
      </c>
      <c r="I166" s="34" t="s">
        <v>2</v>
      </c>
      <c r="J166" s="34" t="s">
        <v>402</v>
      </c>
      <c r="K166" s="36" t="s">
        <v>152</v>
      </c>
      <c r="L166" s="37" t="s">
        <v>7</v>
      </c>
      <c r="M166" s="29" t="s">
        <v>7</v>
      </c>
      <c r="N166" s="30" t="s">
        <v>1944</v>
      </c>
      <c r="O166" s="25" t="s">
        <v>7</v>
      </c>
      <c r="P166" s="4" t="s">
        <v>8020</v>
      </c>
      <c r="Q166" s="4" t="s">
        <v>2733</v>
      </c>
      <c r="R166" s="1" t="b">
        <v>1</v>
      </c>
    </row>
    <row r="167" spans="1:18">
      <c r="A167" s="5" t="s">
        <v>3000</v>
      </c>
      <c r="B167" s="5" t="s">
        <v>4214</v>
      </c>
      <c r="C167" s="25" t="s">
        <v>8010</v>
      </c>
      <c r="D167" s="26">
        <v>2</v>
      </c>
      <c r="E167" s="26">
        <v>4</v>
      </c>
      <c r="F167" s="26">
        <v>48</v>
      </c>
      <c r="G167" s="26">
        <v>63</v>
      </c>
      <c r="H167" s="27" cm="1">
        <f t="array" ref="H167">_xlfn.LET(_xlpm.s,IFERROR(--F167,""),_xlpm.e,IFERROR(--G167,""),IF(OR(_xlpm.s="",_xlpm.e="",_xlpm.e&lt;_xlpm.s),"",_xlfn.LET(_xlpm.p,_xlfn.SEQUENCE(_xlpm.e-_xlpm.s+1,1,_xlpm.s,1),SUM(1/COUNTIFS($D:$D,D167,$E:$E,E167,$F:$F,"&lt;&gt;N/A",$G:$G,"&lt;&gt;N/A",$F:$F,"&lt;="&amp;_xlpm.p,$G:$G,"&gt;="&amp;_xlpm.p)))))</f>
        <v>15</v>
      </c>
      <c r="I167" s="34" t="s">
        <v>54</v>
      </c>
      <c r="J167" s="35" t="s">
        <v>403</v>
      </c>
      <c r="K167" s="36" t="s">
        <v>7</v>
      </c>
      <c r="L167" s="36" t="s">
        <v>7</v>
      </c>
      <c r="M167" s="29" t="s">
        <v>7</v>
      </c>
      <c r="N167" s="25" t="s">
        <v>7</v>
      </c>
      <c r="O167" s="30" t="s">
        <v>778</v>
      </c>
      <c r="P167" t="s">
        <v>7834</v>
      </c>
      <c r="Q167" s="4" t="s">
        <v>2061</v>
      </c>
      <c r="R167" s="2" t="b">
        <v>0</v>
      </c>
    </row>
    <row r="168" spans="1:18">
      <c r="A168" s="5" t="s">
        <v>3000</v>
      </c>
      <c r="B168" s="5" t="s">
        <v>4215</v>
      </c>
      <c r="C168" s="25" t="s">
        <v>8010</v>
      </c>
      <c r="D168" s="26">
        <v>2</v>
      </c>
      <c r="E168" s="26">
        <v>4</v>
      </c>
      <c r="F168" s="26">
        <v>63</v>
      </c>
      <c r="G168" s="26">
        <v>66</v>
      </c>
      <c r="H168" s="27" cm="1">
        <f t="array" ref="H168">_xlfn.LET(_xlpm.s,IFERROR(--F168,""),_xlpm.e,IFERROR(--G168,""),IF(OR(_xlpm.s="",_xlpm.e="",_xlpm.e&lt;_xlpm.s),"",_xlfn.LET(_xlpm.p,_xlfn.SEQUENCE(_xlpm.e-_xlpm.s+1,1,_xlpm.s,1),SUM(1/COUNTIFS($D:$D,D168,$E:$E,E168,$F:$F,"&lt;&gt;N/A",$G:$G,"&lt;&gt;N/A",$F:$F,"&lt;="&amp;_xlpm.p,$G:$G,"&gt;="&amp;_xlpm.p)))))</f>
        <v>3</v>
      </c>
      <c r="I168" s="34" t="s">
        <v>196</v>
      </c>
      <c r="J168" s="34" t="s">
        <v>404</v>
      </c>
      <c r="K168" s="36" t="s">
        <v>7</v>
      </c>
      <c r="L168" s="36" t="s">
        <v>7</v>
      </c>
      <c r="M168" s="29" t="s">
        <v>7</v>
      </c>
      <c r="N168" s="25" t="s">
        <v>7</v>
      </c>
      <c r="O168" s="25" t="s">
        <v>5072</v>
      </c>
      <c r="P168" s="4" t="s">
        <v>8019</v>
      </c>
      <c r="R168" s="2" t="b">
        <v>0</v>
      </c>
    </row>
    <row r="169" spans="1:18">
      <c r="A169" s="5" t="s">
        <v>3000</v>
      </c>
      <c r="B169" s="5" t="s">
        <v>4216</v>
      </c>
      <c r="C169" s="25" t="s">
        <v>8010</v>
      </c>
      <c r="D169" s="26">
        <v>2</v>
      </c>
      <c r="E169" s="26">
        <v>4</v>
      </c>
      <c r="F169" s="26">
        <v>66</v>
      </c>
      <c r="G169" s="26">
        <v>70</v>
      </c>
      <c r="H169" s="27" cm="1">
        <f t="array" ref="H169">_xlfn.LET(_xlpm.s,IFERROR(--F169,""),_xlpm.e,IFERROR(--G169,""),IF(OR(_xlpm.s="",_xlpm.e="",_xlpm.e&lt;_xlpm.s),"",_xlfn.LET(_xlpm.p,_xlfn.SEQUENCE(_xlpm.e-_xlpm.s+1,1,_xlpm.s,1),SUM(1/COUNTIFS($D:$D,D169,$E:$E,E169,$F:$F,"&lt;&gt;N/A",$G:$G,"&lt;&gt;N/A",$F:$F,"&lt;="&amp;_xlpm.p,$G:$G,"&gt;="&amp;_xlpm.p)))))</f>
        <v>4</v>
      </c>
      <c r="I169" s="34" t="s">
        <v>196</v>
      </c>
      <c r="J169" s="34" t="s">
        <v>405</v>
      </c>
      <c r="K169" s="36" t="s">
        <v>125</v>
      </c>
      <c r="L169" s="36" t="s">
        <v>7</v>
      </c>
      <c r="M169" s="29" t="s">
        <v>7</v>
      </c>
      <c r="N169" s="25" t="s">
        <v>7</v>
      </c>
      <c r="O169" s="25" t="s">
        <v>5072</v>
      </c>
      <c r="P169" s="4" t="s">
        <v>7</v>
      </c>
      <c r="Q169" s="4" t="s">
        <v>2036</v>
      </c>
      <c r="R169" s="2" t="b">
        <v>0</v>
      </c>
    </row>
    <row r="170" spans="1:18">
      <c r="A170" s="5" t="s">
        <v>3000</v>
      </c>
      <c r="B170" s="5" t="s">
        <v>4217</v>
      </c>
      <c r="C170" s="25" t="s">
        <v>8010</v>
      </c>
      <c r="D170" s="26">
        <v>2</v>
      </c>
      <c r="E170" s="26">
        <v>4</v>
      </c>
      <c r="F170" s="26">
        <v>70</v>
      </c>
      <c r="G170" s="26">
        <v>71</v>
      </c>
      <c r="H170" s="27" cm="1">
        <f t="array" ref="H170">_xlfn.LET(_xlpm.s,IFERROR(--F170,""),_xlpm.e,IFERROR(--G170,""),IF(OR(_xlpm.s="",_xlpm.e="",_xlpm.e&lt;_xlpm.s),"",_xlfn.LET(_xlpm.p,_xlfn.SEQUENCE(_xlpm.e-_xlpm.s+1,1,_xlpm.s,1),SUM(1/COUNTIFS($D:$D,D170,$E:$E,E170,$F:$F,"&lt;&gt;N/A",$G:$G,"&lt;&gt;N/A",$F:$F,"&lt;="&amp;_xlpm.p,$G:$G,"&gt;="&amp;_xlpm.p)))))</f>
        <v>1</v>
      </c>
      <c r="I170" s="34" t="s">
        <v>196</v>
      </c>
      <c r="J170" s="34" t="s">
        <v>406</v>
      </c>
      <c r="K170" s="36" t="s">
        <v>7</v>
      </c>
      <c r="L170" s="36" t="s">
        <v>7</v>
      </c>
      <c r="M170" s="29" t="s">
        <v>7</v>
      </c>
      <c r="N170" s="25" t="s">
        <v>7</v>
      </c>
      <c r="O170" s="25" t="s">
        <v>5072</v>
      </c>
      <c r="P170" s="4" t="s">
        <v>8021</v>
      </c>
      <c r="R170" s="2" t="b">
        <v>0</v>
      </c>
    </row>
    <row r="171" spans="1:18">
      <c r="A171" s="5" t="s">
        <v>3000</v>
      </c>
      <c r="B171" s="5" t="s">
        <v>4218</v>
      </c>
      <c r="C171" s="25" t="s">
        <v>8010</v>
      </c>
      <c r="D171" s="26">
        <v>2</v>
      </c>
      <c r="E171" s="26">
        <v>4</v>
      </c>
      <c r="F171" s="26">
        <v>71</v>
      </c>
      <c r="G171" s="26">
        <v>73</v>
      </c>
      <c r="H171" s="27" cm="1">
        <f t="array" ref="H171">_xlfn.LET(_xlpm.s,IFERROR(--F171,""),_xlpm.e,IFERROR(--G171,""),IF(OR(_xlpm.s="",_xlpm.e="",_xlpm.e&lt;_xlpm.s),"",_xlfn.LET(_xlpm.p,_xlfn.SEQUENCE(_xlpm.e-_xlpm.s+1,1,_xlpm.s,1),SUM(1/COUNTIFS($D:$D,D171,$E:$E,E171,$F:$F,"&lt;&gt;N/A",$G:$G,"&lt;&gt;N/A",$F:$F,"&lt;="&amp;_xlpm.p,$G:$G,"&gt;="&amp;_xlpm.p)))))</f>
        <v>2</v>
      </c>
      <c r="I171" s="34" t="s">
        <v>196</v>
      </c>
      <c r="J171" s="34" t="s">
        <v>407</v>
      </c>
      <c r="K171" s="36" t="s">
        <v>1229</v>
      </c>
      <c r="L171" s="36" t="s">
        <v>7</v>
      </c>
      <c r="M171" s="29" t="s">
        <v>7</v>
      </c>
      <c r="N171" s="25" t="s">
        <v>7</v>
      </c>
      <c r="O171" s="30" t="s">
        <v>778</v>
      </c>
      <c r="P171" t="s">
        <v>7834</v>
      </c>
      <c r="Q171" t="s">
        <v>2060</v>
      </c>
      <c r="R171" s="2" t="b">
        <v>0</v>
      </c>
    </row>
    <row r="172" spans="1:18">
      <c r="A172" s="5" t="s">
        <v>3000</v>
      </c>
      <c r="B172" s="5" t="s">
        <v>4219</v>
      </c>
      <c r="C172" s="25" t="s">
        <v>8010</v>
      </c>
      <c r="D172" s="26">
        <v>2</v>
      </c>
      <c r="E172" s="26">
        <v>4</v>
      </c>
      <c r="F172" s="26">
        <v>73</v>
      </c>
      <c r="G172" s="26">
        <v>74</v>
      </c>
      <c r="H172" s="27" cm="1">
        <f t="array" ref="H172">_xlfn.LET(_xlpm.s,IFERROR(--F172,""),_xlpm.e,IFERROR(--G172,""),IF(OR(_xlpm.s="",_xlpm.e="",_xlpm.e&lt;_xlpm.s),"",_xlfn.LET(_xlpm.p,_xlfn.SEQUENCE(_xlpm.e-_xlpm.s+1,1,_xlpm.s,1),SUM(1/COUNTIFS($D:$D,D172,$E:$E,E172,$F:$F,"&lt;&gt;N/A",$G:$G,"&lt;&gt;N/A",$F:$F,"&lt;="&amp;_xlpm.p,$G:$G,"&gt;="&amp;_xlpm.p)))))</f>
        <v>1</v>
      </c>
      <c r="I172" s="34" t="s">
        <v>196</v>
      </c>
      <c r="J172" s="34" t="s">
        <v>58</v>
      </c>
      <c r="K172" s="36" t="s">
        <v>7</v>
      </c>
      <c r="L172" s="36" t="s">
        <v>7</v>
      </c>
      <c r="M172" s="29" t="s">
        <v>7</v>
      </c>
      <c r="N172" s="25" t="s">
        <v>2412</v>
      </c>
      <c r="O172" s="25" t="s">
        <v>5072</v>
      </c>
      <c r="P172" s="4" t="s">
        <v>8019</v>
      </c>
      <c r="R172" s="2" t="b">
        <v>0</v>
      </c>
    </row>
    <row r="173" spans="1:18">
      <c r="A173" s="5" t="s">
        <v>3000</v>
      </c>
      <c r="B173" s="5" t="s">
        <v>4220</v>
      </c>
      <c r="C173" s="25" t="s">
        <v>8010</v>
      </c>
      <c r="D173" s="26">
        <v>2</v>
      </c>
      <c r="E173" s="26">
        <v>4</v>
      </c>
      <c r="F173" s="26">
        <v>74</v>
      </c>
      <c r="G173" s="26">
        <v>76</v>
      </c>
      <c r="H173" s="27" cm="1">
        <f t="array" ref="H173">_xlfn.LET(_xlpm.s,IFERROR(--F173,""),_xlpm.e,IFERROR(--G173,""),IF(OR(_xlpm.s="",_xlpm.e="",_xlpm.e&lt;_xlpm.s),"",_xlfn.LET(_xlpm.p,_xlfn.SEQUENCE(_xlpm.e-_xlpm.s+1,1,_xlpm.s,1),SUM(1/COUNTIFS($D:$D,D173,$E:$E,E173,$F:$F,"&lt;&gt;N/A",$G:$G,"&lt;&gt;N/A",$F:$F,"&lt;="&amp;_xlpm.p,$G:$G,"&gt;="&amp;_xlpm.p)))))</f>
        <v>2</v>
      </c>
      <c r="I173" s="34" t="s">
        <v>30</v>
      </c>
      <c r="J173" s="34" t="s">
        <v>408</v>
      </c>
      <c r="K173" s="36" t="s">
        <v>7</v>
      </c>
      <c r="L173" s="36" t="s">
        <v>7</v>
      </c>
      <c r="M173" s="29" t="s">
        <v>7</v>
      </c>
      <c r="N173" s="25" t="s">
        <v>7</v>
      </c>
      <c r="O173" s="25" t="s">
        <v>5072</v>
      </c>
      <c r="P173" s="4" t="s">
        <v>8036</v>
      </c>
      <c r="Q173" s="4" t="s">
        <v>2050</v>
      </c>
      <c r="R173" s="2" t="b">
        <v>0</v>
      </c>
    </row>
    <row r="174" spans="1:18">
      <c r="A174" s="5" t="s">
        <v>3000</v>
      </c>
      <c r="B174" s="5" t="s">
        <v>4221</v>
      </c>
      <c r="C174" s="25" t="s">
        <v>8010</v>
      </c>
      <c r="D174" s="26">
        <v>2</v>
      </c>
      <c r="E174" s="26">
        <v>4</v>
      </c>
      <c r="F174" s="26">
        <v>76</v>
      </c>
      <c r="G174" s="26">
        <v>77</v>
      </c>
      <c r="H174" s="27" cm="1">
        <f t="array" ref="H174">_xlfn.LET(_xlpm.s,IFERROR(--F174,""),_xlpm.e,IFERROR(--G174,""),IF(OR(_xlpm.s="",_xlpm.e="",_xlpm.e&lt;_xlpm.s),"",_xlfn.LET(_xlpm.p,_xlfn.SEQUENCE(_xlpm.e-_xlpm.s+1,1,_xlpm.s,1),SUM(1/COUNTIFS($D:$D,D174,$E:$E,E174,$F:$F,"&lt;&gt;N/A",$G:$G,"&lt;&gt;N/A",$F:$F,"&lt;="&amp;_xlpm.p,$G:$G,"&gt;="&amp;_xlpm.p)))))</f>
        <v>1</v>
      </c>
      <c r="I174" s="28" t="s">
        <v>30</v>
      </c>
      <c r="J174" s="28" t="s">
        <v>409</v>
      </c>
      <c r="K174" s="25" t="s">
        <v>7</v>
      </c>
      <c r="L174" s="25" t="s">
        <v>7</v>
      </c>
      <c r="M174" s="29" t="s">
        <v>7</v>
      </c>
      <c r="N174" s="25" t="s">
        <v>7</v>
      </c>
      <c r="O174" s="25" t="s">
        <v>5072</v>
      </c>
      <c r="P174" s="4" t="s">
        <v>8036</v>
      </c>
      <c r="Q174" s="4" t="s">
        <v>2050</v>
      </c>
      <c r="R174" s="2" t="b">
        <v>0</v>
      </c>
    </row>
    <row r="175" spans="1:18">
      <c r="A175" s="5" t="s">
        <v>3000</v>
      </c>
      <c r="B175" s="5" t="s">
        <v>4222</v>
      </c>
      <c r="C175" s="25" t="s">
        <v>8010</v>
      </c>
      <c r="D175" s="26">
        <v>2</v>
      </c>
      <c r="E175" s="26">
        <v>4</v>
      </c>
      <c r="F175" s="26">
        <v>77</v>
      </c>
      <c r="G175" s="26">
        <v>80</v>
      </c>
      <c r="H175" s="27" cm="1">
        <f t="array" ref="H175">_xlfn.LET(_xlpm.s,IFERROR(--F175,""),_xlpm.e,IFERROR(--G175,""),IF(OR(_xlpm.s="",_xlpm.e="",_xlpm.e&lt;_xlpm.s),"",_xlfn.LET(_xlpm.p,_xlfn.SEQUENCE(_xlpm.e-_xlpm.s+1,1,_xlpm.s,1),SUM(1/COUNTIFS($D:$D,D175,$E:$E,E175,$F:$F,"&lt;&gt;N/A",$G:$G,"&lt;&gt;N/A",$F:$F,"&lt;="&amp;_xlpm.p,$G:$G,"&gt;="&amp;_xlpm.p)))))</f>
        <v>3</v>
      </c>
      <c r="I175" s="28" t="s">
        <v>30</v>
      </c>
      <c r="J175" s="28" t="s">
        <v>410</v>
      </c>
      <c r="K175" s="25" t="s">
        <v>7</v>
      </c>
      <c r="L175" s="25" t="s">
        <v>7</v>
      </c>
      <c r="M175" s="29" t="s">
        <v>7</v>
      </c>
      <c r="N175" s="25" t="s">
        <v>7</v>
      </c>
      <c r="O175" s="25" t="s">
        <v>778</v>
      </c>
      <c r="P175" s="4" t="s">
        <v>7834</v>
      </c>
      <c r="Q175" s="4" t="s">
        <v>2059</v>
      </c>
      <c r="R175" s="2" t="b">
        <v>0</v>
      </c>
    </row>
    <row r="176" spans="1:18">
      <c r="A176" s="5" t="s">
        <v>3000</v>
      </c>
      <c r="B176" s="5" t="s">
        <v>4223</v>
      </c>
      <c r="C176" s="25" t="s">
        <v>8010</v>
      </c>
      <c r="D176" s="26">
        <v>2</v>
      </c>
      <c r="E176" s="26">
        <v>4</v>
      </c>
      <c r="F176" s="26">
        <v>80</v>
      </c>
      <c r="G176" s="26">
        <v>81</v>
      </c>
      <c r="H176" s="27" cm="1">
        <f t="array" ref="H176">_xlfn.LET(_xlpm.s,IFERROR(--F176,""),_xlpm.e,IFERROR(--G176,""),IF(OR(_xlpm.s="",_xlpm.e="",_xlpm.e&lt;_xlpm.s),"",_xlfn.LET(_xlpm.p,_xlfn.SEQUENCE(_xlpm.e-_xlpm.s+1,1,_xlpm.s,1),SUM(1/COUNTIFS($D:$D,D176,$E:$E,E176,$F:$F,"&lt;&gt;N/A",$G:$G,"&lt;&gt;N/A",$F:$F,"&lt;="&amp;_xlpm.p,$G:$G,"&gt;="&amp;_xlpm.p)))))</f>
        <v>1</v>
      </c>
      <c r="I176" s="28" t="s">
        <v>30</v>
      </c>
      <c r="J176" s="28" t="s">
        <v>411</v>
      </c>
      <c r="K176" s="25" t="s">
        <v>7</v>
      </c>
      <c r="L176" s="25" t="s">
        <v>7</v>
      </c>
      <c r="M176" s="29" t="s">
        <v>7</v>
      </c>
      <c r="N176" s="25" t="s">
        <v>7</v>
      </c>
      <c r="O176" s="25" t="s">
        <v>5072</v>
      </c>
      <c r="P176" s="4" t="s">
        <v>8036</v>
      </c>
      <c r="Q176" s="4" t="s">
        <v>2050</v>
      </c>
      <c r="R176" s="2" t="b">
        <v>0</v>
      </c>
    </row>
    <row r="177" spans="1:18">
      <c r="A177" s="5" t="s">
        <v>3000</v>
      </c>
      <c r="B177" s="5" t="s">
        <v>4224</v>
      </c>
      <c r="C177" s="25" t="s">
        <v>8010</v>
      </c>
      <c r="D177" s="26">
        <v>2</v>
      </c>
      <c r="E177" s="26">
        <v>4</v>
      </c>
      <c r="F177" s="26">
        <v>81</v>
      </c>
      <c r="G177" s="26">
        <v>87</v>
      </c>
      <c r="H177" s="27" cm="1">
        <f t="array" ref="H177">_xlfn.LET(_xlpm.s,IFERROR(--F177,""),_xlpm.e,IFERROR(--G177,""),IF(OR(_xlpm.s="",_xlpm.e="",_xlpm.e&lt;_xlpm.s),"",_xlfn.LET(_xlpm.p,_xlfn.SEQUENCE(_xlpm.e-_xlpm.s+1,1,_xlpm.s,1),SUM(1/COUNTIFS($D:$D,D177,$E:$E,E177,$F:$F,"&lt;&gt;N/A",$G:$G,"&lt;&gt;N/A",$F:$F,"&lt;="&amp;_xlpm.p,$G:$G,"&gt;="&amp;_xlpm.p)))))</f>
        <v>6</v>
      </c>
      <c r="I177" s="28" t="s">
        <v>30</v>
      </c>
      <c r="J177" s="28" t="s">
        <v>412</v>
      </c>
      <c r="K177" s="25" t="s">
        <v>7</v>
      </c>
      <c r="L177" s="25" t="s">
        <v>7</v>
      </c>
      <c r="M177" s="29" t="s">
        <v>7</v>
      </c>
      <c r="N177" s="25" t="s">
        <v>7</v>
      </c>
      <c r="O177" s="25" t="s">
        <v>5072</v>
      </c>
      <c r="P177" s="4" t="s">
        <v>8024</v>
      </c>
      <c r="Q177" t="s">
        <v>2058</v>
      </c>
      <c r="R177" s="2" t="b">
        <v>0</v>
      </c>
    </row>
    <row r="178" spans="1:18">
      <c r="A178" s="5" t="s">
        <v>3000</v>
      </c>
      <c r="B178" s="5" t="s">
        <v>4225</v>
      </c>
      <c r="C178" s="25" t="s">
        <v>8010</v>
      </c>
      <c r="D178" s="26">
        <v>2</v>
      </c>
      <c r="E178" s="26">
        <v>4</v>
      </c>
      <c r="F178" s="26">
        <v>87</v>
      </c>
      <c r="G178" s="26">
        <v>89</v>
      </c>
      <c r="H178" s="27" cm="1">
        <f t="array" ref="H178">_xlfn.LET(_xlpm.s,IFERROR(--F178,""),_xlpm.e,IFERROR(--G178,""),IF(OR(_xlpm.s="",_xlpm.e="",_xlpm.e&lt;_xlpm.s),"",_xlfn.LET(_xlpm.p,_xlfn.SEQUENCE(_xlpm.e-_xlpm.s+1,1,_xlpm.s,1),SUM(1/COUNTIFS($D:$D,D178,$E:$E,E178,$F:$F,"&lt;&gt;N/A",$G:$G,"&lt;&gt;N/A",$F:$F,"&lt;="&amp;_xlpm.p,$G:$G,"&gt;="&amp;_xlpm.p)))))</f>
        <v>2</v>
      </c>
      <c r="I178" s="28" t="s">
        <v>30</v>
      </c>
      <c r="J178" s="28" t="s">
        <v>413</v>
      </c>
      <c r="K178" s="25" t="s">
        <v>7</v>
      </c>
      <c r="L178" s="25" t="s">
        <v>7</v>
      </c>
      <c r="M178" s="29" t="s">
        <v>7</v>
      </c>
      <c r="N178" s="25" t="s">
        <v>7</v>
      </c>
      <c r="O178" s="25" t="s">
        <v>778</v>
      </c>
      <c r="P178" s="4" t="s">
        <v>7834</v>
      </c>
      <c r="Q178" s="4" t="s">
        <v>2057</v>
      </c>
      <c r="R178" s="2" t="b">
        <v>0</v>
      </c>
    </row>
    <row r="179" spans="1:18">
      <c r="A179" s="5" t="s">
        <v>3000</v>
      </c>
      <c r="B179" s="5" t="s">
        <v>4226</v>
      </c>
      <c r="C179" s="25" t="s">
        <v>8010</v>
      </c>
      <c r="D179" s="26">
        <v>2</v>
      </c>
      <c r="E179" s="26">
        <v>4</v>
      </c>
      <c r="F179" s="26">
        <v>89</v>
      </c>
      <c r="G179" s="26">
        <v>90</v>
      </c>
      <c r="H179" s="27" cm="1">
        <f t="array" ref="H179">_xlfn.LET(_xlpm.s,IFERROR(--F179,""),_xlpm.e,IFERROR(--G179,""),IF(OR(_xlpm.s="",_xlpm.e="",_xlpm.e&lt;_xlpm.s),"",_xlfn.LET(_xlpm.p,_xlfn.SEQUENCE(_xlpm.e-_xlpm.s+1,1,_xlpm.s,1),SUM(1/COUNTIFS($D:$D,D179,$E:$E,E179,$F:$F,"&lt;&gt;N/A",$G:$G,"&lt;&gt;N/A",$F:$F,"&lt;="&amp;_xlpm.p,$G:$G,"&gt;="&amp;_xlpm.p)))))</f>
        <v>1</v>
      </c>
      <c r="I179" s="28" t="s">
        <v>414</v>
      </c>
      <c r="J179" s="28" t="s">
        <v>415</v>
      </c>
      <c r="K179" s="25" t="s">
        <v>7</v>
      </c>
      <c r="L179" s="25" t="s">
        <v>7</v>
      </c>
      <c r="M179" s="29" t="s">
        <v>7</v>
      </c>
      <c r="N179" s="25" t="s">
        <v>7</v>
      </c>
      <c r="O179" s="25" t="s">
        <v>778</v>
      </c>
      <c r="P179" s="4" t="s">
        <v>7834</v>
      </c>
      <c r="Q179" s="4" t="s">
        <v>2056</v>
      </c>
      <c r="R179" s="2" t="b">
        <v>0</v>
      </c>
    </row>
    <row r="180" spans="1:18">
      <c r="A180" s="5" t="s">
        <v>3000</v>
      </c>
      <c r="B180" s="5" t="s">
        <v>4227</v>
      </c>
      <c r="C180" s="25" t="s">
        <v>8010</v>
      </c>
      <c r="D180" s="26">
        <v>2</v>
      </c>
      <c r="E180" s="26">
        <v>4</v>
      </c>
      <c r="F180" s="26">
        <v>90</v>
      </c>
      <c r="G180" s="26">
        <v>94</v>
      </c>
      <c r="H180" s="27" cm="1">
        <f t="array" ref="H180">_xlfn.LET(_xlpm.s,IFERROR(--F180,""),_xlpm.e,IFERROR(--G180,""),IF(OR(_xlpm.s="",_xlpm.e="",_xlpm.e&lt;_xlpm.s),"",_xlfn.LET(_xlpm.p,_xlfn.SEQUENCE(_xlpm.e-_xlpm.s+1,1,_xlpm.s,1),SUM(1/COUNTIFS($D:$D,D180,$E:$E,E180,$F:$F,"&lt;&gt;N/A",$G:$G,"&lt;&gt;N/A",$F:$F,"&lt;="&amp;_xlpm.p,$G:$G,"&gt;="&amp;_xlpm.p)))))</f>
        <v>4</v>
      </c>
      <c r="I180" s="28" t="s">
        <v>7</v>
      </c>
      <c r="J180" s="30" t="s">
        <v>416</v>
      </c>
      <c r="K180" s="25" t="s">
        <v>7</v>
      </c>
      <c r="L180" s="25" t="s">
        <v>7</v>
      </c>
      <c r="M180" s="29" t="s">
        <v>7</v>
      </c>
      <c r="N180" s="25" t="s">
        <v>7</v>
      </c>
      <c r="O180" s="25" t="s">
        <v>778</v>
      </c>
      <c r="P180" s="4" t="s">
        <v>7834</v>
      </c>
      <c r="Q180" s="4" t="s">
        <v>2049</v>
      </c>
      <c r="R180" s="2" t="b">
        <v>0</v>
      </c>
    </row>
    <row r="181" spans="1:18">
      <c r="A181" s="5" t="s">
        <v>3000</v>
      </c>
      <c r="B181" s="5" t="s">
        <v>4228</v>
      </c>
      <c r="C181" s="25" t="s">
        <v>8010</v>
      </c>
      <c r="D181" s="26">
        <v>2</v>
      </c>
      <c r="E181" s="26">
        <v>4</v>
      </c>
      <c r="F181" s="26">
        <v>94</v>
      </c>
      <c r="G181" s="26">
        <v>95</v>
      </c>
      <c r="H181" s="27" cm="1">
        <f t="array" ref="H181">_xlfn.LET(_xlpm.s,IFERROR(--F181,""),_xlpm.e,IFERROR(--G181,""),IF(OR(_xlpm.s="",_xlpm.e="",_xlpm.e&lt;_xlpm.s),"",_xlfn.LET(_xlpm.p,_xlfn.SEQUENCE(_xlpm.e-_xlpm.s+1,1,_xlpm.s,1),SUM(1/COUNTIFS($D:$D,D181,$E:$E,E181,$F:$F,"&lt;&gt;N/A",$G:$G,"&lt;&gt;N/A",$F:$F,"&lt;="&amp;_xlpm.p,$G:$G,"&gt;="&amp;_xlpm.p)))))</f>
        <v>1.5</v>
      </c>
      <c r="I181" s="28" t="s">
        <v>7</v>
      </c>
      <c r="J181" s="30" t="s">
        <v>155</v>
      </c>
      <c r="K181" s="25" t="s">
        <v>7</v>
      </c>
      <c r="L181" s="25" t="s">
        <v>7</v>
      </c>
      <c r="M181" s="29" t="s">
        <v>7</v>
      </c>
      <c r="N181" s="25" t="s">
        <v>7</v>
      </c>
      <c r="O181" s="25" t="s">
        <v>778</v>
      </c>
      <c r="P181" s="4" t="s">
        <v>7834</v>
      </c>
      <c r="Q181" s="4" t="s">
        <v>2048</v>
      </c>
      <c r="R181" s="2" t="b">
        <v>0</v>
      </c>
    </row>
    <row r="182" spans="1:18">
      <c r="A182" s="5" t="s">
        <v>3000</v>
      </c>
      <c r="B182" s="5" t="s">
        <v>4229</v>
      </c>
      <c r="C182" s="25" t="s">
        <v>8011</v>
      </c>
      <c r="D182" s="26">
        <v>2</v>
      </c>
      <c r="E182" s="26">
        <v>5</v>
      </c>
      <c r="F182" s="26">
        <v>3</v>
      </c>
      <c r="G182" s="26">
        <v>14</v>
      </c>
      <c r="H182" s="27" cm="1">
        <f t="array" ref="H182">_xlfn.LET(_xlpm.s,IFERROR(--F182,""),_xlpm.e,IFERROR(--G182,""),IF(OR(_xlpm.s="",_xlpm.e="",_xlpm.e&lt;_xlpm.s),"",_xlfn.LET(_xlpm.p,_xlfn.SEQUENCE(_xlpm.e-_xlpm.s+1,1,_xlpm.s,1),SUM(1/COUNTIFS($D:$D,D182,$E:$E,E182,$F:$F,"&lt;&gt;N/A",$G:$G,"&lt;&gt;N/A",$F:$F,"&lt;="&amp;_xlpm.p,$G:$G,"&gt;="&amp;_xlpm.p)))))</f>
        <v>11.5</v>
      </c>
      <c r="I182" s="28" t="s">
        <v>417</v>
      </c>
      <c r="J182" s="28" t="s">
        <v>492</v>
      </c>
      <c r="K182" s="25" t="s">
        <v>12</v>
      </c>
      <c r="L182" s="29" t="s">
        <v>7</v>
      </c>
      <c r="M182" s="29" t="s">
        <v>7</v>
      </c>
      <c r="N182" s="30" t="s">
        <v>7</v>
      </c>
      <c r="O182" s="25" t="s">
        <v>778</v>
      </c>
      <c r="P182" s="4" t="s">
        <v>7834</v>
      </c>
      <c r="R182" s="1" t="b">
        <v>1</v>
      </c>
    </row>
    <row r="183" spans="1:18">
      <c r="A183" s="5" t="s">
        <v>3000</v>
      </c>
      <c r="B183" s="5" t="s">
        <v>4230</v>
      </c>
      <c r="C183" s="25" t="s">
        <v>8011</v>
      </c>
      <c r="D183" s="26">
        <v>2</v>
      </c>
      <c r="E183" s="26">
        <v>5</v>
      </c>
      <c r="F183" s="26">
        <v>14</v>
      </c>
      <c r="G183" s="26">
        <v>23</v>
      </c>
      <c r="H183" s="27" cm="1">
        <f t="array" ref="H183">_xlfn.LET(_xlpm.s,IFERROR(--F183,""),_xlpm.e,IFERROR(--G183,""),IF(OR(_xlpm.s="",_xlpm.e="",_xlpm.e&lt;_xlpm.s),"",_xlfn.LET(_xlpm.p,_xlfn.SEQUENCE(_xlpm.e-_xlpm.s+1,1,_xlpm.s,1),SUM(1/COUNTIFS($D:$D,D183,$E:$E,E183,$F:$F,"&lt;&gt;N/A",$G:$G,"&lt;&gt;N/A",$F:$F,"&lt;="&amp;_xlpm.p,$G:$G,"&gt;="&amp;_xlpm.p)))))</f>
        <v>9</v>
      </c>
      <c r="I183" s="28" t="s">
        <v>493</v>
      </c>
      <c r="J183" s="30" t="s">
        <v>494</v>
      </c>
      <c r="K183" s="25" t="s">
        <v>144</v>
      </c>
      <c r="L183" s="29" t="s">
        <v>7</v>
      </c>
      <c r="M183" s="29" t="s">
        <v>7</v>
      </c>
      <c r="N183" s="30" t="s">
        <v>7</v>
      </c>
      <c r="O183" s="25" t="s">
        <v>778</v>
      </c>
      <c r="P183" s="4" t="s">
        <v>7834</v>
      </c>
      <c r="R183" s="1" t="b">
        <v>1</v>
      </c>
    </row>
    <row r="184" spans="1:18">
      <c r="A184" s="5" t="s">
        <v>3000</v>
      </c>
      <c r="B184" s="5" t="s">
        <v>4231</v>
      </c>
      <c r="C184" s="25" t="s">
        <v>8011</v>
      </c>
      <c r="D184" s="26">
        <v>2</v>
      </c>
      <c r="E184" s="26">
        <v>5</v>
      </c>
      <c r="F184" s="26">
        <v>23</v>
      </c>
      <c r="G184" s="26">
        <v>32</v>
      </c>
      <c r="H184" s="27" cm="1">
        <f t="array" ref="H184">_xlfn.LET(_xlpm.s,IFERROR(--F184,""),_xlpm.e,IFERROR(--G184,""),IF(OR(_xlpm.s="",_xlpm.e="",_xlpm.e&lt;_xlpm.s),"",_xlfn.LET(_xlpm.p,_xlfn.SEQUENCE(_xlpm.e-_xlpm.s+1,1,_xlpm.s,1),SUM(1/COUNTIFS($D:$D,D184,$E:$E,E184,$F:$F,"&lt;&gt;N/A",$G:$G,"&lt;&gt;N/A",$F:$F,"&lt;="&amp;_xlpm.p,$G:$G,"&gt;="&amp;_xlpm.p)))))</f>
        <v>9</v>
      </c>
      <c r="I184" s="28" t="s">
        <v>127</v>
      </c>
      <c r="J184" s="30" t="s">
        <v>3215</v>
      </c>
      <c r="K184" s="25" t="s">
        <v>60</v>
      </c>
      <c r="L184" s="29" t="s">
        <v>7</v>
      </c>
      <c r="M184" s="29" t="s">
        <v>7</v>
      </c>
      <c r="N184" s="25" t="s">
        <v>1945</v>
      </c>
      <c r="O184" s="25" t="s">
        <v>7</v>
      </c>
      <c r="P184" s="4" t="s">
        <v>8020</v>
      </c>
      <c r="Q184" s="4" t="s">
        <v>2733</v>
      </c>
      <c r="R184" s="1" t="b">
        <v>1</v>
      </c>
    </row>
    <row r="185" spans="1:18">
      <c r="A185" s="5" t="s">
        <v>3000</v>
      </c>
      <c r="B185" s="5" t="s">
        <v>4232</v>
      </c>
      <c r="C185" s="25" t="s">
        <v>8011</v>
      </c>
      <c r="D185" s="26">
        <v>2</v>
      </c>
      <c r="E185" s="26">
        <v>5</v>
      </c>
      <c r="F185" s="26">
        <v>32</v>
      </c>
      <c r="G185" s="26">
        <v>43</v>
      </c>
      <c r="H185" s="27" cm="1">
        <f t="array" ref="H185">_xlfn.LET(_xlpm.s,IFERROR(--F185,""),_xlpm.e,IFERROR(--G185,""),IF(OR(_xlpm.s="",_xlpm.e="",_xlpm.e&lt;_xlpm.s),"",_xlfn.LET(_xlpm.p,_xlfn.SEQUENCE(_xlpm.e-_xlpm.s+1,1,_xlpm.s,1),SUM(1/COUNTIFS($D:$D,D185,$E:$E,E185,$F:$F,"&lt;&gt;N/A",$G:$G,"&lt;&gt;N/A",$F:$F,"&lt;="&amp;_xlpm.p,$G:$G,"&gt;="&amp;_xlpm.p)))))</f>
        <v>11</v>
      </c>
      <c r="I185" s="28" t="s">
        <v>54</v>
      </c>
      <c r="J185" s="30" t="s">
        <v>495</v>
      </c>
      <c r="K185" s="25" t="s">
        <v>7</v>
      </c>
      <c r="L185" s="25" t="s">
        <v>7</v>
      </c>
      <c r="M185" s="29" t="s">
        <v>7</v>
      </c>
      <c r="N185" s="25" t="s">
        <v>2410</v>
      </c>
      <c r="O185" s="25" t="s">
        <v>778</v>
      </c>
      <c r="P185" s="4" t="s">
        <v>7834</v>
      </c>
      <c r="Q185" s="4" t="s">
        <v>2409</v>
      </c>
      <c r="R185" s="1" t="b">
        <v>1</v>
      </c>
    </row>
    <row r="186" spans="1:18">
      <c r="A186" s="5" t="s">
        <v>3000</v>
      </c>
      <c r="B186" s="5" t="s">
        <v>4233</v>
      </c>
      <c r="C186" s="4" t="s">
        <v>8011</v>
      </c>
      <c r="D186" s="2">
        <v>2</v>
      </c>
      <c r="E186" s="2">
        <v>5</v>
      </c>
      <c r="F186" s="2">
        <v>43</v>
      </c>
      <c r="G186" s="2">
        <v>47</v>
      </c>
      <c r="H186" s="8" cm="1">
        <f t="array" ref="H186">_xlfn.LET(_xlpm.s,IFERROR(--F186,""),_xlpm.e,IFERROR(--G186,""),IF(OR(_xlpm.s="",_xlpm.e="",_xlpm.e&lt;_xlpm.s),"",_xlfn.LET(_xlpm.p,_xlfn.SEQUENCE(_xlpm.e-_xlpm.s+1,1,_xlpm.s,1),SUM(1/COUNTIFS($D:$D,D186,$E:$E,E186,$F:$F,"&lt;&gt;N/A",$G:$G,"&lt;&gt;N/A",$F:$F,"&lt;="&amp;_xlpm.p,$G:$G,"&gt;="&amp;_xlpm.p)))))</f>
        <v>4</v>
      </c>
      <c r="I186" s="3" t="s">
        <v>196</v>
      </c>
      <c r="J186" t="s">
        <v>496</v>
      </c>
      <c r="K186" s="4" t="s">
        <v>2054</v>
      </c>
      <c r="L186" s="4" t="s">
        <v>7</v>
      </c>
      <c r="M186" s="5" t="s">
        <v>7</v>
      </c>
      <c r="N186" s="4" t="s">
        <v>7</v>
      </c>
      <c r="O186" s="4" t="s">
        <v>10264</v>
      </c>
      <c r="P186" s="4" t="s">
        <v>8020</v>
      </c>
      <c r="Q186" s="4" t="s">
        <v>2055</v>
      </c>
      <c r="R186" s="2" t="b">
        <v>0</v>
      </c>
    </row>
    <row r="187" spans="1:18">
      <c r="A187" s="5" t="s">
        <v>3000</v>
      </c>
      <c r="B187" s="5" t="s">
        <v>4234</v>
      </c>
      <c r="C187" s="4" t="s">
        <v>8011</v>
      </c>
      <c r="D187" s="2">
        <v>2</v>
      </c>
      <c r="E187" s="2">
        <v>5</v>
      </c>
      <c r="F187" s="2">
        <v>47</v>
      </c>
      <c r="G187" s="2">
        <v>48</v>
      </c>
      <c r="H187" s="8" cm="1">
        <f t="array" ref="H187">_xlfn.LET(_xlpm.s,IFERROR(--F187,""),_xlpm.e,IFERROR(--G187,""),IF(OR(_xlpm.s="",_xlpm.e="",_xlpm.e&lt;_xlpm.s),"",_xlfn.LET(_xlpm.p,_xlfn.SEQUENCE(_xlpm.e-_xlpm.s+1,1,_xlpm.s,1),SUM(1/COUNTIFS($D:$D,D187,$E:$E,E187,$F:$F,"&lt;&gt;N/A",$G:$G,"&lt;&gt;N/A",$F:$F,"&lt;="&amp;_xlpm.p,$G:$G,"&gt;="&amp;_xlpm.p)))))</f>
        <v>1</v>
      </c>
      <c r="I187" s="3" t="s">
        <v>196</v>
      </c>
      <c r="J187" t="s">
        <v>498</v>
      </c>
      <c r="K187" s="4" t="s">
        <v>497</v>
      </c>
      <c r="L187" s="4" t="s">
        <v>7</v>
      </c>
      <c r="M187" s="5" t="s">
        <v>7</v>
      </c>
      <c r="N187" s="4" t="s">
        <v>7</v>
      </c>
      <c r="O187" s="4" t="s">
        <v>778</v>
      </c>
      <c r="P187" s="4" t="s">
        <v>7834</v>
      </c>
      <c r="R187" s="2" t="b">
        <v>0</v>
      </c>
    </row>
    <row r="188" spans="1:18">
      <c r="A188" s="5" t="s">
        <v>3000</v>
      </c>
      <c r="B188" s="5" t="s">
        <v>4235</v>
      </c>
      <c r="C188" s="4" t="s">
        <v>8011</v>
      </c>
      <c r="D188" s="2">
        <v>2</v>
      </c>
      <c r="E188" s="2">
        <v>5</v>
      </c>
      <c r="F188" s="2">
        <v>48</v>
      </c>
      <c r="G188" s="2">
        <v>49</v>
      </c>
      <c r="H188" s="8" cm="1">
        <f t="array" ref="H188">_xlfn.LET(_xlpm.s,IFERROR(--F188,""),_xlpm.e,IFERROR(--G188,""),IF(OR(_xlpm.s="",_xlpm.e="",_xlpm.e&lt;_xlpm.s),"",_xlfn.LET(_xlpm.p,_xlfn.SEQUENCE(_xlpm.e-_xlpm.s+1,1,_xlpm.s,1),SUM(1/COUNTIFS($D:$D,D188,$E:$E,E188,$F:$F,"&lt;&gt;N/A",$G:$G,"&lt;&gt;N/A",$F:$F,"&lt;="&amp;_xlpm.p,$G:$G,"&gt;="&amp;_xlpm.p)))))</f>
        <v>1</v>
      </c>
      <c r="I188" s="3" t="s">
        <v>196</v>
      </c>
      <c r="J188" t="s">
        <v>499</v>
      </c>
      <c r="K188" s="4" t="s">
        <v>497</v>
      </c>
      <c r="L188" s="4" t="s">
        <v>7</v>
      </c>
      <c r="M188" s="5" t="s">
        <v>7</v>
      </c>
      <c r="N188" s="4" t="s">
        <v>7</v>
      </c>
      <c r="O188" s="4" t="s">
        <v>778</v>
      </c>
      <c r="P188" s="4" t="s">
        <v>7834</v>
      </c>
      <c r="R188" s="2" t="b">
        <v>0</v>
      </c>
    </row>
    <row r="189" spans="1:18">
      <c r="A189" s="5" t="s">
        <v>3000</v>
      </c>
      <c r="B189" s="5" t="s">
        <v>4236</v>
      </c>
      <c r="C189" s="4" t="s">
        <v>8011</v>
      </c>
      <c r="D189" s="2">
        <v>2</v>
      </c>
      <c r="E189" s="2">
        <v>5</v>
      </c>
      <c r="F189" s="2">
        <v>49</v>
      </c>
      <c r="G189" s="2">
        <v>66</v>
      </c>
      <c r="H189" s="8" cm="1">
        <f t="array" ref="H189">_xlfn.LET(_xlpm.s,IFERROR(--F189,""),_xlpm.e,IFERROR(--G189,""),IF(OR(_xlpm.s="",_xlpm.e="",_xlpm.e&lt;_xlpm.s),"",_xlfn.LET(_xlpm.p,_xlfn.SEQUENCE(_xlpm.e-_xlpm.s+1,1,_xlpm.s,1),SUM(1/COUNTIFS($D:$D,D189,$E:$E,E189,$F:$F,"&lt;&gt;N/A",$G:$G,"&lt;&gt;N/A",$F:$F,"&lt;="&amp;_xlpm.p,$G:$G,"&gt;="&amp;_xlpm.p)))))</f>
        <v>17</v>
      </c>
      <c r="I189" s="3" t="s">
        <v>30</v>
      </c>
      <c r="J189" t="s">
        <v>500</v>
      </c>
      <c r="K189" s="4" t="s">
        <v>7</v>
      </c>
      <c r="L189" s="4" t="s">
        <v>7</v>
      </c>
      <c r="M189" s="5" t="s">
        <v>7</v>
      </c>
      <c r="N189" s="4" t="s">
        <v>7</v>
      </c>
      <c r="O189" s="4" t="s">
        <v>10264</v>
      </c>
      <c r="P189" s="4" t="s">
        <v>8020</v>
      </c>
      <c r="Q189" s="4" t="s">
        <v>2416</v>
      </c>
      <c r="R189" s="2" t="b">
        <v>0</v>
      </c>
    </row>
    <row r="190" spans="1:18">
      <c r="A190" s="5" t="s">
        <v>3000</v>
      </c>
      <c r="B190" s="5" t="s">
        <v>4237</v>
      </c>
      <c r="C190" s="4" t="s">
        <v>8011</v>
      </c>
      <c r="D190" s="2">
        <v>2</v>
      </c>
      <c r="E190" s="2">
        <v>5</v>
      </c>
      <c r="F190" s="2">
        <v>66</v>
      </c>
      <c r="G190" s="2">
        <v>78</v>
      </c>
      <c r="H190" s="8" cm="1">
        <f t="array" ref="H190">_xlfn.LET(_xlpm.s,IFERROR(--F190,""),_xlpm.e,IFERROR(--G190,""),IF(OR(_xlpm.s="",_xlpm.e="",_xlpm.e&lt;_xlpm.s),"",_xlfn.LET(_xlpm.p,_xlfn.SEQUENCE(_xlpm.e-_xlpm.s+1,1,_xlpm.s,1),SUM(1/COUNTIFS($D:$D,D190,$E:$E,E190,$F:$F,"&lt;&gt;N/A",$G:$G,"&lt;&gt;N/A",$F:$F,"&lt;="&amp;_xlpm.p,$G:$G,"&gt;="&amp;_xlpm.p)))))</f>
        <v>12</v>
      </c>
      <c r="I190" s="3" t="s">
        <v>30</v>
      </c>
      <c r="J190" t="s">
        <v>501</v>
      </c>
      <c r="K190" s="4" t="s">
        <v>7</v>
      </c>
      <c r="L190" s="4" t="s">
        <v>7</v>
      </c>
      <c r="M190" s="5" t="s">
        <v>7</v>
      </c>
      <c r="N190" s="4" t="s">
        <v>7</v>
      </c>
      <c r="O190" s="4" t="s">
        <v>778</v>
      </c>
      <c r="P190" s="4" t="s">
        <v>7834</v>
      </c>
      <c r="Q190" s="4" t="s">
        <v>2004</v>
      </c>
      <c r="R190" s="2" t="b">
        <v>0</v>
      </c>
    </row>
    <row r="191" spans="1:18">
      <c r="A191" s="5" t="s">
        <v>3000</v>
      </c>
      <c r="B191" s="5" t="s">
        <v>4238</v>
      </c>
      <c r="C191" s="4" t="s">
        <v>8011</v>
      </c>
      <c r="D191" s="2">
        <v>2</v>
      </c>
      <c r="E191" s="2">
        <v>5</v>
      </c>
      <c r="F191" s="2">
        <v>78</v>
      </c>
      <c r="G191" s="2">
        <v>79</v>
      </c>
      <c r="H191" s="8" cm="1">
        <f t="array" ref="H191">_xlfn.LET(_xlpm.s,IFERROR(--F191,""),_xlpm.e,IFERROR(--G191,""),IF(OR(_xlpm.s="",_xlpm.e="",_xlpm.e&lt;_xlpm.s),"",_xlfn.LET(_xlpm.p,_xlfn.SEQUENCE(_xlpm.e-_xlpm.s+1,1,_xlpm.s,1),SUM(1/COUNTIFS($D:$D,D191,$E:$E,E191,$F:$F,"&lt;&gt;N/A",$G:$G,"&lt;&gt;N/A",$F:$F,"&lt;="&amp;_xlpm.p,$G:$G,"&gt;="&amp;_xlpm.p)))))</f>
        <v>1</v>
      </c>
      <c r="I191" s="3" t="s">
        <v>7</v>
      </c>
      <c r="J191" t="s">
        <v>502</v>
      </c>
      <c r="K191" s="4" t="s">
        <v>7</v>
      </c>
      <c r="L191" s="4" t="s">
        <v>7</v>
      </c>
      <c r="M191" s="5" t="s">
        <v>7</v>
      </c>
      <c r="N191" s="4" t="s">
        <v>7</v>
      </c>
      <c r="O191" s="4" t="s">
        <v>778</v>
      </c>
      <c r="P191" s="4" t="s">
        <v>7834</v>
      </c>
      <c r="Q191" s="4" t="s">
        <v>2003</v>
      </c>
      <c r="R191" s="2" t="b">
        <v>0</v>
      </c>
    </row>
    <row r="192" spans="1:18">
      <c r="A192" s="5" t="s">
        <v>3000</v>
      </c>
      <c r="B192" s="5" t="s">
        <v>4239</v>
      </c>
      <c r="C192" s="4" t="s">
        <v>8011</v>
      </c>
      <c r="D192" s="2">
        <v>2</v>
      </c>
      <c r="E192" s="2">
        <v>5</v>
      </c>
      <c r="F192" s="2">
        <v>79</v>
      </c>
      <c r="G192" s="2">
        <v>80</v>
      </c>
      <c r="H192" s="8" cm="1">
        <f t="array" ref="H192">_xlfn.LET(_xlpm.s,IFERROR(--F192,""),_xlpm.e,IFERROR(--G192,""),IF(OR(_xlpm.s="",_xlpm.e="",_xlpm.e&lt;_xlpm.s),"",_xlfn.LET(_xlpm.p,_xlfn.SEQUENCE(_xlpm.e-_xlpm.s+1,1,_xlpm.s,1),SUM(1/COUNTIFS($D:$D,D192,$E:$E,E192,$F:$F,"&lt;&gt;N/A",$G:$G,"&lt;&gt;N/A",$F:$F,"&lt;="&amp;_xlpm.p,$G:$G,"&gt;="&amp;_xlpm.p)))))</f>
        <v>1.5</v>
      </c>
      <c r="I192" s="3" t="s">
        <v>7</v>
      </c>
      <c r="J192" t="s">
        <v>108</v>
      </c>
      <c r="K192" s="4" t="s">
        <v>7</v>
      </c>
      <c r="L192" s="4" t="s">
        <v>7</v>
      </c>
      <c r="M192" s="5" t="s">
        <v>7</v>
      </c>
      <c r="N192" s="4" t="s">
        <v>7</v>
      </c>
      <c r="O192" s="4" t="s">
        <v>778</v>
      </c>
      <c r="P192" s="4" t="s">
        <v>7834</v>
      </c>
      <c r="Q192" s="4" t="s">
        <v>2002</v>
      </c>
      <c r="R192" s="2" t="b">
        <v>0</v>
      </c>
    </row>
    <row r="193" spans="1:18">
      <c r="A193" s="5" t="s">
        <v>3000</v>
      </c>
      <c r="B193" s="5" t="s">
        <v>4240</v>
      </c>
      <c r="C193" s="4" t="s">
        <v>8012</v>
      </c>
      <c r="D193" s="2">
        <v>2</v>
      </c>
      <c r="E193" s="2">
        <v>6</v>
      </c>
      <c r="F193" s="2">
        <v>3</v>
      </c>
      <c r="G193" s="2">
        <v>6</v>
      </c>
      <c r="H193" s="8" cm="1">
        <f t="array" ref="H193">_xlfn.LET(_xlpm.s,IFERROR(--F193,""),_xlpm.e,IFERROR(--G193,""),IF(OR(_xlpm.s="",_xlpm.e="",_xlpm.e&lt;_xlpm.s),"",_xlfn.LET(_xlpm.p,_xlfn.SEQUENCE(_xlpm.e-_xlpm.s+1,1,_xlpm.s,1),SUM(1/COUNTIFS($D:$D,D193,$E:$E,E193,$F:$F,"&lt;&gt;N/A",$G:$G,"&lt;&gt;N/A",$F:$F,"&lt;="&amp;_xlpm.p,$G:$G,"&gt;="&amp;_xlpm.p)))))</f>
        <v>3.5</v>
      </c>
      <c r="I193" s="3" t="s">
        <v>417</v>
      </c>
      <c r="J193" s="3" t="s">
        <v>418</v>
      </c>
      <c r="K193" s="4" t="s">
        <v>12</v>
      </c>
      <c r="L193" s="5" t="s">
        <v>7</v>
      </c>
      <c r="M193" s="5" t="s">
        <v>7</v>
      </c>
      <c r="N193" t="s">
        <v>7</v>
      </c>
      <c r="O193" s="4" t="s">
        <v>778</v>
      </c>
      <c r="P193" s="4" t="s">
        <v>7834</v>
      </c>
      <c r="R193" s="1" t="b">
        <v>1</v>
      </c>
    </row>
    <row r="194" spans="1:18">
      <c r="A194" s="5" t="s">
        <v>3000</v>
      </c>
      <c r="B194" s="5" t="s">
        <v>4241</v>
      </c>
      <c r="C194" s="4" t="s">
        <v>8012</v>
      </c>
      <c r="D194" s="2">
        <v>2</v>
      </c>
      <c r="E194" s="2">
        <v>6</v>
      </c>
      <c r="F194" s="2">
        <v>6</v>
      </c>
      <c r="G194" s="2">
        <v>10</v>
      </c>
      <c r="H194" s="8" cm="1">
        <f t="array" ref="H194">_xlfn.LET(_xlpm.s,IFERROR(--F194,""),_xlpm.e,IFERROR(--G194,""),IF(OR(_xlpm.s="",_xlpm.e="",_xlpm.e&lt;_xlpm.s),"",_xlfn.LET(_xlpm.p,_xlfn.SEQUENCE(_xlpm.e-_xlpm.s+1,1,_xlpm.s,1),SUM(1/COUNTIFS($D:$D,D194,$E:$E,E194,$F:$F,"&lt;&gt;N/A",$G:$G,"&lt;&gt;N/A",$F:$F,"&lt;="&amp;_xlpm.p,$G:$G,"&gt;="&amp;_xlpm.p)))))</f>
        <v>4</v>
      </c>
      <c r="I194" s="3" t="s">
        <v>56</v>
      </c>
      <c r="J194" s="3" t="s">
        <v>419</v>
      </c>
      <c r="K194" s="4" t="s">
        <v>420</v>
      </c>
      <c r="L194" s="5" t="s">
        <v>7</v>
      </c>
      <c r="M194" s="5" t="s">
        <v>7</v>
      </c>
      <c r="N194" t="s">
        <v>7</v>
      </c>
      <c r="O194" s="4" t="s">
        <v>778</v>
      </c>
      <c r="P194" s="4" t="s">
        <v>7834</v>
      </c>
      <c r="Q194" s="4" t="s">
        <v>2413</v>
      </c>
      <c r="R194" s="1" t="b">
        <v>1</v>
      </c>
    </row>
    <row r="195" spans="1:18">
      <c r="A195" s="5" t="s">
        <v>3000</v>
      </c>
      <c r="B195" s="5" t="s">
        <v>4242</v>
      </c>
      <c r="C195" s="4" t="s">
        <v>8012</v>
      </c>
      <c r="D195" s="2">
        <v>2</v>
      </c>
      <c r="E195" s="2">
        <v>6</v>
      </c>
      <c r="F195" s="2">
        <v>10</v>
      </c>
      <c r="G195" s="2">
        <v>11</v>
      </c>
      <c r="H195" s="8" cm="1">
        <f t="array" ref="H195">_xlfn.LET(_xlpm.s,IFERROR(--F195,""),_xlpm.e,IFERROR(--G195,""),IF(OR(_xlpm.s="",_xlpm.e="",_xlpm.e&lt;_xlpm.s),"",_xlfn.LET(_xlpm.p,_xlfn.SEQUENCE(_xlpm.e-_xlpm.s+1,1,_xlpm.s,1),SUM(1/COUNTIFS($D:$D,D195,$E:$E,E195,$F:$F,"&lt;&gt;N/A",$G:$G,"&lt;&gt;N/A",$F:$F,"&lt;="&amp;_xlpm.p,$G:$G,"&gt;="&amp;_xlpm.p)))))</f>
        <v>1</v>
      </c>
      <c r="I195" s="3" t="s">
        <v>196</v>
      </c>
      <c r="J195" s="3" t="s">
        <v>421</v>
      </c>
      <c r="K195" s="4" t="s">
        <v>2000</v>
      </c>
      <c r="L195" s="4" t="s">
        <v>7</v>
      </c>
      <c r="M195" s="5" t="s">
        <v>7</v>
      </c>
      <c r="N195" s="4" t="s">
        <v>7</v>
      </c>
      <c r="O195" s="4" t="s">
        <v>778</v>
      </c>
      <c r="P195" s="4" t="s">
        <v>7834</v>
      </c>
      <c r="Q195" s="4" t="s">
        <v>2414</v>
      </c>
      <c r="R195" s="2" t="b">
        <v>0</v>
      </c>
    </row>
    <row r="196" spans="1:18">
      <c r="A196" s="5" t="s">
        <v>3000</v>
      </c>
      <c r="B196" s="5" t="s">
        <v>4243</v>
      </c>
      <c r="C196" s="4" t="s">
        <v>8012</v>
      </c>
      <c r="D196" s="2">
        <v>2</v>
      </c>
      <c r="E196" s="2">
        <v>6</v>
      </c>
      <c r="F196" s="2">
        <v>11</v>
      </c>
      <c r="G196" s="2">
        <v>13</v>
      </c>
      <c r="H196" s="8" cm="1">
        <f t="array" ref="H196">_xlfn.LET(_xlpm.s,IFERROR(--F196,""),_xlpm.e,IFERROR(--G196,""),IF(OR(_xlpm.s="",_xlpm.e="",_xlpm.e&lt;_xlpm.s),"",_xlfn.LET(_xlpm.p,_xlfn.SEQUENCE(_xlpm.e-_xlpm.s+1,1,_xlpm.s,1),SUM(1/COUNTIFS($D:$D,D196,$E:$E,E196,$F:$F,"&lt;&gt;N/A",$G:$G,"&lt;&gt;N/A",$F:$F,"&lt;="&amp;_xlpm.p,$G:$G,"&gt;="&amp;_xlpm.p)))))</f>
        <v>2</v>
      </c>
      <c r="I196" s="3" t="s">
        <v>196</v>
      </c>
      <c r="J196" s="3" t="s">
        <v>422</v>
      </c>
      <c r="K196" s="4" t="s">
        <v>4498</v>
      </c>
      <c r="L196" s="4" t="s">
        <v>7</v>
      </c>
      <c r="M196" s="5" t="s">
        <v>7</v>
      </c>
      <c r="N196" s="4" t="s">
        <v>7</v>
      </c>
      <c r="O196" s="4" t="s">
        <v>778</v>
      </c>
      <c r="P196" s="4" t="s">
        <v>7834</v>
      </c>
      <c r="R196" s="2" t="b">
        <v>0</v>
      </c>
    </row>
    <row r="197" spans="1:18">
      <c r="A197" s="5" t="s">
        <v>3000</v>
      </c>
      <c r="B197" s="5" t="s">
        <v>4244</v>
      </c>
      <c r="C197" s="4" t="s">
        <v>8012</v>
      </c>
      <c r="D197" s="2">
        <v>2</v>
      </c>
      <c r="E197" s="2">
        <v>6</v>
      </c>
      <c r="F197" s="2">
        <v>13</v>
      </c>
      <c r="G197" s="2">
        <v>19</v>
      </c>
      <c r="H197" s="8" cm="1">
        <f t="array" ref="H197">_xlfn.LET(_xlpm.s,IFERROR(--F197,""),_xlpm.e,IFERROR(--G197,""),IF(OR(_xlpm.s="",_xlpm.e="",_xlpm.e&lt;_xlpm.s),"",_xlfn.LET(_xlpm.p,_xlfn.SEQUENCE(_xlpm.e-_xlpm.s+1,1,_xlpm.s,1),SUM(1/COUNTIFS($D:$D,D197,$E:$E,E197,$F:$F,"&lt;&gt;N/A",$G:$G,"&lt;&gt;N/A",$F:$F,"&lt;="&amp;_xlpm.p,$G:$G,"&gt;="&amp;_xlpm.p)))))</f>
        <v>6</v>
      </c>
      <c r="I197" s="3" t="s">
        <v>196</v>
      </c>
      <c r="J197" s="3" t="s">
        <v>423</v>
      </c>
      <c r="K197" s="4" t="s">
        <v>7</v>
      </c>
      <c r="L197" s="4" t="s">
        <v>7</v>
      </c>
      <c r="M197" s="5" t="s">
        <v>7</v>
      </c>
      <c r="N197" s="4" t="s">
        <v>7</v>
      </c>
      <c r="O197" s="4" t="s">
        <v>778</v>
      </c>
      <c r="P197" s="4" t="s">
        <v>7834</v>
      </c>
      <c r="Q197" s="4" t="s">
        <v>2415</v>
      </c>
      <c r="R197" s="2" t="b">
        <v>0</v>
      </c>
    </row>
    <row r="198" spans="1:18">
      <c r="A198" s="5" t="s">
        <v>3000</v>
      </c>
      <c r="B198" s="5" t="s">
        <v>4245</v>
      </c>
      <c r="C198" s="4" t="s">
        <v>8012</v>
      </c>
      <c r="D198" s="2">
        <v>2</v>
      </c>
      <c r="E198" s="2">
        <v>6</v>
      </c>
      <c r="F198" s="2">
        <v>19</v>
      </c>
      <c r="G198" s="2">
        <v>33</v>
      </c>
      <c r="H198" s="8" cm="1">
        <f t="array" ref="H198">_xlfn.LET(_xlpm.s,IFERROR(--F198,""),_xlpm.e,IFERROR(--G198,""),IF(OR(_xlpm.s="",_xlpm.e="",_xlpm.e&lt;_xlpm.s),"",_xlfn.LET(_xlpm.p,_xlfn.SEQUENCE(_xlpm.e-_xlpm.s+1,1,_xlpm.s,1),SUM(1/COUNTIFS($D:$D,D198,$E:$E,E198,$F:$F,"&lt;&gt;N/A",$G:$G,"&lt;&gt;N/A",$F:$F,"&lt;="&amp;_xlpm.p,$G:$G,"&gt;="&amp;_xlpm.p)))))</f>
        <v>14</v>
      </c>
      <c r="I198" s="3" t="s">
        <v>30</v>
      </c>
      <c r="J198" s="3" t="s">
        <v>424</v>
      </c>
      <c r="K198" s="4" t="s">
        <v>7</v>
      </c>
      <c r="L198" s="4" t="s">
        <v>7</v>
      </c>
      <c r="M198" s="5" t="s">
        <v>7</v>
      </c>
      <c r="N198" s="4" t="s">
        <v>7</v>
      </c>
      <c r="O198" s="4" t="s">
        <v>10264</v>
      </c>
      <c r="P198" s="4" t="s">
        <v>8020</v>
      </c>
      <c r="Q198" s="4" t="s">
        <v>2416</v>
      </c>
      <c r="R198" s="2" t="b">
        <v>0</v>
      </c>
    </row>
    <row r="199" spans="1:18">
      <c r="A199" s="5" t="s">
        <v>3000</v>
      </c>
      <c r="B199" s="5" t="s">
        <v>4246</v>
      </c>
      <c r="C199" s="4" t="s">
        <v>8012</v>
      </c>
      <c r="D199" s="2">
        <v>2</v>
      </c>
      <c r="E199" s="2">
        <v>6</v>
      </c>
      <c r="F199" s="2">
        <v>33</v>
      </c>
      <c r="G199" s="2">
        <v>38</v>
      </c>
      <c r="H199" s="8" cm="1">
        <f t="array" ref="H199">_xlfn.LET(_xlpm.s,IFERROR(--F199,""),_xlpm.e,IFERROR(--G199,""),IF(OR(_xlpm.s="",_xlpm.e="",_xlpm.e&lt;_xlpm.s),"",_xlfn.LET(_xlpm.p,_xlfn.SEQUENCE(_xlpm.e-_xlpm.s+1,1,_xlpm.s,1),SUM(1/COUNTIFS($D:$D,D199,$E:$E,E199,$F:$F,"&lt;&gt;N/A",$G:$G,"&lt;&gt;N/A",$F:$F,"&lt;="&amp;_xlpm.p,$G:$G,"&gt;="&amp;_xlpm.p)))))</f>
        <v>5</v>
      </c>
      <c r="I199" s="3" t="s">
        <v>30</v>
      </c>
      <c r="J199" s="3" t="s">
        <v>3216</v>
      </c>
      <c r="K199" s="4" t="s">
        <v>7</v>
      </c>
      <c r="L199" s="4" t="s">
        <v>7</v>
      </c>
      <c r="M199" s="5" t="s">
        <v>7</v>
      </c>
      <c r="N199" s="4" t="s">
        <v>7</v>
      </c>
      <c r="O199" s="4" t="s">
        <v>10264</v>
      </c>
      <c r="P199" s="4" t="s">
        <v>8026</v>
      </c>
      <c r="R199" s="2" t="b">
        <v>0</v>
      </c>
    </row>
    <row r="200" spans="1:18">
      <c r="A200" s="5" t="s">
        <v>3000</v>
      </c>
      <c r="B200" s="5" t="s">
        <v>4247</v>
      </c>
      <c r="C200" s="4" t="s">
        <v>8012</v>
      </c>
      <c r="D200" s="2">
        <v>2</v>
      </c>
      <c r="E200" s="2">
        <v>6</v>
      </c>
      <c r="F200" s="2">
        <v>38</v>
      </c>
      <c r="G200" s="2">
        <v>60</v>
      </c>
      <c r="H200" s="8" cm="1">
        <f t="array" ref="H200">_xlfn.LET(_xlpm.s,IFERROR(--F200,""),_xlpm.e,IFERROR(--G200,""),IF(OR(_xlpm.s="",_xlpm.e="",_xlpm.e&lt;_xlpm.s),"",_xlfn.LET(_xlpm.p,_xlfn.SEQUENCE(_xlpm.e-_xlpm.s+1,1,_xlpm.s,1),SUM(1/COUNTIFS($D:$D,D200,$E:$E,E200,$F:$F,"&lt;&gt;N/A",$G:$G,"&lt;&gt;N/A",$F:$F,"&lt;="&amp;_xlpm.p,$G:$G,"&gt;="&amp;_xlpm.p)))))</f>
        <v>22</v>
      </c>
      <c r="I200" s="3" t="s">
        <v>10839</v>
      </c>
      <c r="J200" s="3" t="s">
        <v>425</v>
      </c>
      <c r="K200" s="4" t="s">
        <v>7</v>
      </c>
      <c r="L200" s="4" t="s">
        <v>7</v>
      </c>
      <c r="M200" s="5" t="s">
        <v>7</v>
      </c>
      <c r="N200" s="4" t="s">
        <v>2410</v>
      </c>
      <c r="O200" s="4" t="s">
        <v>778</v>
      </c>
      <c r="P200" s="4" t="s">
        <v>7834</v>
      </c>
      <c r="Q200" s="4" t="s">
        <v>2409</v>
      </c>
      <c r="R200" s="1" t="b">
        <v>1</v>
      </c>
    </row>
    <row r="201" spans="1:18">
      <c r="A201" s="5" t="s">
        <v>3000</v>
      </c>
      <c r="B201" s="5" t="s">
        <v>4248</v>
      </c>
      <c r="C201" s="4" t="s">
        <v>8012</v>
      </c>
      <c r="D201" s="2">
        <v>2</v>
      </c>
      <c r="E201" s="2">
        <v>6</v>
      </c>
      <c r="F201" s="2">
        <v>60</v>
      </c>
      <c r="G201" s="2">
        <v>78</v>
      </c>
      <c r="H201" s="8" cm="1">
        <f t="array" ref="H201">_xlfn.LET(_xlpm.s,IFERROR(--F201,""),_xlpm.e,IFERROR(--G201,""),IF(OR(_xlpm.s="",_xlpm.e="",_xlpm.e&lt;_xlpm.s),"",_xlfn.LET(_xlpm.p,_xlfn.SEQUENCE(_xlpm.e-_xlpm.s+1,1,_xlpm.s,1),SUM(1/COUNTIFS($D:$D,D201,$E:$E,E201,$F:$F,"&lt;&gt;N/A",$G:$G,"&lt;&gt;N/A",$F:$F,"&lt;="&amp;_xlpm.p,$G:$G,"&gt;="&amp;_xlpm.p)))))</f>
        <v>18</v>
      </c>
      <c r="I201" s="3" t="s">
        <v>30</v>
      </c>
      <c r="J201" t="s">
        <v>426</v>
      </c>
      <c r="K201" s="4" t="s">
        <v>7</v>
      </c>
      <c r="L201" s="4" t="s">
        <v>7</v>
      </c>
      <c r="M201" s="5" t="s">
        <v>7</v>
      </c>
      <c r="N201" s="4" t="s">
        <v>7</v>
      </c>
      <c r="O201" s="4" t="s">
        <v>10264</v>
      </c>
      <c r="P201" s="4" t="s">
        <v>8020</v>
      </c>
      <c r="Q201" s="4" t="s">
        <v>2001</v>
      </c>
      <c r="R201" s="2" t="b">
        <v>0</v>
      </c>
    </row>
    <row r="202" spans="1:18">
      <c r="A202" s="5" t="s">
        <v>3000</v>
      </c>
      <c r="B202" s="5" t="s">
        <v>4249</v>
      </c>
      <c r="C202" s="4" t="s">
        <v>8012</v>
      </c>
      <c r="D202" s="2">
        <v>2</v>
      </c>
      <c r="E202" s="2">
        <v>6</v>
      </c>
      <c r="F202" s="2">
        <v>78</v>
      </c>
      <c r="G202" s="2">
        <v>83</v>
      </c>
      <c r="H202" s="8" cm="1">
        <f t="array" ref="H202">_xlfn.LET(_xlpm.s,IFERROR(--F202,""),_xlpm.e,IFERROR(--G202,""),IF(OR(_xlpm.s="",_xlpm.e="",_xlpm.e&lt;_xlpm.s),"",_xlfn.LET(_xlpm.p,_xlfn.SEQUENCE(_xlpm.e-_xlpm.s+1,1,_xlpm.s,1),SUM(1/COUNTIFS($D:$D,D202,$E:$E,E202,$F:$F,"&lt;&gt;N/A",$G:$G,"&lt;&gt;N/A",$F:$F,"&lt;="&amp;_xlpm.p,$G:$G,"&gt;="&amp;_xlpm.p)))))</f>
        <v>5</v>
      </c>
      <c r="I202" s="3" t="s">
        <v>30</v>
      </c>
      <c r="J202" s="3" t="s">
        <v>427</v>
      </c>
      <c r="K202" s="4" t="s">
        <v>7</v>
      </c>
      <c r="L202" s="4" t="s">
        <v>7</v>
      </c>
      <c r="M202" s="5" t="s">
        <v>7</v>
      </c>
      <c r="N202" s="4" t="s">
        <v>7</v>
      </c>
      <c r="O202" s="4" t="s">
        <v>778</v>
      </c>
      <c r="P202" s="4" t="s">
        <v>7834</v>
      </c>
      <c r="Q202" s="4" t="s">
        <v>2052</v>
      </c>
      <c r="R202" s="2" t="b">
        <v>0</v>
      </c>
    </row>
    <row r="203" spans="1:18">
      <c r="A203" s="5" t="s">
        <v>3000</v>
      </c>
      <c r="B203" s="5" t="s">
        <v>4250</v>
      </c>
      <c r="C203" s="4" t="s">
        <v>8012</v>
      </c>
      <c r="D203" s="2">
        <v>2</v>
      </c>
      <c r="E203" s="2">
        <v>6</v>
      </c>
      <c r="F203" s="2">
        <v>83</v>
      </c>
      <c r="G203" s="2">
        <v>84</v>
      </c>
      <c r="H203" s="8" cm="1">
        <f t="array" ref="H203">_xlfn.LET(_xlpm.s,IFERROR(--F203,""),_xlpm.e,IFERROR(--G203,""),IF(OR(_xlpm.s="",_xlpm.e="",_xlpm.e&lt;_xlpm.s),"",_xlfn.LET(_xlpm.p,_xlfn.SEQUENCE(_xlpm.e-_xlpm.s+1,1,_xlpm.s,1),SUM(1/COUNTIFS($D:$D,D203,$E:$E,E203,$F:$F,"&lt;&gt;N/A",$G:$G,"&lt;&gt;N/A",$F:$F,"&lt;="&amp;_xlpm.p,$G:$G,"&gt;="&amp;_xlpm.p)))))</f>
        <v>1</v>
      </c>
      <c r="I203" s="3" t="s">
        <v>7</v>
      </c>
      <c r="J203" s="3" t="s">
        <v>453</v>
      </c>
      <c r="K203" s="4" t="s">
        <v>7</v>
      </c>
      <c r="L203" s="4" t="s">
        <v>7</v>
      </c>
      <c r="M203" s="5" t="s">
        <v>7</v>
      </c>
      <c r="N203" s="4" t="s">
        <v>7</v>
      </c>
      <c r="O203" s="4" t="s">
        <v>778</v>
      </c>
      <c r="P203" s="4" t="s">
        <v>7834</v>
      </c>
      <c r="Q203" s="4" t="s">
        <v>2053</v>
      </c>
      <c r="R203" s="2" t="b">
        <v>0</v>
      </c>
    </row>
    <row r="204" spans="1:18">
      <c r="A204" s="5" t="s">
        <v>3000</v>
      </c>
      <c r="B204" s="5" t="s">
        <v>4251</v>
      </c>
      <c r="C204" s="4" t="s">
        <v>8012</v>
      </c>
      <c r="D204" s="2">
        <v>2</v>
      </c>
      <c r="E204" s="2">
        <v>6</v>
      </c>
      <c r="F204" s="2">
        <v>84</v>
      </c>
      <c r="G204" s="2">
        <v>91</v>
      </c>
      <c r="H204" s="8" cm="1">
        <f t="array" ref="H204">_xlfn.LET(_xlpm.s,IFERROR(--F204,""),_xlpm.e,IFERROR(--G204,""),IF(OR(_xlpm.s="",_xlpm.e="",_xlpm.e&lt;_xlpm.s),"",_xlfn.LET(_xlpm.p,_xlfn.SEQUENCE(_xlpm.e-_xlpm.s+1,1,_xlpm.s,1),SUM(1/COUNTIFS($D:$D,D204,$E:$E,E204,$F:$F,"&lt;&gt;N/A",$G:$G,"&lt;&gt;N/A",$F:$F,"&lt;="&amp;_xlpm.p,$G:$G,"&gt;="&amp;_xlpm.p)))))</f>
        <v>6</v>
      </c>
      <c r="I204" s="3" t="s">
        <v>7</v>
      </c>
      <c r="J204" t="s">
        <v>155</v>
      </c>
      <c r="K204" s="4" t="s">
        <v>7</v>
      </c>
      <c r="L204" s="4" t="s">
        <v>7</v>
      </c>
      <c r="M204" s="5" t="s">
        <v>7</v>
      </c>
      <c r="N204" s="4" t="s">
        <v>7</v>
      </c>
      <c r="O204" s="4" t="s">
        <v>778</v>
      </c>
      <c r="P204" s="4" t="s">
        <v>7834</v>
      </c>
      <c r="Q204" s="4" t="s">
        <v>1999</v>
      </c>
      <c r="R204" s="2" t="b">
        <v>0</v>
      </c>
    </row>
    <row r="205" spans="1:18">
      <c r="A205" s="5" t="s">
        <v>3000</v>
      </c>
      <c r="B205" s="5" t="s">
        <v>11407</v>
      </c>
      <c r="C205" s="4" t="s">
        <v>8012</v>
      </c>
      <c r="D205" s="2">
        <v>2</v>
      </c>
      <c r="E205" s="2">
        <v>6</v>
      </c>
      <c r="F205" s="2">
        <v>89</v>
      </c>
      <c r="G205" s="2">
        <v>91</v>
      </c>
      <c r="H205" s="8" cm="1">
        <f t="array" ref="H205">_xlfn.LET(_xlpm.s,IFERROR(--F205,""),_xlpm.e,IFERROR(--G205,""),IF(OR(_xlpm.s="",_xlpm.e="",_xlpm.e&lt;_xlpm.s),"",_xlfn.LET(_xlpm.p,_xlfn.SEQUENCE(_xlpm.e-_xlpm.s+1,1,_xlpm.s,1),SUM(1/COUNTIFS($D:$D,D205,$E:$E,E205,$F:$F,"&lt;&gt;N/A",$G:$G,"&lt;&gt;N/A",$F:$F,"&lt;="&amp;_xlpm.p,$G:$G,"&gt;="&amp;_xlpm.p)))))</f>
        <v>1.5</v>
      </c>
      <c r="I205" s="3" t="s">
        <v>7</v>
      </c>
      <c r="J205" t="s">
        <v>11406</v>
      </c>
      <c r="K205" s="4" t="s">
        <v>7</v>
      </c>
      <c r="L205" s="4" t="s">
        <v>7</v>
      </c>
      <c r="M205" s="5" t="s">
        <v>7</v>
      </c>
      <c r="N205" s="4" t="s">
        <v>7</v>
      </c>
      <c r="O205" s="4" t="s">
        <v>778</v>
      </c>
      <c r="P205" s="4" t="s">
        <v>7834</v>
      </c>
      <c r="R205" s="2" t="b">
        <v>0</v>
      </c>
    </row>
    <row r="206" spans="1:18">
      <c r="A206" t="s">
        <v>3004</v>
      </c>
      <c r="B206" s="5" t="s">
        <v>4252</v>
      </c>
      <c r="C206" s="4" t="s">
        <v>8013</v>
      </c>
      <c r="D206" s="2">
        <v>3</v>
      </c>
      <c r="E206" s="2">
        <v>1</v>
      </c>
      <c r="F206" s="2">
        <v>3</v>
      </c>
      <c r="G206" s="2">
        <v>13</v>
      </c>
      <c r="H206" s="8" cm="1">
        <f t="array" ref="H206">_xlfn.LET(_xlpm.s,IFERROR(--F206,""),_xlpm.e,IFERROR(--G206,""),IF(OR(_xlpm.s="",_xlpm.e="",_xlpm.e&lt;_xlpm.s),"",_xlfn.LET(_xlpm.p,_xlfn.SEQUENCE(_xlpm.e-_xlpm.s+1,1,_xlpm.s,1),SUM(1/COUNTIFS($D:$D,D206,$E:$E,E206,$F:$F,"&lt;&gt;N/A",$G:$G,"&lt;&gt;N/A",$F:$F,"&lt;="&amp;_xlpm.p,$G:$G,"&gt;="&amp;_xlpm.p)))))</f>
        <v>11</v>
      </c>
      <c r="I206" s="3" t="s">
        <v>8</v>
      </c>
      <c r="J206" t="s">
        <v>428</v>
      </c>
      <c r="K206" s="4" t="s">
        <v>55</v>
      </c>
      <c r="L206" s="4" t="s">
        <v>7</v>
      </c>
      <c r="M206" s="5" t="s">
        <v>5033</v>
      </c>
      <c r="N206" s="4" t="s">
        <v>7705</v>
      </c>
      <c r="O206" s="4" t="s">
        <v>10264</v>
      </c>
      <c r="P206" s="4" t="s">
        <v>8020</v>
      </c>
      <c r="R206" s="1" t="b">
        <v>1</v>
      </c>
    </row>
    <row r="207" spans="1:18">
      <c r="A207" t="s">
        <v>3004</v>
      </c>
      <c r="B207" s="5" t="s">
        <v>4253</v>
      </c>
      <c r="C207" s="4" t="s">
        <v>8013</v>
      </c>
      <c r="D207" s="2">
        <v>3</v>
      </c>
      <c r="E207" s="2">
        <v>1</v>
      </c>
      <c r="F207" s="2">
        <v>14</v>
      </c>
      <c r="G207" s="2">
        <v>32</v>
      </c>
      <c r="H207" s="8" cm="1">
        <f t="array" ref="H207">_xlfn.LET(_xlpm.s,IFERROR(--F207,""),_xlpm.e,IFERROR(--G207,""),IF(OR(_xlpm.s="",_xlpm.e="",_xlpm.e&lt;_xlpm.s),"",_xlfn.LET(_xlpm.p,_xlfn.SEQUENCE(_xlpm.e-_xlpm.s+1,1,_xlpm.s,1),SUM(1/COUNTIFS($D:$D,D207,$E:$E,E207,$F:$F,"&lt;&gt;N/A",$G:$G,"&lt;&gt;N/A",$F:$F,"&lt;="&amp;_xlpm.p,$G:$G,"&gt;="&amp;_xlpm.p)))))</f>
        <v>19</v>
      </c>
      <c r="I207" s="3" t="s">
        <v>56</v>
      </c>
      <c r="J207" t="s">
        <v>3199</v>
      </c>
      <c r="K207" s="4" t="s">
        <v>7</v>
      </c>
      <c r="L207" s="4" t="s">
        <v>7</v>
      </c>
      <c r="M207" s="5" t="s">
        <v>7</v>
      </c>
      <c r="N207" s="4" t="s">
        <v>2410</v>
      </c>
      <c r="O207" s="4" t="s">
        <v>778</v>
      </c>
      <c r="P207" s="4" t="s">
        <v>7834</v>
      </c>
      <c r="Q207" s="4" t="s">
        <v>2409</v>
      </c>
      <c r="R207" s="1" t="b">
        <v>1</v>
      </c>
    </row>
    <row r="208" spans="1:18">
      <c r="A208" t="s">
        <v>3004</v>
      </c>
      <c r="B208" s="5" t="s">
        <v>4254</v>
      </c>
      <c r="C208" s="4" t="s">
        <v>8013</v>
      </c>
      <c r="D208" s="2">
        <v>3</v>
      </c>
      <c r="E208" s="2">
        <v>1</v>
      </c>
      <c r="F208" s="2">
        <v>33</v>
      </c>
      <c r="G208" s="2">
        <v>37</v>
      </c>
      <c r="H208" s="8" cm="1">
        <f t="array" ref="H208">_xlfn.LET(_xlpm.s,IFERROR(--F208,""),_xlpm.e,IFERROR(--G208,""),IF(OR(_xlpm.s="",_xlpm.e="",_xlpm.e&lt;_xlpm.s),"",_xlfn.LET(_xlpm.p,_xlfn.SEQUENCE(_xlpm.e-_xlpm.s+1,1,_xlpm.s,1),SUM(1/COUNTIFS($D:$D,D208,$E:$E,E208,$F:$F,"&lt;&gt;N/A",$G:$G,"&lt;&gt;N/A",$F:$F,"&lt;="&amp;_xlpm.p,$G:$G,"&gt;="&amp;_xlpm.p)))))</f>
        <v>5</v>
      </c>
      <c r="I208" s="3" t="s">
        <v>196</v>
      </c>
      <c r="J208" s="3" t="s">
        <v>429</v>
      </c>
      <c r="K208" s="4" t="s">
        <v>4499</v>
      </c>
      <c r="L208" s="4" t="s">
        <v>7</v>
      </c>
      <c r="M208" s="5" t="s">
        <v>7</v>
      </c>
      <c r="N208" s="4" t="s">
        <v>7</v>
      </c>
      <c r="O208" s="4" t="s">
        <v>778</v>
      </c>
      <c r="P208" s="4" t="s">
        <v>7834</v>
      </c>
      <c r="R208" s="2" t="b">
        <v>0</v>
      </c>
    </row>
    <row r="209" spans="1:18">
      <c r="A209" t="s">
        <v>3004</v>
      </c>
      <c r="B209" s="5" t="s">
        <v>4255</v>
      </c>
      <c r="C209" s="4" t="s">
        <v>8013</v>
      </c>
      <c r="D209" s="2">
        <v>3</v>
      </c>
      <c r="E209" s="2">
        <v>1</v>
      </c>
      <c r="F209" s="2">
        <v>38</v>
      </c>
      <c r="G209" s="2">
        <v>41</v>
      </c>
      <c r="H209" s="8" cm="1">
        <f t="array" ref="H209">_xlfn.LET(_xlpm.s,IFERROR(--F209,""),_xlpm.e,IFERROR(--G209,""),IF(OR(_xlpm.s="",_xlpm.e="",_xlpm.e&lt;_xlpm.s),"",_xlfn.LET(_xlpm.p,_xlfn.SEQUENCE(_xlpm.e-_xlpm.s+1,1,_xlpm.s,1),SUM(1/COUNTIFS($D:$D,D209,$E:$E,E209,$F:$F,"&lt;&gt;N/A",$G:$G,"&lt;&gt;N/A",$F:$F,"&lt;="&amp;_xlpm.p,$G:$G,"&gt;="&amp;_xlpm.p)))))</f>
        <v>3.5</v>
      </c>
      <c r="I209" s="3" t="s">
        <v>196</v>
      </c>
      <c r="J209" s="3" t="s">
        <v>430</v>
      </c>
      <c r="K209" s="4" t="s">
        <v>12</v>
      </c>
      <c r="L209" s="4" t="s">
        <v>7</v>
      </c>
      <c r="M209" s="5" t="s">
        <v>7</v>
      </c>
      <c r="N209" s="4" t="s">
        <v>7</v>
      </c>
      <c r="O209" s="4" t="s">
        <v>778</v>
      </c>
      <c r="P209" s="4" t="s">
        <v>7834</v>
      </c>
      <c r="R209" s="2" t="b">
        <v>0</v>
      </c>
    </row>
    <row r="210" spans="1:18">
      <c r="A210" t="s">
        <v>3004</v>
      </c>
      <c r="B210" s="5" t="s">
        <v>4256</v>
      </c>
      <c r="C210" s="4" t="s">
        <v>8013</v>
      </c>
      <c r="D210" s="2">
        <v>3</v>
      </c>
      <c r="E210" s="2">
        <v>1</v>
      </c>
      <c r="F210" s="2">
        <v>41</v>
      </c>
      <c r="G210" s="2">
        <v>43</v>
      </c>
      <c r="H210" s="8" cm="1">
        <f t="array" ref="H210">_xlfn.LET(_xlpm.s,IFERROR(--F210,""),_xlpm.e,IFERROR(--G210,""),IF(OR(_xlpm.s="",_xlpm.e="",_xlpm.e&lt;_xlpm.s),"",_xlfn.LET(_xlpm.p,_xlfn.SEQUENCE(_xlpm.e-_xlpm.s+1,1,_xlpm.s,1),SUM(1/COUNTIFS($D:$D,D210,$E:$E,E210,$F:$F,"&lt;&gt;N/A",$G:$G,"&lt;&gt;N/A",$F:$F,"&lt;="&amp;_xlpm.p,$G:$G,"&gt;="&amp;_xlpm.p)))))</f>
        <v>2.5</v>
      </c>
      <c r="I210" s="3" t="s">
        <v>196</v>
      </c>
      <c r="J210" s="3" t="s">
        <v>57</v>
      </c>
      <c r="K210" s="4" t="s">
        <v>1991</v>
      </c>
      <c r="L210" s="4" t="s">
        <v>7</v>
      </c>
      <c r="M210" s="5" t="s">
        <v>7</v>
      </c>
      <c r="N210" s="4" t="s">
        <v>7</v>
      </c>
      <c r="O210" s="4" t="s">
        <v>5072</v>
      </c>
      <c r="P210" s="4" t="s">
        <v>8034</v>
      </c>
      <c r="R210" s="2" t="b">
        <v>0</v>
      </c>
    </row>
    <row r="211" spans="1:18">
      <c r="A211" t="s">
        <v>3004</v>
      </c>
      <c r="B211" s="5" t="s">
        <v>4257</v>
      </c>
      <c r="C211" s="4" t="s">
        <v>8013</v>
      </c>
      <c r="D211" s="2">
        <v>3</v>
      </c>
      <c r="E211" s="2">
        <v>1</v>
      </c>
      <c r="F211" s="2">
        <v>44</v>
      </c>
      <c r="G211" s="2">
        <v>44</v>
      </c>
      <c r="H211" s="8" cm="1">
        <f t="array" ref="H211">_xlfn.LET(_xlpm.s,IFERROR(--F211,""),_xlpm.e,IFERROR(--G211,""),IF(OR(_xlpm.s="",_xlpm.e="",_xlpm.e&lt;_xlpm.s),"",_xlfn.LET(_xlpm.p,_xlfn.SEQUENCE(_xlpm.e-_xlpm.s+1,1,_xlpm.s,1),SUM(1/COUNTIFS($D:$D,D211,$E:$E,E211,$F:$F,"&lt;&gt;N/A",$G:$G,"&lt;&gt;N/A",$F:$F,"&lt;="&amp;_xlpm.p,$G:$G,"&gt;="&amp;_xlpm.p)))))</f>
        <v>1</v>
      </c>
      <c r="I211" s="3" t="s">
        <v>196</v>
      </c>
      <c r="J211" s="3" t="s">
        <v>431</v>
      </c>
      <c r="K211" s="4" t="s">
        <v>4500</v>
      </c>
      <c r="L211" s="4" t="s">
        <v>7</v>
      </c>
      <c r="M211" s="5" t="s">
        <v>7</v>
      </c>
      <c r="N211" s="4" t="s">
        <v>7</v>
      </c>
      <c r="O211" s="4" t="s">
        <v>778</v>
      </c>
      <c r="P211" s="4" t="s">
        <v>7834</v>
      </c>
      <c r="Q211" t="s">
        <v>10268</v>
      </c>
      <c r="R211" s="2" t="b">
        <v>0</v>
      </c>
    </row>
    <row r="212" spans="1:18">
      <c r="A212" t="s">
        <v>3004</v>
      </c>
      <c r="B212" s="5" t="s">
        <v>4258</v>
      </c>
      <c r="C212" s="4" t="s">
        <v>8013</v>
      </c>
      <c r="D212" s="2">
        <v>3</v>
      </c>
      <c r="E212" s="2">
        <v>1</v>
      </c>
      <c r="F212" s="2">
        <v>45</v>
      </c>
      <c r="G212" s="2">
        <v>45</v>
      </c>
      <c r="H212" s="8" cm="1">
        <f t="array" ref="H212">_xlfn.LET(_xlpm.s,IFERROR(--F212,""),_xlpm.e,IFERROR(--G212,""),IF(OR(_xlpm.s="",_xlpm.e="",_xlpm.e&lt;_xlpm.s),"",_xlfn.LET(_xlpm.p,_xlfn.SEQUENCE(_xlpm.e-_xlpm.s+1,1,_xlpm.s,1),SUM(1/COUNTIFS($D:$D,D212,$E:$E,E212,$F:$F,"&lt;&gt;N/A",$G:$G,"&lt;&gt;N/A",$F:$F,"&lt;="&amp;_xlpm.p,$G:$G,"&gt;="&amp;_xlpm.p)))))</f>
        <v>1</v>
      </c>
      <c r="I212" s="3" t="s">
        <v>196</v>
      </c>
      <c r="J212" s="3" t="s">
        <v>58</v>
      </c>
      <c r="K212" s="4" t="s">
        <v>4501</v>
      </c>
      <c r="L212" s="4" t="s">
        <v>7</v>
      </c>
      <c r="M212" s="5" t="s">
        <v>7</v>
      </c>
      <c r="N212" s="4" t="s">
        <v>7</v>
      </c>
      <c r="O212" s="4" t="s">
        <v>778</v>
      </c>
      <c r="P212" s="4" t="s">
        <v>7834</v>
      </c>
      <c r="Q212" t="s">
        <v>10268</v>
      </c>
      <c r="R212" s="2" t="b">
        <v>0</v>
      </c>
    </row>
    <row r="213" spans="1:18">
      <c r="A213" t="s">
        <v>3004</v>
      </c>
      <c r="B213" s="5" t="s">
        <v>4259</v>
      </c>
      <c r="C213" s="4" t="s">
        <v>8013</v>
      </c>
      <c r="D213" s="2">
        <v>3</v>
      </c>
      <c r="E213" s="2">
        <v>1</v>
      </c>
      <c r="F213" s="2">
        <v>46</v>
      </c>
      <c r="G213" s="2">
        <v>62</v>
      </c>
      <c r="H213" s="8" cm="1">
        <f t="array" ref="H213">_xlfn.LET(_xlpm.s,IFERROR(--F213,""),_xlpm.e,IFERROR(--G213,""),IF(OR(_xlpm.s="",_xlpm.e="",_xlpm.e&lt;_xlpm.s),"",_xlfn.LET(_xlpm.p,_xlfn.SEQUENCE(_xlpm.e-_xlpm.s+1,1,_xlpm.s,1),SUM(1/COUNTIFS($D:$D,D213,$E:$E,E213,$F:$F,"&lt;&gt;N/A",$G:$G,"&lt;&gt;N/A",$F:$F,"&lt;="&amp;_xlpm.p,$G:$G,"&gt;="&amp;_xlpm.p)))))</f>
        <v>17</v>
      </c>
      <c r="I213" s="3" t="s">
        <v>59</v>
      </c>
      <c r="J213" s="3" t="s">
        <v>3195</v>
      </c>
      <c r="K213" s="4" t="s">
        <v>60</v>
      </c>
      <c r="L213" s="4" t="s">
        <v>7</v>
      </c>
      <c r="M213" s="5" t="s">
        <v>7</v>
      </c>
      <c r="N213" s="4" t="s">
        <v>7</v>
      </c>
      <c r="O213" s="4" t="s">
        <v>778</v>
      </c>
      <c r="P213" s="4" t="s">
        <v>7834</v>
      </c>
      <c r="Q213" s="4" t="s">
        <v>2051</v>
      </c>
      <c r="R213" s="1" t="b">
        <v>1</v>
      </c>
    </row>
    <row r="214" spans="1:18">
      <c r="A214" t="s">
        <v>3004</v>
      </c>
      <c r="B214" s="5" t="s">
        <v>4260</v>
      </c>
      <c r="C214" s="4" t="s">
        <v>8013</v>
      </c>
      <c r="D214" s="2">
        <v>3</v>
      </c>
      <c r="E214" s="2">
        <v>1</v>
      </c>
      <c r="F214" s="2">
        <v>63</v>
      </c>
      <c r="G214" s="2">
        <v>92</v>
      </c>
      <c r="H214" s="8" cm="1">
        <f t="array" ref="H214">_xlfn.LET(_xlpm.s,IFERROR(--F214,""),_xlpm.e,IFERROR(--G214,""),IF(OR(_xlpm.s="",_xlpm.e="",_xlpm.e&lt;_xlpm.s),"",_xlfn.LET(_xlpm.p,_xlfn.SEQUENCE(_xlpm.e-_xlpm.s+1,1,_xlpm.s,1),SUM(1/COUNTIFS($D:$D,D214,$E:$E,E214,$F:$F,"&lt;&gt;N/A",$G:$G,"&lt;&gt;N/A",$F:$F,"&lt;="&amp;_xlpm.p,$G:$G,"&gt;="&amp;_xlpm.p)))))</f>
        <v>30</v>
      </c>
      <c r="I214" s="3" t="s">
        <v>7</v>
      </c>
      <c r="J214" s="3" t="s">
        <v>432</v>
      </c>
      <c r="K214" s="4" t="s">
        <v>7</v>
      </c>
      <c r="L214" s="4" t="s">
        <v>7</v>
      </c>
      <c r="M214" s="5" t="s">
        <v>7</v>
      </c>
      <c r="N214" s="4" t="s">
        <v>7</v>
      </c>
      <c r="O214" s="4" t="s">
        <v>778</v>
      </c>
      <c r="P214" s="4" t="s">
        <v>7834</v>
      </c>
      <c r="R214" s="2" t="b">
        <v>0</v>
      </c>
    </row>
    <row r="215" spans="1:18">
      <c r="A215" t="s">
        <v>3004</v>
      </c>
      <c r="B215" s="5" t="s">
        <v>4261</v>
      </c>
      <c r="C215" s="4" t="s">
        <v>8013</v>
      </c>
      <c r="D215" s="2">
        <v>3</v>
      </c>
      <c r="E215" s="2">
        <v>1</v>
      </c>
      <c r="F215" s="2">
        <v>93</v>
      </c>
      <c r="G215" s="2">
        <v>96</v>
      </c>
      <c r="H215" s="8" cm="1">
        <f t="array" ref="H215">_xlfn.LET(_xlpm.s,IFERROR(--F215,""),_xlpm.e,IFERROR(--G215,""),IF(OR(_xlpm.s="",_xlpm.e="",_xlpm.e&lt;_xlpm.s),"",_xlfn.LET(_xlpm.p,_xlfn.SEQUENCE(_xlpm.e-_xlpm.s+1,1,_xlpm.s,1),SUM(1/COUNTIFS($D:$D,D215,$E:$E,E215,$F:$F,"&lt;&gt;N/A",$G:$G,"&lt;&gt;N/A",$F:$F,"&lt;="&amp;_xlpm.p,$G:$G,"&gt;="&amp;_xlpm.p)))))</f>
        <v>4</v>
      </c>
      <c r="I215" s="3" t="s">
        <v>30</v>
      </c>
      <c r="J215" s="3" t="s">
        <v>433</v>
      </c>
      <c r="K215" s="4" t="s">
        <v>7</v>
      </c>
      <c r="L215" s="4" t="s">
        <v>7</v>
      </c>
      <c r="M215" s="5" t="s">
        <v>7</v>
      </c>
      <c r="N215" s="4" t="s">
        <v>7</v>
      </c>
      <c r="O215" s="4" t="s">
        <v>778</v>
      </c>
      <c r="P215" s="4" t="s">
        <v>7834</v>
      </c>
      <c r="R215" s="2" t="b">
        <v>0</v>
      </c>
    </row>
    <row r="216" spans="1:18">
      <c r="A216" t="s">
        <v>3004</v>
      </c>
      <c r="B216" s="5" t="s">
        <v>4262</v>
      </c>
      <c r="C216" s="4" t="s">
        <v>8013</v>
      </c>
      <c r="D216" s="2">
        <v>3</v>
      </c>
      <c r="E216" s="2">
        <v>1</v>
      </c>
      <c r="F216" s="2">
        <v>97</v>
      </c>
      <c r="G216" s="2">
        <v>98</v>
      </c>
      <c r="H216" s="8" cm="1">
        <f t="array" ref="H216">_xlfn.LET(_xlpm.s,IFERROR(--F216,""),_xlpm.e,IFERROR(--G216,""),IF(OR(_xlpm.s="",_xlpm.e="",_xlpm.e&lt;_xlpm.s),"",_xlfn.LET(_xlpm.p,_xlfn.SEQUENCE(_xlpm.e-_xlpm.s+1,1,_xlpm.s,1),SUM(1/COUNTIFS($D:$D,D216,$E:$E,E216,$F:$F,"&lt;&gt;N/A",$G:$G,"&lt;&gt;N/A",$F:$F,"&lt;="&amp;_xlpm.p,$G:$G,"&gt;="&amp;_xlpm.p)))))</f>
        <v>2</v>
      </c>
      <c r="I216" s="3" t="s">
        <v>30</v>
      </c>
      <c r="J216" s="3" t="s">
        <v>4047</v>
      </c>
      <c r="K216" s="4" t="s">
        <v>7</v>
      </c>
      <c r="L216" s="4" t="s">
        <v>7</v>
      </c>
      <c r="M216" s="5" t="s">
        <v>7</v>
      </c>
      <c r="N216" s="4" t="s">
        <v>7</v>
      </c>
      <c r="O216" s="4" t="s">
        <v>5072</v>
      </c>
      <c r="P216" s="4" t="s">
        <v>8021</v>
      </c>
      <c r="Q216" s="4" t="s">
        <v>1992</v>
      </c>
      <c r="R216" s="2" t="b">
        <v>0</v>
      </c>
    </row>
    <row r="217" spans="1:18">
      <c r="A217" t="s">
        <v>3004</v>
      </c>
      <c r="B217" s="5" t="s">
        <v>4263</v>
      </c>
      <c r="C217" s="4" t="s">
        <v>8013</v>
      </c>
      <c r="D217" s="2">
        <v>3</v>
      </c>
      <c r="E217" s="2">
        <v>1</v>
      </c>
      <c r="F217" s="2">
        <v>99</v>
      </c>
      <c r="G217" s="2">
        <v>100</v>
      </c>
      <c r="H217" s="8" cm="1">
        <f t="array" ref="H217">_xlfn.LET(_xlpm.s,IFERROR(--F217,""),_xlpm.e,IFERROR(--G217,""),IF(OR(_xlpm.s="",_xlpm.e="",_xlpm.e&lt;_xlpm.s),"",_xlfn.LET(_xlpm.p,_xlfn.SEQUENCE(_xlpm.e-_xlpm.s+1,1,_xlpm.s,1),SUM(1/COUNTIFS($D:$D,D217,$E:$E,E217,$F:$F,"&lt;&gt;N/A",$G:$G,"&lt;&gt;N/A",$F:$F,"&lt;="&amp;_xlpm.p,$G:$G,"&gt;="&amp;_xlpm.p)))))</f>
        <v>1.5</v>
      </c>
      <c r="I217" s="3" t="s">
        <v>30</v>
      </c>
      <c r="J217" s="3" t="s">
        <v>434</v>
      </c>
      <c r="K217" s="4" t="s">
        <v>7</v>
      </c>
      <c r="L217" s="4" t="s">
        <v>7</v>
      </c>
      <c r="M217" s="5" t="s">
        <v>7</v>
      </c>
      <c r="N217" s="4" t="s">
        <v>7</v>
      </c>
      <c r="O217" s="4" t="s">
        <v>5072</v>
      </c>
      <c r="P217" s="4" t="s">
        <v>8021</v>
      </c>
      <c r="Q217" s="4" t="s">
        <v>1993</v>
      </c>
      <c r="R217" s="2" t="b">
        <v>0</v>
      </c>
    </row>
    <row r="218" spans="1:18">
      <c r="A218" t="s">
        <v>3004</v>
      </c>
      <c r="B218" s="5" t="s">
        <v>4264</v>
      </c>
      <c r="C218" s="4" t="s">
        <v>8013</v>
      </c>
      <c r="D218" s="2">
        <v>3</v>
      </c>
      <c r="E218" s="2">
        <v>1</v>
      </c>
      <c r="F218" s="2">
        <v>100</v>
      </c>
      <c r="G218" s="2">
        <v>100</v>
      </c>
      <c r="H218" s="8" cm="1">
        <f t="array" ref="H218">_xlfn.LET(_xlpm.s,IFERROR(--F218,""),_xlpm.e,IFERROR(--G218,""),IF(OR(_xlpm.s="",_xlpm.e="",_xlpm.e&lt;_xlpm.s),"",_xlfn.LET(_xlpm.p,_xlfn.SEQUENCE(_xlpm.e-_xlpm.s+1,1,_xlpm.s,1),SUM(1/COUNTIFS($D:$D,D218,$E:$E,E218,$F:$F,"&lt;&gt;N/A",$G:$G,"&lt;&gt;N/A",$F:$F,"&lt;="&amp;_xlpm.p,$G:$G,"&gt;="&amp;_xlpm.p)))))</f>
        <v>0.5</v>
      </c>
      <c r="I218" s="3" t="s">
        <v>30</v>
      </c>
      <c r="J218" s="3" t="s">
        <v>435</v>
      </c>
      <c r="K218" s="4" t="s">
        <v>7</v>
      </c>
      <c r="L218" s="4" t="s">
        <v>7</v>
      </c>
      <c r="M218" s="5" t="s">
        <v>7</v>
      </c>
      <c r="N218" s="4" t="s">
        <v>7</v>
      </c>
      <c r="O218" s="4" t="s">
        <v>5072</v>
      </c>
      <c r="P218" s="4" t="s">
        <v>8021</v>
      </c>
      <c r="Q218" s="4" t="s">
        <v>1994</v>
      </c>
      <c r="R218" s="2" t="b">
        <v>0</v>
      </c>
    </row>
    <row r="219" spans="1:18">
      <c r="A219" t="s">
        <v>3004</v>
      </c>
      <c r="B219" s="5" t="s">
        <v>4265</v>
      </c>
      <c r="C219" s="4" t="s">
        <v>8013</v>
      </c>
      <c r="D219" s="2">
        <v>3</v>
      </c>
      <c r="E219" s="2">
        <v>1</v>
      </c>
      <c r="F219" s="2">
        <v>101</v>
      </c>
      <c r="G219" s="2">
        <v>108</v>
      </c>
      <c r="H219" s="8" cm="1">
        <f t="array" ref="H219">_xlfn.LET(_xlpm.s,IFERROR(--F219,""),_xlpm.e,IFERROR(--G219,""),IF(OR(_xlpm.s="",_xlpm.e="",_xlpm.e&lt;_xlpm.s),"",_xlfn.LET(_xlpm.p,_xlfn.SEQUENCE(_xlpm.e-_xlpm.s+1,1,_xlpm.s,1),SUM(1/COUNTIFS($D:$D,D219,$E:$E,E219,$F:$F,"&lt;&gt;N/A",$G:$G,"&lt;&gt;N/A",$F:$F,"&lt;="&amp;_xlpm.p,$G:$G,"&gt;="&amp;_xlpm.p)))))</f>
        <v>8</v>
      </c>
      <c r="I219" s="3" t="s">
        <v>30</v>
      </c>
      <c r="J219" s="3" t="s">
        <v>4048</v>
      </c>
      <c r="K219" s="4" t="s">
        <v>7</v>
      </c>
      <c r="L219" s="4" t="s">
        <v>7</v>
      </c>
      <c r="M219" s="5" t="s">
        <v>7</v>
      </c>
      <c r="N219" s="4" t="s">
        <v>7</v>
      </c>
      <c r="O219" s="4" t="s">
        <v>5072</v>
      </c>
      <c r="P219" s="4" t="s">
        <v>8019</v>
      </c>
      <c r="Q219" t="s">
        <v>1995</v>
      </c>
      <c r="R219" s="2" t="b">
        <v>0</v>
      </c>
    </row>
    <row r="220" spans="1:18">
      <c r="A220" t="s">
        <v>3004</v>
      </c>
      <c r="B220" s="5" t="s">
        <v>4266</v>
      </c>
      <c r="C220" s="4" t="s">
        <v>8013</v>
      </c>
      <c r="D220" s="2">
        <v>3</v>
      </c>
      <c r="E220" s="2">
        <v>1</v>
      </c>
      <c r="F220" s="2">
        <v>109</v>
      </c>
      <c r="G220" s="2">
        <v>111</v>
      </c>
      <c r="H220" s="8" cm="1">
        <f t="array" ref="H220">_xlfn.LET(_xlpm.s,IFERROR(--F220,""),_xlpm.e,IFERROR(--G220,""),IF(OR(_xlpm.s="",_xlpm.e="",_xlpm.e&lt;_xlpm.s),"",_xlfn.LET(_xlpm.p,_xlfn.SEQUENCE(_xlpm.e-_xlpm.s+1,1,_xlpm.s,1),SUM(1/COUNTIFS($D:$D,D220,$E:$E,E220,$F:$F,"&lt;&gt;N/A",$G:$G,"&lt;&gt;N/A",$F:$F,"&lt;="&amp;_xlpm.p,$G:$G,"&gt;="&amp;_xlpm.p)))))</f>
        <v>3</v>
      </c>
      <c r="I220" s="3" t="s">
        <v>30</v>
      </c>
      <c r="J220" t="s">
        <v>436</v>
      </c>
      <c r="K220" s="4" t="s">
        <v>7</v>
      </c>
      <c r="L220" s="4" t="s">
        <v>7</v>
      </c>
      <c r="M220" s="5" t="s">
        <v>7</v>
      </c>
      <c r="N220" s="4" t="s">
        <v>7</v>
      </c>
      <c r="O220" s="4" t="s">
        <v>5072</v>
      </c>
      <c r="P220" s="4" t="s">
        <v>8020</v>
      </c>
      <c r="Q220" s="4" t="s">
        <v>1996</v>
      </c>
      <c r="R220" s="2" t="b">
        <v>0</v>
      </c>
    </row>
    <row r="221" spans="1:18">
      <c r="A221" t="s">
        <v>3004</v>
      </c>
      <c r="B221" s="5" t="s">
        <v>4267</v>
      </c>
      <c r="C221" s="4" t="s">
        <v>8013</v>
      </c>
      <c r="D221" s="2">
        <v>3</v>
      </c>
      <c r="E221" s="2">
        <v>1</v>
      </c>
      <c r="F221" s="2">
        <v>112</v>
      </c>
      <c r="G221" s="2">
        <v>112</v>
      </c>
      <c r="H221" s="8" cm="1">
        <f t="array" ref="H221">_xlfn.LET(_xlpm.s,IFERROR(--F221,""),_xlpm.e,IFERROR(--G221,""),IF(OR(_xlpm.s="",_xlpm.e="",_xlpm.e&lt;_xlpm.s),"",_xlfn.LET(_xlpm.p,_xlfn.SEQUENCE(_xlpm.e-_xlpm.s+1,1,_xlpm.s,1),SUM(1/COUNTIFS($D:$D,D221,$E:$E,E221,$F:$F,"&lt;&gt;N/A",$G:$G,"&lt;&gt;N/A",$F:$F,"&lt;="&amp;_xlpm.p,$G:$G,"&gt;="&amp;_xlpm.p)))))</f>
        <v>1</v>
      </c>
      <c r="I221" s="3" t="s">
        <v>30</v>
      </c>
      <c r="J221" t="s">
        <v>437</v>
      </c>
      <c r="K221" s="4" t="s">
        <v>7</v>
      </c>
      <c r="L221" s="4" t="s">
        <v>7</v>
      </c>
      <c r="M221" s="5" t="s">
        <v>7</v>
      </c>
      <c r="N221" s="4" t="s">
        <v>7</v>
      </c>
      <c r="O221" s="4" t="s">
        <v>5072</v>
      </c>
      <c r="P221" s="4" t="s">
        <v>8019</v>
      </c>
      <c r="Q221" s="4" t="s">
        <v>1997</v>
      </c>
      <c r="R221" s="2" t="b">
        <v>0</v>
      </c>
    </row>
    <row r="222" spans="1:18">
      <c r="A222" t="s">
        <v>3004</v>
      </c>
      <c r="B222" s="5" t="s">
        <v>4268</v>
      </c>
      <c r="C222" s="4" t="s">
        <v>8013</v>
      </c>
      <c r="D222" s="2">
        <v>3</v>
      </c>
      <c r="E222" s="2">
        <v>1</v>
      </c>
      <c r="F222" s="2">
        <v>113</v>
      </c>
      <c r="G222" s="2">
        <v>114</v>
      </c>
      <c r="H222" s="8" cm="1">
        <f t="array" ref="H222">_xlfn.LET(_xlpm.s,IFERROR(--F222,""),_xlpm.e,IFERROR(--G222,""),IF(OR(_xlpm.s="",_xlpm.e="",_xlpm.e&lt;_xlpm.s),"",_xlfn.LET(_xlpm.p,_xlfn.SEQUENCE(_xlpm.e-_xlpm.s+1,1,_xlpm.s,1),SUM(1/COUNTIFS($D:$D,D222,$E:$E,E222,$F:$F,"&lt;&gt;N/A",$G:$G,"&lt;&gt;N/A",$F:$F,"&lt;="&amp;_xlpm.p,$G:$G,"&gt;="&amp;_xlpm.p)))))</f>
        <v>1.5</v>
      </c>
      <c r="I222" s="3" t="s">
        <v>30</v>
      </c>
      <c r="J222" t="s">
        <v>438</v>
      </c>
      <c r="K222" s="4" t="s">
        <v>7</v>
      </c>
      <c r="L222" s="4" t="s">
        <v>7</v>
      </c>
      <c r="M222" s="5" t="s">
        <v>7</v>
      </c>
      <c r="N222" s="4" t="s">
        <v>7</v>
      </c>
      <c r="O222" s="4" t="s">
        <v>5072</v>
      </c>
      <c r="P222" s="4" t="s">
        <v>8027</v>
      </c>
      <c r="Q222" t="s">
        <v>1998</v>
      </c>
      <c r="R222" s="2" t="b">
        <v>0</v>
      </c>
    </row>
    <row r="223" spans="1:18">
      <c r="A223" t="s">
        <v>3004</v>
      </c>
      <c r="B223" s="5" t="s">
        <v>4269</v>
      </c>
      <c r="C223" s="4" t="s">
        <v>8013</v>
      </c>
      <c r="D223" s="2">
        <v>3</v>
      </c>
      <c r="E223" s="2">
        <v>1</v>
      </c>
      <c r="F223" s="2">
        <v>114</v>
      </c>
      <c r="G223" s="2">
        <v>115</v>
      </c>
      <c r="H223" s="8" cm="1">
        <f t="array" ref="H223">_xlfn.LET(_xlpm.s,IFERROR(--F223,""),_xlpm.e,IFERROR(--G223,""),IF(OR(_xlpm.s="",_xlpm.e="",_xlpm.e&lt;_xlpm.s),"",_xlfn.LET(_xlpm.p,_xlfn.SEQUENCE(_xlpm.e-_xlpm.s+1,1,_xlpm.s,1),SUM(1/COUNTIFS($D:$D,D223,$E:$E,E223,$F:$F,"&lt;&gt;N/A",$G:$G,"&lt;&gt;N/A",$F:$F,"&lt;="&amp;_xlpm.p,$G:$G,"&gt;="&amp;_xlpm.p)))))</f>
        <v>1.5</v>
      </c>
      <c r="I223" s="3" t="s">
        <v>30</v>
      </c>
      <c r="J223" t="s">
        <v>73</v>
      </c>
      <c r="K223" s="4" t="s">
        <v>7</v>
      </c>
      <c r="L223" s="4" t="s">
        <v>7</v>
      </c>
      <c r="M223" s="5" t="s">
        <v>7</v>
      </c>
      <c r="N223" s="4" t="s">
        <v>7</v>
      </c>
      <c r="O223" s="4" t="s">
        <v>778</v>
      </c>
      <c r="P223" s="4" t="s">
        <v>7834</v>
      </c>
      <c r="Q223" s="4" t="s">
        <v>1955</v>
      </c>
      <c r="R223" s="2" t="b">
        <v>0</v>
      </c>
    </row>
    <row r="224" spans="1:18">
      <c r="A224" t="s">
        <v>3004</v>
      </c>
      <c r="B224" s="5" t="s">
        <v>11408</v>
      </c>
      <c r="C224" s="4" t="s">
        <v>8013</v>
      </c>
      <c r="D224" s="2">
        <v>3</v>
      </c>
      <c r="E224" s="2">
        <v>1</v>
      </c>
      <c r="F224" s="2">
        <v>116</v>
      </c>
      <c r="G224" s="2">
        <v>117</v>
      </c>
      <c r="H224" s="8" cm="1">
        <f t="array" ref="H224">_xlfn.LET(_xlpm.s,IFERROR(--F224,""),_xlpm.e,IFERROR(--G224,""),IF(OR(_xlpm.s="",_xlpm.e="",_xlpm.e&lt;_xlpm.s),"",_xlfn.LET(_xlpm.p,_xlfn.SEQUENCE(_xlpm.e-_xlpm.s+1,1,_xlpm.s,1),SUM(1/COUNTIFS($D:$D,D224,$E:$E,E224,$F:$F,"&lt;&gt;N/A",$G:$G,"&lt;&gt;N/A",$F:$F,"&lt;="&amp;_xlpm.p,$G:$G,"&gt;="&amp;_xlpm.p)))))</f>
        <v>2</v>
      </c>
      <c r="I224" s="3" t="s">
        <v>30</v>
      </c>
      <c r="J224" t="s">
        <v>439</v>
      </c>
      <c r="K224" s="4" t="s">
        <v>7</v>
      </c>
      <c r="L224" s="4" t="s">
        <v>7</v>
      </c>
      <c r="M224" s="5" t="s">
        <v>7</v>
      </c>
      <c r="N224" s="4" t="s">
        <v>7</v>
      </c>
      <c r="O224" s="4" t="s">
        <v>778</v>
      </c>
      <c r="P224" s="4" t="s">
        <v>7834</v>
      </c>
      <c r="Q224" s="4" t="s">
        <v>1999</v>
      </c>
      <c r="R224" s="2" t="b">
        <v>0</v>
      </c>
    </row>
    <row r="225" spans="1:18">
      <c r="A225" t="s">
        <v>3004</v>
      </c>
      <c r="B225" s="5" t="s">
        <v>4270</v>
      </c>
      <c r="C225" s="4" t="s">
        <v>8014</v>
      </c>
      <c r="D225" s="2">
        <v>3</v>
      </c>
      <c r="E225" s="2">
        <v>2</v>
      </c>
      <c r="F225" s="2">
        <v>3</v>
      </c>
      <c r="G225" s="2">
        <v>16</v>
      </c>
      <c r="H225" s="8" cm="1">
        <f t="array" ref="H225">_xlfn.LET(_xlpm.s,IFERROR(--F225,""),_xlpm.e,IFERROR(--G225,""),IF(OR(_xlpm.s="",_xlpm.e="",_xlpm.e&lt;_xlpm.s),"",_xlfn.LET(_xlpm.p,_xlfn.SEQUENCE(_xlpm.e-_xlpm.s+1,1,_xlpm.s,1),SUM(1/COUNTIFS($D:$D,D225,$E:$E,E225,$F:$F,"&lt;&gt;N/A",$G:$G,"&lt;&gt;N/A",$F:$F,"&lt;="&amp;_xlpm.p,$G:$G,"&gt;="&amp;_xlpm.p)))))</f>
        <v>14</v>
      </c>
      <c r="I225" s="3" t="s">
        <v>56</v>
      </c>
      <c r="J225" t="s">
        <v>440</v>
      </c>
      <c r="K225" s="4" t="s">
        <v>441</v>
      </c>
      <c r="L225" s="4" t="s">
        <v>7</v>
      </c>
      <c r="M225" s="5" t="s">
        <v>7</v>
      </c>
      <c r="N225" s="4" t="s">
        <v>5070</v>
      </c>
      <c r="O225" s="4" t="s">
        <v>778</v>
      </c>
      <c r="P225" s="4" t="s">
        <v>7834</v>
      </c>
      <c r="R225" s="1" t="b">
        <v>1</v>
      </c>
    </row>
    <row r="226" spans="1:18">
      <c r="A226" t="s">
        <v>3004</v>
      </c>
      <c r="B226" s="5" t="s">
        <v>4271</v>
      </c>
      <c r="C226" s="4" t="s">
        <v>8014</v>
      </c>
      <c r="D226" s="2">
        <v>3</v>
      </c>
      <c r="E226" s="2">
        <v>2</v>
      </c>
      <c r="F226" s="2">
        <v>17</v>
      </c>
      <c r="G226" s="2">
        <v>25</v>
      </c>
      <c r="H226" s="8" cm="1">
        <f t="array" ref="H226">_xlfn.LET(_xlpm.s,IFERROR(--F226,""),_xlpm.e,IFERROR(--G226,""),IF(OR(_xlpm.s="",_xlpm.e="",_xlpm.e&lt;_xlpm.s),"",_xlfn.LET(_xlpm.p,_xlfn.SEQUENCE(_xlpm.e-_xlpm.s+1,1,_xlpm.s,1),SUM(1/COUNTIFS($D:$D,D226,$E:$E,E226,$F:$F,"&lt;&gt;N/A",$G:$G,"&lt;&gt;N/A",$F:$F,"&lt;="&amp;_xlpm.p,$G:$G,"&gt;="&amp;_xlpm.p)))))</f>
        <v>8.5</v>
      </c>
      <c r="I226" s="3" t="s">
        <v>59</v>
      </c>
      <c r="J226" t="s">
        <v>442</v>
      </c>
      <c r="K226" s="4" t="s">
        <v>60</v>
      </c>
      <c r="L226" s="4" t="s">
        <v>7</v>
      </c>
      <c r="M226" s="5" t="s">
        <v>7</v>
      </c>
      <c r="N226" s="4" t="s">
        <v>7</v>
      </c>
      <c r="O226" s="4" t="s">
        <v>778</v>
      </c>
      <c r="P226" s="4" t="s">
        <v>7834</v>
      </c>
      <c r="Q226" s="4" t="s">
        <v>2051</v>
      </c>
      <c r="R226" s="1" t="b">
        <v>1</v>
      </c>
    </row>
    <row r="227" spans="1:18">
      <c r="A227" t="s">
        <v>3004</v>
      </c>
      <c r="B227" s="5" t="s">
        <v>4272</v>
      </c>
      <c r="C227" s="4" t="s">
        <v>8014</v>
      </c>
      <c r="D227" s="2">
        <v>3</v>
      </c>
      <c r="E227" s="2">
        <v>2</v>
      </c>
      <c r="F227" s="2">
        <v>25</v>
      </c>
      <c r="G227" s="2">
        <v>34</v>
      </c>
      <c r="H227" s="8" cm="1">
        <f t="array" ref="H227">_xlfn.LET(_xlpm.s,IFERROR(--F227,""),_xlpm.e,IFERROR(--G227,""),IF(OR(_xlpm.s="",_xlpm.e="",_xlpm.e&lt;_xlpm.s),"",_xlfn.LET(_xlpm.p,_xlfn.SEQUENCE(_xlpm.e-_xlpm.s+1,1,_xlpm.s,1),SUM(1/COUNTIFS($D:$D,D227,$E:$E,E227,$F:$F,"&lt;&gt;N/A",$G:$G,"&lt;&gt;N/A",$F:$F,"&lt;="&amp;_xlpm.p,$G:$G,"&gt;="&amp;_xlpm.p)))))</f>
        <v>9.5</v>
      </c>
      <c r="I227" s="3" t="s">
        <v>54</v>
      </c>
      <c r="J227" t="s">
        <v>443</v>
      </c>
      <c r="K227" s="4" t="s">
        <v>1982</v>
      </c>
      <c r="L227" s="4" t="s">
        <v>7</v>
      </c>
      <c r="M227" s="5" t="s">
        <v>7</v>
      </c>
      <c r="N227" s="4" t="s">
        <v>7</v>
      </c>
      <c r="O227" s="4" t="s">
        <v>778</v>
      </c>
      <c r="P227" s="4" t="s">
        <v>7834</v>
      </c>
      <c r="R227" s="2" t="b">
        <v>0</v>
      </c>
    </row>
    <row r="228" spans="1:18">
      <c r="A228" t="s">
        <v>3004</v>
      </c>
      <c r="B228" s="5" t="s">
        <v>4273</v>
      </c>
      <c r="C228" s="4" t="s">
        <v>8014</v>
      </c>
      <c r="D228" s="2">
        <v>3</v>
      </c>
      <c r="E228" s="2">
        <v>2</v>
      </c>
      <c r="F228" s="2">
        <v>35</v>
      </c>
      <c r="G228" s="2">
        <v>55</v>
      </c>
      <c r="H228" s="8" cm="1">
        <f t="array" ref="H228">_xlfn.LET(_xlpm.s,IFERROR(--F228,""),_xlpm.e,IFERROR(--G228,""),IF(OR(_xlpm.s="",_xlpm.e="",_xlpm.e&lt;_xlpm.s),"",_xlfn.LET(_xlpm.p,_xlfn.SEQUENCE(_xlpm.e-_xlpm.s+1,1,_xlpm.s,1),SUM(1/COUNTIFS($D:$D,D228,$E:$E,E228,$F:$F,"&lt;&gt;N/A",$G:$G,"&lt;&gt;N/A",$F:$F,"&lt;="&amp;_xlpm.p,$G:$G,"&gt;="&amp;_xlpm.p)))))</f>
        <v>21</v>
      </c>
      <c r="I228" s="3" t="s">
        <v>30</v>
      </c>
      <c r="J228" t="s">
        <v>444</v>
      </c>
      <c r="K228" s="4" t="s">
        <v>7</v>
      </c>
      <c r="L228" s="4" t="s">
        <v>7</v>
      </c>
      <c r="M228" s="5" t="s">
        <v>7</v>
      </c>
      <c r="N228" s="4" t="s">
        <v>7</v>
      </c>
      <c r="O228" s="4" t="s">
        <v>10264</v>
      </c>
      <c r="P228" s="4" t="s">
        <v>8020</v>
      </c>
      <c r="Q228" s="4" t="s">
        <v>1986</v>
      </c>
      <c r="R228" s="2" t="b">
        <v>0</v>
      </c>
    </row>
    <row r="229" spans="1:18">
      <c r="A229" t="s">
        <v>3004</v>
      </c>
      <c r="B229" s="5" t="s">
        <v>4274</v>
      </c>
      <c r="C229" s="4" t="s">
        <v>8014</v>
      </c>
      <c r="D229" s="2">
        <v>3</v>
      </c>
      <c r="E229" s="2">
        <v>2</v>
      </c>
      <c r="F229" s="2">
        <v>56</v>
      </c>
      <c r="G229" s="2">
        <v>57</v>
      </c>
      <c r="H229" s="8" cm="1">
        <f t="array" ref="H229">_xlfn.LET(_xlpm.s,IFERROR(--F229,""),_xlpm.e,IFERROR(--G229,""),IF(OR(_xlpm.s="",_xlpm.e="",_xlpm.e&lt;_xlpm.s),"",_xlfn.LET(_xlpm.p,_xlfn.SEQUENCE(_xlpm.e-_xlpm.s+1,1,_xlpm.s,1),SUM(1/COUNTIFS($D:$D,D229,$E:$E,E229,$F:$F,"&lt;&gt;N/A",$G:$G,"&lt;&gt;N/A",$F:$F,"&lt;="&amp;_xlpm.p,$G:$G,"&gt;="&amp;_xlpm.p)))))</f>
        <v>1.5</v>
      </c>
      <c r="I229" s="3" t="s">
        <v>30</v>
      </c>
      <c r="J229" t="s">
        <v>453</v>
      </c>
      <c r="K229" s="4" t="s">
        <v>7</v>
      </c>
      <c r="L229" s="4" t="s">
        <v>7</v>
      </c>
      <c r="M229" s="5" t="s">
        <v>7</v>
      </c>
      <c r="N229" s="4" t="s">
        <v>7</v>
      </c>
      <c r="O229" s="4" t="s">
        <v>778</v>
      </c>
      <c r="P229" s="4" t="s">
        <v>7834</v>
      </c>
      <c r="R229" s="2" t="b">
        <v>0</v>
      </c>
    </row>
    <row r="230" spans="1:18">
      <c r="A230" t="s">
        <v>3004</v>
      </c>
      <c r="B230" s="5" t="s">
        <v>4275</v>
      </c>
      <c r="C230" s="4" t="s">
        <v>8014</v>
      </c>
      <c r="D230" s="2">
        <v>3</v>
      </c>
      <c r="E230" s="2">
        <v>2</v>
      </c>
      <c r="F230" s="2">
        <v>57</v>
      </c>
      <c r="G230" s="2">
        <v>60</v>
      </c>
      <c r="H230" s="8" cm="1">
        <f t="array" ref="H230">_xlfn.LET(_xlpm.s,IFERROR(--F230,""),_xlpm.e,IFERROR(--G230,""),IF(OR(_xlpm.s="",_xlpm.e="",_xlpm.e&lt;_xlpm.s),"",_xlfn.LET(_xlpm.p,_xlfn.SEQUENCE(_xlpm.e-_xlpm.s+1,1,_xlpm.s,1),SUM(1/COUNTIFS($D:$D,D230,$E:$E,E230,$F:$F,"&lt;&gt;N/A",$G:$G,"&lt;&gt;N/A",$F:$F,"&lt;="&amp;_xlpm.p,$G:$G,"&gt;="&amp;_xlpm.p)))))</f>
        <v>3</v>
      </c>
      <c r="I230" s="3" t="s">
        <v>30</v>
      </c>
      <c r="J230" t="s">
        <v>454</v>
      </c>
      <c r="K230" s="4" t="s">
        <v>7</v>
      </c>
      <c r="L230" s="4" t="s">
        <v>7</v>
      </c>
      <c r="M230" s="5" t="s">
        <v>7</v>
      </c>
      <c r="N230" s="4" t="s">
        <v>7</v>
      </c>
      <c r="O230" t="s">
        <v>5072</v>
      </c>
      <c r="P230" t="s">
        <v>8020</v>
      </c>
      <c r="Q230" t="s">
        <v>1987</v>
      </c>
      <c r="R230" s="2" t="b">
        <v>0</v>
      </c>
    </row>
    <row r="231" spans="1:18">
      <c r="A231" t="s">
        <v>3004</v>
      </c>
      <c r="B231" s="5" t="s">
        <v>4276</v>
      </c>
      <c r="C231" s="4" t="s">
        <v>8014</v>
      </c>
      <c r="D231" s="2">
        <v>3</v>
      </c>
      <c r="E231" s="2">
        <v>2</v>
      </c>
      <c r="F231" s="2">
        <v>60</v>
      </c>
      <c r="G231" s="2">
        <v>63</v>
      </c>
      <c r="H231" s="8" cm="1">
        <f t="array" ref="H231">_xlfn.LET(_xlpm.s,IFERROR(--F231,""),_xlpm.e,IFERROR(--G231,""),IF(OR(_xlpm.s="",_xlpm.e="",_xlpm.e&lt;_xlpm.s),"",_xlfn.LET(_xlpm.p,_xlfn.SEQUENCE(_xlpm.e-_xlpm.s+1,1,_xlpm.s,1),SUM(1/COUNTIFS($D:$D,D231,$E:$E,E231,$F:$F,"&lt;&gt;N/A",$G:$G,"&lt;&gt;N/A",$F:$F,"&lt;="&amp;_xlpm.p,$G:$G,"&gt;="&amp;_xlpm.p)))))</f>
        <v>3</v>
      </c>
      <c r="I231" s="3" t="s">
        <v>30</v>
      </c>
      <c r="J231" t="s">
        <v>455</v>
      </c>
      <c r="K231" s="4" t="s">
        <v>7</v>
      </c>
      <c r="L231" s="4" t="s">
        <v>7</v>
      </c>
      <c r="M231" s="5" t="s">
        <v>7</v>
      </c>
      <c r="N231" s="4" t="s">
        <v>7</v>
      </c>
      <c r="O231" t="s">
        <v>5072</v>
      </c>
      <c r="P231" t="s">
        <v>8020</v>
      </c>
      <c r="Q231" t="s">
        <v>1987</v>
      </c>
      <c r="R231" s="2" t="b">
        <v>0</v>
      </c>
    </row>
    <row r="232" spans="1:18">
      <c r="A232" t="s">
        <v>3004</v>
      </c>
      <c r="B232" s="5" t="s">
        <v>4277</v>
      </c>
      <c r="C232" s="4" t="s">
        <v>8014</v>
      </c>
      <c r="D232" s="2">
        <v>3</v>
      </c>
      <c r="E232" s="2">
        <v>2</v>
      </c>
      <c r="F232" s="2">
        <v>63</v>
      </c>
      <c r="G232" s="2">
        <v>64</v>
      </c>
      <c r="H232" s="8" cm="1">
        <f t="array" ref="H232">_xlfn.LET(_xlpm.s,IFERROR(--F232,""),_xlpm.e,IFERROR(--G232,""),IF(OR(_xlpm.s="",_xlpm.e="",_xlpm.e&lt;_xlpm.s),"",_xlfn.LET(_xlpm.p,_xlfn.SEQUENCE(_xlpm.e-_xlpm.s+1,1,_xlpm.s,1),SUM(1/COUNTIFS($D:$D,D232,$E:$E,E232,$F:$F,"&lt;&gt;N/A",$G:$G,"&lt;&gt;N/A",$F:$F,"&lt;="&amp;_xlpm.p,$G:$G,"&gt;="&amp;_xlpm.p)))))</f>
        <v>1</v>
      </c>
      <c r="I232" s="3" t="s">
        <v>30</v>
      </c>
      <c r="J232" t="s">
        <v>456</v>
      </c>
      <c r="K232" s="4" t="s">
        <v>7</v>
      </c>
      <c r="L232" s="4" t="s">
        <v>7</v>
      </c>
      <c r="M232" s="5" t="s">
        <v>7</v>
      </c>
      <c r="N232" s="4" t="s">
        <v>7</v>
      </c>
      <c r="O232" t="s">
        <v>5072</v>
      </c>
      <c r="P232" t="s">
        <v>8020</v>
      </c>
      <c r="Q232" t="s">
        <v>1987</v>
      </c>
      <c r="R232" s="2" t="b">
        <v>0</v>
      </c>
    </row>
    <row r="233" spans="1:18">
      <c r="A233" t="s">
        <v>3004</v>
      </c>
      <c r="B233" s="5" t="s">
        <v>4278</v>
      </c>
      <c r="C233" s="4" t="s">
        <v>8014</v>
      </c>
      <c r="D233" s="2">
        <v>3</v>
      </c>
      <c r="E233" s="2">
        <v>2</v>
      </c>
      <c r="F233" s="2">
        <v>64</v>
      </c>
      <c r="G233" s="2">
        <v>65</v>
      </c>
      <c r="H233" s="8" cm="1">
        <f t="array" ref="H233">_xlfn.LET(_xlpm.s,IFERROR(--F233,""),_xlpm.e,IFERROR(--G233,""),IF(OR(_xlpm.s="",_xlpm.e="",_xlpm.e&lt;_xlpm.s),"",_xlfn.LET(_xlpm.p,_xlfn.SEQUENCE(_xlpm.e-_xlpm.s+1,1,_xlpm.s,1),SUM(1/COUNTIFS($D:$D,D233,$E:$E,E233,$F:$F,"&lt;&gt;N/A",$G:$G,"&lt;&gt;N/A",$F:$F,"&lt;="&amp;_xlpm.p,$G:$G,"&gt;="&amp;_xlpm.p)))))</f>
        <v>1</v>
      </c>
      <c r="I233" s="3" t="s">
        <v>30</v>
      </c>
      <c r="J233" t="s">
        <v>457</v>
      </c>
      <c r="K233" s="4" t="s">
        <v>7</v>
      </c>
      <c r="L233" s="4" t="s">
        <v>7</v>
      </c>
      <c r="M233" s="5" t="s">
        <v>7</v>
      </c>
      <c r="N233" s="4" t="s">
        <v>7</v>
      </c>
      <c r="O233" t="s">
        <v>5072</v>
      </c>
      <c r="P233" t="s">
        <v>8020</v>
      </c>
      <c r="Q233" t="s">
        <v>1987</v>
      </c>
      <c r="R233" s="2" t="b">
        <v>0</v>
      </c>
    </row>
    <row r="234" spans="1:18">
      <c r="A234" t="s">
        <v>3004</v>
      </c>
      <c r="B234" s="5" t="s">
        <v>4279</v>
      </c>
      <c r="C234" s="4" t="s">
        <v>8014</v>
      </c>
      <c r="D234" s="2">
        <v>3</v>
      </c>
      <c r="E234" s="2">
        <v>2</v>
      </c>
      <c r="F234" s="2">
        <v>65</v>
      </c>
      <c r="G234" s="2">
        <v>65</v>
      </c>
      <c r="H234" s="8" cm="1">
        <f t="array" ref="H234">_xlfn.LET(_xlpm.s,IFERROR(--F234,""),_xlpm.e,IFERROR(--G234,""),IF(OR(_xlpm.s="",_xlpm.e="",_xlpm.e&lt;_xlpm.s),"",_xlfn.LET(_xlpm.p,_xlfn.SEQUENCE(_xlpm.e-_xlpm.s+1,1,_xlpm.s,1),SUM(1/COUNTIFS($D:$D,D234,$E:$E,E234,$F:$F,"&lt;&gt;N/A",$G:$G,"&lt;&gt;N/A",$F:$F,"&lt;="&amp;_xlpm.p,$G:$G,"&gt;="&amp;_xlpm.p)))))</f>
        <v>0.5</v>
      </c>
      <c r="I234" s="3" t="s">
        <v>30</v>
      </c>
      <c r="J234" t="s">
        <v>458</v>
      </c>
      <c r="K234" s="4" t="s">
        <v>7</v>
      </c>
      <c r="L234" s="4" t="s">
        <v>7</v>
      </c>
      <c r="M234" s="5" t="s">
        <v>7</v>
      </c>
      <c r="N234" s="4" t="s">
        <v>7</v>
      </c>
      <c r="O234" t="s">
        <v>5072</v>
      </c>
      <c r="P234" t="s">
        <v>8020</v>
      </c>
      <c r="Q234" t="s">
        <v>1987</v>
      </c>
      <c r="R234" s="2" t="b">
        <v>0</v>
      </c>
    </row>
    <row r="235" spans="1:18">
      <c r="A235" t="s">
        <v>3004</v>
      </c>
      <c r="B235" s="5" t="s">
        <v>4280</v>
      </c>
      <c r="C235" s="4" t="s">
        <v>8014</v>
      </c>
      <c r="D235" s="2">
        <v>3</v>
      </c>
      <c r="E235" s="2">
        <v>2</v>
      </c>
      <c r="F235" s="2">
        <v>66</v>
      </c>
      <c r="G235" s="2">
        <v>66</v>
      </c>
      <c r="H235" s="8" cm="1">
        <f t="array" ref="H235">_xlfn.LET(_xlpm.s,IFERROR(--F235,""),_xlpm.e,IFERROR(--G235,""),IF(OR(_xlpm.s="",_xlpm.e="",_xlpm.e&lt;_xlpm.s),"",_xlfn.LET(_xlpm.p,_xlfn.SEQUENCE(_xlpm.e-_xlpm.s+1,1,_xlpm.s,1),SUM(1/COUNTIFS($D:$D,D235,$E:$E,E235,$F:$F,"&lt;&gt;N/A",$G:$G,"&lt;&gt;N/A",$F:$F,"&lt;="&amp;_xlpm.p,$G:$G,"&gt;="&amp;_xlpm.p)))))</f>
        <v>0.5</v>
      </c>
      <c r="I235" s="3" t="s">
        <v>30</v>
      </c>
      <c r="J235" t="s">
        <v>461</v>
      </c>
      <c r="K235" s="4" t="s">
        <v>7</v>
      </c>
      <c r="L235" s="4" t="s">
        <v>7</v>
      </c>
      <c r="M235" s="5" t="s">
        <v>7</v>
      </c>
      <c r="N235" s="4" t="s">
        <v>7</v>
      </c>
      <c r="O235" t="s">
        <v>5072</v>
      </c>
      <c r="P235" t="s">
        <v>8020</v>
      </c>
      <c r="Q235" t="s">
        <v>1987</v>
      </c>
      <c r="R235" s="2" t="b">
        <v>0</v>
      </c>
    </row>
    <row r="236" spans="1:18">
      <c r="A236" t="s">
        <v>3004</v>
      </c>
      <c r="B236" s="5" t="s">
        <v>4281</v>
      </c>
      <c r="C236" s="4" t="s">
        <v>8014</v>
      </c>
      <c r="D236" s="2">
        <v>3</v>
      </c>
      <c r="E236" s="2">
        <v>2</v>
      </c>
      <c r="F236" s="2">
        <v>66</v>
      </c>
      <c r="G236" s="2">
        <v>68</v>
      </c>
      <c r="H236" s="8" cm="1">
        <f t="array" ref="H236">_xlfn.LET(_xlpm.s,IFERROR(--F236,""),_xlpm.e,IFERROR(--G236,""),IF(OR(_xlpm.s="",_xlpm.e="",_xlpm.e&lt;_xlpm.s),"",_xlfn.LET(_xlpm.p,_xlfn.SEQUENCE(_xlpm.e-_xlpm.s+1,1,_xlpm.s,1),SUM(1/COUNTIFS($D:$D,D236,$E:$E,E236,$F:$F,"&lt;&gt;N/A",$G:$G,"&lt;&gt;N/A",$F:$F,"&lt;="&amp;_xlpm.p,$G:$G,"&gt;="&amp;_xlpm.p)))))</f>
        <v>2</v>
      </c>
      <c r="I236" s="3" t="s">
        <v>30</v>
      </c>
      <c r="J236" t="s">
        <v>460</v>
      </c>
      <c r="K236" s="4" t="s">
        <v>7</v>
      </c>
      <c r="L236" s="4" t="s">
        <v>7</v>
      </c>
      <c r="M236" s="5" t="s">
        <v>7</v>
      </c>
      <c r="N236" s="4" t="s">
        <v>7</v>
      </c>
      <c r="O236" t="s">
        <v>5072</v>
      </c>
      <c r="P236" t="s">
        <v>8020</v>
      </c>
      <c r="Q236" t="s">
        <v>1987</v>
      </c>
      <c r="R236" s="2" t="b">
        <v>0</v>
      </c>
    </row>
    <row r="237" spans="1:18">
      <c r="A237" t="s">
        <v>3004</v>
      </c>
      <c r="B237" s="5" t="s">
        <v>4282</v>
      </c>
      <c r="C237" s="4" t="s">
        <v>8014</v>
      </c>
      <c r="D237" s="2">
        <v>3</v>
      </c>
      <c r="E237" s="2">
        <v>2</v>
      </c>
      <c r="F237" s="2">
        <v>68</v>
      </c>
      <c r="G237" s="2">
        <v>72</v>
      </c>
      <c r="H237" s="8" cm="1">
        <f t="array" ref="H237">_xlfn.LET(_xlpm.s,IFERROR(--F237,""),_xlpm.e,IFERROR(--G237,""),IF(OR(_xlpm.s="",_xlpm.e="",_xlpm.e&lt;_xlpm.s),"",_xlfn.LET(_xlpm.p,_xlfn.SEQUENCE(_xlpm.e-_xlpm.s+1,1,_xlpm.s,1),SUM(1/COUNTIFS($D:$D,D237,$E:$E,E237,$F:$F,"&lt;&gt;N/A",$G:$G,"&lt;&gt;N/A",$F:$F,"&lt;="&amp;_xlpm.p,$G:$G,"&gt;="&amp;_xlpm.p)))))</f>
        <v>4</v>
      </c>
      <c r="I237" s="3" t="s">
        <v>30</v>
      </c>
      <c r="J237" t="s">
        <v>459</v>
      </c>
      <c r="K237" s="4" t="s">
        <v>7</v>
      </c>
      <c r="L237" s="4" t="s">
        <v>7</v>
      </c>
      <c r="M237" s="5" t="s">
        <v>7</v>
      </c>
      <c r="N237" s="4" t="s">
        <v>7</v>
      </c>
      <c r="O237" t="s">
        <v>5072</v>
      </c>
      <c r="P237" t="s">
        <v>8020</v>
      </c>
      <c r="Q237" t="s">
        <v>1987</v>
      </c>
      <c r="R237" s="2" t="b">
        <v>0</v>
      </c>
    </row>
    <row r="238" spans="1:18">
      <c r="A238" t="s">
        <v>3004</v>
      </c>
      <c r="B238" s="5" t="s">
        <v>4283</v>
      </c>
      <c r="C238" s="4" t="s">
        <v>8014</v>
      </c>
      <c r="D238" s="2">
        <v>3</v>
      </c>
      <c r="E238" s="2">
        <v>2</v>
      </c>
      <c r="F238" s="2">
        <v>72</v>
      </c>
      <c r="G238" s="2">
        <v>76</v>
      </c>
      <c r="H238" s="8" cm="1">
        <f t="array" ref="H238">_xlfn.LET(_xlpm.s,IFERROR(--F238,""),_xlpm.e,IFERROR(--G238,""),IF(OR(_xlpm.s="",_xlpm.e="",_xlpm.e&lt;_xlpm.s),"",_xlfn.LET(_xlpm.p,_xlfn.SEQUENCE(_xlpm.e-_xlpm.s+1,1,_xlpm.s,1),SUM(1/COUNTIFS($D:$D,D238,$E:$E,E238,$F:$F,"&lt;&gt;N/A",$G:$G,"&lt;&gt;N/A",$F:$F,"&lt;="&amp;_xlpm.p,$G:$G,"&gt;="&amp;_xlpm.p)))))</f>
        <v>4</v>
      </c>
      <c r="I238" s="3" t="s">
        <v>30</v>
      </c>
      <c r="J238" t="s">
        <v>462</v>
      </c>
      <c r="K238" s="4" t="s">
        <v>7</v>
      </c>
      <c r="L238" s="4" t="s">
        <v>7</v>
      </c>
      <c r="M238" s="5" t="s">
        <v>7</v>
      </c>
      <c r="N238" s="4" t="s">
        <v>7</v>
      </c>
      <c r="O238" t="s">
        <v>5072</v>
      </c>
      <c r="P238" t="s">
        <v>8020</v>
      </c>
      <c r="Q238" t="s">
        <v>5073</v>
      </c>
      <c r="R238" s="2" t="b">
        <v>0</v>
      </c>
    </row>
    <row r="239" spans="1:18">
      <c r="A239" t="s">
        <v>3004</v>
      </c>
      <c r="B239" s="5" t="s">
        <v>4284</v>
      </c>
      <c r="C239" s="4" t="s">
        <v>8014</v>
      </c>
      <c r="D239" s="2">
        <v>3</v>
      </c>
      <c r="E239" s="2">
        <v>2</v>
      </c>
      <c r="F239" s="2">
        <v>76</v>
      </c>
      <c r="G239" s="2">
        <v>76</v>
      </c>
      <c r="H239" s="8" cm="1">
        <f t="array" ref="H239">_xlfn.LET(_xlpm.s,IFERROR(--F239,""),_xlpm.e,IFERROR(--G239,""),IF(OR(_xlpm.s="",_xlpm.e="",_xlpm.e&lt;_xlpm.s),"",_xlfn.LET(_xlpm.p,_xlfn.SEQUENCE(_xlpm.e-_xlpm.s+1,1,_xlpm.s,1),SUM(1/COUNTIFS($D:$D,D239,$E:$E,E239,$F:$F,"&lt;&gt;N/A",$G:$G,"&lt;&gt;N/A",$F:$F,"&lt;="&amp;_xlpm.p,$G:$G,"&gt;="&amp;_xlpm.p)))))</f>
        <v>0.5</v>
      </c>
      <c r="I239" s="3" t="s">
        <v>30</v>
      </c>
      <c r="J239" t="s">
        <v>452</v>
      </c>
      <c r="K239" s="4" t="s">
        <v>7</v>
      </c>
      <c r="L239" s="4" t="s">
        <v>7</v>
      </c>
      <c r="M239" s="5" t="s">
        <v>7</v>
      </c>
      <c r="N239" s="4" t="s">
        <v>7</v>
      </c>
      <c r="O239" t="s">
        <v>5072</v>
      </c>
      <c r="P239" t="s">
        <v>8022</v>
      </c>
      <c r="Q239" s="4" t="s">
        <v>1988</v>
      </c>
      <c r="R239" s="2" t="b">
        <v>0</v>
      </c>
    </row>
    <row r="240" spans="1:18">
      <c r="A240" t="s">
        <v>3004</v>
      </c>
      <c r="B240" s="5" t="s">
        <v>4285</v>
      </c>
      <c r="C240" s="4" t="s">
        <v>8014</v>
      </c>
      <c r="D240" s="2">
        <v>3</v>
      </c>
      <c r="E240" s="2">
        <v>2</v>
      </c>
      <c r="F240" s="2">
        <v>77</v>
      </c>
      <c r="G240" s="2">
        <v>83</v>
      </c>
      <c r="H240" s="8" cm="1">
        <f t="array" ref="H240">_xlfn.LET(_xlpm.s,IFERROR(--F240,""),_xlpm.e,IFERROR(--G240,""),IF(OR(_xlpm.s="",_xlpm.e="",_xlpm.e&lt;_xlpm.s),"",_xlfn.LET(_xlpm.p,_xlfn.SEQUENCE(_xlpm.e-_xlpm.s+1,1,_xlpm.s,1),SUM(1/COUNTIFS($D:$D,D240,$E:$E,E240,$F:$F,"&lt;&gt;N/A",$G:$G,"&lt;&gt;N/A",$F:$F,"&lt;="&amp;_xlpm.p,$G:$G,"&gt;="&amp;_xlpm.p)))))</f>
        <v>7</v>
      </c>
      <c r="I240" s="3" t="s">
        <v>30</v>
      </c>
      <c r="J240" s="3" t="s">
        <v>451</v>
      </c>
      <c r="K240" s="4" t="s">
        <v>7</v>
      </c>
      <c r="L240" s="4" t="s">
        <v>7</v>
      </c>
      <c r="M240" s="5" t="s">
        <v>7</v>
      </c>
      <c r="N240" s="4" t="s">
        <v>7</v>
      </c>
      <c r="O240" t="s">
        <v>5072</v>
      </c>
      <c r="P240" t="s">
        <v>8036</v>
      </c>
      <c r="Q240" s="4" t="s">
        <v>1990</v>
      </c>
      <c r="R240" s="2" t="b">
        <v>0</v>
      </c>
    </row>
    <row r="241" spans="1:18">
      <c r="A241" t="s">
        <v>3004</v>
      </c>
      <c r="B241" s="5" t="s">
        <v>4286</v>
      </c>
      <c r="C241" s="4" t="s">
        <v>8014</v>
      </c>
      <c r="D241" s="2">
        <v>3</v>
      </c>
      <c r="E241" s="2">
        <v>2</v>
      </c>
      <c r="F241" s="2">
        <v>84</v>
      </c>
      <c r="G241" s="2">
        <v>89</v>
      </c>
      <c r="H241" s="8" cm="1">
        <f t="array" ref="H241">_xlfn.LET(_xlpm.s,IFERROR(--F241,""),_xlpm.e,IFERROR(--G241,""),IF(OR(_xlpm.s="",_xlpm.e="",_xlpm.e&lt;_xlpm.s),"",_xlfn.LET(_xlpm.p,_xlfn.SEQUENCE(_xlpm.e-_xlpm.s+1,1,_xlpm.s,1),SUM(1/COUNTIFS($D:$D,D241,$E:$E,E241,$F:$F,"&lt;&gt;N/A",$G:$G,"&lt;&gt;N/A",$F:$F,"&lt;="&amp;_xlpm.p,$G:$G,"&gt;="&amp;_xlpm.p)))))</f>
        <v>6</v>
      </c>
      <c r="I241" s="3" t="s">
        <v>30</v>
      </c>
      <c r="J241" s="3" t="s">
        <v>450</v>
      </c>
      <c r="K241" s="4" t="s">
        <v>7</v>
      </c>
      <c r="L241" s="4" t="s">
        <v>7</v>
      </c>
      <c r="M241" s="5" t="s">
        <v>7</v>
      </c>
      <c r="N241" s="4" t="s">
        <v>7</v>
      </c>
      <c r="O241" t="s">
        <v>5072</v>
      </c>
      <c r="P241" t="s">
        <v>8019</v>
      </c>
      <c r="Q241" s="4" t="s">
        <v>1989</v>
      </c>
      <c r="R241" s="2" t="b">
        <v>0</v>
      </c>
    </row>
    <row r="242" spans="1:18">
      <c r="A242" t="s">
        <v>3004</v>
      </c>
      <c r="B242" s="5" t="s">
        <v>4287</v>
      </c>
      <c r="C242" s="4" t="s">
        <v>8014</v>
      </c>
      <c r="D242" s="2">
        <v>3</v>
      </c>
      <c r="E242" s="2">
        <v>2</v>
      </c>
      <c r="F242" s="2">
        <v>90</v>
      </c>
      <c r="G242" s="2">
        <v>98</v>
      </c>
      <c r="H242" s="8" cm="1">
        <f t="array" ref="H242">_xlfn.LET(_xlpm.s,IFERROR(--F242,""),_xlpm.e,IFERROR(--G242,""),IF(OR(_xlpm.s="",_xlpm.e="",_xlpm.e&lt;_xlpm.s),"",_xlfn.LET(_xlpm.p,_xlfn.SEQUENCE(_xlpm.e-_xlpm.s+1,1,_xlpm.s,1),SUM(1/COUNTIFS($D:$D,D242,$E:$E,E242,$F:$F,"&lt;&gt;N/A",$G:$G,"&lt;&gt;N/A",$F:$F,"&lt;="&amp;_xlpm.p,$G:$G,"&gt;="&amp;_xlpm.p)))))</f>
        <v>9</v>
      </c>
      <c r="I242" s="3" t="s">
        <v>30</v>
      </c>
      <c r="J242" s="3" t="s">
        <v>449</v>
      </c>
      <c r="K242" s="4" t="s">
        <v>7</v>
      </c>
      <c r="L242" s="4" t="s">
        <v>7</v>
      </c>
      <c r="M242" s="5" t="s">
        <v>7</v>
      </c>
      <c r="N242" s="4" t="s">
        <v>7</v>
      </c>
      <c r="O242" t="s">
        <v>5072</v>
      </c>
      <c r="P242" t="s">
        <v>8021</v>
      </c>
      <c r="Q242" s="4" t="s">
        <v>10269</v>
      </c>
      <c r="R242" s="2" t="b">
        <v>0</v>
      </c>
    </row>
    <row r="243" spans="1:18">
      <c r="A243" t="s">
        <v>3004</v>
      </c>
      <c r="B243" s="5" t="s">
        <v>4288</v>
      </c>
      <c r="C243" s="4" t="s">
        <v>8014</v>
      </c>
      <c r="D243" s="2">
        <v>3</v>
      </c>
      <c r="E243" s="2">
        <v>2</v>
      </c>
      <c r="F243" s="2">
        <v>99</v>
      </c>
      <c r="G243" s="2">
        <v>110</v>
      </c>
      <c r="H243" s="8" cm="1">
        <f t="array" ref="H243">_xlfn.LET(_xlpm.s,IFERROR(--F243,""),_xlpm.e,IFERROR(--G243,""),IF(OR(_xlpm.s="",_xlpm.e="",_xlpm.e&lt;_xlpm.s),"",_xlfn.LET(_xlpm.p,_xlfn.SEQUENCE(_xlpm.e-_xlpm.s+1,1,_xlpm.s,1),SUM(1/COUNTIFS($D:$D,D243,$E:$E,E243,$F:$F,"&lt;&gt;N/A",$G:$G,"&lt;&gt;N/A",$F:$F,"&lt;="&amp;_xlpm.p,$G:$G,"&gt;="&amp;_xlpm.p)))))</f>
        <v>12</v>
      </c>
      <c r="I243" s="3" t="s">
        <v>196</v>
      </c>
      <c r="J243" s="3" t="s">
        <v>448</v>
      </c>
      <c r="K243" s="4" t="s">
        <v>4502</v>
      </c>
      <c r="L243" s="4" t="s">
        <v>7</v>
      </c>
      <c r="M243" s="5" t="s">
        <v>7</v>
      </c>
      <c r="N243" s="4" t="s">
        <v>7</v>
      </c>
      <c r="O243" s="4" t="s">
        <v>778</v>
      </c>
      <c r="P243" s="4" t="s">
        <v>7834</v>
      </c>
      <c r="R243" s="2" t="b">
        <v>0</v>
      </c>
    </row>
    <row r="244" spans="1:18">
      <c r="A244" t="s">
        <v>3004</v>
      </c>
      <c r="B244" s="5" t="s">
        <v>4289</v>
      </c>
      <c r="C244" s="4" t="s">
        <v>8014</v>
      </c>
      <c r="D244" s="2">
        <v>3</v>
      </c>
      <c r="E244" s="2">
        <v>2</v>
      </c>
      <c r="F244" s="2">
        <v>111</v>
      </c>
      <c r="G244" s="2">
        <v>112</v>
      </c>
      <c r="H244" s="8" cm="1">
        <f t="array" ref="H244">_xlfn.LET(_xlpm.s,IFERROR(--F244,""),_xlpm.e,IFERROR(--G244,""),IF(OR(_xlpm.s="",_xlpm.e="",_xlpm.e&lt;_xlpm.s),"",_xlfn.LET(_xlpm.p,_xlfn.SEQUENCE(_xlpm.e-_xlpm.s+1,1,_xlpm.s,1),SUM(1/COUNTIFS($D:$D,D244,$E:$E,E244,$F:$F,"&lt;&gt;N/A",$G:$G,"&lt;&gt;N/A",$F:$F,"&lt;="&amp;_xlpm.p,$G:$G,"&gt;="&amp;_xlpm.p)))))</f>
        <v>2</v>
      </c>
      <c r="I244" s="3" t="s">
        <v>196</v>
      </c>
      <c r="J244" s="3" t="s">
        <v>447</v>
      </c>
      <c r="K244" s="4" t="s">
        <v>7</v>
      </c>
      <c r="L244" s="4" t="s">
        <v>7</v>
      </c>
      <c r="M244" s="5" t="s">
        <v>7</v>
      </c>
      <c r="N244" s="4" t="s">
        <v>7</v>
      </c>
      <c r="O244" t="s">
        <v>5072</v>
      </c>
      <c r="P244" t="s">
        <v>8021</v>
      </c>
      <c r="Q244" s="4" t="s">
        <v>1985</v>
      </c>
      <c r="R244" s="2" t="b">
        <v>0</v>
      </c>
    </row>
    <row r="245" spans="1:18">
      <c r="A245" t="s">
        <v>3004</v>
      </c>
      <c r="B245" s="5" t="s">
        <v>4290</v>
      </c>
      <c r="C245" s="4" t="s">
        <v>8014</v>
      </c>
      <c r="D245" s="2">
        <v>3</v>
      </c>
      <c r="E245" s="2">
        <v>2</v>
      </c>
      <c r="F245" s="2">
        <v>113</v>
      </c>
      <c r="G245" s="2">
        <v>114</v>
      </c>
      <c r="H245" s="8" cm="1">
        <f t="array" ref="H245">_xlfn.LET(_xlpm.s,IFERROR(--F245,""),_xlpm.e,IFERROR(--G245,""),IF(OR(_xlpm.s="",_xlpm.e="",_xlpm.e&lt;_xlpm.s),"",_xlfn.LET(_xlpm.p,_xlfn.SEQUENCE(_xlpm.e-_xlpm.s+1,1,_xlpm.s,1),SUM(1/COUNTIFS($D:$D,D245,$E:$E,E245,$F:$F,"&lt;&gt;N/A",$G:$G,"&lt;&gt;N/A",$F:$F,"&lt;="&amp;_xlpm.p,$G:$G,"&gt;="&amp;_xlpm.p)))))</f>
        <v>2</v>
      </c>
      <c r="I245" s="3" t="s">
        <v>196</v>
      </c>
      <c r="J245" s="3" t="s">
        <v>446</v>
      </c>
      <c r="K245" s="4" t="s">
        <v>12</v>
      </c>
      <c r="L245" s="4" t="s">
        <v>7</v>
      </c>
      <c r="M245" s="5" t="s">
        <v>7</v>
      </c>
      <c r="N245" s="4" t="s">
        <v>7</v>
      </c>
      <c r="O245" s="4" t="s">
        <v>778</v>
      </c>
      <c r="P245" s="4" t="s">
        <v>7834</v>
      </c>
      <c r="R245" s="2" t="b">
        <v>0</v>
      </c>
    </row>
    <row r="246" spans="1:18">
      <c r="A246" t="s">
        <v>3004</v>
      </c>
      <c r="B246" s="5" t="s">
        <v>4291</v>
      </c>
      <c r="C246" s="4" t="s">
        <v>8014</v>
      </c>
      <c r="D246" s="2">
        <v>3</v>
      </c>
      <c r="E246" s="2">
        <v>2</v>
      </c>
      <c r="F246" s="2">
        <v>115</v>
      </c>
      <c r="G246" s="2">
        <v>116</v>
      </c>
      <c r="H246" s="8" cm="1">
        <f t="array" ref="H246">_xlfn.LET(_xlpm.s,IFERROR(--F246,""),_xlpm.e,IFERROR(--G246,""),IF(OR(_xlpm.s="",_xlpm.e="",_xlpm.e&lt;_xlpm.s),"",_xlfn.LET(_xlpm.p,_xlfn.SEQUENCE(_xlpm.e-_xlpm.s+1,1,_xlpm.s,1),SUM(1/COUNTIFS($D:$D,D246,$E:$E,E246,$F:$F,"&lt;&gt;N/A",$G:$G,"&lt;&gt;N/A",$F:$F,"&lt;="&amp;_xlpm.p,$G:$G,"&gt;="&amp;_xlpm.p)))))</f>
        <v>2</v>
      </c>
      <c r="I246" s="3" t="s">
        <v>196</v>
      </c>
      <c r="J246" s="3" t="s">
        <v>445</v>
      </c>
      <c r="K246" s="4" t="s">
        <v>7</v>
      </c>
      <c r="L246" s="4" t="s">
        <v>7</v>
      </c>
      <c r="M246" s="5" t="s">
        <v>7</v>
      </c>
      <c r="N246" s="4" t="s">
        <v>7</v>
      </c>
      <c r="O246" s="4" t="s">
        <v>778</v>
      </c>
      <c r="P246" s="4" t="s">
        <v>7834</v>
      </c>
      <c r="Q246" s="4" t="s">
        <v>1984</v>
      </c>
      <c r="R246" s="2" t="b">
        <v>0</v>
      </c>
    </row>
    <row r="247" spans="1:18">
      <c r="A247" t="s">
        <v>3004</v>
      </c>
      <c r="B247" s="5" t="s">
        <v>11409</v>
      </c>
      <c r="C247" s="4" t="s">
        <v>8014</v>
      </c>
      <c r="D247" s="2">
        <v>3</v>
      </c>
      <c r="E247" s="2">
        <v>2</v>
      </c>
      <c r="F247" s="2">
        <v>117</v>
      </c>
      <c r="G247" s="2">
        <v>118</v>
      </c>
      <c r="H247" s="8" cm="1">
        <f t="array" ref="H247">_xlfn.LET(_xlpm.s,IFERROR(--F247,""),_xlpm.e,IFERROR(--G247,""),IF(OR(_xlpm.s="",_xlpm.e="",_xlpm.e&lt;_xlpm.s),"",_xlfn.LET(_xlpm.p,_xlfn.SEQUENCE(_xlpm.e-_xlpm.s+1,1,_xlpm.s,1),SUM(1/COUNTIFS($D:$D,D247,$E:$E,E247,$F:$F,"&lt;&gt;N/A",$G:$G,"&lt;&gt;N/A",$F:$F,"&lt;="&amp;_xlpm.p,$G:$G,"&gt;="&amp;_xlpm.p)))))</f>
        <v>2</v>
      </c>
      <c r="I247" s="3" t="s">
        <v>7</v>
      </c>
      <c r="J247" t="s">
        <v>155</v>
      </c>
      <c r="K247" s="4" t="s">
        <v>7</v>
      </c>
      <c r="L247" s="4" t="s">
        <v>7</v>
      </c>
      <c r="M247" s="5" t="s">
        <v>7</v>
      </c>
      <c r="N247" s="4" t="s">
        <v>7</v>
      </c>
      <c r="O247" s="4" t="s">
        <v>778</v>
      </c>
      <c r="P247" s="4" t="s">
        <v>7834</v>
      </c>
      <c r="Q247" s="4" t="s">
        <v>1983</v>
      </c>
      <c r="R247" s="2" t="b">
        <v>0</v>
      </c>
    </row>
    <row r="248" spans="1:18">
      <c r="A248" t="s">
        <v>3004</v>
      </c>
      <c r="B248" s="5" t="s">
        <v>4292</v>
      </c>
      <c r="C248" s="4" t="s">
        <v>8015</v>
      </c>
      <c r="D248" s="2">
        <v>3</v>
      </c>
      <c r="E248" s="2">
        <v>3</v>
      </c>
      <c r="F248" s="2">
        <v>3</v>
      </c>
      <c r="G248" s="2">
        <v>28</v>
      </c>
      <c r="H248" s="8" cm="1">
        <f t="array" ref="H248">_xlfn.LET(_xlpm.s,IFERROR(--F248,""),_xlpm.e,IFERROR(--G248,""),IF(OR(_xlpm.s="",_xlpm.e="",_xlpm.e&lt;_xlpm.s),"",_xlfn.LET(_xlpm.p,_xlfn.SEQUENCE(_xlpm.e-_xlpm.s+1,1,_xlpm.s,1),SUM(1/COUNTIFS($D:$D,D248,$E:$E,E248,$F:$F,"&lt;&gt;N/A",$G:$G,"&lt;&gt;N/A",$F:$F,"&lt;="&amp;_xlpm.p,$G:$G,"&gt;="&amp;_xlpm.p)))))</f>
        <v>26</v>
      </c>
      <c r="I248" s="3" t="s">
        <v>56</v>
      </c>
      <c r="J248" s="3" t="s">
        <v>1972</v>
      </c>
      <c r="K248" s="4" t="s">
        <v>7</v>
      </c>
      <c r="L248" s="4" t="s">
        <v>7</v>
      </c>
      <c r="M248" s="5" t="s">
        <v>7</v>
      </c>
      <c r="N248" s="4" t="s">
        <v>1966</v>
      </c>
      <c r="O248" s="4" t="s">
        <v>778</v>
      </c>
      <c r="P248" s="4" t="s">
        <v>7834</v>
      </c>
      <c r="R248" s="1" t="b">
        <v>1</v>
      </c>
    </row>
    <row r="249" spans="1:18">
      <c r="A249" t="s">
        <v>3004</v>
      </c>
      <c r="B249" s="5" t="s">
        <v>4293</v>
      </c>
      <c r="C249" s="4" t="s">
        <v>8015</v>
      </c>
      <c r="D249" s="2">
        <v>3</v>
      </c>
      <c r="E249" s="2">
        <v>3</v>
      </c>
      <c r="F249" s="2">
        <v>29</v>
      </c>
      <c r="G249" s="2">
        <v>54</v>
      </c>
      <c r="H249" s="8" cm="1">
        <f t="array" ref="H249">_xlfn.LET(_xlpm.s,IFERROR(--F249,""),_xlpm.e,IFERROR(--G249,""),IF(OR(_xlpm.s="",_xlpm.e="",_xlpm.e&lt;_xlpm.s),"",_xlfn.LET(_xlpm.p,_xlfn.SEQUENCE(_xlpm.e-_xlpm.s+1,1,_xlpm.s,1),SUM(1/COUNTIFS($D:$D,D249,$E:$E,E249,$F:$F,"&lt;&gt;N/A",$G:$G,"&lt;&gt;N/A",$F:$F,"&lt;="&amp;_xlpm.p,$G:$G,"&gt;="&amp;_xlpm.p)))))</f>
        <v>26</v>
      </c>
      <c r="I249" s="3" t="s">
        <v>59</v>
      </c>
      <c r="J249" s="3" t="s">
        <v>463</v>
      </c>
      <c r="K249" s="4" t="s">
        <v>60</v>
      </c>
      <c r="L249" s="4" t="s">
        <v>7</v>
      </c>
      <c r="M249" s="5" t="s">
        <v>7</v>
      </c>
      <c r="N249" s="4" t="s">
        <v>5069</v>
      </c>
      <c r="O249" s="4" t="s">
        <v>7</v>
      </c>
      <c r="P249" s="4" t="s">
        <v>8020</v>
      </c>
      <c r="Q249" s="4" t="s">
        <v>2733</v>
      </c>
      <c r="R249" s="1" t="b">
        <v>1</v>
      </c>
    </row>
    <row r="250" spans="1:18">
      <c r="A250" t="s">
        <v>3004</v>
      </c>
      <c r="B250" s="5" t="s">
        <v>4294</v>
      </c>
      <c r="C250" s="4" t="s">
        <v>8015</v>
      </c>
      <c r="D250" s="2">
        <v>3</v>
      </c>
      <c r="E250" s="2">
        <v>3</v>
      </c>
      <c r="F250" s="2">
        <v>55</v>
      </c>
      <c r="G250" s="2">
        <v>57</v>
      </c>
      <c r="H250" s="8" cm="1">
        <f t="array" ref="H250">_xlfn.LET(_xlpm.s,IFERROR(--F250,""),_xlpm.e,IFERROR(--G250,""),IF(OR(_xlpm.s="",_xlpm.e="",_xlpm.e&lt;_xlpm.s),"",_xlfn.LET(_xlpm.p,_xlfn.SEQUENCE(_xlpm.e-_xlpm.s+1,1,_xlpm.s,1),SUM(1/COUNTIFS($D:$D,D250,$E:$E,E250,$F:$F,"&lt;&gt;N/A",$G:$G,"&lt;&gt;N/A",$F:$F,"&lt;="&amp;_xlpm.p,$G:$G,"&gt;="&amp;_xlpm.p)))))</f>
        <v>2.5</v>
      </c>
      <c r="I250" s="3" t="s">
        <v>196</v>
      </c>
      <c r="J250" s="3" t="s">
        <v>464</v>
      </c>
      <c r="K250" s="4" t="s">
        <v>465</v>
      </c>
      <c r="L250" s="4" t="s">
        <v>7</v>
      </c>
      <c r="M250" s="5" t="s">
        <v>7</v>
      </c>
      <c r="N250" s="4" t="s">
        <v>7</v>
      </c>
      <c r="O250" s="4" t="s">
        <v>778</v>
      </c>
      <c r="P250" s="4" t="s">
        <v>7834</v>
      </c>
      <c r="R250" s="2" t="b">
        <v>0</v>
      </c>
    </row>
    <row r="251" spans="1:18">
      <c r="A251" t="s">
        <v>3004</v>
      </c>
      <c r="B251" s="5" t="s">
        <v>4295</v>
      </c>
      <c r="C251" s="4" t="s">
        <v>8015</v>
      </c>
      <c r="D251" s="2">
        <v>3</v>
      </c>
      <c r="E251" s="2">
        <v>3</v>
      </c>
      <c r="F251" s="2">
        <v>57</v>
      </c>
      <c r="G251" s="2">
        <v>61</v>
      </c>
      <c r="H251" s="8" cm="1">
        <f t="array" ref="H251">_xlfn.LET(_xlpm.s,IFERROR(--F251,""),_xlpm.e,IFERROR(--G251,""),IF(OR(_xlpm.s="",_xlpm.e="",_xlpm.e&lt;_xlpm.s),"",_xlfn.LET(_xlpm.p,_xlfn.SEQUENCE(_xlpm.e-_xlpm.s+1,1,_xlpm.s,1),SUM(1/COUNTIFS($D:$D,D251,$E:$E,E251,$F:$F,"&lt;&gt;N/A",$G:$G,"&lt;&gt;N/A",$F:$F,"&lt;="&amp;_xlpm.p,$G:$G,"&gt;="&amp;_xlpm.p)))))</f>
        <v>4.5</v>
      </c>
      <c r="I251" s="3" t="s">
        <v>196</v>
      </c>
      <c r="J251" s="3" t="s">
        <v>466</v>
      </c>
      <c r="K251" s="4" t="s">
        <v>1973</v>
      </c>
      <c r="L251" s="4" t="s">
        <v>7</v>
      </c>
      <c r="M251" s="5" t="s">
        <v>7</v>
      </c>
      <c r="N251" s="4" t="s">
        <v>7</v>
      </c>
      <c r="O251" s="4" t="s">
        <v>778</v>
      </c>
      <c r="P251" s="4" t="s">
        <v>7834</v>
      </c>
      <c r="R251" s="2" t="b">
        <v>0</v>
      </c>
    </row>
    <row r="252" spans="1:18">
      <c r="A252" t="s">
        <v>3004</v>
      </c>
      <c r="B252" s="5" t="s">
        <v>4296</v>
      </c>
      <c r="C252" s="4" t="s">
        <v>8015</v>
      </c>
      <c r="D252" s="2">
        <v>3</v>
      </c>
      <c r="E252" s="2">
        <v>3</v>
      </c>
      <c r="F252" s="2">
        <v>62</v>
      </c>
      <c r="G252" s="2">
        <v>73</v>
      </c>
      <c r="H252" s="8" cm="1">
        <f t="array" ref="H252">_xlfn.LET(_xlpm.s,IFERROR(--F252,""),_xlpm.e,IFERROR(--G252,""),IF(OR(_xlpm.s="",_xlpm.e="",_xlpm.e&lt;_xlpm.s),"",_xlfn.LET(_xlpm.p,_xlfn.SEQUENCE(_xlpm.e-_xlpm.s+1,1,_xlpm.s,1),SUM(1/COUNTIFS($D:$D,D252,$E:$E,E252,$F:$F,"&lt;&gt;N/A",$G:$G,"&lt;&gt;N/A",$F:$F,"&lt;="&amp;_xlpm.p,$G:$G,"&gt;="&amp;_xlpm.p)))))</f>
        <v>12</v>
      </c>
      <c r="I252" s="3" t="s">
        <v>14</v>
      </c>
      <c r="J252" s="3" t="s">
        <v>467</v>
      </c>
      <c r="K252" s="4" t="s">
        <v>1485</v>
      </c>
      <c r="L252" s="4" t="s">
        <v>7</v>
      </c>
      <c r="M252" s="5" t="s">
        <v>7</v>
      </c>
      <c r="N252" s="4" t="s">
        <v>7</v>
      </c>
      <c r="O252" s="4" t="s">
        <v>778</v>
      </c>
      <c r="P252" s="4" t="s">
        <v>7834</v>
      </c>
      <c r="R252" s="1" t="b">
        <v>1</v>
      </c>
    </row>
    <row r="253" spans="1:18">
      <c r="A253" t="s">
        <v>3004</v>
      </c>
      <c r="B253" s="5" t="s">
        <v>4297</v>
      </c>
      <c r="C253" s="4" t="s">
        <v>8015</v>
      </c>
      <c r="D253" s="2">
        <v>3</v>
      </c>
      <c r="E253" s="2">
        <v>3</v>
      </c>
      <c r="F253" s="2">
        <v>74</v>
      </c>
      <c r="G253" s="2">
        <v>79</v>
      </c>
      <c r="H253" s="8" cm="1">
        <f t="array" ref="H253">_xlfn.LET(_xlpm.s,IFERROR(--F253,""),_xlpm.e,IFERROR(--G253,""),IF(OR(_xlpm.s="",_xlpm.e="",_xlpm.e&lt;_xlpm.s),"",_xlfn.LET(_xlpm.p,_xlfn.SEQUENCE(_xlpm.e-_xlpm.s+1,1,_xlpm.s,1),SUM(1/COUNTIFS($D:$D,D253,$E:$E,E253,$F:$F,"&lt;&gt;N/A",$G:$G,"&lt;&gt;N/A",$F:$F,"&lt;="&amp;_xlpm.p,$G:$G,"&gt;="&amp;_xlpm.p)))))</f>
        <v>6</v>
      </c>
      <c r="I253" s="3" t="s">
        <v>30</v>
      </c>
      <c r="J253" s="3" t="s">
        <v>10175</v>
      </c>
      <c r="K253" s="4" t="s">
        <v>7</v>
      </c>
      <c r="L253" s="4" t="s">
        <v>7</v>
      </c>
      <c r="M253" s="5" t="s">
        <v>7</v>
      </c>
      <c r="N253" s="4" t="s">
        <v>7</v>
      </c>
      <c r="O253" t="s">
        <v>5072</v>
      </c>
      <c r="P253" t="s">
        <v>8020</v>
      </c>
      <c r="Q253" s="4" t="s">
        <v>1981</v>
      </c>
      <c r="R253" s="2" t="b">
        <v>0</v>
      </c>
    </row>
    <row r="254" spans="1:18">
      <c r="A254" t="s">
        <v>3004</v>
      </c>
      <c r="B254" s="5" t="s">
        <v>4298</v>
      </c>
      <c r="C254" s="4" t="s">
        <v>8015</v>
      </c>
      <c r="D254" s="2">
        <v>3</v>
      </c>
      <c r="E254" s="2">
        <v>3</v>
      </c>
      <c r="F254" s="2">
        <v>80</v>
      </c>
      <c r="G254" s="2">
        <v>85</v>
      </c>
      <c r="H254" s="8" cm="1">
        <f t="array" ref="H254">_xlfn.LET(_xlpm.s,IFERROR(--F254,""),_xlpm.e,IFERROR(--G254,""),IF(OR(_xlpm.s="",_xlpm.e="",_xlpm.e&lt;_xlpm.s),"",_xlfn.LET(_xlpm.p,_xlfn.SEQUENCE(_xlpm.e-_xlpm.s+1,1,_xlpm.s,1),SUM(1/COUNTIFS($D:$D,D254,$E:$E,E254,$F:$F,"&lt;&gt;N/A",$G:$G,"&lt;&gt;N/A",$F:$F,"&lt;="&amp;_xlpm.p,$G:$G,"&gt;="&amp;_xlpm.p)))))</f>
        <v>6</v>
      </c>
      <c r="I254" s="3" t="s">
        <v>30</v>
      </c>
      <c r="J254" s="3" t="s">
        <v>468</v>
      </c>
      <c r="K254" s="4" t="s">
        <v>7</v>
      </c>
      <c r="L254" s="4" t="s">
        <v>7</v>
      </c>
      <c r="M254" s="5" t="s">
        <v>7</v>
      </c>
      <c r="N254" s="4" t="s">
        <v>7</v>
      </c>
      <c r="O254" t="s">
        <v>5072</v>
      </c>
      <c r="P254" t="s">
        <v>8021</v>
      </c>
      <c r="Q254" s="4" t="s">
        <v>1980</v>
      </c>
      <c r="R254" s="2" t="b">
        <v>0</v>
      </c>
    </row>
    <row r="255" spans="1:18">
      <c r="A255" t="s">
        <v>3004</v>
      </c>
      <c r="B255" s="5" t="s">
        <v>4299</v>
      </c>
      <c r="C255" s="4" t="s">
        <v>8015</v>
      </c>
      <c r="D255" s="2">
        <v>3</v>
      </c>
      <c r="E255" s="2">
        <v>3</v>
      </c>
      <c r="F255" s="2">
        <v>86</v>
      </c>
      <c r="G255" s="2">
        <v>95</v>
      </c>
      <c r="H255" s="8" cm="1">
        <f t="array" ref="H255">_xlfn.LET(_xlpm.s,IFERROR(--F255,""),_xlpm.e,IFERROR(--G255,""),IF(OR(_xlpm.s="",_xlpm.e="",_xlpm.e&lt;_xlpm.s),"",_xlfn.LET(_xlpm.p,_xlfn.SEQUENCE(_xlpm.e-_xlpm.s+1,1,_xlpm.s,1),SUM(1/COUNTIFS($D:$D,D255,$E:$E,E255,$F:$F,"&lt;&gt;N/A",$G:$G,"&lt;&gt;N/A",$F:$F,"&lt;="&amp;_xlpm.p,$G:$G,"&gt;="&amp;_xlpm.p)))))</f>
        <v>10</v>
      </c>
      <c r="I255" s="3" t="s">
        <v>30</v>
      </c>
      <c r="J255" s="3" t="s">
        <v>469</v>
      </c>
      <c r="K255" s="4" t="s">
        <v>7</v>
      </c>
      <c r="L255" s="4" t="s">
        <v>7</v>
      </c>
      <c r="M255" s="5" t="s">
        <v>7</v>
      </c>
      <c r="N255" s="4" t="s">
        <v>7</v>
      </c>
      <c r="O255" t="s">
        <v>5072</v>
      </c>
      <c r="P255" t="s">
        <v>8021</v>
      </c>
      <c r="Q255" s="4" t="s">
        <v>1979</v>
      </c>
      <c r="R255" s="2" t="b">
        <v>0</v>
      </c>
    </row>
    <row r="256" spans="1:18">
      <c r="A256" t="s">
        <v>3004</v>
      </c>
      <c r="B256" s="5" t="s">
        <v>4300</v>
      </c>
      <c r="C256" s="4" t="s">
        <v>8015</v>
      </c>
      <c r="D256" s="2">
        <v>3</v>
      </c>
      <c r="E256" s="2">
        <v>3</v>
      </c>
      <c r="F256" s="2">
        <v>96</v>
      </c>
      <c r="G256" s="2">
        <v>98</v>
      </c>
      <c r="H256" s="8" cm="1">
        <f t="array" ref="H256">_xlfn.LET(_xlpm.s,IFERROR(--F256,""),_xlpm.e,IFERROR(--G256,""),IF(OR(_xlpm.s="",_xlpm.e="",_xlpm.e&lt;_xlpm.s),"",_xlfn.LET(_xlpm.p,_xlfn.SEQUENCE(_xlpm.e-_xlpm.s+1,1,_xlpm.s,1),SUM(1/COUNTIFS($D:$D,D256,$E:$E,E256,$F:$F,"&lt;&gt;N/A",$G:$G,"&lt;&gt;N/A",$F:$F,"&lt;="&amp;_xlpm.p,$G:$G,"&gt;="&amp;_xlpm.p)))))</f>
        <v>2.3333333333333335</v>
      </c>
      <c r="I256" s="3" t="s">
        <v>75</v>
      </c>
      <c r="J256" s="3" t="s">
        <v>4331</v>
      </c>
      <c r="K256" s="4" t="s">
        <v>7</v>
      </c>
      <c r="L256" s="4" t="s">
        <v>7</v>
      </c>
      <c r="M256" s="5" t="s">
        <v>7</v>
      </c>
      <c r="N256" s="4" t="s">
        <v>7</v>
      </c>
      <c r="O256" s="4" t="s">
        <v>778</v>
      </c>
      <c r="P256" s="4" t="s">
        <v>7834</v>
      </c>
      <c r="Q256" s="4" t="s">
        <v>1978</v>
      </c>
      <c r="R256" s="2" t="b">
        <v>0</v>
      </c>
    </row>
    <row r="257" spans="1:18">
      <c r="A257" t="s">
        <v>3004</v>
      </c>
      <c r="B257" s="5" t="s">
        <v>4301</v>
      </c>
      <c r="C257" s="4" t="s">
        <v>8015</v>
      </c>
      <c r="D257" s="2">
        <v>3</v>
      </c>
      <c r="E257" s="2">
        <v>3</v>
      </c>
      <c r="F257" s="2">
        <v>98</v>
      </c>
      <c r="G257" s="2">
        <v>98</v>
      </c>
      <c r="H257" s="8" cm="1">
        <f t="array" ref="H257">_xlfn.LET(_xlpm.s,IFERROR(--F257,""),_xlpm.e,IFERROR(--G257,""),IF(OR(_xlpm.s="",_xlpm.e="",_xlpm.e&lt;_xlpm.s),"",_xlfn.LET(_xlpm.p,_xlfn.SEQUENCE(_xlpm.e-_xlpm.s+1,1,_xlpm.s,1),SUM(1/COUNTIFS($D:$D,D257,$E:$E,E257,$F:$F,"&lt;&gt;N/A",$G:$G,"&lt;&gt;N/A",$F:$F,"&lt;="&amp;_xlpm.p,$G:$G,"&gt;="&amp;_xlpm.p)))))</f>
        <v>0.33333333333333331</v>
      </c>
      <c r="I257" s="3" t="s">
        <v>75</v>
      </c>
      <c r="J257" t="s">
        <v>470</v>
      </c>
      <c r="K257" s="4" t="s">
        <v>7</v>
      </c>
      <c r="L257" s="4" t="s">
        <v>7</v>
      </c>
      <c r="M257" s="5" t="s">
        <v>7</v>
      </c>
      <c r="N257" s="4" t="s">
        <v>7</v>
      </c>
      <c r="O257" s="4" t="s">
        <v>778</v>
      </c>
      <c r="P257" s="4" t="s">
        <v>7834</v>
      </c>
      <c r="Q257" s="4" t="s">
        <v>1978</v>
      </c>
      <c r="R257" s="2" t="b">
        <v>0</v>
      </c>
    </row>
    <row r="258" spans="1:18">
      <c r="A258" t="s">
        <v>3004</v>
      </c>
      <c r="B258" s="5" t="s">
        <v>4302</v>
      </c>
      <c r="C258" s="4" t="s">
        <v>8015</v>
      </c>
      <c r="D258" s="2">
        <v>3</v>
      </c>
      <c r="E258" s="2">
        <v>3</v>
      </c>
      <c r="F258" s="2">
        <v>98</v>
      </c>
      <c r="G258" s="2">
        <v>99</v>
      </c>
      <c r="H258" s="8" cm="1">
        <f t="array" ref="H258">_xlfn.LET(_xlpm.s,IFERROR(--F258,""),_xlpm.e,IFERROR(--G258,""),IF(OR(_xlpm.s="",_xlpm.e="",_xlpm.e&lt;_xlpm.s),"",_xlfn.LET(_xlpm.p,_xlfn.SEQUENCE(_xlpm.e-_xlpm.s+1,1,_xlpm.s,1),SUM(1/COUNTIFS($D:$D,D258,$E:$E,E258,$F:$F,"&lt;&gt;N/A",$G:$G,"&lt;&gt;N/A",$F:$F,"&lt;="&amp;_xlpm.p,$G:$G,"&gt;="&amp;_xlpm.p)))))</f>
        <v>0.83333333333333326</v>
      </c>
      <c r="I258" s="3" t="s">
        <v>75</v>
      </c>
      <c r="J258" t="s">
        <v>4332</v>
      </c>
      <c r="K258" s="4" t="s">
        <v>7</v>
      </c>
      <c r="L258" s="4" t="s">
        <v>7</v>
      </c>
      <c r="M258" s="5" t="s">
        <v>7</v>
      </c>
      <c r="N258" s="4" t="s">
        <v>7</v>
      </c>
      <c r="O258" s="4" t="s">
        <v>778</v>
      </c>
      <c r="P258" s="4" t="s">
        <v>7834</v>
      </c>
      <c r="Q258" s="4" t="s">
        <v>1978</v>
      </c>
      <c r="R258" s="2" t="b">
        <v>0</v>
      </c>
    </row>
    <row r="259" spans="1:18">
      <c r="A259" t="s">
        <v>3004</v>
      </c>
      <c r="B259" s="5" t="s">
        <v>4303</v>
      </c>
      <c r="C259" s="4" t="s">
        <v>8015</v>
      </c>
      <c r="D259" s="2">
        <v>3</v>
      </c>
      <c r="E259" s="2">
        <v>3</v>
      </c>
      <c r="F259" s="2">
        <v>99</v>
      </c>
      <c r="G259" s="2">
        <v>100</v>
      </c>
      <c r="H259" s="8" cm="1">
        <f t="array" ref="H259">_xlfn.LET(_xlpm.s,IFERROR(--F259,""),_xlpm.e,IFERROR(--G259,""),IF(OR(_xlpm.s="",_xlpm.e="",_xlpm.e&lt;_xlpm.s),"",_xlfn.LET(_xlpm.p,_xlfn.SEQUENCE(_xlpm.e-_xlpm.s+1,1,_xlpm.s,1),SUM(1/COUNTIFS($D:$D,D259,$E:$E,E259,$F:$F,"&lt;&gt;N/A",$G:$G,"&lt;&gt;N/A",$F:$F,"&lt;="&amp;_xlpm.p,$G:$G,"&gt;="&amp;_xlpm.p)))))</f>
        <v>1.5</v>
      </c>
      <c r="I259" s="3" t="s">
        <v>75</v>
      </c>
      <c r="J259" t="s">
        <v>4333</v>
      </c>
      <c r="K259" s="4" t="s">
        <v>7</v>
      </c>
      <c r="L259" s="4" t="s">
        <v>7</v>
      </c>
      <c r="M259" s="5" t="s">
        <v>7</v>
      </c>
      <c r="N259" s="4" t="s">
        <v>7</v>
      </c>
      <c r="O259" s="4" t="s">
        <v>778</v>
      </c>
      <c r="P259" s="4" t="s">
        <v>7834</v>
      </c>
      <c r="Q259" s="4" t="s">
        <v>1978</v>
      </c>
      <c r="R259" s="2" t="b">
        <v>0</v>
      </c>
    </row>
    <row r="260" spans="1:18">
      <c r="A260" t="s">
        <v>3004</v>
      </c>
      <c r="B260" s="5" t="s">
        <v>4304</v>
      </c>
      <c r="C260" s="4" t="s">
        <v>8015</v>
      </c>
      <c r="D260" s="2">
        <v>3</v>
      </c>
      <c r="E260" s="2">
        <v>3</v>
      </c>
      <c r="F260" s="2">
        <v>101</v>
      </c>
      <c r="G260" s="2">
        <v>101</v>
      </c>
      <c r="H260" s="8" cm="1">
        <f t="array" ref="H260">_xlfn.LET(_xlpm.s,IFERROR(--F260,""),_xlpm.e,IFERROR(--G260,""),IF(OR(_xlpm.s="",_xlpm.e="",_xlpm.e&lt;_xlpm.s),"",_xlfn.LET(_xlpm.p,_xlfn.SEQUENCE(_xlpm.e-_xlpm.s+1,1,_xlpm.s,1),SUM(1/COUNTIFS($D:$D,D260,$E:$E,E260,$F:$F,"&lt;&gt;N/A",$G:$G,"&lt;&gt;N/A",$F:$F,"&lt;="&amp;_xlpm.p,$G:$G,"&gt;="&amp;_xlpm.p)))))</f>
        <v>1</v>
      </c>
      <c r="I260" s="3" t="s">
        <v>75</v>
      </c>
      <c r="J260" t="s">
        <v>471</v>
      </c>
      <c r="K260" s="4" t="s">
        <v>7</v>
      </c>
      <c r="L260" s="4" t="s">
        <v>7</v>
      </c>
      <c r="M260" s="5" t="s">
        <v>7</v>
      </c>
      <c r="N260" s="4" t="s">
        <v>7</v>
      </c>
      <c r="O260" s="4" t="s">
        <v>778</v>
      </c>
      <c r="P260" s="4" t="s">
        <v>7834</v>
      </c>
      <c r="Q260" s="4" t="s">
        <v>1977</v>
      </c>
      <c r="R260" s="2" t="b">
        <v>0</v>
      </c>
    </row>
    <row r="261" spans="1:18">
      <c r="A261" t="s">
        <v>3004</v>
      </c>
      <c r="B261" s="5" t="s">
        <v>4305</v>
      </c>
      <c r="C261" s="4" t="s">
        <v>8015</v>
      </c>
      <c r="D261" s="2">
        <v>3</v>
      </c>
      <c r="E261" s="2">
        <v>3</v>
      </c>
      <c r="F261" s="2">
        <v>102</v>
      </c>
      <c r="G261" s="2">
        <v>102</v>
      </c>
      <c r="H261" s="8" cm="1">
        <f t="array" ref="H261">_xlfn.LET(_xlpm.s,IFERROR(--F261,""),_xlpm.e,IFERROR(--G261,""),IF(OR(_xlpm.s="",_xlpm.e="",_xlpm.e&lt;_xlpm.s),"",_xlfn.LET(_xlpm.p,_xlfn.SEQUENCE(_xlpm.e-_xlpm.s+1,1,_xlpm.s,1),SUM(1/COUNTIFS($D:$D,D261,$E:$E,E261,$F:$F,"&lt;&gt;N/A",$G:$G,"&lt;&gt;N/A",$F:$F,"&lt;="&amp;_xlpm.p,$G:$G,"&gt;="&amp;_xlpm.p)))))</f>
        <v>1</v>
      </c>
      <c r="I261" s="3" t="s">
        <v>472</v>
      </c>
      <c r="J261" t="s">
        <v>4334</v>
      </c>
      <c r="K261" s="4" t="s">
        <v>7</v>
      </c>
      <c r="L261" s="4" t="s">
        <v>7</v>
      </c>
      <c r="M261" s="5" t="s">
        <v>7</v>
      </c>
      <c r="N261" s="4" t="s">
        <v>7</v>
      </c>
      <c r="O261" s="4" t="s">
        <v>778</v>
      </c>
      <c r="P261" s="4" t="s">
        <v>7834</v>
      </c>
      <c r="Q261" s="4" t="s">
        <v>1976</v>
      </c>
      <c r="R261" s="2" t="b">
        <v>0</v>
      </c>
    </row>
    <row r="262" spans="1:18">
      <c r="A262" t="s">
        <v>3004</v>
      </c>
      <c r="B262" s="5" t="s">
        <v>4306</v>
      </c>
      <c r="C262" s="4" t="s">
        <v>8015</v>
      </c>
      <c r="D262" s="2">
        <v>3</v>
      </c>
      <c r="E262" s="2">
        <v>3</v>
      </c>
      <c r="F262" s="2">
        <v>103</v>
      </c>
      <c r="G262" s="2">
        <v>103</v>
      </c>
      <c r="H262" s="8" cm="1">
        <f t="array" ref="H262">_xlfn.LET(_xlpm.s,IFERROR(--F262,""),_xlpm.e,IFERROR(--G262,""),IF(OR(_xlpm.s="",_xlpm.e="",_xlpm.e&lt;_xlpm.s),"",_xlfn.LET(_xlpm.p,_xlfn.SEQUENCE(_xlpm.e-_xlpm.s+1,1,_xlpm.s,1),SUM(1/COUNTIFS($D:$D,D262,$E:$E,E262,$F:$F,"&lt;&gt;N/A",$G:$G,"&lt;&gt;N/A",$F:$F,"&lt;="&amp;_xlpm.p,$G:$G,"&gt;="&amp;_xlpm.p)))))</f>
        <v>1</v>
      </c>
      <c r="I262" s="3" t="s">
        <v>7</v>
      </c>
      <c r="J262" t="s">
        <v>473</v>
      </c>
      <c r="K262" s="4" t="s">
        <v>7</v>
      </c>
      <c r="L262" s="4" t="s">
        <v>7</v>
      </c>
      <c r="M262" s="5" t="s">
        <v>7</v>
      </c>
      <c r="N262" s="4" t="s">
        <v>7</v>
      </c>
      <c r="O262" s="4" t="s">
        <v>778</v>
      </c>
      <c r="P262" s="4" t="s">
        <v>7834</v>
      </c>
      <c r="R262" s="2" t="b">
        <v>0</v>
      </c>
    </row>
    <row r="263" spans="1:18">
      <c r="A263" t="s">
        <v>3004</v>
      </c>
      <c r="B263" s="5" t="s">
        <v>4307</v>
      </c>
      <c r="C263" s="4" t="s">
        <v>8015</v>
      </c>
      <c r="D263" s="2">
        <v>3</v>
      </c>
      <c r="E263" s="2">
        <v>3</v>
      </c>
      <c r="F263" s="2">
        <v>104</v>
      </c>
      <c r="G263" s="2">
        <v>105</v>
      </c>
      <c r="H263" s="8" cm="1">
        <f t="array" ref="H263">_xlfn.LET(_xlpm.s,IFERROR(--F263,""),_xlpm.e,IFERROR(--G263,""),IF(OR(_xlpm.s="",_xlpm.e="",_xlpm.e&lt;_xlpm.s),"",_xlfn.LET(_xlpm.p,_xlfn.SEQUENCE(_xlpm.e-_xlpm.s+1,1,_xlpm.s,1),SUM(1/COUNTIFS($D:$D,D263,$E:$E,E263,$F:$F,"&lt;&gt;N/A",$G:$G,"&lt;&gt;N/A",$F:$F,"&lt;="&amp;_xlpm.p,$G:$G,"&gt;="&amp;_xlpm.p)))))</f>
        <v>2</v>
      </c>
      <c r="I263" s="3" t="s">
        <v>7</v>
      </c>
      <c r="J263" t="s">
        <v>155</v>
      </c>
      <c r="K263" s="4" t="s">
        <v>7</v>
      </c>
      <c r="L263" s="4" t="s">
        <v>7</v>
      </c>
      <c r="M263" s="5" t="s">
        <v>7</v>
      </c>
      <c r="N263" s="4" t="s">
        <v>7</v>
      </c>
      <c r="O263" s="4" t="s">
        <v>778</v>
      </c>
      <c r="P263" s="4" t="s">
        <v>7834</v>
      </c>
      <c r="Q263" s="4" t="s">
        <v>1975</v>
      </c>
      <c r="R263" s="2" t="b">
        <v>0</v>
      </c>
    </row>
    <row r="264" spans="1:18">
      <c r="A264" t="s">
        <v>3004</v>
      </c>
      <c r="B264" s="5" t="s">
        <v>11410</v>
      </c>
      <c r="C264" s="4" t="s">
        <v>8015</v>
      </c>
      <c r="D264" s="2">
        <v>3</v>
      </c>
      <c r="E264" s="2">
        <v>3</v>
      </c>
      <c r="F264" s="2">
        <v>106</v>
      </c>
      <c r="G264" s="2">
        <v>107</v>
      </c>
      <c r="H264" s="8" cm="1">
        <f t="array" ref="H264">_xlfn.LET(_xlpm.s,IFERROR(--F264,""),_xlpm.e,IFERROR(--G264,""),IF(OR(_xlpm.s="",_xlpm.e="",_xlpm.e&lt;_xlpm.s),"",_xlfn.LET(_xlpm.p,_xlfn.SEQUENCE(_xlpm.e-_xlpm.s+1,1,_xlpm.s,1),SUM(1/COUNTIFS($D:$D,D264,$E:$E,E264,$F:$F,"&lt;&gt;N/A",$G:$G,"&lt;&gt;N/A",$F:$F,"&lt;="&amp;_xlpm.p,$G:$G,"&gt;="&amp;_xlpm.p)))))</f>
        <v>2</v>
      </c>
      <c r="I264" s="3" t="s">
        <v>7</v>
      </c>
      <c r="J264" t="s">
        <v>474</v>
      </c>
      <c r="K264" s="4" t="s">
        <v>7</v>
      </c>
      <c r="L264" s="4" t="s">
        <v>7</v>
      </c>
      <c r="M264" s="5" t="s">
        <v>7</v>
      </c>
      <c r="N264" s="4" t="s">
        <v>7</v>
      </c>
      <c r="O264" s="4" t="s">
        <v>778</v>
      </c>
      <c r="P264" s="4" t="s">
        <v>7834</v>
      </c>
      <c r="Q264" s="4" t="s">
        <v>1974</v>
      </c>
      <c r="R264" s="2" t="b">
        <v>0</v>
      </c>
    </row>
    <row r="265" spans="1:18">
      <c r="A265" t="s">
        <v>3004</v>
      </c>
      <c r="B265" s="5" t="s">
        <v>4308</v>
      </c>
      <c r="C265" s="4" t="s">
        <v>8016</v>
      </c>
      <c r="D265" s="2">
        <v>3</v>
      </c>
      <c r="E265" s="2">
        <v>4</v>
      </c>
      <c r="F265" s="2">
        <v>3</v>
      </c>
      <c r="G265" s="2">
        <v>13</v>
      </c>
      <c r="H265" s="8" cm="1">
        <f t="array" ref="H265">_xlfn.LET(_xlpm.s,IFERROR(--F265,""),_xlpm.e,IFERROR(--G265,""),IF(OR(_xlpm.s="",_xlpm.e="",_xlpm.e&lt;_xlpm.s),"",_xlfn.LET(_xlpm.p,_xlfn.SEQUENCE(_xlpm.e-_xlpm.s+1,1,_xlpm.s,1),SUM(1/COUNTIFS($D:$D,D265,$E:$E,E265,$F:$F,"&lt;&gt;N/A",$G:$G,"&lt;&gt;N/A",$F:$F,"&lt;="&amp;_xlpm.p,$G:$G,"&gt;="&amp;_xlpm.p)))))</f>
        <v>11</v>
      </c>
      <c r="I265" s="3" t="s">
        <v>14</v>
      </c>
      <c r="J265" t="s">
        <v>10840</v>
      </c>
      <c r="K265" s="4" t="s">
        <v>7</v>
      </c>
      <c r="L265" s="4" t="s">
        <v>7</v>
      </c>
      <c r="M265" s="5" t="s">
        <v>7</v>
      </c>
      <c r="N265" s="4" t="s">
        <v>7</v>
      </c>
      <c r="O265" s="4" t="s">
        <v>778</v>
      </c>
      <c r="P265" s="4" t="s">
        <v>7834</v>
      </c>
      <c r="R265" s="1" t="b">
        <v>1</v>
      </c>
    </row>
    <row r="266" spans="1:18">
      <c r="A266" t="s">
        <v>3004</v>
      </c>
      <c r="B266" s="5" t="s">
        <v>4309</v>
      </c>
      <c r="C266" s="4" t="s">
        <v>8016</v>
      </c>
      <c r="D266" s="2">
        <v>3</v>
      </c>
      <c r="E266" s="2">
        <v>4</v>
      </c>
      <c r="F266" s="2">
        <v>14</v>
      </c>
      <c r="G266" s="2">
        <v>33</v>
      </c>
      <c r="H266" s="8" cm="1">
        <f t="array" ref="H266">_xlfn.LET(_xlpm.s,IFERROR(--F266,""),_xlpm.e,IFERROR(--G266,""),IF(OR(_xlpm.s="",_xlpm.e="",_xlpm.e&lt;_xlpm.s),"",_xlfn.LET(_xlpm.p,_xlfn.SEQUENCE(_xlpm.e-_xlpm.s+1,1,_xlpm.s,1),SUM(1/COUNTIFS($D:$D,D266,$E:$E,E266,$F:$F,"&lt;&gt;N/A",$G:$G,"&lt;&gt;N/A",$F:$F,"&lt;="&amp;_xlpm.p,$G:$G,"&gt;="&amp;_xlpm.p)))))</f>
        <v>19.5</v>
      </c>
      <c r="I266" s="3" t="s">
        <v>54</v>
      </c>
      <c r="J266" t="s">
        <v>3196</v>
      </c>
      <c r="K266" s="4" t="s">
        <v>1232</v>
      </c>
      <c r="L266" s="4" t="s">
        <v>7</v>
      </c>
      <c r="M266" s="5" t="s">
        <v>7</v>
      </c>
      <c r="N266" t="s">
        <v>8052</v>
      </c>
      <c r="O266" s="4" t="s">
        <v>778</v>
      </c>
      <c r="P266" s="4" t="s">
        <v>7834</v>
      </c>
      <c r="R266" s="2" t="b">
        <v>0</v>
      </c>
    </row>
    <row r="267" spans="1:18">
      <c r="A267" t="s">
        <v>3004</v>
      </c>
      <c r="B267" s="5" t="s">
        <v>4310</v>
      </c>
      <c r="C267" s="4" t="s">
        <v>8016</v>
      </c>
      <c r="D267" s="2">
        <v>3</v>
      </c>
      <c r="E267" s="2">
        <v>4</v>
      </c>
      <c r="F267" s="2">
        <v>33</v>
      </c>
      <c r="G267" s="2">
        <v>74</v>
      </c>
      <c r="H267" s="8" cm="1">
        <f t="array" ref="H267">_xlfn.LET(_xlpm.s,IFERROR(--F267,""),_xlpm.e,IFERROR(--G267,""),IF(OR(_xlpm.s="",_xlpm.e="",_xlpm.e&lt;_xlpm.s),"",_xlfn.LET(_xlpm.p,_xlfn.SEQUENCE(_xlpm.e-_xlpm.s+1,1,_xlpm.s,1),SUM(1/COUNTIFS($D:$D,D267,$E:$E,E267,$F:$F,"&lt;&gt;N/A",$G:$G,"&lt;&gt;N/A",$F:$F,"&lt;="&amp;_xlpm.p,$G:$G,"&gt;="&amp;_xlpm.p)))))</f>
        <v>41</v>
      </c>
      <c r="I267" s="3" t="s">
        <v>54</v>
      </c>
      <c r="J267" t="s">
        <v>475</v>
      </c>
      <c r="K267" s="4" t="s">
        <v>7</v>
      </c>
      <c r="L267" s="4" t="s">
        <v>7</v>
      </c>
      <c r="M267" s="5" t="s">
        <v>7</v>
      </c>
      <c r="N267" s="4" t="s">
        <v>3224</v>
      </c>
      <c r="O267" s="4" t="s">
        <v>778</v>
      </c>
      <c r="P267" s="4" t="s">
        <v>7834</v>
      </c>
      <c r="R267" s="2" t="b">
        <v>0</v>
      </c>
    </row>
    <row r="268" spans="1:18">
      <c r="A268" t="s">
        <v>3004</v>
      </c>
      <c r="B268" s="5" t="s">
        <v>4311</v>
      </c>
      <c r="C268" s="4" t="s">
        <v>8016</v>
      </c>
      <c r="D268" s="2">
        <v>3</v>
      </c>
      <c r="E268" s="2">
        <v>4</v>
      </c>
      <c r="F268" s="2">
        <v>74</v>
      </c>
      <c r="G268" s="2">
        <v>107</v>
      </c>
      <c r="H268" s="8" cm="1">
        <f t="array" ref="H268">_xlfn.LET(_xlpm.s,IFERROR(--F268,""),_xlpm.e,IFERROR(--G268,""),IF(OR(_xlpm.s="",_xlpm.e="",_xlpm.e&lt;_xlpm.s),"",_xlfn.LET(_xlpm.p,_xlfn.SEQUENCE(_xlpm.e-_xlpm.s+1,1,_xlpm.s,1),SUM(1/COUNTIFS($D:$D,D268,$E:$E,E268,$F:$F,"&lt;&gt;N/A",$G:$G,"&lt;&gt;N/A",$F:$F,"&lt;="&amp;_xlpm.p,$G:$G,"&gt;="&amp;_xlpm.p)))))</f>
        <v>33.5</v>
      </c>
      <c r="I268" s="3" t="s">
        <v>56</v>
      </c>
      <c r="J268" t="s">
        <v>476</v>
      </c>
      <c r="K268" s="4" t="s">
        <v>7</v>
      </c>
      <c r="L268" s="4" t="s">
        <v>7</v>
      </c>
      <c r="M268" s="5" t="s">
        <v>7</v>
      </c>
      <c r="N268" s="4" t="s">
        <v>1966</v>
      </c>
      <c r="O268" s="4" t="s">
        <v>778</v>
      </c>
      <c r="P268" s="4" t="s">
        <v>7834</v>
      </c>
      <c r="R268" s="1" t="b">
        <v>1</v>
      </c>
    </row>
    <row r="269" spans="1:18">
      <c r="A269" t="s">
        <v>3004</v>
      </c>
      <c r="B269" s="5" t="s">
        <v>11411</v>
      </c>
      <c r="C269" s="4" t="s">
        <v>8016</v>
      </c>
      <c r="D269" s="2">
        <v>3</v>
      </c>
      <c r="E269" s="2">
        <v>4</v>
      </c>
      <c r="F269" s="2">
        <v>108</v>
      </c>
      <c r="G269" s="2">
        <v>118</v>
      </c>
      <c r="H269" s="8" cm="1">
        <f t="array" ref="H269">_xlfn.LET(_xlpm.s,IFERROR(--F269,""),_xlpm.e,IFERROR(--G269,""),IF(OR(_xlpm.s="",_xlpm.e="",_xlpm.e&lt;_xlpm.s),"",_xlfn.LET(_xlpm.p,_xlfn.SEQUENCE(_xlpm.e-_xlpm.s+1,1,_xlpm.s,1),SUM(1/COUNTIFS($D:$D,D269,$E:$E,E269,$F:$F,"&lt;&gt;N/A",$G:$G,"&lt;&gt;N/A",$F:$F,"&lt;="&amp;_xlpm.p,$G:$G,"&gt;="&amp;_xlpm.p)))))</f>
        <v>11</v>
      </c>
      <c r="I269" s="3" t="s">
        <v>30</v>
      </c>
      <c r="J269" t="s">
        <v>477</v>
      </c>
      <c r="K269" s="4" t="s">
        <v>7</v>
      </c>
      <c r="L269" s="4" t="s">
        <v>7</v>
      </c>
      <c r="M269" s="5" t="s">
        <v>7</v>
      </c>
      <c r="N269" s="4" t="s">
        <v>7</v>
      </c>
      <c r="O269" t="s">
        <v>5072</v>
      </c>
      <c r="P269" t="s">
        <v>8021</v>
      </c>
      <c r="Q269" t="s">
        <v>1987</v>
      </c>
      <c r="R269" s="2" t="b">
        <v>0</v>
      </c>
    </row>
    <row r="270" spans="1:18">
      <c r="A270" t="s">
        <v>3004</v>
      </c>
      <c r="B270" s="5" t="s">
        <v>4312</v>
      </c>
      <c r="C270" s="4" t="s">
        <v>8017</v>
      </c>
      <c r="D270" s="2">
        <v>3</v>
      </c>
      <c r="E270" s="2">
        <v>5</v>
      </c>
      <c r="F270" s="2">
        <v>3</v>
      </c>
      <c r="G270" s="2">
        <v>26</v>
      </c>
      <c r="H270" s="8" cm="1">
        <f t="array" ref="H270">_xlfn.LET(_xlpm.s,IFERROR(--F270,""),_xlpm.e,IFERROR(--G270,""),IF(OR(_xlpm.s="",_xlpm.e="",_xlpm.e&lt;_xlpm.s),"",_xlfn.LET(_xlpm.p,_xlfn.SEQUENCE(_xlpm.e-_xlpm.s+1,1,_xlpm.s,1),SUM(1/COUNTIFS($D:$D,D270,$E:$E,E270,$F:$F,"&lt;&gt;N/A",$G:$G,"&lt;&gt;N/A",$F:$F,"&lt;="&amp;_xlpm.p,$G:$G,"&gt;="&amp;_xlpm.p)))))</f>
        <v>23.5</v>
      </c>
      <c r="I270" s="3" t="s">
        <v>54</v>
      </c>
      <c r="J270" t="s">
        <v>478</v>
      </c>
      <c r="K270" s="4" t="s">
        <v>7</v>
      </c>
      <c r="L270" s="4" t="s">
        <v>7</v>
      </c>
      <c r="M270" s="5" t="s">
        <v>7</v>
      </c>
      <c r="N270" s="4" t="s">
        <v>3224</v>
      </c>
      <c r="O270" s="4" t="s">
        <v>778</v>
      </c>
      <c r="P270" s="4" t="s">
        <v>7834</v>
      </c>
      <c r="R270" s="2" t="b">
        <v>0</v>
      </c>
    </row>
    <row r="271" spans="1:18">
      <c r="A271" t="s">
        <v>3004</v>
      </c>
      <c r="B271" s="5" t="s">
        <v>4313</v>
      </c>
      <c r="C271" s="4" t="s">
        <v>8017</v>
      </c>
      <c r="D271" s="2">
        <v>3</v>
      </c>
      <c r="E271" s="2">
        <v>5</v>
      </c>
      <c r="F271" s="2">
        <v>26</v>
      </c>
      <c r="G271" s="2">
        <v>44</v>
      </c>
      <c r="H271" s="8" cm="1">
        <f t="array" ref="H271">_xlfn.LET(_xlpm.s,IFERROR(--F271,""),_xlpm.e,IFERROR(--G271,""),IF(OR(_xlpm.s="",_xlpm.e="",_xlpm.e&lt;_xlpm.s),"",_xlfn.LET(_xlpm.p,_xlfn.SEQUENCE(_xlpm.e-_xlpm.s+1,1,_xlpm.s,1),SUM(1/COUNTIFS($D:$D,D271,$E:$E,E271,$F:$F,"&lt;&gt;N/A",$G:$G,"&lt;&gt;N/A",$F:$F,"&lt;="&amp;_xlpm.p,$G:$G,"&gt;="&amp;_xlpm.p)))))</f>
        <v>18.5</v>
      </c>
      <c r="I271" s="3" t="s">
        <v>54</v>
      </c>
      <c r="J271" t="s">
        <v>479</v>
      </c>
      <c r="K271" s="4" t="s">
        <v>1232</v>
      </c>
      <c r="L271" s="4" t="s">
        <v>7</v>
      </c>
      <c r="M271" s="5" t="s">
        <v>7</v>
      </c>
      <c r="N271" s="4" t="s">
        <v>1971</v>
      </c>
      <c r="O271" s="4" t="s">
        <v>778</v>
      </c>
      <c r="P271" s="4" t="s">
        <v>7834</v>
      </c>
      <c r="R271" s="2" t="b">
        <v>0</v>
      </c>
    </row>
    <row r="272" spans="1:18">
      <c r="A272" t="s">
        <v>3004</v>
      </c>
      <c r="B272" s="5" t="s">
        <v>4314</v>
      </c>
      <c r="C272" s="4" t="s">
        <v>8017</v>
      </c>
      <c r="D272" s="2">
        <v>3</v>
      </c>
      <c r="E272" s="2">
        <v>5</v>
      </c>
      <c r="F272" s="2">
        <v>45</v>
      </c>
      <c r="G272" s="2">
        <v>68</v>
      </c>
      <c r="H272" s="8" cm="1">
        <f t="array" ref="H272">_xlfn.LET(_xlpm.s,IFERROR(--F272,""),_xlpm.e,IFERROR(--G272,""),IF(OR(_xlpm.s="",_xlpm.e="",_xlpm.e&lt;_xlpm.s),"",_xlfn.LET(_xlpm.p,_xlfn.SEQUENCE(_xlpm.e-_xlpm.s+1,1,_xlpm.s,1),SUM(1/COUNTIFS($D:$D,D272,$E:$E,E272,$F:$F,"&lt;&gt;N/A",$G:$G,"&lt;&gt;N/A",$F:$F,"&lt;="&amp;_xlpm.p,$G:$G,"&gt;="&amp;_xlpm.p)))))</f>
        <v>24</v>
      </c>
      <c r="I272" s="3" t="s">
        <v>56</v>
      </c>
      <c r="J272" s="3" t="s">
        <v>480</v>
      </c>
      <c r="K272" s="4" t="s">
        <v>7</v>
      </c>
      <c r="L272" s="4" t="s">
        <v>7</v>
      </c>
      <c r="M272" s="5" t="s">
        <v>7</v>
      </c>
      <c r="N272" s="4" t="s">
        <v>1966</v>
      </c>
      <c r="O272" s="4" t="s">
        <v>778</v>
      </c>
      <c r="P272" s="4" t="s">
        <v>7834</v>
      </c>
      <c r="R272" s="1" t="b">
        <v>1</v>
      </c>
    </row>
    <row r="273" spans="1:18">
      <c r="A273" t="s">
        <v>3004</v>
      </c>
      <c r="B273" s="5" t="s">
        <v>4315</v>
      </c>
      <c r="C273" s="4" t="s">
        <v>8017</v>
      </c>
      <c r="D273" s="2">
        <v>3</v>
      </c>
      <c r="E273" s="2">
        <v>5</v>
      </c>
      <c r="F273" s="2">
        <v>69</v>
      </c>
      <c r="G273" s="2">
        <v>89</v>
      </c>
      <c r="H273" s="8" cm="1">
        <f t="array" ref="H273">_xlfn.LET(_xlpm.s,IFERROR(--F273,""),_xlpm.e,IFERROR(--G273,""),IF(OR(_xlpm.s="",_xlpm.e="",_xlpm.e&lt;_xlpm.s),"",_xlfn.LET(_xlpm.p,_xlfn.SEQUENCE(_xlpm.e-_xlpm.s+1,1,_xlpm.s,1),SUM(1/COUNTIFS($D:$D,D273,$E:$E,E273,$F:$F,"&lt;&gt;N/A",$G:$G,"&lt;&gt;N/A",$F:$F,"&lt;="&amp;_xlpm.p,$G:$G,"&gt;="&amp;_xlpm.p)))))</f>
        <v>21</v>
      </c>
      <c r="I273" s="3" t="s">
        <v>196</v>
      </c>
      <c r="J273" s="3" t="s">
        <v>481</v>
      </c>
      <c r="K273" s="4" t="s">
        <v>7</v>
      </c>
      <c r="L273" s="4" t="s">
        <v>7</v>
      </c>
      <c r="M273" s="5" t="s">
        <v>7</v>
      </c>
      <c r="N273" s="4" t="s">
        <v>7</v>
      </c>
      <c r="O273" s="4" t="s">
        <v>7</v>
      </c>
      <c r="P273" s="4" t="s">
        <v>8023</v>
      </c>
      <c r="Q273" s="4" t="s">
        <v>6950</v>
      </c>
      <c r="R273" s="2" t="b">
        <v>0</v>
      </c>
    </row>
    <row r="274" spans="1:18">
      <c r="A274" t="s">
        <v>3004</v>
      </c>
      <c r="B274" s="5" t="s">
        <v>4316</v>
      </c>
      <c r="C274" s="4" t="s">
        <v>8017</v>
      </c>
      <c r="D274" s="2">
        <v>3</v>
      </c>
      <c r="E274" s="2">
        <v>5</v>
      </c>
      <c r="F274" s="2">
        <v>90</v>
      </c>
      <c r="G274" s="2">
        <v>96</v>
      </c>
      <c r="H274" s="8" cm="1">
        <f t="array" ref="H274">_xlfn.LET(_xlpm.s,IFERROR(--F274,""),_xlpm.e,IFERROR(--G274,""),IF(OR(_xlpm.s="",_xlpm.e="",_xlpm.e&lt;_xlpm.s),"",_xlfn.LET(_xlpm.p,_xlfn.SEQUENCE(_xlpm.e-_xlpm.s+1,1,_xlpm.s,1),SUM(1/COUNTIFS($D:$D,D274,$E:$E,E274,$F:$F,"&lt;&gt;N/A",$G:$G,"&lt;&gt;N/A",$F:$F,"&lt;="&amp;_xlpm.p,$G:$G,"&gt;="&amp;_xlpm.p)))))</f>
        <v>7</v>
      </c>
      <c r="I274" s="3" t="s">
        <v>196</v>
      </c>
      <c r="J274" t="s">
        <v>482</v>
      </c>
      <c r="K274" s="4" t="s">
        <v>7</v>
      </c>
      <c r="L274" s="4" t="s">
        <v>7</v>
      </c>
      <c r="M274" s="5" t="s">
        <v>7</v>
      </c>
      <c r="N274" s="4" t="s">
        <v>7</v>
      </c>
      <c r="O274" s="4" t="s">
        <v>5072</v>
      </c>
      <c r="P274" s="4" t="s">
        <v>8020</v>
      </c>
      <c r="Q274" s="4" t="s">
        <v>1970</v>
      </c>
      <c r="R274" s="2" t="b">
        <v>0</v>
      </c>
    </row>
    <row r="275" spans="1:18">
      <c r="A275" t="s">
        <v>3004</v>
      </c>
      <c r="B275" s="5" t="s">
        <v>4317</v>
      </c>
      <c r="C275" s="4" t="s">
        <v>8017</v>
      </c>
      <c r="D275" s="2">
        <v>3</v>
      </c>
      <c r="E275" s="2">
        <v>5</v>
      </c>
      <c r="F275" s="2">
        <v>97</v>
      </c>
      <c r="G275" s="2">
        <v>102</v>
      </c>
      <c r="H275" s="8" cm="1">
        <f t="array" ref="H275">_xlfn.LET(_xlpm.s,IFERROR(--F275,""),_xlpm.e,IFERROR(--G275,""),IF(OR(_xlpm.s="",_xlpm.e="",_xlpm.e&lt;_xlpm.s),"",_xlfn.LET(_xlpm.p,_xlfn.SEQUENCE(_xlpm.e-_xlpm.s+1,1,_xlpm.s,1),SUM(1/COUNTIFS($D:$D,D275,$E:$E,E275,$F:$F,"&lt;&gt;N/A",$G:$G,"&lt;&gt;N/A",$F:$F,"&lt;="&amp;_xlpm.p,$G:$G,"&gt;="&amp;_xlpm.p)))))</f>
        <v>5.5</v>
      </c>
      <c r="I275" s="3" t="s">
        <v>30</v>
      </c>
      <c r="J275" s="3" t="s">
        <v>483</v>
      </c>
      <c r="K275" s="4" t="s">
        <v>7</v>
      </c>
      <c r="L275" s="4" t="s">
        <v>7</v>
      </c>
      <c r="M275" s="5" t="s">
        <v>7</v>
      </c>
      <c r="N275" s="4" t="s">
        <v>7</v>
      </c>
      <c r="O275" s="4" t="s">
        <v>5072</v>
      </c>
      <c r="P275" s="4" t="s">
        <v>8021</v>
      </c>
      <c r="Q275" s="4" t="s">
        <v>1969</v>
      </c>
      <c r="R275" s="2" t="b">
        <v>0</v>
      </c>
    </row>
    <row r="276" spans="1:18">
      <c r="A276" t="s">
        <v>3004</v>
      </c>
      <c r="B276" s="5" t="s">
        <v>4318</v>
      </c>
      <c r="C276" s="4" t="s">
        <v>8017</v>
      </c>
      <c r="D276" s="2">
        <v>3</v>
      </c>
      <c r="E276" s="2">
        <v>5</v>
      </c>
      <c r="F276" s="2">
        <v>102</v>
      </c>
      <c r="G276" s="2">
        <v>108</v>
      </c>
      <c r="H276" s="8" cm="1">
        <f t="array" ref="H276">_xlfn.LET(_xlpm.s,IFERROR(--F276,""),_xlpm.e,IFERROR(--G276,""),IF(OR(_xlpm.s="",_xlpm.e="",_xlpm.e&lt;_xlpm.s),"",_xlfn.LET(_xlpm.p,_xlfn.SEQUENCE(_xlpm.e-_xlpm.s+1,1,_xlpm.s,1),SUM(1/COUNTIFS($D:$D,D276,$E:$E,E276,$F:$F,"&lt;&gt;N/A",$G:$G,"&lt;&gt;N/A",$F:$F,"&lt;="&amp;_xlpm.p,$G:$G,"&gt;="&amp;_xlpm.p)))))</f>
        <v>6.5</v>
      </c>
      <c r="I276" s="3" t="s">
        <v>30</v>
      </c>
      <c r="J276" s="3" t="s">
        <v>4335</v>
      </c>
      <c r="K276" s="4" t="s">
        <v>7</v>
      </c>
      <c r="L276" s="4" t="s">
        <v>7</v>
      </c>
      <c r="M276" s="5" t="s">
        <v>7</v>
      </c>
      <c r="N276" s="4" t="s">
        <v>7</v>
      </c>
      <c r="O276" s="4" t="s">
        <v>5072</v>
      </c>
      <c r="P276" s="4" t="s">
        <v>8034</v>
      </c>
      <c r="Q276" s="4" t="s">
        <v>1968</v>
      </c>
      <c r="R276" s="2" t="b">
        <v>0</v>
      </c>
    </row>
    <row r="277" spans="1:18">
      <c r="A277" t="s">
        <v>3004</v>
      </c>
      <c r="B277" s="5" t="s">
        <v>4319</v>
      </c>
      <c r="C277" s="4" t="s">
        <v>8017</v>
      </c>
      <c r="D277" s="2">
        <v>3</v>
      </c>
      <c r="E277" s="2">
        <v>5</v>
      </c>
      <c r="F277" s="2">
        <v>109</v>
      </c>
      <c r="G277" s="2">
        <v>109</v>
      </c>
      <c r="H277" s="8" cm="1">
        <f t="array" ref="H277">_xlfn.LET(_xlpm.s,IFERROR(--F277,""),_xlpm.e,IFERROR(--G277,""),IF(OR(_xlpm.s="",_xlpm.e="",_xlpm.e&lt;_xlpm.s),"",_xlfn.LET(_xlpm.p,_xlfn.SEQUENCE(_xlpm.e-_xlpm.s+1,1,_xlpm.s,1),SUM(1/COUNTIFS($D:$D,D277,$E:$E,E277,$F:$F,"&lt;&gt;N/A",$G:$G,"&lt;&gt;N/A",$F:$F,"&lt;="&amp;_xlpm.p,$G:$G,"&gt;="&amp;_xlpm.p)))))</f>
        <v>1</v>
      </c>
      <c r="I277" s="3" t="s">
        <v>7</v>
      </c>
      <c r="J277" t="s">
        <v>121</v>
      </c>
      <c r="K277" s="4" t="s">
        <v>7</v>
      </c>
      <c r="L277" s="4" t="s">
        <v>7</v>
      </c>
      <c r="M277" s="5" t="s">
        <v>7</v>
      </c>
      <c r="N277" s="4" t="s">
        <v>7</v>
      </c>
      <c r="O277" s="4" t="s">
        <v>778</v>
      </c>
      <c r="P277" s="4" t="s">
        <v>7834</v>
      </c>
      <c r="R277" s="2" t="b">
        <v>0</v>
      </c>
    </row>
    <row r="278" spans="1:18">
      <c r="A278" t="s">
        <v>3004</v>
      </c>
      <c r="B278" s="5" t="s">
        <v>4320</v>
      </c>
      <c r="C278" s="4" t="s">
        <v>8017</v>
      </c>
      <c r="D278" s="2">
        <v>3</v>
      </c>
      <c r="E278" s="2">
        <v>5</v>
      </c>
      <c r="F278" s="2">
        <v>110</v>
      </c>
      <c r="G278" s="2">
        <v>110</v>
      </c>
      <c r="H278" s="8" cm="1">
        <f t="array" ref="H278">_xlfn.LET(_xlpm.s,IFERROR(--F278,""),_xlpm.e,IFERROR(--G278,""),IF(OR(_xlpm.s="",_xlpm.e="",_xlpm.e&lt;_xlpm.s),"",_xlfn.LET(_xlpm.p,_xlfn.SEQUENCE(_xlpm.e-_xlpm.s+1,1,_xlpm.s,1),SUM(1/COUNTIFS($D:$D,D278,$E:$E,E278,$F:$F,"&lt;&gt;N/A",$G:$G,"&lt;&gt;N/A",$F:$F,"&lt;="&amp;_xlpm.p,$G:$G,"&gt;="&amp;_xlpm.p)))))</f>
        <v>1</v>
      </c>
      <c r="I278" s="3" t="s">
        <v>7</v>
      </c>
      <c r="J278" t="s">
        <v>484</v>
      </c>
      <c r="K278" s="4" t="s">
        <v>7</v>
      </c>
      <c r="L278" s="4" t="s">
        <v>7</v>
      </c>
      <c r="M278" s="5" t="s">
        <v>7</v>
      </c>
      <c r="N278" s="4" t="s">
        <v>7</v>
      </c>
      <c r="O278" s="4" t="s">
        <v>778</v>
      </c>
      <c r="P278" s="4" t="s">
        <v>7834</v>
      </c>
      <c r="R278" s="2" t="b">
        <v>0</v>
      </c>
    </row>
    <row r="279" spans="1:18">
      <c r="A279" t="s">
        <v>3004</v>
      </c>
      <c r="B279" s="5" t="s">
        <v>11412</v>
      </c>
      <c r="C279" s="4" t="s">
        <v>8017</v>
      </c>
      <c r="D279" s="2">
        <v>3</v>
      </c>
      <c r="E279" s="2">
        <v>5</v>
      </c>
      <c r="F279" s="2">
        <v>111</v>
      </c>
      <c r="G279" s="2">
        <v>114</v>
      </c>
      <c r="H279" s="8" cm="1">
        <f t="array" ref="H279">_xlfn.LET(_xlpm.s,IFERROR(--F279,""),_xlpm.e,IFERROR(--G279,""),IF(OR(_xlpm.s="",_xlpm.e="",_xlpm.e&lt;_xlpm.s),"",_xlfn.LET(_xlpm.p,_xlfn.SEQUENCE(_xlpm.e-_xlpm.s+1,1,_xlpm.s,1),SUM(1/COUNTIFS($D:$D,D279,$E:$E,E279,$F:$F,"&lt;&gt;N/A",$G:$G,"&lt;&gt;N/A",$F:$F,"&lt;="&amp;_xlpm.p,$G:$G,"&gt;="&amp;_xlpm.p)))))</f>
        <v>4</v>
      </c>
      <c r="I279" s="3" t="s">
        <v>7</v>
      </c>
      <c r="J279" t="s">
        <v>155</v>
      </c>
      <c r="K279" s="4" t="s">
        <v>7</v>
      </c>
      <c r="L279" s="4" t="s">
        <v>7</v>
      </c>
      <c r="M279" s="5" t="s">
        <v>7</v>
      </c>
      <c r="N279" s="4" t="s">
        <v>7</v>
      </c>
      <c r="O279" s="4" t="s">
        <v>778</v>
      </c>
      <c r="P279" s="4" t="s">
        <v>7834</v>
      </c>
      <c r="Q279" t="s">
        <v>1967</v>
      </c>
      <c r="R279" s="2" t="b">
        <v>0</v>
      </c>
    </row>
    <row r="280" spans="1:18">
      <c r="A280" t="s">
        <v>3004</v>
      </c>
      <c r="B280" s="5" t="s">
        <v>4321</v>
      </c>
      <c r="C280" s="4" t="s">
        <v>8018</v>
      </c>
      <c r="D280" s="2">
        <v>3</v>
      </c>
      <c r="E280" s="2">
        <v>6</v>
      </c>
      <c r="F280" s="2">
        <v>3</v>
      </c>
      <c r="G280" s="2">
        <v>36</v>
      </c>
      <c r="H280" s="8" cm="1">
        <f t="array" ref="H280">_xlfn.LET(_xlpm.s,IFERROR(--F280,""),_xlpm.e,IFERROR(--G280,""),IF(OR(_xlpm.s="",_xlpm.e="",_xlpm.e&lt;_xlpm.s),"",_xlfn.LET(_xlpm.p,_xlfn.SEQUENCE(_xlpm.e-_xlpm.s+1,1,_xlpm.s,1),SUM(1/COUNTIFS($D:$D,D280,$E:$E,E280,$F:$F,"&lt;&gt;N/A",$G:$G,"&lt;&gt;N/A",$F:$F,"&lt;="&amp;_xlpm.p,$G:$G,"&gt;="&amp;_xlpm.p)))))</f>
        <v>34</v>
      </c>
      <c r="I280" s="3" t="s">
        <v>54</v>
      </c>
      <c r="J280" t="s">
        <v>485</v>
      </c>
      <c r="K280" s="4" t="s">
        <v>7</v>
      </c>
      <c r="L280" s="4" t="s">
        <v>7</v>
      </c>
      <c r="M280" s="5" t="s">
        <v>7</v>
      </c>
      <c r="N280" s="4" t="s">
        <v>1965</v>
      </c>
      <c r="O280" s="4" t="s">
        <v>778</v>
      </c>
      <c r="P280" s="4" t="s">
        <v>7834</v>
      </c>
      <c r="R280" s="2" t="b">
        <v>0</v>
      </c>
    </row>
    <row r="281" spans="1:18">
      <c r="A281" t="s">
        <v>3004</v>
      </c>
      <c r="B281" s="5" t="s">
        <v>4322</v>
      </c>
      <c r="C281" s="4" t="s">
        <v>8018</v>
      </c>
      <c r="D281" s="2">
        <v>3</v>
      </c>
      <c r="E281" s="2">
        <v>6</v>
      </c>
      <c r="F281" s="2">
        <v>37</v>
      </c>
      <c r="G281" s="2">
        <v>64</v>
      </c>
      <c r="H281" s="8" cm="1">
        <f t="array" ref="H281">_xlfn.LET(_xlpm.s,IFERROR(--F281,""),_xlpm.e,IFERROR(--G281,""),IF(OR(_xlpm.s="",_xlpm.e="",_xlpm.e&lt;_xlpm.s),"",_xlfn.LET(_xlpm.p,_xlfn.SEQUENCE(_xlpm.e-_xlpm.s+1,1,_xlpm.s,1),SUM(1/COUNTIFS($D:$D,D281,$E:$E,E281,$F:$F,"&lt;&gt;N/A",$G:$G,"&lt;&gt;N/A",$F:$F,"&lt;="&amp;_xlpm.p,$G:$G,"&gt;="&amp;_xlpm.p)))))</f>
        <v>28</v>
      </c>
      <c r="I281" s="3" t="s">
        <v>56</v>
      </c>
      <c r="J281" s="3" t="s">
        <v>486</v>
      </c>
      <c r="K281" s="4" t="s">
        <v>7</v>
      </c>
      <c r="L281" s="4" t="s">
        <v>7</v>
      </c>
      <c r="M281" s="5" t="s">
        <v>7</v>
      </c>
      <c r="N281" s="4" t="s">
        <v>1966</v>
      </c>
      <c r="O281" s="4" t="s">
        <v>778</v>
      </c>
      <c r="P281" s="4" t="s">
        <v>7834</v>
      </c>
      <c r="R281" s="1" t="b">
        <v>1</v>
      </c>
    </row>
    <row r="282" spans="1:18">
      <c r="A282" t="s">
        <v>3004</v>
      </c>
      <c r="B282" s="5" t="s">
        <v>4323</v>
      </c>
      <c r="C282" s="4" t="s">
        <v>8018</v>
      </c>
      <c r="D282" s="2">
        <v>3</v>
      </c>
      <c r="E282" s="2">
        <v>6</v>
      </c>
      <c r="F282" s="2">
        <v>65</v>
      </c>
      <c r="G282" s="2">
        <v>71</v>
      </c>
      <c r="H282" s="8" cm="1">
        <f t="array" ref="H282">_xlfn.LET(_xlpm.s,IFERROR(--F282,""),_xlpm.e,IFERROR(--G282,""),IF(OR(_xlpm.s="",_xlpm.e="",_xlpm.e&lt;_xlpm.s),"",_xlfn.LET(_xlpm.p,_xlfn.SEQUENCE(_xlpm.e-_xlpm.s+1,1,_xlpm.s,1),SUM(1/COUNTIFS($D:$D,D282,$E:$E,E282,$F:$F,"&lt;&gt;N/A",$G:$G,"&lt;&gt;N/A",$F:$F,"&lt;="&amp;_xlpm.p,$G:$G,"&gt;="&amp;_xlpm.p)))))</f>
        <v>7</v>
      </c>
      <c r="I282" s="3" t="s">
        <v>7</v>
      </c>
      <c r="J282" t="s">
        <v>241</v>
      </c>
      <c r="K282" s="5" t="s">
        <v>7</v>
      </c>
      <c r="L282" s="5" t="s">
        <v>7</v>
      </c>
      <c r="M282" s="5" t="s">
        <v>7</v>
      </c>
      <c r="N282" s="5" t="s">
        <v>7</v>
      </c>
      <c r="O282" s="4" t="s">
        <v>778</v>
      </c>
      <c r="P282" s="4" t="s">
        <v>7834</v>
      </c>
      <c r="R282" s="1" t="b">
        <v>1</v>
      </c>
    </row>
    <row r="283" spans="1:18">
      <c r="A283" t="s">
        <v>3004</v>
      </c>
      <c r="B283" s="5" t="s">
        <v>4324</v>
      </c>
      <c r="C283" s="4" t="s">
        <v>8018</v>
      </c>
      <c r="D283" s="2">
        <v>3</v>
      </c>
      <c r="E283" s="2">
        <v>6</v>
      </c>
      <c r="F283" s="2">
        <v>72</v>
      </c>
      <c r="G283" s="2">
        <v>83</v>
      </c>
      <c r="H283" s="8" cm="1">
        <f t="array" ref="H283">_xlfn.LET(_xlpm.s,IFERROR(--F283,""),_xlpm.e,IFERROR(--G283,""),IF(OR(_xlpm.s="",_xlpm.e="",_xlpm.e&lt;_xlpm.s),"",_xlfn.LET(_xlpm.p,_xlfn.SEQUENCE(_xlpm.e-_xlpm.s+1,1,_xlpm.s,1),SUM(1/COUNTIFS($D:$D,D283,$E:$E,E283,$F:$F,"&lt;&gt;N/A",$G:$G,"&lt;&gt;N/A",$F:$F,"&lt;="&amp;_xlpm.p,$G:$G,"&gt;="&amp;_xlpm.p)))))</f>
        <v>12</v>
      </c>
      <c r="I283" s="3" t="s">
        <v>127</v>
      </c>
      <c r="J283" t="s">
        <v>487</v>
      </c>
      <c r="K283" s="4" t="s">
        <v>4503</v>
      </c>
      <c r="L283" s="5" t="s">
        <v>7</v>
      </c>
      <c r="M283" s="5" t="s">
        <v>7</v>
      </c>
      <c r="N283" s="5" t="s">
        <v>7</v>
      </c>
      <c r="O283" s="4" t="s">
        <v>778</v>
      </c>
      <c r="P283" s="4" t="s">
        <v>7834</v>
      </c>
      <c r="R283" s="1" t="b">
        <v>1</v>
      </c>
    </row>
    <row r="284" spans="1:18">
      <c r="A284" t="s">
        <v>3004</v>
      </c>
      <c r="B284" s="5" t="s">
        <v>4325</v>
      </c>
      <c r="C284" s="4" t="s">
        <v>8018</v>
      </c>
      <c r="D284" s="2">
        <v>3</v>
      </c>
      <c r="E284" s="2">
        <v>6</v>
      </c>
      <c r="F284" s="2">
        <v>84</v>
      </c>
      <c r="G284" s="2">
        <v>91</v>
      </c>
      <c r="H284" s="8" cm="1">
        <f t="array" ref="H284">_xlfn.LET(_xlpm.s,IFERROR(--F284,""),_xlpm.e,IFERROR(--G284,""),IF(OR(_xlpm.s="",_xlpm.e="",_xlpm.e&lt;_xlpm.s),"",_xlfn.LET(_xlpm.p,_xlfn.SEQUENCE(_xlpm.e-_xlpm.s+1,1,_xlpm.s,1),SUM(1/COUNTIFS($D:$D,D284,$E:$E,E284,$F:$F,"&lt;&gt;N/A",$G:$G,"&lt;&gt;N/A",$F:$F,"&lt;="&amp;_xlpm.p,$G:$G,"&gt;="&amp;_xlpm.p)))))</f>
        <v>8</v>
      </c>
      <c r="I284" s="3" t="s">
        <v>7</v>
      </c>
      <c r="J284" t="s">
        <v>11505</v>
      </c>
      <c r="K284" s="4" t="s">
        <v>1230</v>
      </c>
      <c r="L284" s="5" t="s">
        <v>7</v>
      </c>
      <c r="M284" s="5" t="s">
        <v>7</v>
      </c>
      <c r="N284" s="5" t="s">
        <v>7</v>
      </c>
      <c r="O284" s="4" t="s">
        <v>778</v>
      </c>
      <c r="P284" s="4" t="s">
        <v>7834</v>
      </c>
      <c r="R284" s="1" t="b">
        <v>1</v>
      </c>
    </row>
    <row r="285" spans="1:18">
      <c r="A285" t="s">
        <v>3004</v>
      </c>
      <c r="B285" s="5" t="s">
        <v>4326</v>
      </c>
      <c r="C285" s="4" t="s">
        <v>8018</v>
      </c>
      <c r="D285" s="2">
        <v>3</v>
      </c>
      <c r="E285" s="2">
        <v>6</v>
      </c>
      <c r="F285" s="2">
        <v>92</v>
      </c>
      <c r="G285" s="2">
        <v>102</v>
      </c>
      <c r="H285" s="8" cm="1">
        <f t="array" ref="H285">_xlfn.LET(_xlpm.s,IFERROR(--F285,""),_xlpm.e,IFERROR(--G285,""),IF(OR(_xlpm.s="",_xlpm.e="",_xlpm.e&lt;_xlpm.s),"",_xlfn.LET(_xlpm.p,_xlfn.SEQUENCE(_xlpm.e-_xlpm.s+1,1,_xlpm.s,1),SUM(1/COUNTIFS($D:$D,D285,$E:$E,E285,$F:$F,"&lt;&gt;N/A",$G:$G,"&lt;&gt;N/A",$F:$F,"&lt;="&amp;_xlpm.p,$G:$G,"&gt;="&amp;_xlpm.p)))))</f>
        <v>11</v>
      </c>
      <c r="I285" s="3" t="s">
        <v>7</v>
      </c>
      <c r="J285" t="s">
        <v>488</v>
      </c>
      <c r="K285" s="4" t="s">
        <v>1942</v>
      </c>
      <c r="L285" s="5" t="s">
        <v>7</v>
      </c>
      <c r="M285" s="5" t="s">
        <v>7</v>
      </c>
      <c r="N285" s="5" t="s">
        <v>7</v>
      </c>
      <c r="O285" s="4" t="s">
        <v>778</v>
      </c>
      <c r="P285" s="4" t="s">
        <v>7834</v>
      </c>
      <c r="R285" s="1" t="b">
        <v>1</v>
      </c>
    </row>
    <row r="286" spans="1:18">
      <c r="A286" t="s">
        <v>3004</v>
      </c>
      <c r="B286" s="5" t="s">
        <v>4327</v>
      </c>
      <c r="C286" s="4" t="s">
        <v>8018</v>
      </c>
      <c r="D286" s="2">
        <v>3</v>
      </c>
      <c r="E286" s="2">
        <v>6</v>
      </c>
      <c r="F286" s="2">
        <v>103</v>
      </c>
      <c r="G286" s="2">
        <v>110</v>
      </c>
      <c r="H286" s="8" cm="1">
        <f t="array" ref="H286">_xlfn.LET(_xlpm.s,IFERROR(--F286,""),_xlpm.e,IFERROR(--G286,""),IF(OR(_xlpm.s="",_xlpm.e="",_xlpm.e&lt;_xlpm.s),"",_xlfn.LET(_xlpm.p,_xlfn.SEQUENCE(_xlpm.e-_xlpm.s+1,1,_xlpm.s,1),SUM(1/COUNTIFS($D:$D,D286,$E:$E,E286,$F:$F,"&lt;&gt;N/A",$G:$G,"&lt;&gt;N/A",$F:$F,"&lt;="&amp;_xlpm.p,$G:$G,"&gt;="&amp;_xlpm.p)))))</f>
        <v>7.5</v>
      </c>
      <c r="I286" s="3" t="s">
        <v>196</v>
      </c>
      <c r="J286" t="s">
        <v>489</v>
      </c>
      <c r="K286" s="4" t="s">
        <v>1231</v>
      </c>
      <c r="L286" s="4" t="s">
        <v>7</v>
      </c>
      <c r="M286" s="5" t="s">
        <v>7</v>
      </c>
      <c r="N286" s="4" t="s">
        <v>7</v>
      </c>
      <c r="O286" s="4" t="s">
        <v>10264</v>
      </c>
      <c r="P286" s="4" t="s">
        <v>8020</v>
      </c>
      <c r="R286" s="2" t="b">
        <v>0</v>
      </c>
    </row>
    <row r="287" spans="1:18">
      <c r="A287" t="s">
        <v>3004</v>
      </c>
      <c r="B287" s="5" t="s">
        <v>4328</v>
      </c>
      <c r="C287" s="4" t="s">
        <v>8018</v>
      </c>
      <c r="D287" s="2">
        <v>3</v>
      </c>
      <c r="E287" s="2">
        <v>6</v>
      </c>
      <c r="F287" s="2">
        <v>110</v>
      </c>
      <c r="G287" s="2">
        <v>112</v>
      </c>
      <c r="H287" s="8" cm="1">
        <f t="array" ref="H287">_xlfn.LET(_xlpm.s,IFERROR(--F287,""),_xlpm.e,IFERROR(--G287,""),IF(OR(_xlpm.s="",_xlpm.e="",_xlpm.e&lt;_xlpm.s),"",_xlfn.LET(_xlpm.p,_xlfn.SEQUENCE(_xlpm.e-_xlpm.s+1,1,_xlpm.s,1),SUM(1/COUNTIFS($D:$D,D287,$E:$E,E287,$F:$F,"&lt;&gt;N/A",$G:$G,"&lt;&gt;N/A",$F:$F,"&lt;="&amp;_xlpm.p,$G:$G,"&gt;="&amp;_xlpm.p)))))</f>
        <v>2.5</v>
      </c>
      <c r="I287" s="3" t="s">
        <v>196</v>
      </c>
      <c r="J287" t="s">
        <v>4336</v>
      </c>
      <c r="K287" s="4" t="s">
        <v>7</v>
      </c>
      <c r="L287" s="4" t="s">
        <v>7</v>
      </c>
      <c r="M287" s="5" t="s">
        <v>7</v>
      </c>
      <c r="N287" s="4" t="s">
        <v>7</v>
      </c>
      <c r="O287" s="4" t="s">
        <v>778</v>
      </c>
      <c r="P287" s="4" t="s">
        <v>7834</v>
      </c>
      <c r="R287" s="2" t="b">
        <v>0</v>
      </c>
    </row>
    <row r="288" spans="1:18">
      <c r="A288" t="s">
        <v>3004</v>
      </c>
      <c r="B288" s="5" t="s">
        <v>4329</v>
      </c>
      <c r="C288" s="4" t="s">
        <v>8018</v>
      </c>
      <c r="D288" s="2">
        <v>3</v>
      </c>
      <c r="E288" s="2">
        <v>6</v>
      </c>
      <c r="F288" s="2">
        <v>113</v>
      </c>
      <c r="G288" s="2">
        <v>114</v>
      </c>
      <c r="H288" s="8" cm="1">
        <f t="array" ref="H288">_xlfn.LET(_xlpm.s,IFERROR(--F288,""),_xlpm.e,IFERROR(--G288,""),IF(OR(_xlpm.s="",_xlpm.e="",_xlpm.e&lt;_xlpm.s),"",_xlfn.LET(_xlpm.p,_xlfn.SEQUENCE(_xlpm.e-_xlpm.s+1,1,_xlpm.s,1),SUM(1/COUNTIFS($D:$D,D288,$E:$E,E288,$F:$F,"&lt;&gt;N/A",$G:$G,"&lt;&gt;N/A",$F:$F,"&lt;="&amp;_xlpm.p,$G:$G,"&gt;="&amp;_xlpm.p)))))</f>
        <v>2</v>
      </c>
      <c r="I288" s="3" t="s">
        <v>75</v>
      </c>
      <c r="J288" t="s">
        <v>490</v>
      </c>
      <c r="K288" s="4" t="s">
        <v>7</v>
      </c>
      <c r="L288" s="4" t="s">
        <v>7</v>
      </c>
      <c r="M288" s="5" t="s">
        <v>7</v>
      </c>
      <c r="N288" s="4" t="s">
        <v>7</v>
      </c>
      <c r="O288" s="4" t="s">
        <v>778</v>
      </c>
      <c r="P288" s="4" t="s">
        <v>7834</v>
      </c>
      <c r="R288" s="2" t="b">
        <v>0</v>
      </c>
    </row>
    <row r="289" spans="1:18">
      <c r="A289" t="s">
        <v>3004</v>
      </c>
      <c r="B289" s="5" t="s">
        <v>4330</v>
      </c>
      <c r="C289" s="4" t="s">
        <v>8018</v>
      </c>
      <c r="D289" s="2">
        <v>3</v>
      </c>
      <c r="E289" s="2">
        <v>6</v>
      </c>
      <c r="F289" s="2">
        <v>115</v>
      </c>
      <c r="G289" s="2">
        <v>116</v>
      </c>
      <c r="H289" s="8" cm="1">
        <f t="array" ref="H289">_xlfn.LET(_xlpm.s,IFERROR(--F289,""),_xlpm.e,IFERROR(--G289,""),IF(OR(_xlpm.s="",_xlpm.e="",_xlpm.e&lt;_xlpm.s),"",_xlfn.LET(_xlpm.p,_xlfn.SEQUENCE(_xlpm.e-_xlpm.s+1,1,_xlpm.s,1),SUM(1/COUNTIFS($D:$D,D289,$E:$E,E289,$F:$F,"&lt;&gt;N/A",$G:$G,"&lt;&gt;N/A",$F:$F,"&lt;="&amp;_xlpm.p,$G:$G,"&gt;="&amp;_xlpm.p)))))</f>
        <v>2</v>
      </c>
      <c r="I289" s="3" t="s">
        <v>7</v>
      </c>
      <c r="J289" t="s">
        <v>427</v>
      </c>
      <c r="K289" s="4" t="s">
        <v>7</v>
      </c>
      <c r="L289" s="4" t="s">
        <v>7</v>
      </c>
      <c r="M289" s="5" t="s">
        <v>7</v>
      </c>
      <c r="N289" s="4" t="s">
        <v>7</v>
      </c>
      <c r="O289" s="4" t="s">
        <v>778</v>
      </c>
      <c r="P289" s="4" t="s">
        <v>7834</v>
      </c>
      <c r="R289" s="2" t="b">
        <v>0</v>
      </c>
    </row>
    <row r="290" spans="1:18">
      <c r="A290" t="s">
        <v>3004</v>
      </c>
      <c r="B290" s="5" t="s">
        <v>11413</v>
      </c>
      <c r="C290" s="4" t="s">
        <v>8018</v>
      </c>
      <c r="D290" s="2">
        <v>3</v>
      </c>
      <c r="E290" s="2">
        <v>6</v>
      </c>
      <c r="F290" s="2">
        <v>117</v>
      </c>
      <c r="G290" s="2">
        <v>118</v>
      </c>
      <c r="H290" s="8" cm="1">
        <f t="array" ref="H290">_xlfn.LET(_xlpm.s,IFERROR(--F290,""),_xlpm.e,IFERROR(--G290,""),IF(OR(_xlpm.s="",_xlpm.e="",_xlpm.e&lt;_xlpm.s),"",_xlfn.LET(_xlpm.p,_xlfn.SEQUENCE(_xlpm.e-_xlpm.s+1,1,_xlpm.s,1),SUM(1/COUNTIFS($D:$D,D290,$E:$E,E290,$F:$F,"&lt;&gt;N/A",$G:$G,"&lt;&gt;N/A",$F:$F,"&lt;="&amp;_xlpm.p,$G:$G,"&gt;="&amp;_xlpm.p)))))</f>
        <v>2</v>
      </c>
      <c r="I290" s="3" t="s">
        <v>7</v>
      </c>
      <c r="J290" t="s">
        <v>491</v>
      </c>
      <c r="K290" s="4" t="s">
        <v>7</v>
      </c>
      <c r="L290" s="4" t="s">
        <v>7</v>
      </c>
      <c r="M290" s="5" t="s">
        <v>7</v>
      </c>
      <c r="N290" s="4" t="s">
        <v>7</v>
      </c>
      <c r="O290" s="4" t="s">
        <v>778</v>
      </c>
      <c r="P290" s="4" t="s">
        <v>7834</v>
      </c>
      <c r="Q290" s="4" t="s">
        <v>1957</v>
      </c>
      <c r="R290" s="2" t="b">
        <v>0</v>
      </c>
    </row>
  </sheetData>
  <phoneticPr fontId="1"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71F4-E761-4D96-830B-4BC23DF42478}">
  <sheetPr codeName="Sheet5"/>
  <dimension ref="A1:R48"/>
  <sheetViews>
    <sheetView topLeftCell="A22" workbookViewId="0">
      <selection activeCell="M1" sqref="M1"/>
    </sheetView>
  </sheetViews>
  <sheetFormatPr defaultColWidth="8.77734375" defaultRowHeight="14.4"/>
  <cols>
    <col min="1" max="2" width="5.77734375" customWidth="1"/>
    <col min="3" max="3" width="5.77734375" style="5" customWidth="1"/>
    <col min="4" max="7" width="5.77734375" style="1" customWidth="1"/>
    <col min="8" max="8" width="5.77734375" style="10" customWidth="1"/>
    <col min="9" max="10" width="5.77734375" customWidth="1"/>
    <col min="11" max="17" width="5.77734375" style="5" customWidth="1"/>
    <col min="18" max="18" width="5.77734375" customWidth="1"/>
    <col min="19" max="19" width="8.77734375" customWidth="1"/>
  </cols>
  <sheetData>
    <row r="1" spans="1:18">
      <c r="A1" t="s">
        <v>3032</v>
      </c>
      <c r="B1" t="s">
        <v>3281</v>
      </c>
      <c r="C1" s="4" t="s">
        <v>41</v>
      </c>
      <c r="D1" s="2" t="s">
        <v>3282</v>
      </c>
      <c r="E1" s="2" t="s">
        <v>34</v>
      </c>
      <c r="F1" s="4" t="s">
        <v>8031</v>
      </c>
      <c r="G1" s="4" t="s">
        <v>8032</v>
      </c>
      <c r="H1" s="8" t="s">
        <v>2530</v>
      </c>
      <c r="I1" s="2" t="s">
        <v>5</v>
      </c>
      <c r="J1" s="2" t="s">
        <v>4</v>
      </c>
      <c r="K1" s="4" t="s">
        <v>11402</v>
      </c>
      <c r="L1" s="5" t="s">
        <v>11401</v>
      </c>
      <c r="M1" s="4" t="s">
        <v>11400</v>
      </c>
      <c r="N1" s="4" t="s">
        <v>5006</v>
      </c>
      <c r="O1" s="4" t="s">
        <v>11506</v>
      </c>
      <c r="P1" s="4" t="s">
        <v>11403</v>
      </c>
      <c r="Q1" t="s">
        <v>1948</v>
      </c>
      <c r="R1" t="s">
        <v>2062</v>
      </c>
    </row>
    <row r="2" spans="1:18">
      <c r="A2" t="s">
        <v>3001</v>
      </c>
      <c r="B2" t="s">
        <v>3283</v>
      </c>
      <c r="C2" s="5" t="s">
        <v>7998</v>
      </c>
      <c r="D2" s="1">
        <v>1</v>
      </c>
      <c r="E2" s="1">
        <v>1</v>
      </c>
      <c r="F2" s="1" t="s">
        <v>7</v>
      </c>
      <c r="G2" s="1" t="s">
        <v>7</v>
      </c>
      <c r="H2" s="10">
        <v>8</v>
      </c>
      <c r="I2" t="s">
        <v>7</v>
      </c>
      <c r="J2" t="s">
        <v>11414</v>
      </c>
      <c r="K2" s="5" t="s">
        <v>4504</v>
      </c>
      <c r="L2" s="5" t="s">
        <v>7</v>
      </c>
      <c r="M2" s="5" t="s">
        <v>7</v>
      </c>
      <c r="N2" s="5" t="s">
        <v>7</v>
      </c>
      <c r="O2" s="5" t="s">
        <v>778</v>
      </c>
      <c r="P2" s="5" t="s">
        <v>7834</v>
      </c>
      <c r="R2" s="4" t="b">
        <v>0</v>
      </c>
    </row>
    <row r="3" spans="1:18">
      <c r="A3" t="s">
        <v>3001</v>
      </c>
      <c r="B3" t="s">
        <v>3284</v>
      </c>
      <c r="C3" s="5" t="s">
        <v>7998</v>
      </c>
      <c r="D3" s="1">
        <v>1</v>
      </c>
      <c r="E3" s="1">
        <v>1</v>
      </c>
      <c r="F3" s="1">
        <v>1</v>
      </c>
      <c r="G3" s="1">
        <v>6</v>
      </c>
      <c r="H3" s="10" cm="1">
        <f t="array" ref="H3">_xlfn.LET(_xlpm.s,IFERROR(--F3,""),_xlpm.e,IFERROR(--G3,""),IF(OR(_xlpm.s="",_xlpm.e="",_xlpm.e&lt;_xlpm.s),"",_xlfn.LET(_xlpm.p,_xlfn.SEQUENCE(_xlpm.e-_xlpm.s+1,1,_xlpm.s,1),SUM(1/COUNTIFS($D:$D,D3,$E:$E,E3,$F:$F,"&lt;&gt;N/A",$G:$G,"&lt;&gt;N/A",$F:$F,"&lt;="&amp;_xlpm.p,$G:$G,"&gt;="&amp;_xlpm.p)))))</f>
        <v>6</v>
      </c>
      <c r="I3" t="s">
        <v>163</v>
      </c>
      <c r="J3" t="s">
        <v>164</v>
      </c>
      <c r="K3" s="5" t="s">
        <v>7</v>
      </c>
      <c r="L3" s="5" t="s">
        <v>7</v>
      </c>
      <c r="M3" s="5" t="s">
        <v>7</v>
      </c>
      <c r="N3" s="5" t="s">
        <v>10145</v>
      </c>
      <c r="O3" s="5" t="s">
        <v>5072</v>
      </c>
      <c r="P3" s="5" t="s">
        <v>8021</v>
      </c>
      <c r="Q3" s="5" t="s">
        <v>2509</v>
      </c>
      <c r="R3" s="4" t="b">
        <v>1</v>
      </c>
    </row>
    <row r="4" spans="1:18">
      <c r="A4" t="s">
        <v>3001</v>
      </c>
      <c r="B4" t="s">
        <v>3285</v>
      </c>
      <c r="C4" s="5" t="s">
        <v>7998</v>
      </c>
      <c r="D4" s="1">
        <v>1</v>
      </c>
      <c r="E4" s="1">
        <v>1</v>
      </c>
      <c r="F4" s="1">
        <v>7</v>
      </c>
      <c r="G4" s="1">
        <v>20</v>
      </c>
      <c r="H4" s="10" cm="1">
        <f t="array" ref="H4">_xlfn.LET(_xlpm.s,IFERROR(--F4,""),_xlpm.e,IFERROR(--G4,""),IF(OR(_xlpm.s="",_xlpm.e="",_xlpm.e&lt;_xlpm.s),"",_xlfn.LET(_xlpm.p,_xlfn.SEQUENCE(_xlpm.e-_xlpm.s+1,1,_xlpm.s,1),SUM(1/COUNTIFS($D:$D,D4,$E:$E,E4,$F:$F,"&lt;&gt;N/A",$G:$G,"&lt;&gt;N/A",$F:$F,"&lt;="&amp;_xlpm.p,$G:$G,"&gt;="&amp;_xlpm.p)))))</f>
        <v>14</v>
      </c>
      <c r="I4" t="s">
        <v>163</v>
      </c>
      <c r="J4" t="s">
        <v>165</v>
      </c>
      <c r="K4" s="5" t="s">
        <v>7</v>
      </c>
      <c r="L4" s="5" t="s">
        <v>7</v>
      </c>
      <c r="M4" s="5" t="s">
        <v>7</v>
      </c>
      <c r="N4" s="4" t="s">
        <v>2075</v>
      </c>
      <c r="O4" s="5" t="s">
        <v>5072</v>
      </c>
      <c r="P4" s="5" t="s">
        <v>8021</v>
      </c>
      <c r="R4" s="4" t="b">
        <v>1</v>
      </c>
    </row>
    <row r="5" spans="1:18">
      <c r="A5" t="s">
        <v>3001</v>
      </c>
      <c r="B5" t="s">
        <v>3286</v>
      </c>
      <c r="C5" s="5" t="s">
        <v>7998</v>
      </c>
      <c r="D5" s="1">
        <v>1</v>
      </c>
      <c r="E5" s="1">
        <v>1</v>
      </c>
      <c r="F5" s="1">
        <v>21</v>
      </c>
      <c r="G5" s="1">
        <v>27</v>
      </c>
      <c r="H5" s="10" cm="1">
        <f t="array" ref="H5">_xlfn.LET(_xlpm.s,IFERROR(--F5,""),_xlpm.e,IFERROR(--G5,""),IF(OR(_xlpm.s="",_xlpm.e="",_xlpm.e&lt;_xlpm.s),"",_xlfn.LET(_xlpm.p,_xlfn.SEQUENCE(_xlpm.e-_xlpm.s+1,1,_xlpm.s,1),SUM(1/COUNTIFS($D:$D,D5,$E:$E,E5,$F:$F,"&lt;&gt;N/A",$G:$G,"&lt;&gt;N/A",$F:$F,"&lt;="&amp;_xlpm.p,$G:$G,"&gt;="&amp;_xlpm.p)))))</f>
        <v>7</v>
      </c>
      <c r="I5" t="s">
        <v>163</v>
      </c>
      <c r="J5" t="s">
        <v>211</v>
      </c>
      <c r="K5" s="5" t="s">
        <v>7</v>
      </c>
      <c r="L5" s="5" t="s">
        <v>7</v>
      </c>
      <c r="M5" s="5" t="s">
        <v>7</v>
      </c>
      <c r="N5" s="5" t="s">
        <v>2832</v>
      </c>
      <c r="O5" s="5" t="s">
        <v>11522</v>
      </c>
      <c r="P5" s="5" t="s">
        <v>8021</v>
      </c>
      <c r="R5" s="4" t="b">
        <v>1</v>
      </c>
    </row>
    <row r="6" spans="1:18">
      <c r="A6" t="s">
        <v>3001</v>
      </c>
      <c r="B6" t="s">
        <v>3287</v>
      </c>
      <c r="C6" s="5" t="s">
        <v>7998</v>
      </c>
      <c r="D6" s="1">
        <v>1</v>
      </c>
      <c r="E6" s="1">
        <v>1</v>
      </c>
      <c r="F6" s="1">
        <v>28</v>
      </c>
      <c r="G6" s="1">
        <v>30</v>
      </c>
      <c r="H6" s="10" cm="1">
        <f t="array" ref="H6">_xlfn.LET(_xlpm.s,IFERROR(--F6,""),_xlpm.e,IFERROR(--G6,""),IF(OR(_xlpm.s="",_xlpm.e="",_xlpm.e&lt;_xlpm.s),"",_xlfn.LET(_xlpm.p,_xlfn.SEQUENCE(_xlpm.e-_xlpm.s+1,1,_xlpm.s,1),SUM(1/COUNTIFS($D:$D,D6,$E:$E,E6,$F:$F,"&lt;&gt;N/A",$G:$G,"&lt;&gt;N/A",$F:$F,"&lt;="&amp;_xlpm.p,$G:$G,"&gt;="&amp;_xlpm.p)))))</f>
        <v>3</v>
      </c>
      <c r="I6" t="s">
        <v>163</v>
      </c>
      <c r="J6" t="s">
        <v>212</v>
      </c>
      <c r="K6" s="5" t="s">
        <v>7</v>
      </c>
      <c r="L6" s="5" t="s">
        <v>7</v>
      </c>
      <c r="M6" s="5" t="s">
        <v>7</v>
      </c>
      <c r="N6" s="5" t="s">
        <v>7</v>
      </c>
      <c r="O6" s="5" t="s">
        <v>778</v>
      </c>
      <c r="P6" s="5" t="s">
        <v>7834</v>
      </c>
      <c r="R6" s="4" t="b">
        <v>1</v>
      </c>
    </row>
    <row r="7" spans="1:18">
      <c r="A7" t="s">
        <v>3001</v>
      </c>
      <c r="B7" t="s">
        <v>3288</v>
      </c>
      <c r="C7" s="5" t="s">
        <v>7998</v>
      </c>
      <c r="D7" s="1">
        <v>1</v>
      </c>
      <c r="E7" s="1">
        <v>1</v>
      </c>
      <c r="F7" s="1">
        <v>31</v>
      </c>
      <c r="G7" s="1">
        <v>37</v>
      </c>
      <c r="H7" s="10" cm="1">
        <f t="array" ref="H7">_xlfn.LET(_xlpm.s,IFERROR(--F7,""),_xlpm.e,IFERROR(--G7,""),IF(OR(_xlpm.s="",_xlpm.e="",_xlpm.e&lt;_xlpm.s),"",_xlfn.LET(_xlpm.p,_xlfn.SEQUENCE(_xlpm.e-_xlpm.s+1,1,_xlpm.s,1),SUM(1/COUNTIFS($D:$D,D7,$E:$E,E7,$F:$F,"&lt;&gt;N/A",$G:$G,"&lt;&gt;N/A",$F:$F,"&lt;="&amp;_xlpm.p,$G:$G,"&gt;="&amp;_xlpm.p)))))</f>
        <v>7</v>
      </c>
      <c r="I7" t="s">
        <v>163</v>
      </c>
      <c r="J7" t="s">
        <v>166</v>
      </c>
      <c r="K7" s="5" t="s">
        <v>4504</v>
      </c>
      <c r="L7" s="5" t="s">
        <v>7</v>
      </c>
      <c r="M7" s="5" t="s">
        <v>7</v>
      </c>
      <c r="N7" s="5" t="s">
        <v>6763</v>
      </c>
      <c r="O7" s="5" t="s">
        <v>11522</v>
      </c>
      <c r="P7" s="5" t="s">
        <v>8019</v>
      </c>
      <c r="R7" s="4" t="b">
        <v>1</v>
      </c>
    </row>
    <row r="8" spans="1:18">
      <c r="A8" t="s">
        <v>3001</v>
      </c>
      <c r="B8" t="s">
        <v>3289</v>
      </c>
      <c r="C8" s="5" t="s">
        <v>7998</v>
      </c>
      <c r="D8" s="1">
        <v>1</v>
      </c>
      <c r="E8" s="1">
        <v>1</v>
      </c>
      <c r="F8" s="1">
        <v>38</v>
      </c>
      <c r="G8" s="1">
        <v>47</v>
      </c>
      <c r="H8" s="10" cm="1">
        <f t="array" ref="H8">_xlfn.LET(_xlpm.s,IFERROR(--F8,""),_xlpm.e,IFERROR(--G8,""),IF(OR(_xlpm.s="",_xlpm.e="",_xlpm.e&lt;_xlpm.s),"",_xlfn.LET(_xlpm.p,_xlfn.SEQUENCE(_xlpm.e-_xlpm.s+1,1,_xlpm.s,1),SUM(1/COUNTIFS($D:$D,D8,$E:$E,E8,$F:$F,"&lt;&gt;N/A",$G:$G,"&lt;&gt;N/A",$F:$F,"&lt;="&amp;_xlpm.p,$G:$G,"&gt;="&amp;_xlpm.p)))))</f>
        <v>10</v>
      </c>
      <c r="I8" t="s">
        <v>163</v>
      </c>
      <c r="J8" t="s">
        <v>214</v>
      </c>
      <c r="K8" s="5" t="s">
        <v>4504</v>
      </c>
      <c r="L8" s="5" t="s">
        <v>7</v>
      </c>
      <c r="M8" s="5" t="s">
        <v>7</v>
      </c>
      <c r="N8" s="5" t="s">
        <v>7</v>
      </c>
      <c r="O8" s="5" t="s">
        <v>778</v>
      </c>
      <c r="P8" s="5" t="s">
        <v>7834</v>
      </c>
      <c r="R8" s="4" t="b">
        <v>1</v>
      </c>
    </row>
    <row r="9" spans="1:18">
      <c r="A9" t="s">
        <v>3001</v>
      </c>
      <c r="B9" t="s">
        <v>3290</v>
      </c>
      <c r="C9" s="5" t="s">
        <v>7998</v>
      </c>
      <c r="D9" s="1">
        <v>1</v>
      </c>
      <c r="E9" s="1">
        <v>1</v>
      </c>
      <c r="F9" s="1">
        <v>48</v>
      </c>
      <c r="G9" s="1">
        <v>48</v>
      </c>
      <c r="H9" s="10" cm="1">
        <f t="array" ref="H9">_xlfn.LET(_xlpm.s,IFERROR(--F9,""),_xlpm.e,IFERROR(--G9,""),IF(OR(_xlpm.s="",_xlpm.e="",_xlpm.e&lt;_xlpm.s),"",_xlfn.LET(_xlpm.p,_xlfn.SEQUENCE(_xlpm.e-_xlpm.s+1,1,_xlpm.s,1),SUM(1/COUNTIFS($D:$D,D9,$E:$E,E9,$F:$F,"&lt;&gt;N/A",$G:$G,"&lt;&gt;N/A",$F:$F,"&lt;="&amp;_xlpm.p,$G:$G,"&gt;="&amp;_xlpm.p)))))</f>
        <v>1</v>
      </c>
      <c r="I9" t="s">
        <v>167</v>
      </c>
      <c r="J9" t="s">
        <v>6722</v>
      </c>
      <c r="K9" s="5" t="s">
        <v>7</v>
      </c>
      <c r="L9" s="5" t="s">
        <v>7</v>
      </c>
      <c r="M9" s="5" t="s">
        <v>7</v>
      </c>
      <c r="N9" s="5" t="s">
        <v>7</v>
      </c>
      <c r="O9" s="5" t="s">
        <v>778</v>
      </c>
      <c r="P9" s="5" t="s">
        <v>7834</v>
      </c>
      <c r="R9" s="4" t="b">
        <v>0</v>
      </c>
    </row>
    <row r="10" spans="1:18">
      <c r="A10" t="s">
        <v>3001</v>
      </c>
      <c r="B10" t="s">
        <v>3291</v>
      </c>
      <c r="C10" s="5" t="s">
        <v>7998</v>
      </c>
      <c r="D10" s="1">
        <v>1</v>
      </c>
      <c r="E10" s="1">
        <v>1</v>
      </c>
      <c r="F10" s="1">
        <v>49</v>
      </c>
      <c r="G10" s="1">
        <v>57</v>
      </c>
      <c r="H10" s="10" cm="1">
        <f t="array" ref="H10">_xlfn.LET(_xlpm.s,IFERROR(--F10,""),_xlpm.e,IFERROR(--G10,""),IF(OR(_xlpm.s="",_xlpm.e="",_xlpm.e&lt;_xlpm.s),"",_xlfn.LET(_xlpm.p,_xlfn.SEQUENCE(_xlpm.e-_xlpm.s+1,1,_xlpm.s,1),SUM(1/COUNTIFS($D:$D,D10,$E:$E,E10,$F:$F,"&lt;&gt;N/A",$G:$G,"&lt;&gt;N/A",$F:$F,"&lt;="&amp;_xlpm.p,$G:$G,"&gt;="&amp;_xlpm.p)))))</f>
        <v>8.3333333333333339</v>
      </c>
      <c r="I10" t="s">
        <v>167</v>
      </c>
      <c r="J10" t="s">
        <v>168</v>
      </c>
      <c r="K10" s="5" t="s">
        <v>156</v>
      </c>
      <c r="L10" s="5" t="s">
        <v>7</v>
      </c>
      <c r="M10" s="5" t="s">
        <v>7</v>
      </c>
      <c r="N10" s="5" t="s">
        <v>7</v>
      </c>
      <c r="O10" s="5" t="s">
        <v>778</v>
      </c>
      <c r="P10" s="5" t="s">
        <v>7834</v>
      </c>
      <c r="R10" s="4" t="b">
        <v>0</v>
      </c>
    </row>
    <row r="11" spans="1:18">
      <c r="A11" t="s">
        <v>3001</v>
      </c>
      <c r="B11" t="s">
        <v>3292</v>
      </c>
      <c r="C11" s="5" t="s">
        <v>7998</v>
      </c>
      <c r="D11" s="1">
        <v>1</v>
      </c>
      <c r="E11" s="1">
        <v>1</v>
      </c>
      <c r="F11" s="1">
        <v>57</v>
      </c>
      <c r="G11" s="1">
        <v>57</v>
      </c>
      <c r="H11" s="10" cm="1">
        <f t="array" ref="H11">_xlfn.LET(_xlpm.s,IFERROR(--F11,""),_xlpm.e,IFERROR(--G11,""),IF(OR(_xlpm.s="",_xlpm.e="",_xlpm.e&lt;_xlpm.s),"",_xlfn.LET(_xlpm.p,_xlfn.SEQUENCE(_xlpm.e-_xlpm.s+1,1,_xlpm.s,1),SUM(1/COUNTIFS($D:$D,D11,$E:$E,E11,$F:$F,"&lt;&gt;N/A",$G:$G,"&lt;&gt;N/A",$F:$F,"&lt;="&amp;_xlpm.p,$G:$G,"&gt;="&amp;_xlpm.p)))))</f>
        <v>0.33333333333333331</v>
      </c>
      <c r="I11" t="s">
        <v>167</v>
      </c>
      <c r="J11" t="s">
        <v>6723</v>
      </c>
      <c r="K11" s="5" t="s">
        <v>7</v>
      </c>
      <c r="L11" s="5" t="s">
        <v>7</v>
      </c>
      <c r="M11" s="5" t="s">
        <v>7</v>
      </c>
      <c r="N11" s="5" t="s">
        <v>7</v>
      </c>
      <c r="O11" s="5" t="s">
        <v>778</v>
      </c>
      <c r="P11" s="5" t="s">
        <v>7834</v>
      </c>
      <c r="R11" s="4" t="b">
        <v>0</v>
      </c>
    </row>
    <row r="12" spans="1:18">
      <c r="A12" t="s">
        <v>3001</v>
      </c>
      <c r="B12" t="s">
        <v>3293</v>
      </c>
      <c r="C12" s="5" t="s">
        <v>7998</v>
      </c>
      <c r="D12" s="1">
        <v>1</v>
      </c>
      <c r="E12" s="1">
        <v>1</v>
      </c>
      <c r="F12" s="1">
        <v>57</v>
      </c>
      <c r="G12" s="1">
        <v>58</v>
      </c>
      <c r="H12" s="10" cm="1">
        <f t="array" ref="H12">_xlfn.LET(_xlpm.s,IFERROR(--F12,""),_xlpm.e,IFERROR(--G12,""),IF(OR(_xlpm.s="",_xlpm.e="",_xlpm.e&lt;_xlpm.s),"",_xlfn.LET(_xlpm.p,_xlfn.SEQUENCE(_xlpm.e-_xlpm.s+1,1,_xlpm.s,1),SUM(1/COUNTIFS($D:$D,D12,$E:$E,E12,$F:$F,"&lt;&gt;N/A",$G:$G,"&lt;&gt;N/A",$F:$F,"&lt;="&amp;_xlpm.p,$G:$G,"&gt;="&amp;_xlpm.p)))))</f>
        <v>0.83333333333333326</v>
      </c>
      <c r="I12" t="s">
        <v>167</v>
      </c>
      <c r="J12" t="s">
        <v>187</v>
      </c>
      <c r="K12" s="5" t="s">
        <v>7</v>
      </c>
      <c r="L12" s="5" t="s">
        <v>7</v>
      </c>
      <c r="M12" s="5" t="s">
        <v>7</v>
      </c>
      <c r="N12" s="5" t="s">
        <v>7</v>
      </c>
      <c r="O12" s="5" t="s">
        <v>778</v>
      </c>
      <c r="P12" s="5" t="s">
        <v>7834</v>
      </c>
      <c r="R12" s="4" t="b">
        <v>0</v>
      </c>
    </row>
    <row r="13" spans="1:18">
      <c r="A13" t="s">
        <v>3001</v>
      </c>
      <c r="B13" t="s">
        <v>3294</v>
      </c>
      <c r="C13" s="5" t="s">
        <v>7998</v>
      </c>
      <c r="D13" s="1">
        <v>1</v>
      </c>
      <c r="E13" s="1">
        <v>1</v>
      </c>
      <c r="F13" s="1">
        <v>58</v>
      </c>
      <c r="G13" s="1">
        <v>59</v>
      </c>
      <c r="H13" s="10" cm="1">
        <f t="array" ref="H13">_xlfn.LET(_xlpm.s,IFERROR(--F13,""),_xlpm.e,IFERROR(--G13,""),IF(OR(_xlpm.s="",_xlpm.e="",_xlpm.e&lt;_xlpm.s),"",_xlfn.LET(_xlpm.p,_xlfn.SEQUENCE(_xlpm.e-_xlpm.s+1,1,_xlpm.s,1),SUM(1/COUNTIFS($D:$D,D13,$E:$E,E13,$F:$F,"&lt;&gt;N/A",$G:$G,"&lt;&gt;N/A",$F:$F,"&lt;="&amp;_xlpm.p,$G:$G,"&gt;="&amp;_xlpm.p)))))</f>
        <v>1.5</v>
      </c>
      <c r="I13" t="s">
        <v>167</v>
      </c>
      <c r="J13" t="s">
        <v>6724</v>
      </c>
      <c r="K13" s="5" t="s">
        <v>7</v>
      </c>
      <c r="L13" s="5" t="s">
        <v>7</v>
      </c>
      <c r="M13" s="5" t="s">
        <v>7</v>
      </c>
      <c r="N13" s="5" t="s">
        <v>7</v>
      </c>
      <c r="O13" s="5" t="s">
        <v>778</v>
      </c>
      <c r="P13" s="5" t="s">
        <v>7834</v>
      </c>
      <c r="R13" s="4" t="b">
        <v>0</v>
      </c>
    </row>
    <row r="14" spans="1:18">
      <c r="A14" t="s">
        <v>3001</v>
      </c>
      <c r="B14" t="s">
        <v>3295</v>
      </c>
      <c r="C14" s="5" t="s">
        <v>7998</v>
      </c>
      <c r="D14" s="1">
        <v>1</v>
      </c>
      <c r="E14" s="1">
        <v>1</v>
      </c>
      <c r="F14" s="1">
        <v>60</v>
      </c>
      <c r="G14" s="1">
        <v>67</v>
      </c>
      <c r="H14" s="10" cm="1">
        <f t="array" ref="H14">_xlfn.LET(_xlpm.s,IFERROR(--F14,""),_xlpm.e,IFERROR(--G14,""),IF(OR(_xlpm.s="",_xlpm.e="",_xlpm.e&lt;_xlpm.s),"",_xlfn.LET(_xlpm.p,_xlfn.SEQUENCE(_xlpm.e-_xlpm.s+1,1,_xlpm.s,1),SUM(1/COUNTIFS($D:$D,D14,$E:$E,E14,$F:$F,"&lt;&gt;N/A",$G:$G,"&lt;&gt;N/A",$F:$F,"&lt;="&amp;_xlpm.p,$G:$G,"&gt;="&amp;_xlpm.p)))))</f>
        <v>8</v>
      </c>
      <c r="I14" t="s">
        <v>169</v>
      </c>
      <c r="J14" t="s">
        <v>6725</v>
      </c>
      <c r="K14" s="5" t="s">
        <v>7</v>
      </c>
      <c r="L14" s="5" t="s">
        <v>7</v>
      </c>
      <c r="M14" s="5" t="s">
        <v>7</v>
      </c>
      <c r="N14" s="5" t="s">
        <v>1936</v>
      </c>
      <c r="O14" s="5" t="s">
        <v>5072</v>
      </c>
      <c r="P14" s="5" t="s">
        <v>8019</v>
      </c>
      <c r="R14" s="4" t="b">
        <v>0</v>
      </c>
    </row>
    <row r="15" spans="1:18">
      <c r="A15" t="s">
        <v>3001</v>
      </c>
      <c r="B15" t="s">
        <v>3296</v>
      </c>
      <c r="C15" s="5" t="s">
        <v>7998</v>
      </c>
      <c r="D15" s="1">
        <v>1</v>
      </c>
      <c r="E15" s="1">
        <v>1</v>
      </c>
      <c r="F15" s="1">
        <v>68</v>
      </c>
      <c r="G15" s="1">
        <v>80</v>
      </c>
      <c r="H15" s="10" cm="1">
        <f t="array" ref="H15">_xlfn.LET(_xlpm.s,IFERROR(--F15,""),_xlpm.e,IFERROR(--G15,""),IF(OR(_xlpm.s="",_xlpm.e="",_xlpm.e&lt;_xlpm.s),"",_xlfn.LET(_xlpm.p,_xlfn.SEQUENCE(_xlpm.e-_xlpm.s+1,1,_xlpm.s,1),SUM(1/COUNTIFS($D:$D,D15,$E:$E,E15,$F:$F,"&lt;&gt;N/A",$G:$G,"&lt;&gt;N/A",$F:$F,"&lt;="&amp;_xlpm.p,$G:$G,"&gt;="&amp;_xlpm.p)))))</f>
        <v>13</v>
      </c>
      <c r="I15" t="s">
        <v>170</v>
      </c>
      <c r="J15" t="s">
        <v>1937</v>
      </c>
      <c r="K15" s="5" t="s">
        <v>7</v>
      </c>
      <c r="L15" s="5" t="s">
        <v>7</v>
      </c>
      <c r="M15" s="5" t="s">
        <v>7</v>
      </c>
      <c r="N15" s="5" t="s">
        <v>1939</v>
      </c>
      <c r="O15" s="5" t="s">
        <v>5072</v>
      </c>
      <c r="P15" s="5" t="s">
        <v>8019</v>
      </c>
      <c r="R15" s="4" t="b">
        <v>0</v>
      </c>
    </row>
    <row r="16" spans="1:18">
      <c r="A16" t="s">
        <v>3001</v>
      </c>
      <c r="B16" t="s">
        <v>6726</v>
      </c>
      <c r="C16" s="5" t="s">
        <v>7998</v>
      </c>
      <c r="D16" s="1">
        <v>1</v>
      </c>
      <c r="E16" s="1">
        <v>1</v>
      </c>
      <c r="F16" s="1">
        <v>81</v>
      </c>
      <c r="G16" s="1">
        <v>84</v>
      </c>
      <c r="H16" s="10" cm="1">
        <f t="array" ref="H16">_xlfn.LET(_xlpm.s,IFERROR(--F16,""),_xlpm.e,IFERROR(--G16,""),IF(OR(_xlpm.s="",_xlpm.e="",_xlpm.e&lt;_xlpm.s),"",_xlfn.LET(_xlpm.p,_xlfn.SEQUENCE(_xlpm.e-_xlpm.s+1,1,_xlpm.s,1),SUM(1/COUNTIFS($D:$D,D16,$E:$E,E16,$F:$F,"&lt;&gt;N/A",$G:$G,"&lt;&gt;N/A",$F:$F,"&lt;="&amp;_xlpm.p,$G:$G,"&gt;="&amp;_xlpm.p)))))</f>
        <v>4</v>
      </c>
      <c r="I16" t="s">
        <v>170</v>
      </c>
      <c r="J16" t="s">
        <v>1938</v>
      </c>
      <c r="K16" s="5" t="s">
        <v>7</v>
      </c>
      <c r="L16" s="5" t="s">
        <v>7</v>
      </c>
      <c r="M16" s="5" t="s">
        <v>7</v>
      </c>
      <c r="N16" s="5" t="s">
        <v>1940</v>
      </c>
      <c r="O16" s="5" t="s">
        <v>11522</v>
      </c>
      <c r="P16" s="5" t="s">
        <v>8019</v>
      </c>
      <c r="R16" s="4" t="b">
        <v>0</v>
      </c>
    </row>
    <row r="17" spans="1:18">
      <c r="A17" t="s">
        <v>3001</v>
      </c>
      <c r="B17" t="s">
        <v>6727</v>
      </c>
      <c r="C17" s="5" t="s">
        <v>7998</v>
      </c>
      <c r="D17" s="1">
        <v>1</v>
      </c>
      <c r="E17" s="1">
        <v>1</v>
      </c>
      <c r="F17" s="1">
        <v>85</v>
      </c>
      <c r="G17" s="1">
        <v>87</v>
      </c>
      <c r="H17" s="10" cm="1">
        <f t="array" ref="H17">_xlfn.LET(_xlpm.s,IFERROR(--F17,""),_xlpm.e,IFERROR(--G17,""),IF(OR(_xlpm.s="",_xlpm.e="",_xlpm.e&lt;_xlpm.s),"",_xlfn.LET(_xlpm.p,_xlfn.SEQUENCE(_xlpm.e-_xlpm.s+1,1,_xlpm.s,1),SUM(1/COUNTIFS($D:$D,D17,$E:$E,E17,$F:$F,"&lt;&gt;N/A",$G:$G,"&lt;&gt;N/A",$F:$F,"&lt;="&amp;_xlpm.p,$G:$G,"&gt;="&amp;_xlpm.p)))))</f>
        <v>3</v>
      </c>
      <c r="I17" t="s">
        <v>170</v>
      </c>
      <c r="J17" t="s">
        <v>171</v>
      </c>
      <c r="K17" s="5" t="s">
        <v>4504</v>
      </c>
      <c r="L17" s="5" t="s">
        <v>7</v>
      </c>
      <c r="M17" s="5" t="s">
        <v>7</v>
      </c>
      <c r="N17" s="5" t="s">
        <v>7</v>
      </c>
      <c r="O17" s="5" t="s">
        <v>778</v>
      </c>
      <c r="P17" s="5" t="s">
        <v>7834</v>
      </c>
      <c r="R17" s="4" t="b">
        <v>0</v>
      </c>
    </row>
    <row r="18" spans="1:18">
      <c r="A18" t="s">
        <v>3002</v>
      </c>
      <c r="B18" t="s">
        <v>3297</v>
      </c>
      <c r="C18" s="5" t="s">
        <v>7999</v>
      </c>
      <c r="D18" s="1">
        <v>1</v>
      </c>
      <c r="E18" s="1">
        <v>2</v>
      </c>
      <c r="F18" s="1">
        <v>91</v>
      </c>
      <c r="G18" s="1">
        <v>100</v>
      </c>
      <c r="H18" s="10" cm="1">
        <f t="array" ref="H18">_xlfn.LET(_xlpm.s,IFERROR(--F18,""),_xlpm.e,IFERROR(--G18,""),IF(OR(_xlpm.s="",_xlpm.e="",_xlpm.e&lt;_xlpm.s),"",_xlfn.LET(_xlpm.p,_xlfn.SEQUENCE(_xlpm.e-_xlpm.s+1,1,_xlpm.s,1),SUM(1/COUNTIFS($D:$D,D18,$E:$E,E18,$F:$F,"&lt;&gt;N/A",$G:$G,"&lt;&gt;N/A",$F:$F,"&lt;="&amp;_xlpm.p,$G:$G,"&gt;="&amp;_xlpm.p)))))</f>
        <v>10</v>
      </c>
      <c r="I18" t="s">
        <v>163</v>
      </c>
      <c r="J18" t="s">
        <v>213</v>
      </c>
      <c r="K18" s="5" t="s">
        <v>4504</v>
      </c>
      <c r="L18" s="5" t="s">
        <v>7</v>
      </c>
      <c r="M18" s="5" t="s">
        <v>7</v>
      </c>
      <c r="N18" s="5" t="s">
        <v>7</v>
      </c>
      <c r="O18" s="5" t="s">
        <v>778</v>
      </c>
      <c r="P18" s="5" t="s">
        <v>7834</v>
      </c>
      <c r="R18" s="4" t="b">
        <v>1</v>
      </c>
    </row>
    <row r="19" spans="1:18">
      <c r="A19" t="s">
        <v>3002</v>
      </c>
      <c r="B19" t="s">
        <v>3298</v>
      </c>
      <c r="C19" s="5" t="s">
        <v>7999</v>
      </c>
      <c r="D19" s="1">
        <v>1</v>
      </c>
      <c r="E19" s="1">
        <v>2</v>
      </c>
      <c r="F19" s="1">
        <v>101</v>
      </c>
      <c r="G19" s="1">
        <v>110</v>
      </c>
      <c r="H19" s="10" cm="1">
        <f t="array" ref="H19">_xlfn.LET(_xlpm.s,IFERROR(--F19,""),_xlpm.e,IFERROR(--G19,""),IF(OR(_xlpm.s="",_xlpm.e="",_xlpm.e&lt;_xlpm.s),"",_xlfn.LET(_xlpm.p,_xlfn.SEQUENCE(_xlpm.e-_xlpm.s+1,1,_xlpm.s,1),SUM(1/COUNTIFS($D:$D,D19,$E:$E,E19,$F:$F,"&lt;&gt;N/A",$G:$G,"&lt;&gt;N/A",$F:$F,"&lt;="&amp;_xlpm.p,$G:$G,"&gt;="&amp;_xlpm.p)))))</f>
        <v>9.5</v>
      </c>
      <c r="I19" t="s">
        <v>163</v>
      </c>
      <c r="J19" t="s">
        <v>172</v>
      </c>
      <c r="K19" s="5" t="s">
        <v>7</v>
      </c>
      <c r="L19" s="5" t="s">
        <v>7</v>
      </c>
      <c r="M19" s="5" t="s">
        <v>7</v>
      </c>
      <c r="N19" s="5" t="s">
        <v>10145</v>
      </c>
      <c r="O19" s="5" t="s">
        <v>5072</v>
      </c>
      <c r="P19" s="5" t="s">
        <v>8021</v>
      </c>
      <c r="Q19" s="5" t="s">
        <v>2509</v>
      </c>
      <c r="R19" s="4" t="b">
        <v>1</v>
      </c>
    </row>
    <row r="20" spans="1:18">
      <c r="A20" t="s">
        <v>3002</v>
      </c>
      <c r="B20" t="s">
        <v>3299</v>
      </c>
      <c r="C20" s="5" t="s">
        <v>7999</v>
      </c>
      <c r="D20" s="1">
        <v>1</v>
      </c>
      <c r="E20" s="1">
        <v>2</v>
      </c>
      <c r="F20" s="1">
        <v>110</v>
      </c>
      <c r="G20" s="1">
        <v>116</v>
      </c>
      <c r="H20" s="10" cm="1">
        <f t="array" ref="H20">_xlfn.LET(_xlpm.s,IFERROR(--F20,""),_xlpm.e,IFERROR(--G20,""),IF(OR(_xlpm.s="",_xlpm.e="",_xlpm.e&lt;_xlpm.s),"",_xlfn.LET(_xlpm.p,_xlfn.SEQUENCE(_xlpm.e-_xlpm.s+1,1,_xlpm.s,1),SUM(1/COUNTIFS($D:$D,D20,$E:$E,E20,$F:$F,"&lt;&gt;N/A",$G:$G,"&lt;&gt;N/A",$F:$F,"&lt;="&amp;_xlpm.p,$G:$G,"&gt;="&amp;_xlpm.p)))))</f>
        <v>6.5</v>
      </c>
      <c r="I20" t="s">
        <v>163</v>
      </c>
      <c r="J20" t="s">
        <v>173</v>
      </c>
      <c r="K20" s="5" t="s">
        <v>7</v>
      </c>
      <c r="L20" s="5" t="s">
        <v>7</v>
      </c>
      <c r="M20" s="5" t="s">
        <v>7</v>
      </c>
      <c r="N20" s="4" t="s">
        <v>2075</v>
      </c>
      <c r="O20" s="5" t="s">
        <v>5072</v>
      </c>
      <c r="P20" s="5" t="s">
        <v>8021</v>
      </c>
      <c r="R20" s="4" t="b">
        <v>1</v>
      </c>
    </row>
    <row r="21" spans="1:18">
      <c r="A21" t="s">
        <v>3002</v>
      </c>
      <c r="B21" t="s">
        <v>3300</v>
      </c>
      <c r="C21" s="5" t="s">
        <v>7999</v>
      </c>
      <c r="D21" s="1">
        <v>1</v>
      </c>
      <c r="E21" s="1">
        <v>2</v>
      </c>
      <c r="F21" s="1">
        <v>117</v>
      </c>
      <c r="G21" s="1">
        <v>132</v>
      </c>
      <c r="H21" s="10" cm="1">
        <f t="array" ref="H21">_xlfn.LET(_xlpm.s,IFERROR(--F21,""),_xlpm.e,IFERROR(--G21,""),IF(OR(_xlpm.s="",_xlpm.e="",_xlpm.e&lt;_xlpm.s),"",_xlfn.LET(_xlpm.p,_xlfn.SEQUENCE(_xlpm.e-_xlpm.s+1,1,_xlpm.s,1),SUM(1/COUNTIFS($D:$D,D21,$E:$E,E21,$F:$F,"&lt;&gt;N/A",$G:$G,"&lt;&gt;N/A",$F:$F,"&lt;="&amp;_xlpm.p,$G:$G,"&gt;="&amp;_xlpm.p)))))</f>
        <v>16</v>
      </c>
      <c r="I21" t="s">
        <v>163</v>
      </c>
      <c r="J21" t="s">
        <v>3225</v>
      </c>
      <c r="K21" s="5" t="s">
        <v>7</v>
      </c>
      <c r="L21" s="5" t="s">
        <v>7</v>
      </c>
      <c r="M21" s="5" t="s">
        <v>7</v>
      </c>
      <c r="N21" s="5" t="s">
        <v>7</v>
      </c>
      <c r="O21" s="5" t="s">
        <v>778</v>
      </c>
      <c r="P21" s="5" t="s">
        <v>7834</v>
      </c>
      <c r="R21" s="4" t="b">
        <v>1</v>
      </c>
    </row>
    <row r="22" spans="1:18">
      <c r="A22" t="s">
        <v>3002</v>
      </c>
      <c r="B22" t="s">
        <v>3301</v>
      </c>
      <c r="C22" s="5" t="s">
        <v>7999</v>
      </c>
      <c r="D22" s="1">
        <v>1</v>
      </c>
      <c r="E22" s="1">
        <v>2</v>
      </c>
      <c r="F22" s="1">
        <v>133</v>
      </c>
      <c r="G22" s="1">
        <v>136</v>
      </c>
      <c r="H22" s="10" cm="1">
        <f t="array" ref="H22">_xlfn.LET(_xlpm.s,IFERROR(--F22,""),_xlpm.e,IFERROR(--G22,""),IF(OR(_xlpm.s="",_xlpm.e="",_xlpm.e&lt;_xlpm.s),"",_xlfn.LET(_xlpm.p,_xlfn.SEQUENCE(_xlpm.e-_xlpm.s+1,1,_xlpm.s,1),SUM(1/COUNTIFS($D:$D,D22,$E:$E,E22,$F:$F,"&lt;&gt;N/A",$G:$G,"&lt;&gt;N/A",$F:$F,"&lt;="&amp;_xlpm.p,$G:$G,"&gt;="&amp;_xlpm.p)))))</f>
        <v>3.5</v>
      </c>
      <c r="I22" t="s">
        <v>163</v>
      </c>
      <c r="J22" t="s">
        <v>174</v>
      </c>
      <c r="K22" s="5" t="s">
        <v>4504</v>
      </c>
      <c r="L22" s="5" t="s">
        <v>7</v>
      </c>
      <c r="M22" s="5" t="s">
        <v>7</v>
      </c>
      <c r="N22" s="5" t="s">
        <v>2834</v>
      </c>
      <c r="O22" s="5" t="s">
        <v>5072</v>
      </c>
      <c r="P22" s="5" t="s">
        <v>8021</v>
      </c>
      <c r="R22" s="4" t="b">
        <v>1</v>
      </c>
    </row>
    <row r="23" spans="1:18">
      <c r="A23" t="s">
        <v>3002</v>
      </c>
      <c r="B23" t="s">
        <v>3302</v>
      </c>
      <c r="C23" s="5" t="s">
        <v>7999</v>
      </c>
      <c r="D23" s="1">
        <v>1</v>
      </c>
      <c r="E23" s="1">
        <v>2</v>
      </c>
      <c r="F23" s="1">
        <v>136</v>
      </c>
      <c r="G23" s="1">
        <v>140</v>
      </c>
      <c r="H23" s="10" cm="1">
        <f t="array" ref="H23">_xlfn.LET(_xlpm.s,IFERROR(--F23,""),_xlpm.e,IFERROR(--G23,""),IF(OR(_xlpm.s="",_xlpm.e="",_xlpm.e&lt;_xlpm.s),"",_xlfn.LET(_xlpm.p,_xlfn.SEQUENCE(_xlpm.e-_xlpm.s+1,1,_xlpm.s,1),SUM(1/COUNTIFS($D:$D,D23,$E:$E,E23,$F:$F,"&lt;&gt;N/A",$G:$G,"&lt;&gt;N/A",$F:$F,"&lt;="&amp;_xlpm.p,$G:$G,"&gt;="&amp;_xlpm.p)))))</f>
        <v>4.5</v>
      </c>
      <c r="I23" t="s">
        <v>163</v>
      </c>
      <c r="J23" t="s">
        <v>175</v>
      </c>
      <c r="K23" s="5" t="s">
        <v>7</v>
      </c>
      <c r="L23" s="5" t="s">
        <v>7</v>
      </c>
      <c r="M23" s="5" t="s">
        <v>7</v>
      </c>
      <c r="N23" s="5" t="s">
        <v>2694</v>
      </c>
      <c r="O23" s="5" t="s">
        <v>5072</v>
      </c>
      <c r="P23" s="5" t="s">
        <v>8019</v>
      </c>
      <c r="R23" s="4" t="b">
        <v>1</v>
      </c>
    </row>
    <row r="24" spans="1:18">
      <c r="A24" t="s">
        <v>3002</v>
      </c>
      <c r="B24" t="s">
        <v>3303</v>
      </c>
      <c r="C24" s="5" t="s">
        <v>7999</v>
      </c>
      <c r="D24" s="1">
        <v>1</v>
      </c>
      <c r="E24" s="1">
        <v>2</v>
      </c>
      <c r="F24" s="1">
        <v>141</v>
      </c>
      <c r="G24" s="1">
        <v>146</v>
      </c>
      <c r="H24" s="10" cm="1">
        <f t="array" ref="H24">_xlfn.LET(_xlpm.s,IFERROR(--F24,""),_xlpm.e,IFERROR(--G24,""),IF(OR(_xlpm.s="",_xlpm.e="",_xlpm.e&lt;_xlpm.s),"",_xlfn.LET(_xlpm.p,_xlfn.SEQUENCE(_xlpm.e-_xlpm.s+1,1,_xlpm.s,1),SUM(1/COUNTIFS($D:$D,D24,$E:$E,E24,$F:$F,"&lt;&gt;N/A",$G:$G,"&lt;&gt;N/A",$F:$F,"&lt;="&amp;_xlpm.p,$G:$G,"&gt;="&amp;_xlpm.p)))))</f>
        <v>6</v>
      </c>
      <c r="I24" t="s">
        <v>163</v>
      </c>
      <c r="J24" t="s">
        <v>176</v>
      </c>
      <c r="K24" s="5" t="s">
        <v>7</v>
      </c>
      <c r="L24" s="5" t="s">
        <v>7</v>
      </c>
      <c r="M24" s="5" t="s">
        <v>7</v>
      </c>
      <c r="N24" s="5" t="s">
        <v>2074</v>
      </c>
      <c r="O24" s="5" t="s">
        <v>5072</v>
      </c>
      <c r="P24" s="5" t="s">
        <v>8019</v>
      </c>
      <c r="R24" s="4" t="b">
        <v>1</v>
      </c>
    </row>
    <row r="25" spans="1:18">
      <c r="A25" t="s">
        <v>3002</v>
      </c>
      <c r="B25" t="s">
        <v>3304</v>
      </c>
      <c r="C25" s="5" t="s">
        <v>7999</v>
      </c>
      <c r="D25" s="1">
        <v>1</v>
      </c>
      <c r="E25" s="1">
        <v>2</v>
      </c>
      <c r="F25" s="1">
        <v>147</v>
      </c>
      <c r="G25" s="1">
        <v>148</v>
      </c>
      <c r="H25" s="10" cm="1">
        <f t="array" ref="H25">_xlfn.LET(_xlpm.s,IFERROR(--F25,""),_xlpm.e,IFERROR(--G25,""),IF(OR(_xlpm.s="",_xlpm.e="",_xlpm.e&lt;_xlpm.s),"",_xlfn.LET(_xlpm.p,_xlfn.SEQUENCE(_xlpm.e-_xlpm.s+1,1,_xlpm.s,1),SUM(1/COUNTIFS($D:$D,D25,$E:$E,E25,$F:$F,"&lt;&gt;N/A",$G:$G,"&lt;&gt;N/A",$F:$F,"&lt;="&amp;_xlpm.p,$G:$G,"&gt;="&amp;_xlpm.p)))))</f>
        <v>2</v>
      </c>
      <c r="I25" t="s">
        <v>167</v>
      </c>
      <c r="J25" t="s">
        <v>58</v>
      </c>
      <c r="K25" s="5" t="s">
        <v>4504</v>
      </c>
      <c r="L25" s="5" t="s">
        <v>7</v>
      </c>
      <c r="M25" s="5" t="s">
        <v>7</v>
      </c>
      <c r="N25" s="5" t="s">
        <v>7</v>
      </c>
      <c r="O25" s="5" t="s">
        <v>778</v>
      </c>
      <c r="P25" s="5" t="s">
        <v>7834</v>
      </c>
      <c r="R25" s="4" t="b">
        <v>0</v>
      </c>
    </row>
    <row r="26" spans="1:18">
      <c r="A26" t="s">
        <v>3002</v>
      </c>
      <c r="B26" t="s">
        <v>3305</v>
      </c>
      <c r="C26" s="5" t="s">
        <v>7999</v>
      </c>
      <c r="D26" s="1">
        <v>1</v>
      </c>
      <c r="E26" s="1">
        <v>2</v>
      </c>
      <c r="F26" s="1">
        <v>149</v>
      </c>
      <c r="G26" s="1">
        <v>150</v>
      </c>
      <c r="H26" s="10" cm="1">
        <f t="array" ref="H26">_xlfn.LET(_xlpm.s,IFERROR(--F26,""),_xlpm.e,IFERROR(--G26,""),IF(OR(_xlpm.s="",_xlpm.e="",_xlpm.e&lt;_xlpm.s),"",_xlfn.LET(_xlpm.p,_xlfn.SEQUENCE(_xlpm.e-_xlpm.s+1,1,_xlpm.s,1),SUM(1/COUNTIFS($D:$D,D26,$E:$E,E26,$F:$F,"&lt;&gt;N/A",$G:$G,"&lt;&gt;N/A",$F:$F,"&lt;="&amp;_xlpm.p,$G:$G,"&gt;="&amp;_xlpm.p)))))</f>
        <v>1.5</v>
      </c>
      <c r="I26" t="s">
        <v>167</v>
      </c>
      <c r="J26" t="s">
        <v>2528</v>
      </c>
      <c r="K26" s="5" t="s">
        <v>7</v>
      </c>
      <c r="L26" s="5" t="s">
        <v>7</v>
      </c>
      <c r="M26" s="5" t="s">
        <v>7</v>
      </c>
      <c r="N26" s="5" t="s">
        <v>7</v>
      </c>
      <c r="O26" s="5" t="s">
        <v>778</v>
      </c>
      <c r="P26" s="5" t="s">
        <v>7834</v>
      </c>
      <c r="R26" s="4" t="b">
        <v>0</v>
      </c>
    </row>
    <row r="27" spans="1:18">
      <c r="A27" t="s">
        <v>3002</v>
      </c>
      <c r="B27" t="s">
        <v>3306</v>
      </c>
      <c r="C27" s="5" t="s">
        <v>7999</v>
      </c>
      <c r="D27" s="1">
        <v>1</v>
      </c>
      <c r="E27" s="1">
        <v>2</v>
      </c>
      <c r="F27" s="1">
        <v>150</v>
      </c>
      <c r="G27" s="1">
        <v>150</v>
      </c>
      <c r="H27" s="10" cm="1">
        <f t="array" ref="H27">_xlfn.LET(_xlpm.s,IFERROR(--F27,""),_xlpm.e,IFERROR(--G27,""),IF(OR(_xlpm.s="",_xlpm.e="",_xlpm.e&lt;_xlpm.s),"",_xlfn.LET(_xlpm.p,_xlfn.SEQUENCE(_xlpm.e-_xlpm.s+1,1,_xlpm.s,1),SUM(1/COUNTIFS($D:$D,D27,$E:$E,E27,$F:$F,"&lt;&gt;N/A",$G:$G,"&lt;&gt;N/A",$F:$F,"&lt;="&amp;_xlpm.p,$G:$G,"&gt;="&amp;_xlpm.p)))))</f>
        <v>0.5</v>
      </c>
      <c r="I27" t="s">
        <v>167</v>
      </c>
      <c r="J27" t="s">
        <v>187</v>
      </c>
      <c r="K27" s="5" t="s">
        <v>7</v>
      </c>
      <c r="L27" s="5" t="s">
        <v>7</v>
      </c>
      <c r="M27" s="5" t="s">
        <v>7</v>
      </c>
      <c r="N27" s="5" t="s">
        <v>7</v>
      </c>
      <c r="O27" s="5" t="s">
        <v>778</v>
      </c>
      <c r="P27" s="5" t="s">
        <v>7834</v>
      </c>
      <c r="R27" s="4" t="b">
        <v>0</v>
      </c>
    </row>
    <row r="28" spans="1:18">
      <c r="A28" t="s">
        <v>3002</v>
      </c>
      <c r="B28" t="s">
        <v>3307</v>
      </c>
      <c r="C28" s="5" t="s">
        <v>7999</v>
      </c>
      <c r="D28" s="1">
        <v>1</v>
      </c>
      <c r="E28" s="1">
        <v>2</v>
      </c>
      <c r="F28" s="1">
        <v>151</v>
      </c>
      <c r="G28" s="1">
        <v>162</v>
      </c>
      <c r="H28" s="10" cm="1">
        <f t="array" ref="H28">_xlfn.LET(_xlpm.s,IFERROR(--F28,""),_xlpm.e,IFERROR(--G28,""),IF(OR(_xlpm.s="",_xlpm.e="",_xlpm.e&lt;_xlpm.s),"",_xlfn.LET(_xlpm.p,_xlfn.SEQUENCE(_xlpm.e-_xlpm.s+1,1,_xlpm.s,1),SUM(1/COUNTIFS($D:$D,D28,$E:$E,E28,$F:$F,"&lt;&gt;N/A",$G:$G,"&lt;&gt;N/A",$F:$F,"&lt;="&amp;_xlpm.p,$G:$G,"&gt;="&amp;_xlpm.p)))))</f>
        <v>11.5</v>
      </c>
      <c r="I28" t="s">
        <v>167</v>
      </c>
      <c r="J28" t="s">
        <v>178</v>
      </c>
      <c r="K28" s="5" t="s">
        <v>156</v>
      </c>
      <c r="L28" s="5" t="s">
        <v>7</v>
      </c>
      <c r="M28" s="5" t="s">
        <v>7</v>
      </c>
      <c r="N28" s="5" t="s">
        <v>7</v>
      </c>
      <c r="O28" s="5" t="s">
        <v>778</v>
      </c>
      <c r="P28" s="5" t="s">
        <v>7834</v>
      </c>
      <c r="R28" s="4" t="b">
        <v>0</v>
      </c>
    </row>
    <row r="29" spans="1:18">
      <c r="A29" t="s">
        <v>3002</v>
      </c>
      <c r="B29" t="s">
        <v>3308</v>
      </c>
      <c r="C29" s="5" t="s">
        <v>7999</v>
      </c>
      <c r="D29" s="1">
        <v>1</v>
      </c>
      <c r="E29" s="1">
        <v>2</v>
      </c>
      <c r="F29" s="1">
        <v>162</v>
      </c>
      <c r="G29" s="1">
        <v>162</v>
      </c>
      <c r="H29" s="10" cm="1">
        <f t="array" ref="H29">_xlfn.LET(_xlpm.s,IFERROR(--F29,""),_xlpm.e,IFERROR(--G29,""),IF(OR(_xlpm.s="",_xlpm.e="",_xlpm.e&lt;_xlpm.s),"",_xlfn.LET(_xlpm.p,_xlfn.SEQUENCE(_xlpm.e-_xlpm.s+1,1,_xlpm.s,1),SUM(1/COUNTIFS($D:$D,D29,$E:$E,E29,$F:$F,"&lt;&gt;N/A",$G:$G,"&lt;&gt;N/A",$F:$F,"&lt;="&amp;_xlpm.p,$G:$G,"&gt;="&amp;_xlpm.p)))))</f>
        <v>0.5</v>
      </c>
      <c r="I29" t="s">
        <v>167</v>
      </c>
      <c r="J29" t="s">
        <v>179</v>
      </c>
      <c r="K29" s="5" t="s">
        <v>7</v>
      </c>
      <c r="L29" s="5" t="s">
        <v>7</v>
      </c>
      <c r="M29" s="5" t="s">
        <v>7</v>
      </c>
      <c r="N29" s="5" t="s">
        <v>7</v>
      </c>
      <c r="O29" s="5" t="s">
        <v>778</v>
      </c>
      <c r="P29" s="5" t="s">
        <v>7834</v>
      </c>
      <c r="R29" s="4" t="b">
        <v>0</v>
      </c>
    </row>
    <row r="30" spans="1:18">
      <c r="A30" t="s">
        <v>3002</v>
      </c>
      <c r="B30" t="s">
        <v>3309</v>
      </c>
      <c r="C30" s="5" t="s">
        <v>7999</v>
      </c>
      <c r="D30" s="1">
        <v>1</v>
      </c>
      <c r="E30" s="1">
        <v>2</v>
      </c>
      <c r="F30" s="1">
        <v>163</v>
      </c>
      <c r="G30" s="1">
        <v>165</v>
      </c>
      <c r="H30" s="10" cm="1">
        <f t="array" ref="H30">_xlfn.LET(_xlpm.s,IFERROR(--F30,""),_xlpm.e,IFERROR(--G30,""),IF(OR(_xlpm.s="",_xlpm.e="",_xlpm.e&lt;_xlpm.s),"",_xlfn.LET(_xlpm.p,_xlfn.SEQUENCE(_xlpm.e-_xlpm.s+1,1,_xlpm.s,1),SUM(1/COUNTIFS($D:$D,D30,$E:$E,E30,$F:$F,"&lt;&gt;N/A",$G:$G,"&lt;&gt;N/A",$F:$F,"&lt;="&amp;_xlpm.p,$G:$G,"&gt;="&amp;_xlpm.p)))))</f>
        <v>3</v>
      </c>
      <c r="I30" t="s">
        <v>169</v>
      </c>
      <c r="J30" t="s">
        <v>180</v>
      </c>
      <c r="K30" s="5" t="s">
        <v>7</v>
      </c>
      <c r="L30" s="5" t="s">
        <v>7</v>
      </c>
      <c r="M30" s="5" t="s">
        <v>7</v>
      </c>
      <c r="N30" s="5" t="s">
        <v>1936</v>
      </c>
      <c r="O30" s="5" t="s">
        <v>5072</v>
      </c>
      <c r="P30" s="5" t="s">
        <v>8019</v>
      </c>
      <c r="R30" s="4" t="b">
        <v>0</v>
      </c>
    </row>
    <row r="31" spans="1:18">
      <c r="A31" t="s">
        <v>3002</v>
      </c>
      <c r="B31" t="s">
        <v>3310</v>
      </c>
      <c r="C31" s="5" t="s">
        <v>7999</v>
      </c>
      <c r="D31" s="1">
        <v>1</v>
      </c>
      <c r="E31" s="1">
        <v>2</v>
      </c>
      <c r="F31" s="1">
        <v>166</v>
      </c>
      <c r="G31" s="1">
        <v>170</v>
      </c>
      <c r="H31" s="10" cm="1">
        <f t="array" ref="H31">_xlfn.LET(_xlpm.s,IFERROR(--F31,""),_xlpm.e,IFERROR(--G31,""),IF(OR(_xlpm.s="",_xlpm.e="",_xlpm.e&lt;_xlpm.s),"",_xlfn.LET(_xlpm.p,_xlfn.SEQUENCE(_xlpm.e-_xlpm.s+1,1,_xlpm.s,1),SUM(1/COUNTIFS($D:$D,D31,$E:$E,E31,$F:$F,"&lt;&gt;N/A",$G:$G,"&lt;&gt;N/A",$F:$F,"&lt;="&amp;_xlpm.p,$G:$G,"&gt;="&amp;_xlpm.p)))))</f>
        <v>5</v>
      </c>
      <c r="I31" t="s">
        <v>169</v>
      </c>
      <c r="J31" t="s">
        <v>181</v>
      </c>
      <c r="K31" s="5" t="s">
        <v>7</v>
      </c>
      <c r="L31" s="5" t="s">
        <v>7</v>
      </c>
      <c r="M31" s="5" t="s">
        <v>7</v>
      </c>
      <c r="N31" s="5" t="s">
        <v>1941</v>
      </c>
      <c r="O31" s="5" t="s">
        <v>5072</v>
      </c>
      <c r="P31" s="5" t="s">
        <v>10179</v>
      </c>
      <c r="R31" s="4" t="b">
        <v>0</v>
      </c>
    </row>
    <row r="32" spans="1:18">
      <c r="A32" t="s">
        <v>3002</v>
      </c>
      <c r="B32" t="s">
        <v>3311</v>
      </c>
      <c r="C32" s="5" t="s">
        <v>7999</v>
      </c>
      <c r="D32" s="1">
        <v>1</v>
      </c>
      <c r="E32" s="1">
        <v>2</v>
      </c>
      <c r="F32" s="1">
        <v>171</v>
      </c>
      <c r="G32" s="1">
        <v>173</v>
      </c>
      <c r="H32" s="10" cm="1">
        <f t="array" ref="H32">_xlfn.LET(_xlpm.s,IFERROR(--F32,""),_xlpm.e,IFERROR(--G32,""),IF(OR(_xlpm.s="",_xlpm.e="",_xlpm.e&lt;_xlpm.s),"",_xlfn.LET(_xlpm.p,_xlfn.SEQUENCE(_xlpm.e-_xlpm.s+1,1,_xlpm.s,1),SUM(1/COUNTIFS($D:$D,D32,$E:$E,E32,$F:$F,"&lt;&gt;N/A",$G:$G,"&lt;&gt;N/A",$F:$F,"&lt;="&amp;_xlpm.p,$G:$G,"&gt;="&amp;_xlpm.p)))))</f>
        <v>3</v>
      </c>
      <c r="I32" t="s">
        <v>170</v>
      </c>
      <c r="J32" t="s">
        <v>4483</v>
      </c>
      <c r="K32" s="5" t="s">
        <v>7</v>
      </c>
      <c r="L32" s="5" t="s">
        <v>7</v>
      </c>
      <c r="M32" s="5" t="s">
        <v>7</v>
      </c>
      <c r="N32" s="5" t="s">
        <v>1940</v>
      </c>
      <c r="O32" s="5" t="s">
        <v>5072</v>
      </c>
      <c r="P32" s="5" t="s">
        <v>8019</v>
      </c>
      <c r="R32" s="4" t="b">
        <v>0</v>
      </c>
    </row>
    <row r="33" spans="1:18">
      <c r="A33" t="s">
        <v>3002</v>
      </c>
      <c r="B33" t="s">
        <v>6728</v>
      </c>
      <c r="C33" s="5" t="s">
        <v>7999</v>
      </c>
      <c r="D33" s="1">
        <v>1</v>
      </c>
      <c r="E33" s="1">
        <v>2</v>
      </c>
      <c r="F33" s="1">
        <v>174</v>
      </c>
      <c r="G33" s="1">
        <v>182</v>
      </c>
      <c r="H33" s="10" cm="1">
        <f t="array" ref="H33">_xlfn.LET(_xlpm.s,IFERROR(--F33,""),_xlpm.e,IFERROR(--G33,""),IF(OR(_xlpm.s="",_xlpm.e="",_xlpm.e&lt;_xlpm.s),"",_xlfn.LET(_xlpm.p,_xlfn.SEQUENCE(_xlpm.e-_xlpm.s+1,1,_xlpm.s,1),SUM(1/COUNTIFS($D:$D,D33,$E:$E,E33,$F:$F,"&lt;&gt;N/A",$G:$G,"&lt;&gt;N/A",$F:$F,"&lt;="&amp;_xlpm.p,$G:$G,"&gt;="&amp;_xlpm.p)))))</f>
        <v>8.5</v>
      </c>
      <c r="I33" t="s">
        <v>170</v>
      </c>
      <c r="J33" t="s">
        <v>182</v>
      </c>
      <c r="K33" s="5" t="s">
        <v>7</v>
      </c>
      <c r="L33" s="5" t="s">
        <v>7</v>
      </c>
      <c r="M33" s="5" t="s">
        <v>7</v>
      </c>
      <c r="N33" s="5" t="s">
        <v>7</v>
      </c>
      <c r="O33" s="5" t="s">
        <v>778</v>
      </c>
      <c r="P33" s="5" t="s">
        <v>7834</v>
      </c>
      <c r="R33" s="4" t="b">
        <v>0</v>
      </c>
    </row>
    <row r="34" spans="1:18">
      <c r="A34" t="s">
        <v>3002</v>
      </c>
      <c r="B34" t="s">
        <v>6729</v>
      </c>
      <c r="C34" s="5" t="s">
        <v>7999</v>
      </c>
      <c r="D34" s="1">
        <v>1</v>
      </c>
      <c r="E34" s="1">
        <v>2</v>
      </c>
      <c r="F34" s="1">
        <v>182</v>
      </c>
      <c r="G34" s="1">
        <v>192</v>
      </c>
      <c r="H34" s="10" cm="1">
        <f t="array" ref="H34">_xlfn.LET(_xlpm.s,IFERROR(--F34,""),_xlpm.e,IFERROR(--G34,""),IF(OR(_xlpm.s="",_xlpm.e="",_xlpm.e&lt;_xlpm.s),"",_xlfn.LET(_xlpm.p,_xlfn.SEQUENCE(_xlpm.e-_xlpm.s+1,1,_xlpm.s,1),SUM(1/COUNTIFS($D:$D,D34,$E:$E,E34,$F:$F,"&lt;&gt;N/A",$G:$G,"&lt;&gt;N/A",$F:$F,"&lt;="&amp;_xlpm.p,$G:$G,"&gt;="&amp;_xlpm.p)))))</f>
        <v>10.5</v>
      </c>
      <c r="I34" t="s">
        <v>183</v>
      </c>
      <c r="J34" t="s">
        <v>3197</v>
      </c>
      <c r="K34" s="5" t="s">
        <v>1935</v>
      </c>
      <c r="L34" s="5" t="s">
        <v>7</v>
      </c>
      <c r="M34" s="5" t="s">
        <v>7</v>
      </c>
      <c r="N34" s="5" t="s">
        <v>7</v>
      </c>
      <c r="O34" s="5" t="s">
        <v>778</v>
      </c>
      <c r="P34" s="5" t="s">
        <v>7834</v>
      </c>
      <c r="R34" s="4" t="b">
        <v>0</v>
      </c>
    </row>
    <row r="35" spans="1:18">
      <c r="A35" t="s">
        <v>3003</v>
      </c>
      <c r="B35" t="s">
        <v>3312</v>
      </c>
      <c r="C35" s="5" t="s">
        <v>8000</v>
      </c>
      <c r="D35" s="1">
        <v>1</v>
      </c>
      <c r="E35" s="1">
        <v>3</v>
      </c>
      <c r="F35" s="1">
        <v>193</v>
      </c>
      <c r="G35" s="1">
        <v>198</v>
      </c>
      <c r="H35" s="10" cm="1">
        <f t="array" ref="H35">_xlfn.LET(_xlpm.s,IFERROR(--F35,""),_xlpm.e,IFERROR(--G35,""),IF(OR(_xlpm.s="",_xlpm.e="",_xlpm.e&lt;_xlpm.s),"",_xlfn.LET(_xlpm.p,_xlfn.SEQUENCE(_xlpm.e-_xlpm.s+1,1,_xlpm.s,1),SUM(1/COUNTIFS($D:$D,D35,$E:$E,E35,$F:$F,"&lt;&gt;N/A",$G:$G,"&lt;&gt;N/A",$F:$F,"&lt;="&amp;_xlpm.p,$G:$G,"&gt;="&amp;_xlpm.p)))))</f>
        <v>5.5</v>
      </c>
      <c r="I35" t="s">
        <v>7</v>
      </c>
      <c r="J35" t="s">
        <v>184</v>
      </c>
      <c r="K35" s="5" t="s">
        <v>7</v>
      </c>
      <c r="L35" s="5" t="s">
        <v>7</v>
      </c>
      <c r="M35" s="5" t="s">
        <v>7</v>
      </c>
      <c r="N35" s="5" t="s">
        <v>7</v>
      </c>
      <c r="O35" s="5" t="s">
        <v>778</v>
      </c>
      <c r="P35" s="5" t="s">
        <v>7834</v>
      </c>
      <c r="R35" s="4" t="b">
        <v>0</v>
      </c>
    </row>
    <row r="36" spans="1:18">
      <c r="A36" t="s">
        <v>3003</v>
      </c>
      <c r="B36" t="s">
        <v>3313</v>
      </c>
      <c r="C36" s="5" t="s">
        <v>8000</v>
      </c>
      <c r="D36" s="1">
        <v>1</v>
      </c>
      <c r="E36" s="1">
        <v>3</v>
      </c>
      <c r="F36" s="1">
        <v>198</v>
      </c>
      <c r="G36" s="1">
        <v>223</v>
      </c>
      <c r="H36" s="10" cm="1">
        <f t="array" ref="H36">_xlfn.LET(_xlpm.s,IFERROR(--F36,""),_xlpm.e,IFERROR(--G36,""),IF(OR(_xlpm.s="",_xlpm.e="",_xlpm.e&lt;_xlpm.s),"",_xlfn.LET(_xlpm.p,_xlfn.SEQUENCE(_xlpm.e-_xlpm.s+1,1,_xlpm.s,1),SUM(1/COUNTIFS($D:$D,D36,$E:$E,E36,$F:$F,"&lt;&gt;N/A",$G:$G,"&lt;&gt;N/A",$F:$F,"&lt;="&amp;_xlpm.p,$G:$G,"&gt;="&amp;_xlpm.p)))))</f>
        <v>25.5</v>
      </c>
      <c r="I36" t="s">
        <v>163</v>
      </c>
      <c r="J36" t="s">
        <v>185</v>
      </c>
      <c r="K36" s="5" t="s">
        <v>7</v>
      </c>
      <c r="L36" s="5" t="s">
        <v>7</v>
      </c>
      <c r="M36" s="5" t="s">
        <v>7</v>
      </c>
      <c r="N36" s="5" t="s">
        <v>2665</v>
      </c>
      <c r="O36" s="5" t="s">
        <v>11522</v>
      </c>
      <c r="P36" s="5" t="s">
        <v>8021</v>
      </c>
      <c r="R36" s="4" t="b">
        <v>1</v>
      </c>
    </row>
    <row r="37" spans="1:18">
      <c r="A37" t="s">
        <v>3003</v>
      </c>
      <c r="B37" t="s">
        <v>3314</v>
      </c>
      <c r="C37" s="5" t="s">
        <v>8000</v>
      </c>
      <c r="D37" s="1">
        <v>1</v>
      </c>
      <c r="E37" s="1">
        <v>3</v>
      </c>
      <c r="F37" s="1">
        <v>224</v>
      </c>
      <c r="G37" s="1">
        <v>227</v>
      </c>
      <c r="H37" s="10" cm="1">
        <f t="array" ref="H37">_xlfn.LET(_xlpm.s,IFERROR(--F37,""),_xlpm.e,IFERROR(--G37,""),IF(OR(_xlpm.s="",_xlpm.e="",_xlpm.e&lt;_xlpm.s),"",_xlfn.LET(_xlpm.p,_xlfn.SEQUENCE(_xlpm.e-_xlpm.s+1,1,_xlpm.s,1),SUM(1/COUNTIFS($D:$D,D37,$E:$E,E37,$F:$F,"&lt;&gt;N/A",$G:$G,"&lt;&gt;N/A",$F:$F,"&lt;="&amp;_xlpm.p,$G:$G,"&gt;="&amp;_xlpm.p)))))</f>
        <v>4</v>
      </c>
      <c r="I37" t="s">
        <v>163</v>
      </c>
      <c r="J37" t="s">
        <v>186</v>
      </c>
      <c r="K37" s="5" t="s">
        <v>7</v>
      </c>
      <c r="L37" s="5" t="s">
        <v>7</v>
      </c>
      <c r="M37" s="5" t="s">
        <v>7</v>
      </c>
      <c r="N37" s="5" t="s">
        <v>2831</v>
      </c>
      <c r="O37" s="5" t="s">
        <v>11522</v>
      </c>
      <c r="P37" s="5" t="s">
        <v>8021</v>
      </c>
      <c r="R37" s="4" t="b">
        <v>1</v>
      </c>
    </row>
    <row r="38" spans="1:18">
      <c r="A38" t="s">
        <v>3003</v>
      </c>
      <c r="B38" t="s">
        <v>3315</v>
      </c>
      <c r="C38" s="5" t="s">
        <v>8000</v>
      </c>
      <c r="D38" s="1">
        <v>1</v>
      </c>
      <c r="E38" s="1">
        <v>3</v>
      </c>
      <c r="F38" s="1">
        <v>228</v>
      </c>
      <c r="G38" s="1">
        <v>231</v>
      </c>
      <c r="H38" s="10" cm="1">
        <f t="array" ref="H38">_xlfn.LET(_xlpm.s,IFERROR(--F38,""),_xlpm.e,IFERROR(--G38,""),IF(OR(_xlpm.s="",_xlpm.e="",_xlpm.e&lt;_xlpm.s),"",_xlfn.LET(_xlpm.p,_xlfn.SEQUENCE(_xlpm.e-_xlpm.s+1,1,_xlpm.s,1),SUM(1/COUNTIFS($D:$D,D38,$E:$E,E38,$F:$F,"&lt;&gt;N/A",$G:$G,"&lt;&gt;N/A",$F:$F,"&lt;="&amp;_xlpm.p,$G:$G,"&gt;="&amp;_xlpm.p)))))</f>
        <v>3.5</v>
      </c>
      <c r="I38" t="s">
        <v>167</v>
      </c>
      <c r="J38" t="s">
        <v>2529</v>
      </c>
      <c r="K38" s="5" t="s">
        <v>7</v>
      </c>
      <c r="L38" s="5" t="s">
        <v>7</v>
      </c>
      <c r="M38" s="5" t="s">
        <v>7</v>
      </c>
      <c r="N38" s="5" t="s">
        <v>7</v>
      </c>
      <c r="O38" s="5" t="s">
        <v>778</v>
      </c>
      <c r="P38" s="5" t="s">
        <v>7834</v>
      </c>
      <c r="R38" s="4" t="b">
        <v>0</v>
      </c>
    </row>
    <row r="39" spans="1:18">
      <c r="A39" t="s">
        <v>3003</v>
      </c>
      <c r="B39" t="s">
        <v>3316</v>
      </c>
      <c r="C39" s="5" t="s">
        <v>8000</v>
      </c>
      <c r="D39" s="1">
        <v>1</v>
      </c>
      <c r="E39" s="1">
        <v>3</v>
      </c>
      <c r="F39" s="1">
        <v>231</v>
      </c>
      <c r="G39" s="1">
        <v>231</v>
      </c>
      <c r="H39" s="10" cm="1">
        <f t="array" ref="H39">_xlfn.LET(_xlpm.s,IFERROR(--F39,""),_xlpm.e,IFERROR(--G39,""),IF(OR(_xlpm.s="",_xlpm.e="",_xlpm.e&lt;_xlpm.s),"",_xlfn.LET(_xlpm.p,_xlfn.SEQUENCE(_xlpm.e-_xlpm.s+1,1,_xlpm.s,1),SUM(1/COUNTIFS($D:$D,D39,$E:$E,E39,$F:$F,"&lt;&gt;N/A",$G:$G,"&lt;&gt;N/A",$F:$F,"&lt;="&amp;_xlpm.p,$G:$G,"&gt;="&amp;_xlpm.p)))))</f>
        <v>0.5</v>
      </c>
      <c r="I39" t="s">
        <v>167</v>
      </c>
      <c r="J39" t="s">
        <v>187</v>
      </c>
      <c r="K39" s="5" t="s">
        <v>7</v>
      </c>
      <c r="L39" s="5" t="s">
        <v>7</v>
      </c>
      <c r="M39" s="5" t="s">
        <v>7</v>
      </c>
      <c r="N39" s="5" t="s">
        <v>7</v>
      </c>
      <c r="O39" s="5" t="s">
        <v>778</v>
      </c>
      <c r="P39" s="5" t="s">
        <v>7834</v>
      </c>
      <c r="R39" s="4" t="b">
        <v>0</v>
      </c>
    </row>
    <row r="40" spans="1:18">
      <c r="A40" t="s">
        <v>3003</v>
      </c>
      <c r="B40" t="s">
        <v>3317</v>
      </c>
      <c r="C40" s="5" t="s">
        <v>8000</v>
      </c>
      <c r="D40" s="1">
        <v>1</v>
      </c>
      <c r="E40" s="1">
        <v>3</v>
      </c>
      <c r="F40" s="1">
        <v>232</v>
      </c>
      <c r="G40" s="1">
        <v>232</v>
      </c>
      <c r="H40" s="10" cm="1">
        <f t="array" ref="H40">_xlfn.LET(_xlpm.s,IFERROR(--F40,""),_xlpm.e,IFERROR(--G40,""),IF(OR(_xlpm.s="",_xlpm.e="",_xlpm.e&lt;_xlpm.s),"",_xlfn.LET(_xlpm.p,_xlfn.SEQUENCE(_xlpm.e-_xlpm.s+1,1,_xlpm.s,1),SUM(1/COUNTIFS($D:$D,D40,$E:$E,E40,$F:$F,"&lt;&gt;N/A",$G:$G,"&lt;&gt;N/A",$F:$F,"&lt;="&amp;_xlpm.p,$G:$G,"&gt;="&amp;_xlpm.p)))))</f>
        <v>0.5</v>
      </c>
      <c r="I40" t="s">
        <v>167</v>
      </c>
      <c r="J40" t="s">
        <v>177</v>
      </c>
      <c r="K40" s="5" t="s">
        <v>7</v>
      </c>
      <c r="L40" s="5" t="s">
        <v>7</v>
      </c>
      <c r="M40" s="5" t="s">
        <v>7</v>
      </c>
      <c r="N40" s="5" t="s">
        <v>7</v>
      </c>
      <c r="O40" s="5" t="s">
        <v>778</v>
      </c>
      <c r="P40" s="5" t="s">
        <v>7834</v>
      </c>
      <c r="R40" s="4" t="b">
        <v>0</v>
      </c>
    </row>
    <row r="41" spans="1:18">
      <c r="A41" t="s">
        <v>3003</v>
      </c>
      <c r="B41" t="s">
        <v>3318</v>
      </c>
      <c r="C41" s="5" t="s">
        <v>8000</v>
      </c>
      <c r="D41" s="1">
        <v>1</v>
      </c>
      <c r="E41" s="1">
        <v>3</v>
      </c>
      <c r="F41" s="1">
        <v>232</v>
      </c>
      <c r="G41" s="1">
        <v>240</v>
      </c>
      <c r="H41" s="10" cm="1">
        <f t="array" ref="H41">_xlfn.LET(_xlpm.s,IFERROR(--F41,""),_xlpm.e,IFERROR(--G41,""),IF(OR(_xlpm.s="",_xlpm.e="",_xlpm.e&lt;_xlpm.s),"",_xlfn.LET(_xlpm.p,_xlfn.SEQUENCE(_xlpm.e-_xlpm.s+1,1,_xlpm.s,1),SUM(1/COUNTIFS($D:$D,D41,$E:$E,E41,$F:$F,"&lt;&gt;N/A",$G:$G,"&lt;&gt;N/A",$F:$F,"&lt;="&amp;_xlpm.p,$G:$G,"&gt;="&amp;_xlpm.p)))))</f>
        <v>8.5</v>
      </c>
      <c r="I41" t="s">
        <v>167</v>
      </c>
      <c r="J41" t="s">
        <v>188</v>
      </c>
      <c r="K41" s="5" t="s">
        <v>4505</v>
      </c>
      <c r="L41" s="5" t="s">
        <v>7</v>
      </c>
      <c r="M41" s="5" t="s">
        <v>7</v>
      </c>
      <c r="N41" s="5" t="s">
        <v>7</v>
      </c>
      <c r="O41" s="5" t="s">
        <v>778</v>
      </c>
      <c r="P41" s="5" t="s">
        <v>7834</v>
      </c>
      <c r="R41" s="4" t="b">
        <v>0</v>
      </c>
    </row>
    <row r="42" spans="1:18">
      <c r="A42" t="s">
        <v>3003</v>
      </c>
      <c r="B42" t="s">
        <v>3319</v>
      </c>
      <c r="C42" s="5" t="s">
        <v>8000</v>
      </c>
      <c r="D42" s="1">
        <v>1</v>
      </c>
      <c r="E42" s="1">
        <v>3</v>
      </c>
      <c r="F42" s="1">
        <v>241</v>
      </c>
      <c r="G42" s="1">
        <v>246</v>
      </c>
      <c r="H42" s="10" cm="1">
        <f t="array" ref="H42">_xlfn.LET(_xlpm.s,IFERROR(--F42,""),_xlpm.e,IFERROR(--G42,""),IF(OR(_xlpm.s="",_xlpm.e="",_xlpm.e&lt;_xlpm.s),"",_xlfn.LET(_xlpm.p,_xlfn.SEQUENCE(_xlpm.e-_xlpm.s+1,1,_xlpm.s,1),SUM(1/COUNTIFS($D:$D,D42,$E:$E,E42,$F:$F,"&lt;&gt;N/A",$G:$G,"&lt;&gt;N/A",$F:$F,"&lt;="&amp;_xlpm.p,$G:$G,"&gt;="&amp;_xlpm.p)))))</f>
        <v>6</v>
      </c>
      <c r="I42" t="s">
        <v>167</v>
      </c>
      <c r="J42" t="s">
        <v>189</v>
      </c>
      <c r="K42" s="5" t="s">
        <v>156</v>
      </c>
      <c r="L42" s="5" t="s">
        <v>7</v>
      </c>
      <c r="M42" s="5" t="s">
        <v>7</v>
      </c>
      <c r="N42" s="5" t="s">
        <v>7</v>
      </c>
      <c r="O42" s="5" t="s">
        <v>778</v>
      </c>
      <c r="P42" s="5" t="s">
        <v>7834</v>
      </c>
      <c r="R42" s="4" t="b">
        <v>0</v>
      </c>
    </row>
    <row r="43" spans="1:18">
      <c r="A43" t="s">
        <v>3003</v>
      </c>
      <c r="B43" t="s">
        <v>3320</v>
      </c>
      <c r="C43" s="5" t="s">
        <v>8000</v>
      </c>
      <c r="D43" s="1">
        <v>1</v>
      </c>
      <c r="E43" s="1">
        <v>3</v>
      </c>
      <c r="F43" s="1">
        <v>247</v>
      </c>
      <c r="G43" s="1">
        <v>249</v>
      </c>
      <c r="H43" s="10" cm="1">
        <f t="array" ref="H43">_xlfn.LET(_xlpm.s,IFERROR(--F43,""),_xlpm.e,IFERROR(--G43,""),IF(OR(_xlpm.s="",_xlpm.e="",_xlpm.e&lt;_xlpm.s),"",_xlfn.LET(_xlpm.p,_xlfn.SEQUENCE(_xlpm.e-_xlpm.s+1,1,_xlpm.s,1),SUM(1/COUNTIFS($D:$D,D43,$E:$E,E43,$F:$F,"&lt;&gt;N/A",$G:$G,"&lt;&gt;N/A",$F:$F,"&lt;="&amp;_xlpm.p,$G:$G,"&gt;="&amp;_xlpm.p)))))</f>
        <v>2.5</v>
      </c>
      <c r="I43" t="s">
        <v>167</v>
      </c>
      <c r="J43" t="s">
        <v>190</v>
      </c>
      <c r="K43" s="5" t="s">
        <v>7</v>
      </c>
      <c r="L43" s="5" t="s">
        <v>7</v>
      </c>
      <c r="M43" s="5" t="s">
        <v>7</v>
      </c>
      <c r="N43" s="5" t="s">
        <v>7</v>
      </c>
      <c r="O43" s="5" t="s">
        <v>778</v>
      </c>
      <c r="P43" s="5" t="s">
        <v>7834</v>
      </c>
      <c r="R43" s="4" t="b">
        <v>0</v>
      </c>
    </row>
    <row r="44" spans="1:18">
      <c r="A44" t="s">
        <v>3003</v>
      </c>
      <c r="B44" t="s">
        <v>3321</v>
      </c>
      <c r="C44" s="5" t="s">
        <v>8000</v>
      </c>
      <c r="D44" s="1">
        <v>1</v>
      </c>
      <c r="E44" s="1">
        <v>3</v>
      </c>
      <c r="F44" s="1">
        <v>249</v>
      </c>
      <c r="G44" s="1">
        <v>249</v>
      </c>
      <c r="H44" s="10" cm="1">
        <f t="array" ref="H44">_xlfn.LET(_xlpm.s,IFERROR(--F44,""),_xlpm.e,IFERROR(--G44,""),IF(OR(_xlpm.s="",_xlpm.e="",_xlpm.e&lt;_xlpm.s),"",_xlfn.LET(_xlpm.p,_xlfn.SEQUENCE(_xlpm.e-_xlpm.s+1,1,_xlpm.s,1),SUM(1/COUNTIFS($D:$D,D44,$E:$E,E44,$F:$F,"&lt;&gt;N/A",$G:$G,"&lt;&gt;N/A",$F:$F,"&lt;="&amp;_xlpm.p,$G:$G,"&gt;="&amp;_xlpm.p)))))</f>
        <v>0.5</v>
      </c>
      <c r="I44" t="s">
        <v>167</v>
      </c>
      <c r="J44" t="s">
        <v>191</v>
      </c>
      <c r="K44" s="5" t="s">
        <v>7</v>
      </c>
      <c r="L44" s="5" t="s">
        <v>7</v>
      </c>
      <c r="M44" s="5" t="s">
        <v>7</v>
      </c>
      <c r="N44" s="5" t="s">
        <v>7</v>
      </c>
      <c r="O44" s="5" t="s">
        <v>778</v>
      </c>
      <c r="P44" s="5" t="s">
        <v>7834</v>
      </c>
      <c r="R44" s="4" t="b">
        <v>0</v>
      </c>
    </row>
    <row r="45" spans="1:18">
      <c r="A45" t="s">
        <v>3003</v>
      </c>
      <c r="B45" t="s">
        <v>3322</v>
      </c>
      <c r="C45" s="5" t="s">
        <v>8000</v>
      </c>
      <c r="D45" s="1">
        <v>1</v>
      </c>
      <c r="E45" s="1">
        <v>3</v>
      </c>
      <c r="F45" s="1">
        <v>250</v>
      </c>
      <c r="G45" s="1">
        <v>253</v>
      </c>
      <c r="H45" s="10" cm="1">
        <f t="array" ref="H45">_xlfn.LET(_xlpm.s,IFERROR(--F45,""),_xlpm.e,IFERROR(--G45,""),IF(OR(_xlpm.s="",_xlpm.e="",_xlpm.e&lt;_xlpm.s),"",_xlfn.LET(_xlpm.p,_xlfn.SEQUENCE(_xlpm.e-_xlpm.s+1,1,_xlpm.s,1),SUM(1/COUNTIFS($D:$D,D45,$E:$E,E45,$F:$F,"&lt;&gt;N/A",$G:$G,"&lt;&gt;N/A",$F:$F,"&lt;="&amp;_xlpm.p,$G:$G,"&gt;="&amp;_xlpm.p)))))</f>
        <v>4</v>
      </c>
      <c r="I45" t="s">
        <v>169</v>
      </c>
      <c r="J45" t="s">
        <v>192</v>
      </c>
      <c r="K45" s="5" t="s">
        <v>7</v>
      </c>
      <c r="L45" s="5" t="s">
        <v>7</v>
      </c>
      <c r="M45" s="5" t="s">
        <v>7</v>
      </c>
      <c r="N45" s="5" t="s">
        <v>1936</v>
      </c>
      <c r="O45" s="5" t="s">
        <v>5072</v>
      </c>
      <c r="P45" s="5" t="s">
        <v>8019</v>
      </c>
      <c r="R45" s="4" t="b">
        <v>0</v>
      </c>
    </row>
    <row r="46" spans="1:18">
      <c r="A46" t="s">
        <v>3003</v>
      </c>
      <c r="B46" t="s">
        <v>3323</v>
      </c>
      <c r="C46" s="5" t="s">
        <v>8000</v>
      </c>
      <c r="D46" s="1">
        <v>1</v>
      </c>
      <c r="E46" s="1">
        <v>3</v>
      </c>
      <c r="F46" s="1">
        <v>254</v>
      </c>
      <c r="G46" s="1">
        <v>266</v>
      </c>
      <c r="H46" s="10" cm="1">
        <f t="array" ref="H46">_xlfn.LET(_xlpm.s,IFERROR(--F46,""),_xlpm.e,IFERROR(--G46,""),IF(OR(_xlpm.s="",_xlpm.e="",_xlpm.e&lt;_xlpm.s),"",_xlfn.LET(_xlpm.p,_xlfn.SEQUENCE(_xlpm.e-_xlpm.s+1,1,_xlpm.s,1),SUM(1/COUNTIFS($D:$D,D46,$E:$E,E46,$F:$F,"&lt;&gt;N/A",$G:$G,"&lt;&gt;N/A",$F:$F,"&lt;="&amp;_xlpm.p,$G:$G,"&gt;="&amp;_xlpm.p)))))</f>
        <v>13</v>
      </c>
      <c r="I46" t="s">
        <v>170</v>
      </c>
      <c r="J46" t="s">
        <v>193</v>
      </c>
      <c r="K46" s="5" t="s">
        <v>7</v>
      </c>
      <c r="L46" s="5" t="s">
        <v>7</v>
      </c>
      <c r="M46" s="5" t="s">
        <v>7</v>
      </c>
      <c r="N46" s="5" t="s">
        <v>6890</v>
      </c>
      <c r="O46" s="5" t="s">
        <v>10264</v>
      </c>
      <c r="P46" s="5" t="s">
        <v>8020</v>
      </c>
      <c r="R46" s="4" t="b">
        <v>0</v>
      </c>
    </row>
    <row r="47" spans="1:18">
      <c r="A47" t="s">
        <v>3003</v>
      </c>
      <c r="B47" t="s">
        <v>6730</v>
      </c>
      <c r="C47" s="5" t="s">
        <v>8000</v>
      </c>
      <c r="D47" s="1">
        <v>1</v>
      </c>
      <c r="E47" s="1">
        <v>3</v>
      </c>
      <c r="F47" s="1">
        <v>267</v>
      </c>
      <c r="G47" s="1">
        <v>269</v>
      </c>
      <c r="H47" s="10" cm="1">
        <f t="array" ref="H47">_xlfn.LET(_xlpm.s,IFERROR(--F47,""),_xlpm.e,IFERROR(--G47,""),IF(OR(_xlpm.s="",_xlpm.e="",_xlpm.e&lt;_xlpm.s),"",_xlfn.LET(_xlpm.p,_xlfn.SEQUENCE(_xlpm.e-_xlpm.s+1,1,_xlpm.s,1),SUM(1/COUNTIFS($D:$D,D47,$E:$E,E47,$F:$F,"&lt;&gt;N/A",$G:$G,"&lt;&gt;N/A",$F:$F,"&lt;="&amp;_xlpm.p,$G:$G,"&gt;="&amp;_xlpm.p)))))</f>
        <v>2.5</v>
      </c>
      <c r="I47" t="s">
        <v>170</v>
      </c>
      <c r="J47" t="s">
        <v>194</v>
      </c>
      <c r="K47" s="5" t="s">
        <v>7</v>
      </c>
      <c r="L47" s="5" t="s">
        <v>7</v>
      </c>
      <c r="M47" s="5" t="s">
        <v>7</v>
      </c>
      <c r="N47" s="5" t="s">
        <v>7</v>
      </c>
      <c r="O47" s="5" t="s">
        <v>778</v>
      </c>
      <c r="P47" s="5" t="s">
        <v>7834</v>
      </c>
      <c r="R47" s="4" t="b">
        <v>0</v>
      </c>
    </row>
    <row r="48" spans="1:18">
      <c r="A48" t="s">
        <v>3003</v>
      </c>
      <c r="B48" t="s">
        <v>6731</v>
      </c>
      <c r="C48" s="5" t="s">
        <v>8000</v>
      </c>
      <c r="D48" s="1">
        <v>1</v>
      </c>
      <c r="E48" s="1">
        <v>3</v>
      </c>
      <c r="F48" s="1">
        <v>269</v>
      </c>
      <c r="G48" s="1">
        <v>274</v>
      </c>
      <c r="H48" s="10" cm="1">
        <f t="array" ref="H48">_xlfn.LET(_xlpm.s,IFERROR(--F48,""),_xlpm.e,IFERROR(--G48,""),IF(OR(_xlpm.s="",_xlpm.e="",_xlpm.e&lt;_xlpm.s),"",_xlfn.LET(_xlpm.p,_xlfn.SEQUENCE(_xlpm.e-_xlpm.s+1,1,_xlpm.s,1),SUM(1/COUNTIFS($D:$D,D48,$E:$E,E48,$F:$F,"&lt;&gt;N/A",$G:$G,"&lt;&gt;N/A",$F:$F,"&lt;="&amp;_xlpm.p,$G:$G,"&gt;="&amp;_xlpm.p)))))</f>
        <v>5.5</v>
      </c>
      <c r="I48" t="s">
        <v>170</v>
      </c>
      <c r="J48" t="s">
        <v>195</v>
      </c>
      <c r="K48" s="5" t="s">
        <v>7</v>
      </c>
      <c r="L48" s="5" t="s">
        <v>7</v>
      </c>
      <c r="M48" s="5" t="s">
        <v>7</v>
      </c>
      <c r="N48" s="5" t="s">
        <v>7</v>
      </c>
      <c r="O48" s="5" t="s">
        <v>778</v>
      </c>
      <c r="P48" s="5" t="s">
        <v>7834</v>
      </c>
      <c r="R48" s="4" t="b">
        <v>0</v>
      </c>
    </row>
  </sheetData>
  <phoneticPr fontId="1"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E025-A3DB-4047-8AD3-DC3A5F260032}">
  <sheetPr codeName="Sheet7"/>
  <dimension ref="A1:R206"/>
  <sheetViews>
    <sheetView topLeftCell="A54" workbookViewId="0">
      <selection activeCell="J78" sqref="J78"/>
    </sheetView>
  </sheetViews>
  <sheetFormatPr defaultColWidth="8.77734375" defaultRowHeight="14.4"/>
  <cols>
    <col min="1" max="2" width="5.77734375" customWidth="1"/>
    <col min="3" max="3" width="5.77734375" style="5" customWidth="1"/>
    <col min="4" max="7" width="5.77734375" style="1" customWidth="1"/>
    <col min="8" max="8" width="5.77734375" style="10" customWidth="1"/>
    <col min="9" max="10" width="5.77734375" customWidth="1"/>
    <col min="11" max="16" width="5.77734375" style="5" customWidth="1"/>
    <col min="17" max="18" width="5.77734375" customWidth="1"/>
    <col min="19" max="19" width="0" hidden="1" customWidth="1"/>
  </cols>
  <sheetData>
    <row r="1" spans="1:18">
      <c r="A1" t="s">
        <v>3032</v>
      </c>
      <c r="B1" t="s">
        <v>3281</v>
      </c>
      <c r="C1" s="4" t="s">
        <v>41</v>
      </c>
      <c r="D1" s="2" t="s">
        <v>3282</v>
      </c>
      <c r="E1" s="2" t="s">
        <v>34</v>
      </c>
      <c r="F1" s="4" t="s">
        <v>8031</v>
      </c>
      <c r="G1" s="4" t="s">
        <v>8032</v>
      </c>
      <c r="H1" s="8" t="s">
        <v>2530</v>
      </c>
      <c r="I1" s="2" t="s">
        <v>5</v>
      </c>
      <c r="J1" s="2" t="s">
        <v>4</v>
      </c>
      <c r="K1" s="4" t="s">
        <v>11402</v>
      </c>
      <c r="L1" s="5" t="s">
        <v>11401</v>
      </c>
      <c r="M1" s="4" t="s">
        <v>11400</v>
      </c>
      <c r="N1" s="4" t="s">
        <v>5006</v>
      </c>
      <c r="O1" s="4" t="s">
        <v>11506</v>
      </c>
      <c r="P1" s="4" t="s">
        <v>11403</v>
      </c>
      <c r="Q1" t="s">
        <v>1948</v>
      </c>
      <c r="R1" t="s">
        <v>2062</v>
      </c>
    </row>
    <row r="2" spans="1:18">
      <c r="A2" t="s">
        <v>3005</v>
      </c>
      <c r="B2" t="s">
        <v>3324</v>
      </c>
      <c r="C2" s="5" t="s">
        <v>7810</v>
      </c>
      <c r="D2" s="1">
        <v>1</v>
      </c>
      <c r="E2" s="1">
        <v>1</v>
      </c>
      <c r="F2" s="2">
        <v>5</v>
      </c>
      <c r="G2" s="2">
        <v>9</v>
      </c>
      <c r="H2" s="8" cm="1">
        <f t="array" ref="H2">_xlfn.LET(_xlpm.s,IFERROR(--F2,""),_xlpm.e,IFERROR(--G2,""),IF(OR(_xlpm.s="",_xlpm.e="",_xlpm.e&lt;_xlpm.s),"",_xlfn.LET(_xlpm.p,_xlfn.SEQUENCE(_xlpm.e-_xlpm.s+1,1,_xlpm.s,1),SUM(1/COUNTIFS($D:$D,D2,$E:$E,E2,$F:$F,"&lt;&gt;N/A",$G:$G,"&lt;&gt;N/A",$F:$F,"&lt;="&amp;_xlpm.p,$G:$G,"&gt;="&amp;_xlpm.p)))))</f>
        <v>4.5</v>
      </c>
      <c r="I2" s="4" t="s">
        <v>7</v>
      </c>
      <c r="J2" s="4" t="s">
        <v>124</v>
      </c>
      <c r="K2" s="4" t="s">
        <v>1234</v>
      </c>
      <c r="L2" s="5" t="s">
        <v>7</v>
      </c>
      <c r="M2" s="5" t="s">
        <v>7</v>
      </c>
      <c r="N2" s="5" t="s">
        <v>7</v>
      </c>
      <c r="O2" s="5" t="s">
        <v>778</v>
      </c>
      <c r="P2" s="5" t="s">
        <v>7834</v>
      </c>
      <c r="Q2" s="5"/>
      <c r="R2" s="5" t="b">
        <v>1</v>
      </c>
    </row>
    <row r="3" spans="1:18">
      <c r="A3" t="s">
        <v>3005</v>
      </c>
      <c r="B3" t="s">
        <v>3325</v>
      </c>
      <c r="C3" s="5" t="s">
        <v>7810</v>
      </c>
      <c r="D3" s="1">
        <v>1</v>
      </c>
      <c r="E3" s="1">
        <v>1</v>
      </c>
      <c r="F3" s="1">
        <v>9</v>
      </c>
      <c r="G3" s="1">
        <v>39</v>
      </c>
      <c r="H3" s="8" cm="1">
        <f t="array" ref="H3">_xlfn.LET(_xlpm.s,IFERROR(--F3,""),_xlpm.e,IFERROR(--G3,""),IF(OR(_xlpm.s="",_xlpm.e="",_xlpm.e&lt;_xlpm.s),"",_xlfn.LET(_xlpm.p,_xlfn.SEQUENCE(_xlpm.e-_xlpm.s+1,1,_xlpm.s,1),SUM(1/COUNTIFS($D:$D,D3,$E:$E,E3,$F:$F,"&lt;&gt;N/A",$G:$G,"&lt;&gt;N/A",$F:$F,"&lt;="&amp;_xlpm.p,$G:$G,"&gt;="&amp;_xlpm.p)))))</f>
        <v>30</v>
      </c>
      <c r="I3" t="s">
        <v>14</v>
      </c>
      <c r="J3" t="s">
        <v>10294</v>
      </c>
      <c r="K3" s="5" t="s">
        <v>7</v>
      </c>
      <c r="L3" s="5" t="s">
        <v>7</v>
      </c>
      <c r="M3" s="5" t="s">
        <v>5009</v>
      </c>
      <c r="N3" s="5" t="s">
        <v>2833</v>
      </c>
      <c r="O3" s="5" t="s">
        <v>5072</v>
      </c>
      <c r="P3" s="5" t="s">
        <v>8021</v>
      </c>
      <c r="Q3" s="5"/>
      <c r="R3" s="5" t="b">
        <v>1</v>
      </c>
    </row>
    <row r="4" spans="1:18">
      <c r="A4" t="s">
        <v>3005</v>
      </c>
      <c r="B4" t="s">
        <v>3326</v>
      </c>
      <c r="C4" s="5" t="s">
        <v>7810</v>
      </c>
      <c r="D4" s="1">
        <v>1</v>
      </c>
      <c r="E4" s="1">
        <v>1</v>
      </c>
      <c r="F4" s="1">
        <v>39</v>
      </c>
      <c r="G4" s="1">
        <v>51</v>
      </c>
      <c r="H4" s="8" cm="1">
        <f t="array" ref="H4">_xlfn.LET(_xlpm.s,IFERROR(--F4,""),_xlpm.e,IFERROR(--G4,""),IF(OR(_xlpm.s="",_xlpm.e="",_xlpm.e&lt;_xlpm.s),"",_xlfn.LET(_xlpm.p,_xlfn.SEQUENCE(_xlpm.e-_xlpm.s+1,1,_xlpm.s,1),SUM(1/COUNTIFS($D:$D,D4,$E:$E,E4,$F:$F,"&lt;&gt;N/A",$G:$G,"&lt;&gt;N/A",$F:$F,"&lt;="&amp;_xlpm.p,$G:$G,"&gt;="&amp;_xlpm.p)))))</f>
        <v>12</v>
      </c>
      <c r="I4" t="s">
        <v>14</v>
      </c>
      <c r="J4" t="s">
        <v>2751</v>
      </c>
      <c r="K4" s="5" t="s">
        <v>4506</v>
      </c>
      <c r="L4" s="5" t="s">
        <v>7</v>
      </c>
      <c r="M4" s="5" t="s">
        <v>5008</v>
      </c>
      <c r="N4" s="5" t="s">
        <v>5007</v>
      </c>
      <c r="O4" s="5" t="s">
        <v>5072</v>
      </c>
      <c r="P4" s="5" t="s">
        <v>8021</v>
      </c>
      <c r="Q4" s="5"/>
      <c r="R4" s="5" t="b">
        <v>1</v>
      </c>
    </row>
    <row r="5" spans="1:18">
      <c r="A5" t="s">
        <v>3005</v>
      </c>
      <c r="B5" t="s">
        <v>3327</v>
      </c>
      <c r="C5" s="5" t="s">
        <v>7810</v>
      </c>
      <c r="D5" s="1">
        <v>1</v>
      </c>
      <c r="E5" s="1">
        <v>1</v>
      </c>
      <c r="F5" s="1">
        <v>51</v>
      </c>
      <c r="G5" s="1">
        <v>57</v>
      </c>
      <c r="H5" s="8" cm="1">
        <f t="array" ref="H5">_xlfn.LET(_xlpm.s,IFERROR(--F5,""),_xlpm.e,IFERROR(--G5,""),IF(OR(_xlpm.s="",_xlpm.e="",_xlpm.e&lt;_xlpm.s),"",_xlfn.LET(_xlpm.p,_xlfn.SEQUENCE(_xlpm.e-_xlpm.s+1,1,_xlpm.s,1),SUM(1/COUNTIFS($D:$D,D5,$E:$E,E5,$F:$F,"&lt;&gt;N/A",$G:$G,"&lt;&gt;N/A",$F:$F,"&lt;="&amp;_xlpm.p,$G:$G,"&gt;="&amp;_xlpm.p)))))</f>
        <v>6.5</v>
      </c>
      <c r="I5" t="s">
        <v>14</v>
      </c>
      <c r="J5" t="s">
        <v>2750</v>
      </c>
      <c r="K5" s="5" t="s">
        <v>7</v>
      </c>
      <c r="L5" s="5" t="s">
        <v>7</v>
      </c>
      <c r="M5" s="5" t="s">
        <v>7</v>
      </c>
      <c r="N5" s="5" t="s">
        <v>7</v>
      </c>
      <c r="O5" s="5" t="s">
        <v>778</v>
      </c>
      <c r="P5" s="5" t="s">
        <v>7834</v>
      </c>
      <c r="Q5" s="5"/>
      <c r="R5" s="5" t="b">
        <v>1</v>
      </c>
    </row>
    <row r="6" spans="1:18">
      <c r="A6" t="s">
        <v>3005</v>
      </c>
      <c r="B6" t="s">
        <v>3328</v>
      </c>
      <c r="C6" s="5" t="s">
        <v>7810</v>
      </c>
      <c r="D6" s="1">
        <v>1</v>
      </c>
      <c r="E6" s="1">
        <v>1</v>
      </c>
      <c r="F6" s="1">
        <v>58</v>
      </c>
      <c r="G6" s="1">
        <v>61</v>
      </c>
      <c r="H6" s="8" cm="1">
        <f t="array" ref="H6">_xlfn.LET(_xlpm.s,IFERROR(--F6,""),_xlpm.e,IFERROR(--G6,""),IF(OR(_xlpm.s="",_xlpm.e="",_xlpm.e&lt;_xlpm.s),"",_xlfn.LET(_xlpm.p,_xlfn.SEQUENCE(_xlpm.e-_xlpm.s+1,1,_xlpm.s,1),SUM(1/COUNTIFS($D:$D,D6,$E:$E,E6,$F:$F,"&lt;&gt;N/A",$G:$G,"&lt;&gt;N/A",$F:$F,"&lt;="&amp;_xlpm.p,$G:$G,"&gt;="&amp;_xlpm.p)))))</f>
        <v>3.5</v>
      </c>
      <c r="I6" t="s">
        <v>14</v>
      </c>
      <c r="J6" t="s">
        <v>197</v>
      </c>
      <c r="K6" s="5" t="s">
        <v>4507</v>
      </c>
      <c r="L6" s="5" t="s">
        <v>7</v>
      </c>
      <c r="M6" t="s">
        <v>5540</v>
      </c>
      <c r="N6" s="5" t="s">
        <v>5542</v>
      </c>
      <c r="O6" s="5" t="s">
        <v>5072</v>
      </c>
      <c r="P6" s="5" t="s">
        <v>8021</v>
      </c>
      <c r="Q6" s="5"/>
      <c r="R6" s="5" t="b">
        <v>1</v>
      </c>
    </row>
    <row r="7" spans="1:18">
      <c r="A7" t="s">
        <v>3005</v>
      </c>
      <c r="B7" t="s">
        <v>3329</v>
      </c>
      <c r="C7" s="5" t="s">
        <v>7810</v>
      </c>
      <c r="D7" s="1">
        <v>1</v>
      </c>
      <c r="E7" s="1">
        <v>1</v>
      </c>
      <c r="F7" s="1">
        <v>61</v>
      </c>
      <c r="G7" s="1">
        <v>78</v>
      </c>
      <c r="H7" s="8" cm="1">
        <f t="array" ref="H7">_xlfn.LET(_xlpm.s,IFERROR(--F7,""),_xlpm.e,IFERROR(--G7,""),IF(OR(_xlpm.s="",_xlpm.e="",_xlpm.e&lt;_xlpm.s),"",_xlfn.LET(_xlpm.p,_xlfn.SEQUENCE(_xlpm.e-_xlpm.s+1,1,_xlpm.s,1),SUM(1/COUNTIFS($D:$D,D7,$E:$E,E7,$F:$F,"&lt;&gt;N/A",$G:$G,"&lt;&gt;N/A",$F:$F,"&lt;="&amp;_xlpm.p,$G:$G,"&gt;="&amp;_xlpm.p)))))</f>
        <v>17</v>
      </c>
      <c r="I7" t="s">
        <v>14</v>
      </c>
      <c r="J7" t="s">
        <v>198</v>
      </c>
      <c r="K7" s="5" t="s">
        <v>1486</v>
      </c>
      <c r="L7" s="5" t="s">
        <v>7</v>
      </c>
      <c r="M7" t="s">
        <v>5010</v>
      </c>
      <c r="N7" s="5" t="s">
        <v>11532</v>
      </c>
      <c r="O7" s="5" t="s">
        <v>5072</v>
      </c>
      <c r="P7" s="5" t="s">
        <v>8021</v>
      </c>
      <c r="Q7" s="5"/>
      <c r="R7" s="5" t="b">
        <v>1</v>
      </c>
    </row>
    <row r="8" spans="1:18">
      <c r="A8" t="s">
        <v>3005</v>
      </c>
      <c r="B8" t="s">
        <v>3330</v>
      </c>
      <c r="C8" s="5" t="s">
        <v>7810</v>
      </c>
      <c r="D8" s="1">
        <v>1</v>
      </c>
      <c r="E8" s="1">
        <v>1</v>
      </c>
      <c r="F8" s="1">
        <v>78</v>
      </c>
      <c r="G8" s="1">
        <v>81</v>
      </c>
      <c r="H8" s="8" cm="1">
        <f t="array" ref="H8">_xlfn.LET(_xlpm.s,IFERROR(--F8,""),_xlpm.e,IFERROR(--G8,""),IF(OR(_xlpm.s="",_xlpm.e="",_xlpm.e&lt;_xlpm.s),"",_xlfn.LET(_xlpm.p,_xlfn.SEQUENCE(_xlpm.e-_xlpm.s+1,1,_xlpm.s,1),SUM(1/COUNTIFS($D:$D,D8,$E:$E,E8,$F:$F,"&lt;&gt;N/A",$G:$G,"&lt;&gt;N/A",$F:$F,"&lt;="&amp;_xlpm.p,$G:$G,"&gt;="&amp;_xlpm.p)))))</f>
        <v>3</v>
      </c>
      <c r="I8" t="s">
        <v>14</v>
      </c>
      <c r="J8" t="s">
        <v>3208</v>
      </c>
      <c r="K8" s="5" t="s">
        <v>7</v>
      </c>
      <c r="L8" s="5" t="s">
        <v>7</v>
      </c>
      <c r="M8" t="s">
        <v>5534</v>
      </c>
      <c r="N8" s="5" t="s">
        <v>5537</v>
      </c>
      <c r="O8" s="5" t="s">
        <v>5072</v>
      </c>
      <c r="P8" s="5" t="s">
        <v>8021</v>
      </c>
      <c r="Q8" s="5"/>
      <c r="R8" s="5" t="b">
        <v>1</v>
      </c>
    </row>
    <row r="9" spans="1:18">
      <c r="A9" t="s">
        <v>3005</v>
      </c>
      <c r="B9" t="s">
        <v>3331</v>
      </c>
      <c r="C9" s="5" t="s">
        <v>7810</v>
      </c>
      <c r="D9" s="1">
        <v>1</v>
      </c>
      <c r="E9" s="1">
        <v>1</v>
      </c>
      <c r="F9" s="1">
        <v>81</v>
      </c>
      <c r="G9" s="1">
        <v>85</v>
      </c>
      <c r="H9" s="8" cm="1">
        <f t="array" ref="H9">_xlfn.LET(_xlpm.s,IFERROR(--F9,""),_xlpm.e,IFERROR(--G9,""),IF(OR(_xlpm.s="",_xlpm.e="",_xlpm.e&lt;_xlpm.s),"",_xlfn.LET(_xlpm.p,_xlfn.SEQUENCE(_xlpm.e-_xlpm.s+1,1,_xlpm.s,1),SUM(1/COUNTIFS($D:$D,D9,$E:$E,E9,$F:$F,"&lt;&gt;N/A",$G:$G,"&lt;&gt;N/A",$F:$F,"&lt;="&amp;_xlpm.p,$G:$G,"&gt;="&amp;_xlpm.p)))))</f>
        <v>4.5</v>
      </c>
      <c r="I9" t="s">
        <v>14</v>
      </c>
      <c r="J9" t="s">
        <v>199</v>
      </c>
      <c r="K9" s="5" t="s">
        <v>7</v>
      </c>
      <c r="L9" s="5" t="s">
        <v>7</v>
      </c>
      <c r="M9" s="5" t="s">
        <v>7</v>
      </c>
      <c r="N9" s="5" t="s">
        <v>7</v>
      </c>
      <c r="O9" s="5" t="s">
        <v>778</v>
      </c>
      <c r="P9" s="5" t="s">
        <v>7834</v>
      </c>
      <c r="Q9" s="5"/>
      <c r="R9" s="5" t="b">
        <v>1</v>
      </c>
    </row>
    <row r="10" spans="1:18">
      <c r="A10" t="s">
        <v>3005</v>
      </c>
      <c r="B10" t="s">
        <v>3332</v>
      </c>
      <c r="C10" s="5" t="s">
        <v>7810</v>
      </c>
      <c r="D10" s="1">
        <v>1</v>
      </c>
      <c r="E10" s="1">
        <v>1</v>
      </c>
      <c r="F10" s="1">
        <v>86</v>
      </c>
      <c r="G10" s="1">
        <v>91</v>
      </c>
      <c r="H10" s="8" cm="1">
        <f t="array" ref="H10">_xlfn.LET(_xlpm.s,IFERROR(--F10,""),_xlpm.e,IFERROR(--G10,""),IF(OR(_xlpm.s="",_xlpm.e="",_xlpm.e&lt;_xlpm.s),"",_xlfn.LET(_xlpm.p,_xlfn.SEQUENCE(_xlpm.e-_xlpm.s+1,1,_xlpm.s,1),SUM(1/COUNTIFS($D:$D,D10,$E:$E,E10,$F:$F,"&lt;&gt;N/A",$G:$G,"&lt;&gt;N/A",$F:$F,"&lt;="&amp;_xlpm.p,$G:$G,"&gt;="&amp;_xlpm.p)))))</f>
        <v>5.5</v>
      </c>
      <c r="I10" t="s">
        <v>14</v>
      </c>
      <c r="J10" t="s">
        <v>201</v>
      </c>
      <c r="K10" s="5" t="s">
        <v>4508</v>
      </c>
      <c r="L10" s="5" t="s">
        <v>7</v>
      </c>
      <c r="M10" s="5" t="s">
        <v>7</v>
      </c>
      <c r="N10" s="5" t="s">
        <v>7</v>
      </c>
      <c r="O10" s="5" t="s">
        <v>778</v>
      </c>
      <c r="P10" s="5" t="s">
        <v>7834</v>
      </c>
      <c r="Q10" s="5"/>
      <c r="R10" s="5" t="b">
        <v>1</v>
      </c>
    </row>
    <row r="11" spans="1:18">
      <c r="A11" t="s">
        <v>3005</v>
      </c>
      <c r="B11" t="s">
        <v>3333</v>
      </c>
      <c r="C11" s="5" t="s">
        <v>7810</v>
      </c>
      <c r="D11" s="1">
        <v>1</v>
      </c>
      <c r="E11" s="1">
        <v>1</v>
      </c>
      <c r="F11" s="1">
        <v>91</v>
      </c>
      <c r="G11" s="1">
        <v>103</v>
      </c>
      <c r="H11" s="8" cm="1">
        <f t="array" ref="H11">_xlfn.LET(_xlpm.s,IFERROR(--F11,""),_xlpm.e,IFERROR(--G11,""),IF(OR(_xlpm.s="",_xlpm.e="",_xlpm.e&lt;_xlpm.s),"",_xlfn.LET(_xlpm.p,_xlfn.SEQUENCE(_xlpm.e-_xlpm.s+1,1,_xlpm.s,1),SUM(1/COUNTIFS($D:$D,D11,$E:$E,E11,$F:$F,"&lt;&gt;N/A",$G:$G,"&lt;&gt;N/A",$F:$F,"&lt;="&amp;_xlpm.p,$G:$G,"&gt;="&amp;_xlpm.p)))))</f>
        <v>12</v>
      </c>
      <c r="I11" t="s">
        <v>200</v>
      </c>
      <c r="J11" t="s">
        <v>202</v>
      </c>
      <c r="K11" s="5" t="s">
        <v>7</v>
      </c>
      <c r="L11" s="5" t="s">
        <v>7</v>
      </c>
      <c r="M11" t="s">
        <v>5535</v>
      </c>
      <c r="N11" s="5" t="s">
        <v>5538</v>
      </c>
      <c r="O11" s="5" t="s">
        <v>5072</v>
      </c>
      <c r="P11" s="5" t="s">
        <v>8021</v>
      </c>
      <c r="Q11" s="5"/>
      <c r="R11" s="5" t="b">
        <v>1</v>
      </c>
    </row>
    <row r="12" spans="1:18">
      <c r="A12" t="s">
        <v>3005</v>
      </c>
      <c r="B12" t="s">
        <v>3334</v>
      </c>
      <c r="C12" s="5" t="s">
        <v>7810</v>
      </c>
      <c r="D12" s="1">
        <v>1</v>
      </c>
      <c r="E12" s="1">
        <v>1</v>
      </c>
      <c r="F12" s="1">
        <v>103</v>
      </c>
      <c r="G12" s="1">
        <v>105</v>
      </c>
      <c r="H12" s="8" cm="1">
        <f t="array" ref="H12">_xlfn.LET(_xlpm.s,IFERROR(--F12,""),_xlpm.e,IFERROR(--G12,""),IF(OR(_xlpm.s="",_xlpm.e="",_xlpm.e&lt;_xlpm.s),"",_xlfn.LET(_xlpm.p,_xlfn.SEQUENCE(_xlpm.e-_xlpm.s+1,1,_xlpm.s,1),SUM(1/COUNTIFS($D:$D,D12,$E:$E,E12,$F:$F,"&lt;&gt;N/A",$G:$G,"&lt;&gt;N/A",$F:$F,"&lt;="&amp;_xlpm.p,$G:$G,"&gt;="&amp;_xlpm.p)))))</f>
        <v>2.5</v>
      </c>
      <c r="I12" t="s">
        <v>200</v>
      </c>
      <c r="J12" t="s">
        <v>203</v>
      </c>
      <c r="K12" s="5" t="s">
        <v>1228</v>
      </c>
      <c r="L12" s="5" t="s">
        <v>7</v>
      </c>
      <c r="M12" t="s">
        <v>5536</v>
      </c>
      <c r="N12" s="5" t="s">
        <v>5539</v>
      </c>
      <c r="O12" s="5" t="s">
        <v>5072</v>
      </c>
      <c r="P12" s="5" t="s">
        <v>8021</v>
      </c>
      <c r="Q12" s="5"/>
      <c r="R12" s="5" t="b">
        <v>1</v>
      </c>
    </row>
    <row r="13" spans="1:18">
      <c r="A13" t="s">
        <v>3005</v>
      </c>
      <c r="B13" t="s">
        <v>3335</v>
      </c>
      <c r="C13" s="5" t="s">
        <v>7810</v>
      </c>
      <c r="D13" s="1">
        <v>1</v>
      </c>
      <c r="E13" s="1">
        <v>1</v>
      </c>
      <c r="F13" s="1">
        <v>106</v>
      </c>
      <c r="G13" s="1">
        <v>113</v>
      </c>
      <c r="H13" s="8" cm="1">
        <f t="array" ref="H13">_xlfn.LET(_xlpm.s,IFERROR(--F13,""),_xlpm.e,IFERROR(--G13,""),IF(OR(_xlpm.s="",_xlpm.e="",_xlpm.e&lt;_xlpm.s),"",_xlfn.LET(_xlpm.p,_xlfn.SEQUENCE(_xlpm.e-_xlpm.s+1,1,_xlpm.s,1),SUM(1/COUNTIFS($D:$D,D13,$E:$E,E13,$F:$F,"&lt;&gt;N/A",$G:$G,"&lt;&gt;N/A",$F:$F,"&lt;="&amp;_xlpm.p,$G:$G,"&gt;="&amp;_xlpm.p)))))</f>
        <v>7.5</v>
      </c>
      <c r="I13" t="s">
        <v>200</v>
      </c>
      <c r="J13" t="s">
        <v>204</v>
      </c>
      <c r="K13" s="5" t="s">
        <v>4508</v>
      </c>
      <c r="L13" s="5" t="s">
        <v>7</v>
      </c>
      <c r="M13" s="5" t="s">
        <v>7</v>
      </c>
      <c r="N13" s="5" t="s">
        <v>7</v>
      </c>
      <c r="O13" s="5" t="s">
        <v>778</v>
      </c>
      <c r="P13" s="5" t="s">
        <v>7834</v>
      </c>
      <c r="Q13" s="5"/>
      <c r="R13" s="5" t="b">
        <v>1</v>
      </c>
    </row>
    <row r="14" spans="1:18">
      <c r="A14" t="s">
        <v>3005</v>
      </c>
      <c r="B14" t="s">
        <v>3336</v>
      </c>
      <c r="C14" s="5" t="s">
        <v>7810</v>
      </c>
      <c r="D14" s="1">
        <v>1</v>
      </c>
      <c r="E14" s="1">
        <v>1</v>
      </c>
      <c r="F14" s="1">
        <v>113</v>
      </c>
      <c r="G14" s="1">
        <v>115</v>
      </c>
      <c r="H14" s="8" cm="1">
        <f t="array" ref="H14">_xlfn.LET(_xlpm.s,IFERROR(--F14,""),_xlpm.e,IFERROR(--G14,""),IF(OR(_xlpm.s="",_xlpm.e="",_xlpm.e&lt;_xlpm.s),"",_xlfn.LET(_xlpm.p,_xlfn.SEQUENCE(_xlpm.e-_xlpm.s+1,1,_xlpm.s,1),SUM(1/COUNTIFS($D:$D,D14,$E:$E,E14,$F:$F,"&lt;&gt;N/A",$G:$G,"&lt;&gt;N/A",$F:$F,"&lt;="&amp;_xlpm.p,$G:$G,"&gt;="&amp;_xlpm.p)))))</f>
        <v>2</v>
      </c>
      <c r="I14" t="s">
        <v>205</v>
      </c>
      <c r="J14" t="s">
        <v>10293</v>
      </c>
      <c r="K14" s="5" t="s">
        <v>7</v>
      </c>
      <c r="L14" s="5" t="s">
        <v>7</v>
      </c>
      <c r="M14" t="s">
        <v>5540</v>
      </c>
      <c r="N14" s="5" t="s">
        <v>5541</v>
      </c>
      <c r="O14" s="5" t="s">
        <v>5072</v>
      </c>
      <c r="P14" s="5" t="s">
        <v>8021</v>
      </c>
      <c r="Q14" s="5"/>
      <c r="R14" s="5" t="b">
        <v>1</v>
      </c>
    </row>
    <row r="15" spans="1:18">
      <c r="A15" t="s">
        <v>3005</v>
      </c>
      <c r="B15" t="s">
        <v>3337</v>
      </c>
      <c r="C15" s="5" t="s">
        <v>7810</v>
      </c>
      <c r="D15" s="1">
        <v>1</v>
      </c>
      <c r="E15" s="1">
        <v>1</v>
      </c>
      <c r="F15" s="1">
        <v>115</v>
      </c>
      <c r="G15" s="1">
        <v>116</v>
      </c>
      <c r="H15" s="8" cm="1">
        <f t="array" ref="H15">_xlfn.LET(_xlpm.s,IFERROR(--F15,""),_xlpm.e,IFERROR(--G15,""),IF(OR(_xlpm.s="",_xlpm.e="",_xlpm.e&lt;_xlpm.s),"",_xlfn.LET(_xlpm.p,_xlfn.SEQUENCE(_xlpm.e-_xlpm.s+1,1,_xlpm.s,1),SUM(1/COUNTIFS($D:$D,D15,$E:$E,E15,$F:$F,"&lt;&gt;N/A",$G:$G,"&lt;&gt;N/A",$F:$F,"&lt;="&amp;_xlpm.p,$G:$G,"&gt;="&amp;_xlpm.p)))))</f>
        <v>1</v>
      </c>
      <c r="I15" t="s">
        <v>205</v>
      </c>
      <c r="J15" t="s">
        <v>5543</v>
      </c>
      <c r="K15" s="5" t="s">
        <v>7</v>
      </c>
      <c r="L15" s="5" t="s">
        <v>7</v>
      </c>
      <c r="M15" t="s">
        <v>5544</v>
      </c>
      <c r="N15" s="5" t="s">
        <v>8040</v>
      </c>
      <c r="O15" s="5" t="s">
        <v>5072</v>
      </c>
      <c r="P15" s="5" t="s">
        <v>8021</v>
      </c>
      <c r="Q15" s="5"/>
      <c r="R15" s="5" t="b">
        <v>1</v>
      </c>
    </row>
    <row r="16" spans="1:18">
      <c r="A16" t="s">
        <v>3005</v>
      </c>
      <c r="B16" t="s">
        <v>3338</v>
      </c>
      <c r="C16" s="5" t="s">
        <v>7810</v>
      </c>
      <c r="D16" s="1">
        <v>1</v>
      </c>
      <c r="E16" s="1">
        <v>1</v>
      </c>
      <c r="F16" s="1">
        <v>116</v>
      </c>
      <c r="G16" s="1">
        <v>116</v>
      </c>
      <c r="H16" s="8" cm="1">
        <f t="array" ref="H16">_xlfn.LET(_xlpm.s,IFERROR(--F16,""),_xlpm.e,IFERROR(--G16,""),IF(OR(_xlpm.s="",_xlpm.e="",_xlpm.e&lt;_xlpm.s),"",_xlfn.LET(_xlpm.p,_xlfn.SEQUENCE(_xlpm.e-_xlpm.s+1,1,_xlpm.s,1),SUM(1/COUNTIFS($D:$D,D16,$E:$E,E16,$F:$F,"&lt;&gt;N/A",$G:$G,"&lt;&gt;N/A",$F:$F,"&lt;="&amp;_xlpm.p,$G:$G,"&gt;="&amp;_xlpm.p)))))</f>
        <v>0.5</v>
      </c>
      <c r="I16" t="s">
        <v>205</v>
      </c>
      <c r="J16" t="s">
        <v>1267</v>
      </c>
      <c r="K16" s="5" t="s">
        <v>7</v>
      </c>
      <c r="L16" s="5" t="s">
        <v>7</v>
      </c>
      <c r="M16" t="s">
        <v>5535</v>
      </c>
      <c r="N16" s="5" t="s">
        <v>5545</v>
      </c>
      <c r="O16" s="5" t="s">
        <v>5072</v>
      </c>
      <c r="P16" s="5" t="s">
        <v>8021</v>
      </c>
      <c r="Q16" s="5"/>
      <c r="R16" s="5" t="b">
        <v>1</v>
      </c>
    </row>
    <row r="17" spans="1:18">
      <c r="A17" t="s">
        <v>3005</v>
      </c>
      <c r="B17" t="s">
        <v>3339</v>
      </c>
      <c r="C17" s="5" t="s">
        <v>7810</v>
      </c>
      <c r="D17" s="1">
        <v>1</v>
      </c>
      <c r="E17" s="1">
        <v>1</v>
      </c>
      <c r="F17" s="1">
        <v>117</v>
      </c>
      <c r="G17" s="1">
        <v>117</v>
      </c>
      <c r="H17" s="8" cm="1">
        <f t="array" ref="H17">_xlfn.LET(_xlpm.s,IFERROR(--F17,""),_xlpm.e,IFERROR(--G17,""),IF(OR(_xlpm.s="",_xlpm.e="",_xlpm.e&lt;_xlpm.s),"",_xlfn.LET(_xlpm.p,_xlfn.SEQUENCE(_xlpm.e-_xlpm.s+1,1,_xlpm.s,1),SUM(1/COUNTIFS($D:$D,D17,$E:$E,E17,$F:$F,"&lt;&gt;N/A",$G:$G,"&lt;&gt;N/A",$F:$F,"&lt;="&amp;_xlpm.p,$G:$G,"&gt;="&amp;_xlpm.p)))))</f>
        <v>0.5</v>
      </c>
      <c r="I17" t="s">
        <v>205</v>
      </c>
      <c r="J17" t="s">
        <v>1268</v>
      </c>
      <c r="K17" s="5" t="s">
        <v>7</v>
      </c>
      <c r="L17" s="5" t="s">
        <v>4509</v>
      </c>
      <c r="M17" s="5" t="s">
        <v>7</v>
      </c>
      <c r="N17" s="5" t="s">
        <v>7</v>
      </c>
      <c r="O17" s="5" t="s">
        <v>5072</v>
      </c>
      <c r="P17" s="5" t="s">
        <v>8034</v>
      </c>
      <c r="Q17" s="5"/>
      <c r="R17" s="5" t="b">
        <v>1</v>
      </c>
    </row>
    <row r="18" spans="1:18">
      <c r="A18" t="s">
        <v>3005</v>
      </c>
      <c r="B18" t="s">
        <v>3340</v>
      </c>
      <c r="C18" s="5" t="s">
        <v>7810</v>
      </c>
      <c r="D18" s="1">
        <v>1</v>
      </c>
      <c r="E18" s="1">
        <v>1</v>
      </c>
      <c r="F18" s="1">
        <v>117</v>
      </c>
      <c r="G18" s="1">
        <v>118</v>
      </c>
      <c r="H18" s="8" cm="1">
        <f t="array" ref="H18">_xlfn.LET(_xlpm.s,IFERROR(--F18,""),_xlpm.e,IFERROR(--G18,""),IF(OR(_xlpm.s="",_xlpm.e="",_xlpm.e&lt;_xlpm.s),"",_xlfn.LET(_xlpm.p,_xlfn.SEQUENCE(_xlpm.e-_xlpm.s+1,1,_xlpm.s,1),SUM(1/COUNTIFS($D:$D,D18,$E:$E,E18,$F:$F,"&lt;&gt;N/A",$G:$G,"&lt;&gt;N/A",$F:$F,"&lt;="&amp;_xlpm.p,$G:$G,"&gt;="&amp;_xlpm.p)))))</f>
        <v>0.83333333333333326</v>
      </c>
      <c r="I18" t="s">
        <v>205</v>
      </c>
      <c r="J18" t="s">
        <v>1269</v>
      </c>
      <c r="K18" s="5" t="s">
        <v>7</v>
      </c>
      <c r="L18" s="5" t="s">
        <v>7</v>
      </c>
      <c r="M18" t="s">
        <v>5548</v>
      </c>
      <c r="N18" s="5" t="s">
        <v>5546</v>
      </c>
      <c r="O18" s="5" t="s">
        <v>11522</v>
      </c>
      <c r="P18" s="5" t="s">
        <v>8021</v>
      </c>
      <c r="Q18" s="5"/>
      <c r="R18" s="5" t="b">
        <v>1</v>
      </c>
    </row>
    <row r="19" spans="1:18">
      <c r="A19" t="s">
        <v>3005</v>
      </c>
      <c r="B19" t="s">
        <v>3341</v>
      </c>
      <c r="C19" s="5" t="s">
        <v>7810</v>
      </c>
      <c r="D19" s="1">
        <v>1</v>
      </c>
      <c r="E19" s="1">
        <v>1</v>
      </c>
      <c r="F19" s="1">
        <v>118</v>
      </c>
      <c r="G19" s="1">
        <v>119</v>
      </c>
      <c r="H19" s="8" cm="1">
        <f t="array" ref="H19">_xlfn.LET(_xlpm.s,IFERROR(--F19,""),_xlpm.e,IFERROR(--G19,""),IF(OR(_xlpm.s="",_xlpm.e="",_xlpm.e&lt;_xlpm.s),"",_xlfn.LET(_xlpm.p,_xlfn.SEQUENCE(_xlpm.e-_xlpm.s+1,1,_xlpm.s,1),SUM(1/COUNTIFS($D:$D,D19,$E:$E,E19,$F:$F,"&lt;&gt;N/A",$G:$G,"&lt;&gt;N/A",$F:$F,"&lt;="&amp;_xlpm.p,$G:$G,"&gt;="&amp;_xlpm.p)))))</f>
        <v>0.66666666666666663</v>
      </c>
      <c r="I19" t="s">
        <v>205</v>
      </c>
      <c r="J19" t="s">
        <v>206</v>
      </c>
      <c r="K19" s="5" t="s">
        <v>7</v>
      </c>
      <c r="L19" s="5" t="s">
        <v>4510</v>
      </c>
      <c r="M19" s="5" t="s">
        <v>5548</v>
      </c>
      <c r="N19" s="5" t="s">
        <v>5547</v>
      </c>
      <c r="O19" s="5" t="s">
        <v>11522</v>
      </c>
      <c r="P19" s="5" t="s">
        <v>8021</v>
      </c>
      <c r="Q19" s="5"/>
      <c r="R19" s="5" t="b">
        <v>1</v>
      </c>
    </row>
    <row r="20" spans="1:18">
      <c r="A20" t="s">
        <v>3005</v>
      </c>
      <c r="B20" t="s">
        <v>3342</v>
      </c>
      <c r="C20" s="5" t="s">
        <v>7810</v>
      </c>
      <c r="D20" s="1">
        <v>1</v>
      </c>
      <c r="E20" s="1">
        <v>1</v>
      </c>
      <c r="F20" s="1">
        <v>118</v>
      </c>
      <c r="G20" s="1">
        <v>119</v>
      </c>
      <c r="H20" s="8" cm="1">
        <f t="array" ref="H20">_xlfn.LET(_xlpm.s,IFERROR(--F20,""),_xlpm.e,IFERROR(--G20,""),IF(OR(_xlpm.s="",_xlpm.e="",_xlpm.e&lt;_xlpm.s),"",_xlfn.LET(_xlpm.p,_xlfn.SEQUENCE(_xlpm.e-_xlpm.s+1,1,_xlpm.s,1),SUM(1/COUNTIFS($D:$D,D20,$E:$E,E20,$F:$F,"&lt;&gt;N/A",$G:$G,"&lt;&gt;N/A",$F:$F,"&lt;="&amp;_xlpm.p,$G:$G,"&gt;="&amp;_xlpm.p)))))</f>
        <v>0.66666666666666663</v>
      </c>
      <c r="I20" t="s">
        <v>205</v>
      </c>
      <c r="J20" t="s">
        <v>1266</v>
      </c>
      <c r="K20" s="5" t="s">
        <v>7</v>
      </c>
      <c r="L20" s="5" t="s">
        <v>7</v>
      </c>
      <c r="M20" s="5" t="s">
        <v>7</v>
      </c>
      <c r="N20" s="5" t="s">
        <v>7</v>
      </c>
      <c r="O20" s="5" t="s">
        <v>11522</v>
      </c>
      <c r="P20" s="5" t="s">
        <v>8021</v>
      </c>
      <c r="Q20" s="5" t="s">
        <v>8037</v>
      </c>
      <c r="R20" s="5" t="b">
        <v>1</v>
      </c>
    </row>
    <row r="21" spans="1:18">
      <c r="A21" t="s">
        <v>3005</v>
      </c>
      <c r="B21" t="s">
        <v>3343</v>
      </c>
      <c r="C21" s="5" t="s">
        <v>7810</v>
      </c>
      <c r="D21" s="1">
        <v>1</v>
      </c>
      <c r="E21" s="1">
        <v>1</v>
      </c>
      <c r="F21" s="1">
        <v>119</v>
      </c>
      <c r="G21" s="1">
        <v>120</v>
      </c>
      <c r="H21" s="8" cm="1">
        <f t="array" ref="H21">_xlfn.LET(_xlpm.s,IFERROR(--F21,""),_xlpm.e,IFERROR(--G21,""),IF(OR(_xlpm.s="",_xlpm.e="",_xlpm.e&lt;_xlpm.s),"",_xlfn.LET(_xlpm.p,_xlfn.SEQUENCE(_xlpm.e-_xlpm.s+1,1,_xlpm.s,1),SUM(1/COUNTIFS($D:$D,D21,$E:$E,E21,$F:$F,"&lt;&gt;N/A",$G:$G,"&lt;&gt;N/A",$F:$F,"&lt;="&amp;_xlpm.p,$G:$G,"&gt;="&amp;_xlpm.p)))))</f>
        <v>0.83333333333333326</v>
      </c>
      <c r="I21" t="s">
        <v>205</v>
      </c>
      <c r="J21" t="s">
        <v>207</v>
      </c>
      <c r="K21" s="5" t="s">
        <v>7</v>
      </c>
      <c r="L21" s="5" t="s">
        <v>7</v>
      </c>
      <c r="M21" s="5" t="s">
        <v>5559</v>
      </c>
      <c r="N21" s="5" t="s">
        <v>2753</v>
      </c>
      <c r="O21" s="5" t="s">
        <v>5072</v>
      </c>
      <c r="P21" s="5" t="s">
        <v>8021</v>
      </c>
      <c r="Q21" s="5"/>
      <c r="R21" s="5" t="b">
        <v>1</v>
      </c>
    </row>
    <row r="22" spans="1:18">
      <c r="A22" t="s">
        <v>3005</v>
      </c>
      <c r="B22" t="s">
        <v>3344</v>
      </c>
      <c r="C22" s="5" t="s">
        <v>7810</v>
      </c>
      <c r="D22" s="1">
        <v>1</v>
      </c>
      <c r="E22" s="1">
        <v>1</v>
      </c>
      <c r="F22" s="1">
        <v>120</v>
      </c>
      <c r="G22" s="1">
        <v>121</v>
      </c>
      <c r="H22" s="8" cm="1">
        <f t="array" ref="H22">_xlfn.LET(_xlpm.s,IFERROR(--F22,""),_xlpm.e,IFERROR(--G22,""),IF(OR(_xlpm.s="",_xlpm.e="",_xlpm.e&lt;_xlpm.s),"",_xlfn.LET(_xlpm.p,_xlfn.SEQUENCE(_xlpm.e-_xlpm.s+1,1,_xlpm.s,1),SUM(1/COUNTIFS($D:$D,D22,$E:$E,E22,$F:$F,"&lt;&gt;N/A",$G:$G,"&lt;&gt;N/A",$F:$F,"&lt;="&amp;_xlpm.p,$G:$G,"&gt;="&amp;_xlpm.p)))))</f>
        <v>0.83333333333333326</v>
      </c>
      <c r="I22" t="s">
        <v>205</v>
      </c>
      <c r="J22" t="s">
        <v>1249</v>
      </c>
      <c r="K22" s="5" t="s">
        <v>7</v>
      </c>
      <c r="L22" s="5" t="s">
        <v>7</v>
      </c>
      <c r="M22" s="5" t="s">
        <v>5559</v>
      </c>
      <c r="N22" s="5" t="s">
        <v>2752</v>
      </c>
      <c r="O22" s="5" t="s">
        <v>5072</v>
      </c>
      <c r="P22" s="5" t="s">
        <v>8021</v>
      </c>
      <c r="Q22" s="5"/>
      <c r="R22" s="5" t="b">
        <v>1</v>
      </c>
    </row>
    <row r="23" spans="1:18">
      <c r="A23" t="s">
        <v>3005</v>
      </c>
      <c r="B23" t="s">
        <v>3345</v>
      </c>
      <c r="C23" s="5" t="s">
        <v>7810</v>
      </c>
      <c r="D23" s="1">
        <v>1</v>
      </c>
      <c r="E23" s="1">
        <v>1</v>
      </c>
      <c r="F23" s="1">
        <v>121</v>
      </c>
      <c r="G23" s="1">
        <v>121</v>
      </c>
      <c r="H23" s="8" cm="1">
        <f t="array" ref="H23">_xlfn.LET(_xlpm.s,IFERROR(--F23,""),_xlpm.e,IFERROR(--G23,""),IF(OR(_xlpm.s="",_xlpm.e="",_xlpm.e&lt;_xlpm.s),"",_xlfn.LET(_xlpm.p,_xlfn.SEQUENCE(_xlpm.e-_xlpm.s+1,1,_xlpm.s,1),SUM(1/COUNTIFS($D:$D,D23,$E:$E,E23,$F:$F,"&lt;&gt;N/A",$G:$G,"&lt;&gt;N/A",$F:$F,"&lt;="&amp;_xlpm.p,$G:$G,"&gt;="&amp;_xlpm.p)))))</f>
        <v>0.33333333333333331</v>
      </c>
      <c r="I23" t="s">
        <v>208</v>
      </c>
      <c r="J23" t="s">
        <v>2759</v>
      </c>
      <c r="K23" s="5" t="s">
        <v>7</v>
      </c>
      <c r="L23" s="5" t="s">
        <v>7</v>
      </c>
      <c r="M23" t="s">
        <v>6407</v>
      </c>
      <c r="N23" s="5" t="s">
        <v>6409</v>
      </c>
      <c r="O23" s="5" t="s">
        <v>5072</v>
      </c>
      <c r="P23" s="5" t="s">
        <v>8021</v>
      </c>
      <c r="Q23" s="5"/>
      <c r="R23" s="5" t="b">
        <v>1</v>
      </c>
    </row>
    <row r="24" spans="1:18">
      <c r="A24" t="s">
        <v>3005</v>
      </c>
      <c r="B24" t="s">
        <v>3346</v>
      </c>
      <c r="C24" s="5" t="s">
        <v>7810</v>
      </c>
      <c r="D24" s="1">
        <v>1</v>
      </c>
      <c r="E24" s="1">
        <v>1</v>
      </c>
      <c r="F24" s="1">
        <v>121</v>
      </c>
      <c r="G24" s="1">
        <v>122</v>
      </c>
      <c r="H24" s="8" cm="1">
        <f t="array" ref="H24">_xlfn.LET(_xlpm.s,IFERROR(--F24,""),_xlpm.e,IFERROR(--G24,""),IF(OR(_xlpm.s="",_xlpm.e="",_xlpm.e&lt;_xlpm.s),"",_xlfn.LET(_xlpm.p,_xlfn.SEQUENCE(_xlpm.e-_xlpm.s+1,1,_xlpm.s,1),SUM(1/COUNTIFS($D:$D,D24,$E:$E,E24,$F:$F,"&lt;&gt;N/A",$G:$G,"&lt;&gt;N/A",$F:$F,"&lt;="&amp;_xlpm.p,$G:$G,"&gt;="&amp;_xlpm.p)))))</f>
        <v>0.83333333333333326</v>
      </c>
      <c r="I24" t="s">
        <v>208</v>
      </c>
      <c r="J24" t="s">
        <v>2754</v>
      </c>
      <c r="K24" s="5" t="s">
        <v>7</v>
      </c>
      <c r="L24" s="5" t="s">
        <v>7</v>
      </c>
      <c r="M24" t="s">
        <v>6407</v>
      </c>
      <c r="N24" s="5" t="s">
        <v>6410</v>
      </c>
      <c r="O24" s="5" t="s">
        <v>5072</v>
      </c>
      <c r="P24" s="5" t="s">
        <v>8021</v>
      </c>
      <c r="Q24" s="5"/>
      <c r="R24" s="5" t="b">
        <v>1</v>
      </c>
    </row>
    <row r="25" spans="1:18">
      <c r="A25" t="s">
        <v>3005</v>
      </c>
      <c r="B25" t="s">
        <v>3347</v>
      </c>
      <c r="C25" s="5" t="s">
        <v>7810</v>
      </c>
      <c r="D25" s="1">
        <v>1</v>
      </c>
      <c r="E25" s="1">
        <v>1</v>
      </c>
      <c r="F25" s="1">
        <v>122</v>
      </c>
      <c r="G25" s="1">
        <v>123</v>
      </c>
      <c r="H25" s="8" cm="1">
        <f t="array" ref="H25">_xlfn.LET(_xlpm.s,IFERROR(--F25,""),_xlpm.e,IFERROR(--G25,""),IF(OR(_xlpm.s="",_xlpm.e="",_xlpm.e&lt;_xlpm.s),"",_xlfn.LET(_xlpm.p,_xlfn.SEQUENCE(_xlpm.e-_xlpm.s+1,1,_xlpm.s,1),SUM(1/COUNTIFS($D:$D,D25,$E:$E,E25,$F:$F,"&lt;&gt;N/A",$G:$G,"&lt;&gt;N/A",$F:$F,"&lt;="&amp;_xlpm.p,$G:$G,"&gt;="&amp;_xlpm.p)))))</f>
        <v>0.83333333333333326</v>
      </c>
      <c r="I25" t="s">
        <v>208</v>
      </c>
      <c r="J25" t="s">
        <v>2755</v>
      </c>
      <c r="K25" s="5" t="s">
        <v>7</v>
      </c>
      <c r="L25" s="5" t="s">
        <v>4511</v>
      </c>
      <c r="M25" t="s">
        <v>5560</v>
      </c>
      <c r="N25" s="5" t="s">
        <v>6408</v>
      </c>
      <c r="O25" s="5" t="s">
        <v>5072</v>
      </c>
      <c r="P25" s="5" t="s">
        <v>8021</v>
      </c>
      <c r="Q25" s="5"/>
      <c r="R25" s="5" t="b">
        <v>1</v>
      </c>
    </row>
    <row r="26" spans="1:18">
      <c r="A26" t="s">
        <v>3005</v>
      </c>
      <c r="B26" t="s">
        <v>3348</v>
      </c>
      <c r="C26" s="5" t="s">
        <v>7810</v>
      </c>
      <c r="D26" s="1">
        <v>1</v>
      </c>
      <c r="E26" s="1">
        <v>1</v>
      </c>
      <c r="F26" s="1">
        <v>123</v>
      </c>
      <c r="G26" s="1">
        <v>123</v>
      </c>
      <c r="H26" s="8" cm="1">
        <f t="array" ref="H26">_xlfn.LET(_xlpm.s,IFERROR(--F26,""),_xlpm.e,IFERROR(--G26,""),IF(OR(_xlpm.s="",_xlpm.e="",_xlpm.e&lt;_xlpm.s),"",_xlfn.LET(_xlpm.p,_xlfn.SEQUENCE(_xlpm.e-_xlpm.s+1,1,_xlpm.s,1),SUM(1/COUNTIFS($D:$D,D26,$E:$E,E26,$F:$F,"&lt;&gt;N/A",$G:$G,"&lt;&gt;N/A",$F:$F,"&lt;="&amp;_xlpm.p,$G:$G,"&gt;="&amp;_xlpm.p)))))</f>
        <v>0.33333333333333331</v>
      </c>
      <c r="I26" t="s">
        <v>208</v>
      </c>
      <c r="J26" t="s">
        <v>2756</v>
      </c>
      <c r="K26" s="5" t="s">
        <v>7</v>
      </c>
      <c r="L26" s="5" t="s">
        <v>7</v>
      </c>
      <c r="M26" t="s">
        <v>6407</v>
      </c>
      <c r="N26" s="5" t="s">
        <v>6411</v>
      </c>
      <c r="O26" s="5" t="s">
        <v>5072</v>
      </c>
      <c r="P26" s="5" t="s">
        <v>8021</v>
      </c>
      <c r="Q26" s="5"/>
      <c r="R26" s="5" t="b">
        <v>1</v>
      </c>
    </row>
    <row r="27" spans="1:18">
      <c r="A27" t="s">
        <v>3005</v>
      </c>
      <c r="B27" t="s">
        <v>3349</v>
      </c>
      <c r="C27" s="5" t="s">
        <v>7810</v>
      </c>
      <c r="D27" s="1">
        <v>1</v>
      </c>
      <c r="E27" s="1">
        <v>1</v>
      </c>
      <c r="F27" s="1">
        <v>123</v>
      </c>
      <c r="G27" s="1">
        <v>124</v>
      </c>
      <c r="H27" s="8" cm="1">
        <f t="array" ref="H27">_xlfn.LET(_xlpm.s,IFERROR(--F27,""),_xlpm.e,IFERROR(--G27,""),IF(OR(_xlpm.s="",_xlpm.e="",_xlpm.e&lt;_xlpm.s),"",_xlfn.LET(_xlpm.p,_xlfn.SEQUENCE(_xlpm.e-_xlpm.s+1,1,_xlpm.s,1),SUM(1/COUNTIFS($D:$D,D27,$E:$E,E27,$F:$F,"&lt;&gt;N/A",$G:$G,"&lt;&gt;N/A",$F:$F,"&lt;="&amp;_xlpm.p,$G:$G,"&gt;="&amp;_xlpm.p)))))</f>
        <v>0.83333333333333326</v>
      </c>
      <c r="I27" t="s">
        <v>208</v>
      </c>
      <c r="J27" t="s">
        <v>2760</v>
      </c>
      <c r="K27" s="5" t="s">
        <v>7</v>
      </c>
      <c r="L27" s="5" t="s">
        <v>7</v>
      </c>
      <c r="M27" t="s">
        <v>6407</v>
      </c>
      <c r="N27" s="5" t="s">
        <v>6412</v>
      </c>
      <c r="O27" s="5" t="s">
        <v>5072</v>
      </c>
      <c r="P27" s="5" t="s">
        <v>8021</v>
      </c>
      <c r="Q27" s="5"/>
      <c r="R27" s="5" t="b">
        <v>1</v>
      </c>
    </row>
    <row r="28" spans="1:18">
      <c r="A28" t="s">
        <v>3005</v>
      </c>
      <c r="B28" t="s">
        <v>3350</v>
      </c>
      <c r="C28" s="5" t="s">
        <v>7810</v>
      </c>
      <c r="D28" s="1">
        <v>1</v>
      </c>
      <c r="E28" s="1">
        <v>1</v>
      </c>
      <c r="F28" s="1">
        <v>124</v>
      </c>
      <c r="G28" s="1">
        <v>124</v>
      </c>
      <c r="H28" s="8" cm="1">
        <f t="array" ref="H28">_xlfn.LET(_xlpm.s,IFERROR(--F28,""),_xlpm.e,IFERROR(--G28,""),IF(OR(_xlpm.s="",_xlpm.e="",_xlpm.e&lt;_xlpm.s),"",_xlfn.LET(_xlpm.p,_xlfn.SEQUENCE(_xlpm.e-_xlpm.s+1,1,_xlpm.s,1),SUM(1/COUNTIFS($D:$D,D28,$E:$E,E28,$F:$F,"&lt;&gt;N/A",$G:$G,"&lt;&gt;N/A",$F:$F,"&lt;="&amp;_xlpm.p,$G:$G,"&gt;="&amp;_xlpm.p)))))</f>
        <v>0.5</v>
      </c>
      <c r="I28" t="s">
        <v>208</v>
      </c>
      <c r="J28" t="s">
        <v>2757</v>
      </c>
      <c r="K28" s="5" t="s">
        <v>7</v>
      </c>
      <c r="L28" s="5" t="s">
        <v>7</v>
      </c>
      <c r="M28" t="s">
        <v>6407</v>
      </c>
      <c r="N28" s="5" t="s">
        <v>6413</v>
      </c>
      <c r="O28" s="5" t="s">
        <v>5072</v>
      </c>
      <c r="P28" s="5" t="s">
        <v>8021</v>
      </c>
      <c r="Q28" s="5"/>
      <c r="R28" s="5" t="b">
        <v>1</v>
      </c>
    </row>
    <row r="29" spans="1:18">
      <c r="A29" t="s">
        <v>3005</v>
      </c>
      <c r="B29" t="s">
        <v>3351</v>
      </c>
      <c r="C29" s="5" t="s">
        <v>7810</v>
      </c>
      <c r="D29" s="1">
        <v>1</v>
      </c>
      <c r="E29" s="1">
        <v>1</v>
      </c>
      <c r="F29" s="1">
        <v>125</v>
      </c>
      <c r="G29" s="1">
        <v>126</v>
      </c>
      <c r="H29" s="8" cm="1">
        <f t="array" ref="H29">_xlfn.LET(_xlpm.s,IFERROR(--F29,""),_xlpm.e,IFERROR(--G29,""),IF(OR(_xlpm.s="",_xlpm.e="",_xlpm.e&lt;_xlpm.s),"",_xlfn.LET(_xlpm.p,_xlfn.SEQUENCE(_xlpm.e-_xlpm.s+1,1,_xlpm.s,1),SUM(1/COUNTIFS($D:$D,D29,$E:$E,E29,$F:$F,"&lt;&gt;N/A",$G:$G,"&lt;&gt;N/A",$F:$F,"&lt;="&amp;_xlpm.p,$G:$G,"&gt;="&amp;_xlpm.p)))))</f>
        <v>2</v>
      </c>
      <c r="I29" t="s">
        <v>208</v>
      </c>
      <c r="J29" t="s">
        <v>2758</v>
      </c>
      <c r="K29" s="5" t="s">
        <v>7</v>
      </c>
      <c r="L29" s="5" t="s">
        <v>7</v>
      </c>
      <c r="M29" t="s">
        <v>5010</v>
      </c>
      <c r="N29" s="5" t="s">
        <v>11533</v>
      </c>
      <c r="O29" s="5" t="s">
        <v>11522</v>
      </c>
      <c r="P29" s="5" t="s">
        <v>8021</v>
      </c>
      <c r="Q29" t="s">
        <v>6419</v>
      </c>
      <c r="R29" s="5" t="b">
        <v>1</v>
      </c>
    </row>
    <row r="30" spans="1:18">
      <c r="A30" t="s">
        <v>3005</v>
      </c>
      <c r="B30" t="s">
        <v>3352</v>
      </c>
      <c r="C30" s="5" t="s">
        <v>7810</v>
      </c>
      <c r="D30" s="1">
        <v>1</v>
      </c>
      <c r="E30" s="1">
        <v>1</v>
      </c>
      <c r="F30" s="1">
        <v>127</v>
      </c>
      <c r="G30" s="1">
        <v>129</v>
      </c>
      <c r="H30" s="8" cm="1">
        <f t="array" ref="H30">_xlfn.LET(_xlpm.s,IFERROR(--F30,""),_xlpm.e,IFERROR(--G30,""),IF(OR(_xlpm.s="",_xlpm.e="",_xlpm.e&lt;_xlpm.s),"",_xlfn.LET(_xlpm.p,_xlfn.SEQUENCE(_xlpm.e-_xlpm.s+1,1,_xlpm.s,1),SUM(1/COUNTIFS($D:$D,D30,$E:$E,E30,$F:$F,"&lt;&gt;N/A",$G:$G,"&lt;&gt;N/A",$F:$F,"&lt;="&amp;_xlpm.p,$G:$G,"&gt;="&amp;_xlpm.p)))))</f>
        <v>3</v>
      </c>
      <c r="I30" t="s">
        <v>209</v>
      </c>
      <c r="J30" t="s">
        <v>1270</v>
      </c>
      <c r="K30" s="4" t="s">
        <v>1234</v>
      </c>
      <c r="L30" s="5" t="s">
        <v>7</v>
      </c>
      <c r="M30" s="5" t="s">
        <v>7</v>
      </c>
      <c r="N30" s="5" t="s">
        <v>7</v>
      </c>
      <c r="O30" s="5" t="s">
        <v>11522</v>
      </c>
      <c r="P30" s="5" t="s">
        <v>8021</v>
      </c>
      <c r="Q30" s="5" t="s">
        <v>2706</v>
      </c>
      <c r="R30" s="5" t="b">
        <v>1</v>
      </c>
    </row>
    <row r="31" spans="1:18">
      <c r="A31" t="s">
        <v>3005</v>
      </c>
      <c r="B31" t="s">
        <v>3353</v>
      </c>
      <c r="C31" s="5" t="s">
        <v>7810</v>
      </c>
      <c r="D31" s="1">
        <v>1</v>
      </c>
      <c r="E31" s="1">
        <v>1</v>
      </c>
      <c r="F31" s="1">
        <v>130</v>
      </c>
      <c r="G31" s="1">
        <v>131</v>
      </c>
      <c r="H31" s="8" cm="1">
        <f t="array" ref="H31">_xlfn.LET(_xlpm.s,IFERROR(--F31,""),_xlpm.e,IFERROR(--G31,""),IF(OR(_xlpm.s="",_xlpm.e="",_xlpm.e&lt;_xlpm.s),"",_xlfn.LET(_xlpm.p,_xlfn.SEQUENCE(_xlpm.e-_xlpm.s+1,1,_xlpm.s,1),SUM(1/COUNTIFS($D:$D,D31,$E:$E,E31,$F:$F,"&lt;&gt;N/A",$G:$G,"&lt;&gt;N/A",$F:$F,"&lt;="&amp;_xlpm.p,$G:$G,"&gt;="&amp;_xlpm.p)))))</f>
        <v>1.5</v>
      </c>
      <c r="I31" t="s">
        <v>209</v>
      </c>
      <c r="J31" t="s">
        <v>1271</v>
      </c>
      <c r="K31" s="4" t="s">
        <v>1234</v>
      </c>
      <c r="L31" s="5" t="s">
        <v>7</v>
      </c>
      <c r="M31" s="5" t="s">
        <v>7</v>
      </c>
      <c r="N31" s="5" t="s">
        <v>7</v>
      </c>
      <c r="O31" s="5" t="s">
        <v>11522</v>
      </c>
      <c r="P31" s="5" t="s">
        <v>8019</v>
      </c>
      <c r="Q31" s="5" t="s">
        <v>2726</v>
      </c>
      <c r="R31" s="5" t="b">
        <v>1</v>
      </c>
    </row>
    <row r="32" spans="1:18">
      <c r="A32" t="s">
        <v>3005</v>
      </c>
      <c r="B32" t="s">
        <v>3354</v>
      </c>
      <c r="C32" s="5" t="s">
        <v>7810</v>
      </c>
      <c r="D32" s="1">
        <v>1</v>
      </c>
      <c r="E32" s="1">
        <v>1</v>
      </c>
      <c r="F32" s="1">
        <v>131</v>
      </c>
      <c r="G32" s="1">
        <v>133</v>
      </c>
      <c r="H32" s="8" cm="1">
        <f t="array" ref="H32">_xlfn.LET(_xlpm.s,IFERROR(--F32,""),_xlpm.e,IFERROR(--G32,""),IF(OR(_xlpm.s="",_xlpm.e="",_xlpm.e&lt;_xlpm.s),"",_xlfn.LET(_xlpm.p,_xlfn.SEQUENCE(_xlpm.e-_xlpm.s+1,1,_xlpm.s,1),SUM(1/COUNTIFS($D:$D,D32,$E:$E,E32,$F:$F,"&lt;&gt;N/A",$G:$G,"&lt;&gt;N/A",$F:$F,"&lt;="&amp;_xlpm.p,$G:$G,"&gt;="&amp;_xlpm.p)))))</f>
        <v>2</v>
      </c>
      <c r="I32" t="s">
        <v>210</v>
      </c>
      <c r="J32" t="s">
        <v>2761</v>
      </c>
      <c r="K32" s="5" t="s">
        <v>7</v>
      </c>
      <c r="L32" s="5" t="s">
        <v>7</v>
      </c>
      <c r="M32" t="s">
        <v>6415</v>
      </c>
      <c r="N32" s="5" t="s">
        <v>2762</v>
      </c>
      <c r="O32" s="5" t="s">
        <v>11522</v>
      </c>
      <c r="P32" s="5" t="s">
        <v>8021</v>
      </c>
      <c r="Q32" s="5"/>
      <c r="R32" s="5" t="b">
        <v>1</v>
      </c>
    </row>
    <row r="33" spans="1:18">
      <c r="A33" t="s">
        <v>3005</v>
      </c>
      <c r="B33" t="s">
        <v>3355</v>
      </c>
      <c r="C33" s="5" t="s">
        <v>7810</v>
      </c>
      <c r="D33" s="1">
        <v>1</v>
      </c>
      <c r="E33" s="1">
        <v>1</v>
      </c>
      <c r="F33" s="1">
        <v>133</v>
      </c>
      <c r="G33" s="1">
        <v>133</v>
      </c>
      <c r="H33" s="8" cm="1">
        <f t="array" ref="H33">_xlfn.LET(_xlpm.s,IFERROR(--F33,""),_xlpm.e,IFERROR(--G33,""),IF(OR(_xlpm.s="",_xlpm.e="",_xlpm.e&lt;_xlpm.s),"",_xlfn.LET(_xlpm.p,_xlfn.SEQUENCE(_xlpm.e-_xlpm.s+1,1,_xlpm.s,1),SUM(1/COUNTIFS($D:$D,D33,$E:$E,E33,$F:$F,"&lt;&gt;N/A",$G:$G,"&lt;&gt;N/A",$F:$F,"&lt;="&amp;_xlpm.p,$G:$G,"&gt;="&amp;_xlpm.p)))))</f>
        <v>0.5</v>
      </c>
      <c r="I33" t="s">
        <v>210</v>
      </c>
      <c r="J33" t="s">
        <v>2763</v>
      </c>
      <c r="K33" s="5" t="s">
        <v>7</v>
      </c>
      <c r="L33" s="5" t="s">
        <v>7</v>
      </c>
      <c r="M33" s="5" t="s">
        <v>7</v>
      </c>
      <c r="N33" s="5" t="s">
        <v>7</v>
      </c>
      <c r="O33" s="5" t="s">
        <v>778</v>
      </c>
      <c r="P33" s="5" t="s">
        <v>7834</v>
      </c>
      <c r="Q33" s="5"/>
      <c r="R33" s="5" t="b">
        <v>1</v>
      </c>
    </row>
    <row r="34" spans="1:18">
      <c r="A34" t="s">
        <v>3005</v>
      </c>
      <c r="B34" t="s">
        <v>3356</v>
      </c>
      <c r="C34" s="5" t="s">
        <v>7810</v>
      </c>
      <c r="D34" s="1">
        <v>1</v>
      </c>
      <c r="E34" s="1">
        <v>1</v>
      </c>
      <c r="F34" s="1">
        <v>134</v>
      </c>
      <c r="G34" s="1">
        <v>134</v>
      </c>
      <c r="H34" s="8" cm="1">
        <f t="array" ref="H34">_xlfn.LET(_xlpm.s,IFERROR(--F34,""),_xlpm.e,IFERROR(--G34,""),IF(OR(_xlpm.s="",_xlpm.e="",_xlpm.e&lt;_xlpm.s),"",_xlfn.LET(_xlpm.p,_xlfn.SEQUENCE(_xlpm.e-_xlpm.s+1,1,_xlpm.s,1),SUM(1/COUNTIFS($D:$D,D34,$E:$E,E34,$F:$F,"&lt;&gt;N/A",$G:$G,"&lt;&gt;N/A",$F:$F,"&lt;="&amp;_xlpm.p,$G:$G,"&gt;="&amp;_xlpm.p)))))</f>
        <v>1</v>
      </c>
      <c r="I34" t="s">
        <v>210</v>
      </c>
      <c r="J34" t="s">
        <v>2764</v>
      </c>
      <c r="K34" s="5" t="s">
        <v>7</v>
      </c>
      <c r="L34" s="5" t="s">
        <v>7</v>
      </c>
      <c r="M34" s="5" t="s">
        <v>7</v>
      </c>
      <c r="N34" s="5" t="s">
        <v>7</v>
      </c>
      <c r="O34" s="5" t="s">
        <v>778</v>
      </c>
      <c r="P34" s="5" t="s">
        <v>7834</v>
      </c>
      <c r="Q34" s="5"/>
      <c r="R34" s="5" t="b">
        <v>1</v>
      </c>
    </row>
    <row r="35" spans="1:18">
      <c r="A35" t="s">
        <v>3005</v>
      </c>
      <c r="B35" t="s">
        <v>3357</v>
      </c>
      <c r="C35" s="5" t="s">
        <v>7810</v>
      </c>
      <c r="D35" s="1">
        <v>1</v>
      </c>
      <c r="E35" s="1">
        <v>1</v>
      </c>
      <c r="F35" s="1">
        <v>135</v>
      </c>
      <c r="G35" s="1">
        <v>135</v>
      </c>
      <c r="H35" s="8" cm="1">
        <f t="array" ref="H35">_xlfn.LET(_xlpm.s,IFERROR(--F35,""),_xlpm.e,IFERROR(--G35,""),IF(OR(_xlpm.s="",_xlpm.e="",_xlpm.e&lt;_xlpm.s),"",_xlfn.LET(_xlpm.p,_xlfn.SEQUENCE(_xlpm.e-_xlpm.s+1,1,_xlpm.s,1),SUM(1/COUNTIFS($D:$D,D35,$E:$E,E35,$F:$F,"&lt;&gt;N/A",$G:$G,"&lt;&gt;N/A",$F:$F,"&lt;="&amp;_xlpm.p,$G:$G,"&gt;="&amp;_xlpm.p)))))</f>
        <v>0.5</v>
      </c>
      <c r="I35" t="s">
        <v>210</v>
      </c>
      <c r="J35" t="s">
        <v>2765</v>
      </c>
      <c r="K35" s="5" t="s">
        <v>7</v>
      </c>
      <c r="L35" s="5" t="s">
        <v>7</v>
      </c>
      <c r="M35" t="s">
        <v>5548</v>
      </c>
      <c r="N35" s="5" t="s">
        <v>6422</v>
      </c>
      <c r="O35" s="5" t="s">
        <v>11522</v>
      </c>
      <c r="P35" s="5" t="s">
        <v>8021</v>
      </c>
      <c r="Q35" s="5"/>
      <c r="R35" s="5" t="b">
        <v>1</v>
      </c>
    </row>
    <row r="36" spans="1:18">
      <c r="A36" t="s">
        <v>3005</v>
      </c>
      <c r="B36" t="s">
        <v>3358</v>
      </c>
      <c r="C36" s="5" t="s">
        <v>7810</v>
      </c>
      <c r="D36" s="1">
        <v>1</v>
      </c>
      <c r="E36" s="1">
        <v>1</v>
      </c>
      <c r="F36" s="1">
        <v>135</v>
      </c>
      <c r="G36" s="1">
        <v>136</v>
      </c>
      <c r="H36" s="8" cm="1">
        <f t="array" ref="H36">_xlfn.LET(_xlpm.s,IFERROR(--F36,""),_xlpm.e,IFERROR(--G36,""),IF(OR(_xlpm.s="",_xlpm.e="",_xlpm.e&lt;_xlpm.s),"",_xlfn.LET(_xlpm.p,_xlfn.SEQUENCE(_xlpm.e-_xlpm.s+1,1,_xlpm.s,1),SUM(1/COUNTIFS($D:$D,D36,$E:$E,E36,$F:$F,"&lt;&gt;N/A",$G:$G,"&lt;&gt;N/A",$F:$F,"&lt;="&amp;_xlpm.p,$G:$G,"&gt;="&amp;_xlpm.p)))))</f>
        <v>1</v>
      </c>
      <c r="I36" t="s">
        <v>210</v>
      </c>
      <c r="J36" t="s">
        <v>2766</v>
      </c>
      <c r="K36" s="5" t="s">
        <v>7</v>
      </c>
      <c r="L36" s="5" t="s">
        <v>7</v>
      </c>
      <c r="M36" s="5" t="s">
        <v>7</v>
      </c>
      <c r="N36" s="5" t="s">
        <v>7</v>
      </c>
      <c r="O36" s="5" t="s">
        <v>778</v>
      </c>
      <c r="P36" s="5" t="s">
        <v>7834</v>
      </c>
      <c r="Q36" s="5"/>
      <c r="R36" s="5" t="b">
        <v>1</v>
      </c>
    </row>
    <row r="37" spans="1:18">
      <c r="A37" t="s">
        <v>3005</v>
      </c>
      <c r="B37" t="s">
        <v>3359</v>
      </c>
      <c r="C37" s="5" t="s">
        <v>7810</v>
      </c>
      <c r="D37" s="1">
        <v>1</v>
      </c>
      <c r="E37" s="1">
        <v>1</v>
      </c>
      <c r="F37" s="1">
        <v>136</v>
      </c>
      <c r="G37" s="1">
        <v>141</v>
      </c>
      <c r="H37" s="8" cm="1">
        <f t="array" ref="H37">_xlfn.LET(_xlpm.s,IFERROR(--F37,""),_xlpm.e,IFERROR(--G37,""),IF(OR(_xlpm.s="",_xlpm.e="",_xlpm.e&lt;_xlpm.s),"",_xlfn.LET(_xlpm.p,_xlfn.SEQUENCE(_xlpm.e-_xlpm.s+1,1,_xlpm.s,1),SUM(1/COUNTIFS($D:$D,D37,$E:$E,E37,$F:$F,"&lt;&gt;N/A",$G:$G,"&lt;&gt;N/A",$F:$F,"&lt;="&amp;_xlpm.p,$G:$G,"&gt;="&amp;_xlpm.p)))))</f>
        <v>5.5</v>
      </c>
      <c r="I37" t="s">
        <v>210</v>
      </c>
      <c r="J37" t="s">
        <v>1272</v>
      </c>
      <c r="K37" s="4" t="s">
        <v>1234</v>
      </c>
      <c r="L37" s="5" t="s">
        <v>7</v>
      </c>
      <c r="M37" t="s">
        <v>5560</v>
      </c>
      <c r="N37" s="5" t="s">
        <v>2767</v>
      </c>
      <c r="O37" s="5" t="s">
        <v>5072</v>
      </c>
      <c r="P37" s="5" t="s">
        <v>8021</v>
      </c>
      <c r="Q37" s="5"/>
      <c r="R37" s="5" t="b">
        <v>1</v>
      </c>
    </row>
    <row r="38" spans="1:18">
      <c r="A38" t="s">
        <v>3005</v>
      </c>
      <c r="B38" t="s">
        <v>3360</v>
      </c>
      <c r="C38" s="5" t="s">
        <v>7810</v>
      </c>
      <c r="D38" s="1">
        <v>1</v>
      </c>
      <c r="E38" s="1">
        <v>1</v>
      </c>
      <c r="F38" s="1">
        <v>142</v>
      </c>
      <c r="G38" s="1">
        <v>142</v>
      </c>
      <c r="H38" s="8" cm="1">
        <f t="array" ref="H38">_xlfn.LET(_xlpm.s,IFERROR(--F38,""),_xlpm.e,IFERROR(--G38,""),IF(OR(_xlpm.s="",_xlpm.e="",_xlpm.e&lt;_xlpm.s),"",_xlfn.LET(_xlpm.p,_xlfn.SEQUENCE(_xlpm.e-_xlpm.s+1,1,_xlpm.s,1),SUM(1/COUNTIFS($D:$D,D38,$E:$E,E38,$F:$F,"&lt;&gt;N/A",$G:$G,"&lt;&gt;N/A",$F:$F,"&lt;="&amp;_xlpm.p,$G:$G,"&gt;="&amp;_xlpm.p)))))</f>
        <v>1</v>
      </c>
      <c r="I38" t="s">
        <v>210</v>
      </c>
      <c r="J38" t="s">
        <v>6414</v>
      </c>
      <c r="K38" s="5" t="s">
        <v>7</v>
      </c>
      <c r="L38" s="5" t="s">
        <v>7</v>
      </c>
      <c r="M38" s="5" t="s">
        <v>7</v>
      </c>
      <c r="N38" s="5" t="s">
        <v>5538</v>
      </c>
      <c r="O38" s="5" t="s">
        <v>5072</v>
      </c>
      <c r="P38" s="5" t="s">
        <v>8021</v>
      </c>
      <c r="Q38" s="5"/>
      <c r="R38" s="5" t="b">
        <v>1</v>
      </c>
    </row>
    <row r="39" spans="1:18">
      <c r="A39" t="s">
        <v>3005</v>
      </c>
      <c r="B39" t="s">
        <v>3361</v>
      </c>
      <c r="C39" s="5" t="s">
        <v>7811</v>
      </c>
      <c r="D39" s="1">
        <v>1</v>
      </c>
      <c r="E39" s="1">
        <v>2</v>
      </c>
      <c r="F39" s="1">
        <v>143</v>
      </c>
      <c r="G39" s="1">
        <v>158</v>
      </c>
      <c r="H39" s="8" cm="1">
        <f t="array" ref="H39">_xlfn.LET(_xlpm.s,IFERROR(--F39,""),_xlpm.e,IFERROR(--G39,""),IF(OR(_xlpm.s="",_xlpm.e="",_xlpm.e&lt;_xlpm.s),"",_xlfn.LET(_xlpm.p,_xlfn.SEQUENCE(_xlpm.e-_xlpm.s+1,1,_xlpm.s,1),SUM(1/COUNTIFS($D:$D,D39,$E:$E,E39,$F:$F,"&lt;&gt;N/A",$G:$G,"&lt;&gt;N/A",$F:$F,"&lt;="&amp;_xlpm.p,$G:$G,"&gt;="&amp;_xlpm.p)))))</f>
        <v>15.5</v>
      </c>
      <c r="I39" t="s">
        <v>14</v>
      </c>
      <c r="J39" t="s">
        <v>1250</v>
      </c>
      <c r="K39" t="s">
        <v>2204</v>
      </c>
      <c r="L39" s="5" t="s">
        <v>7</v>
      </c>
      <c r="M39" t="s">
        <v>5544</v>
      </c>
      <c r="N39" s="5" t="s">
        <v>2778</v>
      </c>
      <c r="O39" s="5" t="s">
        <v>5072</v>
      </c>
      <c r="P39" s="5" t="s">
        <v>8021</v>
      </c>
      <c r="Q39" s="5"/>
      <c r="R39" s="5" t="b">
        <v>1</v>
      </c>
    </row>
    <row r="40" spans="1:18">
      <c r="A40" t="s">
        <v>3005</v>
      </c>
      <c r="B40" t="s">
        <v>3362</v>
      </c>
      <c r="C40" s="5" t="s">
        <v>7811</v>
      </c>
      <c r="D40" s="1">
        <v>1</v>
      </c>
      <c r="E40" s="1">
        <v>2</v>
      </c>
      <c r="F40" s="1">
        <v>158</v>
      </c>
      <c r="G40" s="1">
        <v>161</v>
      </c>
      <c r="H40" s="8" cm="1">
        <f t="array" ref="H40">_xlfn.LET(_xlpm.s,IFERROR(--F40,""),_xlpm.e,IFERROR(--G40,""),IF(OR(_xlpm.s="",_xlpm.e="",_xlpm.e&lt;_xlpm.s),"",_xlfn.LET(_xlpm.p,_xlfn.SEQUENCE(_xlpm.e-_xlpm.s+1,1,_xlpm.s,1),SUM(1/COUNTIFS($D:$D,D40,$E:$E,E40,$F:$F,"&lt;&gt;N/A",$G:$G,"&lt;&gt;N/A",$F:$F,"&lt;="&amp;_xlpm.p,$G:$G,"&gt;="&amp;_xlpm.p)))))</f>
        <v>3.5</v>
      </c>
      <c r="I40" t="s">
        <v>14</v>
      </c>
      <c r="J40" t="s">
        <v>526</v>
      </c>
      <c r="K40" s="5" t="s">
        <v>7</v>
      </c>
      <c r="L40" s="5" t="s">
        <v>7</v>
      </c>
      <c r="M40" t="s">
        <v>6407</v>
      </c>
      <c r="N40" s="5" t="s">
        <v>6416</v>
      </c>
      <c r="O40" s="5" t="s">
        <v>5072</v>
      </c>
      <c r="P40" s="5" t="s">
        <v>8021</v>
      </c>
      <c r="Q40" s="5"/>
      <c r="R40" s="5" t="b">
        <v>1</v>
      </c>
    </row>
    <row r="41" spans="1:18">
      <c r="A41" t="s">
        <v>3005</v>
      </c>
      <c r="B41" t="s">
        <v>3363</v>
      </c>
      <c r="C41" s="5" t="s">
        <v>7811</v>
      </c>
      <c r="D41" s="1">
        <v>1</v>
      </c>
      <c r="E41" s="1">
        <v>2</v>
      </c>
      <c r="F41" s="1">
        <v>162</v>
      </c>
      <c r="G41" s="1">
        <v>188</v>
      </c>
      <c r="H41" s="8" cm="1">
        <f t="array" ref="H41">_xlfn.LET(_xlpm.s,IFERROR(--F41,""),_xlpm.e,IFERROR(--G41,""),IF(OR(_xlpm.s="",_xlpm.e="",_xlpm.e&lt;_xlpm.s),"",_xlfn.LET(_xlpm.p,_xlfn.SEQUENCE(_xlpm.e-_xlpm.s+1,1,_xlpm.s,1),SUM(1/COUNTIFS($D:$D,D41,$E:$E,E41,$F:$F,"&lt;&gt;N/A",$G:$G,"&lt;&gt;N/A",$F:$F,"&lt;="&amp;_xlpm.p,$G:$G,"&gt;="&amp;_xlpm.p)))))</f>
        <v>27</v>
      </c>
      <c r="I41" t="s">
        <v>14</v>
      </c>
      <c r="J41" t="s">
        <v>527</v>
      </c>
      <c r="K41" s="4" t="s">
        <v>1234</v>
      </c>
      <c r="L41" s="5" t="s">
        <v>7</v>
      </c>
      <c r="M41" s="5" t="s">
        <v>7</v>
      </c>
      <c r="N41" s="5" t="s">
        <v>7</v>
      </c>
      <c r="O41" s="5" t="s">
        <v>778</v>
      </c>
      <c r="P41" s="5" t="s">
        <v>7834</v>
      </c>
      <c r="Q41" s="5"/>
      <c r="R41" s="5" t="b">
        <v>1</v>
      </c>
    </row>
    <row r="42" spans="1:18">
      <c r="A42" t="s">
        <v>3005</v>
      </c>
      <c r="B42" t="s">
        <v>3364</v>
      </c>
      <c r="C42" s="5" t="s">
        <v>7811</v>
      </c>
      <c r="D42" s="1">
        <v>1</v>
      </c>
      <c r="E42" s="1">
        <v>2</v>
      </c>
      <c r="F42" s="1">
        <v>189</v>
      </c>
      <c r="G42" s="1">
        <v>191</v>
      </c>
      <c r="H42" s="8" cm="1">
        <f t="array" ref="H42">_xlfn.LET(_xlpm.s,IFERROR(--F42,""),_xlpm.e,IFERROR(--G42,""),IF(OR(_xlpm.s="",_xlpm.e="",_xlpm.e&lt;_xlpm.s),"",_xlfn.LET(_xlpm.p,_xlfn.SEQUENCE(_xlpm.e-_xlpm.s+1,1,_xlpm.s,1),SUM(1/COUNTIFS($D:$D,D42,$E:$E,E42,$F:$F,"&lt;&gt;N/A",$G:$G,"&lt;&gt;N/A",$F:$F,"&lt;="&amp;_xlpm.p,$G:$G,"&gt;="&amp;_xlpm.p)))))</f>
        <v>2.5</v>
      </c>
      <c r="I42" t="s">
        <v>14</v>
      </c>
      <c r="J42" t="s">
        <v>528</v>
      </c>
      <c r="K42" s="5" t="s">
        <v>7</v>
      </c>
      <c r="L42" s="5" t="s">
        <v>7</v>
      </c>
      <c r="M42" s="5" t="s">
        <v>7</v>
      </c>
      <c r="N42" s="5" t="s">
        <v>7</v>
      </c>
      <c r="O42" s="5" t="s">
        <v>778</v>
      </c>
      <c r="P42" s="5" t="s">
        <v>7834</v>
      </c>
      <c r="Q42" s="5"/>
      <c r="R42" s="5" t="b">
        <v>1</v>
      </c>
    </row>
    <row r="43" spans="1:18">
      <c r="A43" t="s">
        <v>3005</v>
      </c>
      <c r="B43" t="s">
        <v>3365</v>
      </c>
      <c r="C43" s="5" t="s">
        <v>7811</v>
      </c>
      <c r="D43" s="1">
        <v>1</v>
      </c>
      <c r="E43" s="1">
        <v>2</v>
      </c>
      <c r="F43" s="1">
        <v>191</v>
      </c>
      <c r="G43" s="1">
        <v>199</v>
      </c>
      <c r="H43" s="8" cm="1">
        <f t="array" ref="H43">_xlfn.LET(_xlpm.s,IFERROR(--F43,""),_xlpm.e,IFERROR(--G43,""),IF(OR(_xlpm.s="",_xlpm.e="",_xlpm.e&lt;_xlpm.s),"",_xlfn.LET(_xlpm.p,_xlfn.SEQUENCE(_xlpm.e-_xlpm.s+1,1,_xlpm.s,1),SUM(1/COUNTIFS($D:$D,D43,$E:$E,E43,$F:$F,"&lt;&gt;N/A",$G:$G,"&lt;&gt;N/A",$F:$F,"&lt;="&amp;_xlpm.p,$G:$G,"&gt;="&amp;_xlpm.p)))))</f>
        <v>8</v>
      </c>
      <c r="I43" t="s">
        <v>200</v>
      </c>
      <c r="J43" t="s">
        <v>529</v>
      </c>
      <c r="K43" s="5" t="s">
        <v>530</v>
      </c>
      <c r="L43" s="5" t="s">
        <v>7</v>
      </c>
      <c r="M43" s="5" t="s">
        <v>7</v>
      </c>
      <c r="N43" s="5" t="s">
        <v>7</v>
      </c>
      <c r="O43" s="5" t="s">
        <v>778</v>
      </c>
      <c r="P43" s="5" t="s">
        <v>7834</v>
      </c>
      <c r="Q43" s="5"/>
      <c r="R43" s="5" t="b">
        <v>1</v>
      </c>
    </row>
    <row r="44" spans="1:18">
      <c r="A44" t="s">
        <v>3005</v>
      </c>
      <c r="B44" t="s">
        <v>3366</v>
      </c>
      <c r="C44" s="5" t="s">
        <v>7811</v>
      </c>
      <c r="D44" s="1">
        <v>1</v>
      </c>
      <c r="E44" s="1">
        <v>2</v>
      </c>
      <c r="F44" s="1">
        <v>199</v>
      </c>
      <c r="G44" s="1">
        <v>211</v>
      </c>
      <c r="H44" s="8" cm="1">
        <f t="array" ref="H44">_xlfn.LET(_xlpm.s,IFERROR(--F44,""),_xlpm.e,IFERROR(--G44,""),IF(OR(_xlpm.s="",_xlpm.e="",_xlpm.e&lt;_xlpm.s),"",_xlfn.LET(_xlpm.p,_xlfn.SEQUENCE(_xlpm.e-_xlpm.s+1,1,_xlpm.s,1),SUM(1/COUNTIFS($D:$D,D44,$E:$E,E44,$F:$F,"&lt;&gt;N/A",$G:$G,"&lt;&gt;N/A",$F:$F,"&lt;="&amp;_xlpm.p,$G:$G,"&gt;="&amp;_xlpm.p)))))</f>
        <v>12</v>
      </c>
      <c r="I44" t="s">
        <v>200</v>
      </c>
      <c r="J44" t="s">
        <v>1239</v>
      </c>
      <c r="K44" s="5" t="s">
        <v>4512</v>
      </c>
      <c r="L44" s="5" t="s">
        <v>7</v>
      </c>
      <c r="M44" t="s">
        <v>5544</v>
      </c>
      <c r="N44" s="5" t="s">
        <v>2779</v>
      </c>
      <c r="O44" s="5" t="s">
        <v>5072</v>
      </c>
      <c r="P44" s="5" t="s">
        <v>8021</v>
      </c>
      <c r="Q44" s="5"/>
      <c r="R44" s="5" t="b">
        <v>1</v>
      </c>
    </row>
    <row r="45" spans="1:18">
      <c r="A45" t="s">
        <v>3005</v>
      </c>
      <c r="B45" t="s">
        <v>3367</v>
      </c>
      <c r="C45" s="5" t="s">
        <v>7811</v>
      </c>
      <c r="D45" s="1">
        <v>1</v>
      </c>
      <c r="E45" s="1">
        <v>2</v>
      </c>
      <c r="F45" s="1">
        <v>211</v>
      </c>
      <c r="G45" s="1">
        <v>216</v>
      </c>
      <c r="H45" s="8" cm="1">
        <f t="array" ref="H45">_xlfn.LET(_xlpm.s,IFERROR(--F45,""),_xlpm.e,IFERROR(--G45,""),IF(OR(_xlpm.s="",_xlpm.e="",_xlpm.e&lt;_xlpm.s),"",_xlfn.LET(_xlpm.p,_xlfn.SEQUENCE(_xlpm.e-_xlpm.s+1,1,_xlpm.s,1),SUM(1/COUNTIFS($D:$D,D45,$E:$E,E45,$F:$F,"&lt;&gt;N/A",$G:$G,"&lt;&gt;N/A",$F:$F,"&lt;="&amp;_xlpm.p,$G:$G,"&gt;="&amp;_xlpm.p)))))</f>
        <v>5</v>
      </c>
      <c r="I45" t="s">
        <v>200</v>
      </c>
      <c r="J45" t="s">
        <v>531</v>
      </c>
      <c r="K45" s="5" t="s">
        <v>7</v>
      </c>
      <c r="L45" s="5" t="s">
        <v>10481</v>
      </c>
      <c r="M45" s="5" t="s">
        <v>7414</v>
      </c>
      <c r="N45" s="5" t="s">
        <v>6420</v>
      </c>
      <c r="O45" s="5" t="s">
        <v>5072</v>
      </c>
      <c r="P45" s="5" t="s">
        <v>8019</v>
      </c>
      <c r="Q45" s="5"/>
      <c r="R45" s="5" t="b">
        <v>1</v>
      </c>
    </row>
    <row r="46" spans="1:18">
      <c r="A46" t="s">
        <v>3005</v>
      </c>
      <c r="B46" t="s">
        <v>3368</v>
      </c>
      <c r="C46" s="5" t="s">
        <v>7811</v>
      </c>
      <c r="D46" s="1">
        <v>1</v>
      </c>
      <c r="E46" s="1">
        <v>2</v>
      </c>
      <c r="F46" s="1">
        <v>216</v>
      </c>
      <c r="G46" s="1">
        <v>221</v>
      </c>
      <c r="H46" s="8" cm="1">
        <f t="array" ref="H46">_xlfn.LET(_xlpm.s,IFERROR(--F46,""),_xlpm.e,IFERROR(--G46,""),IF(OR(_xlpm.s="",_xlpm.e="",_xlpm.e&lt;_xlpm.s),"",_xlfn.LET(_xlpm.p,_xlfn.SEQUENCE(_xlpm.e-_xlpm.s+1,1,_xlpm.s,1),SUM(1/COUNTIFS($D:$D,D46,$E:$E,E46,$F:$F,"&lt;&gt;N/A",$G:$G,"&lt;&gt;N/A",$F:$F,"&lt;="&amp;_xlpm.p,$G:$G,"&gt;="&amp;_xlpm.p)))))</f>
        <v>5.5</v>
      </c>
      <c r="I46" t="s">
        <v>200</v>
      </c>
      <c r="J46" t="s">
        <v>532</v>
      </c>
      <c r="K46" s="5" t="s">
        <v>533</v>
      </c>
      <c r="L46" s="5" t="s">
        <v>7</v>
      </c>
      <c r="M46" s="5" t="s">
        <v>7</v>
      </c>
      <c r="N46" s="5" t="s">
        <v>7</v>
      </c>
      <c r="O46" s="5" t="s">
        <v>778</v>
      </c>
      <c r="P46" s="5" t="s">
        <v>7834</v>
      </c>
      <c r="Q46" s="5"/>
      <c r="R46" s="5" t="b">
        <v>1</v>
      </c>
    </row>
    <row r="47" spans="1:18">
      <c r="A47" t="s">
        <v>3005</v>
      </c>
      <c r="B47" t="s">
        <v>3369</v>
      </c>
      <c r="C47" s="5" t="s">
        <v>7811</v>
      </c>
      <c r="D47" s="1">
        <v>1</v>
      </c>
      <c r="E47" s="1">
        <v>2</v>
      </c>
      <c r="F47" s="1">
        <v>222</v>
      </c>
      <c r="G47" s="1">
        <v>226</v>
      </c>
      <c r="H47" s="8" cm="1">
        <f t="array" ref="H47">_xlfn.LET(_xlpm.s,IFERROR(--F47,""),_xlpm.e,IFERROR(--G47,""),IF(OR(_xlpm.s="",_xlpm.e="",_xlpm.e&lt;_xlpm.s),"",_xlfn.LET(_xlpm.p,_xlfn.SEQUENCE(_xlpm.e-_xlpm.s+1,1,_xlpm.s,1),SUM(1/COUNTIFS($D:$D,D47,$E:$E,E47,$F:$F,"&lt;&gt;N/A",$G:$G,"&lt;&gt;N/A",$F:$F,"&lt;="&amp;_xlpm.p,$G:$G,"&gt;="&amp;_xlpm.p)))))</f>
        <v>5</v>
      </c>
      <c r="I47" t="s">
        <v>200</v>
      </c>
      <c r="J47" t="s">
        <v>544</v>
      </c>
      <c r="K47" s="5" t="s">
        <v>530</v>
      </c>
      <c r="L47" s="5" t="s">
        <v>7</v>
      </c>
      <c r="M47" s="5" t="s">
        <v>7</v>
      </c>
      <c r="N47" s="5" t="s">
        <v>7</v>
      </c>
      <c r="O47" s="5" t="s">
        <v>778</v>
      </c>
      <c r="P47" s="5" t="s">
        <v>7834</v>
      </c>
      <c r="Q47" s="5"/>
      <c r="R47" s="5" t="b">
        <v>1</v>
      </c>
    </row>
    <row r="48" spans="1:18">
      <c r="A48" t="s">
        <v>3005</v>
      </c>
      <c r="B48" t="s">
        <v>3370</v>
      </c>
      <c r="C48" s="5" t="s">
        <v>7811</v>
      </c>
      <c r="D48" s="1">
        <v>1</v>
      </c>
      <c r="E48" s="1">
        <v>2</v>
      </c>
      <c r="F48" s="1">
        <v>227</v>
      </c>
      <c r="G48" s="1">
        <v>228</v>
      </c>
      <c r="H48" s="8" cm="1">
        <f t="array" ref="H48">_xlfn.LET(_xlpm.s,IFERROR(--F48,""),_xlpm.e,IFERROR(--G48,""),IF(OR(_xlpm.s="",_xlpm.e="",_xlpm.e&lt;_xlpm.s),"",_xlfn.LET(_xlpm.p,_xlfn.SEQUENCE(_xlpm.e-_xlpm.s+1,1,_xlpm.s,1),SUM(1/COUNTIFS($D:$D,D48,$E:$E,E48,$F:$F,"&lt;&gt;N/A",$G:$G,"&lt;&gt;N/A",$F:$F,"&lt;="&amp;_xlpm.p,$G:$G,"&gt;="&amp;_xlpm.p)))))</f>
        <v>1.3333333333333333</v>
      </c>
      <c r="I48" t="s">
        <v>205</v>
      </c>
      <c r="J48" t="s">
        <v>2768</v>
      </c>
      <c r="K48" s="5" t="s">
        <v>7</v>
      </c>
      <c r="L48" s="5" t="s">
        <v>4513</v>
      </c>
      <c r="M48" s="5" t="s">
        <v>7</v>
      </c>
      <c r="N48" s="5" t="s">
        <v>7</v>
      </c>
      <c r="O48" s="5" t="s">
        <v>11522</v>
      </c>
      <c r="P48" s="5" t="s">
        <v>8034</v>
      </c>
      <c r="Q48" s="5"/>
      <c r="R48" s="5" t="b">
        <v>1</v>
      </c>
    </row>
    <row r="49" spans="1:18">
      <c r="A49" t="s">
        <v>3005</v>
      </c>
      <c r="B49" t="s">
        <v>3371</v>
      </c>
      <c r="C49" s="5" t="s">
        <v>7811</v>
      </c>
      <c r="D49" s="1">
        <v>1</v>
      </c>
      <c r="E49" s="1">
        <v>2</v>
      </c>
      <c r="F49" s="1">
        <v>228</v>
      </c>
      <c r="G49" s="1">
        <v>228</v>
      </c>
      <c r="H49" s="8" cm="1">
        <f t="array" ref="H49">_xlfn.LET(_xlpm.s,IFERROR(--F49,""),_xlpm.e,IFERROR(--G49,""),IF(OR(_xlpm.s="",_xlpm.e="",_xlpm.e&lt;_xlpm.s),"",_xlfn.LET(_xlpm.p,_xlfn.SEQUENCE(_xlpm.e-_xlpm.s+1,1,_xlpm.s,1),SUM(1/COUNTIFS($D:$D,D49,$E:$E,E49,$F:$F,"&lt;&gt;N/A",$G:$G,"&lt;&gt;N/A",$F:$F,"&lt;="&amp;_xlpm.p,$G:$G,"&gt;="&amp;_xlpm.p)))))</f>
        <v>0.33333333333333331</v>
      </c>
      <c r="I49" t="s">
        <v>205</v>
      </c>
      <c r="J49" t="s">
        <v>2769</v>
      </c>
      <c r="K49" s="5" t="s">
        <v>7</v>
      </c>
      <c r="L49" s="5" t="s">
        <v>4514</v>
      </c>
      <c r="M49" s="5" t="s">
        <v>7</v>
      </c>
      <c r="N49" s="5" t="s">
        <v>11534</v>
      </c>
      <c r="O49" s="5" t="s">
        <v>5072</v>
      </c>
      <c r="P49" s="5" t="s">
        <v>8021</v>
      </c>
      <c r="Q49" s="5"/>
      <c r="R49" s="5" t="b">
        <v>1</v>
      </c>
    </row>
    <row r="50" spans="1:18">
      <c r="A50" t="s">
        <v>3005</v>
      </c>
      <c r="B50" t="s">
        <v>3372</v>
      </c>
      <c r="C50" s="5" t="s">
        <v>7811</v>
      </c>
      <c r="D50" s="1">
        <v>1</v>
      </c>
      <c r="E50" s="1">
        <v>2</v>
      </c>
      <c r="F50" s="1">
        <v>228</v>
      </c>
      <c r="G50" s="1">
        <v>228</v>
      </c>
      <c r="H50" s="8" cm="1">
        <f t="array" ref="H50">_xlfn.LET(_xlpm.s,IFERROR(--F50,""),_xlpm.e,IFERROR(--G50,""),IF(OR(_xlpm.s="",_xlpm.e="",_xlpm.e&lt;_xlpm.s),"",_xlfn.LET(_xlpm.p,_xlfn.SEQUENCE(_xlpm.e-_xlpm.s+1,1,_xlpm.s,1),SUM(1/COUNTIFS($D:$D,D50,$E:$E,E50,$F:$F,"&lt;&gt;N/A",$G:$G,"&lt;&gt;N/A",$F:$F,"&lt;="&amp;_xlpm.p,$G:$G,"&gt;="&amp;_xlpm.p)))))</f>
        <v>0.33333333333333331</v>
      </c>
      <c r="I50" t="s">
        <v>205</v>
      </c>
      <c r="J50" t="s">
        <v>2770</v>
      </c>
      <c r="K50" s="5" t="s">
        <v>7</v>
      </c>
      <c r="L50" s="5" t="s">
        <v>7</v>
      </c>
      <c r="M50" t="s">
        <v>6417</v>
      </c>
      <c r="N50" s="5" t="s">
        <v>2990</v>
      </c>
      <c r="O50" s="5" t="s">
        <v>11522</v>
      </c>
      <c r="P50" s="5" t="s">
        <v>8021</v>
      </c>
      <c r="Q50" s="5"/>
      <c r="R50" s="5" t="b">
        <v>1</v>
      </c>
    </row>
    <row r="51" spans="1:18">
      <c r="A51" t="s">
        <v>3005</v>
      </c>
      <c r="B51" t="s">
        <v>3373</v>
      </c>
      <c r="C51" s="5" t="s">
        <v>7811</v>
      </c>
      <c r="D51" s="1">
        <v>1</v>
      </c>
      <c r="E51" s="1">
        <v>2</v>
      </c>
      <c r="F51" s="1">
        <v>229</v>
      </c>
      <c r="G51" s="1">
        <v>229</v>
      </c>
      <c r="H51" s="8" cm="1">
        <f t="array" ref="H51">_xlfn.LET(_xlpm.s,IFERROR(--F51,""),_xlpm.e,IFERROR(--G51,""),IF(OR(_xlpm.s="",_xlpm.e="",_xlpm.e&lt;_xlpm.s),"",_xlfn.LET(_xlpm.p,_xlfn.SEQUENCE(_xlpm.e-_xlpm.s+1,1,_xlpm.s,1),SUM(1/COUNTIFS($D:$D,D51,$E:$E,E51,$F:$F,"&lt;&gt;N/A",$G:$G,"&lt;&gt;N/A",$F:$F,"&lt;="&amp;_xlpm.p,$G:$G,"&gt;="&amp;_xlpm.p)))))</f>
        <v>0.5</v>
      </c>
      <c r="I51" t="s">
        <v>205</v>
      </c>
      <c r="J51" t="s">
        <v>2772</v>
      </c>
      <c r="K51" s="5" t="s">
        <v>7</v>
      </c>
      <c r="L51" s="5" t="s">
        <v>4515</v>
      </c>
      <c r="M51" t="s">
        <v>6417</v>
      </c>
      <c r="N51" s="5" t="s">
        <v>2771</v>
      </c>
      <c r="O51" s="5" t="s">
        <v>11522</v>
      </c>
      <c r="P51" s="5" t="s">
        <v>8021</v>
      </c>
      <c r="Q51" s="5"/>
      <c r="R51" s="5" t="b">
        <v>1</v>
      </c>
    </row>
    <row r="52" spans="1:18">
      <c r="A52" t="s">
        <v>3005</v>
      </c>
      <c r="B52" t="s">
        <v>3374</v>
      </c>
      <c r="C52" s="5" t="s">
        <v>7811</v>
      </c>
      <c r="D52" s="1">
        <v>1</v>
      </c>
      <c r="E52" s="1">
        <v>2</v>
      </c>
      <c r="F52" s="1">
        <v>229</v>
      </c>
      <c r="G52" s="1">
        <v>230</v>
      </c>
      <c r="H52" s="8" cm="1">
        <f t="array" ref="H52">_xlfn.LET(_xlpm.s,IFERROR(--F52,""),_xlpm.e,IFERROR(--G52,""),IF(OR(_xlpm.s="",_xlpm.e="",_xlpm.e&lt;_xlpm.s),"",_xlfn.LET(_xlpm.p,_xlfn.SEQUENCE(_xlpm.e-_xlpm.s+1,1,_xlpm.s,1),SUM(1/COUNTIFS($D:$D,D52,$E:$E,E52,$F:$F,"&lt;&gt;N/A",$G:$G,"&lt;&gt;N/A",$F:$F,"&lt;="&amp;_xlpm.p,$G:$G,"&gt;="&amp;_xlpm.p)))))</f>
        <v>1.5</v>
      </c>
      <c r="I52" t="s">
        <v>205</v>
      </c>
      <c r="J52" t="s">
        <v>2775</v>
      </c>
      <c r="K52" s="5" t="s">
        <v>7</v>
      </c>
      <c r="L52" s="5" t="s">
        <v>4516</v>
      </c>
      <c r="M52" s="5" t="s">
        <v>7</v>
      </c>
      <c r="N52" s="5" t="s">
        <v>7</v>
      </c>
      <c r="O52" s="5" t="s">
        <v>11522</v>
      </c>
      <c r="P52" s="5" t="s">
        <v>8034</v>
      </c>
      <c r="Q52" s="5"/>
      <c r="R52" s="5" t="b">
        <v>1</v>
      </c>
    </row>
    <row r="53" spans="1:18">
      <c r="A53" t="s">
        <v>3005</v>
      </c>
      <c r="B53" t="s">
        <v>3375</v>
      </c>
      <c r="C53" s="5" t="s">
        <v>7811</v>
      </c>
      <c r="D53" s="1">
        <v>1</v>
      </c>
      <c r="E53" s="1">
        <v>2</v>
      </c>
      <c r="F53" s="1">
        <v>231</v>
      </c>
      <c r="G53" s="1">
        <v>232</v>
      </c>
      <c r="H53" s="8" cm="1">
        <f t="array" ref="H53">_xlfn.LET(_xlpm.s,IFERROR(--F53,""),_xlpm.e,IFERROR(--G53,""),IF(OR(_xlpm.s="",_xlpm.e="",_xlpm.e&lt;_xlpm.s),"",_xlfn.LET(_xlpm.p,_xlfn.SEQUENCE(_xlpm.e-_xlpm.s+1,1,_xlpm.s,1),SUM(1/COUNTIFS($D:$D,D53,$E:$E,E53,$F:$F,"&lt;&gt;N/A",$G:$G,"&lt;&gt;N/A",$F:$F,"&lt;="&amp;_xlpm.p,$G:$G,"&gt;="&amp;_xlpm.p)))))</f>
        <v>1.3333333333333333</v>
      </c>
      <c r="I53" t="s">
        <v>205</v>
      </c>
      <c r="J53" t="s">
        <v>7391</v>
      </c>
      <c r="K53" s="5" t="s">
        <v>7</v>
      </c>
      <c r="L53" s="5" t="s">
        <v>7404</v>
      </c>
      <c r="M53" t="s">
        <v>6397</v>
      </c>
      <c r="N53" s="5" t="s">
        <v>7405</v>
      </c>
      <c r="O53" s="5" t="s">
        <v>11522</v>
      </c>
      <c r="P53" s="5" t="s">
        <v>8021</v>
      </c>
      <c r="Q53" s="5"/>
      <c r="R53" s="5" t="b">
        <v>1</v>
      </c>
    </row>
    <row r="54" spans="1:18">
      <c r="A54" t="s">
        <v>3005</v>
      </c>
      <c r="B54" t="s">
        <v>3376</v>
      </c>
      <c r="C54" s="5" t="s">
        <v>7811</v>
      </c>
      <c r="D54" s="1">
        <v>1</v>
      </c>
      <c r="E54" s="1">
        <v>2</v>
      </c>
      <c r="F54" s="1">
        <v>232</v>
      </c>
      <c r="G54" s="1">
        <v>232</v>
      </c>
      <c r="H54" s="8" cm="1">
        <f t="array" ref="H54">_xlfn.LET(_xlpm.s,IFERROR(--F54,""),_xlpm.e,IFERROR(--G54,""),IF(OR(_xlpm.s="",_xlpm.e="",_xlpm.e&lt;_xlpm.s),"",_xlfn.LET(_xlpm.p,_xlfn.SEQUENCE(_xlpm.e-_xlpm.s+1,1,_xlpm.s,1),SUM(1/COUNTIFS($D:$D,D54,$E:$E,E54,$F:$F,"&lt;&gt;N/A",$G:$G,"&lt;&gt;N/A",$F:$F,"&lt;="&amp;_xlpm.p,$G:$G,"&gt;="&amp;_xlpm.p)))))</f>
        <v>0.33333333333333331</v>
      </c>
      <c r="I54" t="s">
        <v>205</v>
      </c>
      <c r="J54" t="s">
        <v>2774</v>
      </c>
      <c r="K54" s="5" t="s">
        <v>7</v>
      </c>
      <c r="L54" s="5" t="s">
        <v>7</v>
      </c>
      <c r="M54" s="5" t="s">
        <v>5559</v>
      </c>
      <c r="N54" s="5" t="s">
        <v>11535</v>
      </c>
      <c r="O54" s="5" t="s">
        <v>11522</v>
      </c>
      <c r="P54" s="5" t="s">
        <v>8021</v>
      </c>
      <c r="Q54" s="5"/>
      <c r="R54" s="5" t="b">
        <v>1</v>
      </c>
    </row>
    <row r="55" spans="1:18">
      <c r="A55" t="s">
        <v>3005</v>
      </c>
      <c r="B55" t="s">
        <v>3377</v>
      </c>
      <c r="C55" s="5" t="s">
        <v>7811</v>
      </c>
      <c r="D55" s="1">
        <v>1</v>
      </c>
      <c r="E55" s="1">
        <v>2</v>
      </c>
      <c r="F55" s="1">
        <v>232</v>
      </c>
      <c r="G55" s="1">
        <v>233</v>
      </c>
      <c r="H55" s="8" cm="1">
        <f t="array" ref="H55">_xlfn.LET(_xlpm.s,IFERROR(--F55,""),_xlpm.e,IFERROR(--G55,""),IF(OR(_xlpm.s="",_xlpm.e="",_xlpm.e&lt;_xlpm.s),"",_xlfn.LET(_xlpm.p,_xlfn.SEQUENCE(_xlpm.e-_xlpm.s+1,1,_xlpm.s,1),SUM(1/COUNTIFS($D:$D,D55,$E:$E,E55,$F:$F,"&lt;&gt;N/A",$G:$G,"&lt;&gt;N/A",$F:$F,"&lt;="&amp;_xlpm.p,$G:$G,"&gt;="&amp;_xlpm.p)))))</f>
        <v>1.3333333333333333</v>
      </c>
      <c r="I55" t="s">
        <v>205</v>
      </c>
      <c r="J55" t="s">
        <v>2773</v>
      </c>
      <c r="K55" s="5" t="s">
        <v>7</v>
      </c>
      <c r="L55" s="5" t="s">
        <v>7</v>
      </c>
      <c r="M55" s="5" t="s">
        <v>5559</v>
      </c>
      <c r="N55" s="5" t="s">
        <v>11536</v>
      </c>
      <c r="O55" s="5" t="s">
        <v>5072</v>
      </c>
      <c r="P55" s="5" t="s">
        <v>8021</v>
      </c>
      <c r="Q55" s="5"/>
      <c r="R55" s="5" t="b">
        <v>1</v>
      </c>
    </row>
    <row r="56" spans="1:18">
      <c r="A56" t="s">
        <v>3005</v>
      </c>
      <c r="B56" t="s">
        <v>3378</v>
      </c>
      <c r="C56" s="5" t="s">
        <v>7811</v>
      </c>
      <c r="D56" s="1">
        <v>1</v>
      </c>
      <c r="E56" s="1">
        <v>2</v>
      </c>
      <c r="F56" s="1">
        <v>234</v>
      </c>
      <c r="G56" s="1">
        <v>236</v>
      </c>
      <c r="H56" s="8" cm="1">
        <f t="array" ref="H56">_xlfn.LET(_xlpm.s,IFERROR(--F56,""),_xlpm.e,IFERROR(--G56,""),IF(OR(_xlpm.s="",_xlpm.e="",_xlpm.e&lt;_xlpm.s),"",_xlfn.LET(_xlpm.p,_xlfn.SEQUENCE(_xlpm.e-_xlpm.s+1,1,_xlpm.s,1),SUM(1/COUNTIFS($D:$D,D56,$E:$E,E56,$F:$F,"&lt;&gt;N/A",$G:$G,"&lt;&gt;N/A",$F:$F,"&lt;="&amp;_xlpm.p,$G:$G,"&gt;="&amp;_xlpm.p)))))</f>
        <v>3</v>
      </c>
      <c r="I56" t="s">
        <v>208</v>
      </c>
      <c r="J56" t="s">
        <v>534</v>
      </c>
      <c r="K56" s="5" t="s">
        <v>7</v>
      </c>
      <c r="L56" s="5" t="s">
        <v>7</v>
      </c>
      <c r="M56" s="5" t="s">
        <v>7390</v>
      </c>
      <c r="N56" s="5" t="s">
        <v>2989</v>
      </c>
      <c r="O56" s="5" t="s">
        <v>11522</v>
      </c>
      <c r="P56" s="5" t="s">
        <v>8021</v>
      </c>
      <c r="Q56" s="5"/>
      <c r="R56" s="5" t="b">
        <v>1</v>
      </c>
    </row>
    <row r="57" spans="1:18">
      <c r="A57" t="s">
        <v>3005</v>
      </c>
      <c r="B57" t="s">
        <v>3379</v>
      </c>
      <c r="C57" s="5" t="s">
        <v>7811</v>
      </c>
      <c r="D57" s="1">
        <v>1</v>
      </c>
      <c r="E57" s="1">
        <v>2</v>
      </c>
      <c r="F57" s="1">
        <v>237</v>
      </c>
      <c r="G57" s="1">
        <v>241</v>
      </c>
      <c r="H57" s="8" cm="1">
        <f t="array" ref="H57">_xlfn.LET(_xlpm.s,IFERROR(--F57,""),_xlpm.e,IFERROR(--G57,""),IF(OR(_xlpm.s="",_xlpm.e="",_xlpm.e&lt;_xlpm.s),"",_xlfn.LET(_xlpm.p,_xlfn.SEQUENCE(_xlpm.e-_xlpm.s+1,1,_xlpm.s,1),SUM(1/COUNTIFS($D:$D,D57,$E:$E,E57,$F:$F,"&lt;&gt;N/A",$G:$G,"&lt;&gt;N/A",$F:$F,"&lt;="&amp;_xlpm.p,$G:$G,"&gt;="&amp;_xlpm.p)))))</f>
        <v>4.5</v>
      </c>
      <c r="I57" t="s">
        <v>208</v>
      </c>
      <c r="J57" t="s">
        <v>535</v>
      </c>
      <c r="K57" s="5" t="s">
        <v>4517</v>
      </c>
      <c r="L57" s="5" t="s">
        <v>7</v>
      </c>
      <c r="M57" t="s">
        <v>7388</v>
      </c>
      <c r="N57" s="5" t="s">
        <v>7417</v>
      </c>
      <c r="O57" s="5" t="s">
        <v>11522</v>
      </c>
      <c r="P57" s="5" t="s">
        <v>8021</v>
      </c>
      <c r="Q57" s="5"/>
      <c r="R57" s="5" t="b">
        <v>1</v>
      </c>
    </row>
    <row r="58" spans="1:18">
      <c r="A58" t="s">
        <v>3005</v>
      </c>
      <c r="B58" t="s">
        <v>3380</v>
      </c>
      <c r="C58" s="5" t="s">
        <v>7811</v>
      </c>
      <c r="D58" s="1">
        <v>1</v>
      </c>
      <c r="E58" s="1">
        <v>2</v>
      </c>
      <c r="F58" s="1">
        <v>241</v>
      </c>
      <c r="G58" s="1">
        <v>243</v>
      </c>
      <c r="H58" s="8" cm="1">
        <f t="array" ref="H58">_xlfn.LET(_xlpm.s,IFERROR(--F58,""),_xlpm.e,IFERROR(--G58,""),IF(OR(_xlpm.s="",_xlpm.e="",_xlpm.e&lt;_xlpm.s),"",_xlfn.LET(_xlpm.p,_xlfn.SEQUENCE(_xlpm.e-_xlpm.s+1,1,_xlpm.s,1),SUM(1/COUNTIFS($D:$D,D58,$E:$E,E58,$F:$F,"&lt;&gt;N/A",$G:$G,"&lt;&gt;N/A",$F:$F,"&lt;="&amp;_xlpm.p,$G:$G,"&gt;="&amp;_xlpm.p)))))</f>
        <v>2</v>
      </c>
      <c r="I58" t="s">
        <v>208</v>
      </c>
      <c r="J58" t="s">
        <v>543</v>
      </c>
      <c r="K58" s="5" t="s">
        <v>7</v>
      </c>
      <c r="L58" s="5" t="s">
        <v>7</v>
      </c>
      <c r="M58" s="5" t="s">
        <v>7</v>
      </c>
      <c r="N58" s="5" t="s">
        <v>7</v>
      </c>
      <c r="O58" s="5" t="s">
        <v>11522</v>
      </c>
      <c r="P58" s="5" t="s">
        <v>8019</v>
      </c>
      <c r="Q58" s="5" t="s">
        <v>2080</v>
      </c>
      <c r="R58" s="5" t="b">
        <v>1</v>
      </c>
    </row>
    <row r="59" spans="1:18">
      <c r="A59" t="s">
        <v>3005</v>
      </c>
      <c r="B59" t="s">
        <v>3381</v>
      </c>
      <c r="C59" s="5" t="s">
        <v>7811</v>
      </c>
      <c r="D59" s="1">
        <v>1</v>
      </c>
      <c r="E59" s="1">
        <v>2</v>
      </c>
      <c r="F59" s="1">
        <v>243</v>
      </c>
      <c r="G59" s="1">
        <v>244</v>
      </c>
      <c r="H59" s="8" cm="1">
        <f t="array" ref="H59">_xlfn.LET(_xlpm.s,IFERROR(--F59,""),_xlpm.e,IFERROR(--G59,""),IF(OR(_xlpm.s="",_xlpm.e="",_xlpm.e&lt;_xlpm.s),"",_xlfn.LET(_xlpm.p,_xlfn.SEQUENCE(_xlpm.e-_xlpm.s+1,1,_xlpm.s,1),SUM(1/COUNTIFS($D:$D,D59,$E:$E,E59,$F:$F,"&lt;&gt;N/A",$G:$G,"&lt;&gt;N/A",$F:$F,"&lt;="&amp;_xlpm.p,$G:$G,"&gt;="&amp;_xlpm.p)))))</f>
        <v>1</v>
      </c>
      <c r="I59" t="s">
        <v>208</v>
      </c>
      <c r="J59" t="s">
        <v>541</v>
      </c>
      <c r="K59" s="5" t="s">
        <v>7</v>
      </c>
      <c r="L59" s="5" t="s">
        <v>7</v>
      </c>
      <c r="M59" t="s">
        <v>6407</v>
      </c>
      <c r="N59" s="5" t="s">
        <v>2776</v>
      </c>
      <c r="O59" s="5" t="s">
        <v>5072</v>
      </c>
      <c r="P59" s="5" t="s">
        <v>8021</v>
      </c>
      <c r="Q59" s="5"/>
      <c r="R59" s="5" t="b">
        <v>1</v>
      </c>
    </row>
    <row r="60" spans="1:18">
      <c r="A60" t="s">
        <v>3005</v>
      </c>
      <c r="B60" t="s">
        <v>3382</v>
      </c>
      <c r="C60" s="5" t="s">
        <v>7811</v>
      </c>
      <c r="D60" s="1">
        <v>1</v>
      </c>
      <c r="E60" s="1">
        <v>2</v>
      </c>
      <c r="F60" s="1">
        <v>244</v>
      </c>
      <c r="G60" s="1">
        <v>246</v>
      </c>
      <c r="H60" s="8" cm="1">
        <f t="array" ref="H60">_xlfn.LET(_xlpm.s,IFERROR(--F60,""),_xlpm.e,IFERROR(--G60,""),IF(OR(_xlpm.s="",_xlpm.e="",_xlpm.e&lt;_xlpm.s),"",_xlfn.LET(_xlpm.p,_xlfn.SEQUENCE(_xlpm.e-_xlpm.s+1,1,_xlpm.s,1),SUM(1/COUNTIFS($D:$D,D60,$E:$E,E60,$F:$F,"&lt;&gt;N/A",$G:$G,"&lt;&gt;N/A",$F:$F,"&lt;="&amp;_xlpm.p,$G:$G,"&gt;="&amp;_xlpm.p)))))</f>
        <v>2</v>
      </c>
      <c r="I60" t="s">
        <v>208</v>
      </c>
      <c r="J60" t="s">
        <v>2777</v>
      </c>
      <c r="K60" s="5" t="s">
        <v>7</v>
      </c>
      <c r="L60" s="5" t="s">
        <v>7</v>
      </c>
      <c r="M60" t="s">
        <v>5560</v>
      </c>
      <c r="N60" s="5" t="s">
        <v>2988</v>
      </c>
      <c r="O60" s="5" t="s">
        <v>5072</v>
      </c>
      <c r="P60" s="5" t="s">
        <v>8021</v>
      </c>
      <c r="Q60" s="5"/>
      <c r="R60" s="5" t="b">
        <v>1</v>
      </c>
    </row>
    <row r="61" spans="1:18">
      <c r="A61" t="s">
        <v>3005</v>
      </c>
      <c r="B61" t="s">
        <v>3383</v>
      </c>
      <c r="C61" s="5" t="s">
        <v>7811</v>
      </c>
      <c r="D61" s="1">
        <v>1</v>
      </c>
      <c r="E61" s="1">
        <v>2</v>
      </c>
      <c r="F61" s="1">
        <v>246</v>
      </c>
      <c r="G61" s="1">
        <v>248</v>
      </c>
      <c r="H61" s="8" cm="1">
        <f t="array" ref="H61">_xlfn.LET(_xlpm.s,IFERROR(--F61,""),_xlpm.e,IFERROR(--G61,""),IF(OR(_xlpm.s="",_xlpm.e="",_xlpm.e&lt;_xlpm.s),"",_xlfn.LET(_xlpm.p,_xlfn.SEQUENCE(_xlpm.e-_xlpm.s+1,1,_xlpm.s,1),SUM(1/COUNTIFS($D:$D,D61,$E:$E,E61,$F:$F,"&lt;&gt;N/A",$G:$G,"&lt;&gt;N/A",$F:$F,"&lt;="&amp;_xlpm.p,$G:$G,"&gt;="&amp;_xlpm.p)))))</f>
        <v>2</v>
      </c>
      <c r="I61" t="s">
        <v>208</v>
      </c>
      <c r="J61" t="s">
        <v>542</v>
      </c>
      <c r="K61" s="5" t="s">
        <v>7</v>
      </c>
      <c r="L61" s="5" t="s">
        <v>4518</v>
      </c>
      <c r="M61" t="s">
        <v>5560</v>
      </c>
      <c r="N61" s="5" t="s">
        <v>7423</v>
      </c>
      <c r="O61" s="5" t="s">
        <v>11522</v>
      </c>
      <c r="P61" s="5" t="s">
        <v>8021</v>
      </c>
      <c r="Q61" s="5"/>
      <c r="R61" s="5" t="b">
        <v>1</v>
      </c>
    </row>
    <row r="62" spans="1:18">
      <c r="A62" t="s">
        <v>3005</v>
      </c>
      <c r="B62" t="s">
        <v>3384</v>
      </c>
      <c r="C62" s="5" t="s">
        <v>7811</v>
      </c>
      <c r="D62" s="1">
        <v>1</v>
      </c>
      <c r="E62" s="1">
        <v>2</v>
      </c>
      <c r="F62" s="1">
        <v>248</v>
      </c>
      <c r="G62" s="1">
        <v>254</v>
      </c>
      <c r="H62" s="8" cm="1">
        <f t="array" ref="H62">_xlfn.LET(_xlpm.s,IFERROR(--F62,""),_xlpm.e,IFERROR(--G62,""),IF(OR(_xlpm.s="",_xlpm.e="",_xlpm.e&lt;_xlpm.s),"",_xlfn.LET(_xlpm.p,_xlfn.SEQUENCE(_xlpm.e-_xlpm.s+1,1,_xlpm.s,1),SUM(1/COUNTIFS($D:$D,D62,$E:$E,E62,$F:$F,"&lt;&gt;N/A",$G:$G,"&lt;&gt;N/A",$F:$F,"&lt;="&amp;_xlpm.p,$G:$G,"&gt;="&amp;_xlpm.p)))))</f>
        <v>6</v>
      </c>
      <c r="I62" t="s">
        <v>209</v>
      </c>
      <c r="J62" t="s">
        <v>1240</v>
      </c>
      <c r="K62" s="5" t="s">
        <v>7</v>
      </c>
      <c r="L62" s="5" t="s">
        <v>4519</v>
      </c>
      <c r="M62" t="s">
        <v>5020</v>
      </c>
      <c r="N62" s="5" t="s">
        <v>11537</v>
      </c>
      <c r="O62" s="5" t="s">
        <v>11522</v>
      </c>
      <c r="P62" s="5" t="s">
        <v>8021</v>
      </c>
      <c r="Q62" s="5"/>
      <c r="R62" s="5" t="b">
        <v>1</v>
      </c>
    </row>
    <row r="63" spans="1:18">
      <c r="A63" t="s">
        <v>3005</v>
      </c>
      <c r="B63" t="s">
        <v>3385</v>
      </c>
      <c r="C63" s="5" t="s">
        <v>7811</v>
      </c>
      <c r="D63" s="1">
        <v>1</v>
      </c>
      <c r="E63" s="1">
        <v>2</v>
      </c>
      <c r="F63" s="1">
        <v>254</v>
      </c>
      <c r="G63" s="1">
        <v>255</v>
      </c>
      <c r="H63" s="8" cm="1">
        <f t="array" ref="H63">_xlfn.LET(_xlpm.s,IFERROR(--F63,""),_xlpm.e,IFERROR(--G63,""),IF(OR(_xlpm.s="",_xlpm.e="",_xlpm.e&lt;_xlpm.s),"",_xlfn.LET(_xlpm.p,_xlfn.SEQUENCE(_xlpm.e-_xlpm.s+1,1,_xlpm.s,1),SUM(1/COUNTIFS($D:$D,D63,$E:$E,E63,$F:$F,"&lt;&gt;N/A",$G:$G,"&lt;&gt;N/A",$F:$F,"&lt;="&amp;_xlpm.p,$G:$G,"&gt;="&amp;_xlpm.p)))))</f>
        <v>1</v>
      </c>
      <c r="I63" t="s">
        <v>210</v>
      </c>
      <c r="J63" t="s">
        <v>536</v>
      </c>
      <c r="K63" s="5" t="s">
        <v>7</v>
      </c>
      <c r="L63" s="5" t="s">
        <v>7</v>
      </c>
      <c r="M63" t="s">
        <v>5020</v>
      </c>
      <c r="N63" s="5" t="s">
        <v>11537</v>
      </c>
      <c r="O63" s="5" t="s">
        <v>11522</v>
      </c>
      <c r="P63" s="5" t="s">
        <v>8021</v>
      </c>
      <c r="Q63" s="5"/>
      <c r="R63" s="5" t="b">
        <v>1</v>
      </c>
    </row>
    <row r="64" spans="1:18">
      <c r="A64" t="s">
        <v>3005</v>
      </c>
      <c r="B64" t="s">
        <v>3386</v>
      </c>
      <c r="C64" s="5" t="s">
        <v>7811</v>
      </c>
      <c r="D64" s="1">
        <v>1</v>
      </c>
      <c r="E64" s="1">
        <v>2</v>
      </c>
      <c r="F64" s="1">
        <v>255</v>
      </c>
      <c r="G64" s="1">
        <v>256</v>
      </c>
      <c r="H64" s="8" cm="1">
        <f t="array" ref="H64">_xlfn.LET(_xlpm.s,IFERROR(--F64,""),_xlpm.e,IFERROR(--G64,""),IF(OR(_xlpm.s="",_xlpm.e="",_xlpm.e&lt;_xlpm.s),"",_xlfn.LET(_xlpm.p,_xlfn.SEQUENCE(_xlpm.e-_xlpm.s+1,1,_xlpm.s,1),SUM(1/COUNTIFS($D:$D,D64,$E:$E,E64,$F:$F,"&lt;&gt;N/A",$G:$G,"&lt;&gt;N/A",$F:$F,"&lt;="&amp;_xlpm.p,$G:$G,"&gt;="&amp;_xlpm.p)))))</f>
        <v>1</v>
      </c>
      <c r="I64" t="s">
        <v>210</v>
      </c>
      <c r="J64" t="s">
        <v>2780</v>
      </c>
      <c r="K64" s="5" t="s">
        <v>7</v>
      </c>
      <c r="L64" s="5" t="s">
        <v>7</v>
      </c>
      <c r="M64" s="5" t="s">
        <v>7</v>
      </c>
      <c r="N64" s="5" t="s">
        <v>7</v>
      </c>
      <c r="O64" s="5" t="s">
        <v>778</v>
      </c>
      <c r="P64" s="5" t="s">
        <v>7834</v>
      </c>
      <c r="Q64" s="5"/>
      <c r="R64" s="5" t="b">
        <v>1</v>
      </c>
    </row>
    <row r="65" spans="1:18">
      <c r="A65" t="s">
        <v>3005</v>
      </c>
      <c r="B65" t="s">
        <v>3387</v>
      </c>
      <c r="C65" s="5" t="s">
        <v>7811</v>
      </c>
      <c r="D65" s="1">
        <v>1</v>
      </c>
      <c r="E65" s="1">
        <v>2</v>
      </c>
      <c r="F65" s="1">
        <v>256</v>
      </c>
      <c r="G65" s="1">
        <v>258</v>
      </c>
      <c r="H65" s="8" cm="1">
        <f t="array" ref="H65">_xlfn.LET(_xlpm.s,IFERROR(--F65,""),_xlpm.e,IFERROR(--G65,""),IF(OR(_xlpm.s="",_xlpm.e="",_xlpm.e&lt;_xlpm.s),"",_xlfn.LET(_xlpm.p,_xlfn.SEQUENCE(_xlpm.e-_xlpm.s+1,1,_xlpm.s,1),SUM(1/COUNTIFS($D:$D,D65,$E:$E,E65,$F:$F,"&lt;&gt;N/A",$G:$G,"&lt;&gt;N/A",$F:$F,"&lt;="&amp;_xlpm.p,$G:$G,"&gt;="&amp;_xlpm.p)))))</f>
        <v>2.5</v>
      </c>
      <c r="I65" t="s">
        <v>210</v>
      </c>
      <c r="J65" t="s">
        <v>1263</v>
      </c>
      <c r="K65" s="5" t="s">
        <v>7</v>
      </c>
      <c r="L65" s="5" t="s">
        <v>7</v>
      </c>
      <c r="M65" s="5" t="s">
        <v>5020</v>
      </c>
      <c r="N65" s="5" t="s">
        <v>11538</v>
      </c>
      <c r="O65" s="5" t="s">
        <v>5072</v>
      </c>
      <c r="P65" s="5" t="s">
        <v>8021</v>
      </c>
      <c r="Q65" s="5"/>
      <c r="R65" s="5" t="b">
        <v>1</v>
      </c>
    </row>
    <row r="66" spans="1:18">
      <c r="A66" t="s">
        <v>3005</v>
      </c>
      <c r="B66" t="s">
        <v>3388</v>
      </c>
      <c r="C66" s="5" t="s">
        <v>7811</v>
      </c>
      <c r="D66" s="1">
        <v>1</v>
      </c>
      <c r="E66" s="1">
        <v>2</v>
      </c>
      <c r="F66" s="1">
        <v>259</v>
      </c>
      <c r="G66" s="1">
        <v>287</v>
      </c>
      <c r="H66" s="8" cm="1">
        <f t="array" ref="H66">_xlfn.LET(_xlpm.s,IFERROR(--F66,""),_xlpm.e,IFERROR(--G66,""),IF(OR(_xlpm.s="",_xlpm.e="",_xlpm.e&lt;_xlpm.s),"",_xlfn.LET(_xlpm.p,_xlfn.SEQUENCE(_xlpm.e-_xlpm.s+1,1,_xlpm.s,1),SUM(1/COUNTIFS($D:$D,D66,$E:$E,E66,$F:$F,"&lt;&gt;N/A",$G:$G,"&lt;&gt;N/A",$F:$F,"&lt;="&amp;_xlpm.p,$G:$G,"&gt;="&amp;_xlpm.p)))))</f>
        <v>29</v>
      </c>
      <c r="I66" t="s">
        <v>7</v>
      </c>
      <c r="J66" t="s">
        <v>537</v>
      </c>
      <c r="K66" s="4" t="s">
        <v>1234</v>
      </c>
      <c r="L66" s="5" t="s">
        <v>7</v>
      </c>
      <c r="M66" s="5" t="s">
        <v>7</v>
      </c>
      <c r="N66" s="5" t="s">
        <v>7</v>
      </c>
      <c r="O66" s="5" t="s">
        <v>778</v>
      </c>
      <c r="P66" s="5" t="s">
        <v>7834</v>
      </c>
      <c r="Q66" s="5"/>
      <c r="R66" s="5" t="b">
        <v>1</v>
      </c>
    </row>
    <row r="67" spans="1:18">
      <c r="A67" t="s">
        <v>3005</v>
      </c>
      <c r="B67" t="s">
        <v>3389</v>
      </c>
      <c r="C67" s="5" t="s">
        <v>7811</v>
      </c>
      <c r="D67" s="1">
        <v>1</v>
      </c>
      <c r="E67" s="1">
        <v>2</v>
      </c>
      <c r="F67" s="1">
        <v>288</v>
      </c>
      <c r="G67" s="1">
        <v>289</v>
      </c>
      <c r="H67" s="8" cm="1">
        <f t="array" ref="H67">_xlfn.LET(_xlpm.s,IFERROR(--F67,""),_xlpm.e,IFERROR(--G67,""),IF(OR(_xlpm.s="",_xlpm.e="",_xlpm.e&lt;_xlpm.s),"",_xlfn.LET(_xlpm.p,_xlfn.SEQUENCE(_xlpm.e-_xlpm.s+1,1,_xlpm.s,1),SUM(1/COUNTIFS($D:$D,D67,$E:$E,E67,$F:$F,"&lt;&gt;N/A",$G:$G,"&lt;&gt;N/A",$F:$F,"&lt;="&amp;_xlpm.p,$G:$G,"&gt;="&amp;_xlpm.p)))))</f>
        <v>2</v>
      </c>
      <c r="I67" t="s">
        <v>7</v>
      </c>
      <c r="J67" t="s">
        <v>538</v>
      </c>
      <c r="K67" s="5" t="s">
        <v>539</v>
      </c>
      <c r="L67" s="5" t="s">
        <v>7</v>
      </c>
      <c r="M67" s="5" t="s">
        <v>7</v>
      </c>
      <c r="N67" s="5" t="s">
        <v>7</v>
      </c>
      <c r="O67" s="5" t="s">
        <v>778</v>
      </c>
      <c r="P67" s="5" t="s">
        <v>7834</v>
      </c>
      <c r="Q67" s="5"/>
      <c r="R67" s="5" t="b">
        <v>1</v>
      </c>
    </row>
    <row r="68" spans="1:18">
      <c r="A68" t="s">
        <v>3005</v>
      </c>
      <c r="B68" t="s">
        <v>3390</v>
      </c>
      <c r="C68" s="5" t="s">
        <v>7811</v>
      </c>
      <c r="D68" s="1">
        <v>1</v>
      </c>
      <c r="E68" s="1">
        <v>2</v>
      </c>
      <c r="F68" s="1">
        <v>290</v>
      </c>
      <c r="G68" s="1">
        <v>290</v>
      </c>
      <c r="H68" s="8" cm="1">
        <f t="array" ref="H68">_xlfn.LET(_xlpm.s,IFERROR(--F68,""),_xlpm.e,IFERROR(--G68,""),IF(OR(_xlpm.s="",_xlpm.e="",_xlpm.e&lt;_xlpm.s),"",_xlfn.LET(_xlpm.p,_xlfn.SEQUENCE(_xlpm.e-_xlpm.s+1,1,_xlpm.s,1),SUM(1/COUNTIFS($D:$D,D68,$E:$E,E68,$F:$F,"&lt;&gt;N/A",$G:$G,"&lt;&gt;N/A",$F:$F,"&lt;="&amp;_xlpm.p,$G:$G,"&gt;="&amp;_xlpm.p)))))</f>
        <v>1</v>
      </c>
      <c r="I68" t="s">
        <v>7</v>
      </c>
      <c r="J68" t="s">
        <v>540</v>
      </c>
      <c r="K68" s="5" t="s">
        <v>7</v>
      </c>
      <c r="L68" s="5" t="s">
        <v>7</v>
      </c>
      <c r="M68" s="5" t="s">
        <v>7</v>
      </c>
      <c r="N68" s="5" t="s">
        <v>7</v>
      </c>
      <c r="O68" s="5" t="s">
        <v>778</v>
      </c>
      <c r="P68" s="5" t="s">
        <v>7834</v>
      </c>
      <c r="Q68" s="5"/>
      <c r="R68" s="5" t="b">
        <v>1</v>
      </c>
    </row>
    <row r="69" spans="1:18">
      <c r="A69" t="s">
        <v>3005</v>
      </c>
      <c r="B69" t="s">
        <v>3391</v>
      </c>
      <c r="C69" s="5" t="s">
        <v>7812</v>
      </c>
      <c r="D69" s="1">
        <v>1</v>
      </c>
      <c r="E69" s="1">
        <v>3</v>
      </c>
      <c r="F69" s="1">
        <v>291</v>
      </c>
      <c r="G69" s="1">
        <v>294</v>
      </c>
      <c r="H69" s="8" cm="1">
        <f t="array" ref="H69">_xlfn.LET(_xlpm.s,IFERROR(--F69,""),_xlpm.e,IFERROR(--G69,""),IF(OR(_xlpm.s="",_xlpm.e="",_xlpm.e&lt;_xlpm.s),"",_xlfn.LET(_xlpm.p,_xlfn.SEQUENCE(_xlpm.e-_xlpm.s+1,1,_xlpm.s,1),SUM(1/COUNTIFS($D:$D,D69,$E:$E,E69,$F:$F,"&lt;&gt;N/A",$G:$G,"&lt;&gt;N/A",$F:$F,"&lt;="&amp;_xlpm.p,$G:$G,"&gt;="&amp;_xlpm.p)))))</f>
        <v>4</v>
      </c>
      <c r="I69" t="s">
        <v>14</v>
      </c>
      <c r="J69" t="s">
        <v>545</v>
      </c>
      <c r="K69" s="5" t="s">
        <v>4520</v>
      </c>
      <c r="L69" s="5" t="s">
        <v>7</v>
      </c>
      <c r="M69" s="5" t="s">
        <v>7</v>
      </c>
      <c r="N69" s="5" t="s">
        <v>7</v>
      </c>
      <c r="O69" s="5" t="s">
        <v>778</v>
      </c>
      <c r="P69" s="5" t="s">
        <v>7834</v>
      </c>
      <c r="Q69" s="5"/>
      <c r="R69" s="5" t="b">
        <v>1</v>
      </c>
    </row>
    <row r="70" spans="1:18">
      <c r="A70" t="s">
        <v>3005</v>
      </c>
      <c r="B70" t="s">
        <v>3392</v>
      </c>
      <c r="C70" s="5" t="s">
        <v>7812</v>
      </c>
      <c r="D70" s="1">
        <v>1</v>
      </c>
      <c r="E70" s="1">
        <v>3</v>
      </c>
      <c r="F70" s="1">
        <v>295</v>
      </c>
      <c r="G70" s="1">
        <v>299</v>
      </c>
      <c r="H70" s="8" cm="1">
        <f t="array" ref="H70">_xlfn.LET(_xlpm.s,IFERROR(--F70,""),_xlpm.e,IFERROR(--G70,""),IF(OR(_xlpm.s="",_xlpm.e="",_xlpm.e&lt;_xlpm.s),"",_xlfn.LET(_xlpm.p,_xlfn.SEQUENCE(_xlpm.e-_xlpm.s+1,1,_xlpm.s,1),SUM(1/COUNTIFS($D:$D,D70,$E:$E,E70,$F:$F,"&lt;&gt;N/A",$G:$G,"&lt;&gt;N/A",$F:$F,"&lt;="&amp;_xlpm.p,$G:$G,"&gt;="&amp;_xlpm.p)))))</f>
        <v>5</v>
      </c>
      <c r="I70" t="s">
        <v>14</v>
      </c>
      <c r="J70" t="s">
        <v>546</v>
      </c>
      <c r="K70" s="5" t="s">
        <v>547</v>
      </c>
      <c r="L70" s="5" t="s">
        <v>7</v>
      </c>
      <c r="M70" t="s">
        <v>5560</v>
      </c>
      <c r="N70" s="5" t="s">
        <v>7406</v>
      </c>
      <c r="O70" s="5" t="s">
        <v>5072</v>
      </c>
      <c r="P70" s="5" t="s">
        <v>8021</v>
      </c>
      <c r="Q70" s="5"/>
      <c r="R70" s="5" t="b">
        <v>1</v>
      </c>
    </row>
    <row r="71" spans="1:18">
      <c r="A71" t="s">
        <v>3005</v>
      </c>
      <c r="B71" t="s">
        <v>3393</v>
      </c>
      <c r="C71" s="5" t="s">
        <v>7812</v>
      </c>
      <c r="D71" s="1">
        <v>1</v>
      </c>
      <c r="E71" s="1">
        <v>3</v>
      </c>
      <c r="F71" s="1">
        <v>300</v>
      </c>
      <c r="G71" s="1">
        <v>312</v>
      </c>
      <c r="H71" s="8" cm="1">
        <f t="array" ref="H71">_xlfn.LET(_xlpm.s,IFERROR(--F71,""),_xlpm.e,IFERROR(--G71,""),IF(OR(_xlpm.s="",_xlpm.e="",_xlpm.e&lt;_xlpm.s),"",_xlfn.LET(_xlpm.p,_xlfn.SEQUENCE(_xlpm.e-_xlpm.s+1,1,_xlpm.s,1),SUM(1/COUNTIFS($D:$D,D71,$E:$E,E71,$F:$F,"&lt;&gt;N/A",$G:$G,"&lt;&gt;N/A",$F:$F,"&lt;="&amp;_xlpm.p,$G:$G,"&gt;="&amp;_xlpm.p)))))</f>
        <v>12.5</v>
      </c>
      <c r="I71" t="s">
        <v>14</v>
      </c>
      <c r="J71" t="s">
        <v>548</v>
      </c>
      <c r="K71" t="s">
        <v>4521</v>
      </c>
      <c r="L71" s="5" t="s">
        <v>7</v>
      </c>
      <c r="M71" t="s">
        <v>5544</v>
      </c>
      <c r="N71" s="5" t="s">
        <v>2778</v>
      </c>
      <c r="O71" s="5" t="s">
        <v>5072</v>
      </c>
      <c r="P71" s="5" t="s">
        <v>8021</v>
      </c>
      <c r="Q71" s="5"/>
      <c r="R71" s="5" t="b">
        <v>1</v>
      </c>
    </row>
    <row r="72" spans="1:18">
      <c r="A72" t="s">
        <v>3005</v>
      </c>
      <c r="B72" t="s">
        <v>3394</v>
      </c>
      <c r="C72" s="5" t="s">
        <v>7812</v>
      </c>
      <c r="D72" s="1">
        <v>1</v>
      </c>
      <c r="E72" s="1">
        <v>3</v>
      </c>
      <c r="F72" s="1">
        <v>312</v>
      </c>
      <c r="G72" s="1">
        <v>325</v>
      </c>
      <c r="H72" s="8" cm="1">
        <f t="array" ref="H72">_xlfn.LET(_xlpm.s,IFERROR(--F72,""),_xlpm.e,IFERROR(--G72,""),IF(OR(_xlpm.s="",_xlpm.e="",_xlpm.e&lt;_xlpm.s),"",_xlfn.LET(_xlpm.p,_xlfn.SEQUENCE(_xlpm.e-_xlpm.s+1,1,_xlpm.s,1),SUM(1/COUNTIFS($D:$D,D72,$E:$E,E72,$F:$F,"&lt;&gt;N/A",$G:$G,"&lt;&gt;N/A",$F:$F,"&lt;="&amp;_xlpm.p,$G:$G,"&gt;="&amp;_xlpm.p)))))</f>
        <v>13</v>
      </c>
      <c r="I72" t="s">
        <v>200</v>
      </c>
      <c r="J72" t="s">
        <v>1491</v>
      </c>
      <c r="K72" s="5" t="s">
        <v>4522</v>
      </c>
      <c r="L72" s="5" t="s">
        <v>7</v>
      </c>
      <c r="M72" t="s">
        <v>5540</v>
      </c>
      <c r="N72" s="5" t="s">
        <v>7418</v>
      </c>
      <c r="O72" s="5" t="s">
        <v>5072</v>
      </c>
      <c r="P72" s="5" t="s">
        <v>8021</v>
      </c>
      <c r="Q72" s="5"/>
      <c r="R72" s="5" t="b">
        <v>1</v>
      </c>
    </row>
    <row r="73" spans="1:18">
      <c r="A73" t="s">
        <v>3005</v>
      </c>
      <c r="B73" t="s">
        <v>3395</v>
      </c>
      <c r="C73" s="5" t="s">
        <v>7812</v>
      </c>
      <c r="D73" s="1">
        <v>1</v>
      </c>
      <c r="E73" s="1">
        <v>3</v>
      </c>
      <c r="F73" s="1">
        <v>325</v>
      </c>
      <c r="G73" s="1">
        <v>330</v>
      </c>
      <c r="H73" s="8" cm="1">
        <f t="array" ref="H73">_xlfn.LET(_xlpm.s,IFERROR(--F73,""),_xlpm.e,IFERROR(--G73,""),IF(OR(_xlpm.s="",_xlpm.e="",_xlpm.e&lt;_xlpm.s),"",_xlfn.LET(_xlpm.p,_xlfn.SEQUENCE(_xlpm.e-_xlpm.s+1,1,_xlpm.s,1),SUM(1/COUNTIFS($D:$D,D73,$E:$E,E73,$F:$F,"&lt;&gt;N/A",$G:$G,"&lt;&gt;N/A",$F:$F,"&lt;="&amp;_xlpm.p,$G:$G,"&gt;="&amp;_xlpm.p)))))</f>
        <v>5.5</v>
      </c>
      <c r="I73" t="s">
        <v>200</v>
      </c>
      <c r="J73" t="s">
        <v>549</v>
      </c>
      <c r="K73" s="5" t="s">
        <v>7</v>
      </c>
      <c r="L73" s="5" t="s">
        <v>4523</v>
      </c>
      <c r="M73" t="s">
        <v>7414</v>
      </c>
      <c r="N73" s="5" t="s">
        <v>1251</v>
      </c>
      <c r="O73" s="5" t="s">
        <v>5072</v>
      </c>
      <c r="P73" s="5" t="s">
        <v>8019</v>
      </c>
      <c r="Q73" s="5"/>
      <c r="R73" s="5" t="b">
        <v>1</v>
      </c>
    </row>
    <row r="74" spans="1:18">
      <c r="A74" t="s">
        <v>3005</v>
      </c>
      <c r="B74" t="s">
        <v>3396</v>
      </c>
      <c r="C74" s="5" t="s">
        <v>7812</v>
      </c>
      <c r="D74" s="1">
        <v>1</v>
      </c>
      <c r="E74" s="1">
        <v>3</v>
      </c>
      <c r="F74" s="1">
        <v>331</v>
      </c>
      <c r="G74" s="1">
        <v>332</v>
      </c>
      <c r="H74" s="8" cm="1">
        <f t="array" ref="H74">_xlfn.LET(_xlpm.s,IFERROR(--F74,""),_xlpm.e,IFERROR(--G74,""),IF(OR(_xlpm.s="",_xlpm.e="",_xlpm.e&lt;_xlpm.s),"",_xlfn.LET(_xlpm.p,_xlfn.SEQUENCE(_xlpm.e-_xlpm.s+1,1,_xlpm.s,1),SUM(1/COUNTIFS($D:$D,D74,$E:$E,E74,$F:$F,"&lt;&gt;N/A",$G:$G,"&lt;&gt;N/A",$F:$F,"&lt;="&amp;_xlpm.p,$G:$G,"&gt;="&amp;_xlpm.p)))))</f>
        <v>1.5</v>
      </c>
      <c r="I74" t="s">
        <v>205</v>
      </c>
      <c r="J74" t="s">
        <v>7403</v>
      </c>
      <c r="K74" s="5" t="s">
        <v>7</v>
      </c>
      <c r="L74" s="5" t="s">
        <v>7</v>
      </c>
      <c r="M74" s="5" t="s">
        <v>7</v>
      </c>
      <c r="N74" s="5" t="s">
        <v>7412</v>
      </c>
      <c r="O74" s="5" t="s">
        <v>11522</v>
      </c>
      <c r="P74" s="5" t="s">
        <v>8021</v>
      </c>
      <c r="Q74" s="5"/>
      <c r="R74" s="5" t="b">
        <v>1</v>
      </c>
    </row>
    <row r="75" spans="1:18">
      <c r="A75" t="s">
        <v>3005</v>
      </c>
      <c r="B75" t="s">
        <v>3397</v>
      </c>
      <c r="C75" s="5" t="s">
        <v>7812</v>
      </c>
      <c r="D75" s="1">
        <v>1</v>
      </c>
      <c r="E75" s="1">
        <v>3</v>
      </c>
      <c r="F75" s="1">
        <v>332</v>
      </c>
      <c r="G75" s="1">
        <v>333</v>
      </c>
      <c r="H75" s="8" cm="1">
        <f t="array" ref="H75">_xlfn.LET(_xlpm.s,IFERROR(--F75,""),_xlpm.e,IFERROR(--G75,""),IF(OR(_xlpm.s="",_xlpm.e="",_xlpm.e&lt;_xlpm.s),"",_xlfn.LET(_xlpm.p,_xlfn.SEQUENCE(_xlpm.e-_xlpm.s+1,1,_xlpm.s,1),SUM(1/COUNTIFS($D:$D,D75,$E:$E,E75,$F:$F,"&lt;&gt;N/A",$G:$G,"&lt;&gt;N/A",$F:$F,"&lt;="&amp;_xlpm.p,$G:$G,"&gt;="&amp;_xlpm.p)))))</f>
        <v>1</v>
      </c>
      <c r="I75" t="s">
        <v>205</v>
      </c>
      <c r="J75" t="s">
        <v>7402</v>
      </c>
      <c r="K75" s="5" t="s">
        <v>7</v>
      </c>
      <c r="L75" s="5" t="s">
        <v>4524</v>
      </c>
      <c r="M75" t="s">
        <v>5548</v>
      </c>
      <c r="N75" s="5" t="s">
        <v>7421</v>
      </c>
      <c r="O75" s="5" t="s">
        <v>11522</v>
      </c>
      <c r="P75" s="5" t="s">
        <v>8021</v>
      </c>
      <c r="Q75" s="5"/>
      <c r="R75" s="5" t="b">
        <v>1</v>
      </c>
    </row>
    <row r="76" spans="1:18">
      <c r="A76" t="s">
        <v>3005</v>
      </c>
      <c r="B76" t="s">
        <v>3398</v>
      </c>
      <c r="C76" s="5" t="s">
        <v>7812</v>
      </c>
      <c r="D76" s="1">
        <v>1</v>
      </c>
      <c r="E76" s="1">
        <v>3</v>
      </c>
      <c r="F76" s="1">
        <v>333</v>
      </c>
      <c r="G76" s="1">
        <v>335</v>
      </c>
      <c r="H76" s="8" cm="1">
        <f t="array" ref="H76">_xlfn.LET(_xlpm.s,IFERROR(--F76,""),_xlpm.e,IFERROR(--G76,""),IF(OR(_xlpm.s="",_xlpm.e="",_xlpm.e&lt;_xlpm.s),"",_xlfn.LET(_xlpm.p,_xlfn.SEQUENCE(_xlpm.e-_xlpm.s+1,1,_xlpm.s,1),SUM(1/COUNTIFS($D:$D,D76,$E:$E,E76,$F:$F,"&lt;&gt;N/A",$G:$G,"&lt;&gt;N/A",$F:$F,"&lt;="&amp;_xlpm.p,$G:$G,"&gt;="&amp;_xlpm.p)))))</f>
        <v>2</v>
      </c>
      <c r="I76" t="s">
        <v>205</v>
      </c>
      <c r="J76" t="s">
        <v>7401</v>
      </c>
      <c r="K76" s="5" t="s">
        <v>4525</v>
      </c>
      <c r="L76" s="5" t="s">
        <v>6312</v>
      </c>
      <c r="M76" s="5" t="s">
        <v>7</v>
      </c>
      <c r="N76" s="5" t="s">
        <v>7413</v>
      </c>
      <c r="O76" s="5" t="s">
        <v>11522</v>
      </c>
      <c r="P76" s="5" t="s">
        <v>8021</v>
      </c>
      <c r="Q76" s="5"/>
      <c r="R76" s="5" t="b">
        <v>1</v>
      </c>
    </row>
    <row r="77" spans="1:18">
      <c r="A77" t="s">
        <v>3005</v>
      </c>
      <c r="B77" t="s">
        <v>3399</v>
      </c>
      <c r="C77" s="5" t="s">
        <v>7812</v>
      </c>
      <c r="D77" s="1">
        <v>1</v>
      </c>
      <c r="E77" s="1">
        <v>3</v>
      </c>
      <c r="F77" s="1">
        <v>335</v>
      </c>
      <c r="G77" s="1">
        <v>337</v>
      </c>
      <c r="H77" s="8" cm="1">
        <f t="array" ref="H77">_xlfn.LET(_xlpm.s,IFERROR(--F77,""),_xlpm.e,IFERROR(--G77,""),IF(OR(_xlpm.s="",_xlpm.e="",_xlpm.e&lt;_xlpm.s),"",_xlfn.LET(_xlpm.p,_xlfn.SEQUENCE(_xlpm.e-_xlpm.s+1,1,_xlpm.s,1),SUM(1/COUNTIFS($D:$D,D77,$E:$E,E77,$F:$F,"&lt;&gt;N/A",$G:$G,"&lt;&gt;N/A",$F:$F,"&lt;="&amp;_xlpm.p,$G:$G,"&gt;="&amp;_xlpm.p)))))</f>
        <v>2</v>
      </c>
      <c r="I77" t="s">
        <v>205</v>
      </c>
      <c r="J77" t="s">
        <v>7400</v>
      </c>
      <c r="K77" s="5" t="s">
        <v>7</v>
      </c>
      <c r="L77" s="5" t="s">
        <v>4526</v>
      </c>
      <c r="M77" s="5" t="s">
        <v>7</v>
      </c>
      <c r="N77" t="s">
        <v>8041</v>
      </c>
      <c r="O77" s="5" t="s">
        <v>11522</v>
      </c>
      <c r="P77" s="5" t="s">
        <v>8021</v>
      </c>
      <c r="Q77" s="5"/>
      <c r="R77" s="5" t="b">
        <v>1</v>
      </c>
    </row>
    <row r="78" spans="1:18">
      <c r="A78" t="s">
        <v>3005</v>
      </c>
      <c r="B78" t="s">
        <v>3400</v>
      </c>
      <c r="C78" s="5" t="s">
        <v>7812</v>
      </c>
      <c r="D78" s="1">
        <v>1</v>
      </c>
      <c r="E78" s="1">
        <v>3</v>
      </c>
      <c r="F78" s="1">
        <v>337</v>
      </c>
      <c r="G78" s="1">
        <v>339</v>
      </c>
      <c r="H78" s="8" cm="1">
        <f t="array" ref="H78">_xlfn.LET(_xlpm.s,IFERROR(--F78,""),_xlpm.e,IFERROR(--G78,""),IF(OR(_xlpm.s="",_xlpm.e="",_xlpm.e&lt;_xlpm.s),"",_xlfn.LET(_xlpm.p,_xlfn.SEQUENCE(_xlpm.e-_xlpm.s+1,1,_xlpm.s,1),SUM(1/COUNTIFS($D:$D,D78,$E:$E,E78,$F:$F,"&lt;&gt;N/A",$G:$G,"&lt;&gt;N/A",$F:$F,"&lt;="&amp;_xlpm.p,$G:$G,"&gt;="&amp;_xlpm.p)))))</f>
        <v>2.5</v>
      </c>
      <c r="I78" t="s">
        <v>205</v>
      </c>
      <c r="J78" t="s">
        <v>550</v>
      </c>
      <c r="K78" s="5" t="s">
        <v>530</v>
      </c>
      <c r="L78" s="5" t="s">
        <v>7</v>
      </c>
      <c r="M78" s="5" t="s">
        <v>7</v>
      </c>
      <c r="N78" s="5" t="s">
        <v>7</v>
      </c>
      <c r="O78" s="5" t="s">
        <v>778</v>
      </c>
      <c r="P78" s="5" t="s">
        <v>7834</v>
      </c>
      <c r="Q78" s="5"/>
      <c r="R78" s="5" t="b">
        <v>1</v>
      </c>
    </row>
    <row r="79" spans="1:18">
      <c r="A79" t="s">
        <v>3005</v>
      </c>
      <c r="B79" t="s">
        <v>3401</v>
      </c>
      <c r="C79" s="5" t="s">
        <v>7812</v>
      </c>
      <c r="D79" s="1">
        <v>1</v>
      </c>
      <c r="E79" s="1">
        <v>3</v>
      </c>
      <c r="F79" s="1">
        <v>340</v>
      </c>
      <c r="G79" s="1">
        <v>345</v>
      </c>
      <c r="H79" s="8" cm="1">
        <f t="array" ref="H79">_xlfn.LET(_xlpm.s,IFERROR(--F79,""),_xlpm.e,IFERROR(--G79,""),IF(OR(_xlpm.s="",_xlpm.e="",_xlpm.e&lt;_xlpm.s),"",_xlfn.LET(_xlpm.p,_xlfn.SEQUENCE(_xlpm.e-_xlpm.s+1,1,_xlpm.s,1),SUM(1/COUNTIFS($D:$D,D79,$E:$E,E79,$F:$F,"&lt;&gt;N/A",$G:$G,"&lt;&gt;N/A",$F:$F,"&lt;="&amp;_xlpm.p,$G:$G,"&gt;="&amp;_xlpm.p)))))</f>
        <v>5.5</v>
      </c>
      <c r="I79" t="s">
        <v>208</v>
      </c>
      <c r="J79" t="s">
        <v>551</v>
      </c>
      <c r="K79" s="5" t="s">
        <v>7</v>
      </c>
      <c r="L79" s="5" t="s">
        <v>4527</v>
      </c>
      <c r="M79" t="s">
        <v>6403</v>
      </c>
      <c r="N79" s="5" t="s">
        <v>11539</v>
      </c>
      <c r="O79" s="5" t="s">
        <v>5072</v>
      </c>
      <c r="P79" s="5" t="s">
        <v>8021</v>
      </c>
      <c r="Q79" s="5"/>
      <c r="R79" s="5" t="b">
        <v>1</v>
      </c>
    </row>
    <row r="80" spans="1:18">
      <c r="A80" t="s">
        <v>3005</v>
      </c>
      <c r="B80" t="s">
        <v>3402</v>
      </c>
      <c r="C80" s="5" t="s">
        <v>7812</v>
      </c>
      <c r="D80" s="1">
        <v>1</v>
      </c>
      <c r="E80" s="1">
        <v>3</v>
      </c>
      <c r="F80" s="1">
        <v>345</v>
      </c>
      <c r="G80" s="1">
        <v>346</v>
      </c>
      <c r="H80" s="8" cm="1">
        <f t="array" ref="H80">_xlfn.LET(_xlpm.s,IFERROR(--F80,""),_xlpm.e,IFERROR(--G80,""),IF(OR(_xlpm.s="",_xlpm.e="",_xlpm.e&lt;_xlpm.s),"",_xlfn.LET(_xlpm.p,_xlfn.SEQUENCE(_xlpm.e-_xlpm.s+1,1,_xlpm.s,1),SUM(1/COUNTIFS($D:$D,D80,$E:$E,E80,$F:$F,"&lt;&gt;N/A",$G:$G,"&lt;&gt;N/A",$F:$F,"&lt;="&amp;_xlpm.p,$G:$G,"&gt;="&amp;_xlpm.p)))))</f>
        <v>1</v>
      </c>
      <c r="I80" t="s">
        <v>208</v>
      </c>
      <c r="J80" t="s">
        <v>2781</v>
      </c>
      <c r="K80" s="5" t="s">
        <v>7</v>
      </c>
      <c r="L80" s="5" t="s">
        <v>7</v>
      </c>
      <c r="M80" t="s">
        <v>6403</v>
      </c>
      <c r="N80" s="5" t="s">
        <v>11540</v>
      </c>
      <c r="O80" s="5" t="s">
        <v>5072</v>
      </c>
      <c r="P80" s="5" t="s">
        <v>8021</v>
      </c>
      <c r="Q80" s="5"/>
      <c r="R80" s="5" t="b">
        <v>1</v>
      </c>
    </row>
    <row r="81" spans="1:18">
      <c r="A81" t="s">
        <v>3005</v>
      </c>
      <c r="B81" t="s">
        <v>3403</v>
      </c>
      <c r="C81" s="5" t="s">
        <v>7812</v>
      </c>
      <c r="D81" s="1">
        <v>1</v>
      </c>
      <c r="E81" s="1">
        <v>3</v>
      </c>
      <c r="F81" s="1">
        <v>346</v>
      </c>
      <c r="G81" s="1">
        <v>351</v>
      </c>
      <c r="H81" s="8" cm="1">
        <f t="array" ref="H81">_xlfn.LET(_xlpm.s,IFERROR(--F81,""),_xlpm.e,IFERROR(--G81,""),IF(OR(_xlpm.s="",_xlpm.e="",_xlpm.e&lt;_xlpm.s),"",_xlfn.LET(_xlpm.p,_xlfn.SEQUENCE(_xlpm.e-_xlpm.s+1,1,_xlpm.s,1),SUM(1/COUNTIFS($D:$D,D81,$E:$E,E81,$F:$F,"&lt;&gt;N/A",$G:$G,"&lt;&gt;N/A",$F:$F,"&lt;="&amp;_xlpm.p,$G:$G,"&gt;="&amp;_xlpm.p)))))</f>
        <v>5</v>
      </c>
      <c r="I81" t="s">
        <v>208</v>
      </c>
      <c r="J81" t="s">
        <v>552</v>
      </c>
      <c r="K81" s="5" t="s">
        <v>1241</v>
      </c>
      <c r="L81" s="5" t="s">
        <v>7</v>
      </c>
      <c r="M81" s="5" t="s">
        <v>7</v>
      </c>
      <c r="N81" s="5" t="s">
        <v>7</v>
      </c>
      <c r="O81" s="5" t="s">
        <v>778</v>
      </c>
      <c r="P81" s="5" t="s">
        <v>7834</v>
      </c>
      <c r="Q81" s="5"/>
      <c r="R81" s="5" t="b">
        <v>1</v>
      </c>
    </row>
    <row r="82" spans="1:18">
      <c r="A82" t="s">
        <v>3005</v>
      </c>
      <c r="B82" t="s">
        <v>3404</v>
      </c>
      <c r="C82" s="5" t="s">
        <v>7812</v>
      </c>
      <c r="D82" s="1">
        <v>1</v>
      </c>
      <c r="E82" s="1">
        <v>3</v>
      </c>
      <c r="F82" s="1">
        <v>351</v>
      </c>
      <c r="G82" s="1">
        <v>361</v>
      </c>
      <c r="H82" s="8" cm="1">
        <f t="array" ref="H82">_xlfn.LET(_xlpm.s,IFERROR(--F82,""),_xlpm.e,IFERROR(--G82,""),IF(OR(_xlpm.s="",_xlpm.e="",_xlpm.e&lt;_xlpm.s),"",_xlfn.LET(_xlpm.p,_xlfn.SEQUENCE(_xlpm.e-_xlpm.s+1,1,_xlpm.s,1),SUM(1/COUNTIFS($D:$D,D82,$E:$E,E82,$F:$F,"&lt;&gt;N/A",$G:$G,"&lt;&gt;N/A",$F:$F,"&lt;="&amp;_xlpm.p,$G:$G,"&gt;="&amp;_xlpm.p)))))</f>
        <v>10</v>
      </c>
      <c r="I82" t="s">
        <v>208</v>
      </c>
      <c r="J82" t="s">
        <v>543</v>
      </c>
      <c r="K82" s="5" t="s">
        <v>7</v>
      </c>
      <c r="L82" s="5" t="s">
        <v>4528</v>
      </c>
      <c r="M82" s="5" t="s">
        <v>5065</v>
      </c>
      <c r="N82" s="5" t="s">
        <v>11541</v>
      </c>
      <c r="O82" s="5" t="s">
        <v>5072</v>
      </c>
      <c r="P82" s="5" t="s">
        <v>8021</v>
      </c>
      <c r="Q82" s="5"/>
      <c r="R82" s="5" t="b">
        <v>1</v>
      </c>
    </row>
    <row r="83" spans="1:18">
      <c r="A83" t="s">
        <v>3005</v>
      </c>
      <c r="B83" t="s">
        <v>3405</v>
      </c>
      <c r="C83" s="5" t="s">
        <v>7812</v>
      </c>
      <c r="D83" s="1">
        <v>1</v>
      </c>
      <c r="E83" s="1">
        <v>3</v>
      </c>
      <c r="F83" s="1">
        <v>361</v>
      </c>
      <c r="G83" s="1">
        <v>373</v>
      </c>
      <c r="H83" s="8" cm="1">
        <f t="array" ref="H83">_xlfn.LET(_xlpm.s,IFERROR(--F83,""),_xlpm.e,IFERROR(--G83,""),IF(OR(_xlpm.s="",_xlpm.e="",_xlpm.e&lt;_xlpm.s),"",_xlfn.LET(_xlpm.p,_xlfn.SEQUENCE(_xlpm.e-_xlpm.s+1,1,_xlpm.s,1),SUM(1/COUNTIFS($D:$D,D83,$E:$E,E83,$F:$F,"&lt;&gt;N/A",$G:$G,"&lt;&gt;N/A",$F:$F,"&lt;="&amp;_xlpm.p,$G:$G,"&gt;="&amp;_xlpm.p)))))</f>
        <v>12</v>
      </c>
      <c r="I83" t="s">
        <v>553</v>
      </c>
      <c r="J83" t="s">
        <v>554</v>
      </c>
      <c r="K83" s="5" t="s">
        <v>7</v>
      </c>
      <c r="L83" s="5" t="s">
        <v>5531</v>
      </c>
      <c r="M83" s="5" t="s">
        <v>7369</v>
      </c>
      <c r="N83" s="5" t="s">
        <v>7368</v>
      </c>
      <c r="O83" s="5" t="s">
        <v>5072</v>
      </c>
      <c r="P83" s="5" t="s">
        <v>8021</v>
      </c>
      <c r="Q83" s="5"/>
      <c r="R83" s="5" t="b">
        <v>1</v>
      </c>
    </row>
    <row r="84" spans="1:18">
      <c r="A84" t="s">
        <v>3005</v>
      </c>
      <c r="B84" t="s">
        <v>3406</v>
      </c>
      <c r="C84" s="5" t="s">
        <v>7812</v>
      </c>
      <c r="D84" s="1">
        <v>1</v>
      </c>
      <c r="E84" s="1">
        <v>3</v>
      </c>
      <c r="F84" s="1">
        <v>373</v>
      </c>
      <c r="G84" s="1">
        <v>377</v>
      </c>
      <c r="H84" s="8" cm="1">
        <f t="array" ref="H84">_xlfn.LET(_xlpm.s,IFERROR(--F84,""),_xlpm.e,IFERROR(--G84,""),IF(OR(_xlpm.s="",_xlpm.e="",_xlpm.e&lt;_xlpm.s),"",_xlfn.LET(_xlpm.p,_xlfn.SEQUENCE(_xlpm.e-_xlpm.s+1,1,_xlpm.s,1),SUM(1/COUNTIFS($D:$D,D84,$E:$E,E84,$F:$F,"&lt;&gt;N/A",$G:$G,"&lt;&gt;N/A",$F:$F,"&lt;="&amp;_xlpm.p,$G:$G,"&gt;="&amp;_xlpm.p)))))</f>
        <v>4</v>
      </c>
      <c r="I84" t="s">
        <v>210</v>
      </c>
      <c r="J84" t="s">
        <v>6418</v>
      </c>
      <c r="K84" s="5" t="s">
        <v>7</v>
      </c>
      <c r="L84" s="5" t="s">
        <v>7</v>
      </c>
      <c r="M84" s="5" t="s">
        <v>7</v>
      </c>
      <c r="N84" s="5" t="s">
        <v>7</v>
      </c>
      <c r="O84" s="5" t="s">
        <v>778</v>
      </c>
      <c r="P84" s="5" t="s">
        <v>7834</v>
      </c>
      <c r="Q84" s="5"/>
      <c r="R84" s="5" t="b">
        <v>1</v>
      </c>
    </row>
    <row r="85" spans="1:18">
      <c r="A85" t="s">
        <v>3005</v>
      </c>
      <c r="B85" t="s">
        <v>3407</v>
      </c>
      <c r="C85" s="5" t="s">
        <v>7812</v>
      </c>
      <c r="D85" s="1">
        <v>1</v>
      </c>
      <c r="E85" s="1">
        <v>3</v>
      </c>
      <c r="F85" s="1">
        <v>377</v>
      </c>
      <c r="G85" s="1">
        <v>377</v>
      </c>
      <c r="H85" s="8" cm="1">
        <f t="array" ref="H85">_xlfn.LET(_xlpm.s,IFERROR(--F85,""),_xlpm.e,IFERROR(--G85,""),IF(OR(_xlpm.s="",_xlpm.e="",_xlpm.e&lt;_xlpm.s),"",_xlfn.LET(_xlpm.p,_xlfn.SEQUENCE(_xlpm.e-_xlpm.s+1,1,_xlpm.s,1),SUM(1/COUNTIFS($D:$D,D85,$E:$E,E85,$F:$F,"&lt;&gt;N/A",$G:$G,"&lt;&gt;N/A",$F:$F,"&lt;="&amp;_xlpm.p,$G:$G,"&gt;="&amp;_xlpm.p)))))</f>
        <v>0.5</v>
      </c>
      <c r="I85" t="s">
        <v>210</v>
      </c>
      <c r="J85" t="s">
        <v>555</v>
      </c>
      <c r="K85" s="4" t="s">
        <v>1234</v>
      </c>
      <c r="L85" s="5" t="s">
        <v>7</v>
      </c>
      <c r="M85" t="s">
        <v>6403</v>
      </c>
      <c r="N85" s="5" t="s">
        <v>6421</v>
      </c>
      <c r="O85" s="5" t="s">
        <v>11522</v>
      </c>
      <c r="P85" s="5" t="s">
        <v>8021</v>
      </c>
      <c r="Q85" s="5"/>
      <c r="R85" s="5" t="b">
        <v>1</v>
      </c>
    </row>
    <row r="86" spans="1:18">
      <c r="A86" t="s">
        <v>3006</v>
      </c>
      <c r="B86" t="s">
        <v>3408</v>
      </c>
      <c r="C86" s="5" t="s">
        <v>7813</v>
      </c>
      <c r="D86" s="1">
        <v>2</v>
      </c>
      <c r="E86" s="1">
        <v>4</v>
      </c>
      <c r="F86" s="1">
        <v>5</v>
      </c>
      <c r="G86" s="1">
        <v>9</v>
      </c>
      <c r="H86" s="8" cm="1">
        <f t="array" ref="H86">_xlfn.LET(_xlpm.s,IFERROR(--F86,""),_xlpm.e,IFERROR(--G86,""),IF(OR(_xlpm.s="",_xlpm.e="",_xlpm.e&lt;_xlpm.s),"",_xlfn.LET(_xlpm.p,_xlfn.SEQUENCE(_xlpm.e-_xlpm.s+1,1,_xlpm.s,1),SUM(1/COUNTIFS($D:$D,D86,$E:$E,E86,$F:$F,"&lt;&gt;N/A",$G:$G,"&lt;&gt;N/A",$F:$F,"&lt;="&amp;_xlpm.p,$G:$G,"&gt;="&amp;_xlpm.p)))))</f>
        <v>4.5</v>
      </c>
      <c r="I86" t="s">
        <v>14</v>
      </c>
      <c r="J86" t="s">
        <v>1243</v>
      </c>
      <c r="K86" s="9" t="s">
        <v>4374</v>
      </c>
      <c r="L86" s="5" t="s">
        <v>7</v>
      </c>
      <c r="M86" t="s">
        <v>6388</v>
      </c>
      <c r="N86" s="5" t="s">
        <v>11542</v>
      </c>
      <c r="O86" s="5" t="s">
        <v>5072</v>
      </c>
      <c r="P86" s="5" t="s">
        <v>8021</v>
      </c>
      <c r="Q86" s="5"/>
      <c r="R86" s="5" t="b">
        <v>1</v>
      </c>
    </row>
    <row r="87" spans="1:18">
      <c r="A87" t="s">
        <v>3006</v>
      </c>
      <c r="B87" t="s">
        <v>3409</v>
      </c>
      <c r="C87" s="5" t="s">
        <v>7813</v>
      </c>
      <c r="D87" s="1">
        <v>2</v>
      </c>
      <c r="E87" s="1">
        <v>4</v>
      </c>
      <c r="F87" s="1">
        <v>9</v>
      </c>
      <c r="G87" s="1">
        <v>21</v>
      </c>
      <c r="H87" s="8" cm="1">
        <f t="array" ref="H87">_xlfn.LET(_xlpm.s,IFERROR(--F87,""),_xlpm.e,IFERROR(--G87,""),IF(OR(_xlpm.s="",_xlpm.e="",_xlpm.e&lt;_xlpm.s),"",_xlfn.LET(_xlpm.p,_xlfn.SEQUENCE(_xlpm.e-_xlpm.s+1,1,_xlpm.s,1),SUM(1/COUNTIFS($D:$D,D87,$E:$E,E87,$F:$F,"&lt;&gt;N/A",$G:$G,"&lt;&gt;N/A",$F:$F,"&lt;="&amp;_xlpm.p,$G:$G,"&gt;="&amp;_xlpm.p)))))</f>
        <v>12.5</v>
      </c>
      <c r="I87" t="s">
        <v>14</v>
      </c>
      <c r="J87" t="s">
        <v>5000</v>
      </c>
      <c r="K87" s="9" t="s">
        <v>5001</v>
      </c>
      <c r="L87" s="5" t="s">
        <v>7</v>
      </c>
      <c r="M87" s="5" t="s">
        <v>6388</v>
      </c>
      <c r="N87" s="5" t="s">
        <v>11543</v>
      </c>
      <c r="O87" s="5" t="s">
        <v>5072</v>
      </c>
      <c r="P87" s="5" t="s">
        <v>8021</v>
      </c>
      <c r="Q87" s="5"/>
      <c r="R87" s="5" t="b">
        <v>1</v>
      </c>
    </row>
    <row r="88" spans="1:18">
      <c r="A88" t="s">
        <v>3006</v>
      </c>
      <c r="B88" t="s">
        <v>3410</v>
      </c>
      <c r="C88" s="5" t="s">
        <v>7813</v>
      </c>
      <c r="D88" s="1">
        <v>2</v>
      </c>
      <c r="E88" s="1">
        <v>4</v>
      </c>
      <c r="F88" s="1">
        <v>22</v>
      </c>
      <c r="G88" s="1">
        <v>42</v>
      </c>
      <c r="H88" s="8" cm="1">
        <f t="array" ref="H88">_xlfn.LET(_xlpm.s,IFERROR(--F88,""),_xlpm.e,IFERROR(--G88,""),IF(OR(_xlpm.s="",_xlpm.e="",_xlpm.e&lt;_xlpm.s),"",_xlfn.LET(_xlpm.p,_xlfn.SEQUENCE(_xlpm.e-_xlpm.s+1,1,_xlpm.s,1),SUM(1/COUNTIFS($D:$D,D88,$E:$E,E88,$F:$F,"&lt;&gt;N/A",$G:$G,"&lt;&gt;N/A",$F:$F,"&lt;="&amp;_xlpm.p,$G:$G,"&gt;="&amp;_xlpm.p)))))</f>
        <v>21</v>
      </c>
      <c r="I88" t="s">
        <v>14</v>
      </c>
      <c r="J88" t="s">
        <v>556</v>
      </c>
      <c r="K88" s="5" t="s">
        <v>7</v>
      </c>
      <c r="L88" s="5" t="s">
        <v>7</v>
      </c>
      <c r="M88" s="5" t="s">
        <v>6388</v>
      </c>
      <c r="N88" s="5" t="s">
        <v>11544</v>
      </c>
      <c r="O88" s="5" t="s">
        <v>5072</v>
      </c>
      <c r="P88" s="5" t="s">
        <v>8021</v>
      </c>
      <c r="Q88" s="5"/>
      <c r="R88" s="5" t="b">
        <v>1</v>
      </c>
    </row>
    <row r="89" spans="1:18">
      <c r="A89" t="s">
        <v>3006</v>
      </c>
      <c r="B89" t="s">
        <v>3411</v>
      </c>
      <c r="C89" s="5" t="s">
        <v>7813</v>
      </c>
      <c r="D89" s="1">
        <v>2</v>
      </c>
      <c r="E89" s="1">
        <v>4</v>
      </c>
      <c r="F89" s="1">
        <v>43</v>
      </c>
      <c r="G89" s="1">
        <v>53</v>
      </c>
      <c r="H89" s="8" cm="1">
        <f t="array" ref="H89">_xlfn.LET(_xlpm.s,IFERROR(--F89,""),_xlpm.e,IFERROR(--G89,""),IF(OR(_xlpm.s="",_xlpm.e="",_xlpm.e&lt;_xlpm.s),"",_xlfn.LET(_xlpm.p,_xlfn.SEQUENCE(_xlpm.e-_xlpm.s+1,1,_xlpm.s,1),SUM(1/COUNTIFS($D:$D,D89,$E:$E,E89,$F:$F,"&lt;&gt;N/A",$G:$G,"&lt;&gt;N/A",$F:$F,"&lt;="&amp;_xlpm.p,$G:$G,"&gt;="&amp;_xlpm.p)))))</f>
        <v>10.5</v>
      </c>
      <c r="I89" t="s">
        <v>14</v>
      </c>
      <c r="J89" t="s">
        <v>557</v>
      </c>
      <c r="K89" s="5" t="s">
        <v>7</v>
      </c>
      <c r="L89" s="5" t="s">
        <v>4529</v>
      </c>
      <c r="M89" t="s">
        <v>6389</v>
      </c>
      <c r="N89" s="5" t="s">
        <v>3172</v>
      </c>
      <c r="O89" s="5" t="s">
        <v>5072</v>
      </c>
      <c r="P89" s="5" t="s">
        <v>8092</v>
      </c>
      <c r="Q89" s="5"/>
      <c r="R89" s="5" t="b">
        <v>1</v>
      </c>
    </row>
    <row r="90" spans="1:18">
      <c r="A90" t="s">
        <v>3006</v>
      </c>
      <c r="B90" t="s">
        <v>3412</v>
      </c>
      <c r="C90" s="5" t="s">
        <v>7813</v>
      </c>
      <c r="D90" s="1">
        <v>2</v>
      </c>
      <c r="E90" s="1">
        <v>4</v>
      </c>
      <c r="F90" s="1">
        <v>53</v>
      </c>
      <c r="G90" s="1">
        <v>71</v>
      </c>
      <c r="H90" s="8" cm="1">
        <f t="array" ref="H90">_xlfn.LET(_xlpm.s,IFERROR(--F90,""),_xlpm.e,IFERROR(--G90,""),IF(OR(_xlpm.s="",_xlpm.e="",_xlpm.e&lt;_xlpm.s),"",_xlfn.LET(_xlpm.p,_xlfn.SEQUENCE(_xlpm.e-_xlpm.s+1,1,_xlpm.s,1),SUM(1/COUNTIFS($D:$D,D90,$E:$E,E90,$F:$F,"&lt;&gt;N/A",$G:$G,"&lt;&gt;N/A",$F:$F,"&lt;="&amp;_xlpm.p,$G:$G,"&gt;="&amp;_xlpm.p)))))</f>
        <v>18</v>
      </c>
      <c r="I90" t="s">
        <v>14</v>
      </c>
      <c r="J90" t="s">
        <v>558</v>
      </c>
      <c r="K90" s="5" t="s">
        <v>4530</v>
      </c>
      <c r="L90" s="5" t="s">
        <v>7</v>
      </c>
      <c r="M90" t="s">
        <v>5009</v>
      </c>
      <c r="N90" s="5" t="s">
        <v>2745</v>
      </c>
      <c r="O90" s="5" t="s">
        <v>5072</v>
      </c>
      <c r="P90" s="5" t="s">
        <v>8021</v>
      </c>
      <c r="Q90" s="5"/>
      <c r="R90" s="5" t="b">
        <v>1</v>
      </c>
    </row>
    <row r="91" spans="1:18">
      <c r="A91" t="s">
        <v>3006</v>
      </c>
      <c r="B91" t="s">
        <v>3413</v>
      </c>
      <c r="C91" s="5" t="s">
        <v>7813</v>
      </c>
      <c r="D91" s="1">
        <v>2</v>
      </c>
      <c r="E91" s="1">
        <v>4</v>
      </c>
      <c r="F91" s="1">
        <v>71</v>
      </c>
      <c r="G91" s="1">
        <v>84</v>
      </c>
      <c r="H91" s="8" cm="1">
        <f t="array" ref="H91">_xlfn.LET(_xlpm.s,IFERROR(--F91,""),_xlpm.e,IFERROR(--G91,""),IF(OR(_xlpm.s="",_xlpm.e="",_xlpm.e&lt;_xlpm.s),"",_xlfn.LET(_xlpm.p,_xlfn.SEQUENCE(_xlpm.e-_xlpm.s+1,1,_xlpm.s,1),SUM(1/COUNTIFS($D:$D,D91,$E:$E,E91,$F:$F,"&lt;&gt;N/A",$G:$G,"&lt;&gt;N/A",$F:$F,"&lt;="&amp;_xlpm.p,$G:$G,"&gt;="&amp;_xlpm.p)))))</f>
        <v>13</v>
      </c>
      <c r="I91" t="s">
        <v>14</v>
      </c>
      <c r="J91" t="s">
        <v>559</v>
      </c>
      <c r="K91" s="5" t="s">
        <v>4531</v>
      </c>
      <c r="L91" s="5" t="s">
        <v>7</v>
      </c>
      <c r="M91" t="s">
        <v>5535</v>
      </c>
      <c r="N91" s="5" t="s">
        <v>6390</v>
      </c>
      <c r="O91" s="5" t="s">
        <v>5072</v>
      </c>
      <c r="P91" s="5" t="s">
        <v>8021</v>
      </c>
      <c r="Q91" s="5"/>
      <c r="R91" s="5" t="b">
        <v>1</v>
      </c>
    </row>
    <row r="92" spans="1:18">
      <c r="A92" t="s">
        <v>3006</v>
      </c>
      <c r="B92" t="s">
        <v>3414</v>
      </c>
      <c r="C92" s="5" t="s">
        <v>7813</v>
      </c>
      <c r="D92" s="1">
        <v>2</v>
      </c>
      <c r="E92" s="1">
        <v>4</v>
      </c>
      <c r="F92" s="1">
        <v>84</v>
      </c>
      <c r="G92" s="1">
        <v>84</v>
      </c>
      <c r="H92" s="8" cm="1">
        <f t="array" ref="H92">_xlfn.LET(_xlpm.s,IFERROR(--F92,""),_xlpm.e,IFERROR(--G92,""),IF(OR(_xlpm.s="",_xlpm.e="",_xlpm.e&lt;_xlpm.s),"",_xlfn.LET(_xlpm.p,_xlfn.SEQUENCE(_xlpm.e-_xlpm.s+1,1,_xlpm.s,1),SUM(1/COUNTIFS($D:$D,D92,$E:$E,E92,$F:$F,"&lt;&gt;N/A",$G:$G,"&lt;&gt;N/A",$F:$F,"&lt;="&amp;_xlpm.p,$G:$G,"&gt;="&amp;_xlpm.p)))))</f>
        <v>0.5</v>
      </c>
      <c r="I92" t="s">
        <v>205</v>
      </c>
      <c r="J92" t="s">
        <v>561</v>
      </c>
      <c r="K92" s="5" t="s">
        <v>7</v>
      </c>
      <c r="L92" s="5" t="s">
        <v>7</v>
      </c>
      <c r="M92" t="s">
        <v>6397</v>
      </c>
      <c r="N92" s="5" t="s">
        <v>6396</v>
      </c>
      <c r="O92" s="5" t="s">
        <v>11522</v>
      </c>
      <c r="P92" s="5" t="s">
        <v>8021</v>
      </c>
      <c r="Q92" s="5"/>
      <c r="R92" s="5" t="b">
        <v>1</v>
      </c>
    </row>
    <row r="93" spans="1:18">
      <c r="A93" t="s">
        <v>3006</v>
      </c>
      <c r="B93" t="s">
        <v>3415</v>
      </c>
      <c r="C93" s="5" t="s">
        <v>7813</v>
      </c>
      <c r="D93" s="1">
        <v>2</v>
      </c>
      <c r="E93" s="1">
        <v>4</v>
      </c>
      <c r="F93" s="1">
        <v>85</v>
      </c>
      <c r="G93" s="1">
        <v>85</v>
      </c>
      <c r="H93" s="8" cm="1">
        <f t="array" ref="H93">_xlfn.LET(_xlpm.s,IFERROR(--F93,""),_xlpm.e,IFERROR(--G93,""),IF(OR(_xlpm.s="",_xlpm.e="",_xlpm.e&lt;_xlpm.s),"",_xlfn.LET(_xlpm.p,_xlfn.SEQUENCE(_xlpm.e-_xlpm.s+1,1,_xlpm.s,1),SUM(1/COUNTIFS($D:$D,D93,$E:$E,E93,$F:$F,"&lt;&gt;N/A",$G:$G,"&lt;&gt;N/A",$F:$F,"&lt;="&amp;_xlpm.p,$G:$G,"&gt;="&amp;_xlpm.p)))))</f>
        <v>1</v>
      </c>
      <c r="I93" t="s">
        <v>205</v>
      </c>
      <c r="J93" t="s">
        <v>560</v>
      </c>
      <c r="K93" s="5" t="s">
        <v>7</v>
      </c>
      <c r="L93" s="5" t="s">
        <v>7</v>
      </c>
      <c r="M93" s="5" t="s">
        <v>10152</v>
      </c>
      <c r="N93" s="5" t="s">
        <v>2744</v>
      </c>
      <c r="O93" s="5" t="s">
        <v>11522</v>
      </c>
      <c r="P93" s="5" t="s">
        <v>8021</v>
      </c>
      <c r="Q93" s="5"/>
      <c r="R93" s="5" t="b">
        <v>1</v>
      </c>
    </row>
    <row r="94" spans="1:18">
      <c r="A94" t="s">
        <v>3006</v>
      </c>
      <c r="B94" t="s">
        <v>3416</v>
      </c>
      <c r="C94" s="5" t="s">
        <v>7813</v>
      </c>
      <c r="D94" s="1">
        <v>2</v>
      </c>
      <c r="E94" s="1">
        <v>4</v>
      </c>
      <c r="F94" s="1">
        <v>86</v>
      </c>
      <c r="G94" s="1">
        <v>87</v>
      </c>
      <c r="H94" s="8" cm="1">
        <f t="array" ref="H94">_xlfn.LET(_xlpm.s,IFERROR(--F94,""),_xlpm.e,IFERROR(--G94,""),IF(OR(_xlpm.s="",_xlpm.e="",_xlpm.e&lt;_xlpm.s),"",_xlfn.LET(_xlpm.p,_xlfn.SEQUENCE(_xlpm.e-_xlpm.s+1,1,_xlpm.s,1),SUM(1/COUNTIFS($D:$D,D94,$E:$E,E94,$F:$F,"&lt;&gt;N/A",$G:$G,"&lt;&gt;N/A",$F:$F,"&lt;="&amp;_xlpm.p,$G:$G,"&gt;="&amp;_xlpm.p)))))</f>
        <v>1.5</v>
      </c>
      <c r="I94" t="s">
        <v>205</v>
      </c>
      <c r="J94" t="s">
        <v>2743</v>
      </c>
      <c r="K94" s="5" t="s">
        <v>7</v>
      </c>
      <c r="L94" s="5" t="s">
        <v>4524</v>
      </c>
      <c r="M94" t="s">
        <v>5548</v>
      </c>
      <c r="N94" s="5" t="s">
        <v>7422</v>
      </c>
      <c r="O94" s="5" t="s">
        <v>5072</v>
      </c>
      <c r="P94" s="5" t="s">
        <v>8021</v>
      </c>
      <c r="Q94" s="5"/>
      <c r="R94" s="5" t="b">
        <v>1</v>
      </c>
    </row>
    <row r="95" spans="1:18">
      <c r="A95" t="s">
        <v>3006</v>
      </c>
      <c r="B95" t="s">
        <v>3417</v>
      </c>
      <c r="C95" s="5" t="s">
        <v>7813</v>
      </c>
      <c r="D95" s="1">
        <v>2</v>
      </c>
      <c r="E95" s="1">
        <v>4</v>
      </c>
      <c r="F95" s="1">
        <v>87</v>
      </c>
      <c r="G95" s="1">
        <v>90</v>
      </c>
      <c r="H95" s="8" cm="1">
        <f t="array" ref="H95">_xlfn.LET(_xlpm.s,IFERROR(--F95,""),_xlpm.e,IFERROR(--G95,""),IF(OR(_xlpm.s="",_xlpm.e="",_xlpm.e&lt;_xlpm.s),"",_xlfn.LET(_xlpm.p,_xlfn.SEQUENCE(_xlpm.e-_xlpm.s+1,1,_xlpm.s,1),SUM(1/COUNTIFS($D:$D,D95,$E:$E,E95,$F:$F,"&lt;&gt;N/A",$G:$G,"&lt;&gt;N/A",$F:$F,"&lt;="&amp;_xlpm.p,$G:$G,"&gt;="&amp;_xlpm.p)))))</f>
        <v>3.5</v>
      </c>
      <c r="I95" t="s">
        <v>205</v>
      </c>
      <c r="J95" t="s">
        <v>562</v>
      </c>
      <c r="K95" s="5" t="s">
        <v>7</v>
      </c>
      <c r="L95" s="5" t="s">
        <v>7</v>
      </c>
      <c r="M95" t="s">
        <v>6394</v>
      </c>
      <c r="N95" s="5" t="s">
        <v>6395</v>
      </c>
      <c r="O95" s="5" t="s">
        <v>5072</v>
      </c>
      <c r="P95" s="5" t="s">
        <v>8021</v>
      </c>
      <c r="Q95" s="5"/>
      <c r="R95" s="5" t="b">
        <v>1</v>
      </c>
    </row>
    <row r="96" spans="1:18">
      <c r="A96" t="s">
        <v>3006</v>
      </c>
      <c r="B96" t="s">
        <v>3418</v>
      </c>
      <c r="C96" s="5" t="s">
        <v>7813</v>
      </c>
      <c r="D96" s="1">
        <v>2</v>
      </c>
      <c r="E96" s="1">
        <v>4</v>
      </c>
      <c r="F96" s="1">
        <v>91</v>
      </c>
      <c r="G96" s="1">
        <v>103</v>
      </c>
      <c r="H96" s="8" cm="1">
        <f t="array" ref="H96">_xlfn.LET(_xlpm.s,IFERROR(--F96,""),_xlpm.e,IFERROR(--G96,""),IF(OR(_xlpm.s="",_xlpm.e="",_xlpm.e&lt;_xlpm.s),"",_xlfn.LET(_xlpm.p,_xlfn.SEQUENCE(_xlpm.e-_xlpm.s+1,1,_xlpm.s,1),SUM(1/COUNTIFS($D:$D,D96,$E:$E,E96,$F:$F,"&lt;&gt;N/A",$G:$G,"&lt;&gt;N/A",$F:$F,"&lt;="&amp;_xlpm.p,$G:$G,"&gt;="&amp;_xlpm.p)))))</f>
        <v>12.5</v>
      </c>
      <c r="I96" t="s">
        <v>208</v>
      </c>
      <c r="J96" t="s">
        <v>563</v>
      </c>
      <c r="K96" s="5" t="s">
        <v>4532</v>
      </c>
      <c r="L96" s="5" t="s">
        <v>7</v>
      </c>
      <c r="M96" t="s">
        <v>6393</v>
      </c>
      <c r="N96" s="5" t="s">
        <v>2742</v>
      </c>
      <c r="O96" s="5" t="s">
        <v>5072</v>
      </c>
      <c r="P96" s="5" t="s">
        <v>8021</v>
      </c>
      <c r="Q96" s="5"/>
      <c r="R96" s="5" t="b">
        <v>1</v>
      </c>
    </row>
    <row r="97" spans="1:18">
      <c r="A97" t="s">
        <v>3006</v>
      </c>
      <c r="B97" t="s">
        <v>3419</v>
      </c>
      <c r="C97" s="5" t="s">
        <v>7813</v>
      </c>
      <c r="D97" s="1">
        <v>2</v>
      </c>
      <c r="E97" s="1">
        <v>4</v>
      </c>
      <c r="F97" s="1">
        <v>103</v>
      </c>
      <c r="G97" s="1">
        <v>109</v>
      </c>
      <c r="H97" s="8" cm="1">
        <f t="array" ref="H97">_xlfn.LET(_xlpm.s,IFERROR(--F97,""),_xlpm.e,IFERROR(--G97,""),IF(OR(_xlpm.s="",_xlpm.e="",_xlpm.e&lt;_xlpm.s),"",_xlfn.LET(_xlpm.p,_xlfn.SEQUENCE(_xlpm.e-_xlpm.s+1,1,_xlpm.s,1),SUM(1/COUNTIFS($D:$D,D97,$E:$E,E97,$F:$F,"&lt;&gt;N/A",$G:$G,"&lt;&gt;N/A",$F:$F,"&lt;="&amp;_xlpm.p,$G:$G,"&gt;="&amp;_xlpm.p)))))</f>
        <v>6</v>
      </c>
      <c r="I97" t="s">
        <v>208</v>
      </c>
      <c r="J97" t="s">
        <v>564</v>
      </c>
      <c r="K97" s="5" t="s">
        <v>4533</v>
      </c>
      <c r="L97" s="5" t="s">
        <v>7</v>
      </c>
      <c r="M97" t="s">
        <v>6393</v>
      </c>
      <c r="N97" s="5" t="s">
        <v>6402</v>
      </c>
      <c r="O97" s="5" t="s">
        <v>5072</v>
      </c>
      <c r="P97" s="5" t="s">
        <v>8021</v>
      </c>
      <c r="Q97" s="5"/>
      <c r="R97" s="5" t="b">
        <v>1</v>
      </c>
    </row>
    <row r="98" spans="1:18">
      <c r="A98" t="s">
        <v>3006</v>
      </c>
      <c r="B98" t="s">
        <v>3420</v>
      </c>
      <c r="C98" s="5" t="s">
        <v>7813</v>
      </c>
      <c r="D98" s="1">
        <v>2</v>
      </c>
      <c r="E98" s="1">
        <v>4</v>
      </c>
      <c r="F98" s="1">
        <v>109</v>
      </c>
      <c r="G98" s="1">
        <v>113</v>
      </c>
      <c r="H98" s="8" cm="1">
        <f t="array" ref="H98">_xlfn.LET(_xlpm.s,IFERROR(--F98,""),_xlpm.e,IFERROR(--G98,""),IF(OR(_xlpm.s="",_xlpm.e="",_xlpm.e&lt;_xlpm.s),"",_xlfn.LET(_xlpm.p,_xlfn.SEQUENCE(_xlpm.e-_xlpm.s+1,1,_xlpm.s,1),SUM(1/COUNTIFS($D:$D,D98,$E:$E,E98,$F:$F,"&lt;&gt;N/A",$G:$G,"&lt;&gt;N/A",$F:$F,"&lt;="&amp;_xlpm.p,$G:$G,"&gt;="&amp;_xlpm.p)))))</f>
        <v>4</v>
      </c>
      <c r="I98" t="s">
        <v>208</v>
      </c>
      <c r="J98" t="s">
        <v>6391</v>
      </c>
      <c r="K98" s="5" t="s">
        <v>7</v>
      </c>
      <c r="L98" s="5" t="s">
        <v>7</v>
      </c>
      <c r="M98" s="5" t="s">
        <v>5020</v>
      </c>
      <c r="N98" s="5" t="s">
        <v>11545</v>
      </c>
      <c r="O98" s="5" t="s">
        <v>11522</v>
      </c>
      <c r="P98" s="5" t="s">
        <v>8021</v>
      </c>
      <c r="Q98" s="5"/>
      <c r="R98" s="5" t="b">
        <v>1</v>
      </c>
    </row>
    <row r="99" spans="1:18">
      <c r="A99" t="s">
        <v>3006</v>
      </c>
      <c r="B99" t="s">
        <v>3421</v>
      </c>
      <c r="C99" s="5" t="s">
        <v>7813</v>
      </c>
      <c r="D99" s="1">
        <v>2</v>
      </c>
      <c r="E99" s="1">
        <v>4</v>
      </c>
      <c r="F99" s="1">
        <v>113</v>
      </c>
      <c r="G99" s="1">
        <v>118</v>
      </c>
      <c r="H99" s="8" cm="1">
        <f t="array" ref="H99">_xlfn.LET(_xlpm.s,IFERROR(--F99,""),_xlpm.e,IFERROR(--G99,""),IF(OR(_xlpm.s="",_xlpm.e="",_xlpm.e&lt;_xlpm.s),"",_xlfn.LET(_xlpm.p,_xlfn.SEQUENCE(_xlpm.e-_xlpm.s+1,1,_xlpm.s,1),SUM(1/COUNTIFS($D:$D,D99,$E:$E,E99,$F:$F,"&lt;&gt;N/A",$G:$G,"&lt;&gt;N/A",$F:$F,"&lt;="&amp;_xlpm.p,$G:$G,"&gt;="&amp;_xlpm.p)))))</f>
        <v>5</v>
      </c>
      <c r="I99" t="s">
        <v>210</v>
      </c>
      <c r="J99" t="s">
        <v>6392</v>
      </c>
      <c r="K99" s="5" t="s">
        <v>7</v>
      </c>
      <c r="L99" s="5" t="s">
        <v>7</v>
      </c>
      <c r="M99" t="s">
        <v>6403</v>
      </c>
      <c r="N99" s="5" t="s">
        <v>6404</v>
      </c>
      <c r="O99" s="5" t="s">
        <v>5072</v>
      </c>
      <c r="P99" s="5" t="s">
        <v>8021</v>
      </c>
      <c r="Q99" s="5"/>
      <c r="R99" s="5" t="b">
        <v>1</v>
      </c>
    </row>
    <row r="100" spans="1:18">
      <c r="A100" t="s">
        <v>3006</v>
      </c>
      <c r="B100" t="s">
        <v>3422</v>
      </c>
      <c r="C100" s="5" t="s">
        <v>7813</v>
      </c>
      <c r="D100" s="1">
        <v>2</v>
      </c>
      <c r="E100" s="1">
        <v>4</v>
      </c>
      <c r="F100" s="1">
        <v>118</v>
      </c>
      <c r="G100" s="1">
        <v>121</v>
      </c>
      <c r="H100" s="8" cm="1">
        <f t="array" ref="H100">_xlfn.LET(_xlpm.s,IFERROR(--F100,""),_xlpm.e,IFERROR(--G100,""),IF(OR(_xlpm.s="",_xlpm.e="",_xlpm.e&lt;_xlpm.s),"",_xlfn.LET(_xlpm.p,_xlfn.SEQUENCE(_xlpm.e-_xlpm.s+1,1,_xlpm.s,1),SUM(1/COUNTIFS($D:$D,D100,$E:$E,E100,$F:$F,"&lt;&gt;N/A",$G:$G,"&lt;&gt;N/A",$F:$F,"&lt;="&amp;_xlpm.p,$G:$G,"&gt;="&amp;_xlpm.p)))))</f>
        <v>3</v>
      </c>
      <c r="I100" t="s">
        <v>210</v>
      </c>
      <c r="J100" t="s">
        <v>6398</v>
      </c>
      <c r="K100" s="5" t="s">
        <v>7</v>
      </c>
      <c r="L100" s="5" t="s">
        <v>7</v>
      </c>
      <c r="M100" t="s">
        <v>6400</v>
      </c>
      <c r="N100" s="5" t="s">
        <v>3173</v>
      </c>
      <c r="O100" s="5" t="s">
        <v>5072</v>
      </c>
      <c r="P100" s="5" t="s">
        <v>8092</v>
      </c>
      <c r="Q100" s="5"/>
      <c r="R100" s="5" t="b">
        <v>1</v>
      </c>
    </row>
    <row r="101" spans="1:18">
      <c r="A101" t="s">
        <v>3006</v>
      </c>
      <c r="B101" t="s">
        <v>3423</v>
      </c>
      <c r="C101" s="5" t="s">
        <v>7813</v>
      </c>
      <c r="D101" s="1">
        <v>2</v>
      </c>
      <c r="E101" s="1">
        <v>4</v>
      </c>
      <c r="F101" s="1">
        <v>121</v>
      </c>
      <c r="G101" s="1">
        <v>122</v>
      </c>
      <c r="H101" s="8" cm="1">
        <f t="array" ref="H101">_xlfn.LET(_xlpm.s,IFERROR(--F101,""),_xlpm.e,IFERROR(--G101,""),IF(OR(_xlpm.s="",_xlpm.e="",_xlpm.e&lt;_xlpm.s),"",_xlfn.LET(_xlpm.p,_xlfn.SEQUENCE(_xlpm.e-_xlpm.s+1,1,_xlpm.s,1),SUM(1/COUNTIFS($D:$D,D101,$E:$E,E101,$F:$F,"&lt;&gt;N/A",$G:$G,"&lt;&gt;N/A",$F:$F,"&lt;="&amp;_xlpm.p,$G:$G,"&gt;="&amp;_xlpm.p)))))</f>
        <v>1</v>
      </c>
      <c r="I101" t="s">
        <v>210</v>
      </c>
      <c r="J101" t="s">
        <v>6399</v>
      </c>
      <c r="K101" s="5" t="s">
        <v>7</v>
      </c>
      <c r="L101" s="5" t="s">
        <v>7</v>
      </c>
      <c r="M101" t="s">
        <v>6400</v>
      </c>
      <c r="N101" s="5" t="s">
        <v>3174</v>
      </c>
      <c r="O101" s="5" t="s">
        <v>5072</v>
      </c>
      <c r="P101" s="5" t="s">
        <v>8092</v>
      </c>
      <c r="Q101" s="5"/>
      <c r="R101" s="5" t="b">
        <v>1</v>
      </c>
    </row>
    <row r="102" spans="1:18">
      <c r="A102" t="s">
        <v>3006</v>
      </c>
      <c r="B102" t="s">
        <v>5003</v>
      </c>
      <c r="C102" s="5" t="s">
        <v>7813</v>
      </c>
      <c r="D102" s="1">
        <v>2</v>
      </c>
      <c r="E102" s="1">
        <v>4</v>
      </c>
      <c r="F102" s="1">
        <v>122</v>
      </c>
      <c r="G102" s="1">
        <v>124</v>
      </c>
      <c r="H102" s="8" cm="1">
        <f t="array" ref="H102">_xlfn.LET(_xlpm.s,IFERROR(--F102,""),_xlpm.e,IFERROR(--G102,""),IF(OR(_xlpm.s="",_xlpm.e="",_xlpm.e&lt;_xlpm.s),"",_xlfn.LET(_xlpm.p,_xlfn.SEQUENCE(_xlpm.e-_xlpm.s+1,1,_xlpm.s,1),SUM(1/COUNTIFS($D:$D,D102,$E:$E,E102,$F:$F,"&lt;&gt;N/A",$G:$G,"&lt;&gt;N/A",$F:$F,"&lt;="&amp;_xlpm.p,$G:$G,"&gt;="&amp;_xlpm.p)))))</f>
        <v>2.5</v>
      </c>
      <c r="I102" t="s">
        <v>183</v>
      </c>
      <c r="J102" t="s">
        <v>27</v>
      </c>
      <c r="K102" s="5" t="s">
        <v>4508</v>
      </c>
      <c r="L102" s="5" t="s">
        <v>7</v>
      </c>
      <c r="M102" s="5" t="s">
        <v>7</v>
      </c>
      <c r="N102" s="5" t="s">
        <v>7</v>
      </c>
      <c r="O102" s="5" t="s">
        <v>778</v>
      </c>
      <c r="P102" s="5" t="s">
        <v>7834</v>
      </c>
      <c r="Q102" s="5"/>
      <c r="R102" s="5" t="b">
        <v>1</v>
      </c>
    </row>
    <row r="103" spans="1:18">
      <c r="A103" t="s">
        <v>3006</v>
      </c>
      <c r="B103" t="s">
        <v>3424</v>
      </c>
      <c r="C103" s="5" t="s">
        <v>7814</v>
      </c>
      <c r="D103" s="1">
        <v>2</v>
      </c>
      <c r="E103" s="1">
        <v>5</v>
      </c>
      <c r="F103" s="1">
        <v>125</v>
      </c>
      <c r="G103" s="1">
        <v>154</v>
      </c>
      <c r="H103" s="8" cm="1">
        <f t="array" ref="H103">_xlfn.LET(_xlpm.s,IFERROR(--F103,""),_xlpm.e,IFERROR(--G103,""),IF(OR(_xlpm.s="",_xlpm.e="",_xlpm.e&lt;_xlpm.s),"",_xlfn.LET(_xlpm.p,_xlfn.SEQUENCE(_xlpm.e-_xlpm.s+1,1,_xlpm.s,1),SUM(1/COUNTIFS($D:$D,D103,$E:$E,E103,$F:$F,"&lt;&gt;N/A",$G:$G,"&lt;&gt;N/A",$F:$F,"&lt;="&amp;_xlpm.p,$G:$G,"&gt;="&amp;_xlpm.p)))))</f>
        <v>30</v>
      </c>
      <c r="I103" t="s">
        <v>14</v>
      </c>
      <c r="J103" t="s">
        <v>1244</v>
      </c>
      <c r="K103" s="5" t="s">
        <v>4534</v>
      </c>
      <c r="L103" s="5" t="s">
        <v>7</v>
      </c>
      <c r="M103" t="s">
        <v>5009</v>
      </c>
      <c r="N103" s="5" t="s">
        <v>6401</v>
      </c>
      <c r="O103" s="5" t="s">
        <v>5072</v>
      </c>
      <c r="P103" s="5" t="s">
        <v>8021</v>
      </c>
      <c r="Q103" s="5"/>
      <c r="R103" s="5" t="b">
        <v>1</v>
      </c>
    </row>
    <row r="104" spans="1:18">
      <c r="A104" t="s">
        <v>3006</v>
      </c>
      <c r="B104" t="s">
        <v>3425</v>
      </c>
      <c r="C104" s="5" t="s">
        <v>7814</v>
      </c>
      <c r="D104" s="1">
        <v>2</v>
      </c>
      <c r="E104" s="1">
        <v>5</v>
      </c>
      <c r="F104" s="1">
        <v>155</v>
      </c>
      <c r="G104" s="1">
        <v>158</v>
      </c>
      <c r="H104" s="8" cm="1">
        <f t="array" ref="H104">_xlfn.LET(_xlpm.s,IFERROR(--F104,""),_xlpm.e,IFERROR(--G104,""),IF(OR(_xlpm.s="",_xlpm.e="",_xlpm.e&lt;_xlpm.s),"",_xlfn.LET(_xlpm.p,_xlfn.SEQUENCE(_xlpm.e-_xlpm.s+1,1,_xlpm.s,1),SUM(1/COUNTIFS($D:$D,D104,$E:$E,E104,$F:$F,"&lt;&gt;N/A",$G:$G,"&lt;&gt;N/A",$F:$F,"&lt;="&amp;_xlpm.p,$G:$G,"&gt;="&amp;_xlpm.p)))))</f>
        <v>4</v>
      </c>
      <c r="I104" t="s">
        <v>14</v>
      </c>
      <c r="J104" t="s">
        <v>6406</v>
      </c>
      <c r="K104" s="5" t="s">
        <v>7</v>
      </c>
      <c r="L104" s="5" t="s">
        <v>7</v>
      </c>
      <c r="M104" s="5" t="s">
        <v>7</v>
      </c>
      <c r="N104" t="s">
        <v>8042</v>
      </c>
      <c r="O104" s="5" t="s">
        <v>5072</v>
      </c>
      <c r="P104" s="5" t="s">
        <v>8019</v>
      </c>
      <c r="Q104" s="5"/>
      <c r="R104" s="5" t="b">
        <v>1</v>
      </c>
    </row>
    <row r="105" spans="1:18">
      <c r="A105" t="s">
        <v>3006</v>
      </c>
      <c r="B105" t="s">
        <v>3426</v>
      </c>
      <c r="C105" s="5" t="s">
        <v>7814</v>
      </c>
      <c r="D105" s="1">
        <v>2</v>
      </c>
      <c r="E105" s="1">
        <v>5</v>
      </c>
      <c r="F105" s="1">
        <v>159</v>
      </c>
      <c r="G105" s="1">
        <v>161</v>
      </c>
      <c r="H105" s="8" cm="1">
        <f t="array" ref="H105">_xlfn.LET(_xlpm.s,IFERROR(--F105,""),_xlpm.e,IFERROR(--G105,""),IF(OR(_xlpm.s="",_xlpm.e="",_xlpm.e&lt;_xlpm.s),"",_xlfn.LET(_xlpm.p,_xlfn.SEQUENCE(_xlpm.e-_xlpm.s+1,1,_xlpm.s,1),SUM(1/COUNTIFS($D:$D,D105,$E:$E,E105,$F:$F,"&lt;&gt;N/A",$G:$G,"&lt;&gt;N/A",$F:$F,"&lt;="&amp;_xlpm.p,$G:$G,"&gt;="&amp;_xlpm.p)))))</f>
        <v>3</v>
      </c>
      <c r="I105" t="s">
        <v>14</v>
      </c>
      <c r="J105" t="s">
        <v>1246</v>
      </c>
      <c r="K105" s="5" t="s">
        <v>565</v>
      </c>
      <c r="L105" s="5" t="s">
        <v>7</v>
      </c>
      <c r="M105" t="s">
        <v>6405</v>
      </c>
      <c r="N105" s="5" t="s">
        <v>2746</v>
      </c>
      <c r="O105" s="5" t="s">
        <v>5072</v>
      </c>
      <c r="P105" s="5" t="s">
        <v>8021</v>
      </c>
      <c r="Q105" s="5"/>
      <c r="R105" s="5" t="b">
        <v>1</v>
      </c>
    </row>
    <row r="106" spans="1:18">
      <c r="A106" t="s">
        <v>3006</v>
      </c>
      <c r="B106" t="s">
        <v>3427</v>
      </c>
      <c r="C106" s="5" t="s">
        <v>7814</v>
      </c>
      <c r="D106" s="1">
        <v>2</v>
      </c>
      <c r="E106" s="1">
        <v>5</v>
      </c>
      <c r="F106" s="1">
        <v>162</v>
      </c>
      <c r="G106" s="1">
        <v>169</v>
      </c>
      <c r="H106" s="8" cm="1">
        <f t="array" ref="H106">_xlfn.LET(_xlpm.s,IFERROR(--F106,""),_xlpm.e,IFERROR(--G106,""),IF(OR(_xlpm.s="",_xlpm.e="",_xlpm.e&lt;_xlpm.s),"",_xlfn.LET(_xlpm.p,_xlfn.SEQUENCE(_xlpm.e-_xlpm.s+1,1,_xlpm.s,1),SUM(1/COUNTIFS($D:$D,D106,$E:$E,E106,$F:$F,"&lt;&gt;N/A",$G:$G,"&lt;&gt;N/A",$F:$F,"&lt;="&amp;_xlpm.p,$G:$G,"&gt;="&amp;_xlpm.p)))))</f>
        <v>8</v>
      </c>
      <c r="I106" t="s">
        <v>14</v>
      </c>
      <c r="J106" t="s">
        <v>566</v>
      </c>
      <c r="K106" s="5" t="s">
        <v>4535</v>
      </c>
      <c r="L106" s="5" t="s">
        <v>7</v>
      </c>
      <c r="M106" s="5" t="s">
        <v>7</v>
      </c>
      <c r="N106" s="9" t="s">
        <v>1490</v>
      </c>
      <c r="O106" s="5" t="s">
        <v>5072</v>
      </c>
      <c r="P106" s="5" t="s">
        <v>8034</v>
      </c>
      <c r="Q106" s="5"/>
      <c r="R106" s="5" t="b">
        <v>1</v>
      </c>
    </row>
    <row r="107" spans="1:18">
      <c r="A107" t="s">
        <v>3006</v>
      </c>
      <c r="B107" t="s">
        <v>3428</v>
      </c>
      <c r="C107" s="5" t="s">
        <v>7814</v>
      </c>
      <c r="D107" s="1">
        <v>2</v>
      </c>
      <c r="E107" s="1">
        <v>5</v>
      </c>
      <c r="F107" s="1">
        <v>170</v>
      </c>
      <c r="G107" s="1">
        <v>181</v>
      </c>
      <c r="H107" s="8" cm="1">
        <f t="array" ref="H107">_xlfn.LET(_xlpm.s,IFERROR(--F107,""),_xlpm.e,IFERROR(--G107,""),IF(OR(_xlpm.s="",_xlpm.e="",_xlpm.e&lt;_xlpm.s),"",_xlfn.LET(_xlpm.p,_xlfn.SEQUENCE(_xlpm.e-_xlpm.s+1,1,_xlpm.s,1),SUM(1/COUNTIFS($D:$D,D107,$E:$E,E107,$F:$F,"&lt;&gt;N/A",$G:$G,"&lt;&gt;N/A",$F:$F,"&lt;="&amp;_xlpm.p,$G:$G,"&gt;="&amp;_xlpm.p)))))</f>
        <v>11.5</v>
      </c>
      <c r="I107" t="s">
        <v>200</v>
      </c>
      <c r="J107" t="s">
        <v>567</v>
      </c>
      <c r="K107" s="5" t="s">
        <v>7</v>
      </c>
      <c r="L107" s="5" t="s">
        <v>7</v>
      </c>
      <c r="M107" t="s">
        <v>5535</v>
      </c>
      <c r="N107" s="5" t="s">
        <v>2987</v>
      </c>
      <c r="O107" s="5" t="s">
        <v>5072</v>
      </c>
      <c r="P107" s="5" t="s">
        <v>8021</v>
      </c>
      <c r="Q107" s="5"/>
      <c r="R107" s="5" t="b">
        <v>1</v>
      </c>
    </row>
    <row r="108" spans="1:18">
      <c r="A108" t="s">
        <v>3006</v>
      </c>
      <c r="B108" t="s">
        <v>3429</v>
      </c>
      <c r="C108" s="5" t="s">
        <v>7814</v>
      </c>
      <c r="D108" s="1">
        <v>2</v>
      </c>
      <c r="E108" s="1">
        <v>5</v>
      </c>
      <c r="F108" s="1">
        <v>181</v>
      </c>
      <c r="G108" s="1">
        <v>185</v>
      </c>
      <c r="H108" s="8" cm="1">
        <f t="array" ref="H108">_xlfn.LET(_xlpm.s,IFERROR(--F108,""),_xlpm.e,IFERROR(--G108,""),IF(OR(_xlpm.s="",_xlpm.e="",_xlpm.e&lt;_xlpm.s),"",_xlfn.LET(_xlpm.p,_xlfn.SEQUENCE(_xlpm.e-_xlpm.s+1,1,_xlpm.s,1),SUM(1/COUNTIFS($D:$D,D108,$E:$E,E108,$F:$F,"&lt;&gt;N/A",$G:$G,"&lt;&gt;N/A",$F:$F,"&lt;="&amp;_xlpm.p,$G:$G,"&gt;="&amp;_xlpm.p)))))</f>
        <v>4</v>
      </c>
      <c r="I108" t="s">
        <v>205</v>
      </c>
      <c r="J108" t="s">
        <v>7367</v>
      </c>
      <c r="K108" s="5" t="s">
        <v>7</v>
      </c>
      <c r="L108" s="5" t="s">
        <v>7</v>
      </c>
      <c r="M108" s="5" t="s">
        <v>7</v>
      </c>
      <c r="N108" s="5" t="s">
        <v>2748</v>
      </c>
      <c r="O108" s="5" t="s">
        <v>11522</v>
      </c>
      <c r="P108" s="5" t="s">
        <v>8021</v>
      </c>
      <c r="Q108" s="5"/>
      <c r="R108" s="5" t="b">
        <v>1</v>
      </c>
    </row>
    <row r="109" spans="1:18">
      <c r="A109" t="s">
        <v>3006</v>
      </c>
      <c r="B109" t="s">
        <v>3430</v>
      </c>
      <c r="C109" s="5" t="s">
        <v>7814</v>
      </c>
      <c r="D109" s="1">
        <v>2</v>
      </c>
      <c r="E109" s="1">
        <v>5</v>
      </c>
      <c r="F109" s="1">
        <v>185</v>
      </c>
      <c r="G109" s="1">
        <v>186</v>
      </c>
      <c r="H109" s="8" cm="1">
        <f t="array" ref="H109">_xlfn.LET(_xlpm.s,IFERROR(--F109,""),_xlpm.e,IFERROR(--G109,""),IF(OR(_xlpm.s="",_xlpm.e="",_xlpm.e&lt;_xlpm.s),"",_xlfn.LET(_xlpm.p,_xlfn.SEQUENCE(_xlpm.e-_xlpm.s+1,1,_xlpm.s,1),SUM(1/COUNTIFS($D:$D,D109,$E:$E,E109,$F:$F,"&lt;&gt;N/A",$G:$G,"&lt;&gt;N/A",$F:$F,"&lt;="&amp;_xlpm.p,$G:$G,"&gt;="&amp;_xlpm.p)))))</f>
        <v>1</v>
      </c>
      <c r="I109" t="s">
        <v>205</v>
      </c>
      <c r="J109" t="s">
        <v>1245</v>
      </c>
      <c r="K109" s="5" t="s">
        <v>7</v>
      </c>
      <c r="L109" s="5" t="s">
        <v>7</v>
      </c>
      <c r="M109" s="5" t="s">
        <v>7</v>
      </c>
      <c r="N109" s="5" t="s">
        <v>2747</v>
      </c>
      <c r="O109" s="5" t="s">
        <v>5072</v>
      </c>
      <c r="P109" s="5" t="s">
        <v>8021</v>
      </c>
      <c r="Q109" s="5"/>
      <c r="R109" s="5" t="b">
        <v>1</v>
      </c>
    </row>
    <row r="110" spans="1:18">
      <c r="A110" t="s">
        <v>3006</v>
      </c>
      <c r="B110" t="s">
        <v>3431</v>
      </c>
      <c r="C110" s="5" t="s">
        <v>7814</v>
      </c>
      <c r="D110" s="1">
        <v>2</v>
      </c>
      <c r="E110" s="1">
        <v>5</v>
      </c>
      <c r="F110" s="1">
        <v>186</v>
      </c>
      <c r="G110" s="1">
        <v>189</v>
      </c>
      <c r="H110" s="8" cm="1">
        <f t="array" ref="H110">_xlfn.LET(_xlpm.s,IFERROR(--F110,""),_xlpm.e,IFERROR(--G110,""),IF(OR(_xlpm.s="",_xlpm.e="",_xlpm.e&lt;_xlpm.s),"",_xlfn.LET(_xlpm.p,_xlfn.SEQUENCE(_xlpm.e-_xlpm.s+1,1,_xlpm.s,1),SUM(1/COUNTIFS($D:$D,D110,$E:$E,E110,$F:$F,"&lt;&gt;N/A",$G:$G,"&lt;&gt;N/A",$F:$F,"&lt;="&amp;_xlpm.p,$G:$G,"&gt;="&amp;_xlpm.p)))))</f>
        <v>3</v>
      </c>
      <c r="I110" t="s">
        <v>208</v>
      </c>
      <c r="J110" t="s">
        <v>2735</v>
      </c>
      <c r="K110" s="5" t="s">
        <v>7</v>
      </c>
      <c r="L110" s="5" t="s">
        <v>7</v>
      </c>
      <c r="M110" s="5" t="s">
        <v>7</v>
      </c>
      <c r="N110" s="5" t="s">
        <v>2738</v>
      </c>
      <c r="O110" s="5" t="s">
        <v>11522</v>
      </c>
      <c r="P110" s="5" t="s">
        <v>8021</v>
      </c>
      <c r="Q110" s="5"/>
      <c r="R110" s="5" t="b">
        <v>1</v>
      </c>
    </row>
    <row r="111" spans="1:18">
      <c r="A111" t="s">
        <v>3006</v>
      </c>
      <c r="B111" t="s">
        <v>3432</v>
      </c>
      <c r="C111" s="5" t="s">
        <v>7814</v>
      </c>
      <c r="D111" s="1">
        <v>2</v>
      </c>
      <c r="E111" s="1">
        <v>5</v>
      </c>
      <c r="F111" s="1">
        <v>189</v>
      </c>
      <c r="G111" s="1">
        <v>190</v>
      </c>
      <c r="H111" s="8" cm="1">
        <f t="array" ref="H111">_xlfn.LET(_xlpm.s,IFERROR(--F111,""),_xlpm.e,IFERROR(--G111,""),IF(OR(_xlpm.s="",_xlpm.e="",_xlpm.e&lt;_xlpm.s),"",_xlfn.LET(_xlpm.p,_xlfn.SEQUENCE(_xlpm.e-_xlpm.s+1,1,_xlpm.s,1),SUM(1/COUNTIFS($D:$D,D111,$E:$E,E111,$F:$F,"&lt;&gt;N/A",$G:$G,"&lt;&gt;N/A",$F:$F,"&lt;="&amp;_xlpm.p,$G:$G,"&gt;="&amp;_xlpm.p)))))</f>
        <v>1</v>
      </c>
      <c r="I111" t="s">
        <v>208</v>
      </c>
      <c r="J111" t="s">
        <v>2736</v>
      </c>
      <c r="K111" s="5" t="s">
        <v>7</v>
      </c>
      <c r="L111" s="5" t="s">
        <v>7</v>
      </c>
      <c r="M111" t="s">
        <v>6407</v>
      </c>
      <c r="N111" s="5" t="s">
        <v>2734</v>
      </c>
      <c r="O111" s="5" t="s">
        <v>5072</v>
      </c>
      <c r="P111" s="5" t="s">
        <v>8021</v>
      </c>
      <c r="Q111" s="5"/>
      <c r="R111" s="5" t="b">
        <v>1</v>
      </c>
    </row>
    <row r="112" spans="1:18">
      <c r="A112" t="s">
        <v>3006</v>
      </c>
      <c r="B112" t="s">
        <v>3433</v>
      </c>
      <c r="C112" s="5" t="s">
        <v>7814</v>
      </c>
      <c r="D112" s="1">
        <v>2</v>
      </c>
      <c r="E112" s="1">
        <v>5</v>
      </c>
      <c r="F112" s="1">
        <v>190</v>
      </c>
      <c r="G112" s="1">
        <v>191</v>
      </c>
      <c r="H112" s="8" cm="1">
        <f t="array" ref="H112">_xlfn.LET(_xlpm.s,IFERROR(--F112,""),_xlpm.e,IFERROR(--G112,""),IF(OR(_xlpm.s="",_xlpm.e="",_xlpm.e&lt;_xlpm.s),"",_xlfn.LET(_xlpm.p,_xlfn.SEQUENCE(_xlpm.e-_xlpm.s+1,1,_xlpm.s,1),SUM(1/COUNTIFS($D:$D,D112,$E:$E,E112,$F:$F,"&lt;&gt;N/A",$G:$G,"&lt;&gt;N/A",$F:$F,"&lt;="&amp;_xlpm.p,$G:$G,"&gt;="&amp;_xlpm.p)))))</f>
        <v>1</v>
      </c>
      <c r="I112" t="s">
        <v>208</v>
      </c>
      <c r="J112" t="s">
        <v>2737</v>
      </c>
      <c r="K112" s="5" t="s">
        <v>7</v>
      </c>
      <c r="L112" s="5" t="s">
        <v>7</v>
      </c>
      <c r="M112" s="5" t="s">
        <v>7</v>
      </c>
      <c r="N112" s="20" t="s">
        <v>8043</v>
      </c>
      <c r="O112" s="5" t="s">
        <v>5072</v>
      </c>
      <c r="P112" s="5" t="s">
        <v>8019</v>
      </c>
      <c r="Q112" s="5"/>
      <c r="R112" s="5" t="b">
        <v>1</v>
      </c>
    </row>
    <row r="113" spans="1:18">
      <c r="A113" t="s">
        <v>3006</v>
      </c>
      <c r="B113" t="s">
        <v>3434</v>
      </c>
      <c r="C113" s="5" t="s">
        <v>7814</v>
      </c>
      <c r="D113" s="1">
        <v>2</v>
      </c>
      <c r="E113" s="1">
        <v>5</v>
      </c>
      <c r="F113" s="1">
        <v>191</v>
      </c>
      <c r="G113" s="1">
        <v>194</v>
      </c>
      <c r="H113" s="8" cm="1">
        <f t="array" ref="H113">_xlfn.LET(_xlpm.s,IFERROR(--F113,""),_xlpm.e,IFERROR(--G113,""),IF(OR(_xlpm.s="",_xlpm.e="",_xlpm.e&lt;_xlpm.s),"",_xlfn.LET(_xlpm.p,_xlfn.SEQUENCE(_xlpm.e-_xlpm.s+1,1,_xlpm.s,1),SUM(1/COUNTIFS($D:$D,D113,$E:$E,E113,$F:$F,"&lt;&gt;N/A",$G:$G,"&lt;&gt;N/A",$F:$F,"&lt;="&amp;_xlpm.p,$G:$G,"&gt;="&amp;_xlpm.p)))))</f>
        <v>3</v>
      </c>
      <c r="I113" t="s">
        <v>208</v>
      </c>
      <c r="J113" t="s">
        <v>2741</v>
      </c>
      <c r="K113" s="5" t="s">
        <v>7</v>
      </c>
      <c r="L113" s="5" t="s">
        <v>7</v>
      </c>
      <c r="M113" s="5" t="s">
        <v>7</v>
      </c>
      <c r="N113" s="5" t="s">
        <v>7399</v>
      </c>
      <c r="O113" s="5" t="s">
        <v>11522</v>
      </c>
      <c r="P113" s="5" t="s">
        <v>8019</v>
      </c>
      <c r="Q113" s="5" t="s">
        <v>10451</v>
      </c>
      <c r="R113" s="5" t="b">
        <v>1</v>
      </c>
    </row>
    <row r="114" spans="1:18">
      <c r="A114" t="s">
        <v>3006</v>
      </c>
      <c r="B114" t="s">
        <v>3435</v>
      </c>
      <c r="C114" s="5" t="s">
        <v>7814</v>
      </c>
      <c r="D114" s="1">
        <v>2</v>
      </c>
      <c r="E114" s="1">
        <v>5</v>
      </c>
      <c r="F114" s="1">
        <v>194</v>
      </c>
      <c r="G114" s="1">
        <v>195</v>
      </c>
      <c r="H114" s="8" cm="1">
        <f t="array" ref="H114">_xlfn.LET(_xlpm.s,IFERROR(--F114,""),_xlpm.e,IFERROR(--G114,""),IF(OR(_xlpm.s="",_xlpm.e="",_xlpm.e&lt;_xlpm.s),"",_xlfn.LET(_xlpm.p,_xlfn.SEQUENCE(_xlpm.e-_xlpm.s+1,1,_xlpm.s,1),SUM(1/COUNTIFS($D:$D,D114,$E:$E,E114,$F:$F,"&lt;&gt;N/A",$G:$G,"&lt;&gt;N/A",$F:$F,"&lt;="&amp;_xlpm.p,$G:$G,"&gt;="&amp;_xlpm.p)))))</f>
        <v>1</v>
      </c>
      <c r="I114" t="s">
        <v>208</v>
      </c>
      <c r="J114" t="s">
        <v>2740</v>
      </c>
      <c r="K114" s="5" t="s">
        <v>7</v>
      </c>
      <c r="L114" s="5" t="s">
        <v>7</v>
      </c>
      <c r="M114" t="s">
        <v>7397</v>
      </c>
      <c r="N114" s="5" t="s">
        <v>7420</v>
      </c>
      <c r="O114" s="5" t="s">
        <v>5072</v>
      </c>
      <c r="P114" s="5" t="s">
        <v>8021</v>
      </c>
      <c r="Q114" s="5"/>
      <c r="R114" s="5" t="b">
        <v>1</v>
      </c>
    </row>
    <row r="115" spans="1:18">
      <c r="A115" t="s">
        <v>3006</v>
      </c>
      <c r="B115" t="s">
        <v>3436</v>
      </c>
      <c r="C115" s="5" t="s">
        <v>7814</v>
      </c>
      <c r="D115" s="1">
        <v>2</v>
      </c>
      <c r="E115" s="1">
        <v>5</v>
      </c>
      <c r="F115" s="1">
        <v>195</v>
      </c>
      <c r="G115" s="1">
        <v>198</v>
      </c>
      <c r="H115" s="8" cm="1">
        <f t="array" ref="H115">_xlfn.LET(_xlpm.s,IFERROR(--F115,""),_xlpm.e,IFERROR(--G115,""),IF(OR(_xlpm.s="",_xlpm.e="",_xlpm.e&lt;_xlpm.s),"",_xlfn.LET(_xlpm.p,_xlfn.SEQUENCE(_xlpm.e-_xlpm.s+1,1,_xlpm.s,1),SUM(1/COUNTIFS($D:$D,D115,$E:$E,E115,$F:$F,"&lt;&gt;N/A",$G:$G,"&lt;&gt;N/A",$F:$F,"&lt;="&amp;_xlpm.p,$G:$G,"&gt;="&amp;_xlpm.p)))))</f>
        <v>3</v>
      </c>
      <c r="I115" t="s">
        <v>208</v>
      </c>
      <c r="J115" t="s">
        <v>2739</v>
      </c>
      <c r="K115" s="5" t="s">
        <v>7</v>
      </c>
      <c r="L115" s="5" t="s">
        <v>7</v>
      </c>
      <c r="M115" t="s">
        <v>5065</v>
      </c>
      <c r="N115" s="5" t="s">
        <v>11546</v>
      </c>
      <c r="O115" s="5" t="s">
        <v>11522</v>
      </c>
      <c r="P115" s="5" t="s">
        <v>8021</v>
      </c>
      <c r="Q115" s="5"/>
      <c r="R115" s="5" t="b">
        <v>1</v>
      </c>
    </row>
    <row r="116" spans="1:18">
      <c r="A116" t="s">
        <v>3006</v>
      </c>
      <c r="B116" t="s">
        <v>3437</v>
      </c>
      <c r="C116" s="5" t="s">
        <v>7814</v>
      </c>
      <c r="D116" s="1">
        <v>2</v>
      </c>
      <c r="E116" s="1">
        <v>5</v>
      </c>
      <c r="F116" s="1">
        <v>198</v>
      </c>
      <c r="G116" s="1">
        <v>206</v>
      </c>
      <c r="H116" s="8" cm="1">
        <f t="array" ref="H116">_xlfn.LET(_xlpm.s,IFERROR(--F116,""),_xlpm.e,IFERROR(--G116,""),IF(OR(_xlpm.s="",_xlpm.e="",_xlpm.e&lt;_xlpm.s),"",_xlfn.LET(_xlpm.p,_xlfn.SEQUENCE(_xlpm.e-_xlpm.s+1,1,_xlpm.s,1),SUM(1/COUNTIFS($D:$D,D116,$E:$E,E116,$F:$F,"&lt;&gt;N/A",$G:$G,"&lt;&gt;N/A",$F:$F,"&lt;="&amp;_xlpm.p,$G:$G,"&gt;="&amp;_xlpm.p)))))</f>
        <v>8</v>
      </c>
      <c r="I116" t="s">
        <v>210</v>
      </c>
      <c r="J116" t="s">
        <v>568</v>
      </c>
      <c r="K116" s="5" t="s">
        <v>7</v>
      </c>
      <c r="L116" s="5" t="s">
        <v>7</v>
      </c>
      <c r="M116" s="5" t="s">
        <v>7</v>
      </c>
      <c r="N116" s="5" t="s">
        <v>2731</v>
      </c>
      <c r="O116" s="5" t="s">
        <v>5072</v>
      </c>
      <c r="P116" s="5" t="s">
        <v>8021</v>
      </c>
      <c r="Q116" s="5"/>
      <c r="R116" s="5" t="b">
        <v>1</v>
      </c>
    </row>
    <row r="117" spans="1:18">
      <c r="A117" t="s">
        <v>3006</v>
      </c>
      <c r="B117" t="s">
        <v>5004</v>
      </c>
      <c r="C117" s="5" t="s">
        <v>7814</v>
      </c>
      <c r="D117" s="1">
        <v>2</v>
      </c>
      <c r="E117" s="1">
        <v>5</v>
      </c>
      <c r="F117" s="1">
        <v>206</v>
      </c>
      <c r="G117" s="1">
        <v>234</v>
      </c>
      <c r="H117" s="8" cm="1">
        <f t="array" ref="H117">_xlfn.LET(_xlpm.s,IFERROR(--F117,""),_xlpm.e,IFERROR(--G117,""),IF(OR(_xlpm.s="",_xlpm.e="",_xlpm.e&lt;_xlpm.s),"",_xlfn.LET(_xlpm.p,_xlfn.SEQUENCE(_xlpm.e-_xlpm.s+1,1,_xlpm.s,1),SUM(1/COUNTIFS($D:$D,D117,$E:$E,E117,$F:$F,"&lt;&gt;N/A",$G:$G,"&lt;&gt;N/A",$F:$F,"&lt;="&amp;_xlpm.p,$G:$G,"&gt;="&amp;_xlpm.p)))))</f>
        <v>28.5</v>
      </c>
      <c r="I117" t="s">
        <v>210</v>
      </c>
      <c r="J117" t="s">
        <v>1487</v>
      </c>
      <c r="K117" s="5" t="s">
        <v>10737</v>
      </c>
      <c r="L117" s="5" t="s">
        <v>5556</v>
      </c>
      <c r="M117" s="5" t="s">
        <v>5063</v>
      </c>
      <c r="N117" s="5" t="s">
        <v>5062</v>
      </c>
      <c r="O117" s="5" t="s">
        <v>5072</v>
      </c>
      <c r="P117" s="5" t="s">
        <v>8021</v>
      </c>
      <c r="Q117" s="5" t="s">
        <v>2509</v>
      </c>
      <c r="R117" s="5" t="b">
        <v>1</v>
      </c>
    </row>
    <row r="118" spans="1:18">
      <c r="A118" t="s">
        <v>3006</v>
      </c>
      <c r="B118" t="s">
        <v>3438</v>
      </c>
      <c r="C118" s="5" t="s">
        <v>7815</v>
      </c>
      <c r="D118" s="1">
        <v>2</v>
      </c>
      <c r="E118" s="1">
        <v>6</v>
      </c>
      <c r="F118" s="1">
        <v>235</v>
      </c>
      <c r="G118" s="1">
        <v>268</v>
      </c>
      <c r="H118" s="8" cm="1">
        <f t="array" ref="H118">_xlfn.LET(_xlpm.s,IFERROR(--F118,""),_xlpm.e,IFERROR(--G118,""),IF(OR(_xlpm.s="",_xlpm.e="",_xlpm.e&lt;_xlpm.s),"",_xlfn.LET(_xlpm.p,_xlfn.SEQUENCE(_xlpm.e-_xlpm.s+1,1,_xlpm.s,1),SUM(1/COUNTIFS($D:$D,D118,$E:$E,E118,$F:$F,"&lt;&gt;N/A",$G:$G,"&lt;&gt;N/A",$F:$F,"&lt;="&amp;_xlpm.p,$G:$G,"&gt;="&amp;_xlpm.p)))))</f>
        <v>33.5</v>
      </c>
      <c r="I118" t="s">
        <v>14</v>
      </c>
      <c r="J118" t="s">
        <v>580</v>
      </c>
      <c r="K118" s="5" t="s">
        <v>4534</v>
      </c>
      <c r="L118" s="5" t="s">
        <v>7</v>
      </c>
      <c r="M118" s="5" t="s">
        <v>5009</v>
      </c>
      <c r="N118" s="5" t="s">
        <v>2730</v>
      </c>
      <c r="O118" s="5" t="s">
        <v>5072</v>
      </c>
      <c r="P118" s="5" t="s">
        <v>8021</v>
      </c>
      <c r="Q118" s="5" t="s">
        <v>2509</v>
      </c>
      <c r="R118" s="5" t="b">
        <v>1</v>
      </c>
    </row>
    <row r="119" spans="1:18">
      <c r="A119" t="s">
        <v>3006</v>
      </c>
      <c r="B119" t="s">
        <v>3439</v>
      </c>
      <c r="C119" s="5" t="s">
        <v>7815</v>
      </c>
      <c r="D119" s="1">
        <v>2</v>
      </c>
      <c r="E119" s="1">
        <v>6</v>
      </c>
      <c r="F119" s="1">
        <v>268</v>
      </c>
      <c r="G119" s="1">
        <v>277</v>
      </c>
      <c r="H119" s="8" cm="1">
        <f t="array" ref="H119">_xlfn.LET(_xlpm.s,IFERROR(--F119,""),_xlpm.e,IFERROR(--G119,""),IF(OR(_xlpm.s="",_xlpm.e="",_xlpm.e&lt;_xlpm.s),"",_xlfn.LET(_xlpm.p,_xlfn.SEQUENCE(_xlpm.e-_xlpm.s+1,1,_xlpm.s,1),SUM(1/COUNTIFS($D:$D,D119,$E:$E,E119,$F:$F,"&lt;&gt;N/A",$G:$G,"&lt;&gt;N/A",$F:$F,"&lt;="&amp;_xlpm.p,$G:$G,"&gt;="&amp;_xlpm.p)))))</f>
        <v>9</v>
      </c>
      <c r="I119" t="s">
        <v>200</v>
      </c>
      <c r="J119" t="s">
        <v>579</v>
      </c>
      <c r="K119" s="5" t="s">
        <v>4536</v>
      </c>
      <c r="L119" s="5" t="s">
        <v>7</v>
      </c>
      <c r="M119" t="s">
        <v>5020</v>
      </c>
      <c r="N119" s="5" t="s">
        <v>11547</v>
      </c>
      <c r="O119" s="5" t="s">
        <v>5072</v>
      </c>
      <c r="P119" s="5" t="s">
        <v>8021</v>
      </c>
      <c r="Q119" s="5"/>
      <c r="R119" s="5" t="b">
        <v>1</v>
      </c>
    </row>
    <row r="120" spans="1:18">
      <c r="A120" t="s">
        <v>3006</v>
      </c>
      <c r="B120" t="s">
        <v>3440</v>
      </c>
      <c r="C120" s="5" t="s">
        <v>7815</v>
      </c>
      <c r="D120" s="1">
        <v>2</v>
      </c>
      <c r="E120" s="1">
        <v>6</v>
      </c>
      <c r="F120" s="1">
        <v>277</v>
      </c>
      <c r="G120" s="1">
        <v>279</v>
      </c>
      <c r="H120" s="8" cm="1">
        <f t="array" ref="H120">_xlfn.LET(_xlpm.s,IFERROR(--F120,""),_xlpm.e,IFERROR(--G120,""),IF(OR(_xlpm.s="",_xlpm.e="",_xlpm.e&lt;_xlpm.s),"",_xlfn.LET(_xlpm.p,_xlfn.SEQUENCE(_xlpm.e-_xlpm.s+1,1,_xlpm.s,1),SUM(1/COUNTIFS($D:$D,D120,$E:$E,E120,$F:$F,"&lt;&gt;N/A",$G:$G,"&lt;&gt;N/A",$F:$F,"&lt;="&amp;_xlpm.p,$G:$G,"&gt;="&amp;_xlpm.p)))))</f>
        <v>2.5</v>
      </c>
      <c r="I120" t="s">
        <v>200</v>
      </c>
      <c r="J120" t="s">
        <v>578</v>
      </c>
      <c r="K120" s="5" t="s">
        <v>4537</v>
      </c>
      <c r="L120" s="5" t="s">
        <v>4538</v>
      </c>
      <c r="M120" t="s">
        <v>5064</v>
      </c>
      <c r="N120" s="5" t="s">
        <v>11548</v>
      </c>
      <c r="O120" s="5" t="s">
        <v>5072</v>
      </c>
      <c r="P120" s="5" t="s">
        <v>8021</v>
      </c>
      <c r="Q120" s="5"/>
      <c r="R120" s="5" t="b">
        <v>1</v>
      </c>
    </row>
    <row r="121" spans="1:18">
      <c r="A121" t="s">
        <v>3006</v>
      </c>
      <c r="B121" t="s">
        <v>3441</v>
      </c>
      <c r="C121" s="5" t="s">
        <v>7815</v>
      </c>
      <c r="D121" s="1">
        <v>2</v>
      </c>
      <c r="E121" s="1">
        <v>6</v>
      </c>
      <c r="F121" s="1">
        <v>280</v>
      </c>
      <c r="G121" s="1">
        <v>281</v>
      </c>
      <c r="H121" s="8" cm="1">
        <f t="array" ref="H121">_xlfn.LET(_xlpm.s,IFERROR(--F121,""),_xlpm.e,IFERROR(--G121,""),IF(OR(_xlpm.s="",_xlpm.e="",_xlpm.e&lt;_xlpm.s),"",_xlfn.LET(_xlpm.p,_xlfn.SEQUENCE(_xlpm.e-_xlpm.s+1,1,_xlpm.s,1),SUM(1/COUNTIFS($D:$D,D121,$E:$E,E121,$F:$F,"&lt;&gt;N/A",$G:$G,"&lt;&gt;N/A",$F:$F,"&lt;="&amp;_xlpm.p,$G:$G,"&gt;="&amp;_xlpm.p)))))</f>
        <v>1.5</v>
      </c>
      <c r="I121" t="s">
        <v>200</v>
      </c>
      <c r="J121" t="s">
        <v>577</v>
      </c>
      <c r="K121" s="5" t="s">
        <v>7</v>
      </c>
      <c r="L121" s="5" t="s">
        <v>4539</v>
      </c>
      <c r="M121" t="s">
        <v>6366</v>
      </c>
      <c r="N121" s="5" t="s">
        <v>7424</v>
      </c>
      <c r="O121" s="5" t="s">
        <v>5072</v>
      </c>
      <c r="P121" s="5" t="s">
        <v>8021</v>
      </c>
      <c r="Q121" s="5"/>
      <c r="R121" s="5" t="b">
        <v>1</v>
      </c>
    </row>
    <row r="122" spans="1:18">
      <c r="A122" t="s">
        <v>3006</v>
      </c>
      <c r="B122" t="s">
        <v>3442</v>
      </c>
      <c r="C122" s="5" t="s">
        <v>7815</v>
      </c>
      <c r="D122" s="1">
        <v>2</v>
      </c>
      <c r="E122" s="1">
        <v>6</v>
      </c>
      <c r="F122" s="1">
        <v>281</v>
      </c>
      <c r="G122" s="1">
        <v>289</v>
      </c>
      <c r="H122" s="8" cm="1">
        <f t="array" ref="H122">_xlfn.LET(_xlpm.s,IFERROR(--F122,""),_xlpm.e,IFERROR(--G122,""),IF(OR(_xlpm.s="",_xlpm.e="",_xlpm.e&lt;_xlpm.s),"",_xlfn.LET(_xlpm.p,_xlfn.SEQUENCE(_xlpm.e-_xlpm.s+1,1,_xlpm.s,1),SUM(1/COUNTIFS($D:$D,D122,$E:$E,E122,$F:$F,"&lt;&gt;N/A",$G:$G,"&lt;&gt;N/A",$F:$F,"&lt;="&amp;_xlpm.p,$G:$G,"&gt;="&amp;_xlpm.p)))))</f>
        <v>8</v>
      </c>
      <c r="I122" t="s">
        <v>200</v>
      </c>
      <c r="J122" t="s">
        <v>576</v>
      </c>
      <c r="K122" s="5" t="s">
        <v>7</v>
      </c>
      <c r="L122" s="5" t="s">
        <v>7</v>
      </c>
      <c r="M122" s="5" t="s">
        <v>7</v>
      </c>
      <c r="N122" s="5" t="s">
        <v>7398</v>
      </c>
      <c r="O122" s="5" t="s">
        <v>11522</v>
      </c>
      <c r="P122" s="5" t="s">
        <v>8021</v>
      </c>
      <c r="Q122" s="5"/>
      <c r="R122" s="5" t="b">
        <v>1</v>
      </c>
    </row>
    <row r="123" spans="1:18">
      <c r="A123" t="s">
        <v>3006</v>
      </c>
      <c r="B123" t="s">
        <v>3443</v>
      </c>
      <c r="C123" s="5" t="s">
        <v>7815</v>
      </c>
      <c r="D123" s="1">
        <v>2</v>
      </c>
      <c r="E123" s="1">
        <v>6</v>
      </c>
      <c r="F123" s="1">
        <v>289</v>
      </c>
      <c r="G123" s="1">
        <v>290</v>
      </c>
      <c r="H123" s="8" cm="1">
        <f t="array" ref="H123">_xlfn.LET(_xlpm.s,IFERROR(--F123,""),_xlpm.e,IFERROR(--G123,""),IF(OR(_xlpm.s="",_xlpm.e="",_xlpm.e&lt;_xlpm.s),"",_xlfn.LET(_xlpm.p,_xlfn.SEQUENCE(_xlpm.e-_xlpm.s+1,1,_xlpm.s,1),SUM(1/COUNTIFS($D:$D,D123,$E:$E,E123,$F:$F,"&lt;&gt;N/A",$G:$G,"&lt;&gt;N/A",$F:$F,"&lt;="&amp;_xlpm.p,$G:$G,"&gt;="&amp;_xlpm.p)))))</f>
        <v>1</v>
      </c>
      <c r="I123" t="s">
        <v>205</v>
      </c>
      <c r="J123" t="s">
        <v>574</v>
      </c>
      <c r="K123" s="5" t="s">
        <v>7</v>
      </c>
      <c r="L123" s="5" t="s">
        <v>7</v>
      </c>
      <c r="M123" t="s">
        <v>5019</v>
      </c>
      <c r="N123" s="5" t="s">
        <v>7419</v>
      </c>
      <c r="O123" s="5" t="s">
        <v>5072</v>
      </c>
      <c r="P123" s="5" t="s">
        <v>8021</v>
      </c>
      <c r="Q123" s="5"/>
      <c r="R123" s="5" t="b">
        <v>1</v>
      </c>
    </row>
    <row r="124" spans="1:18">
      <c r="A124" t="s">
        <v>3006</v>
      </c>
      <c r="B124" t="s">
        <v>3444</v>
      </c>
      <c r="C124" s="5" t="s">
        <v>7815</v>
      </c>
      <c r="D124" s="1">
        <v>2</v>
      </c>
      <c r="E124" s="1">
        <v>6</v>
      </c>
      <c r="F124" s="1">
        <v>290</v>
      </c>
      <c r="G124" s="1">
        <v>290</v>
      </c>
      <c r="H124" s="8" cm="1">
        <f t="array" ref="H124">_xlfn.LET(_xlpm.s,IFERROR(--F124,""),_xlpm.e,IFERROR(--G124,""),IF(OR(_xlpm.s="",_xlpm.e="",_xlpm.e&lt;_xlpm.s),"",_xlfn.LET(_xlpm.p,_xlfn.SEQUENCE(_xlpm.e-_xlpm.s+1,1,_xlpm.s,1),SUM(1/COUNTIFS($D:$D,D124,$E:$E,E124,$F:$F,"&lt;&gt;N/A",$G:$G,"&lt;&gt;N/A",$F:$F,"&lt;="&amp;_xlpm.p,$G:$G,"&gt;="&amp;_xlpm.p)))))</f>
        <v>0.5</v>
      </c>
      <c r="I124" t="s">
        <v>205</v>
      </c>
      <c r="J124" t="s">
        <v>575</v>
      </c>
      <c r="K124" s="5" t="s">
        <v>7</v>
      </c>
      <c r="L124" s="5" t="s">
        <v>7</v>
      </c>
      <c r="M124" t="s">
        <v>5019</v>
      </c>
      <c r="N124" s="5" t="s">
        <v>2728</v>
      </c>
      <c r="O124" s="5" t="s">
        <v>5072</v>
      </c>
      <c r="P124" s="5" t="s">
        <v>8021</v>
      </c>
      <c r="Q124" s="5"/>
      <c r="R124" s="5" t="b">
        <v>1</v>
      </c>
    </row>
    <row r="125" spans="1:18">
      <c r="A125" t="s">
        <v>3006</v>
      </c>
      <c r="B125" t="s">
        <v>3445</v>
      </c>
      <c r="C125" s="5" t="s">
        <v>7815</v>
      </c>
      <c r="D125" s="1">
        <v>2</v>
      </c>
      <c r="E125" s="1">
        <v>6</v>
      </c>
      <c r="F125" s="1">
        <v>291</v>
      </c>
      <c r="G125" s="1">
        <v>291</v>
      </c>
      <c r="H125" s="8" cm="1">
        <f t="array" ref="H125">_xlfn.LET(_xlpm.s,IFERROR(--F125,""),_xlpm.e,IFERROR(--G125,""),IF(OR(_xlpm.s="",_xlpm.e="",_xlpm.e&lt;_xlpm.s),"",_xlfn.LET(_xlpm.p,_xlfn.SEQUENCE(_xlpm.e-_xlpm.s+1,1,_xlpm.s,1),SUM(1/COUNTIFS($D:$D,D125,$E:$E,E125,$F:$F,"&lt;&gt;N/A",$G:$G,"&lt;&gt;N/A",$F:$F,"&lt;="&amp;_xlpm.p,$G:$G,"&gt;="&amp;_xlpm.p)))))</f>
        <v>0.5</v>
      </c>
      <c r="I125" t="s">
        <v>205</v>
      </c>
      <c r="J125" t="s">
        <v>1247</v>
      </c>
      <c r="K125" s="5" t="s">
        <v>7</v>
      </c>
      <c r="L125" s="5" t="s">
        <v>7</v>
      </c>
      <c r="M125" t="s">
        <v>5019</v>
      </c>
      <c r="N125" s="5" t="s">
        <v>2729</v>
      </c>
      <c r="O125" s="5" t="s">
        <v>5072</v>
      </c>
      <c r="P125" s="5" t="s">
        <v>8021</v>
      </c>
      <c r="Q125" s="5"/>
      <c r="R125" s="5" t="b">
        <v>1</v>
      </c>
    </row>
    <row r="126" spans="1:18">
      <c r="A126" t="s">
        <v>3006</v>
      </c>
      <c r="B126" t="s">
        <v>3446</v>
      </c>
      <c r="C126" s="5" t="s">
        <v>7815</v>
      </c>
      <c r="D126" s="1">
        <v>2</v>
      </c>
      <c r="E126" s="1">
        <v>6</v>
      </c>
      <c r="F126" s="1">
        <v>291</v>
      </c>
      <c r="G126" s="1">
        <v>292</v>
      </c>
      <c r="H126" s="8" cm="1">
        <f t="array" ref="H126">_xlfn.LET(_xlpm.s,IFERROR(--F126,""),_xlpm.e,IFERROR(--G126,""),IF(OR(_xlpm.s="",_xlpm.e="",_xlpm.e&lt;_xlpm.s),"",_xlfn.LET(_xlpm.p,_xlfn.SEQUENCE(_xlpm.e-_xlpm.s+1,1,_xlpm.s,1),SUM(1/COUNTIFS($D:$D,D126,$E:$E,E126,$F:$F,"&lt;&gt;N/A",$G:$G,"&lt;&gt;N/A",$F:$F,"&lt;="&amp;_xlpm.p,$G:$G,"&gt;="&amp;_xlpm.p)))))</f>
        <v>1.5</v>
      </c>
      <c r="I126" t="s">
        <v>205</v>
      </c>
      <c r="J126" t="s">
        <v>1248</v>
      </c>
      <c r="K126" s="5" t="s">
        <v>7</v>
      </c>
      <c r="L126" s="5" t="s">
        <v>7</v>
      </c>
      <c r="M126" t="s">
        <v>5019</v>
      </c>
      <c r="N126" s="5" t="s">
        <v>2749</v>
      </c>
      <c r="O126" s="5" t="s">
        <v>5072</v>
      </c>
      <c r="P126" s="5" t="s">
        <v>8021</v>
      </c>
      <c r="Q126" s="5"/>
      <c r="R126" s="5" t="b">
        <v>1</v>
      </c>
    </row>
    <row r="127" spans="1:18">
      <c r="A127" t="s">
        <v>3006</v>
      </c>
      <c r="B127" t="s">
        <v>3447</v>
      </c>
      <c r="C127" s="5" t="s">
        <v>7815</v>
      </c>
      <c r="D127" s="1">
        <v>2</v>
      </c>
      <c r="E127" s="1">
        <v>6</v>
      </c>
      <c r="F127" s="1">
        <v>293</v>
      </c>
      <c r="G127" s="1">
        <v>299</v>
      </c>
      <c r="H127" s="8" cm="1">
        <f t="array" ref="H127">_xlfn.LET(_xlpm.s,IFERROR(--F127,""),_xlpm.e,IFERROR(--G127,""),IF(OR(_xlpm.s="",_xlpm.e="",_xlpm.e&lt;_xlpm.s),"",_xlfn.LET(_xlpm.p,_xlfn.SEQUENCE(_xlpm.e-_xlpm.s+1,1,_xlpm.s,1),SUM(1/COUNTIFS($D:$D,D127,$E:$E,E127,$F:$F,"&lt;&gt;N/A",$G:$G,"&lt;&gt;N/A",$F:$F,"&lt;="&amp;_xlpm.p,$G:$G,"&gt;="&amp;_xlpm.p)))))</f>
        <v>7</v>
      </c>
      <c r="I127" t="s">
        <v>208</v>
      </c>
      <c r="J127" t="s">
        <v>573</v>
      </c>
      <c r="K127" s="5" t="s">
        <v>7</v>
      </c>
      <c r="L127" s="5" t="s">
        <v>4540</v>
      </c>
      <c r="M127" s="5" t="s">
        <v>5020</v>
      </c>
      <c r="N127" s="5" t="s">
        <v>11549</v>
      </c>
      <c r="O127" s="5" t="s">
        <v>11522</v>
      </c>
      <c r="P127" s="5" t="s">
        <v>8021</v>
      </c>
      <c r="Q127" s="5"/>
      <c r="R127" s="5" t="b">
        <v>1</v>
      </c>
    </row>
    <row r="128" spans="1:18">
      <c r="A128" t="s">
        <v>3006</v>
      </c>
      <c r="B128" t="s">
        <v>3448</v>
      </c>
      <c r="C128" s="5" t="s">
        <v>7815</v>
      </c>
      <c r="D128" s="1">
        <v>2</v>
      </c>
      <c r="E128" s="1">
        <v>6</v>
      </c>
      <c r="F128" s="1">
        <v>300</v>
      </c>
      <c r="G128" s="1">
        <v>304</v>
      </c>
      <c r="H128" s="8" cm="1">
        <f t="array" ref="H128">_xlfn.LET(_xlpm.s,IFERROR(--F128,""),_xlpm.e,IFERROR(--G128,""),IF(OR(_xlpm.s="",_xlpm.e="",_xlpm.e&lt;_xlpm.s),"",_xlfn.LET(_xlpm.p,_xlfn.SEQUENCE(_xlpm.e-_xlpm.s+1,1,_xlpm.s,1),SUM(1/COUNTIFS($D:$D,D128,$E:$E,E128,$F:$F,"&lt;&gt;N/A",$G:$G,"&lt;&gt;N/A",$F:$F,"&lt;="&amp;_xlpm.p,$G:$G,"&gt;="&amp;_xlpm.p)))))</f>
        <v>4.5</v>
      </c>
      <c r="I128" t="s">
        <v>208</v>
      </c>
      <c r="J128" t="s">
        <v>572</v>
      </c>
      <c r="K128" s="5" t="s">
        <v>7</v>
      </c>
      <c r="L128" s="5" t="s">
        <v>2103</v>
      </c>
      <c r="M128" s="5" t="s">
        <v>5020</v>
      </c>
      <c r="N128" s="5" t="s">
        <v>11550</v>
      </c>
      <c r="O128" s="5" t="s">
        <v>11522</v>
      </c>
      <c r="P128" s="5" t="s">
        <v>8021</v>
      </c>
      <c r="Q128" s="5"/>
      <c r="R128" s="5" t="b">
        <v>1</v>
      </c>
    </row>
    <row r="129" spans="1:18">
      <c r="A129" t="s">
        <v>3006</v>
      </c>
      <c r="B129" t="s">
        <v>3449</v>
      </c>
      <c r="C129" s="5" t="s">
        <v>7815</v>
      </c>
      <c r="D129" s="1">
        <v>2</v>
      </c>
      <c r="E129" s="1">
        <v>6</v>
      </c>
      <c r="F129" s="1">
        <v>304</v>
      </c>
      <c r="G129" s="1">
        <v>306</v>
      </c>
      <c r="H129" s="8" cm="1">
        <f t="array" ref="H129">_xlfn.LET(_xlpm.s,IFERROR(--F129,""),_xlpm.e,IFERROR(--G129,""),IF(OR(_xlpm.s="",_xlpm.e="",_xlpm.e&lt;_xlpm.s),"",_xlfn.LET(_xlpm.p,_xlfn.SEQUENCE(_xlpm.e-_xlpm.s+1,1,_xlpm.s,1),SUM(1/COUNTIFS($D:$D,D129,$E:$E,E129,$F:$F,"&lt;&gt;N/A",$G:$G,"&lt;&gt;N/A",$F:$F,"&lt;="&amp;_xlpm.p,$G:$G,"&gt;="&amp;_xlpm.p)))))</f>
        <v>2</v>
      </c>
      <c r="I129" t="s">
        <v>209</v>
      </c>
      <c r="J129" t="s">
        <v>571</v>
      </c>
      <c r="K129" s="5" t="s">
        <v>7</v>
      </c>
      <c r="L129" s="5" t="s">
        <v>7</v>
      </c>
      <c r="M129" t="s">
        <v>6366</v>
      </c>
      <c r="N129" s="5" t="s">
        <v>6386</v>
      </c>
      <c r="O129" s="5" t="s">
        <v>5072</v>
      </c>
      <c r="P129" s="5" t="s">
        <v>8021</v>
      </c>
      <c r="Q129" s="5"/>
      <c r="R129" s="5" t="b">
        <v>1</v>
      </c>
    </row>
    <row r="130" spans="1:18">
      <c r="A130" t="s">
        <v>3006</v>
      </c>
      <c r="B130" t="s">
        <v>3450</v>
      </c>
      <c r="C130" s="5" t="s">
        <v>7815</v>
      </c>
      <c r="D130" s="1">
        <v>2</v>
      </c>
      <c r="E130" s="1">
        <v>6</v>
      </c>
      <c r="F130" s="1">
        <v>306</v>
      </c>
      <c r="G130" s="1">
        <v>310</v>
      </c>
      <c r="H130" s="8" cm="1">
        <f t="array" ref="H130">_xlfn.LET(_xlpm.s,IFERROR(--F130,""),_xlpm.e,IFERROR(--G130,""),IF(OR(_xlpm.s="",_xlpm.e="",_xlpm.e&lt;_xlpm.s),"",_xlfn.LET(_xlpm.p,_xlfn.SEQUENCE(_xlpm.e-_xlpm.s+1,1,_xlpm.s,1),SUM(1/COUNTIFS($D:$D,D130,$E:$E,E130,$F:$F,"&lt;&gt;N/A",$G:$G,"&lt;&gt;N/A",$F:$F,"&lt;="&amp;_xlpm.p,$G:$G,"&gt;="&amp;_xlpm.p)))))</f>
        <v>4</v>
      </c>
      <c r="I130" t="s">
        <v>209</v>
      </c>
      <c r="J130" t="s">
        <v>570</v>
      </c>
      <c r="K130" s="5" t="s">
        <v>4541</v>
      </c>
      <c r="L130" s="5" t="s">
        <v>7</v>
      </c>
      <c r="M130" t="s">
        <v>6387</v>
      </c>
      <c r="N130" s="5" t="s">
        <v>7370</v>
      </c>
      <c r="O130" s="5" t="s">
        <v>5072</v>
      </c>
      <c r="P130" s="5" t="s">
        <v>8021</v>
      </c>
      <c r="Q130" s="5"/>
      <c r="R130" s="5" t="b">
        <v>1</v>
      </c>
    </row>
    <row r="131" spans="1:18">
      <c r="A131" t="s">
        <v>3006</v>
      </c>
      <c r="B131" t="s">
        <v>5002</v>
      </c>
      <c r="C131" s="5" t="s">
        <v>7815</v>
      </c>
      <c r="D131" s="1">
        <v>2</v>
      </c>
      <c r="E131" s="1">
        <v>6</v>
      </c>
      <c r="F131" s="1">
        <v>310</v>
      </c>
      <c r="G131" s="1">
        <v>320</v>
      </c>
      <c r="H131" s="8" cm="1">
        <f t="array" ref="H131">_xlfn.LET(_xlpm.s,IFERROR(--F131,""),_xlpm.e,IFERROR(--G131,""),IF(OR(_xlpm.s="",_xlpm.e="",_xlpm.e&lt;_xlpm.s),"",_xlfn.LET(_xlpm.p,_xlfn.SEQUENCE(_xlpm.e-_xlpm.s+1,1,_xlpm.s,1),SUM(1/COUNTIFS($D:$D,D131,$E:$E,E131,$F:$F,"&lt;&gt;N/A",$G:$G,"&lt;&gt;N/A",$F:$F,"&lt;="&amp;_xlpm.p,$G:$G,"&gt;="&amp;_xlpm.p)))))</f>
        <v>10.5</v>
      </c>
      <c r="I131" t="s">
        <v>210</v>
      </c>
      <c r="J131" t="s">
        <v>569</v>
      </c>
      <c r="K131" s="5" t="s">
        <v>4542</v>
      </c>
      <c r="L131" s="5" t="s">
        <v>7</v>
      </c>
      <c r="M131" s="5" t="s">
        <v>5019</v>
      </c>
      <c r="N131" s="5" t="s">
        <v>2727</v>
      </c>
      <c r="O131" s="5" t="s">
        <v>5072</v>
      </c>
      <c r="P131" s="5" t="s">
        <v>8021</v>
      </c>
      <c r="Q131" s="5"/>
      <c r="R131" s="5" t="b">
        <v>1</v>
      </c>
    </row>
    <row r="132" spans="1:18">
      <c r="A132" t="s">
        <v>3007</v>
      </c>
      <c r="B132" t="s">
        <v>3451</v>
      </c>
      <c r="C132" s="5" t="s">
        <v>7816</v>
      </c>
      <c r="D132" s="1">
        <v>3</v>
      </c>
      <c r="E132" s="1">
        <v>7</v>
      </c>
      <c r="F132" s="1">
        <v>5</v>
      </c>
      <c r="G132" s="1">
        <v>11</v>
      </c>
      <c r="H132" s="8" cm="1">
        <f t="array" ref="H132">_xlfn.LET(_xlpm.s,IFERROR(--F132,""),_xlpm.e,IFERROR(--G132,""),IF(OR(_xlpm.s="",_xlpm.e="",_xlpm.e&lt;_xlpm.s),"",_xlfn.LET(_xlpm.p,_xlfn.SEQUENCE(_xlpm.e-_xlpm.s+1,1,_xlpm.s,1),SUM(1/COUNTIFS($D:$D,D132,$E:$E,E132,$F:$F,"&lt;&gt;N/A",$G:$G,"&lt;&gt;N/A",$F:$F,"&lt;="&amp;_xlpm.p,$G:$G,"&gt;="&amp;_xlpm.p)))))</f>
        <v>6.5</v>
      </c>
      <c r="I132" t="s">
        <v>14</v>
      </c>
      <c r="J132" t="s">
        <v>581</v>
      </c>
      <c r="K132" s="5" t="s">
        <v>7</v>
      </c>
      <c r="L132" s="5" t="s">
        <v>7</v>
      </c>
      <c r="M132" s="5" t="s">
        <v>7</v>
      </c>
      <c r="N132" s="5" t="s">
        <v>1264</v>
      </c>
      <c r="O132" s="5" t="s">
        <v>5072</v>
      </c>
      <c r="P132" s="5" t="s">
        <v>8092</v>
      </c>
      <c r="Q132" s="5"/>
      <c r="R132" s="5" t="b">
        <v>1</v>
      </c>
    </row>
    <row r="133" spans="1:18">
      <c r="A133" t="s">
        <v>3007</v>
      </c>
      <c r="B133" t="s">
        <v>3452</v>
      </c>
      <c r="C133" s="5" t="s">
        <v>7816</v>
      </c>
      <c r="D133" s="1">
        <v>3</v>
      </c>
      <c r="E133" s="1">
        <v>7</v>
      </c>
      <c r="F133" s="1">
        <v>11</v>
      </c>
      <c r="G133" s="1">
        <v>15</v>
      </c>
      <c r="H133" s="8" cm="1">
        <f t="array" ref="H133">_xlfn.LET(_xlpm.s,IFERROR(--F133,""),_xlpm.e,IFERROR(--G133,""),IF(OR(_xlpm.s="",_xlpm.e="",_xlpm.e&lt;_xlpm.s),"",_xlfn.LET(_xlpm.p,_xlfn.SEQUENCE(_xlpm.e-_xlpm.s+1,1,_xlpm.s,1),SUM(1/COUNTIFS($D:$D,D133,$E:$E,E133,$F:$F,"&lt;&gt;N/A",$G:$G,"&lt;&gt;N/A",$F:$F,"&lt;="&amp;_xlpm.p,$G:$G,"&gt;="&amp;_xlpm.p)))))</f>
        <v>4</v>
      </c>
      <c r="I133" t="s">
        <v>14</v>
      </c>
      <c r="J133" t="s">
        <v>582</v>
      </c>
      <c r="K133" s="5" t="s">
        <v>583</v>
      </c>
      <c r="L133" s="5" t="s">
        <v>7</v>
      </c>
      <c r="M133" s="5" t="s">
        <v>7</v>
      </c>
      <c r="N133" s="5" t="s">
        <v>7</v>
      </c>
      <c r="O133" s="5" t="s">
        <v>778</v>
      </c>
      <c r="P133" s="5" t="s">
        <v>7834</v>
      </c>
      <c r="Q133" s="5"/>
      <c r="R133" s="5" t="b">
        <v>1</v>
      </c>
    </row>
    <row r="134" spans="1:18">
      <c r="A134" t="s">
        <v>3007</v>
      </c>
      <c r="B134" t="s">
        <v>3453</v>
      </c>
      <c r="C134" s="5" t="s">
        <v>7816</v>
      </c>
      <c r="D134" s="1">
        <v>3</v>
      </c>
      <c r="E134" s="1">
        <v>7</v>
      </c>
      <c r="F134" s="1">
        <v>15</v>
      </c>
      <c r="G134" s="1">
        <v>19</v>
      </c>
      <c r="H134" s="8" cm="1">
        <f t="array" ref="H134">_xlfn.LET(_xlpm.s,IFERROR(--F134,""),_xlpm.e,IFERROR(--G134,""),IF(OR(_xlpm.s="",_xlpm.e="",_xlpm.e&lt;_xlpm.s),"",_xlfn.LET(_xlpm.p,_xlfn.SEQUENCE(_xlpm.e-_xlpm.s+1,1,_xlpm.s,1),SUM(1/COUNTIFS($D:$D,D134,$E:$E,E134,$F:$F,"&lt;&gt;N/A",$G:$G,"&lt;&gt;N/A",$F:$F,"&lt;="&amp;_xlpm.p,$G:$G,"&gt;="&amp;_xlpm.p)))))</f>
        <v>4.5</v>
      </c>
      <c r="I134" t="s">
        <v>14</v>
      </c>
      <c r="J134" t="s">
        <v>584</v>
      </c>
      <c r="K134" s="5" t="s">
        <v>585</v>
      </c>
      <c r="L134" s="5" t="s">
        <v>4543</v>
      </c>
      <c r="M134" t="s">
        <v>6366</v>
      </c>
      <c r="N134" s="5" t="s">
        <v>6369</v>
      </c>
      <c r="O134" s="5" t="s">
        <v>5072</v>
      </c>
      <c r="P134" s="5" t="s">
        <v>8021</v>
      </c>
      <c r="Q134" s="5"/>
      <c r="R134" s="5" t="b">
        <v>1</v>
      </c>
    </row>
    <row r="135" spans="1:18">
      <c r="A135" t="s">
        <v>3007</v>
      </c>
      <c r="B135" t="s">
        <v>3454</v>
      </c>
      <c r="C135" s="5" t="s">
        <v>7816</v>
      </c>
      <c r="D135" s="1">
        <v>3</v>
      </c>
      <c r="E135" s="1">
        <v>7</v>
      </c>
      <c r="F135" s="1">
        <v>20</v>
      </c>
      <c r="G135" s="1">
        <v>26</v>
      </c>
      <c r="H135" s="8" cm="1">
        <f t="array" ref="H135">_xlfn.LET(_xlpm.s,IFERROR(--F135,""),_xlpm.e,IFERROR(--G135,""),IF(OR(_xlpm.s="",_xlpm.e="",_xlpm.e&lt;_xlpm.s),"",_xlfn.LET(_xlpm.p,_xlfn.SEQUENCE(_xlpm.e-_xlpm.s+1,1,_xlpm.s,1),SUM(1/COUNTIFS($D:$D,D135,$E:$E,E135,$F:$F,"&lt;&gt;N/A",$G:$G,"&lt;&gt;N/A",$F:$F,"&lt;="&amp;_xlpm.p,$G:$G,"&gt;="&amp;_xlpm.p)))))</f>
        <v>6.5</v>
      </c>
      <c r="I135" t="s">
        <v>14</v>
      </c>
      <c r="J135" t="s">
        <v>586</v>
      </c>
      <c r="K135" s="5" t="s">
        <v>4544</v>
      </c>
      <c r="L135" s="5" t="s">
        <v>4545</v>
      </c>
      <c r="M135" t="s">
        <v>6366</v>
      </c>
      <c r="N135" s="5" t="s">
        <v>6370</v>
      </c>
      <c r="O135" s="5" t="s">
        <v>5072</v>
      </c>
      <c r="P135" s="5" t="s">
        <v>8021</v>
      </c>
      <c r="Q135" s="5"/>
      <c r="R135" s="5" t="b">
        <v>1</v>
      </c>
    </row>
    <row r="136" spans="1:18">
      <c r="A136" t="s">
        <v>3007</v>
      </c>
      <c r="B136" t="s">
        <v>3455</v>
      </c>
      <c r="C136" s="5" t="s">
        <v>7816</v>
      </c>
      <c r="D136" s="1">
        <v>3</v>
      </c>
      <c r="E136" s="1">
        <v>7</v>
      </c>
      <c r="F136" s="1">
        <v>26</v>
      </c>
      <c r="G136" s="1">
        <v>34</v>
      </c>
      <c r="H136" s="8" cm="1">
        <f t="array" ref="H136">_xlfn.LET(_xlpm.s,IFERROR(--F136,""),_xlpm.e,IFERROR(--G136,""),IF(OR(_xlpm.s="",_xlpm.e="",_xlpm.e&lt;_xlpm.s),"",_xlfn.LET(_xlpm.p,_xlfn.SEQUENCE(_xlpm.e-_xlpm.s+1,1,_xlpm.s,1),SUM(1/COUNTIFS($D:$D,D136,$E:$E,E136,$F:$F,"&lt;&gt;N/A",$G:$G,"&lt;&gt;N/A",$F:$F,"&lt;="&amp;_xlpm.p,$G:$G,"&gt;="&amp;_xlpm.p)))))</f>
        <v>8</v>
      </c>
      <c r="I136" t="s">
        <v>14</v>
      </c>
      <c r="J136" t="s">
        <v>1265</v>
      </c>
      <c r="K136" s="5" t="s">
        <v>4546</v>
      </c>
      <c r="L136" s="5" t="s">
        <v>7</v>
      </c>
      <c r="M136" t="s">
        <v>5021</v>
      </c>
      <c r="N136" s="5" t="s">
        <v>1273</v>
      </c>
      <c r="O136" s="5" t="s">
        <v>5072</v>
      </c>
      <c r="P136" s="5" t="s">
        <v>8021</v>
      </c>
      <c r="Q136" s="5"/>
      <c r="R136" s="5" t="b">
        <v>1</v>
      </c>
    </row>
    <row r="137" spans="1:18">
      <c r="A137" t="s">
        <v>3007</v>
      </c>
      <c r="B137" t="s">
        <v>3456</v>
      </c>
      <c r="C137" s="5" t="s">
        <v>7816</v>
      </c>
      <c r="D137" s="1">
        <v>3</v>
      </c>
      <c r="E137" s="1">
        <v>7</v>
      </c>
      <c r="F137" s="1">
        <v>34</v>
      </c>
      <c r="G137" s="1">
        <v>55</v>
      </c>
      <c r="H137" s="8" cm="1">
        <f t="array" ref="H137">_xlfn.LET(_xlpm.s,IFERROR(--F137,""),_xlpm.e,IFERROR(--G137,""),IF(OR(_xlpm.s="",_xlpm.e="",_xlpm.e&lt;_xlpm.s),"",_xlfn.LET(_xlpm.p,_xlfn.SEQUENCE(_xlpm.e-_xlpm.s+1,1,_xlpm.s,1),SUM(1/COUNTIFS($D:$D,D137,$E:$E,E137,$F:$F,"&lt;&gt;N/A",$G:$G,"&lt;&gt;N/A",$F:$F,"&lt;="&amp;_xlpm.p,$G:$G,"&gt;="&amp;_xlpm.p)))))</f>
        <v>21</v>
      </c>
      <c r="I137" t="s">
        <v>200</v>
      </c>
      <c r="J137" t="s">
        <v>1274</v>
      </c>
      <c r="K137" s="5" t="s">
        <v>4547</v>
      </c>
      <c r="L137" s="5" t="s">
        <v>4548</v>
      </c>
      <c r="M137" t="s">
        <v>5021</v>
      </c>
      <c r="N137" s="5" t="s">
        <v>1275</v>
      </c>
      <c r="O137" s="5" t="s">
        <v>5072</v>
      </c>
      <c r="P137" s="5" t="s">
        <v>8021</v>
      </c>
      <c r="Q137" s="5"/>
      <c r="R137" s="5" t="b">
        <v>1</v>
      </c>
    </row>
    <row r="138" spans="1:18">
      <c r="A138" t="s">
        <v>3007</v>
      </c>
      <c r="B138" t="s">
        <v>3457</v>
      </c>
      <c r="C138" s="5" t="s">
        <v>7816</v>
      </c>
      <c r="D138" s="1">
        <v>3</v>
      </c>
      <c r="E138" s="1">
        <v>7</v>
      </c>
      <c r="F138" s="1">
        <v>55</v>
      </c>
      <c r="G138" s="1">
        <v>55</v>
      </c>
      <c r="H138" s="8" cm="1">
        <f t="array" ref="H138">_xlfn.LET(_xlpm.s,IFERROR(--F138,""),_xlpm.e,IFERROR(--G138,""),IF(OR(_xlpm.s="",_xlpm.e="",_xlpm.e&lt;_xlpm.s),"",_xlfn.LET(_xlpm.p,_xlfn.SEQUENCE(_xlpm.e-_xlpm.s+1,1,_xlpm.s,1),SUM(1/COUNTIFS($D:$D,D138,$E:$E,E138,$F:$F,"&lt;&gt;N/A",$G:$G,"&lt;&gt;N/A",$F:$F,"&lt;="&amp;_xlpm.p,$G:$G,"&gt;="&amp;_xlpm.p)))))</f>
        <v>0.5</v>
      </c>
      <c r="I138" t="s">
        <v>205</v>
      </c>
      <c r="J138" t="s">
        <v>2789</v>
      </c>
      <c r="K138" s="5" t="s">
        <v>7</v>
      </c>
      <c r="L138" s="5" t="s">
        <v>7</v>
      </c>
      <c r="M138" t="s">
        <v>5019</v>
      </c>
      <c r="N138" s="5" t="s">
        <v>2986</v>
      </c>
      <c r="O138" s="5" t="s">
        <v>11522</v>
      </c>
      <c r="P138" s="5" t="s">
        <v>8021</v>
      </c>
      <c r="Q138" s="5"/>
      <c r="R138" s="5" t="b">
        <v>1</v>
      </c>
    </row>
    <row r="139" spans="1:18">
      <c r="A139" t="s">
        <v>3007</v>
      </c>
      <c r="B139" t="s">
        <v>3458</v>
      </c>
      <c r="C139" s="5" t="s">
        <v>7816</v>
      </c>
      <c r="D139" s="1">
        <v>3</v>
      </c>
      <c r="E139" s="1">
        <v>7</v>
      </c>
      <c r="F139" s="1">
        <v>56</v>
      </c>
      <c r="G139" s="1">
        <v>57</v>
      </c>
      <c r="H139" s="8" cm="1">
        <f t="array" ref="H139">_xlfn.LET(_xlpm.s,IFERROR(--F139,""),_xlpm.e,IFERROR(--G139,""),IF(OR(_xlpm.s="",_xlpm.e="",_xlpm.e&lt;_xlpm.s),"",_xlfn.LET(_xlpm.p,_xlfn.SEQUENCE(_xlpm.e-_xlpm.s+1,1,_xlpm.s,1),SUM(1/COUNTIFS($D:$D,D139,$E:$E,E139,$F:$F,"&lt;&gt;N/A",$G:$G,"&lt;&gt;N/A",$F:$F,"&lt;="&amp;_xlpm.p,$G:$G,"&gt;="&amp;_xlpm.p)))))</f>
        <v>2</v>
      </c>
      <c r="I139" t="s">
        <v>205</v>
      </c>
      <c r="J139" t="s">
        <v>2790</v>
      </c>
      <c r="K139" s="5" t="s">
        <v>7</v>
      </c>
      <c r="L139" s="5" t="s">
        <v>7</v>
      </c>
      <c r="M139" s="5" t="s">
        <v>5019</v>
      </c>
      <c r="N139" t="s">
        <v>6371</v>
      </c>
      <c r="O139" s="5" t="s">
        <v>5072</v>
      </c>
      <c r="P139" s="5" t="s">
        <v>8021</v>
      </c>
      <c r="Q139" s="5"/>
      <c r="R139" s="5" t="b">
        <v>1</v>
      </c>
    </row>
    <row r="140" spans="1:18">
      <c r="A140" t="s">
        <v>3007</v>
      </c>
      <c r="B140" t="s">
        <v>3459</v>
      </c>
      <c r="C140" s="5" t="s">
        <v>7816</v>
      </c>
      <c r="D140" s="1">
        <v>3</v>
      </c>
      <c r="E140" s="1">
        <v>7</v>
      </c>
      <c r="F140" s="1">
        <v>58</v>
      </c>
      <c r="G140" s="1">
        <v>75</v>
      </c>
      <c r="H140" s="8" cm="1">
        <f t="array" ref="H140">_xlfn.LET(_xlpm.s,IFERROR(--F140,""),_xlpm.e,IFERROR(--G140,""),IF(OR(_xlpm.s="",_xlpm.e="",_xlpm.e&lt;_xlpm.s),"",_xlfn.LET(_xlpm.p,_xlfn.SEQUENCE(_xlpm.e-_xlpm.s+1,1,_xlpm.s,1),SUM(1/COUNTIFS($D:$D,D140,$E:$E,E140,$F:$F,"&lt;&gt;N/A",$G:$G,"&lt;&gt;N/A",$F:$F,"&lt;="&amp;_xlpm.p,$G:$G,"&gt;="&amp;_xlpm.p)))))</f>
        <v>17.5</v>
      </c>
      <c r="I140" t="s">
        <v>208</v>
      </c>
      <c r="J140" t="s">
        <v>587</v>
      </c>
      <c r="K140" s="5" t="s">
        <v>4549</v>
      </c>
      <c r="L140" s="5" t="s">
        <v>7</v>
      </c>
      <c r="M140" t="s">
        <v>5535</v>
      </c>
      <c r="N140" s="5" t="s">
        <v>2985</v>
      </c>
      <c r="O140" s="5" t="s">
        <v>5072</v>
      </c>
      <c r="P140" s="5" t="s">
        <v>8021</v>
      </c>
      <c r="Q140" s="5"/>
      <c r="R140" s="5" t="b">
        <v>1</v>
      </c>
    </row>
    <row r="141" spans="1:18">
      <c r="A141" t="s">
        <v>3007</v>
      </c>
      <c r="B141" t="s">
        <v>3460</v>
      </c>
      <c r="C141" s="5" t="s">
        <v>7816</v>
      </c>
      <c r="D141" s="1">
        <v>3</v>
      </c>
      <c r="E141" s="1">
        <v>7</v>
      </c>
      <c r="F141" s="1">
        <v>75</v>
      </c>
      <c r="G141" s="1">
        <v>80</v>
      </c>
      <c r="H141" s="8" cm="1">
        <f t="array" ref="H141">_xlfn.LET(_xlpm.s,IFERROR(--F141,""),_xlpm.e,IFERROR(--G141,""),IF(OR(_xlpm.s="",_xlpm.e="",_xlpm.e&lt;_xlpm.s),"",_xlfn.LET(_xlpm.p,_xlfn.SEQUENCE(_xlpm.e-_xlpm.s+1,1,_xlpm.s,1),SUM(1/COUNTIFS($D:$D,D141,$E:$E,E141,$F:$F,"&lt;&gt;N/A",$G:$G,"&lt;&gt;N/A",$F:$F,"&lt;="&amp;_xlpm.p,$G:$G,"&gt;="&amp;_xlpm.p)))))</f>
        <v>5</v>
      </c>
      <c r="I141" t="s">
        <v>553</v>
      </c>
      <c r="J141" t="s">
        <v>6372</v>
      </c>
      <c r="K141" s="5" t="s">
        <v>7</v>
      </c>
      <c r="L141" s="5" t="s">
        <v>7</v>
      </c>
      <c r="M141" s="5" t="s">
        <v>7</v>
      </c>
      <c r="N141" s="5" t="s">
        <v>1276</v>
      </c>
      <c r="O141" s="5" t="s">
        <v>5072</v>
      </c>
      <c r="P141" s="5" t="s">
        <v>8021</v>
      </c>
      <c r="Q141" s="5"/>
      <c r="R141" s="5" t="b">
        <v>1</v>
      </c>
    </row>
    <row r="142" spans="1:18">
      <c r="A142" t="s">
        <v>3007</v>
      </c>
      <c r="B142" t="s">
        <v>5005</v>
      </c>
      <c r="C142" s="5" t="s">
        <v>7816</v>
      </c>
      <c r="D142" s="1">
        <v>3</v>
      </c>
      <c r="E142" s="1">
        <v>7</v>
      </c>
      <c r="F142" s="1">
        <v>80</v>
      </c>
      <c r="G142" s="1">
        <v>82</v>
      </c>
      <c r="H142" s="8" cm="1">
        <f t="array" ref="H142">_xlfn.LET(_xlpm.s,IFERROR(--F142,""),_xlpm.e,IFERROR(--G142,""),IF(OR(_xlpm.s="",_xlpm.e="",_xlpm.e&lt;_xlpm.s),"",_xlfn.LET(_xlpm.p,_xlfn.SEQUENCE(_xlpm.e-_xlpm.s+1,1,_xlpm.s,1),SUM(1/COUNTIFS($D:$D,D142,$E:$E,E142,$F:$F,"&lt;&gt;N/A",$G:$G,"&lt;&gt;N/A",$F:$F,"&lt;="&amp;_xlpm.p,$G:$G,"&gt;="&amp;_xlpm.p)))))</f>
        <v>2.5</v>
      </c>
      <c r="I142" t="s">
        <v>210</v>
      </c>
      <c r="J142" t="s">
        <v>588</v>
      </c>
      <c r="K142" s="5" t="s">
        <v>7</v>
      </c>
      <c r="L142" s="5" t="s">
        <v>7</v>
      </c>
      <c r="M142" s="5" t="s">
        <v>5019</v>
      </c>
      <c r="N142" t="s">
        <v>8044</v>
      </c>
      <c r="O142" s="5" t="s">
        <v>5072</v>
      </c>
      <c r="P142" s="5" t="s">
        <v>8021</v>
      </c>
      <c r="Q142" s="5"/>
      <c r="R142" s="5" t="b">
        <v>1</v>
      </c>
    </row>
    <row r="143" spans="1:18">
      <c r="A143" t="s">
        <v>3007</v>
      </c>
      <c r="B143" t="s">
        <v>3461</v>
      </c>
      <c r="C143" s="5" t="s">
        <v>7817</v>
      </c>
      <c r="D143" s="1">
        <v>3</v>
      </c>
      <c r="E143" s="1">
        <v>8</v>
      </c>
      <c r="F143" s="1">
        <v>83</v>
      </c>
      <c r="G143" s="1">
        <v>111</v>
      </c>
      <c r="H143" s="8" cm="1">
        <f t="array" ref="H143">_xlfn.LET(_xlpm.s,IFERROR(--F143,""),_xlpm.e,IFERROR(--G143,""),IF(OR(_xlpm.s="",_xlpm.e="",_xlpm.e&lt;_xlpm.s),"",_xlfn.LET(_xlpm.p,_xlfn.SEQUENCE(_xlpm.e-_xlpm.s+1,1,_xlpm.s,1),SUM(1/COUNTIFS($D:$D,D143,$E:$E,E143,$F:$F,"&lt;&gt;N/A",$G:$G,"&lt;&gt;N/A",$F:$F,"&lt;="&amp;_xlpm.p,$G:$G,"&gt;="&amp;_xlpm.p)))))</f>
        <v>28.5</v>
      </c>
      <c r="I143" t="s">
        <v>14</v>
      </c>
      <c r="J143" t="s">
        <v>1277</v>
      </c>
      <c r="K143" t="s">
        <v>4521</v>
      </c>
      <c r="L143" s="5" t="s">
        <v>7</v>
      </c>
      <c r="M143" t="s">
        <v>5535</v>
      </c>
      <c r="N143" s="5" t="s">
        <v>6373</v>
      </c>
      <c r="O143" s="5" t="s">
        <v>5072</v>
      </c>
      <c r="P143" s="5" t="s">
        <v>8021</v>
      </c>
      <c r="Q143" s="5"/>
      <c r="R143" s="5" t="b">
        <v>1</v>
      </c>
    </row>
    <row r="144" spans="1:18">
      <c r="A144" t="s">
        <v>3007</v>
      </c>
      <c r="B144" t="s">
        <v>3462</v>
      </c>
      <c r="C144" s="5" t="s">
        <v>7817</v>
      </c>
      <c r="D144" s="1">
        <v>3</v>
      </c>
      <c r="E144" s="1">
        <v>8</v>
      </c>
      <c r="F144" s="1">
        <v>111</v>
      </c>
      <c r="G144" s="1">
        <v>121</v>
      </c>
      <c r="H144" s="8" cm="1">
        <f t="array" ref="H144">_xlfn.LET(_xlpm.s,IFERROR(--F144,""),_xlpm.e,IFERROR(--G144,""),IF(OR(_xlpm.s="",_xlpm.e="",_xlpm.e&lt;_xlpm.s),"",_xlfn.LET(_xlpm.p,_xlfn.SEQUENCE(_xlpm.e-_xlpm.s+1,1,_xlpm.s,1),SUM(1/COUNTIFS($D:$D,D144,$E:$E,E144,$F:$F,"&lt;&gt;N/A",$G:$G,"&lt;&gt;N/A",$F:$F,"&lt;="&amp;_xlpm.p,$G:$G,"&gt;="&amp;_xlpm.p)))))</f>
        <v>10</v>
      </c>
      <c r="I144" t="s">
        <v>200</v>
      </c>
      <c r="J144" t="s">
        <v>589</v>
      </c>
      <c r="K144" s="5" t="s">
        <v>7</v>
      </c>
      <c r="L144" s="5" t="s">
        <v>7</v>
      </c>
      <c r="M144" t="s">
        <v>5020</v>
      </c>
      <c r="N144" s="5" t="s">
        <v>11551</v>
      </c>
      <c r="O144" s="5" t="s">
        <v>5072</v>
      </c>
      <c r="P144" s="5" t="s">
        <v>8021</v>
      </c>
      <c r="Q144" s="5"/>
      <c r="R144" s="5" t="b">
        <v>1</v>
      </c>
    </row>
    <row r="145" spans="1:18">
      <c r="A145" t="s">
        <v>3007</v>
      </c>
      <c r="B145" t="s">
        <v>3463</v>
      </c>
      <c r="C145" s="5" t="s">
        <v>7817</v>
      </c>
      <c r="D145" s="1">
        <v>3</v>
      </c>
      <c r="E145" s="1">
        <v>8</v>
      </c>
      <c r="F145" s="1">
        <v>121</v>
      </c>
      <c r="G145" s="1">
        <v>126</v>
      </c>
      <c r="H145" s="8" cm="1">
        <f t="array" ref="H145">_xlfn.LET(_xlpm.s,IFERROR(--F145,""),_xlpm.e,IFERROR(--G145,""),IF(OR(_xlpm.s="",_xlpm.e="",_xlpm.e&lt;_xlpm.s),"",_xlfn.LET(_xlpm.p,_xlfn.SEQUENCE(_xlpm.e-_xlpm.s+1,1,_xlpm.s,1),SUM(1/COUNTIFS($D:$D,D145,$E:$E,E145,$F:$F,"&lt;&gt;N/A",$G:$G,"&lt;&gt;N/A",$F:$F,"&lt;="&amp;_xlpm.p,$G:$G,"&gt;="&amp;_xlpm.p)))))</f>
        <v>5</v>
      </c>
      <c r="I145" t="s">
        <v>200</v>
      </c>
      <c r="J145" t="s">
        <v>1262</v>
      </c>
      <c r="K145" s="5" t="s">
        <v>7</v>
      </c>
      <c r="L145" s="5" t="s">
        <v>7</v>
      </c>
      <c r="M145" t="s">
        <v>5020</v>
      </c>
      <c r="N145" s="5" t="s">
        <v>11552</v>
      </c>
      <c r="O145" s="5" t="s">
        <v>5072</v>
      </c>
      <c r="P145" s="5" t="s">
        <v>8021</v>
      </c>
      <c r="Q145" s="5"/>
      <c r="R145" s="5" t="b">
        <v>1</v>
      </c>
    </row>
    <row r="146" spans="1:18">
      <c r="A146" t="s">
        <v>3007</v>
      </c>
      <c r="B146" t="s">
        <v>3464</v>
      </c>
      <c r="C146" s="5" t="s">
        <v>7817</v>
      </c>
      <c r="D146" s="1">
        <v>3</v>
      </c>
      <c r="E146" s="1">
        <v>8</v>
      </c>
      <c r="F146" s="1">
        <v>126</v>
      </c>
      <c r="G146" s="1">
        <v>128</v>
      </c>
      <c r="H146" s="8" cm="1">
        <f t="array" ref="H146">_xlfn.LET(_xlpm.s,IFERROR(--F146,""),_xlpm.e,IFERROR(--G146,""),IF(OR(_xlpm.s="",_xlpm.e="",_xlpm.e&lt;_xlpm.s),"",_xlfn.LET(_xlpm.p,_xlfn.SEQUENCE(_xlpm.e-_xlpm.s+1,1,_xlpm.s,1),SUM(1/COUNTIFS($D:$D,D146,$E:$E,E146,$F:$F,"&lt;&gt;N/A",$G:$G,"&lt;&gt;N/A",$F:$F,"&lt;="&amp;_xlpm.p,$G:$G,"&gt;="&amp;_xlpm.p)))))</f>
        <v>1.8333333333333333</v>
      </c>
      <c r="I146" t="s">
        <v>205</v>
      </c>
      <c r="J146" t="s">
        <v>10738</v>
      </c>
      <c r="K146" s="5" t="s">
        <v>7</v>
      </c>
      <c r="L146" s="5" t="s">
        <v>7</v>
      </c>
      <c r="M146" s="5" t="s">
        <v>7</v>
      </c>
      <c r="N146" s="5" t="s">
        <v>2717</v>
      </c>
      <c r="O146" s="5" t="s">
        <v>11522</v>
      </c>
      <c r="P146" s="5" t="s">
        <v>8021</v>
      </c>
      <c r="Q146" s="5"/>
      <c r="R146" s="5" t="b">
        <v>1</v>
      </c>
    </row>
    <row r="147" spans="1:18">
      <c r="A147" t="s">
        <v>3007</v>
      </c>
      <c r="B147" t="s">
        <v>3465</v>
      </c>
      <c r="C147" s="5" t="s">
        <v>7817</v>
      </c>
      <c r="D147" s="1">
        <v>3</v>
      </c>
      <c r="E147" s="1">
        <v>8</v>
      </c>
      <c r="F147" s="1">
        <v>128</v>
      </c>
      <c r="G147" s="1">
        <v>128</v>
      </c>
      <c r="H147" s="8" cm="1">
        <f t="array" ref="H147">_xlfn.LET(_xlpm.s,IFERROR(--F147,""),_xlpm.e,IFERROR(--G147,""),IF(OR(_xlpm.s="",_xlpm.e="",_xlpm.e&lt;_xlpm.s),"",_xlfn.LET(_xlpm.p,_xlfn.SEQUENCE(_xlpm.e-_xlpm.s+1,1,_xlpm.s,1),SUM(1/COUNTIFS($D:$D,D147,$E:$E,E147,$F:$F,"&lt;&gt;N/A",$G:$G,"&lt;&gt;N/A",$F:$F,"&lt;="&amp;_xlpm.p,$G:$G,"&gt;="&amp;_xlpm.p)))))</f>
        <v>0.33333333333333331</v>
      </c>
      <c r="I147" t="s">
        <v>205</v>
      </c>
      <c r="J147" t="s">
        <v>590</v>
      </c>
      <c r="K147" s="5" t="s">
        <v>7</v>
      </c>
      <c r="L147" s="5" t="s">
        <v>7</v>
      </c>
      <c r="M147" s="5" t="s">
        <v>7</v>
      </c>
      <c r="N147" s="5" t="s">
        <v>2721</v>
      </c>
      <c r="O147" s="5" t="s">
        <v>11522</v>
      </c>
      <c r="P147" s="5" t="s">
        <v>8021</v>
      </c>
      <c r="Q147" s="5"/>
      <c r="R147" s="5" t="b">
        <v>1</v>
      </c>
    </row>
    <row r="148" spans="1:18">
      <c r="A148" t="s">
        <v>3007</v>
      </c>
      <c r="B148" t="s">
        <v>3466</v>
      </c>
      <c r="C148" s="5" t="s">
        <v>7817</v>
      </c>
      <c r="D148" s="1">
        <v>3</v>
      </c>
      <c r="E148" s="1">
        <v>8</v>
      </c>
      <c r="F148" s="1">
        <v>128</v>
      </c>
      <c r="G148" s="1">
        <v>129</v>
      </c>
      <c r="H148" s="8" cm="1">
        <f t="array" ref="H148">_xlfn.LET(_xlpm.s,IFERROR(--F148,""),_xlpm.e,IFERROR(--G148,""),IF(OR(_xlpm.s="",_xlpm.e="",_xlpm.e&lt;_xlpm.s),"",_xlfn.LET(_xlpm.p,_xlfn.SEQUENCE(_xlpm.e-_xlpm.s+1,1,_xlpm.s,1),SUM(1/COUNTIFS($D:$D,D148,$E:$E,E148,$F:$F,"&lt;&gt;N/A",$G:$G,"&lt;&gt;N/A",$F:$F,"&lt;="&amp;_xlpm.p,$G:$G,"&gt;="&amp;_xlpm.p)))))</f>
        <v>0.83333333333333326</v>
      </c>
      <c r="I148" t="s">
        <v>205</v>
      </c>
      <c r="J148" t="s">
        <v>2719</v>
      </c>
      <c r="K148" s="5" t="s">
        <v>7</v>
      </c>
      <c r="L148" s="5" t="s">
        <v>7</v>
      </c>
      <c r="M148" s="5" t="s">
        <v>7</v>
      </c>
      <c r="N148" s="5" t="s">
        <v>2720</v>
      </c>
      <c r="O148" s="5" t="s">
        <v>11522</v>
      </c>
      <c r="P148" s="5" t="s">
        <v>8021</v>
      </c>
      <c r="Q148" s="5"/>
      <c r="R148" s="5" t="b">
        <v>1</v>
      </c>
    </row>
    <row r="149" spans="1:18">
      <c r="A149" t="s">
        <v>3007</v>
      </c>
      <c r="B149" t="s">
        <v>3467</v>
      </c>
      <c r="C149" s="5" t="s">
        <v>7817</v>
      </c>
      <c r="D149" s="1">
        <v>3</v>
      </c>
      <c r="E149" s="1">
        <v>8</v>
      </c>
      <c r="F149" s="1">
        <v>129</v>
      </c>
      <c r="G149" s="1">
        <v>130</v>
      </c>
      <c r="H149" s="8" cm="1">
        <f t="array" ref="H149">_xlfn.LET(_xlpm.s,IFERROR(--F149,""),_xlpm.e,IFERROR(--G149,""),IF(OR(_xlpm.s="",_xlpm.e="",_xlpm.e&lt;_xlpm.s),"",_xlfn.LET(_xlpm.p,_xlfn.SEQUENCE(_xlpm.e-_xlpm.s+1,1,_xlpm.s,1),SUM(1/COUNTIFS($D:$D,D149,$E:$E,E149,$F:$F,"&lt;&gt;N/A",$G:$G,"&lt;&gt;N/A",$F:$F,"&lt;="&amp;_xlpm.p,$G:$G,"&gt;="&amp;_xlpm.p)))))</f>
        <v>1</v>
      </c>
      <c r="I149" t="s">
        <v>205</v>
      </c>
      <c r="J149" t="s">
        <v>591</v>
      </c>
      <c r="K149" s="5" t="s">
        <v>7</v>
      </c>
      <c r="L149" s="5" t="s">
        <v>7</v>
      </c>
      <c r="M149" t="s">
        <v>5019</v>
      </c>
      <c r="N149" s="5" t="s">
        <v>2716</v>
      </c>
      <c r="O149" s="5" t="s">
        <v>11522</v>
      </c>
      <c r="P149" s="5" t="s">
        <v>8021</v>
      </c>
      <c r="Q149" s="5"/>
      <c r="R149" s="5" t="b">
        <v>1</v>
      </c>
    </row>
    <row r="150" spans="1:18">
      <c r="A150" t="s">
        <v>3007</v>
      </c>
      <c r="B150" t="s">
        <v>3468</v>
      </c>
      <c r="C150" s="5" t="s">
        <v>7817</v>
      </c>
      <c r="D150" s="1">
        <v>3</v>
      </c>
      <c r="E150" s="1">
        <v>8</v>
      </c>
      <c r="F150" s="1">
        <v>130</v>
      </c>
      <c r="G150" s="1">
        <v>131</v>
      </c>
      <c r="H150" s="8" cm="1">
        <f t="array" ref="H150">_xlfn.LET(_xlpm.s,IFERROR(--F150,""),_xlpm.e,IFERROR(--G150,""),IF(OR(_xlpm.s="",_xlpm.e="",_xlpm.e&lt;_xlpm.s),"",_xlfn.LET(_xlpm.p,_xlfn.SEQUENCE(_xlpm.e-_xlpm.s+1,1,_xlpm.s,1),SUM(1/COUNTIFS($D:$D,D150,$E:$E,E150,$F:$F,"&lt;&gt;N/A",$G:$G,"&lt;&gt;N/A",$F:$F,"&lt;="&amp;_xlpm.p,$G:$G,"&gt;="&amp;_xlpm.p)))))</f>
        <v>1</v>
      </c>
      <c r="I150" t="s">
        <v>205</v>
      </c>
      <c r="J150" t="s">
        <v>1261</v>
      </c>
      <c r="K150" s="5" t="s">
        <v>7</v>
      </c>
      <c r="L150" s="5" t="s">
        <v>7</v>
      </c>
      <c r="M150" t="s">
        <v>5019</v>
      </c>
      <c r="N150" s="5" t="s">
        <v>2715</v>
      </c>
      <c r="O150" s="5" t="s">
        <v>5072</v>
      </c>
      <c r="P150" s="5" t="s">
        <v>8021</v>
      </c>
      <c r="Q150" s="5"/>
      <c r="R150" s="5" t="b">
        <v>1</v>
      </c>
    </row>
    <row r="151" spans="1:18">
      <c r="A151" t="s">
        <v>3007</v>
      </c>
      <c r="B151" t="s">
        <v>3469</v>
      </c>
      <c r="C151" s="5" t="s">
        <v>7817</v>
      </c>
      <c r="D151" s="1">
        <v>3</v>
      </c>
      <c r="E151" s="1">
        <v>8</v>
      </c>
      <c r="F151" s="1">
        <v>131</v>
      </c>
      <c r="G151" s="1">
        <v>133</v>
      </c>
      <c r="H151" s="8" cm="1">
        <f t="array" ref="H151">_xlfn.LET(_xlpm.s,IFERROR(--F151,""),_xlpm.e,IFERROR(--G151,""),IF(OR(_xlpm.s="",_xlpm.e="",_xlpm.e&lt;_xlpm.s),"",_xlfn.LET(_xlpm.p,_xlfn.SEQUENCE(_xlpm.e-_xlpm.s+1,1,_xlpm.s,1),SUM(1/COUNTIFS($D:$D,D151,$E:$E,E151,$F:$F,"&lt;&gt;N/A",$G:$G,"&lt;&gt;N/A",$F:$F,"&lt;="&amp;_xlpm.p,$G:$G,"&gt;="&amp;_xlpm.p)))))</f>
        <v>2</v>
      </c>
      <c r="I151" t="s">
        <v>208</v>
      </c>
      <c r="J151" t="s">
        <v>592</v>
      </c>
      <c r="K151" s="5" t="s">
        <v>7</v>
      </c>
      <c r="L151" s="5" t="s">
        <v>7</v>
      </c>
      <c r="M151" s="5" t="s">
        <v>5559</v>
      </c>
      <c r="N151" s="5" t="s">
        <v>2722</v>
      </c>
      <c r="O151" s="5" t="s">
        <v>5072</v>
      </c>
      <c r="P151" s="5" t="s">
        <v>8021</v>
      </c>
      <c r="Q151" s="5"/>
      <c r="R151" s="5" t="b">
        <v>1</v>
      </c>
    </row>
    <row r="152" spans="1:18">
      <c r="A152" t="s">
        <v>3007</v>
      </c>
      <c r="B152" t="s">
        <v>3470</v>
      </c>
      <c r="C152" s="5" t="s">
        <v>7817</v>
      </c>
      <c r="D152" s="1">
        <v>3</v>
      </c>
      <c r="E152" s="1">
        <v>8</v>
      </c>
      <c r="F152" s="1">
        <v>133</v>
      </c>
      <c r="G152" s="1">
        <v>139</v>
      </c>
      <c r="H152" s="8" cm="1">
        <f t="array" ref="H152">_xlfn.LET(_xlpm.s,IFERROR(--F152,""),_xlpm.e,IFERROR(--G152,""),IF(OR(_xlpm.s="",_xlpm.e="",_xlpm.e&lt;_xlpm.s),"",_xlfn.LET(_xlpm.p,_xlfn.SEQUENCE(_xlpm.e-_xlpm.s+1,1,_xlpm.s,1),SUM(1/COUNTIFS($D:$D,D152,$E:$E,E152,$F:$F,"&lt;&gt;N/A",$G:$G,"&lt;&gt;N/A",$F:$F,"&lt;="&amp;_xlpm.p,$G:$G,"&gt;="&amp;_xlpm.p)))))</f>
        <v>6.5</v>
      </c>
      <c r="I152" t="s">
        <v>208</v>
      </c>
      <c r="J152" t="s">
        <v>6375</v>
      </c>
      <c r="K152" s="5" t="s">
        <v>7</v>
      </c>
      <c r="L152" s="5" t="s">
        <v>7</v>
      </c>
      <c r="M152" s="5" t="s">
        <v>5559</v>
      </c>
      <c r="N152" s="5" t="s">
        <v>2723</v>
      </c>
      <c r="O152" s="5" t="s">
        <v>5072</v>
      </c>
      <c r="P152" s="5" t="s">
        <v>8021</v>
      </c>
      <c r="Q152" s="5"/>
      <c r="R152" s="5" t="b">
        <v>1</v>
      </c>
    </row>
    <row r="153" spans="1:18">
      <c r="A153" t="s">
        <v>3007</v>
      </c>
      <c r="B153" t="s">
        <v>3471</v>
      </c>
      <c r="C153" s="5" t="s">
        <v>7817</v>
      </c>
      <c r="D153" s="1">
        <v>3</v>
      </c>
      <c r="E153" s="1">
        <v>8</v>
      </c>
      <c r="F153" s="1">
        <v>140</v>
      </c>
      <c r="G153" s="1">
        <v>140</v>
      </c>
      <c r="H153" s="8" cm="1">
        <f t="array" ref="H153">_xlfn.LET(_xlpm.s,IFERROR(--F153,""),_xlpm.e,IFERROR(--G153,""),IF(OR(_xlpm.s="",_xlpm.e="",_xlpm.e&lt;_xlpm.s),"",_xlfn.LET(_xlpm.p,_xlfn.SEQUENCE(_xlpm.e-_xlpm.s+1,1,_xlpm.s,1),SUM(1/COUNTIFS($D:$D,D153,$E:$E,E153,$F:$F,"&lt;&gt;N/A",$G:$G,"&lt;&gt;N/A",$F:$F,"&lt;="&amp;_xlpm.p,$G:$G,"&gt;="&amp;_xlpm.p)))))</f>
        <v>1</v>
      </c>
      <c r="I153" t="s">
        <v>208</v>
      </c>
      <c r="J153" t="s">
        <v>6374</v>
      </c>
      <c r="K153" s="5" t="s">
        <v>7</v>
      </c>
      <c r="L153" s="5" t="s">
        <v>7</v>
      </c>
      <c r="M153" s="5" t="s">
        <v>5559</v>
      </c>
      <c r="N153" s="5" t="s">
        <v>2724</v>
      </c>
      <c r="O153" s="5" t="s">
        <v>5072</v>
      </c>
      <c r="P153" s="5" t="s">
        <v>8021</v>
      </c>
      <c r="Q153" s="5"/>
      <c r="R153" s="5" t="b">
        <v>1</v>
      </c>
    </row>
    <row r="154" spans="1:18">
      <c r="A154" t="s">
        <v>3007</v>
      </c>
      <c r="B154" t="s">
        <v>3472</v>
      </c>
      <c r="C154" s="5" t="s">
        <v>7817</v>
      </c>
      <c r="D154" s="1">
        <v>3</v>
      </c>
      <c r="E154" s="1">
        <v>8</v>
      </c>
      <c r="F154" s="1">
        <v>141</v>
      </c>
      <c r="G154" s="1">
        <v>141</v>
      </c>
      <c r="H154" s="8" cm="1">
        <f t="array" ref="H154">_xlfn.LET(_xlpm.s,IFERROR(--F154,""),_xlpm.e,IFERROR(--G154,""),IF(OR(_xlpm.s="",_xlpm.e="",_xlpm.e&lt;_xlpm.s),"",_xlfn.LET(_xlpm.p,_xlfn.SEQUENCE(_xlpm.e-_xlpm.s+1,1,_xlpm.s,1),SUM(1/COUNTIFS($D:$D,D154,$E:$E,E154,$F:$F,"&lt;&gt;N/A",$G:$G,"&lt;&gt;N/A",$F:$F,"&lt;="&amp;_xlpm.p,$G:$G,"&gt;="&amp;_xlpm.p)))))</f>
        <v>0.5</v>
      </c>
      <c r="I154" t="s">
        <v>208</v>
      </c>
      <c r="J154" t="s">
        <v>2714</v>
      </c>
      <c r="K154" s="5" t="s">
        <v>7</v>
      </c>
      <c r="L154" s="5" t="s">
        <v>6377</v>
      </c>
      <c r="M154" t="s">
        <v>6366</v>
      </c>
      <c r="N154" s="5" t="s">
        <v>6378</v>
      </c>
      <c r="O154" s="5" t="s">
        <v>5072</v>
      </c>
      <c r="P154" s="5" t="s">
        <v>8021</v>
      </c>
      <c r="Q154" s="5"/>
      <c r="R154" s="5" t="b">
        <v>1</v>
      </c>
    </row>
    <row r="155" spans="1:18">
      <c r="A155" t="s">
        <v>3007</v>
      </c>
      <c r="B155" t="s">
        <v>3473</v>
      </c>
      <c r="C155" s="5" t="s">
        <v>7817</v>
      </c>
      <c r="D155" s="1">
        <v>3</v>
      </c>
      <c r="E155" s="1">
        <v>8</v>
      </c>
      <c r="F155" s="1">
        <v>141</v>
      </c>
      <c r="G155" s="1">
        <v>141</v>
      </c>
      <c r="H155" s="8" cm="1">
        <f t="array" ref="H155">_xlfn.LET(_xlpm.s,IFERROR(--F155,""),_xlpm.e,IFERROR(--G155,""),IF(OR(_xlpm.s="",_xlpm.e="",_xlpm.e&lt;_xlpm.s),"",_xlfn.LET(_xlpm.p,_xlfn.SEQUENCE(_xlpm.e-_xlpm.s+1,1,_xlpm.s,1),SUM(1/COUNTIFS($D:$D,D155,$E:$E,E155,$F:$F,"&lt;&gt;N/A",$G:$G,"&lt;&gt;N/A",$F:$F,"&lt;="&amp;_xlpm.p,$G:$G,"&gt;="&amp;_xlpm.p)))))</f>
        <v>0.5</v>
      </c>
      <c r="I155" t="s">
        <v>208</v>
      </c>
      <c r="J155" t="s">
        <v>593</v>
      </c>
      <c r="K155" s="5" t="s">
        <v>7</v>
      </c>
      <c r="L155" s="5" t="s">
        <v>4550</v>
      </c>
      <c r="M155" t="s">
        <v>6366</v>
      </c>
      <c r="N155" s="5" t="s">
        <v>6379</v>
      </c>
      <c r="O155" s="5" t="s">
        <v>5072</v>
      </c>
      <c r="P155" s="5" t="s">
        <v>8021</v>
      </c>
      <c r="Q155" s="5"/>
      <c r="R155" s="5" t="b">
        <v>1</v>
      </c>
    </row>
    <row r="156" spans="1:18">
      <c r="A156" t="s">
        <v>3007</v>
      </c>
      <c r="B156" t="s">
        <v>3474</v>
      </c>
      <c r="C156" s="5" t="s">
        <v>7817</v>
      </c>
      <c r="D156" s="1">
        <v>3</v>
      </c>
      <c r="E156" s="1">
        <v>8</v>
      </c>
      <c r="F156" s="1">
        <v>142</v>
      </c>
      <c r="G156" s="1">
        <v>142</v>
      </c>
      <c r="H156" s="8" cm="1">
        <f t="array" ref="H156">_xlfn.LET(_xlpm.s,IFERROR(--F156,""),_xlpm.e,IFERROR(--G156,""),IF(OR(_xlpm.s="",_xlpm.e="",_xlpm.e&lt;_xlpm.s),"",_xlfn.LET(_xlpm.p,_xlfn.SEQUENCE(_xlpm.e-_xlpm.s+1,1,_xlpm.s,1),SUM(1/COUNTIFS($D:$D,D156,$E:$E,E156,$F:$F,"&lt;&gt;N/A",$G:$G,"&lt;&gt;N/A",$F:$F,"&lt;="&amp;_xlpm.p,$G:$G,"&gt;="&amp;_xlpm.p)))))</f>
        <v>1</v>
      </c>
      <c r="I156" t="s">
        <v>208</v>
      </c>
      <c r="J156" t="s">
        <v>6376</v>
      </c>
      <c r="K156" s="5" t="s">
        <v>7</v>
      </c>
      <c r="L156" s="5" t="s">
        <v>4551</v>
      </c>
      <c r="M156" t="s">
        <v>6366</v>
      </c>
      <c r="N156" s="5" t="s">
        <v>6380</v>
      </c>
      <c r="O156" s="5" t="s">
        <v>5072</v>
      </c>
      <c r="P156" s="5" t="s">
        <v>8021</v>
      </c>
      <c r="Q156" s="5"/>
      <c r="R156" s="5" t="b">
        <v>1</v>
      </c>
    </row>
    <row r="157" spans="1:18">
      <c r="A157" t="s">
        <v>3007</v>
      </c>
      <c r="B157" t="s">
        <v>3475</v>
      </c>
      <c r="C157" s="5" t="s">
        <v>7817</v>
      </c>
      <c r="D157" s="1">
        <v>3</v>
      </c>
      <c r="E157" s="1">
        <v>8</v>
      </c>
      <c r="F157" s="1">
        <v>143</v>
      </c>
      <c r="G157" s="1">
        <v>143</v>
      </c>
      <c r="H157" s="8" cm="1">
        <f t="array" ref="H157">_xlfn.LET(_xlpm.s,IFERROR(--F157,""),_xlpm.e,IFERROR(--G157,""),IF(OR(_xlpm.s="",_xlpm.e="",_xlpm.e&lt;_xlpm.s),"",_xlfn.LET(_xlpm.p,_xlfn.SEQUENCE(_xlpm.e-_xlpm.s+1,1,_xlpm.s,1),SUM(1/COUNTIFS($D:$D,D157,$E:$E,E157,$F:$F,"&lt;&gt;N/A",$G:$G,"&lt;&gt;N/A",$F:$F,"&lt;="&amp;_xlpm.p,$G:$G,"&gt;="&amp;_xlpm.p)))))</f>
        <v>1</v>
      </c>
      <c r="I157" t="s">
        <v>209</v>
      </c>
      <c r="J157" t="s">
        <v>622</v>
      </c>
      <c r="K157" s="5" t="s">
        <v>7</v>
      </c>
      <c r="L157" s="5" t="s">
        <v>7</v>
      </c>
      <c r="M157" s="5" t="s">
        <v>7</v>
      </c>
      <c r="N157" s="5" t="s">
        <v>7</v>
      </c>
      <c r="O157" s="5" t="s">
        <v>11522</v>
      </c>
      <c r="P157" s="5" t="s">
        <v>8021</v>
      </c>
      <c r="Q157" s="5" t="s">
        <v>2706</v>
      </c>
      <c r="R157" s="5" t="b">
        <v>1</v>
      </c>
    </row>
    <row r="158" spans="1:18">
      <c r="A158" t="s">
        <v>3007</v>
      </c>
      <c r="B158" t="s">
        <v>3476</v>
      </c>
      <c r="C158" s="5" t="s">
        <v>7817</v>
      </c>
      <c r="D158" s="1">
        <v>3</v>
      </c>
      <c r="E158" s="1">
        <v>8</v>
      </c>
      <c r="F158" s="1">
        <v>144</v>
      </c>
      <c r="G158" s="1">
        <v>144</v>
      </c>
      <c r="H158" s="8" cm="1">
        <f t="array" ref="H158">_xlfn.LET(_xlpm.s,IFERROR(--F158,""),_xlpm.e,IFERROR(--G158,""),IF(OR(_xlpm.s="",_xlpm.e="",_xlpm.e&lt;_xlpm.s),"",_xlfn.LET(_xlpm.p,_xlfn.SEQUENCE(_xlpm.e-_xlpm.s+1,1,_xlpm.s,1),SUM(1/COUNTIFS($D:$D,D158,$E:$E,E158,$F:$F,"&lt;&gt;N/A",$G:$G,"&lt;&gt;N/A",$F:$F,"&lt;="&amp;_xlpm.p,$G:$G,"&gt;="&amp;_xlpm.p)))))</f>
        <v>1</v>
      </c>
      <c r="I158" t="s">
        <v>210</v>
      </c>
      <c r="J158" t="s">
        <v>536</v>
      </c>
      <c r="K158" s="5" t="s">
        <v>7</v>
      </c>
      <c r="L158" s="5" t="s">
        <v>7</v>
      </c>
      <c r="M158" t="s">
        <v>5019</v>
      </c>
      <c r="N158" s="5" t="s">
        <v>2725</v>
      </c>
      <c r="O158" s="5" t="s">
        <v>5072</v>
      </c>
      <c r="P158" s="5" t="s">
        <v>8021</v>
      </c>
      <c r="Q158" s="5"/>
      <c r="R158" s="5" t="b">
        <v>1</v>
      </c>
    </row>
    <row r="159" spans="1:18">
      <c r="A159" t="s">
        <v>3007</v>
      </c>
      <c r="B159" t="s">
        <v>10739</v>
      </c>
      <c r="C159" s="5" t="s">
        <v>7818</v>
      </c>
      <c r="D159" s="1">
        <v>3</v>
      </c>
      <c r="E159" s="1">
        <v>9</v>
      </c>
      <c r="F159" s="1">
        <v>145</v>
      </c>
      <c r="G159" s="1">
        <v>147</v>
      </c>
      <c r="H159" s="8" cm="1">
        <f t="array" ref="H159">_xlfn.LET(_xlpm.s,IFERROR(--F159,""),_xlpm.e,IFERROR(--G159,""),IF(OR(_xlpm.s="",_xlpm.e="",_xlpm.e&lt;_xlpm.s),"",_xlfn.LET(_xlpm.p,_xlfn.SEQUENCE(_xlpm.e-_xlpm.s+1,1,_xlpm.s,1),SUM(1/COUNTIFS($D:$D,D159,$E:$E,E159,$F:$F,"&lt;&gt;N/A",$G:$G,"&lt;&gt;N/A",$F:$F,"&lt;="&amp;_xlpm.p,$G:$G,"&gt;="&amp;_xlpm.p)))))</f>
        <v>3</v>
      </c>
      <c r="I159" t="s">
        <v>14</v>
      </c>
      <c r="J159" t="s">
        <v>596</v>
      </c>
      <c r="K159" s="5" t="s">
        <v>7</v>
      </c>
      <c r="L159" s="5" t="s">
        <v>7</v>
      </c>
      <c r="M159" s="5" t="s">
        <v>7</v>
      </c>
      <c r="N159" s="5" t="s">
        <v>1278</v>
      </c>
      <c r="O159" s="5" t="s">
        <v>5072</v>
      </c>
      <c r="P159" s="5" t="s">
        <v>8036</v>
      </c>
      <c r="Q159" s="5"/>
      <c r="R159" s="5" t="b">
        <v>1</v>
      </c>
    </row>
    <row r="160" spans="1:18">
      <c r="A160" t="s">
        <v>3007</v>
      </c>
      <c r="B160" t="s">
        <v>3477</v>
      </c>
      <c r="C160" s="5" t="s">
        <v>7818</v>
      </c>
      <c r="D160" s="1">
        <v>3</v>
      </c>
      <c r="E160" s="1">
        <v>9</v>
      </c>
      <c r="F160" s="1">
        <v>148</v>
      </c>
      <c r="G160" s="1">
        <v>151</v>
      </c>
      <c r="H160" s="8" cm="1">
        <f t="array" ref="H160">_xlfn.LET(_xlpm.s,IFERROR(--F160,""),_xlpm.e,IFERROR(--G160,""),IF(OR(_xlpm.s="",_xlpm.e="",_xlpm.e&lt;_xlpm.s),"",_xlfn.LET(_xlpm.p,_xlfn.SEQUENCE(_xlpm.e-_xlpm.s+1,1,_xlpm.s,1),SUM(1/COUNTIFS($D:$D,D160,$E:$E,E160,$F:$F,"&lt;&gt;N/A",$G:$G,"&lt;&gt;N/A",$F:$F,"&lt;="&amp;_xlpm.p,$G:$G,"&gt;="&amp;_xlpm.p)))))</f>
        <v>4</v>
      </c>
      <c r="I160" t="s">
        <v>14</v>
      </c>
      <c r="J160" t="s">
        <v>597</v>
      </c>
      <c r="K160" s="5" t="s">
        <v>4552</v>
      </c>
      <c r="L160" s="5" t="s">
        <v>7</v>
      </c>
      <c r="M160" s="5" t="s">
        <v>7</v>
      </c>
      <c r="N160" s="5" t="s">
        <v>2984</v>
      </c>
      <c r="O160" s="5" t="s">
        <v>5072</v>
      </c>
      <c r="P160" s="5" t="s">
        <v>8092</v>
      </c>
      <c r="Q160" s="5"/>
      <c r="R160" s="5" t="b">
        <v>1</v>
      </c>
    </row>
    <row r="161" spans="1:18">
      <c r="A161" t="s">
        <v>3007</v>
      </c>
      <c r="B161" t="s">
        <v>3478</v>
      </c>
      <c r="C161" s="5" t="s">
        <v>7818</v>
      </c>
      <c r="D161" s="1">
        <v>3</v>
      </c>
      <c r="E161" s="1">
        <v>9</v>
      </c>
      <c r="F161" s="1">
        <v>152</v>
      </c>
      <c r="G161" s="1">
        <v>154</v>
      </c>
      <c r="H161" s="8" cm="1">
        <f t="array" ref="H161">_xlfn.LET(_xlpm.s,IFERROR(--F161,""),_xlpm.e,IFERROR(--G161,""),IF(OR(_xlpm.s="",_xlpm.e="",_xlpm.e&lt;_xlpm.s),"",_xlfn.LET(_xlpm.p,_xlfn.SEQUENCE(_xlpm.e-_xlpm.s+1,1,_xlpm.s,1),SUM(1/COUNTIFS($D:$D,D161,$E:$E,E161,$F:$F,"&lt;&gt;N/A",$G:$G,"&lt;&gt;N/A",$F:$F,"&lt;="&amp;_xlpm.p,$G:$G,"&gt;="&amp;_xlpm.p)))))</f>
        <v>3</v>
      </c>
      <c r="I161" t="s">
        <v>14</v>
      </c>
      <c r="J161" t="s">
        <v>598</v>
      </c>
      <c r="K161" s="5" t="s">
        <v>7</v>
      </c>
      <c r="L161" s="5" t="s">
        <v>7</v>
      </c>
      <c r="M161" s="5" t="s">
        <v>7</v>
      </c>
      <c r="N161" s="5" t="s">
        <v>1489</v>
      </c>
      <c r="O161" s="5" t="s">
        <v>5072</v>
      </c>
      <c r="P161" s="5" t="s">
        <v>8021</v>
      </c>
      <c r="Q161" s="5"/>
      <c r="R161" s="5" t="b">
        <v>1</v>
      </c>
    </row>
    <row r="162" spans="1:18">
      <c r="A162" t="s">
        <v>3007</v>
      </c>
      <c r="B162" t="s">
        <v>3479</v>
      </c>
      <c r="C162" s="5" t="s">
        <v>7818</v>
      </c>
      <c r="D162" s="1">
        <v>3</v>
      </c>
      <c r="E162" s="1">
        <v>9</v>
      </c>
      <c r="F162" s="1">
        <v>155</v>
      </c>
      <c r="G162" s="1">
        <v>159</v>
      </c>
      <c r="H162" s="8" cm="1">
        <f t="array" ref="H162">_xlfn.LET(_xlpm.s,IFERROR(--F162,""),_xlpm.e,IFERROR(--G162,""),IF(OR(_xlpm.s="",_xlpm.e="",_xlpm.e&lt;_xlpm.s),"",_xlfn.LET(_xlpm.p,_xlfn.SEQUENCE(_xlpm.e-_xlpm.s+1,1,_xlpm.s,1),SUM(1/COUNTIFS($D:$D,D162,$E:$E,E162,$F:$F,"&lt;&gt;N/A",$G:$G,"&lt;&gt;N/A",$F:$F,"&lt;="&amp;_xlpm.p,$G:$G,"&gt;="&amp;_xlpm.p)))))</f>
        <v>5</v>
      </c>
      <c r="I162" t="s">
        <v>14</v>
      </c>
      <c r="J162" t="s">
        <v>599</v>
      </c>
      <c r="K162" s="5" t="s">
        <v>7</v>
      </c>
      <c r="L162" s="5" t="s">
        <v>7</v>
      </c>
      <c r="M162" t="s">
        <v>5019</v>
      </c>
      <c r="N162" s="5" t="s">
        <v>11553</v>
      </c>
      <c r="O162" s="5" t="s">
        <v>5072</v>
      </c>
      <c r="P162" s="5" t="s">
        <v>8021</v>
      </c>
      <c r="Q162" s="5"/>
      <c r="R162" s="5" t="b">
        <v>1</v>
      </c>
    </row>
    <row r="163" spans="1:18">
      <c r="A163" t="s">
        <v>3007</v>
      </c>
      <c r="B163" t="s">
        <v>3480</v>
      </c>
      <c r="C163" s="5" t="s">
        <v>7818</v>
      </c>
      <c r="D163" s="1">
        <v>3</v>
      </c>
      <c r="E163" s="1">
        <v>9</v>
      </c>
      <c r="F163" s="1">
        <v>160</v>
      </c>
      <c r="G163" s="1">
        <v>169</v>
      </c>
      <c r="H163" s="8" cm="1">
        <f t="array" ref="H163">_xlfn.LET(_xlpm.s,IFERROR(--F163,""),_xlpm.e,IFERROR(--G163,""),IF(OR(_xlpm.s="",_xlpm.e="",_xlpm.e&lt;_xlpm.s),"",_xlfn.LET(_xlpm.p,_xlfn.SEQUENCE(_xlpm.e-_xlpm.s+1,1,_xlpm.s,1),SUM(1/COUNTIFS($D:$D,D163,$E:$E,E163,$F:$F,"&lt;&gt;N/A",$G:$G,"&lt;&gt;N/A",$F:$F,"&lt;="&amp;_xlpm.p,$G:$G,"&gt;="&amp;_xlpm.p)))))</f>
        <v>9.5</v>
      </c>
      <c r="I163" t="s">
        <v>14</v>
      </c>
      <c r="J163" t="s">
        <v>601</v>
      </c>
      <c r="K163" s="5" t="s">
        <v>4544</v>
      </c>
      <c r="L163" s="5" t="s">
        <v>7</v>
      </c>
      <c r="M163" t="s">
        <v>5021</v>
      </c>
      <c r="N163" t="s">
        <v>8045</v>
      </c>
      <c r="O163" s="5" t="s">
        <v>5072</v>
      </c>
      <c r="P163" s="5" t="s">
        <v>8021</v>
      </c>
      <c r="Q163" s="5"/>
      <c r="R163" s="5" t="b">
        <v>1</v>
      </c>
    </row>
    <row r="164" spans="1:18">
      <c r="A164" t="s">
        <v>3007</v>
      </c>
      <c r="B164" t="s">
        <v>3481</v>
      </c>
      <c r="C164" s="5" t="s">
        <v>7818</v>
      </c>
      <c r="D164" s="1">
        <v>3</v>
      </c>
      <c r="E164" s="1">
        <v>9</v>
      </c>
      <c r="F164" s="1">
        <v>169</v>
      </c>
      <c r="G164" s="1">
        <v>170</v>
      </c>
      <c r="H164" s="8" cm="1">
        <f t="array" ref="H164">_xlfn.LET(_xlpm.s,IFERROR(--F164,""),_xlpm.e,IFERROR(--G164,""),IF(OR(_xlpm.s="",_xlpm.e="",_xlpm.e&lt;_xlpm.s),"",_xlfn.LET(_xlpm.p,_xlfn.SEQUENCE(_xlpm.e-_xlpm.s+1,1,_xlpm.s,1),SUM(1/COUNTIFS($D:$D,D164,$E:$E,E164,$F:$F,"&lt;&gt;N/A",$G:$G,"&lt;&gt;N/A",$F:$F,"&lt;="&amp;_xlpm.p,$G:$G,"&gt;="&amp;_xlpm.p)))))</f>
        <v>1</v>
      </c>
      <c r="I164" t="s">
        <v>14</v>
      </c>
      <c r="J164" t="s">
        <v>600</v>
      </c>
      <c r="K164" s="5" t="s">
        <v>4553</v>
      </c>
      <c r="L164" s="5" t="s">
        <v>7</v>
      </c>
      <c r="M164" t="s">
        <v>5021</v>
      </c>
      <c r="N164" s="5" t="s">
        <v>6365</v>
      </c>
      <c r="O164" s="5" t="s">
        <v>5072</v>
      </c>
      <c r="P164" s="5" t="s">
        <v>8021</v>
      </c>
      <c r="Q164" s="5"/>
      <c r="R164" s="5" t="b">
        <v>1</v>
      </c>
    </row>
    <row r="165" spans="1:18">
      <c r="A165" t="s">
        <v>3007</v>
      </c>
      <c r="B165" t="s">
        <v>3482</v>
      </c>
      <c r="C165" s="5" t="s">
        <v>7818</v>
      </c>
      <c r="D165" s="1">
        <v>3</v>
      </c>
      <c r="E165" s="1">
        <v>9</v>
      </c>
      <c r="F165" s="1">
        <v>170</v>
      </c>
      <c r="G165" s="1">
        <v>187</v>
      </c>
      <c r="H165" s="8" cm="1">
        <f t="array" ref="H165">_xlfn.LET(_xlpm.s,IFERROR(--F165,""),_xlpm.e,IFERROR(--G165,""),IF(OR(_xlpm.s="",_xlpm.e="",_xlpm.e&lt;_xlpm.s),"",_xlfn.LET(_xlpm.p,_xlfn.SEQUENCE(_xlpm.e-_xlpm.s+1,1,_xlpm.s,1),SUM(1/COUNTIFS($D:$D,D165,$E:$E,E165,$F:$F,"&lt;&gt;N/A",$G:$G,"&lt;&gt;N/A",$F:$F,"&lt;="&amp;_xlpm.p,$G:$G,"&gt;="&amp;_xlpm.p)))))</f>
        <v>17.5</v>
      </c>
      <c r="I165" t="s">
        <v>200</v>
      </c>
      <c r="J165" t="s">
        <v>602</v>
      </c>
      <c r="K165" s="5" t="s">
        <v>7</v>
      </c>
      <c r="L165" s="5" t="s">
        <v>7</v>
      </c>
      <c r="M165" s="5" t="s">
        <v>7</v>
      </c>
      <c r="N165" s="5" t="s">
        <v>7</v>
      </c>
      <c r="O165" s="5" t="s">
        <v>11522</v>
      </c>
      <c r="P165" s="5" t="s">
        <v>8021</v>
      </c>
      <c r="Q165" s="5" t="s">
        <v>2983</v>
      </c>
      <c r="R165" s="5" t="b">
        <v>1</v>
      </c>
    </row>
    <row r="166" spans="1:18">
      <c r="A166" t="s">
        <v>3007</v>
      </c>
      <c r="B166" t="s">
        <v>3483</v>
      </c>
      <c r="C166" s="5" t="s">
        <v>7818</v>
      </c>
      <c r="D166" s="1">
        <v>3</v>
      </c>
      <c r="E166" s="1">
        <v>9</v>
      </c>
      <c r="F166" s="1">
        <v>188</v>
      </c>
      <c r="G166" s="1">
        <v>188</v>
      </c>
      <c r="H166" s="8" cm="1">
        <f t="array" ref="H166">_xlfn.LET(_xlpm.s,IFERROR(--F166,""),_xlpm.e,IFERROR(--G166,""),IF(OR(_xlpm.s="",_xlpm.e="",_xlpm.e&lt;_xlpm.s),"",_xlfn.LET(_xlpm.p,_xlfn.SEQUENCE(_xlpm.e-_xlpm.s+1,1,_xlpm.s,1),SUM(1/COUNTIFS($D:$D,D166,$E:$E,E166,$F:$F,"&lt;&gt;N/A",$G:$G,"&lt;&gt;N/A",$F:$F,"&lt;="&amp;_xlpm.p,$G:$G,"&gt;="&amp;_xlpm.p)))))</f>
        <v>0.5</v>
      </c>
      <c r="I166" t="s">
        <v>205</v>
      </c>
      <c r="J166" t="s">
        <v>603</v>
      </c>
      <c r="K166" s="5" t="s">
        <v>7</v>
      </c>
      <c r="L166" s="5" t="s">
        <v>7</v>
      </c>
      <c r="M166" s="5" t="s">
        <v>5559</v>
      </c>
      <c r="N166" s="5" t="s">
        <v>2712</v>
      </c>
      <c r="O166" s="5" t="s">
        <v>5072</v>
      </c>
      <c r="P166" s="5" t="s">
        <v>8021</v>
      </c>
      <c r="Q166" s="5"/>
      <c r="R166" s="5" t="b">
        <v>1</v>
      </c>
    </row>
    <row r="167" spans="1:18">
      <c r="A167" t="s">
        <v>3007</v>
      </c>
      <c r="B167" t="s">
        <v>3484</v>
      </c>
      <c r="C167" s="5" t="s">
        <v>7818</v>
      </c>
      <c r="D167" s="1">
        <v>3</v>
      </c>
      <c r="E167" s="1">
        <v>9</v>
      </c>
      <c r="F167" s="1">
        <v>188</v>
      </c>
      <c r="G167" s="1">
        <v>188</v>
      </c>
      <c r="H167" s="8" cm="1">
        <f t="array" ref="H167">_xlfn.LET(_xlpm.s,IFERROR(--F167,""),_xlpm.e,IFERROR(--G167,""),IF(OR(_xlpm.s="",_xlpm.e="",_xlpm.e&lt;_xlpm.s),"",_xlfn.LET(_xlpm.p,_xlfn.SEQUENCE(_xlpm.e-_xlpm.s+1,1,_xlpm.s,1),SUM(1/COUNTIFS($D:$D,D167,$E:$E,E167,$F:$F,"&lt;&gt;N/A",$G:$G,"&lt;&gt;N/A",$F:$F,"&lt;="&amp;_xlpm.p,$G:$G,"&gt;="&amp;_xlpm.p)))))</f>
        <v>0.5</v>
      </c>
      <c r="I167" t="s">
        <v>205</v>
      </c>
      <c r="J167" t="s">
        <v>1254</v>
      </c>
      <c r="K167" s="5" t="s">
        <v>7</v>
      </c>
      <c r="L167" s="5" t="s">
        <v>7</v>
      </c>
      <c r="M167" s="5" t="s">
        <v>5559</v>
      </c>
      <c r="N167" s="5" t="s">
        <v>2711</v>
      </c>
      <c r="O167" s="5" t="s">
        <v>5072</v>
      </c>
      <c r="P167" s="5" t="s">
        <v>8021</v>
      </c>
      <c r="Q167" s="5"/>
      <c r="R167" s="5" t="b">
        <v>1</v>
      </c>
    </row>
    <row r="168" spans="1:18">
      <c r="A168" t="s">
        <v>3007</v>
      </c>
      <c r="B168" t="s">
        <v>3485</v>
      </c>
      <c r="C168" s="5" t="s">
        <v>7818</v>
      </c>
      <c r="D168" s="1">
        <v>3</v>
      </c>
      <c r="E168" s="1">
        <v>9</v>
      </c>
      <c r="F168" s="1">
        <v>189</v>
      </c>
      <c r="G168" s="1">
        <v>189</v>
      </c>
      <c r="H168" s="8" cm="1">
        <f t="array" ref="H168">_xlfn.LET(_xlpm.s,IFERROR(--F168,""),_xlpm.e,IFERROR(--G168,""),IF(OR(_xlpm.s="",_xlpm.e="",_xlpm.e&lt;_xlpm.s),"",_xlfn.LET(_xlpm.p,_xlfn.SEQUENCE(_xlpm.e-_xlpm.s+1,1,_xlpm.s,1),SUM(1/COUNTIFS($D:$D,D168,$E:$E,E168,$F:$F,"&lt;&gt;N/A",$G:$G,"&lt;&gt;N/A",$F:$F,"&lt;="&amp;_xlpm.p,$G:$G,"&gt;="&amp;_xlpm.p)))))</f>
        <v>0.5</v>
      </c>
      <c r="I168" t="s">
        <v>205</v>
      </c>
      <c r="J168" t="s">
        <v>1253</v>
      </c>
      <c r="K168" s="5" t="s">
        <v>7</v>
      </c>
      <c r="L168" s="5" t="s">
        <v>7</v>
      </c>
      <c r="M168" s="5" t="s">
        <v>5559</v>
      </c>
      <c r="N168" s="5" t="s">
        <v>2710</v>
      </c>
      <c r="O168" s="5" t="s">
        <v>5072</v>
      </c>
      <c r="P168" s="5" t="s">
        <v>8021</v>
      </c>
      <c r="Q168" s="5"/>
      <c r="R168" s="5" t="b">
        <v>1</v>
      </c>
    </row>
    <row r="169" spans="1:18">
      <c r="A169" t="s">
        <v>3007</v>
      </c>
      <c r="B169" t="s">
        <v>3486</v>
      </c>
      <c r="C169" s="5" t="s">
        <v>7818</v>
      </c>
      <c r="D169" s="1">
        <v>3</v>
      </c>
      <c r="E169" s="1">
        <v>9</v>
      </c>
      <c r="F169" s="1">
        <v>189</v>
      </c>
      <c r="G169" s="1">
        <v>189</v>
      </c>
      <c r="H169" s="8" cm="1">
        <f t="array" ref="H169">_xlfn.LET(_xlpm.s,IFERROR(--F169,""),_xlpm.e,IFERROR(--G169,""),IF(OR(_xlpm.s="",_xlpm.e="",_xlpm.e&lt;_xlpm.s),"",_xlfn.LET(_xlpm.p,_xlfn.SEQUENCE(_xlpm.e-_xlpm.s+1,1,_xlpm.s,1),SUM(1/COUNTIFS($D:$D,D169,$E:$E,E169,$F:$F,"&lt;&gt;N/A",$G:$G,"&lt;&gt;N/A",$F:$F,"&lt;="&amp;_xlpm.p,$G:$G,"&gt;="&amp;_xlpm.p)))))</f>
        <v>0.5</v>
      </c>
      <c r="I169" t="s">
        <v>205</v>
      </c>
      <c r="J169" t="s">
        <v>1255</v>
      </c>
      <c r="K169" s="5" t="s">
        <v>7</v>
      </c>
      <c r="L169" s="5" t="s">
        <v>7</v>
      </c>
      <c r="M169" s="5" t="s">
        <v>5559</v>
      </c>
      <c r="N169" s="5" t="s">
        <v>2709</v>
      </c>
      <c r="O169" s="5" t="s">
        <v>5072</v>
      </c>
      <c r="P169" s="5" t="s">
        <v>8021</v>
      </c>
      <c r="Q169" s="5"/>
      <c r="R169" s="5" t="b">
        <v>1</v>
      </c>
    </row>
    <row r="170" spans="1:18">
      <c r="A170" t="s">
        <v>3007</v>
      </c>
      <c r="B170" t="s">
        <v>3487</v>
      </c>
      <c r="C170" s="5" t="s">
        <v>7818</v>
      </c>
      <c r="D170" s="1">
        <v>3</v>
      </c>
      <c r="E170" s="1">
        <v>9</v>
      </c>
      <c r="F170" s="1">
        <v>190</v>
      </c>
      <c r="G170" s="1">
        <v>191</v>
      </c>
      <c r="H170" s="8" cm="1">
        <f t="array" ref="H170">_xlfn.LET(_xlpm.s,IFERROR(--F170,""),_xlpm.e,IFERROR(--G170,""),IF(OR(_xlpm.s="",_xlpm.e="",_xlpm.e&lt;_xlpm.s),"",_xlfn.LET(_xlpm.p,_xlfn.SEQUENCE(_xlpm.e-_xlpm.s+1,1,_xlpm.s,1),SUM(1/COUNTIFS($D:$D,D170,$E:$E,E170,$F:$F,"&lt;&gt;N/A",$G:$G,"&lt;&gt;N/A",$F:$F,"&lt;="&amp;_xlpm.p,$G:$G,"&gt;="&amp;_xlpm.p)))))</f>
        <v>2</v>
      </c>
      <c r="I170" t="s">
        <v>205</v>
      </c>
      <c r="J170" t="s">
        <v>604</v>
      </c>
      <c r="K170" s="5" t="s">
        <v>7</v>
      </c>
      <c r="L170" s="5" t="s">
        <v>7</v>
      </c>
      <c r="M170" s="5" t="s">
        <v>5559</v>
      </c>
      <c r="N170" s="5" t="s">
        <v>2708</v>
      </c>
      <c r="O170" s="5" t="s">
        <v>5072</v>
      </c>
      <c r="P170" s="5" t="s">
        <v>8021</v>
      </c>
      <c r="Q170" s="5"/>
      <c r="R170" s="5" t="b">
        <v>1</v>
      </c>
    </row>
    <row r="171" spans="1:18">
      <c r="A171" t="s">
        <v>3007</v>
      </c>
      <c r="B171" t="s">
        <v>3488</v>
      </c>
      <c r="C171" s="5" t="s">
        <v>7818</v>
      </c>
      <c r="D171" s="1">
        <v>3</v>
      </c>
      <c r="E171" s="1">
        <v>9</v>
      </c>
      <c r="F171" s="1">
        <v>192</v>
      </c>
      <c r="G171" s="1">
        <v>193</v>
      </c>
      <c r="H171" s="8" cm="1">
        <f t="array" ref="H171">_xlfn.LET(_xlpm.s,IFERROR(--F171,""),_xlpm.e,IFERROR(--G171,""),IF(OR(_xlpm.s="",_xlpm.e="",_xlpm.e&lt;_xlpm.s),"",_xlfn.LET(_xlpm.p,_xlfn.SEQUENCE(_xlpm.e-_xlpm.s+1,1,_xlpm.s,1),SUM(1/COUNTIFS($D:$D,D171,$E:$E,E171,$F:$F,"&lt;&gt;N/A",$G:$G,"&lt;&gt;N/A",$F:$F,"&lt;="&amp;_xlpm.p,$G:$G,"&gt;="&amp;_xlpm.p)))))</f>
        <v>1.5</v>
      </c>
      <c r="I171" t="s">
        <v>208</v>
      </c>
      <c r="J171" t="s">
        <v>605</v>
      </c>
      <c r="K171" s="5" t="s">
        <v>7</v>
      </c>
      <c r="L171" t="s">
        <v>6381</v>
      </c>
      <c r="M171" t="s">
        <v>6366</v>
      </c>
      <c r="N171" s="5" t="s">
        <v>6382</v>
      </c>
      <c r="O171" s="5" t="s">
        <v>5072</v>
      </c>
      <c r="P171" s="5" t="s">
        <v>8021</v>
      </c>
      <c r="Q171" s="5"/>
      <c r="R171" s="5" t="b">
        <v>1</v>
      </c>
    </row>
    <row r="172" spans="1:18">
      <c r="A172" t="s">
        <v>3007</v>
      </c>
      <c r="B172" t="s">
        <v>3489</v>
      </c>
      <c r="C172" s="5" t="s">
        <v>7818</v>
      </c>
      <c r="D172" s="1">
        <v>3</v>
      </c>
      <c r="E172" s="1">
        <v>9</v>
      </c>
      <c r="F172" s="1">
        <v>193</v>
      </c>
      <c r="G172" s="1">
        <v>193</v>
      </c>
      <c r="H172" s="8" cm="1">
        <f t="array" ref="H172">_xlfn.LET(_xlpm.s,IFERROR(--F172,""),_xlpm.e,IFERROR(--G172,""),IF(OR(_xlpm.s="",_xlpm.e="",_xlpm.e&lt;_xlpm.s),"",_xlfn.LET(_xlpm.p,_xlfn.SEQUENCE(_xlpm.e-_xlpm.s+1,1,_xlpm.s,1),SUM(1/COUNTIFS($D:$D,D172,$E:$E,E172,$F:$F,"&lt;&gt;N/A",$G:$G,"&lt;&gt;N/A",$F:$F,"&lt;="&amp;_xlpm.p,$G:$G,"&gt;="&amp;_xlpm.p)))))</f>
        <v>0.5</v>
      </c>
      <c r="I172" t="s">
        <v>208</v>
      </c>
      <c r="J172" t="s">
        <v>606</v>
      </c>
      <c r="K172" s="5" t="s">
        <v>7</v>
      </c>
      <c r="L172" s="5" t="s">
        <v>4554</v>
      </c>
      <c r="M172" t="s">
        <v>6366</v>
      </c>
      <c r="N172" s="5" t="s">
        <v>6383</v>
      </c>
      <c r="O172" s="5" t="s">
        <v>5072</v>
      </c>
      <c r="P172" s="5" t="s">
        <v>8021</v>
      </c>
      <c r="Q172" s="5"/>
      <c r="R172" s="5" t="b">
        <v>1</v>
      </c>
    </row>
    <row r="173" spans="1:18">
      <c r="A173" t="s">
        <v>3007</v>
      </c>
      <c r="B173" t="s">
        <v>3490</v>
      </c>
      <c r="C173" s="5" t="s">
        <v>7818</v>
      </c>
      <c r="D173" s="1">
        <v>3</v>
      </c>
      <c r="E173" s="1">
        <v>9</v>
      </c>
      <c r="F173" s="1">
        <v>194</v>
      </c>
      <c r="G173" s="1">
        <v>195</v>
      </c>
      <c r="H173" s="8" cm="1">
        <f t="array" ref="H173">_xlfn.LET(_xlpm.s,IFERROR(--F173,""),_xlpm.e,IFERROR(--G173,""),IF(OR(_xlpm.s="",_xlpm.e="",_xlpm.e&lt;_xlpm.s),"",_xlfn.LET(_xlpm.p,_xlfn.SEQUENCE(_xlpm.e-_xlpm.s+1,1,_xlpm.s,1),SUM(1/COUNTIFS($D:$D,D173,$E:$E,E173,$F:$F,"&lt;&gt;N/A",$G:$G,"&lt;&gt;N/A",$F:$F,"&lt;="&amp;_xlpm.p,$G:$G,"&gt;="&amp;_xlpm.p)))))</f>
        <v>1.5</v>
      </c>
      <c r="I173" t="s">
        <v>208</v>
      </c>
      <c r="J173" t="s">
        <v>607</v>
      </c>
      <c r="K173" s="5" t="s">
        <v>7</v>
      </c>
      <c r="L173" s="5" t="s">
        <v>5551</v>
      </c>
      <c r="M173" t="s">
        <v>6366</v>
      </c>
      <c r="N173" s="5" t="s">
        <v>6384</v>
      </c>
      <c r="O173" s="5" t="s">
        <v>5072</v>
      </c>
      <c r="P173" s="5" t="s">
        <v>8021</v>
      </c>
      <c r="Q173" s="5"/>
      <c r="R173" s="5" t="b">
        <v>1</v>
      </c>
    </row>
    <row r="174" spans="1:18">
      <c r="A174" t="s">
        <v>3007</v>
      </c>
      <c r="B174" t="s">
        <v>3491</v>
      </c>
      <c r="C174" s="5" t="s">
        <v>7818</v>
      </c>
      <c r="D174" s="1">
        <v>3</v>
      </c>
      <c r="E174" s="1">
        <v>9</v>
      </c>
      <c r="F174" s="1">
        <v>195</v>
      </c>
      <c r="G174" s="1">
        <v>199</v>
      </c>
      <c r="H174" s="8" cm="1">
        <f t="array" ref="H174">_xlfn.LET(_xlpm.s,IFERROR(--F174,""),_xlpm.e,IFERROR(--G174,""),IF(OR(_xlpm.s="",_xlpm.e="",_xlpm.e&lt;_xlpm.s),"",_xlfn.LET(_xlpm.p,_xlfn.SEQUENCE(_xlpm.e-_xlpm.s+1,1,_xlpm.s,1),SUM(1/COUNTIFS($D:$D,D174,$E:$E,E174,$F:$F,"&lt;&gt;N/A",$G:$G,"&lt;&gt;N/A",$F:$F,"&lt;="&amp;_xlpm.p,$G:$G,"&gt;="&amp;_xlpm.p)))))</f>
        <v>4.5</v>
      </c>
      <c r="I174" t="s">
        <v>208</v>
      </c>
      <c r="J174" t="s">
        <v>6362</v>
      </c>
      <c r="K174" s="5" t="s">
        <v>7</v>
      </c>
      <c r="L174" s="5" t="s">
        <v>7</v>
      </c>
      <c r="M174" s="5" t="s">
        <v>5559</v>
      </c>
      <c r="N174" s="5" t="s">
        <v>6385</v>
      </c>
      <c r="O174" s="5" t="s">
        <v>5072</v>
      </c>
      <c r="P174" s="5" t="s">
        <v>8021</v>
      </c>
      <c r="Q174" s="5"/>
      <c r="R174" s="5" t="b">
        <v>1</v>
      </c>
    </row>
    <row r="175" spans="1:18">
      <c r="A175" t="s">
        <v>3007</v>
      </c>
      <c r="B175" t="s">
        <v>3492</v>
      </c>
      <c r="C175" s="5" t="s">
        <v>7818</v>
      </c>
      <c r="D175" s="1">
        <v>3</v>
      </c>
      <c r="E175" s="1">
        <v>9</v>
      </c>
      <c r="F175" s="1">
        <v>200</v>
      </c>
      <c r="G175" s="1">
        <v>206</v>
      </c>
      <c r="H175" s="8" cm="1">
        <f t="array" ref="H175">_xlfn.LET(_xlpm.s,IFERROR(--F175,""),_xlpm.e,IFERROR(--G175,""),IF(OR(_xlpm.s="",_xlpm.e="",_xlpm.e&lt;_xlpm.s),"",_xlfn.LET(_xlpm.p,_xlfn.SEQUENCE(_xlpm.e-_xlpm.s+1,1,_xlpm.s,1),SUM(1/COUNTIFS($D:$D,D175,$E:$E,E175,$F:$F,"&lt;&gt;N/A",$G:$G,"&lt;&gt;N/A",$F:$F,"&lt;="&amp;_xlpm.p,$G:$G,"&gt;="&amp;_xlpm.p)))))</f>
        <v>7</v>
      </c>
      <c r="I175" t="s">
        <v>553</v>
      </c>
      <c r="J175" t="s">
        <v>608</v>
      </c>
      <c r="K175" s="5" t="s">
        <v>7</v>
      </c>
      <c r="L175" s="5" t="s">
        <v>7</v>
      </c>
      <c r="M175" t="s">
        <v>6363</v>
      </c>
      <c r="N175" s="5" t="s">
        <v>6364</v>
      </c>
      <c r="O175" s="5" t="s">
        <v>5072</v>
      </c>
      <c r="P175" s="5" t="s">
        <v>8021</v>
      </c>
      <c r="Q175" s="5"/>
      <c r="R175" s="5" t="b">
        <v>1</v>
      </c>
    </row>
    <row r="176" spans="1:18">
      <c r="A176" t="s">
        <v>3007</v>
      </c>
      <c r="B176" t="s">
        <v>3493</v>
      </c>
      <c r="C176" s="5" t="s">
        <v>7818</v>
      </c>
      <c r="D176" s="1">
        <v>3</v>
      </c>
      <c r="E176" s="1">
        <v>9</v>
      </c>
      <c r="F176" s="1">
        <v>207</v>
      </c>
      <c r="G176" s="1">
        <v>209</v>
      </c>
      <c r="H176" s="8" cm="1">
        <f t="array" ref="H176">_xlfn.LET(_xlpm.s,IFERROR(--F176,""),_xlpm.e,IFERROR(--G176,""),IF(OR(_xlpm.s="",_xlpm.e="",_xlpm.e&lt;_xlpm.s),"",_xlfn.LET(_xlpm.p,_xlfn.SEQUENCE(_xlpm.e-_xlpm.s+1,1,_xlpm.s,1),SUM(1/COUNTIFS($D:$D,D176,$E:$E,E176,$F:$F,"&lt;&gt;N/A",$G:$G,"&lt;&gt;N/A",$F:$F,"&lt;="&amp;_xlpm.p,$G:$G,"&gt;="&amp;_xlpm.p)))))</f>
        <v>3</v>
      </c>
      <c r="I176" t="s">
        <v>210</v>
      </c>
      <c r="J176" t="s">
        <v>609</v>
      </c>
      <c r="K176" s="5" t="s">
        <v>4542</v>
      </c>
      <c r="L176" s="5" t="s">
        <v>4555</v>
      </c>
      <c r="M176" t="s">
        <v>5019</v>
      </c>
      <c r="N176" s="5" t="s">
        <v>6361</v>
      </c>
      <c r="O176" s="5" t="s">
        <v>5072</v>
      </c>
      <c r="P176" s="5" t="s">
        <v>8021</v>
      </c>
      <c r="Q176" s="5"/>
      <c r="R176" s="5" t="b">
        <v>1</v>
      </c>
    </row>
    <row r="177" spans="1:18">
      <c r="A177" t="s">
        <v>3007</v>
      </c>
      <c r="B177" t="s">
        <v>3494</v>
      </c>
      <c r="C177" s="5" t="s">
        <v>7818</v>
      </c>
      <c r="D177" s="1">
        <v>3</v>
      </c>
      <c r="E177" s="1">
        <v>9</v>
      </c>
      <c r="F177" s="1">
        <v>210</v>
      </c>
      <c r="G177" s="1">
        <v>210</v>
      </c>
      <c r="H177" s="8" cm="1">
        <f t="array" ref="H177">_xlfn.LET(_xlpm.s,IFERROR(--F177,""),_xlpm.e,IFERROR(--G177,""),IF(OR(_xlpm.s="",_xlpm.e="",_xlpm.e&lt;_xlpm.s),"",_xlfn.LET(_xlpm.p,_xlfn.SEQUENCE(_xlpm.e-_xlpm.s+1,1,_xlpm.s,1),SUM(1/COUNTIFS($D:$D,D177,$E:$E,E177,$F:$F,"&lt;&gt;N/A",$G:$G,"&lt;&gt;N/A",$F:$F,"&lt;="&amp;_xlpm.p,$G:$G,"&gt;="&amp;_xlpm.p)))))</f>
        <v>1</v>
      </c>
      <c r="I177" t="s">
        <v>210</v>
      </c>
      <c r="J177" t="s">
        <v>610</v>
      </c>
      <c r="K177" s="5" t="s">
        <v>7</v>
      </c>
      <c r="L177" s="5" t="s">
        <v>7</v>
      </c>
      <c r="M177" s="5" t="s">
        <v>7</v>
      </c>
      <c r="N177" t="s">
        <v>2713</v>
      </c>
      <c r="O177" s="5" t="s">
        <v>5072</v>
      </c>
      <c r="P177" s="5" t="s">
        <v>8036</v>
      </c>
      <c r="Q177" s="5"/>
      <c r="R177" s="5" t="b">
        <v>1</v>
      </c>
    </row>
    <row r="178" spans="1:18">
      <c r="A178" t="s">
        <v>3008</v>
      </c>
      <c r="B178" t="s">
        <v>10740</v>
      </c>
      <c r="C178" s="5" t="s">
        <v>7819</v>
      </c>
      <c r="D178" s="1">
        <v>4</v>
      </c>
      <c r="E178" s="1">
        <v>10</v>
      </c>
      <c r="F178" s="1">
        <v>3</v>
      </c>
      <c r="G178" s="1">
        <v>29</v>
      </c>
      <c r="H178" s="8" cm="1">
        <f t="array" ref="H178">_xlfn.LET(_xlpm.s,IFERROR(--F178,""),_xlpm.e,IFERROR(--G178,""),IF(OR(_xlpm.s="",_xlpm.e="",_xlpm.e&lt;_xlpm.s),"",_xlfn.LET(_xlpm.p,_xlfn.SEQUENCE(_xlpm.e-_xlpm.s+1,1,_xlpm.s,1),SUM(1/COUNTIFS($D:$D,D178,$E:$E,E178,$F:$F,"&lt;&gt;N/A",$G:$G,"&lt;&gt;N/A",$F:$F,"&lt;="&amp;_xlpm.p,$G:$G,"&gt;="&amp;_xlpm.p)))))</f>
        <v>26.5</v>
      </c>
      <c r="I178" t="s">
        <v>14</v>
      </c>
      <c r="J178" t="s">
        <v>612</v>
      </c>
      <c r="K178" s="5" t="s">
        <v>4556</v>
      </c>
      <c r="L178" s="5" t="s">
        <v>7</v>
      </c>
      <c r="M178" s="5" t="s">
        <v>5555</v>
      </c>
      <c r="N178" s="5" t="s">
        <v>11554</v>
      </c>
      <c r="O178" s="5" t="s">
        <v>5072</v>
      </c>
      <c r="P178" s="5" t="s">
        <v>8092</v>
      </c>
      <c r="Q178" s="5"/>
      <c r="R178" s="5" t="b">
        <v>1</v>
      </c>
    </row>
    <row r="179" spans="1:18">
      <c r="A179" t="s">
        <v>3008</v>
      </c>
      <c r="B179" t="s">
        <v>10741</v>
      </c>
      <c r="C179" s="5" t="s">
        <v>7819</v>
      </c>
      <c r="D179" s="1">
        <v>4</v>
      </c>
      <c r="E179" s="1">
        <v>10</v>
      </c>
      <c r="F179" s="1">
        <v>29</v>
      </c>
      <c r="G179" s="1">
        <v>38</v>
      </c>
      <c r="H179" s="8" cm="1">
        <f t="array" ref="H179">_xlfn.LET(_xlpm.s,IFERROR(--F179,""),_xlpm.e,IFERROR(--G179,""),IF(OR(_xlpm.s="",_xlpm.e="",_xlpm.e&lt;_xlpm.s),"",_xlfn.LET(_xlpm.p,_xlfn.SEQUENCE(_xlpm.e-_xlpm.s+1,1,_xlpm.s,1),SUM(1/COUNTIFS($D:$D,D179,$E:$E,E179,$F:$F,"&lt;&gt;N/A",$G:$G,"&lt;&gt;N/A",$F:$F,"&lt;="&amp;_xlpm.p,$G:$G,"&gt;="&amp;_xlpm.p)))))</f>
        <v>9</v>
      </c>
      <c r="I179" t="s">
        <v>200</v>
      </c>
      <c r="J179" t="s">
        <v>613</v>
      </c>
      <c r="K179" s="5" t="s">
        <v>4557</v>
      </c>
      <c r="L179" s="5" t="s">
        <v>7</v>
      </c>
      <c r="M179" t="s">
        <v>5557</v>
      </c>
      <c r="N179" s="16" t="s">
        <v>10449</v>
      </c>
      <c r="O179" s="5" t="s">
        <v>11522</v>
      </c>
      <c r="P179" s="5" t="s">
        <v>8021</v>
      </c>
      <c r="Q179" s="5" t="s">
        <v>10450</v>
      </c>
      <c r="R179" s="5" t="b">
        <v>1</v>
      </c>
    </row>
    <row r="180" spans="1:18">
      <c r="A180" t="s">
        <v>3008</v>
      </c>
      <c r="B180" t="s">
        <v>10742</v>
      </c>
      <c r="C180" s="5" t="s">
        <v>7819</v>
      </c>
      <c r="D180" s="1">
        <v>4</v>
      </c>
      <c r="E180" s="1">
        <v>10</v>
      </c>
      <c r="F180" s="1">
        <v>38</v>
      </c>
      <c r="G180" s="1">
        <v>39</v>
      </c>
      <c r="H180" s="8" cm="1">
        <f t="array" ref="H180">_xlfn.LET(_xlpm.s,IFERROR(--F180,""),_xlpm.e,IFERROR(--G180,""),IF(OR(_xlpm.s="",_xlpm.e="",_xlpm.e&lt;_xlpm.s),"",_xlfn.LET(_xlpm.p,_xlfn.SEQUENCE(_xlpm.e-_xlpm.s+1,1,_xlpm.s,1),SUM(1/COUNTIFS($D:$D,D180,$E:$E,E180,$F:$F,"&lt;&gt;N/A",$G:$G,"&lt;&gt;N/A",$F:$F,"&lt;="&amp;_xlpm.p,$G:$G,"&gt;="&amp;_xlpm.p)))))</f>
        <v>0.83333333333333326</v>
      </c>
      <c r="I180" t="s">
        <v>205</v>
      </c>
      <c r="J180" t="s">
        <v>5558</v>
      </c>
      <c r="K180" s="5" t="s">
        <v>7</v>
      </c>
      <c r="L180" s="5" t="s">
        <v>7</v>
      </c>
      <c r="M180" s="5" t="s">
        <v>7</v>
      </c>
      <c r="N180" s="5" t="s">
        <v>7</v>
      </c>
      <c r="O180" s="5" t="s">
        <v>778</v>
      </c>
      <c r="P180" s="5" t="s">
        <v>7834</v>
      </c>
      <c r="Q180" s="5"/>
      <c r="R180" s="5" t="b">
        <v>1</v>
      </c>
    </row>
    <row r="181" spans="1:18">
      <c r="A181" t="s">
        <v>3008</v>
      </c>
      <c r="B181" t="s">
        <v>10743</v>
      </c>
      <c r="C181" s="5" t="s">
        <v>7819</v>
      </c>
      <c r="D181" s="1">
        <v>4</v>
      </c>
      <c r="E181" s="1">
        <v>10</v>
      </c>
      <c r="F181" s="1">
        <v>39</v>
      </c>
      <c r="G181" s="1">
        <v>39</v>
      </c>
      <c r="H181" s="8" cm="1">
        <f t="array" ref="H181">_xlfn.LET(_xlpm.s,IFERROR(--F181,""),_xlpm.e,IFERROR(--G181,""),IF(OR(_xlpm.s="",_xlpm.e="",_xlpm.e&lt;_xlpm.s),"",_xlfn.LET(_xlpm.p,_xlfn.SEQUENCE(_xlpm.e-_xlpm.s+1,1,_xlpm.s,1),SUM(1/COUNTIFS($D:$D,D181,$E:$E,E181,$F:$F,"&lt;&gt;N/A",$G:$G,"&lt;&gt;N/A",$F:$F,"&lt;="&amp;_xlpm.p,$G:$G,"&gt;="&amp;_xlpm.p)))))</f>
        <v>0.33333333333333331</v>
      </c>
      <c r="I181" t="s">
        <v>205</v>
      </c>
      <c r="J181" t="s">
        <v>1260</v>
      </c>
      <c r="K181" s="5" t="s">
        <v>7</v>
      </c>
      <c r="L181" s="5" t="s">
        <v>7</v>
      </c>
      <c r="M181" s="5" t="s">
        <v>5559</v>
      </c>
      <c r="N181" s="5" t="s">
        <v>2702</v>
      </c>
      <c r="O181" s="5" t="s">
        <v>5072</v>
      </c>
      <c r="P181" s="5" t="s">
        <v>8021</v>
      </c>
      <c r="Q181" s="5"/>
      <c r="R181" s="5" t="b">
        <v>1</v>
      </c>
    </row>
    <row r="182" spans="1:18">
      <c r="A182" t="s">
        <v>3008</v>
      </c>
      <c r="B182" t="s">
        <v>10744</v>
      </c>
      <c r="C182" s="5" t="s">
        <v>7819</v>
      </c>
      <c r="D182" s="1">
        <v>4</v>
      </c>
      <c r="E182" s="1">
        <v>10</v>
      </c>
      <c r="F182" s="1">
        <v>39</v>
      </c>
      <c r="G182" s="1">
        <v>39</v>
      </c>
      <c r="H182" s="8" cm="1">
        <f t="array" ref="H182">_xlfn.LET(_xlpm.s,IFERROR(--F182,""),_xlpm.e,IFERROR(--G182,""),IF(OR(_xlpm.s="",_xlpm.e="",_xlpm.e&lt;_xlpm.s),"",_xlfn.LET(_xlpm.p,_xlfn.SEQUENCE(_xlpm.e-_xlpm.s+1,1,_xlpm.s,1),SUM(1/COUNTIFS($D:$D,D182,$E:$E,E182,$F:$F,"&lt;&gt;N/A",$G:$G,"&lt;&gt;N/A",$F:$F,"&lt;="&amp;_xlpm.p,$G:$G,"&gt;="&amp;_xlpm.p)))))</f>
        <v>0.33333333333333331</v>
      </c>
      <c r="I182" t="s">
        <v>205</v>
      </c>
      <c r="J182" t="s">
        <v>1259</v>
      </c>
      <c r="K182" s="5" t="s">
        <v>7</v>
      </c>
      <c r="L182" s="5" t="s">
        <v>7</v>
      </c>
      <c r="M182" s="5" t="s">
        <v>5559</v>
      </c>
      <c r="N182" t="s">
        <v>8046</v>
      </c>
      <c r="O182" s="5" t="s">
        <v>5072</v>
      </c>
      <c r="P182" s="5" t="s">
        <v>8021</v>
      </c>
      <c r="Q182" s="5"/>
      <c r="R182" s="5" t="b">
        <v>1</v>
      </c>
    </row>
    <row r="183" spans="1:18">
      <c r="A183" t="s">
        <v>3008</v>
      </c>
      <c r="B183" t="s">
        <v>10745</v>
      </c>
      <c r="C183" s="5" t="s">
        <v>7819</v>
      </c>
      <c r="D183" s="1">
        <v>4</v>
      </c>
      <c r="E183" s="1">
        <v>10</v>
      </c>
      <c r="F183" s="1">
        <v>40</v>
      </c>
      <c r="G183" s="1">
        <v>40</v>
      </c>
      <c r="H183" s="8" cm="1">
        <f t="array" ref="H183">_xlfn.LET(_xlpm.s,IFERROR(--F183,""),_xlpm.e,IFERROR(--G183,""),IF(OR(_xlpm.s="",_xlpm.e="",_xlpm.e&lt;_xlpm.s),"",_xlfn.LET(_xlpm.p,_xlfn.SEQUENCE(_xlpm.e-_xlpm.s+1,1,_xlpm.s,1),SUM(1/COUNTIFS($D:$D,D183,$E:$E,E183,$F:$F,"&lt;&gt;N/A",$G:$G,"&lt;&gt;N/A",$F:$F,"&lt;="&amp;_xlpm.p,$G:$G,"&gt;="&amp;_xlpm.p)))))</f>
        <v>0.33333333333333331</v>
      </c>
      <c r="I183" t="s">
        <v>205</v>
      </c>
      <c r="J183" t="s">
        <v>1257</v>
      </c>
      <c r="K183" s="5" t="s">
        <v>4558</v>
      </c>
      <c r="L183" s="5" t="s">
        <v>7</v>
      </c>
      <c r="M183" s="5" t="s">
        <v>5559</v>
      </c>
      <c r="N183" t="s">
        <v>8047</v>
      </c>
      <c r="O183" s="5" t="s">
        <v>5072</v>
      </c>
      <c r="P183" s="5" t="s">
        <v>8021</v>
      </c>
      <c r="Q183" s="5"/>
      <c r="R183" s="5" t="b">
        <v>1</v>
      </c>
    </row>
    <row r="184" spans="1:18">
      <c r="A184" t="s">
        <v>3008</v>
      </c>
      <c r="B184" t="s">
        <v>10746</v>
      </c>
      <c r="C184" s="5" t="s">
        <v>7819</v>
      </c>
      <c r="D184" s="1">
        <v>4</v>
      </c>
      <c r="E184" s="1">
        <v>10</v>
      </c>
      <c r="F184" s="1">
        <v>40</v>
      </c>
      <c r="G184" s="1">
        <v>40</v>
      </c>
      <c r="H184" s="8" cm="1">
        <f t="array" ref="H184">_xlfn.LET(_xlpm.s,IFERROR(--F184,""),_xlpm.e,IFERROR(--G184,""),IF(OR(_xlpm.s="",_xlpm.e="",_xlpm.e&lt;_xlpm.s),"",_xlfn.LET(_xlpm.p,_xlfn.SEQUENCE(_xlpm.e-_xlpm.s+1,1,_xlpm.s,1),SUM(1/COUNTIFS($D:$D,D184,$E:$E,E184,$F:$F,"&lt;&gt;N/A",$G:$G,"&lt;&gt;N/A",$F:$F,"&lt;="&amp;_xlpm.p,$G:$G,"&gt;="&amp;_xlpm.p)))))</f>
        <v>0.33333333333333331</v>
      </c>
      <c r="I184" t="s">
        <v>205</v>
      </c>
      <c r="J184" t="s">
        <v>1258</v>
      </c>
      <c r="K184" s="5" t="s">
        <v>4559</v>
      </c>
      <c r="L184" s="5" t="s">
        <v>7</v>
      </c>
      <c r="M184" s="5" t="s">
        <v>5559</v>
      </c>
      <c r="N184" t="s">
        <v>8048</v>
      </c>
      <c r="O184" s="5" t="s">
        <v>5072</v>
      </c>
      <c r="P184" s="5" t="s">
        <v>8021</v>
      </c>
      <c r="Q184" s="5"/>
      <c r="R184" s="5" t="b">
        <v>1</v>
      </c>
    </row>
    <row r="185" spans="1:18">
      <c r="A185" t="s">
        <v>3008</v>
      </c>
      <c r="B185" t="s">
        <v>10747</v>
      </c>
      <c r="C185" s="5" t="s">
        <v>7819</v>
      </c>
      <c r="D185" s="1">
        <v>4</v>
      </c>
      <c r="E185" s="1">
        <v>10</v>
      </c>
      <c r="F185" s="1">
        <v>40</v>
      </c>
      <c r="G185" s="1">
        <v>40</v>
      </c>
      <c r="H185" s="8" cm="1">
        <f t="array" ref="H185">_xlfn.LET(_xlpm.s,IFERROR(--F185,""),_xlpm.e,IFERROR(--G185,""),IF(OR(_xlpm.s="",_xlpm.e="",_xlpm.e&lt;_xlpm.s),"",_xlfn.LET(_xlpm.p,_xlfn.SEQUENCE(_xlpm.e-_xlpm.s+1,1,_xlpm.s,1),SUM(1/COUNTIFS($D:$D,D185,$E:$E,E185,$F:$F,"&lt;&gt;N/A",$G:$G,"&lt;&gt;N/A",$F:$F,"&lt;="&amp;_xlpm.p,$G:$G,"&gt;="&amp;_xlpm.p)))))</f>
        <v>0.33333333333333331</v>
      </c>
      <c r="I185" t="s">
        <v>205</v>
      </c>
      <c r="J185" t="s">
        <v>614</v>
      </c>
      <c r="K185" s="5" t="s">
        <v>4560</v>
      </c>
      <c r="L185" s="5" t="s">
        <v>7</v>
      </c>
      <c r="M185" s="5" t="s">
        <v>5559</v>
      </c>
      <c r="N185" t="s">
        <v>8049</v>
      </c>
      <c r="O185" s="5" t="s">
        <v>5072</v>
      </c>
      <c r="P185" s="5" t="s">
        <v>8021</v>
      </c>
      <c r="Q185" s="5"/>
      <c r="R185" s="5" t="b">
        <v>1</v>
      </c>
    </row>
    <row r="186" spans="1:18">
      <c r="A186" t="s">
        <v>3008</v>
      </c>
      <c r="B186" t="s">
        <v>10748</v>
      </c>
      <c r="C186" s="5" t="s">
        <v>7819</v>
      </c>
      <c r="D186" s="1">
        <v>4</v>
      </c>
      <c r="E186" s="1">
        <v>10</v>
      </c>
      <c r="F186" s="1">
        <v>41</v>
      </c>
      <c r="G186" s="1">
        <v>42</v>
      </c>
      <c r="H186" s="8" cm="1">
        <f t="array" ref="H186">_xlfn.LET(_xlpm.s,IFERROR(--F186,""),_xlpm.e,IFERROR(--G186,""),IF(OR(_xlpm.s="",_xlpm.e="",_xlpm.e&lt;_xlpm.s),"",_xlfn.LET(_xlpm.p,_xlfn.SEQUENCE(_xlpm.e-_xlpm.s+1,1,_xlpm.s,1),SUM(1/COUNTIFS($D:$D,D186,$E:$E,E186,$F:$F,"&lt;&gt;N/A",$G:$G,"&lt;&gt;N/A",$F:$F,"&lt;="&amp;_xlpm.p,$G:$G,"&gt;="&amp;_xlpm.p)))))</f>
        <v>0.83333333333333326</v>
      </c>
      <c r="I186" t="s">
        <v>208</v>
      </c>
      <c r="J186" t="s">
        <v>2782</v>
      </c>
      <c r="K186" s="5" t="s">
        <v>7</v>
      </c>
      <c r="L186" s="5" t="s">
        <v>7</v>
      </c>
      <c r="M186" s="5" t="s">
        <v>5560</v>
      </c>
      <c r="N186" s="5" t="s">
        <v>2787</v>
      </c>
      <c r="O186" s="5" t="s">
        <v>11522</v>
      </c>
      <c r="P186" s="5" t="s">
        <v>8021</v>
      </c>
      <c r="Q186" s="5"/>
      <c r="R186" s="5" t="b">
        <v>1</v>
      </c>
    </row>
    <row r="187" spans="1:18">
      <c r="A187" t="s">
        <v>3008</v>
      </c>
      <c r="B187" t="s">
        <v>10749</v>
      </c>
      <c r="C187" s="5" t="s">
        <v>7819</v>
      </c>
      <c r="D187" s="1">
        <v>4</v>
      </c>
      <c r="E187" s="1">
        <v>10</v>
      </c>
      <c r="F187" s="1">
        <v>41</v>
      </c>
      <c r="G187" s="1">
        <v>42</v>
      </c>
      <c r="H187" s="8" cm="1">
        <f t="array" ref="H187">_xlfn.LET(_xlpm.s,IFERROR(--F187,""),_xlpm.e,IFERROR(--G187,""),IF(OR(_xlpm.s="",_xlpm.e="",_xlpm.e&lt;_xlpm.s),"",_xlfn.LET(_xlpm.p,_xlfn.SEQUENCE(_xlpm.e-_xlpm.s+1,1,_xlpm.s,1),SUM(1/COUNTIFS($D:$D,D187,$E:$E,E187,$F:$F,"&lt;&gt;N/A",$G:$G,"&lt;&gt;N/A",$F:$F,"&lt;="&amp;_xlpm.p,$G:$G,"&gt;="&amp;_xlpm.p)))))</f>
        <v>0.83333333333333326</v>
      </c>
      <c r="I187" t="s">
        <v>208</v>
      </c>
      <c r="J187" t="s">
        <v>2783</v>
      </c>
      <c r="K187" s="5" t="s">
        <v>7</v>
      </c>
      <c r="L187" s="5" t="s">
        <v>7</v>
      </c>
      <c r="M187" s="5" t="s">
        <v>6309</v>
      </c>
      <c r="N187" s="5" t="s">
        <v>2982</v>
      </c>
      <c r="O187" s="5" t="s">
        <v>11522</v>
      </c>
      <c r="P187" s="5" t="s">
        <v>8021</v>
      </c>
      <c r="Q187" s="5"/>
      <c r="R187" s="5" t="b">
        <v>1</v>
      </c>
    </row>
    <row r="188" spans="1:18">
      <c r="A188" t="s">
        <v>3008</v>
      </c>
      <c r="B188" t="s">
        <v>10750</v>
      </c>
      <c r="C188" s="5" t="s">
        <v>7819</v>
      </c>
      <c r="D188" s="1">
        <v>4</v>
      </c>
      <c r="E188" s="1">
        <v>10</v>
      </c>
      <c r="F188" s="1">
        <v>42</v>
      </c>
      <c r="G188" s="1">
        <v>43</v>
      </c>
      <c r="H188" s="8" cm="1">
        <f t="array" ref="H188">_xlfn.LET(_xlpm.s,IFERROR(--F188,""),_xlpm.e,IFERROR(--G188,""),IF(OR(_xlpm.s="",_xlpm.e="",_xlpm.e&lt;_xlpm.s),"",_xlfn.LET(_xlpm.p,_xlfn.SEQUENCE(_xlpm.e-_xlpm.s+1,1,_xlpm.s,1),SUM(1/COUNTIFS($D:$D,D188,$E:$E,E188,$F:$F,"&lt;&gt;N/A",$G:$G,"&lt;&gt;N/A",$F:$F,"&lt;="&amp;_xlpm.p,$G:$G,"&gt;="&amp;_xlpm.p)))))</f>
        <v>0.66666666666666663</v>
      </c>
      <c r="I188" t="s">
        <v>208</v>
      </c>
      <c r="J188" t="s">
        <v>2784</v>
      </c>
      <c r="K188" s="5" t="s">
        <v>7</v>
      </c>
      <c r="L188" s="5" t="s">
        <v>7</v>
      </c>
      <c r="M188" t="s">
        <v>5019</v>
      </c>
      <c r="N188" s="5" t="s">
        <v>6327</v>
      </c>
      <c r="O188" s="5" t="s">
        <v>11522</v>
      </c>
      <c r="P188" s="5" t="s">
        <v>8021</v>
      </c>
      <c r="Q188" s="5"/>
      <c r="R188" s="5" t="b">
        <v>1</v>
      </c>
    </row>
    <row r="189" spans="1:18">
      <c r="A189" t="s">
        <v>3008</v>
      </c>
      <c r="B189" t="s">
        <v>10751</v>
      </c>
      <c r="C189" s="5" t="s">
        <v>7819</v>
      </c>
      <c r="D189" s="1">
        <v>4</v>
      </c>
      <c r="E189" s="1">
        <v>10</v>
      </c>
      <c r="F189" s="1">
        <v>43</v>
      </c>
      <c r="G189" s="1">
        <v>43</v>
      </c>
      <c r="H189" s="8" cm="1">
        <f t="array" ref="H189">_xlfn.LET(_xlpm.s,IFERROR(--F189,""),_xlpm.e,IFERROR(--G189,""),IF(OR(_xlpm.s="",_xlpm.e="",_xlpm.e&lt;_xlpm.s),"",_xlfn.LET(_xlpm.p,_xlfn.SEQUENCE(_xlpm.e-_xlpm.s+1,1,_xlpm.s,1),SUM(1/COUNTIFS($D:$D,D189,$E:$E,E189,$F:$F,"&lt;&gt;N/A",$G:$G,"&lt;&gt;N/A",$F:$F,"&lt;="&amp;_xlpm.p,$G:$G,"&gt;="&amp;_xlpm.p)))))</f>
        <v>0.33333333333333331</v>
      </c>
      <c r="I189" t="s">
        <v>208</v>
      </c>
      <c r="J189" t="s">
        <v>2785</v>
      </c>
      <c r="K189" s="5" t="s">
        <v>7</v>
      </c>
      <c r="L189" s="5" t="s">
        <v>7</v>
      </c>
      <c r="M189" t="s">
        <v>6328</v>
      </c>
      <c r="N189" s="5" t="s">
        <v>6329</v>
      </c>
      <c r="O189" s="5" t="s">
        <v>5072</v>
      </c>
      <c r="P189" s="5" t="s">
        <v>8021</v>
      </c>
      <c r="Q189" s="5"/>
      <c r="R189" s="5" t="b">
        <v>1</v>
      </c>
    </row>
    <row r="190" spans="1:18">
      <c r="A190" t="s">
        <v>3008</v>
      </c>
      <c r="B190" t="s">
        <v>10752</v>
      </c>
      <c r="C190" s="5" t="s">
        <v>7819</v>
      </c>
      <c r="D190" s="1">
        <v>4</v>
      </c>
      <c r="E190" s="1">
        <v>10</v>
      </c>
      <c r="F190" s="1">
        <v>43</v>
      </c>
      <c r="G190" s="1">
        <v>45</v>
      </c>
      <c r="H190" s="8" cm="1">
        <f t="array" ref="H190">_xlfn.LET(_xlpm.s,IFERROR(--F190,""),_xlpm.e,IFERROR(--G190,""),IF(OR(_xlpm.s="",_xlpm.e="",_xlpm.e&lt;_xlpm.s),"",_xlfn.LET(_xlpm.p,_xlfn.SEQUENCE(_xlpm.e-_xlpm.s+1,1,_xlpm.s,1),SUM(1/COUNTIFS($D:$D,D190,$E:$E,E190,$F:$F,"&lt;&gt;N/A",$G:$G,"&lt;&gt;N/A",$F:$F,"&lt;="&amp;_xlpm.p,$G:$G,"&gt;="&amp;_xlpm.p)))))</f>
        <v>1.8333333333333333</v>
      </c>
      <c r="I190" t="s">
        <v>208</v>
      </c>
      <c r="J190" t="s">
        <v>2786</v>
      </c>
      <c r="K190" s="5" t="s">
        <v>7</v>
      </c>
      <c r="L190" s="5" t="s">
        <v>7</v>
      </c>
      <c r="M190" t="s">
        <v>6323</v>
      </c>
      <c r="N190" s="5" t="s">
        <v>2788</v>
      </c>
      <c r="O190" s="5" t="s">
        <v>5072</v>
      </c>
      <c r="P190" s="5" t="s">
        <v>8021</v>
      </c>
      <c r="Q190" s="5"/>
      <c r="R190" s="5" t="b">
        <v>1</v>
      </c>
    </row>
    <row r="191" spans="1:18">
      <c r="A191" t="s">
        <v>3008</v>
      </c>
      <c r="B191" t="s">
        <v>10753</v>
      </c>
      <c r="C191" s="5" t="s">
        <v>7819</v>
      </c>
      <c r="D191" s="1">
        <v>4</v>
      </c>
      <c r="E191" s="1">
        <v>10</v>
      </c>
      <c r="F191" s="1">
        <v>45</v>
      </c>
      <c r="G191" s="1">
        <v>46</v>
      </c>
      <c r="H191" s="8" cm="1">
        <f t="array" ref="H191">_xlfn.LET(_xlpm.s,IFERROR(--F191,""),_xlpm.e,IFERROR(--G191,""),IF(OR(_xlpm.s="",_xlpm.e="",_xlpm.e&lt;_xlpm.s),"",_xlfn.LET(_xlpm.p,_xlfn.SEQUENCE(_xlpm.e-_xlpm.s+1,1,_xlpm.s,1),SUM(1/COUNTIFS($D:$D,D191,$E:$E,E191,$F:$F,"&lt;&gt;N/A",$G:$G,"&lt;&gt;N/A",$F:$F,"&lt;="&amp;_xlpm.p,$G:$G,"&gt;="&amp;_xlpm.p)))))</f>
        <v>1</v>
      </c>
      <c r="I191" t="s">
        <v>209</v>
      </c>
      <c r="J191" t="s">
        <v>611</v>
      </c>
      <c r="K191" s="5" t="s">
        <v>7</v>
      </c>
      <c r="L191" s="5" t="s">
        <v>7</v>
      </c>
      <c r="M191" s="5" t="s">
        <v>7</v>
      </c>
      <c r="N191" s="5" t="s">
        <v>7</v>
      </c>
      <c r="O191" s="5" t="s">
        <v>11522</v>
      </c>
      <c r="P191" s="5" t="s">
        <v>8021</v>
      </c>
      <c r="Q191" s="5" t="s">
        <v>2706</v>
      </c>
      <c r="R191" s="5" t="b">
        <v>1</v>
      </c>
    </row>
    <row r="192" spans="1:18">
      <c r="A192" t="s">
        <v>3008</v>
      </c>
      <c r="B192" t="s">
        <v>10754</v>
      </c>
      <c r="C192" s="5" t="s">
        <v>7819</v>
      </c>
      <c r="D192" s="1">
        <v>4</v>
      </c>
      <c r="E192" s="1">
        <v>10</v>
      </c>
      <c r="F192" s="1">
        <v>46</v>
      </c>
      <c r="G192" s="1">
        <v>50</v>
      </c>
      <c r="H192" s="8" cm="1">
        <f t="array" ref="H192">_xlfn.LET(_xlpm.s,IFERROR(--F192,""),_xlpm.e,IFERROR(--G192,""),IF(OR(_xlpm.s="",_xlpm.e="",_xlpm.e&lt;_xlpm.s),"",_xlfn.LET(_xlpm.p,_xlfn.SEQUENCE(_xlpm.e-_xlpm.s+1,1,_xlpm.s,1),SUM(1/COUNTIFS($D:$D,D192,$E:$E,E192,$F:$F,"&lt;&gt;N/A",$G:$G,"&lt;&gt;N/A",$F:$F,"&lt;="&amp;_xlpm.p,$G:$G,"&gt;="&amp;_xlpm.p)))))</f>
        <v>4.5</v>
      </c>
      <c r="I192" t="s">
        <v>210</v>
      </c>
      <c r="J192" t="s">
        <v>2703</v>
      </c>
      <c r="K192" s="5" t="s">
        <v>7</v>
      </c>
      <c r="L192" s="5" t="s">
        <v>7</v>
      </c>
      <c r="M192" t="s">
        <v>5018</v>
      </c>
      <c r="N192" s="5" t="s">
        <v>6313</v>
      </c>
      <c r="O192" s="5" t="s">
        <v>5072</v>
      </c>
      <c r="P192" s="5" t="s">
        <v>8021</v>
      </c>
      <c r="Q192" s="5"/>
      <c r="R192" s="5" t="b">
        <v>1</v>
      </c>
    </row>
    <row r="193" spans="1:18">
      <c r="A193" t="s">
        <v>3008</v>
      </c>
      <c r="B193" t="s">
        <v>10755</v>
      </c>
      <c r="C193" s="5" t="s">
        <v>7820</v>
      </c>
      <c r="D193" s="1">
        <v>4</v>
      </c>
      <c r="E193" s="1">
        <v>11</v>
      </c>
      <c r="F193" s="1">
        <v>51</v>
      </c>
      <c r="G193" s="1">
        <v>57</v>
      </c>
      <c r="H193" s="8" cm="1">
        <f t="array" ref="H193">_xlfn.LET(_xlpm.s,IFERROR(--F193,""),_xlpm.e,IFERROR(--G193,""),IF(OR(_xlpm.s="",_xlpm.e="",_xlpm.e&lt;_xlpm.s),"",_xlfn.LET(_xlpm.p,_xlfn.SEQUENCE(_xlpm.e-_xlpm.s+1,1,_xlpm.s,1),SUM(1/COUNTIFS($D:$D,D193,$E:$E,E193,$F:$F,"&lt;&gt;N/A",$G:$G,"&lt;&gt;N/A",$F:$F,"&lt;="&amp;_xlpm.p,$G:$G,"&gt;="&amp;_xlpm.p)))))</f>
        <v>6.5</v>
      </c>
      <c r="I193" t="s">
        <v>14</v>
      </c>
      <c r="J193" t="s">
        <v>615</v>
      </c>
      <c r="K193" s="5" t="s">
        <v>4561</v>
      </c>
      <c r="L193" s="5" t="s">
        <v>7</v>
      </c>
      <c r="M193" s="5" t="s">
        <v>6310</v>
      </c>
      <c r="N193" s="5" t="s">
        <v>11555</v>
      </c>
      <c r="O193" s="5" t="s">
        <v>5072</v>
      </c>
      <c r="P193" s="5" t="s">
        <v>8021</v>
      </c>
      <c r="Q193" s="5"/>
      <c r="R193" s="5" t="b">
        <v>1</v>
      </c>
    </row>
    <row r="194" spans="1:18">
      <c r="A194" t="s">
        <v>3008</v>
      </c>
      <c r="B194" t="s">
        <v>10756</v>
      </c>
      <c r="C194" s="5" t="s">
        <v>7820</v>
      </c>
      <c r="D194" s="1">
        <v>4</v>
      </c>
      <c r="E194" s="1">
        <v>11</v>
      </c>
      <c r="F194" s="1">
        <v>57</v>
      </c>
      <c r="G194" s="1">
        <v>68</v>
      </c>
      <c r="H194" s="8" cm="1">
        <f t="array" ref="H194">_xlfn.LET(_xlpm.s,IFERROR(--F194,""),_xlpm.e,IFERROR(--G194,""),IF(OR(_xlpm.s="",_xlpm.e="",_xlpm.e&lt;_xlpm.s),"",_xlfn.LET(_xlpm.p,_xlfn.SEQUENCE(_xlpm.e-_xlpm.s+1,1,_xlpm.s,1),SUM(1/COUNTIFS($D:$D,D194,$E:$E,E194,$F:$F,"&lt;&gt;N/A",$G:$G,"&lt;&gt;N/A",$F:$F,"&lt;="&amp;_xlpm.p,$G:$G,"&gt;="&amp;_xlpm.p)))))</f>
        <v>11</v>
      </c>
      <c r="I194" t="s">
        <v>14</v>
      </c>
      <c r="J194" t="s">
        <v>616</v>
      </c>
      <c r="K194" s="5" t="s">
        <v>4541</v>
      </c>
      <c r="L194" s="5" t="s">
        <v>7</v>
      </c>
      <c r="M194" s="5" t="s">
        <v>5020</v>
      </c>
      <c r="N194" s="5" t="s">
        <v>11556</v>
      </c>
      <c r="O194" s="5" t="s">
        <v>5072</v>
      </c>
      <c r="P194" s="5" t="s">
        <v>8021</v>
      </c>
      <c r="Q194" s="5"/>
      <c r="R194" s="5" t="b">
        <v>1</v>
      </c>
    </row>
    <row r="195" spans="1:18">
      <c r="A195" t="s">
        <v>3008</v>
      </c>
      <c r="B195" t="s">
        <v>10757</v>
      </c>
      <c r="C195" s="5" t="s">
        <v>7820</v>
      </c>
      <c r="D195" s="1">
        <v>4</v>
      </c>
      <c r="E195" s="1">
        <v>11</v>
      </c>
      <c r="F195" s="1">
        <v>68</v>
      </c>
      <c r="G195" s="1">
        <v>79</v>
      </c>
      <c r="H195" s="8" cm="1">
        <f t="array" ref="H195">_xlfn.LET(_xlpm.s,IFERROR(--F195,""),_xlpm.e,IFERROR(--G195,""),IF(OR(_xlpm.s="",_xlpm.e="",_xlpm.e&lt;_xlpm.s),"",_xlfn.LET(_xlpm.p,_xlfn.SEQUENCE(_xlpm.e-_xlpm.s+1,1,_xlpm.s,1),SUM(1/COUNTIFS($D:$D,D195,$E:$E,E195,$F:$F,"&lt;&gt;N/A",$G:$G,"&lt;&gt;N/A",$F:$F,"&lt;="&amp;_xlpm.p,$G:$G,"&gt;="&amp;_xlpm.p)))))</f>
        <v>11</v>
      </c>
      <c r="I195" t="s">
        <v>200</v>
      </c>
      <c r="J195" t="s">
        <v>617</v>
      </c>
      <c r="K195" s="5" t="s">
        <v>2120</v>
      </c>
      <c r="L195" s="5" t="s">
        <v>7</v>
      </c>
      <c r="M195" s="5" t="s">
        <v>7</v>
      </c>
      <c r="N195" s="5" t="s">
        <v>7</v>
      </c>
      <c r="O195" s="5" t="s">
        <v>778</v>
      </c>
      <c r="P195" s="5" t="s">
        <v>7834</v>
      </c>
      <c r="Q195" s="5"/>
      <c r="R195" s="5" t="b">
        <v>1</v>
      </c>
    </row>
    <row r="196" spans="1:18">
      <c r="A196" t="s">
        <v>3008</v>
      </c>
      <c r="B196" t="s">
        <v>10758</v>
      </c>
      <c r="C196" s="5" t="s">
        <v>7820</v>
      </c>
      <c r="D196" s="1">
        <v>4</v>
      </c>
      <c r="E196" s="1">
        <v>11</v>
      </c>
      <c r="F196" s="1">
        <v>79</v>
      </c>
      <c r="G196" s="1">
        <v>85</v>
      </c>
      <c r="H196" s="8" cm="1">
        <f t="array" ref="H196">_xlfn.LET(_xlpm.s,IFERROR(--F196,""),_xlpm.e,IFERROR(--G196,""),IF(OR(_xlpm.s="",_xlpm.e="",_xlpm.e&lt;_xlpm.s),"",_xlfn.LET(_xlpm.p,_xlfn.SEQUENCE(_xlpm.e-_xlpm.s+1,1,_xlpm.s,1),SUM(1/COUNTIFS($D:$D,D196,$E:$E,E196,$F:$F,"&lt;&gt;N/A",$G:$G,"&lt;&gt;N/A",$F:$F,"&lt;="&amp;_xlpm.p,$G:$G,"&gt;="&amp;_xlpm.p)))))</f>
        <v>6</v>
      </c>
      <c r="I196" t="s">
        <v>205</v>
      </c>
      <c r="J196" t="s">
        <v>619</v>
      </c>
      <c r="K196" s="5" t="s">
        <v>7</v>
      </c>
      <c r="L196" s="5" t="s">
        <v>7</v>
      </c>
      <c r="M196" t="s">
        <v>5540</v>
      </c>
      <c r="N196" s="5" t="s">
        <v>6311</v>
      </c>
      <c r="O196" s="5" t="s">
        <v>5072</v>
      </c>
      <c r="P196" s="5" t="s">
        <v>8021</v>
      </c>
      <c r="Q196" s="5"/>
      <c r="R196" s="5" t="b">
        <v>1</v>
      </c>
    </row>
    <row r="197" spans="1:18">
      <c r="A197" t="s">
        <v>3008</v>
      </c>
      <c r="B197" t="s">
        <v>10759</v>
      </c>
      <c r="C197" s="5" t="s">
        <v>7820</v>
      </c>
      <c r="D197" s="1">
        <v>4</v>
      </c>
      <c r="E197" s="1">
        <v>11</v>
      </c>
      <c r="F197" s="1">
        <v>85</v>
      </c>
      <c r="G197" s="1">
        <v>89</v>
      </c>
      <c r="H197" s="8" cm="1">
        <f t="array" ref="H197">_xlfn.LET(_xlpm.s,IFERROR(--F197,""),_xlpm.e,IFERROR(--G197,""),IF(OR(_xlpm.s="",_xlpm.e="",_xlpm.e&lt;_xlpm.s),"",_xlfn.LET(_xlpm.p,_xlfn.SEQUENCE(_xlpm.e-_xlpm.s+1,1,_xlpm.s,1),SUM(1/COUNTIFS($D:$D,D197,$E:$E,E197,$F:$F,"&lt;&gt;N/A",$G:$G,"&lt;&gt;N/A",$F:$F,"&lt;="&amp;_xlpm.p,$G:$G,"&gt;="&amp;_xlpm.p)))))</f>
        <v>4</v>
      </c>
      <c r="I197" t="s">
        <v>208</v>
      </c>
      <c r="J197" t="s">
        <v>1256</v>
      </c>
      <c r="K197" s="5" t="s">
        <v>7</v>
      </c>
      <c r="L197" s="5" t="s">
        <v>7</v>
      </c>
      <c r="M197" t="s">
        <v>5540</v>
      </c>
      <c r="N197" s="5" t="s">
        <v>2704</v>
      </c>
      <c r="O197" s="5" t="s">
        <v>5072</v>
      </c>
      <c r="P197" s="5" t="s">
        <v>8021</v>
      </c>
      <c r="Q197" s="5"/>
      <c r="R197" s="5" t="b">
        <v>1</v>
      </c>
    </row>
    <row r="198" spans="1:18">
      <c r="A198" t="s">
        <v>3008</v>
      </c>
      <c r="B198" t="s">
        <v>10760</v>
      </c>
      <c r="C198" s="5" t="s">
        <v>7820</v>
      </c>
      <c r="D198" s="1">
        <v>4</v>
      </c>
      <c r="E198" s="1">
        <v>11</v>
      </c>
      <c r="F198" s="1">
        <v>89</v>
      </c>
      <c r="G198" s="1">
        <v>102</v>
      </c>
      <c r="H198" s="8" cm="1">
        <f t="array" ref="H198">_xlfn.LET(_xlpm.s,IFERROR(--F198,""),_xlpm.e,IFERROR(--G198,""),IF(OR(_xlpm.s="",_xlpm.e="",_xlpm.e&lt;_xlpm.s),"",_xlfn.LET(_xlpm.p,_xlfn.SEQUENCE(_xlpm.e-_xlpm.s+1,1,_xlpm.s,1),SUM(1/COUNTIFS($D:$D,D198,$E:$E,E198,$F:$F,"&lt;&gt;N/A",$G:$G,"&lt;&gt;N/A",$F:$F,"&lt;="&amp;_xlpm.p,$G:$G,"&gt;="&amp;_xlpm.p)))))</f>
        <v>13.5</v>
      </c>
      <c r="I198" t="s">
        <v>553</v>
      </c>
      <c r="J198" t="s">
        <v>620</v>
      </c>
      <c r="K198" s="5" t="s">
        <v>7</v>
      </c>
      <c r="L198" s="5" t="s">
        <v>7</v>
      </c>
      <c r="M198" s="5" t="s">
        <v>5554</v>
      </c>
      <c r="N198" s="5" t="s">
        <v>10433</v>
      </c>
      <c r="O198" s="5" t="s">
        <v>5072</v>
      </c>
      <c r="P198" s="5" t="s">
        <v>8021</v>
      </c>
      <c r="Q198" s="5"/>
      <c r="R198" s="5" t="b">
        <v>1</v>
      </c>
    </row>
    <row r="199" spans="1:18">
      <c r="A199" t="s">
        <v>3008</v>
      </c>
      <c r="B199" t="s">
        <v>10761</v>
      </c>
      <c r="C199" s="5" t="s">
        <v>7821</v>
      </c>
      <c r="D199" s="1">
        <v>4</v>
      </c>
      <c r="E199" s="1">
        <v>12</v>
      </c>
      <c r="F199" s="1">
        <v>103</v>
      </c>
      <c r="G199" s="1">
        <v>114</v>
      </c>
      <c r="H199" s="8" cm="1">
        <f t="array" ref="H199">_xlfn.LET(_xlpm.s,IFERROR(--F199,""),_xlpm.e,IFERROR(--G199,""),IF(OR(_xlpm.s="",_xlpm.e="",_xlpm.e&lt;_xlpm.s),"",_xlfn.LET(_xlpm.p,_xlfn.SEQUENCE(_xlpm.e-_xlpm.s+1,1,_xlpm.s,1),SUM(1/COUNTIFS($D:$D,D199,$E:$E,E199,$F:$F,"&lt;&gt;N/A",$G:$G,"&lt;&gt;N/A",$F:$F,"&lt;="&amp;_xlpm.p,$G:$G,"&gt;="&amp;_xlpm.p)))))</f>
        <v>12</v>
      </c>
      <c r="I199" t="s">
        <v>14</v>
      </c>
      <c r="J199" t="s">
        <v>10609</v>
      </c>
      <c r="K199" s="5" t="s">
        <v>1488</v>
      </c>
      <c r="L199" s="5" t="s">
        <v>7</v>
      </c>
      <c r="M199" s="5" t="s">
        <v>7</v>
      </c>
      <c r="N199" s="5" t="s">
        <v>7</v>
      </c>
      <c r="O199" s="5" t="s">
        <v>778</v>
      </c>
      <c r="P199" s="5" t="s">
        <v>7834</v>
      </c>
      <c r="Q199" s="5"/>
      <c r="R199" s="5" t="b">
        <v>1</v>
      </c>
    </row>
    <row r="200" spans="1:18">
      <c r="A200" t="s">
        <v>3008</v>
      </c>
      <c r="B200" t="s">
        <v>10762</v>
      </c>
      <c r="C200" s="5" t="s">
        <v>7821</v>
      </c>
      <c r="D200" s="1">
        <v>4</v>
      </c>
      <c r="E200" s="1">
        <v>12</v>
      </c>
      <c r="F200" s="1">
        <v>115</v>
      </c>
      <c r="G200" s="1">
        <v>135</v>
      </c>
      <c r="H200" s="8" cm="1">
        <f t="array" ref="H200">_xlfn.LET(_xlpm.s,IFERROR(--F200,""),_xlpm.e,IFERROR(--G200,""),IF(OR(_xlpm.s="",_xlpm.e="",_xlpm.e&lt;_xlpm.s),"",_xlfn.LET(_xlpm.p,_xlfn.SEQUENCE(_xlpm.e-_xlpm.s+1,1,_xlpm.s,1),SUM(1/COUNTIFS($D:$D,D200,$E:$E,E200,$F:$F,"&lt;&gt;N/A",$G:$G,"&lt;&gt;N/A",$F:$F,"&lt;="&amp;_xlpm.p,$G:$G,"&gt;="&amp;_xlpm.p)))))</f>
        <v>21</v>
      </c>
      <c r="I200" t="s">
        <v>14</v>
      </c>
      <c r="J200" t="s">
        <v>10610</v>
      </c>
      <c r="K200" s="5" t="s">
        <v>621</v>
      </c>
      <c r="L200" s="5" t="s">
        <v>7</v>
      </c>
      <c r="M200" t="s">
        <v>9835</v>
      </c>
      <c r="N200" s="5" t="s">
        <v>10612</v>
      </c>
      <c r="O200" s="5" t="s">
        <v>5072</v>
      </c>
      <c r="P200" s="5" t="s">
        <v>8021</v>
      </c>
      <c r="Q200" s="5" t="s">
        <v>2509</v>
      </c>
      <c r="R200" s="5" t="b">
        <v>1</v>
      </c>
    </row>
    <row r="201" spans="1:18">
      <c r="A201" t="s">
        <v>3008</v>
      </c>
      <c r="B201" t="s">
        <v>10763</v>
      </c>
      <c r="C201" s="5" t="s">
        <v>7821</v>
      </c>
      <c r="D201" s="1">
        <v>4</v>
      </c>
      <c r="E201" s="1">
        <v>12</v>
      </c>
      <c r="F201" s="1">
        <v>136</v>
      </c>
      <c r="G201" s="1">
        <v>151</v>
      </c>
      <c r="H201" s="8" cm="1">
        <f t="array" ref="H201">_xlfn.LET(_xlpm.s,IFERROR(--F201,""),_xlpm.e,IFERROR(--G201,""),IF(OR(_xlpm.s="",_xlpm.e="",_xlpm.e&lt;_xlpm.s),"",_xlfn.LET(_xlpm.p,_xlfn.SEQUENCE(_xlpm.e-_xlpm.s+1,1,_xlpm.s,1),SUM(1/COUNTIFS($D:$D,D201,$E:$E,E201,$F:$F,"&lt;&gt;N/A",$G:$G,"&lt;&gt;N/A",$F:$F,"&lt;="&amp;_xlpm.p,$G:$G,"&gt;="&amp;_xlpm.p)))))</f>
        <v>16</v>
      </c>
      <c r="I201" t="s">
        <v>14</v>
      </c>
      <c r="J201" t="s">
        <v>5553</v>
      </c>
      <c r="K201" s="5" t="s">
        <v>4562</v>
      </c>
      <c r="L201" s="5" t="s">
        <v>7</v>
      </c>
      <c r="M201" t="s">
        <v>6310</v>
      </c>
      <c r="N201" s="5" t="s">
        <v>11557</v>
      </c>
      <c r="O201" s="5" t="s">
        <v>5072</v>
      </c>
      <c r="P201" s="5" t="s">
        <v>8021</v>
      </c>
      <c r="Q201" s="5"/>
      <c r="R201" s="5" t="b">
        <v>1</v>
      </c>
    </row>
    <row r="202" spans="1:18">
      <c r="A202" t="s">
        <v>3008</v>
      </c>
      <c r="B202" t="s">
        <v>10764</v>
      </c>
      <c r="C202" s="5" t="s">
        <v>7821</v>
      </c>
      <c r="D202" s="1">
        <v>4</v>
      </c>
      <c r="E202" s="1">
        <v>12</v>
      </c>
      <c r="F202" s="1">
        <v>152</v>
      </c>
      <c r="G202" s="1">
        <v>161</v>
      </c>
      <c r="H202" s="8" cm="1">
        <f t="array" ref="H202">_xlfn.LET(_xlpm.s,IFERROR(--F202,""),_xlpm.e,IFERROR(--G202,""),IF(OR(_xlpm.s="",_xlpm.e="",_xlpm.e&lt;_xlpm.s),"",_xlfn.LET(_xlpm.p,_xlfn.SEQUENCE(_xlpm.e-_xlpm.s+1,1,_xlpm.s,1),SUM(1/COUNTIFS($D:$D,D202,$E:$E,E202,$F:$F,"&lt;&gt;N/A",$G:$G,"&lt;&gt;N/A",$F:$F,"&lt;="&amp;_xlpm.p,$G:$G,"&gt;="&amp;_xlpm.p)))))</f>
        <v>9.5</v>
      </c>
      <c r="I202" t="s">
        <v>200</v>
      </c>
      <c r="J202" t="s">
        <v>623</v>
      </c>
      <c r="K202" s="5" t="s">
        <v>7</v>
      </c>
      <c r="L202" s="5" t="s">
        <v>7</v>
      </c>
      <c r="M202" t="s">
        <v>5540</v>
      </c>
      <c r="N202" s="5" t="s">
        <v>5552</v>
      </c>
      <c r="O202" s="5" t="s">
        <v>11522</v>
      </c>
      <c r="P202" s="5" t="s">
        <v>8021</v>
      </c>
      <c r="Q202" s="5"/>
      <c r="R202" s="5" t="b">
        <v>1</v>
      </c>
    </row>
    <row r="203" spans="1:18">
      <c r="A203" t="s">
        <v>3008</v>
      </c>
      <c r="B203" t="s">
        <v>10765</v>
      </c>
      <c r="C203" s="5" t="s">
        <v>7821</v>
      </c>
      <c r="D203" s="1">
        <v>4</v>
      </c>
      <c r="E203" s="1">
        <v>12</v>
      </c>
      <c r="F203" s="1">
        <v>161</v>
      </c>
      <c r="G203" s="1">
        <v>162</v>
      </c>
      <c r="H203" s="8" cm="1">
        <f t="array" ref="H203">_xlfn.LET(_xlpm.s,IFERROR(--F203,""),_xlpm.e,IFERROR(--G203,""),IF(OR(_xlpm.s="",_xlpm.e="",_xlpm.e&lt;_xlpm.s),"",_xlfn.LET(_xlpm.p,_xlfn.SEQUENCE(_xlpm.e-_xlpm.s+1,1,_xlpm.s,1),SUM(1/COUNTIFS($D:$D,D203,$E:$E,E203,$F:$F,"&lt;&gt;N/A",$G:$G,"&lt;&gt;N/A",$F:$F,"&lt;="&amp;_xlpm.p,$G:$G,"&gt;="&amp;_xlpm.p)))))</f>
        <v>1</v>
      </c>
      <c r="I203" t="s">
        <v>205</v>
      </c>
      <c r="J203" t="s">
        <v>5549</v>
      </c>
      <c r="K203" s="5" t="s">
        <v>7</v>
      </c>
      <c r="L203" s="5" t="s">
        <v>7</v>
      </c>
      <c r="M203" s="5" t="s">
        <v>7</v>
      </c>
      <c r="N203" s="5" t="s">
        <v>7</v>
      </c>
      <c r="O203" s="5" t="s">
        <v>778</v>
      </c>
      <c r="P203" s="5" t="s">
        <v>7834</v>
      </c>
      <c r="Q203" s="5"/>
      <c r="R203" s="5" t="b">
        <v>1</v>
      </c>
    </row>
    <row r="204" spans="1:18">
      <c r="A204" t="s">
        <v>3008</v>
      </c>
      <c r="B204" t="s">
        <v>10766</v>
      </c>
      <c r="C204" s="5" t="s">
        <v>7821</v>
      </c>
      <c r="D204" s="1">
        <v>4</v>
      </c>
      <c r="E204" s="1">
        <v>12</v>
      </c>
      <c r="F204" s="1">
        <v>162</v>
      </c>
      <c r="G204" s="1">
        <v>164</v>
      </c>
      <c r="H204" s="8" cm="1">
        <f t="array" ref="H204">_xlfn.LET(_xlpm.s,IFERROR(--F204,""),_xlpm.e,IFERROR(--G204,""),IF(OR(_xlpm.s="",_xlpm.e="",_xlpm.e&lt;_xlpm.s),"",_xlfn.LET(_xlpm.p,_xlfn.SEQUENCE(_xlpm.e-_xlpm.s+1,1,_xlpm.s,1),SUM(1/COUNTIFS($D:$D,D204,$E:$E,E204,$F:$F,"&lt;&gt;N/A",$G:$G,"&lt;&gt;N/A",$F:$F,"&lt;="&amp;_xlpm.p,$G:$G,"&gt;="&amp;_xlpm.p)))))</f>
        <v>2.5</v>
      </c>
      <c r="I204" t="s">
        <v>208</v>
      </c>
      <c r="J204" t="s">
        <v>5550</v>
      </c>
      <c r="K204" s="5" t="s">
        <v>7</v>
      </c>
      <c r="L204" s="5" t="s">
        <v>7</v>
      </c>
      <c r="M204" s="5" t="s">
        <v>7</v>
      </c>
      <c r="N204" s="5" t="s">
        <v>7</v>
      </c>
      <c r="O204" s="5" t="s">
        <v>778</v>
      </c>
      <c r="P204" s="5" t="s">
        <v>7834</v>
      </c>
      <c r="Q204" s="5"/>
      <c r="R204" s="5" t="b">
        <v>1</v>
      </c>
    </row>
    <row r="205" spans="1:18">
      <c r="A205" t="s">
        <v>3008</v>
      </c>
      <c r="B205" t="s">
        <v>10767</v>
      </c>
      <c r="C205" s="5" t="s">
        <v>7821</v>
      </c>
      <c r="D205" s="1">
        <v>4</v>
      </c>
      <c r="E205" s="1">
        <v>12</v>
      </c>
      <c r="F205" s="1">
        <v>165</v>
      </c>
      <c r="G205" s="1">
        <v>166</v>
      </c>
      <c r="H205" s="8" cm="1">
        <f t="array" ref="H205">_xlfn.LET(_xlpm.s,IFERROR(--F205,""),_xlpm.e,IFERROR(--G205,""),IF(OR(_xlpm.s="",_xlpm.e="",_xlpm.e&lt;_xlpm.s),"",_xlfn.LET(_xlpm.p,_xlfn.SEQUENCE(_xlpm.e-_xlpm.s+1,1,_xlpm.s,1),SUM(1/COUNTIFS($D:$D,D205,$E:$E,E205,$F:$F,"&lt;&gt;N/A",$G:$G,"&lt;&gt;N/A",$F:$F,"&lt;="&amp;_xlpm.p,$G:$G,"&gt;="&amp;_xlpm.p)))))</f>
        <v>1.5</v>
      </c>
      <c r="I205" t="s">
        <v>209</v>
      </c>
      <c r="J205" t="s">
        <v>622</v>
      </c>
      <c r="K205" s="5" t="s">
        <v>7</v>
      </c>
      <c r="L205" s="5" t="s">
        <v>7</v>
      </c>
      <c r="M205" s="5" t="s">
        <v>7</v>
      </c>
      <c r="N205" s="5" t="s">
        <v>7</v>
      </c>
      <c r="O205" s="5" t="s">
        <v>11522</v>
      </c>
      <c r="P205" s="5" t="s">
        <v>8021</v>
      </c>
      <c r="Q205" s="5" t="s">
        <v>2705</v>
      </c>
      <c r="R205" s="5" t="b">
        <v>1</v>
      </c>
    </row>
    <row r="206" spans="1:18">
      <c r="A206" t="s">
        <v>3008</v>
      </c>
      <c r="B206" t="s">
        <v>10768</v>
      </c>
      <c r="C206" s="5" t="s">
        <v>7821</v>
      </c>
      <c r="D206" s="1">
        <v>4</v>
      </c>
      <c r="E206" s="1">
        <v>12</v>
      </c>
      <c r="F206" s="1">
        <v>166</v>
      </c>
      <c r="G206" s="1">
        <v>170</v>
      </c>
      <c r="H206" s="8" cm="1">
        <f t="array" ref="H206">_xlfn.LET(_xlpm.s,IFERROR(--F206,""),_xlpm.e,IFERROR(--G206,""),IF(OR(_xlpm.s="",_xlpm.e="",_xlpm.e&lt;_xlpm.s),"",_xlfn.LET(_xlpm.p,_xlfn.SEQUENCE(_xlpm.e-_xlpm.s+1,1,_xlpm.s,1),SUM(1/COUNTIFS($D:$D,D206,$E:$E,E206,$F:$F,"&lt;&gt;N/A",$G:$G,"&lt;&gt;N/A",$F:$F,"&lt;="&amp;_xlpm.p,$G:$G,"&gt;="&amp;_xlpm.p)))))</f>
        <v>4.5</v>
      </c>
      <c r="I206" t="s">
        <v>210</v>
      </c>
      <c r="J206" t="s">
        <v>2703</v>
      </c>
      <c r="K206" s="5" t="s">
        <v>7</v>
      </c>
      <c r="L206" s="5" t="s">
        <v>7</v>
      </c>
      <c r="M206" t="s">
        <v>5018</v>
      </c>
      <c r="N206" s="5" t="s">
        <v>2707</v>
      </c>
      <c r="O206" s="5" t="s">
        <v>5072</v>
      </c>
      <c r="P206" s="5" t="s">
        <v>8021</v>
      </c>
      <c r="Q206" s="5"/>
      <c r="R206" s="5" t="b">
        <v>1</v>
      </c>
    </row>
  </sheetData>
  <phoneticPr fontId="1"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6D84-CF49-4DCF-8459-7E9E9045A73D}">
  <sheetPr codeName="Sheet2"/>
  <dimension ref="A1:R495"/>
  <sheetViews>
    <sheetView zoomScaleNormal="100" workbookViewId="0">
      <selection activeCell="M1" sqref="M1"/>
    </sheetView>
  </sheetViews>
  <sheetFormatPr defaultColWidth="8.77734375" defaultRowHeight="14.4"/>
  <cols>
    <col min="1" max="2" width="5.77734375" customWidth="1"/>
    <col min="3" max="3" width="5.77734375" style="5" customWidth="1"/>
    <col min="4" max="7" width="5.77734375" style="1" customWidth="1"/>
    <col min="8" max="8" width="5.77734375" style="10" customWidth="1"/>
    <col min="9" max="11" width="5.77734375" customWidth="1"/>
    <col min="12" max="13" width="5.77734375" style="5" customWidth="1"/>
    <col min="14" max="14" width="5.77734375" customWidth="1"/>
    <col min="15" max="15" width="5.77734375" style="5" customWidth="1"/>
    <col min="16" max="18" width="5.77734375" customWidth="1"/>
    <col min="19" max="19" width="8.77734375" customWidth="1"/>
  </cols>
  <sheetData>
    <row r="1" spans="1:18">
      <c r="A1" t="s">
        <v>3032</v>
      </c>
      <c r="B1" t="s">
        <v>3281</v>
      </c>
      <c r="C1" s="4" t="s">
        <v>41</v>
      </c>
      <c r="D1" s="2" t="s">
        <v>3282</v>
      </c>
      <c r="E1" s="2" t="s">
        <v>34</v>
      </c>
      <c r="F1" s="2" t="s">
        <v>8031</v>
      </c>
      <c r="G1" s="2" t="s">
        <v>8032</v>
      </c>
      <c r="H1" s="8" t="s">
        <v>2530</v>
      </c>
      <c r="I1" s="2" t="s">
        <v>5</v>
      </c>
      <c r="J1" s="2" t="s">
        <v>4</v>
      </c>
      <c r="K1" s="4" t="s">
        <v>11402</v>
      </c>
      <c r="L1" s="5" t="s">
        <v>11401</v>
      </c>
      <c r="M1" s="4" t="s">
        <v>11400</v>
      </c>
      <c r="N1" s="4" t="s">
        <v>5006</v>
      </c>
      <c r="O1" s="4" t="s">
        <v>11506</v>
      </c>
      <c r="P1" s="4" t="s">
        <v>11403</v>
      </c>
      <c r="Q1" t="s">
        <v>1948</v>
      </c>
      <c r="R1" t="s">
        <v>2062</v>
      </c>
    </row>
    <row r="2" spans="1:18">
      <c r="A2" t="s">
        <v>3009</v>
      </c>
      <c r="B2" t="s">
        <v>3495</v>
      </c>
      <c r="C2" s="5" t="s">
        <v>7925</v>
      </c>
      <c r="D2" s="1">
        <v>1</v>
      </c>
      <c r="E2" s="1">
        <v>1</v>
      </c>
      <c r="F2" s="2">
        <v>1</v>
      </c>
      <c r="G2" s="2">
        <v>4</v>
      </c>
      <c r="H2" s="8" cm="1">
        <f t="array" ref="H2">_xlfn.LET(_xlpm.s,IFERROR(--F2,""),_xlpm.e,IFERROR(--G2,""),IF(OR(_xlpm.s="",_xlpm.e="",_xlpm.e&lt;_xlpm.s),"",_xlfn.LET(_xlpm.p,_xlfn.SEQUENCE(_xlpm.e-_xlpm.s+1,1,_xlpm.s,1),SUM(1/COUNTIFS($D:$D,D2,$E:$E,E2,$F:$F,"&lt;&gt;N/A",$G:$G,"&lt;&gt;N/A",$F:$F,"&lt;="&amp;_xlpm.p,$G:$G,"&gt;="&amp;_xlpm.p)))))</f>
        <v>3.5</v>
      </c>
      <c r="I2" s="4" t="s">
        <v>7</v>
      </c>
      <c r="J2" s="4" t="s">
        <v>773</v>
      </c>
      <c r="K2" t="s">
        <v>11508</v>
      </c>
      <c r="L2" s="5" t="s">
        <v>7</v>
      </c>
      <c r="M2" s="5" t="s">
        <v>7</v>
      </c>
      <c r="N2" s="5" t="s">
        <v>7</v>
      </c>
      <c r="O2" s="4" t="s">
        <v>778</v>
      </c>
      <c r="P2" s="4" t="s">
        <v>7834</v>
      </c>
      <c r="R2" t="b">
        <v>0</v>
      </c>
    </row>
    <row r="3" spans="1:18">
      <c r="A3" t="s">
        <v>3009</v>
      </c>
      <c r="B3" t="s">
        <v>3496</v>
      </c>
      <c r="C3" s="5" t="s">
        <v>7925</v>
      </c>
      <c r="D3" s="1">
        <v>1</v>
      </c>
      <c r="E3" s="1">
        <v>1</v>
      </c>
      <c r="F3" s="1">
        <v>4</v>
      </c>
      <c r="G3" s="1">
        <v>5</v>
      </c>
      <c r="H3" s="8" cm="1">
        <f t="array" ref="H3">_xlfn.LET(_xlpm.s,IFERROR(--F3,""),_xlpm.e,IFERROR(--G3,""),IF(OR(_xlpm.s="",_xlpm.e="",_xlpm.e&lt;_xlpm.s),"",_xlfn.LET(_xlpm.p,_xlfn.SEQUENCE(_xlpm.e-_xlpm.s+1,1,_xlpm.s,1),SUM(1/COUNTIFS($D:$D,D3,$E:$E,E3,$F:$F,"&lt;&gt;N/A",$G:$G,"&lt;&gt;N/A",$F:$F,"&lt;="&amp;_xlpm.p,$G:$G,"&gt;="&amp;_xlpm.p)))))</f>
        <v>0.75</v>
      </c>
      <c r="I3" s="4" t="s">
        <v>774</v>
      </c>
      <c r="J3" t="s">
        <v>775</v>
      </c>
      <c r="K3" s="5" t="s">
        <v>11507</v>
      </c>
      <c r="L3" s="5" t="s">
        <v>7</v>
      </c>
      <c r="M3" s="5" t="s">
        <v>7</v>
      </c>
      <c r="N3" s="5" t="s">
        <v>7</v>
      </c>
      <c r="O3" s="4" t="s">
        <v>778</v>
      </c>
      <c r="P3" s="4" t="s">
        <v>7834</v>
      </c>
      <c r="R3" t="b">
        <v>0</v>
      </c>
    </row>
    <row r="4" spans="1:18">
      <c r="A4" t="s">
        <v>3009</v>
      </c>
      <c r="B4" t="s">
        <v>3497</v>
      </c>
      <c r="C4" s="5" t="s">
        <v>7925</v>
      </c>
      <c r="D4" s="1">
        <v>1</v>
      </c>
      <c r="E4" s="1">
        <v>1</v>
      </c>
      <c r="F4" s="1">
        <v>5</v>
      </c>
      <c r="G4" s="1">
        <v>5</v>
      </c>
      <c r="H4" s="8" cm="1">
        <f t="array" ref="H4">_xlfn.LET(_xlpm.s,IFERROR(--F4,""),_xlpm.e,IFERROR(--G4,""),IF(OR(_xlpm.s="",_xlpm.e="",_xlpm.e&lt;_xlpm.s),"",_xlfn.LET(_xlpm.p,_xlfn.SEQUENCE(_xlpm.e-_xlpm.s+1,1,_xlpm.s,1),SUM(1/COUNTIFS($D:$D,D4,$E:$E,E4,$F:$F,"&lt;&gt;N/A",$G:$G,"&lt;&gt;N/A",$F:$F,"&lt;="&amp;_xlpm.p,$G:$G,"&gt;="&amp;_xlpm.p)))))</f>
        <v>0.25</v>
      </c>
      <c r="I4" s="4" t="s">
        <v>782</v>
      </c>
      <c r="J4" t="s">
        <v>1153</v>
      </c>
      <c r="K4" s="5" t="s">
        <v>7</v>
      </c>
      <c r="L4" s="5" t="s">
        <v>7</v>
      </c>
      <c r="M4" s="5" t="s">
        <v>5011</v>
      </c>
      <c r="N4" s="5" t="s">
        <v>11558</v>
      </c>
      <c r="O4" s="5" t="s">
        <v>5072</v>
      </c>
      <c r="P4" s="5" t="s">
        <v>8021</v>
      </c>
      <c r="Q4" s="5"/>
      <c r="R4" t="b">
        <v>1</v>
      </c>
    </row>
    <row r="5" spans="1:18">
      <c r="A5" t="s">
        <v>3009</v>
      </c>
      <c r="B5" t="s">
        <v>3498</v>
      </c>
      <c r="C5" s="5" t="s">
        <v>7925</v>
      </c>
      <c r="D5" s="1">
        <v>1</v>
      </c>
      <c r="E5" s="1">
        <v>1</v>
      </c>
      <c r="F5" s="1">
        <v>5</v>
      </c>
      <c r="G5" s="1">
        <v>5</v>
      </c>
      <c r="H5" s="8" cm="1">
        <f t="array" ref="H5">_xlfn.LET(_xlpm.s,IFERROR(--F5,""),_xlpm.e,IFERROR(--G5,""),IF(OR(_xlpm.s="",_xlpm.e="",_xlpm.e&lt;_xlpm.s),"",_xlfn.LET(_xlpm.p,_xlfn.SEQUENCE(_xlpm.e-_xlpm.s+1,1,_xlpm.s,1),SUM(1/COUNTIFS($D:$D,D5,$E:$E,E5,$F:$F,"&lt;&gt;N/A",$G:$G,"&lt;&gt;N/A",$F:$F,"&lt;="&amp;_xlpm.p,$G:$G,"&gt;="&amp;_xlpm.p)))))</f>
        <v>0.25</v>
      </c>
      <c r="I5" s="4" t="s">
        <v>782</v>
      </c>
      <c r="J5" t="s">
        <v>1154</v>
      </c>
      <c r="K5" s="5" t="s">
        <v>7</v>
      </c>
      <c r="L5" s="5" t="s">
        <v>2085</v>
      </c>
      <c r="M5" s="5" t="s">
        <v>5012</v>
      </c>
      <c r="N5" s="5" t="s">
        <v>2275</v>
      </c>
      <c r="O5" s="5" t="s">
        <v>11522</v>
      </c>
      <c r="P5" s="5" t="s">
        <v>8034</v>
      </c>
      <c r="R5" t="b">
        <v>1</v>
      </c>
    </row>
    <row r="6" spans="1:18">
      <c r="A6" t="s">
        <v>3009</v>
      </c>
      <c r="B6" t="s">
        <v>3499</v>
      </c>
      <c r="C6" s="5" t="s">
        <v>7925</v>
      </c>
      <c r="D6" s="1">
        <v>1</v>
      </c>
      <c r="E6" s="1">
        <v>1</v>
      </c>
      <c r="F6" s="1">
        <v>5</v>
      </c>
      <c r="G6" s="1">
        <v>6</v>
      </c>
      <c r="H6" s="8" cm="1">
        <f t="array" ref="H6">_xlfn.LET(_xlpm.s,IFERROR(--F6,""),_xlpm.e,IFERROR(--G6,""),IF(OR(_xlpm.s="",_xlpm.e="",_xlpm.e&lt;_xlpm.s),"",_xlfn.LET(_xlpm.p,_xlfn.SEQUENCE(_xlpm.e-_xlpm.s+1,1,_xlpm.s,1),SUM(1/COUNTIFS($D:$D,D6,$E:$E,E6,$F:$F,"&lt;&gt;N/A",$G:$G,"&lt;&gt;N/A",$F:$F,"&lt;="&amp;_xlpm.p,$G:$G,"&gt;="&amp;_xlpm.p)))))</f>
        <v>0.58333333333333326</v>
      </c>
      <c r="I6" s="4" t="s">
        <v>782</v>
      </c>
      <c r="J6" t="s">
        <v>5013</v>
      </c>
      <c r="K6" s="5" t="s">
        <v>7</v>
      </c>
      <c r="L6" s="5" t="s">
        <v>2086</v>
      </c>
      <c r="M6" s="5" t="s">
        <v>5043</v>
      </c>
      <c r="N6" s="5" t="s">
        <v>7276</v>
      </c>
      <c r="O6" s="5" t="s">
        <v>11522</v>
      </c>
      <c r="P6" s="5" t="s">
        <v>8021</v>
      </c>
      <c r="R6" t="b">
        <v>1</v>
      </c>
    </row>
    <row r="7" spans="1:18">
      <c r="A7" t="s">
        <v>3009</v>
      </c>
      <c r="B7" t="s">
        <v>6954</v>
      </c>
      <c r="C7" s="5" t="s">
        <v>7925</v>
      </c>
      <c r="D7" s="1">
        <v>1</v>
      </c>
      <c r="E7" s="1">
        <v>1</v>
      </c>
      <c r="F7" s="1">
        <v>6</v>
      </c>
      <c r="G7" s="1">
        <v>6</v>
      </c>
      <c r="H7" s="8" cm="1">
        <f t="array" ref="H7">_xlfn.LET(_xlpm.s,IFERROR(--F7,""),_xlpm.e,IFERROR(--G7,""),IF(OR(_xlpm.s="",_xlpm.e="",_xlpm.e&lt;_xlpm.s),"",_xlfn.LET(_xlpm.p,_xlfn.SEQUENCE(_xlpm.e-_xlpm.s+1,1,_xlpm.s,1),SUM(1/COUNTIFS($D:$D,D7,$E:$E,E7,$F:$F,"&lt;&gt;N/A",$G:$G,"&lt;&gt;N/A",$F:$F,"&lt;="&amp;_xlpm.p,$G:$G,"&gt;="&amp;_xlpm.p)))))</f>
        <v>0.33333333333333331</v>
      </c>
      <c r="I7" s="4" t="s">
        <v>782</v>
      </c>
      <c r="J7" t="s">
        <v>1155</v>
      </c>
      <c r="K7" s="5" t="s">
        <v>7</v>
      </c>
      <c r="L7" s="5" t="s">
        <v>7</v>
      </c>
      <c r="M7" s="5" t="s">
        <v>5043</v>
      </c>
      <c r="N7" s="5" t="s">
        <v>8090</v>
      </c>
      <c r="O7" s="4" t="s">
        <v>11522</v>
      </c>
      <c r="P7" s="4" t="s">
        <v>8021</v>
      </c>
      <c r="R7" t="b">
        <v>1</v>
      </c>
    </row>
    <row r="8" spans="1:18">
      <c r="A8" t="s">
        <v>3009</v>
      </c>
      <c r="B8" t="s">
        <v>3500</v>
      </c>
      <c r="C8" s="5" t="s">
        <v>7925</v>
      </c>
      <c r="D8" s="1">
        <v>1</v>
      </c>
      <c r="E8" s="1">
        <v>1</v>
      </c>
      <c r="F8" s="1">
        <v>6</v>
      </c>
      <c r="G8" s="1">
        <v>8</v>
      </c>
      <c r="H8" s="8" cm="1">
        <f t="array" ref="H8">_xlfn.LET(_xlpm.s,IFERROR(--F8,""),_xlpm.e,IFERROR(--G8,""),IF(OR(_xlpm.s="",_xlpm.e="",_xlpm.e&lt;_xlpm.s),"",_xlfn.LET(_xlpm.p,_xlfn.SEQUENCE(_xlpm.e-_xlpm.s+1,1,_xlpm.s,1),SUM(1/COUNTIFS($D:$D,D8,$E:$E,E8,$F:$F,"&lt;&gt;N/A",$G:$G,"&lt;&gt;N/A",$F:$F,"&lt;="&amp;_xlpm.p,$G:$G,"&gt;="&amp;_xlpm.p)))))</f>
        <v>2.333333333333333</v>
      </c>
      <c r="I8" s="4" t="s">
        <v>183</v>
      </c>
      <c r="J8" s="4" t="s">
        <v>27</v>
      </c>
      <c r="K8" s="5" t="s">
        <v>2087</v>
      </c>
      <c r="L8" s="5" t="s">
        <v>7</v>
      </c>
      <c r="M8" s="5" t="s">
        <v>7</v>
      </c>
      <c r="N8" s="5" t="s">
        <v>7</v>
      </c>
      <c r="O8" s="4" t="s">
        <v>778</v>
      </c>
      <c r="P8" s="4" t="s">
        <v>7834</v>
      </c>
      <c r="R8" t="b">
        <v>1</v>
      </c>
    </row>
    <row r="9" spans="1:18">
      <c r="A9" t="s">
        <v>3009</v>
      </c>
      <c r="B9" t="s">
        <v>6955</v>
      </c>
      <c r="C9" s="5" t="s">
        <v>7926</v>
      </c>
      <c r="D9" s="1">
        <v>1</v>
      </c>
      <c r="E9" s="1">
        <v>2</v>
      </c>
      <c r="F9" s="1">
        <v>9</v>
      </c>
      <c r="G9" s="1">
        <v>10</v>
      </c>
      <c r="H9" s="8" cm="1">
        <f t="array" ref="H9">_xlfn.LET(_xlpm.s,IFERROR(--F9,""),_xlpm.e,IFERROR(--G9,""),IF(OR(_xlpm.s="",_xlpm.e="",_xlpm.e&lt;_xlpm.s),"",_xlfn.LET(_xlpm.p,_xlfn.SEQUENCE(_xlpm.e-_xlpm.s+1,1,_xlpm.s,1),SUM(1/COUNTIFS($D:$D,D9,$E:$E,E9,$F:$F,"&lt;&gt;N/A",$G:$G,"&lt;&gt;N/A",$F:$F,"&lt;="&amp;_xlpm.p,$G:$G,"&gt;="&amp;_xlpm.p)))))</f>
        <v>1.5</v>
      </c>
      <c r="I9" s="4" t="s">
        <v>774</v>
      </c>
      <c r="J9" t="s">
        <v>776</v>
      </c>
      <c r="K9" s="5" t="s">
        <v>11509</v>
      </c>
      <c r="L9" s="5" t="s">
        <v>7</v>
      </c>
      <c r="M9" s="5" t="s">
        <v>7</v>
      </c>
      <c r="N9" s="5" t="s">
        <v>7</v>
      </c>
      <c r="O9" s="4" t="s">
        <v>778</v>
      </c>
      <c r="P9" s="4" t="s">
        <v>7834</v>
      </c>
      <c r="R9" t="b">
        <v>0</v>
      </c>
    </row>
    <row r="10" spans="1:18">
      <c r="A10" t="s">
        <v>3009</v>
      </c>
      <c r="B10" t="s">
        <v>3501</v>
      </c>
      <c r="C10" s="5" t="s">
        <v>7926</v>
      </c>
      <c r="D10" s="1">
        <v>1</v>
      </c>
      <c r="E10" s="1">
        <v>2</v>
      </c>
      <c r="F10" s="1">
        <v>10</v>
      </c>
      <c r="G10" s="1">
        <v>12</v>
      </c>
      <c r="H10" s="8" cm="1">
        <f t="array" ref="H10">_xlfn.LET(_xlpm.s,IFERROR(--F10,""),_xlpm.e,IFERROR(--G10,""),IF(OR(_xlpm.s="",_xlpm.e="",_xlpm.e&lt;_xlpm.s),"",_xlfn.LET(_xlpm.p,_xlfn.SEQUENCE(_xlpm.e-_xlpm.s+1,1,_xlpm.s,1),SUM(1/COUNTIFS($D:$D,D10,$E:$E,E10,$F:$F,"&lt;&gt;N/A",$G:$G,"&lt;&gt;N/A",$F:$F,"&lt;="&amp;_xlpm.p,$G:$G,"&gt;="&amp;_xlpm.p)))))</f>
        <v>1.8333333333333333</v>
      </c>
      <c r="I10" s="4" t="s">
        <v>782</v>
      </c>
      <c r="J10" t="s">
        <v>777</v>
      </c>
      <c r="K10" s="5" t="s">
        <v>3260</v>
      </c>
      <c r="L10" s="5" t="s">
        <v>7</v>
      </c>
      <c r="M10" s="5" t="s">
        <v>7</v>
      </c>
      <c r="N10" s="5" t="s">
        <v>7</v>
      </c>
      <c r="O10" s="4" t="s">
        <v>778</v>
      </c>
      <c r="P10" s="4" t="s">
        <v>7834</v>
      </c>
      <c r="R10" t="b">
        <v>1</v>
      </c>
    </row>
    <row r="11" spans="1:18">
      <c r="A11" t="s">
        <v>3009</v>
      </c>
      <c r="B11" t="s">
        <v>3502</v>
      </c>
      <c r="C11" s="5" t="s">
        <v>7926</v>
      </c>
      <c r="D11" s="1">
        <v>1</v>
      </c>
      <c r="E11" s="1">
        <v>2</v>
      </c>
      <c r="F11" s="1">
        <v>12</v>
      </c>
      <c r="G11" s="1">
        <v>12</v>
      </c>
      <c r="H11" s="8" cm="1">
        <f t="array" ref="H11">_xlfn.LET(_xlpm.s,IFERROR(--F11,""),_xlpm.e,IFERROR(--G11,""),IF(OR(_xlpm.s="",_xlpm.e="",_xlpm.e&lt;_xlpm.s),"",_xlfn.LET(_xlpm.p,_xlfn.SEQUENCE(_xlpm.e-_xlpm.s+1,1,_xlpm.s,1),SUM(1/COUNTIFS($D:$D,D11,$E:$E,E11,$F:$F,"&lt;&gt;N/A",$G:$G,"&lt;&gt;N/A",$F:$F,"&lt;="&amp;_xlpm.p,$G:$G,"&gt;="&amp;_xlpm.p)))))</f>
        <v>0.33333333333333331</v>
      </c>
      <c r="I11" s="4" t="s">
        <v>782</v>
      </c>
      <c r="J11" t="s">
        <v>779</v>
      </c>
      <c r="K11" s="5" t="s">
        <v>7</v>
      </c>
      <c r="L11" s="5" t="s">
        <v>2086</v>
      </c>
      <c r="M11" t="s">
        <v>5043</v>
      </c>
      <c r="N11" s="5" t="s">
        <v>10270</v>
      </c>
      <c r="O11" s="5" t="s">
        <v>11522</v>
      </c>
      <c r="P11" s="5" t="s">
        <v>8021</v>
      </c>
      <c r="R11" t="b">
        <v>1</v>
      </c>
    </row>
    <row r="12" spans="1:18">
      <c r="A12" t="s">
        <v>3009</v>
      </c>
      <c r="B12" t="s">
        <v>3503</v>
      </c>
      <c r="C12" s="5" t="s">
        <v>7926</v>
      </c>
      <c r="D12" s="1">
        <v>1</v>
      </c>
      <c r="E12" s="1">
        <v>2</v>
      </c>
      <c r="F12" s="1">
        <v>12</v>
      </c>
      <c r="G12" s="1">
        <v>12</v>
      </c>
      <c r="H12" s="8" cm="1">
        <f t="array" ref="H12">_xlfn.LET(_xlpm.s,IFERROR(--F12,""),_xlpm.e,IFERROR(--G12,""),IF(OR(_xlpm.s="",_xlpm.e="",_xlpm.e&lt;_xlpm.s),"",_xlfn.LET(_xlpm.p,_xlfn.SEQUENCE(_xlpm.e-_xlpm.s+1,1,_xlpm.s,1),SUM(1/COUNTIFS($D:$D,D12,$E:$E,E12,$F:$F,"&lt;&gt;N/A",$G:$G,"&lt;&gt;N/A",$F:$F,"&lt;="&amp;_xlpm.p,$G:$G,"&gt;="&amp;_xlpm.p)))))</f>
        <v>0.33333333333333331</v>
      </c>
      <c r="I12" s="4" t="s">
        <v>782</v>
      </c>
      <c r="J12" t="s">
        <v>780</v>
      </c>
      <c r="K12" s="5" t="s">
        <v>2088</v>
      </c>
      <c r="L12" s="5" t="s">
        <v>2089</v>
      </c>
      <c r="M12" t="s">
        <v>5052</v>
      </c>
      <c r="N12" s="5" t="s">
        <v>11559</v>
      </c>
      <c r="O12" s="5" t="s">
        <v>5072</v>
      </c>
      <c r="P12" s="5" t="s">
        <v>8021</v>
      </c>
      <c r="R12" t="b">
        <v>1</v>
      </c>
    </row>
    <row r="13" spans="1:18">
      <c r="A13" t="s">
        <v>3009</v>
      </c>
      <c r="B13" t="s">
        <v>6956</v>
      </c>
      <c r="C13" s="5" t="s">
        <v>7906</v>
      </c>
      <c r="D13" s="1">
        <v>1</v>
      </c>
      <c r="E13" s="1">
        <v>3</v>
      </c>
      <c r="F13" s="1">
        <v>13</v>
      </c>
      <c r="G13" s="1">
        <v>14</v>
      </c>
      <c r="H13" s="8" cm="1">
        <f t="array" ref="H13">_xlfn.LET(_xlpm.s,IFERROR(--F13,""),_xlpm.e,IFERROR(--G13,""),IF(OR(_xlpm.s="",_xlpm.e="",_xlpm.e&lt;_xlpm.s),"",_xlfn.LET(_xlpm.p,_xlfn.SEQUENCE(_xlpm.e-_xlpm.s+1,1,_xlpm.s,1),SUM(1/COUNTIFS($D:$D,D13,$E:$E,E13,$F:$F,"&lt;&gt;N/A",$G:$G,"&lt;&gt;N/A",$F:$F,"&lt;="&amp;_xlpm.p,$G:$G,"&gt;="&amp;_xlpm.p)))))</f>
        <v>1.5</v>
      </c>
      <c r="I13" s="4" t="s">
        <v>774</v>
      </c>
      <c r="J13" t="s">
        <v>781</v>
      </c>
      <c r="K13" s="5" t="s">
        <v>11509</v>
      </c>
      <c r="L13" s="5" t="s">
        <v>7</v>
      </c>
      <c r="M13" s="5" t="s">
        <v>7</v>
      </c>
      <c r="N13" s="5" t="s">
        <v>7</v>
      </c>
      <c r="O13" s="4" t="s">
        <v>778</v>
      </c>
      <c r="P13" s="4" t="s">
        <v>7834</v>
      </c>
      <c r="R13" t="b">
        <v>0</v>
      </c>
    </row>
    <row r="14" spans="1:18">
      <c r="A14" t="s">
        <v>3009</v>
      </c>
      <c r="B14" t="s">
        <v>3504</v>
      </c>
      <c r="C14" s="5" t="s">
        <v>7906</v>
      </c>
      <c r="D14" s="1">
        <v>1</v>
      </c>
      <c r="E14" s="1">
        <v>3</v>
      </c>
      <c r="F14" s="1">
        <v>14</v>
      </c>
      <c r="G14" s="1">
        <v>15</v>
      </c>
      <c r="H14" s="8" cm="1">
        <f t="array" ref="H14">_xlfn.LET(_xlpm.s,IFERROR(--F14,""),_xlpm.e,IFERROR(--G14,""),IF(OR(_xlpm.s="",_xlpm.e="",_xlpm.e&lt;_xlpm.s),"",_xlfn.LET(_xlpm.p,_xlfn.SEQUENCE(_xlpm.e-_xlpm.s+1,1,_xlpm.s,1),SUM(1/COUNTIFS($D:$D,D14,$E:$E,E14,$F:$F,"&lt;&gt;N/A",$G:$G,"&lt;&gt;N/A",$F:$F,"&lt;="&amp;_xlpm.p,$G:$G,"&gt;="&amp;_xlpm.p)))))</f>
        <v>1</v>
      </c>
      <c r="I14" s="4" t="s">
        <v>782</v>
      </c>
      <c r="J14" t="s">
        <v>821</v>
      </c>
      <c r="K14" s="5" t="s">
        <v>11509</v>
      </c>
      <c r="L14" s="5" t="s">
        <v>7</v>
      </c>
      <c r="M14" s="5" t="s">
        <v>7</v>
      </c>
      <c r="N14" s="5" t="s">
        <v>7</v>
      </c>
      <c r="O14" s="4" t="s">
        <v>778</v>
      </c>
      <c r="P14" s="4" t="s">
        <v>7834</v>
      </c>
      <c r="R14" t="b">
        <v>1</v>
      </c>
    </row>
    <row r="15" spans="1:18">
      <c r="A15" t="s">
        <v>3009</v>
      </c>
      <c r="B15" t="s">
        <v>3505</v>
      </c>
      <c r="C15" s="5" t="s">
        <v>7906</v>
      </c>
      <c r="D15" s="1">
        <v>1</v>
      </c>
      <c r="E15" s="1">
        <v>3</v>
      </c>
      <c r="F15" s="1">
        <v>15</v>
      </c>
      <c r="G15" s="1">
        <v>15</v>
      </c>
      <c r="H15" s="8" cm="1">
        <f t="array" ref="H15">_xlfn.LET(_xlpm.s,IFERROR(--F15,""),_xlpm.e,IFERROR(--G15,""),IF(OR(_xlpm.s="",_xlpm.e="",_xlpm.e&lt;_xlpm.s),"",_xlfn.LET(_xlpm.p,_xlfn.SEQUENCE(_xlpm.e-_xlpm.s+1,1,_xlpm.s,1),SUM(1/COUNTIFS($D:$D,D15,$E:$E,E15,$F:$F,"&lt;&gt;N/A",$G:$G,"&lt;&gt;N/A",$F:$F,"&lt;="&amp;_xlpm.p,$G:$G,"&gt;="&amp;_xlpm.p)))))</f>
        <v>0.5</v>
      </c>
      <c r="I15" s="4" t="s">
        <v>782</v>
      </c>
      <c r="J15" t="s">
        <v>783</v>
      </c>
      <c r="K15" s="5" t="s">
        <v>7</v>
      </c>
      <c r="L15" s="5" t="s">
        <v>2090</v>
      </c>
      <c r="M15" s="5" t="s">
        <v>5011</v>
      </c>
      <c r="N15" s="5" t="s">
        <v>11560</v>
      </c>
      <c r="O15" s="5" t="s">
        <v>5072</v>
      </c>
      <c r="P15" s="5" t="s">
        <v>8021</v>
      </c>
      <c r="R15" t="b">
        <v>1</v>
      </c>
    </row>
    <row r="16" spans="1:18">
      <c r="A16" t="s">
        <v>3009</v>
      </c>
      <c r="B16" t="s">
        <v>3506</v>
      </c>
      <c r="C16" s="5" t="s">
        <v>7906</v>
      </c>
      <c r="D16" s="1">
        <v>1</v>
      </c>
      <c r="E16" s="1">
        <v>3</v>
      </c>
      <c r="F16" s="1">
        <v>16</v>
      </c>
      <c r="G16" s="1">
        <v>16</v>
      </c>
      <c r="H16" s="8" cm="1">
        <f t="array" ref="H16">_xlfn.LET(_xlpm.s,IFERROR(--F16,""),_xlpm.e,IFERROR(--G16,""),IF(OR(_xlpm.s="",_xlpm.e="",_xlpm.e&lt;_xlpm.s),"",_xlfn.LET(_xlpm.p,_xlfn.SEQUENCE(_xlpm.e-_xlpm.s+1,1,_xlpm.s,1),SUM(1/COUNTIFS($D:$D,D16,$E:$E,E16,$F:$F,"&lt;&gt;N/A",$G:$G,"&lt;&gt;N/A",$F:$F,"&lt;="&amp;_xlpm.p,$G:$G,"&gt;="&amp;_xlpm.p)))))</f>
        <v>0.2</v>
      </c>
      <c r="I16" s="4" t="s">
        <v>782</v>
      </c>
      <c r="J16" t="s">
        <v>820</v>
      </c>
      <c r="K16" s="5" t="s">
        <v>7</v>
      </c>
      <c r="L16" s="5" t="s">
        <v>2091</v>
      </c>
      <c r="M16" s="5" t="s">
        <v>5011</v>
      </c>
      <c r="N16" s="5" t="s">
        <v>11561</v>
      </c>
      <c r="O16" s="5" t="s">
        <v>5072</v>
      </c>
      <c r="P16" s="5" t="s">
        <v>8021</v>
      </c>
      <c r="R16" t="b">
        <v>1</v>
      </c>
    </row>
    <row r="17" spans="1:18">
      <c r="A17" t="s">
        <v>3009</v>
      </c>
      <c r="B17" t="s">
        <v>3507</v>
      </c>
      <c r="C17" s="5" t="s">
        <v>7906</v>
      </c>
      <c r="D17" s="1">
        <v>1</v>
      </c>
      <c r="E17" s="1">
        <v>3</v>
      </c>
      <c r="F17" s="1">
        <v>16</v>
      </c>
      <c r="G17" s="1">
        <v>16</v>
      </c>
      <c r="H17" s="8" cm="1">
        <f t="array" ref="H17">_xlfn.LET(_xlpm.s,IFERROR(--F17,""),_xlpm.e,IFERROR(--G17,""),IF(OR(_xlpm.s="",_xlpm.e="",_xlpm.e&lt;_xlpm.s),"",_xlfn.LET(_xlpm.p,_xlfn.SEQUENCE(_xlpm.e-_xlpm.s+1,1,_xlpm.s,1),SUM(1/COUNTIFS($D:$D,D17,$E:$E,E17,$F:$F,"&lt;&gt;N/A",$G:$G,"&lt;&gt;N/A",$F:$F,"&lt;="&amp;_xlpm.p,$G:$G,"&gt;="&amp;_xlpm.p)))))</f>
        <v>0.2</v>
      </c>
      <c r="I17" s="4" t="s">
        <v>782</v>
      </c>
      <c r="J17" t="s">
        <v>784</v>
      </c>
      <c r="K17" s="5" t="s">
        <v>7</v>
      </c>
      <c r="L17" s="5" t="s">
        <v>2092</v>
      </c>
      <c r="M17" s="5" t="s">
        <v>5011</v>
      </c>
      <c r="N17" s="5" t="s">
        <v>11562</v>
      </c>
      <c r="O17" s="5" t="s">
        <v>5072</v>
      </c>
      <c r="P17" s="5" t="s">
        <v>8021</v>
      </c>
      <c r="R17" t="b">
        <v>1</v>
      </c>
    </row>
    <row r="18" spans="1:18">
      <c r="A18" t="s">
        <v>3009</v>
      </c>
      <c r="B18" t="s">
        <v>3508</v>
      </c>
      <c r="C18" s="5" t="s">
        <v>7906</v>
      </c>
      <c r="D18" s="1">
        <v>1</v>
      </c>
      <c r="E18" s="1">
        <v>3</v>
      </c>
      <c r="F18" s="1">
        <v>16</v>
      </c>
      <c r="G18" s="1">
        <v>16</v>
      </c>
      <c r="H18" s="8" cm="1">
        <f t="array" ref="H18">_xlfn.LET(_xlpm.s,IFERROR(--F18,""),_xlpm.e,IFERROR(--G18,""),IF(OR(_xlpm.s="",_xlpm.e="",_xlpm.e&lt;_xlpm.s),"",_xlfn.LET(_xlpm.p,_xlfn.SEQUENCE(_xlpm.e-_xlpm.s+1,1,_xlpm.s,1),SUM(1/COUNTIFS($D:$D,D18,$E:$E,E18,$F:$F,"&lt;&gt;N/A",$G:$G,"&lt;&gt;N/A",$F:$F,"&lt;="&amp;_xlpm.p,$G:$G,"&gt;="&amp;_xlpm.p)))))</f>
        <v>0.2</v>
      </c>
      <c r="I18" s="4" t="s">
        <v>782</v>
      </c>
      <c r="J18" t="s">
        <v>785</v>
      </c>
      <c r="K18" s="5" t="s">
        <v>7</v>
      </c>
      <c r="L18" s="5" t="s">
        <v>2093</v>
      </c>
      <c r="M18" s="5" t="s">
        <v>5011</v>
      </c>
      <c r="N18" s="5" t="s">
        <v>11563</v>
      </c>
      <c r="O18" s="5" t="s">
        <v>5072</v>
      </c>
      <c r="P18" s="5" t="s">
        <v>8021</v>
      </c>
      <c r="R18" t="b">
        <v>1</v>
      </c>
    </row>
    <row r="19" spans="1:18">
      <c r="A19" t="s">
        <v>3009</v>
      </c>
      <c r="B19" t="s">
        <v>3509</v>
      </c>
      <c r="C19" s="5" t="s">
        <v>7906</v>
      </c>
      <c r="D19" s="1">
        <v>1</v>
      </c>
      <c r="E19" s="1">
        <v>3</v>
      </c>
      <c r="F19" s="1">
        <v>16</v>
      </c>
      <c r="G19" s="1">
        <v>16</v>
      </c>
      <c r="H19" s="8" cm="1">
        <f t="array" ref="H19">_xlfn.LET(_xlpm.s,IFERROR(--F19,""),_xlpm.e,IFERROR(--G19,""),IF(OR(_xlpm.s="",_xlpm.e="",_xlpm.e&lt;_xlpm.s),"",_xlfn.LET(_xlpm.p,_xlfn.SEQUENCE(_xlpm.e-_xlpm.s+1,1,_xlpm.s,1),SUM(1/COUNTIFS($D:$D,D19,$E:$E,E19,$F:$F,"&lt;&gt;N/A",$G:$G,"&lt;&gt;N/A",$F:$F,"&lt;="&amp;_xlpm.p,$G:$G,"&gt;="&amp;_xlpm.p)))))</f>
        <v>0.2</v>
      </c>
      <c r="I19" s="4" t="s">
        <v>782</v>
      </c>
      <c r="J19" t="s">
        <v>786</v>
      </c>
      <c r="K19" s="5" t="s">
        <v>7</v>
      </c>
      <c r="L19" s="5" t="s">
        <v>2094</v>
      </c>
      <c r="M19" t="s">
        <v>5052</v>
      </c>
      <c r="N19" s="5" t="s">
        <v>11564</v>
      </c>
      <c r="O19" s="5" t="s">
        <v>11522</v>
      </c>
      <c r="P19" s="5" t="s">
        <v>8021</v>
      </c>
      <c r="R19" t="b">
        <v>1</v>
      </c>
    </row>
    <row r="20" spans="1:18">
      <c r="A20" t="s">
        <v>3009</v>
      </c>
      <c r="B20" t="s">
        <v>3510</v>
      </c>
      <c r="C20" s="5" t="s">
        <v>7906</v>
      </c>
      <c r="D20" s="1">
        <v>1</v>
      </c>
      <c r="E20" s="1">
        <v>3</v>
      </c>
      <c r="F20" s="1">
        <v>16</v>
      </c>
      <c r="G20" s="1">
        <v>17</v>
      </c>
      <c r="H20" s="8" cm="1">
        <f t="array" ref="H20">_xlfn.LET(_xlpm.s,IFERROR(--F20,""),_xlpm.e,IFERROR(--G20,""),IF(OR(_xlpm.s="",_xlpm.e="",_xlpm.e&lt;_xlpm.s),"",_xlfn.LET(_xlpm.p,_xlfn.SEQUENCE(_xlpm.e-_xlpm.s+1,1,_xlpm.s,1),SUM(1/COUNTIFS($D:$D,D20,$E:$E,E20,$F:$F,"&lt;&gt;N/A",$G:$G,"&lt;&gt;N/A",$F:$F,"&lt;="&amp;_xlpm.p,$G:$G,"&gt;="&amp;_xlpm.p)))))</f>
        <v>0.53333333333333333</v>
      </c>
      <c r="I20" s="4" t="s">
        <v>782</v>
      </c>
      <c r="J20" t="s">
        <v>819</v>
      </c>
      <c r="K20" s="5" t="s">
        <v>7</v>
      </c>
      <c r="L20" s="5" t="s">
        <v>7</v>
      </c>
      <c r="M20" s="5" t="s">
        <v>5011</v>
      </c>
      <c r="N20" t="s">
        <v>11565</v>
      </c>
      <c r="O20" s="5" t="s">
        <v>5072</v>
      </c>
      <c r="P20" s="5" t="s">
        <v>8021</v>
      </c>
      <c r="R20" t="b">
        <v>1</v>
      </c>
    </row>
    <row r="21" spans="1:18">
      <c r="A21" t="s">
        <v>3009</v>
      </c>
      <c r="B21" t="s">
        <v>3511</v>
      </c>
      <c r="C21" s="5" t="s">
        <v>7906</v>
      </c>
      <c r="D21" s="1">
        <v>1</v>
      </c>
      <c r="E21" s="1">
        <v>3</v>
      </c>
      <c r="F21" s="1">
        <v>17</v>
      </c>
      <c r="G21" s="1">
        <v>17</v>
      </c>
      <c r="H21" s="8" cm="1">
        <f t="array" ref="H21">_xlfn.LET(_xlpm.s,IFERROR(--F21,""),_xlpm.e,IFERROR(--G21,""),IF(OR(_xlpm.s="",_xlpm.e="",_xlpm.e&lt;_xlpm.s),"",_xlfn.LET(_xlpm.p,_xlfn.SEQUENCE(_xlpm.e-_xlpm.s+1,1,_xlpm.s,1),SUM(1/COUNTIFS($D:$D,D21,$E:$E,E21,$F:$F,"&lt;&gt;N/A",$G:$G,"&lt;&gt;N/A",$F:$F,"&lt;="&amp;_xlpm.p,$G:$G,"&gt;="&amp;_xlpm.p)))))</f>
        <v>0.33333333333333331</v>
      </c>
      <c r="I21" s="4" t="s">
        <v>782</v>
      </c>
      <c r="J21" t="s">
        <v>787</v>
      </c>
      <c r="K21" s="5" t="s">
        <v>7</v>
      </c>
      <c r="L21" s="5" t="s">
        <v>7</v>
      </c>
      <c r="M21" s="5" t="s">
        <v>5011</v>
      </c>
      <c r="N21" s="5" t="s">
        <v>11566</v>
      </c>
      <c r="O21" s="5" t="s">
        <v>5072</v>
      </c>
      <c r="P21" s="5" t="s">
        <v>8021</v>
      </c>
      <c r="Q21" s="5"/>
      <c r="R21" t="b">
        <v>1</v>
      </c>
    </row>
    <row r="22" spans="1:18">
      <c r="A22" t="s">
        <v>3009</v>
      </c>
      <c r="B22" t="s">
        <v>3512</v>
      </c>
      <c r="C22" s="5" t="s">
        <v>7906</v>
      </c>
      <c r="D22" s="1">
        <v>1</v>
      </c>
      <c r="E22" s="1">
        <v>3</v>
      </c>
      <c r="F22" s="1">
        <v>17</v>
      </c>
      <c r="G22" s="1">
        <v>18</v>
      </c>
      <c r="H22" s="8" cm="1">
        <f t="array" ref="H22">_xlfn.LET(_xlpm.s,IFERROR(--F22,""),_xlpm.e,IFERROR(--G22,""),IF(OR(_xlpm.s="",_xlpm.e="",_xlpm.e&lt;_xlpm.s),"",_xlfn.LET(_xlpm.p,_xlfn.SEQUENCE(_xlpm.e-_xlpm.s+1,1,_xlpm.s,1),SUM(1/COUNTIFS($D:$D,D22,$E:$E,E22,$F:$F,"&lt;&gt;N/A",$G:$G,"&lt;&gt;N/A",$F:$F,"&lt;="&amp;_xlpm.p,$G:$G,"&gt;="&amp;_xlpm.p)))))</f>
        <v>0.53333333333333333</v>
      </c>
      <c r="I22" s="4" t="s">
        <v>782</v>
      </c>
      <c r="J22" t="s">
        <v>788</v>
      </c>
      <c r="K22" s="5" t="s">
        <v>7</v>
      </c>
      <c r="L22" s="5" t="s">
        <v>2095</v>
      </c>
      <c r="M22" s="5" t="s">
        <v>5011</v>
      </c>
      <c r="N22" s="5" t="s">
        <v>11567</v>
      </c>
      <c r="O22" s="5" t="s">
        <v>5072</v>
      </c>
      <c r="P22" s="5" t="s">
        <v>8021</v>
      </c>
      <c r="R22" t="b">
        <v>1</v>
      </c>
    </row>
    <row r="23" spans="1:18">
      <c r="A23" t="s">
        <v>3009</v>
      </c>
      <c r="B23" t="s">
        <v>3513</v>
      </c>
      <c r="C23" s="5" t="s">
        <v>7906</v>
      </c>
      <c r="D23" s="1">
        <v>1</v>
      </c>
      <c r="E23" s="1">
        <v>3</v>
      </c>
      <c r="F23" s="1">
        <v>18</v>
      </c>
      <c r="G23" s="1">
        <v>18</v>
      </c>
      <c r="H23" s="8" cm="1">
        <f t="array" ref="H23">_xlfn.LET(_xlpm.s,IFERROR(--F23,""),_xlpm.e,IFERROR(--G23,""),IF(OR(_xlpm.s="",_xlpm.e="",_xlpm.e&lt;_xlpm.s),"",_xlfn.LET(_xlpm.p,_xlfn.SEQUENCE(_xlpm.e-_xlpm.s+1,1,_xlpm.s,1),SUM(1/COUNTIFS($D:$D,D23,$E:$E,E23,$F:$F,"&lt;&gt;N/A",$G:$G,"&lt;&gt;N/A",$F:$F,"&lt;="&amp;_xlpm.p,$G:$G,"&gt;="&amp;_xlpm.p)))))</f>
        <v>0.2</v>
      </c>
      <c r="I23" s="4" t="s">
        <v>782</v>
      </c>
      <c r="J23" t="s">
        <v>4377</v>
      </c>
      <c r="K23" s="5" t="s">
        <v>7</v>
      </c>
      <c r="L23" s="5" t="s">
        <v>2096</v>
      </c>
      <c r="M23" t="s">
        <v>5049</v>
      </c>
      <c r="N23" s="5" t="s">
        <v>2276</v>
      </c>
      <c r="O23" s="5" t="s">
        <v>11522</v>
      </c>
      <c r="P23" s="5" t="s">
        <v>8021</v>
      </c>
      <c r="R23" t="b">
        <v>1</v>
      </c>
    </row>
    <row r="24" spans="1:18">
      <c r="A24" t="s">
        <v>3009</v>
      </c>
      <c r="B24" t="s">
        <v>3514</v>
      </c>
      <c r="C24" s="5" t="s">
        <v>7906</v>
      </c>
      <c r="D24" s="1">
        <v>1</v>
      </c>
      <c r="E24" s="1">
        <v>3</v>
      </c>
      <c r="F24" s="1">
        <v>18</v>
      </c>
      <c r="G24" s="1">
        <v>18</v>
      </c>
      <c r="H24" s="8" cm="1">
        <f t="array" ref="H24">_xlfn.LET(_xlpm.s,IFERROR(--F24,""),_xlpm.e,IFERROR(--G24,""),IF(OR(_xlpm.s="",_xlpm.e="",_xlpm.e&lt;_xlpm.s),"",_xlfn.LET(_xlpm.p,_xlfn.SEQUENCE(_xlpm.e-_xlpm.s+1,1,_xlpm.s,1),SUM(1/COUNTIFS($D:$D,D24,$E:$E,E24,$F:$F,"&lt;&gt;N/A",$G:$G,"&lt;&gt;N/A",$F:$F,"&lt;="&amp;_xlpm.p,$G:$G,"&gt;="&amp;_xlpm.p)))))</f>
        <v>0.2</v>
      </c>
      <c r="I24" s="4" t="s">
        <v>782</v>
      </c>
      <c r="J24" t="s">
        <v>818</v>
      </c>
      <c r="K24" s="5" t="s">
        <v>7</v>
      </c>
      <c r="L24" s="5" t="s">
        <v>7</v>
      </c>
      <c r="M24" t="s">
        <v>5011</v>
      </c>
      <c r="N24" s="5" t="s">
        <v>11568</v>
      </c>
      <c r="O24" s="5" t="s">
        <v>5072</v>
      </c>
      <c r="P24" s="5" t="s">
        <v>8021</v>
      </c>
      <c r="R24" t="b">
        <v>1</v>
      </c>
    </row>
    <row r="25" spans="1:18">
      <c r="A25" t="s">
        <v>3009</v>
      </c>
      <c r="B25" t="s">
        <v>3515</v>
      </c>
      <c r="C25" s="5" t="s">
        <v>7906</v>
      </c>
      <c r="D25" s="1">
        <v>1</v>
      </c>
      <c r="E25" s="1">
        <v>3</v>
      </c>
      <c r="F25" s="1">
        <v>18</v>
      </c>
      <c r="G25" s="1">
        <v>18</v>
      </c>
      <c r="H25" s="8" cm="1">
        <f t="array" ref="H25">_xlfn.LET(_xlpm.s,IFERROR(--F25,""),_xlpm.e,IFERROR(--G25,""),IF(OR(_xlpm.s="",_xlpm.e="",_xlpm.e&lt;_xlpm.s),"",_xlfn.LET(_xlpm.p,_xlfn.SEQUENCE(_xlpm.e-_xlpm.s+1,1,_xlpm.s,1),SUM(1/COUNTIFS($D:$D,D25,$E:$E,E25,$F:$F,"&lt;&gt;N/A",$G:$G,"&lt;&gt;N/A",$F:$F,"&lt;="&amp;_xlpm.p,$G:$G,"&gt;="&amp;_xlpm.p)))))</f>
        <v>0.2</v>
      </c>
      <c r="I25" s="4" t="s">
        <v>782</v>
      </c>
      <c r="J25" t="s">
        <v>816</v>
      </c>
      <c r="K25" s="5" t="s">
        <v>7</v>
      </c>
      <c r="L25" s="5" t="s">
        <v>2097</v>
      </c>
      <c r="M25" t="s">
        <v>5011</v>
      </c>
      <c r="N25" s="5" t="s">
        <v>11569</v>
      </c>
      <c r="O25" s="5" t="s">
        <v>5072</v>
      </c>
      <c r="P25" s="5" t="s">
        <v>8021</v>
      </c>
      <c r="R25" t="b">
        <v>1</v>
      </c>
    </row>
    <row r="26" spans="1:18">
      <c r="A26" t="s">
        <v>3009</v>
      </c>
      <c r="B26" t="s">
        <v>3516</v>
      </c>
      <c r="C26" s="5" t="s">
        <v>7906</v>
      </c>
      <c r="D26" s="1">
        <v>1</v>
      </c>
      <c r="E26" s="1">
        <v>3</v>
      </c>
      <c r="F26" s="1">
        <v>18</v>
      </c>
      <c r="G26" s="1">
        <v>18</v>
      </c>
      <c r="H26" s="8" cm="1">
        <f t="array" ref="H26">_xlfn.LET(_xlpm.s,IFERROR(--F26,""),_xlpm.e,IFERROR(--G26,""),IF(OR(_xlpm.s="",_xlpm.e="",_xlpm.e&lt;_xlpm.s),"",_xlfn.LET(_xlpm.p,_xlfn.SEQUENCE(_xlpm.e-_xlpm.s+1,1,_xlpm.s,1),SUM(1/COUNTIFS($D:$D,D26,$E:$E,E26,$F:$F,"&lt;&gt;N/A",$G:$G,"&lt;&gt;N/A",$F:$F,"&lt;="&amp;_xlpm.p,$G:$G,"&gt;="&amp;_xlpm.p)))))</f>
        <v>0.2</v>
      </c>
      <c r="I26" s="4" t="s">
        <v>782</v>
      </c>
      <c r="J26" t="s">
        <v>817</v>
      </c>
      <c r="K26" s="5" t="s">
        <v>7</v>
      </c>
      <c r="L26" s="5" t="s">
        <v>7</v>
      </c>
      <c r="M26" t="s">
        <v>5011</v>
      </c>
      <c r="N26" s="5" t="s">
        <v>11570</v>
      </c>
      <c r="O26" s="5" t="s">
        <v>5072</v>
      </c>
      <c r="P26" s="5" t="s">
        <v>8021</v>
      </c>
      <c r="R26" t="b">
        <v>1</v>
      </c>
    </row>
    <row r="27" spans="1:18">
      <c r="A27" t="s">
        <v>3009</v>
      </c>
      <c r="B27" t="s">
        <v>3517</v>
      </c>
      <c r="C27" s="5" t="s">
        <v>7906</v>
      </c>
      <c r="D27" s="1">
        <v>1</v>
      </c>
      <c r="E27" s="1">
        <v>3</v>
      </c>
      <c r="F27" s="1">
        <v>19</v>
      </c>
      <c r="G27" s="1">
        <v>19</v>
      </c>
      <c r="H27" s="8" cm="1">
        <f t="array" ref="H27">_xlfn.LET(_xlpm.s,IFERROR(--F27,""),_xlpm.e,IFERROR(--G27,""),IF(OR(_xlpm.s="",_xlpm.e="",_xlpm.e&lt;_xlpm.s),"",_xlfn.LET(_xlpm.p,_xlfn.SEQUENCE(_xlpm.e-_xlpm.s+1,1,_xlpm.s,1),SUM(1/COUNTIFS($D:$D,D27,$E:$E,E27,$F:$F,"&lt;&gt;N/A",$G:$G,"&lt;&gt;N/A",$F:$F,"&lt;="&amp;_xlpm.p,$G:$G,"&gt;="&amp;_xlpm.p)))))</f>
        <v>1</v>
      </c>
      <c r="I27" s="4" t="s">
        <v>782</v>
      </c>
      <c r="J27" t="s">
        <v>2277</v>
      </c>
      <c r="K27" s="5" t="s">
        <v>7</v>
      </c>
      <c r="L27" s="5" t="s">
        <v>2098</v>
      </c>
      <c r="M27" t="s">
        <v>5134</v>
      </c>
      <c r="N27" s="5" t="s">
        <v>2278</v>
      </c>
      <c r="O27" s="5" t="s">
        <v>5072</v>
      </c>
      <c r="P27" s="5" t="s">
        <v>8021</v>
      </c>
      <c r="R27" t="b">
        <v>1</v>
      </c>
    </row>
    <row r="28" spans="1:18">
      <c r="A28" t="s">
        <v>3009</v>
      </c>
      <c r="B28" t="s">
        <v>3518</v>
      </c>
      <c r="C28" s="5" t="s">
        <v>7906</v>
      </c>
      <c r="D28" s="1">
        <v>1</v>
      </c>
      <c r="E28" s="1">
        <v>3</v>
      </c>
      <c r="F28" s="1">
        <v>20</v>
      </c>
      <c r="G28" s="1">
        <v>20</v>
      </c>
      <c r="H28" s="8" cm="1">
        <f t="array" ref="H28">_xlfn.LET(_xlpm.s,IFERROR(--F28,""),_xlpm.e,IFERROR(--G28,""),IF(OR(_xlpm.s="",_xlpm.e="",_xlpm.e&lt;_xlpm.s),"",_xlfn.LET(_xlpm.p,_xlfn.SEQUENCE(_xlpm.e-_xlpm.s+1,1,_xlpm.s,1),SUM(1/COUNTIFS($D:$D,D28,$E:$E,E28,$F:$F,"&lt;&gt;N/A",$G:$G,"&lt;&gt;N/A",$F:$F,"&lt;="&amp;_xlpm.p,$G:$G,"&gt;="&amp;_xlpm.p)))))</f>
        <v>0.5</v>
      </c>
      <c r="I28" s="4" t="s">
        <v>782</v>
      </c>
      <c r="J28" t="s">
        <v>789</v>
      </c>
      <c r="K28" s="5" t="s">
        <v>7</v>
      </c>
      <c r="L28" s="5" t="s">
        <v>2085</v>
      </c>
      <c r="M28" t="s">
        <v>5012</v>
      </c>
      <c r="N28" s="5" t="s">
        <v>5050</v>
      </c>
      <c r="O28" s="5" t="s">
        <v>11522</v>
      </c>
      <c r="P28" s="5" t="s">
        <v>8034</v>
      </c>
      <c r="R28" t="b">
        <v>1</v>
      </c>
    </row>
    <row r="29" spans="1:18">
      <c r="A29" t="s">
        <v>3009</v>
      </c>
      <c r="B29" t="s">
        <v>3519</v>
      </c>
      <c r="C29" s="5" t="s">
        <v>7906</v>
      </c>
      <c r="D29" s="1">
        <v>1</v>
      </c>
      <c r="E29" s="1">
        <v>3</v>
      </c>
      <c r="F29" s="1">
        <v>20</v>
      </c>
      <c r="G29" s="1">
        <v>20</v>
      </c>
      <c r="H29" s="8" cm="1">
        <f t="array" ref="H29">_xlfn.LET(_xlpm.s,IFERROR(--F29,""),_xlpm.e,IFERROR(--G29,""),IF(OR(_xlpm.s="",_xlpm.e="",_xlpm.e&lt;_xlpm.s),"",_xlfn.LET(_xlpm.p,_xlfn.SEQUENCE(_xlpm.e-_xlpm.s+1,1,_xlpm.s,1),SUM(1/COUNTIFS($D:$D,D29,$E:$E,E29,$F:$F,"&lt;&gt;N/A",$G:$G,"&lt;&gt;N/A",$F:$F,"&lt;="&amp;_xlpm.p,$G:$G,"&gt;="&amp;_xlpm.p)))))</f>
        <v>0.5</v>
      </c>
      <c r="I29" s="4" t="s">
        <v>782</v>
      </c>
      <c r="J29" t="s">
        <v>2284</v>
      </c>
      <c r="K29" s="5" t="s">
        <v>7</v>
      </c>
      <c r="L29" s="5" t="s">
        <v>7</v>
      </c>
      <c r="M29" s="5" t="s">
        <v>7</v>
      </c>
      <c r="N29" s="5" t="s">
        <v>7</v>
      </c>
      <c r="O29" s="4" t="s">
        <v>778</v>
      </c>
      <c r="P29" s="4" t="s">
        <v>7834</v>
      </c>
      <c r="R29" t="b">
        <v>1</v>
      </c>
    </row>
    <row r="30" spans="1:18">
      <c r="A30" t="s">
        <v>3009</v>
      </c>
      <c r="B30" t="s">
        <v>6957</v>
      </c>
      <c r="C30" s="5" t="s">
        <v>7907</v>
      </c>
      <c r="D30" s="1">
        <v>1</v>
      </c>
      <c r="E30" s="1">
        <v>4</v>
      </c>
      <c r="F30" s="1">
        <v>21</v>
      </c>
      <c r="G30" s="1">
        <v>21</v>
      </c>
      <c r="H30" s="8" cm="1">
        <f t="array" ref="H30">_xlfn.LET(_xlpm.s,IFERROR(--F30,""),_xlpm.e,IFERROR(--G30,""),IF(OR(_xlpm.s="",_xlpm.e="",_xlpm.e&lt;_xlpm.s),"",_xlfn.LET(_xlpm.p,_xlfn.SEQUENCE(_xlpm.e-_xlpm.s+1,1,_xlpm.s,1),SUM(1/COUNTIFS($D:$D,D30,$E:$E,E30,$F:$F,"&lt;&gt;N/A",$G:$G,"&lt;&gt;N/A",$F:$F,"&lt;="&amp;_xlpm.p,$G:$G,"&gt;="&amp;_xlpm.p)))))</f>
        <v>1</v>
      </c>
      <c r="I30" s="4" t="s">
        <v>774</v>
      </c>
      <c r="J30" t="s">
        <v>790</v>
      </c>
      <c r="K30" s="5" t="s">
        <v>11507</v>
      </c>
      <c r="L30" s="5" t="s">
        <v>7</v>
      </c>
      <c r="M30" s="5" t="s">
        <v>7</v>
      </c>
      <c r="N30" s="5" t="s">
        <v>7</v>
      </c>
      <c r="O30" s="4" t="s">
        <v>778</v>
      </c>
      <c r="P30" s="4" t="s">
        <v>7834</v>
      </c>
      <c r="R30" t="b">
        <v>1</v>
      </c>
    </row>
    <row r="31" spans="1:18">
      <c r="A31" t="s">
        <v>3009</v>
      </c>
      <c r="B31" t="s">
        <v>3520</v>
      </c>
      <c r="C31" s="5" t="s">
        <v>7907</v>
      </c>
      <c r="D31" s="1">
        <v>1</v>
      </c>
      <c r="E31" s="1">
        <v>4</v>
      </c>
      <c r="F31" s="1">
        <v>22</v>
      </c>
      <c r="G31" s="1">
        <v>24</v>
      </c>
      <c r="H31" s="8" cm="1">
        <f t="array" ref="H31">_xlfn.LET(_xlpm.s,IFERROR(--F31,""),_xlpm.e,IFERROR(--G31,""),IF(OR(_xlpm.s="",_xlpm.e="",_xlpm.e&lt;_xlpm.s),"",_xlfn.LET(_xlpm.p,_xlfn.SEQUENCE(_xlpm.e-_xlpm.s+1,1,_xlpm.s,1),SUM(1/COUNTIFS($D:$D,D31,$E:$E,E31,$F:$F,"&lt;&gt;N/A",$G:$G,"&lt;&gt;N/A",$F:$F,"&lt;="&amp;_xlpm.p,$G:$G,"&gt;="&amp;_xlpm.p)))))</f>
        <v>3</v>
      </c>
      <c r="I31" s="4" t="s">
        <v>782</v>
      </c>
      <c r="J31" t="s">
        <v>791</v>
      </c>
      <c r="K31" s="5" t="s">
        <v>725</v>
      </c>
      <c r="L31" s="5" t="s">
        <v>7</v>
      </c>
      <c r="M31" s="5" t="s">
        <v>7</v>
      </c>
      <c r="N31" s="5" t="s">
        <v>7</v>
      </c>
      <c r="O31" s="4" t="s">
        <v>778</v>
      </c>
      <c r="P31" s="4" t="s">
        <v>7834</v>
      </c>
      <c r="R31" t="b">
        <v>1</v>
      </c>
    </row>
    <row r="32" spans="1:18">
      <c r="A32" t="s">
        <v>3009</v>
      </c>
      <c r="B32" t="s">
        <v>6958</v>
      </c>
      <c r="C32" s="5" t="s">
        <v>7908</v>
      </c>
      <c r="D32" s="1">
        <v>1</v>
      </c>
      <c r="E32" s="1">
        <v>5</v>
      </c>
      <c r="F32" s="1">
        <v>25</v>
      </c>
      <c r="G32" s="1">
        <v>28</v>
      </c>
      <c r="H32" s="8" cm="1">
        <f t="array" ref="H32">_xlfn.LET(_xlpm.s,IFERROR(--F32,""),_xlpm.e,IFERROR(--G32,""),IF(OR(_xlpm.s="",_xlpm.e="",_xlpm.e&lt;_xlpm.s),"",_xlfn.LET(_xlpm.p,_xlfn.SEQUENCE(_xlpm.e-_xlpm.s+1,1,_xlpm.s,1),SUM(1/COUNTIFS($D:$D,D32,$E:$E,E32,$F:$F,"&lt;&gt;N/A",$G:$G,"&lt;&gt;N/A",$F:$F,"&lt;="&amp;_xlpm.p,$G:$G,"&gt;="&amp;_xlpm.p)))))</f>
        <v>3.5</v>
      </c>
      <c r="I32" s="4" t="s">
        <v>774</v>
      </c>
      <c r="J32" t="s">
        <v>792</v>
      </c>
      <c r="K32" s="5" t="s">
        <v>11507</v>
      </c>
      <c r="L32" s="5" t="s">
        <v>7</v>
      </c>
      <c r="M32" s="5" t="s">
        <v>7</v>
      </c>
      <c r="N32" s="5" t="s">
        <v>7</v>
      </c>
      <c r="O32" s="4" t="s">
        <v>778</v>
      </c>
      <c r="P32" s="4" t="s">
        <v>7834</v>
      </c>
      <c r="R32" t="b">
        <v>1</v>
      </c>
    </row>
    <row r="33" spans="1:18">
      <c r="A33" t="s">
        <v>3009</v>
      </c>
      <c r="B33" t="s">
        <v>3521</v>
      </c>
      <c r="C33" s="5" t="s">
        <v>7908</v>
      </c>
      <c r="D33" s="1">
        <v>1</v>
      </c>
      <c r="E33" s="1">
        <v>5</v>
      </c>
      <c r="F33" s="1">
        <v>28</v>
      </c>
      <c r="G33" s="1">
        <v>28</v>
      </c>
      <c r="H33" s="8" cm="1">
        <f t="array" ref="H33">_xlfn.LET(_xlpm.s,IFERROR(--F33,""),_xlpm.e,IFERROR(--G33,""),IF(OR(_xlpm.s="",_xlpm.e="",_xlpm.e&lt;_xlpm.s),"",_xlfn.LET(_xlpm.p,_xlfn.SEQUENCE(_xlpm.e-_xlpm.s+1,1,_xlpm.s,1),SUM(1/COUNTIFS($D:$D,D33,$E:$E,E33,$F:$F,"&lt;&gt;N/A",$G:$G,"&lt;&gt;N/A",$F:$F,"&lt;="&amp;_xlpm.p,$G:$G,"&gt;="&amp;_xlpm.p)))))</f>
        <v>0.5</v>
      </c>
      <c r="I33" s="4" t="s">
        <v>782</v>
      </c>
      <c r="J33" t="s">
        <v>793</v>
      </c>
      <c r="K33" s="5" t="s">
        <v>7</v>
      </c>
      <c r="L33" s="5" t="s">
        <v>2099</v>
      </c>
      <c r="M33" s="5" t="s">
        <v>5014</v>
      </c>
      <c r="N33" s="5" t="s">
        <v>5074</v>
      </c>
      <c r="O33" s="5" t="s">
        <v>5072</v>
      </c>
      <c r="P33" s="5" t="s">
        <v>8034</v>
      </c>
      <c r="R33" t="b">
        <v>1</v>
      </c>
    </row>
    <row r="34" spans="1:18">
      <c r="A34" t="s">
        <v>3009</v>
      </c>
      <c r="B34" t="s">
        <v>3522</v>
      </c>
      <c r="C34" s="5" t="s">
        <v>7908</v>
      </c>
      <c r="D34" s="1">
        <v>1</v>
      </c>
      <c r="E34" s="1">
        <v>5</v>
      </c>
      <c r="F34" s="1">
        <v>29</v>
      </c>
      <c r="G34" s="1">
        <v>29</v>
      </c>
      <c r="H34" s="8" cm="1">
        <f t="array" ref="H34">_xlfn.LET(_xlpm.s,IFERROR(--F34,""),_xlpm.e,IFERROR(--G34,""),IF(OR(_xlpm.s="",_xlpm.e="",_xlpm.e&lt;_xlpm.s),"",_xlfn.LET(_xlpm.p,_xlfn.SEQUENCE(_xlpm.e-_xlpm.s+1,1,_xlpm.s,1),SUM(1/COUNTIFS($D:$D,D34,$E:$E,E34,$F:$F,"&lt;&gt;N/A",$G:$G,"&lt;&gt;N/A",$F:$F,"&lt;="&amp;_xlpm.p,$G:$G,"&gt;="&amp;_xlpm.p)))))</f>
        <v>0.5</v>
      </c>
      <c r="I34" s="4" t="s">
        <v>782</v>
      </c>
      <c r="J34" t="s">
        <v>2281</v>
      </c>
      <c r="K34" s="5" t="s">
        <v>7</v>
      </c>
      <c r="L34" s="5" t="s">
        <v>2099</v>
      </c>
      <c r="M34" s="5" t="s">
        <v>5014</v>
      </c>
      <c r="N34" s="5" t="s">
        <v>2388</v>
      </c>
      <c r="O34" s="5" t="s">
        <v>5072</v>
      </c>
      <c r="P34" s="5" t="s">
        <v>8034</v>
      </c>
      <c r="R34" t="b">
        <v>1</v>
      </c>
    </row>
    <row r="35" spans="1:18">
      <c r="A35" t="s">
        <v>3009</v>
      </c>
      <c r="B35" t="s">
        <v>3523</v>
      </c>
      <c r="C35" s="5" t="s">
        <v>7908</v>
      </c>
      <c r="D35" s="1">
        <v>1</v>
      </c>
      <c r="E35" s="1">
        <v>5</v>
      </c>
      <c r="F35" s="1">
        <v>29</v>
      </c>
      <c r="G35" s="1">
        <v>30</v>
      </c>
      <c r="H35" s="8" cm="1">
        <f t="array" ref="H35">_xlfn.LET(_xlpm.s,IFERROR(--F35,""),_xlpm.e,IFERROR(--G35,""),IF(OR(_xlpm.s="",_xlpm.e="",_xlpm.e&lt;_xlpm.s),"",_xlfn.LET(_xlpm.p,_xlfn.SEQUENCE(_xlpm.e-_xlpm.s+1,1,_xlpm.s,1),SUM(1/COUNTIFS($D:$D,D35,$E:$E,E35,$F:$F,"&lt;&gt;N/A",$G:$G,"&lt;&gt;N/A",$F:$F,"&lt;="&amp;_xlpm.p,$G:$G,"&gt;="&amp;_xlpm.p)))))</f>
        <v>0.83333333333333326</v>
      </c>
      <c r="I35" s="4" t="s">
        <v>782</v>
      </c>
      <c r="J35" t="s">
        <v>794</v>
      </c>
      <c r="K35" s="5" t="s">
        <v>11507</v>
      </c>
      <c r="L35" s="5" t="s">
        <v>7</v>
      </c>
      <c r="M35" s="5" t="s">
        <v>7</v>
      </c>
      <c r="N35" s="5" t="s">
        <v>7</v>
      </c>
      <c r="O35" s="4" t="s">
        <v>778</v>
      </c>
      <c r="P35" s="4" t="s">
        <v>7834</v>
      </c>
      <c r="R35" t="b">
        <v>1</v>
      </c>
    </row>
    <row r="36" spans="1:18">
      <c r="A36" t="s">
        <v>3009</v>
      </c>
      <c r="B36" t="s">
        <v>3524</v>
      </c>
      <c r="C36" s="5" t="s">
        <v>7908</v>
      </c>
      <c r="D36" s="1">
        <v>1</v>
      </c>
      <c r="E36" s="1">
        <v>5</v>
      </c>
      <c r="F36" s="1">
        <v>30</v>
      </c>
      <c r="G36" s="1">
        <v>30</v>
      </c>
      <c r="H36" s="8" cm="1">
        <f t="array" ref="H36">_xlfn.LET(_xlpm.s,IFERROR(--F36,""),_xlpm.e,IFERROR(--G36,""),IF(OR(_xlpm.s="",_xlpm.e="",_xlpm.e&lt;_xlpm.s),"",_xlfn.LET(_xlpm.p,_xlfn.SEQUENCE(_xlpm.e-_xlpm.s+1,1,_xlpm.s,1),SUM(1/COUNTIFS($D:$D,D36,$E:$E,E36,$F:$F,"&lt;&gt;N/A",$G:$G,"&lt;&gt;N/A",$F:$F,"&lt;="&amp;_xlpm.p,$G:$G,"&gt;="&amp;_xlpm.p)))))</f>
        <v>0.33333333333333331</v>
      </c>
      <c r="I36" s="4" t="s">
        <v>782</v>
      </c>
      <c r="J36" t="s">
        <v>795</v>
      </c>
      <c r="K36" s="5" t="s">
        <v>7</v>
      </c>
      <c r="L36" s="5" t="s">
        <v>2100</v>
      </c>
      <c r="M36" s="5" t="s">
        <v>5012</v>
      </c>
      <c r="N36" s="5" t="s">
        <v>2279</v>
      </c>
      <c r="O36" s="5" t="s">
        <v>5072</v>
      </c>
      <c r="P36" s="5" t="s">
        <v>8034</v>
      </c>
      <c r="R36" t="b">
        <v>1</v>
      </c>
    </row>
    <row r="37" spans="1:18">
      <c r="A37" t="s">
        <v>3009</v>
      </c>
      <c r="B37" t="s">
        <v>3525</v>
      </c>
      <c r="C37" s="5" t="s">
        <v>7908</v>
      </c>
      <c r="D37" s="1">
        <v>1</v>
      </c>
      <c r="E37" s="1">
        <v>5</v>
      </c>
      <c r="F37" s="1">
        <v>30</v>
      </c>
      <c r="G37" s="1">
        <v>31</v>
      </c>
      <c r="H37" s="8" cm="1">
        <f t="array" ref="H37">_xlfn.LET(_xlpm.s,IFERROR(--F37,""),_xlpm.e,IFERROR(--G37,""),IF(OR(_xlpm.s="",_xlpm.e="",_xlpm.e&lt;_xlpm.s),"",_xlfn.LET(_xlpm.p,_xlfn.SEQUENCE(_xlpm.e-_xlpm.s+1,1,_xlpm.s,1),SUM(1/COUNTIFS($D:$D,D37,$E:$E,E37,$F:$F,"&lt;&gt;N/A",$G:$G,"&lt;&gt;N/A",$F:$F,"&lt;="&amp;_xlpm.p,$G:$G,"&gt;="&amp;_xlpm.p)))))</f>
        <v>0.47619047619047616</v>
      </c>
      <c r="I37" s="4" t="s">
        <v>782</v>
      </c>
      <c r="J37" t="s">
        <v>796</v>
      </c>
      <c r="K37" s="5" t="s">
        <v>7</v>
      </c>
      <c r="L37" s="5" t="s">
        <v>2101</v>
      </c>
      <c r="M37" s="5" t="s">
        <v>5012</v>
      </c>
      <c r="N37" s="5" t="s">
        <v>3223</v>
      </c>
      <c r="O37" s="5" t="s">
        <v>5072</v>
      </c>
      <c r="P37" s="5" t="s">
        <v>8034</v>
      </c>
      <c r="R37" t="b">
        <v>1</v>
      </c>
    </row>
    <row r="38" spans="1:18">
      <c r="A38" t="s">
        <v>3009</v>
      </c>
      <c r="B38" t="s">
        <v>3526</v>
      </c>
      <c r="C38" s="5" t="s">
        <v>7908</v>
      </c>
      <c r="D38" s="1">
        <v>1</v>
      </c>
      <c r="E38" s="1">
        <v>5</v>
      </c>
      <c r="F38" s="1">
        <v>31</v>
      </c>
      <c r="G38" s="1">
        <v>31</v>
      </c>
      <c r="H38" s="8" cm="1">
        <f t="array" ref="H38">_xlfn.LET(_xlpm.s,IFERROR(--F38,""),_xlpm.e,IFERROR(--G38,""),IF(OR(_xlpm.s="",_xlpm.e="",_xlpm.e&lt;_xlpm.s),"",_xlfn.LET(_xlpm.p,_xlfn.SEQUENCE(_xlpm.e-_xlpm.s+1,1,_xlpm.s,1),SUM(1/COUNTIFS($D:$D,D38,$E:$E,E38,$F:$F,"&lt;&gt;N/A",$G:$G,"&lt;&gt;N/A",$F:$F,"&lt;="&amp;_xlpm.p,$G:$G,"&gt;="&amp;_xlpm.p)))))</f>
        <v>0.14285714285714285</v>
      </c>
      <c r="I38" s="4" t="s">
        <v>782</v>
      </c>
      <c r="J38" t="s">
        <v>797</v>
      </c>
      <c r="K38" s="5" t="s">
        <v>7</v>
      </c>
      <c r="L38" s="5" t="s">
        <v>2102</v>
      </c>
      <c r="M38" s="5" t="s">
        <v>5012</v>
      </c>
      <c r="N38" s="5" t="s">
        <v>2280</v>
      </c>
      <c r="O38" s="5" t="s">
        <v>5072</v>
      </c>
      <c r="P38" s="5" t="s">
        <v>8034</v>
      </c>
      <c r="R38" t="b">
        <v>1</v>
      </c>
    </row>
    <row r="39" spans="1:18">
      <c r="A39" t="s">
        <v>3009</v>
      </c>
      <c r="B39" t="s">
        <v>3527</v>
      </c>
      <c r="C39" s="5" t="s">
        <v>7908</v>
      </c>
      <c r="D39" s="1">
        <v>1</v>
      </c>
      <c r="E39" s="1">
        <v>5</v>
      </c>
      <c r="F39" s="1">
        <v>31</v>
      </c>
      <c r="G39" s="1">
        <v>31</v>
      </c>
      <c r="H39" s="8" cm="1">
        <f t="array" ref="H39">_xlfn.LET(_xlpm.s,IFERROR(--F39,""),_xlpm.e,IFERROR(--G39,""),IF(OR(_xlpm.s="",_xlpm.e="",_xlpm.e&lt;_xlpm.s),"",_xlfn.LET(_xlpm.p,_xlfn.SEQUENCE(_xlpm.e-_xlpm.s+1,1,_xlpm.s,1),SUM(1/COUNTIFS($D:$D,D39,$E:$E,E39,$F:$F,"&lt;&gt;N/A",$G:$G,"&lt;&gt;N/A",$F:$F,"&lt;="&amp;_xlpm.p,$G:$G,"&gt;="&amp;_xlpm.p)))))</f>
        <v>0.14285714285714285</v>
      </c>
      <c r="I39" s="4" t="s">
        <v>782</v>
      </c>
      <c r="J39" t="s">
        <v>4380</v>
      </c>
      <c r="K39" s="5" t="s">
        <v>7</v>
      </c>
      <c r="L39" s="5" t="s">
        <v>2103</v>
      </c>
      <c r="M39" t="s">
        <v>5011</v>
      </c>
      <c r="N39" s="5" t="s">
        <v>11571</v>
      </c>
      <c r="O39" s="5" t="s">
        <v>11522</v>
      </c>
      <c r="P39" s="5" t="s">
        <v>8021</v>
      </c>
      <c r="R39" t="b">
        <v>1</v>
      </c>
    </row>
    <row r="40" spans="1:18">
      <c r="A40" t="s">
        <v>3009</v>
      </c>
      <c r="B40" t="s">
        <v>3528</v>
      </c>
      <c r="C40" s="5" t="s">
        <v>7908</v>
      </c>
      <c r="D40" s="1">
        <v>1</v>
      </c>
      <c r="E40" s="1">
        <v>5</v>
      </c>
      <c r="F40" s="1">
        <v>31</v>
      </c>
      <c r="G40" s="1">
        <v>31</v>
      </c>
      <c r="H40" s="8" cm="1">
        <f t="array" ref="H40">_xlfn.LET(_xlpm.s,IFERROR(--F40,""),_xlpm.e,IFERROR(--G40,""),IF(OR(_xlpm.s="",_xlpm.e="",_xlpm.e&lt;_xlpm.s),"",_xlfn.LET(_xlpm.p,_xlfn.SEQUENCE(_xlpm.e-_xlpm.s+1,1,_xlpm.s,1),SUM(1/COUNTIFS($D:$D,D40,$E:$E,E40,$F:$F,"&lt;&gt;N/A",$G:$G,"&lt;&gt;N/A",$F:$F,"&lt;="&amp;_xlpm.p,$G:$G,"&gt;="&amp;_xlpm.p)))))</f>
        <v>0.14285714285714285</v>
      </c>
      <c r="I40" s="4" t="s">
        <v>782</v>
      </c>
      <c r="J40" t="s">
        <v>4381</v>
      </c>
      <c r="K40" s="5" t="s">
        <v>7</v>
      </c>
      <c r="L40" s="5" t="s">
        <v>7</v>
      </c>
      <c r="M40" t="s">
        <v>5011</v>
      </c>
      <c r="N40" s="5" t="s">
        <v>11572</v>
      </c>
      <c r="O40" s="5" t="s">
        <v>5072</v>
      </c>
      <c r="P40" s="5" t="s">
        <v>8021</v>
      </c>
      <c r="R40" t="b">
        <v>1</v>
      </c>
    </row>
    <row r="41" spans="1:18">
      <c r="A41" t="s">
        <v>3009</v>
      </c>
      <c r="B41" t="s">
        <v>3529</v>
      </c>
      <c r="C41" s="5" t="s">
        <v>7908</v>
      </c>
      <c r="D41" s="1">
        <v>1</v>
      </c>
      <c r="E41" s="1">
        <v>5</v>
      </c>
      <c r="F41" s="1">
        <v>31</v>
      </c>
      <c r="G41" s="1">
        <v>31</v>
      </c>
      <c r="H41" s="8" cm="1">
        <f t="array" ref="H41">_xlfn.LET(_xlpm.s,IFERROR(--F41,""),_xlpm.e,IFERROR(--G41,""),IF(OR(_xlpm.s="",_xlpm.e="",_xlpm.e&lt;_xlpm.s),"",_xlfn.LET(_xlpm.p,_xlfn.SEQUENCE(_xlpm.e-_xlpm.s+1,1,_xlpm.s,1),SUM(1/COUNTIFS($D:$D,D41,$E:$E,E41,$F:$F,"&lt;&gt;N/A",$G:$G,"&lt;&gt;N/A",$F:$F,"&lt;="&amp;_xlpm.p,$G:$G,"&gt;="&amp;_xlpm.p)))))</f>
        <v>0.14285714285714285</v>
      </c>
      <c r="I41" s="4" t="s">
        <v>782</v>
      </c>
      <c r="J41" t="s">
        <v>4379</v>
      </c>
      <c r="K41" s="5" t="s">
        <v>7</v>
      </c>
      <c r="L41" s="5" t="s">
        <v>2104</v>
      </c>
      <c r="M41" t="s">
        <v>5011</v>
      </c>
      <c r="N41" s="5" t="s">
        <v>11573</v>
      </c>
      <c r="O41" s="5" t="s">
        <v>5072</v>
      </c>
      <c r="P41" s="5" t="s">
        <v>8021</v>
      </c>
      <c r="R41" t="b">
        <v>1</v>
      </c>
    </row>
    <row r="42" spans="1:18">
      <c r="A42" t="s">
        <v>3009</v>
      </c>
      <c r="B42" t="s">
        <v>3530</v>
      </c>
      <c r="C42" s="5" t="s">
        <v>7908</v>
      </c>
      <c r="D42" s="1">
        <v>1</v>
      </c>
      <c r="E42" s="1">
        <v>5</v>
      </c>
      <c r="F42" s="1">
        <v>31</v>
      </c>
      <c r="G42" s="1">
        <v>31</v>
      </c>
      <c r="H42" s="8" cm="1">
        <f t="array" ref="H42">_xlfn.LET(_xlpm.s,IFERROR(--F42,""),_xlpm.e,IFERROR(--G42,""),IF(OR(_xlpm.s="",_xlpm.e="",_xlpm.e&lt;_xlpm.s),"",_xlfn.LET(_xlpm.p,_xlfn.SEQUENCE(_xlpm.e-_xlpm.s+1,1,_xlpm.s,1),SUM(1/COUNTIFS($D:$D,D42,$E:$E,E42,$F:$F,"&lt;&gt;N/A",$G:$G,"&lt;&gt;N/A",$F:$F,"&lt;="&amp;_xlpm.p,$G:$G,"&gt;="&amp;_xlpm.p)))))</f>
        <v>0.14285714285714285</v>
      </c>
      <c r="I42" s="4" t="s">
        <v>782</v>
      </c>
      <c r="J42" t="s">
        <v>798</v>
      </c>
      <c r="K42" s="5" t="s">
        <v>7</v>
      </c>
      <c r="L42" s="5" t="s">
        <v>2103</v>
      </c>
      <c r="M42" t="s">
        <v>5011</v>
      </c>
      <c r="N42" s="5" t="s">
        <v>11574</v>
      </c>
      <c r="O42" s="5" t="s">
        <v>5072</v>
      </c>
      <c r="P42" s="5" t="s">
        <v>8021</v>
      </c>
      <c r="R42" t="b">
        <v>1</v>
      </c>
    </row>
    <row r="43" spans="1:18">
      <c r="A43" t="s">
        <v>3009</v>
      </c>
      <c r="B43" t="s">
        <v>3531</v>
      </c>
      <c r="C43" s="5" t="s">
        <v>7908</v>
      </c>
      <c r="D43" s="1">
        <v>1</v>
      </c>
      <c r="E43" s="1">
        <v>5</v>
      </c>
      <c r="F43" s="1">
        <v>31</v>
      </c>
      <c r="G43" s="1">
        <v>32</v>
      </c>
      <c r="H43" s="8" cm="1">
        <f t="array" ref="H43">_xlfn.LET(_xlpm.s,IFERROR(--F43,""),_xlpm.e,IFERROR(--G43,""),IF(OR(_xlpm.s="",_xlpm.e="",_xlpm.e&lt;_xlpm.s),"",_xlfn.LET(_xlpm.p,_xlfn.SEQUENCE(_xlpm.e-_xlpm.s+1,1,_xlpm.s,1),SUM(1/COUNTIFS($D:$D,D43,$E:$E,E43,$F:$F,"&lt;&gt;N/A",$G:$G,"&lt;&gt;N/A",$F:$F,"&lt;="&amp;_xlpm.p,$G:$G,"&gt;="&amp;_xlpm.p)))))</f>
        <v>1.1428571428571428</v>
      </c>
      <c r="I43" s="4" t="s">
        <v>782</v>
      </c>
      <c r="J43" t="s">
        <v>2282</v>
      </c>
      <c r="K43" s="5" t="s">
        <v>7</v>
      </c>
      <c r="L43" s="5" t="s">
        <v>2105</v>
      </c>
      <c r="M43" t="s">
        <v>5052</v>
      </c>
      <c r="N43" s="5" t="s">
        <v>11575</v>
      </c>
      <c r="O43" s="5" t="s">
        <v>5072</v>
      </c>
      <c r="P43" s="5" t="s">
        <v>8021</v>
      </c>
      <c r="R43" t="b">
        <v>1</v>
      </c>
    </row>
    <row r="44" spans="1:18">
      <c r="A44" t="s">
        <v>3009</v>
      </c>
      <c r="B44" t="s">
        <v>6959</v>
      </c>
      <c r="C44" s="5" t="s">
        <v>7927</v>
      </c>
      <c r="D44" s="1">
        <v>1</v>
      </c>
      <c r="E44" s="1">
        <v>6</v>
      </c>
      <c r="F44" s="1">
        <v>33</v>
      </c>
      <c r="G44" s="1">
        <v>34</v>
      </c>
      <c r="H44" s="8" cm="1">
        <f t="array" ref="H44">_xlfn.LET(_xlpm.s,IFERROR(--F44,""),_xlpm.e,IFERROR(--G44,""),IF(OR(_xlpm.s="",_xlpm.e="",_xlpm.e&lt;_xlpm.s),"",_xlfn.LET(_xlpm.p,_xlfn.SEQUENCE(_xlpm.e-_xlpm.s+1,1,_xlpm.s,1),SUM(1/COUNTIFS($D:$D,D44,$E:$E,E44,$F:$F,"&lt;&gt;N/A",$G:$G,"&lt;&gt;N/A",$F:$F,"&lt;="&amp;_xlpm.p,$G:$G,"&gt;="&amp;_xlpm.p)))))</f>
        <v>1.5</v>
      </c>
      <c r="I44" s="4" t="s">
        <v>774</v>
      </c>
      <c r="J44" t="s">
        <v>799</v>
      </c>
      <c r="K44" s="5" t="s">
        <v>11507</v>
      </c>
      <c r="L44" s="5" t="s">
        <v>7</v>
      </c>
      <c r="M44" s="5" t="s">
        <v>7</v>
      </c>
      <c r="N44" s="5" t="s">
        <v>7</v>
      </c>
      <c r="O44" s="4" t="s">
        <v>778</v>
      </c>
      <c r="P44" s="4" t="s">
        <v>7834</v>
      </c>
      <c r="R44" t="b">
        <v>1</v>
      </c>
    </row>
    <row r="45" spans="1:18">
      <c r="A45" t="s">
        <v>3009</v>
      </c>
      <c r="B45" t="s">
        <v>3532</v>
      </c>
      <c r="C45" s="5" t="s">
        <v>7927</v>
      </c>
      <c r="D45" s="1">
        <v>1</v>
      </c>
      <c r="E45" s="1">
        <v>6</v>
      </c>
      <c r="F45" s="1">
        <v>34</v>
      </c>
      <c r="G45" s="1">
        <v>35</v>
      </c>
      <c r="H45" s="8" cm="1">
        <f t="array" ref="H45">_xlfn.LET(_xlpm.s,IFERROR(--F45,""),_xlpm.e,IFERROR(--G45,""),IF(OR(_xlpm.s="",_xlpm.e="",_xlpm.e&lt;_xlpm.s),"",_xlfn.LET(_xlpm.p,_xlfn.SEQUENCE(_xlpm.e-_xlpm.s+1,1,_xlpm.s,1),SUM(1/COUNTIFS($D:$D,D45,$E:$E,E45,$F:$F,"&lt;&gt;N/A",$G:$G,"&lt;&gt;N/A",$F:$F,"&lt;="&amp;_xlpm.p,$G:$G,"&gt;="&amp;_xlpm.p)))))</f>
        <v>0.83333333333333326</v>
      </c>
      <c r="I45" s="4" t="s">
        <v>782</v>
      </c>
      <c r="J45" t="s">
        <v>800</v>
      </c>
      <c r="K45" s="5" t="s">
        <v>7</v>
      </c>
      <c r="L45" s="5" t="s">
        <v>7</v>
      </c>
      <c r="M45" t="s">
        <v>7095</v>
      </c>
      <c r="N45" t="s">
        <v>11576</v>
      </c>
      <c r="O45" s="5" t="s">
        <v>11522</v>
      </c>
      <c r="P45" s="5" t="s">
        <v>8021</v>
      </c>
      <c r="R45" t="b">
        <v>1</v>
      </c>
    </row>
    <row r="46" spans="1:18">
      <c r="A46" t="s">
        <v>3009</v>
      </c>
      <c r="B46" t="s">
        <v>3533</v>
      </c>
      <c r="C46" s="5" t="s">
        <v>7927</v>
      </c>
      <c r="D46" s="1">
        <v>1</v>
      </c>
      <c r="E46" s="1">
        <v>6</v>
      </c>
      <c r="F46" s="1">
        <v>35</v>
      </c>
      <c r="G46" s="1">
        <v>35</v>
      </c>
      <c r="H46" s="8" cm="1">
        <f t="array" ref="H46">_xlfn.LET(_xlpm.s,IFERROR(--F46,""),_xlpm.e,IFERROR(--G46,""),IF(OR(_xlpm.s="",_xlpm.e="",_xlpm.e&lt;_xlpm.s),"",_xlfn.LET(_xlpm.p,_xlfn.SEQUENCE(_xlpm.e-_xlpm.s+1,1,_xlpm.s,1),SUM(1/COUNTIFS($D:$D,D46,$E:$E,E46,$F:$F,"&lt;&gt;N/A",$G:$G,"&lt;&gt;N/A",$F:$F,"&lt;="&amp;_xlpm.p,$G:$G,"&gt;="&amp;_xlpm.p)))))</f>
        <v>0.33333333333333331</v>
      </c>
      <c r="I46" s="4" t="s">
        <v>782</v>
      </c>
      <c r="J46" t="s">
        <v>801</v>
      </c>
      <c r="K46" s="5" t="s">
        <v>7</v>
      </c>
      <c r="L46" s="5" t="s">
        <v>2086</v>
      </c>
      <c r="M46" t="s">
        <v>5043</v>
      </c>
      <c r="N46" s="5" t="s">
        <v>2285</v>
      </c>
      <c r="O46" s="5" t="s">
        <v>5072</v>
      </c>
      <c r="P46" s="5" t="s">
        <v>8021</v>
      </c>
      <c r="R46" t="b">
        <v>1</v>
      </c>
    </row>
    <row r="47" spans="1:18">
      <c r="A47" t="s">
        <v>3009</v>
      </c>
      <c r="B47" t="s">
        <v>3534</v>
      </c>
      <c r="C47" s="5" t="s">
        <v>7927</v>
      </c>
      <c r="D47" s="1">
        <v>1</v>
      </c>
      <c r="E47" s="1">
        <v>6</v>
      </c>
      <c r="F47" s="1">
        <v>35</v>
      </c>
      <c r="G47" s="1">
        <v>35</v>
      </c>
      <c r="H47" s="8" cm="1">
        <f t="array" ref="H47">_xlfn.LET(_xlpm.s,IFERROR(--F47,""),_xlpm.e,IFERROR(--G47,""),IF(OR(_xlpm.s="",_xlpm.e="",_xlpm.e&lt;_xlpm.s),"",_xlfn.LET(_xlpm.p,_xlfn.SEQUENCE(_xlpm.e-_xlpm.s+1,1,_xlpm.s,1),SUM(1/COUNTIFS($D:$D,D47,$E:$E,E47,$F:$F,"&lt;&gt;N/A",$G:$G,"&lt;&gt;N/A",$F:$F,"&lt;="&amp;_xlpm.p,$G:$G,"&gt;="&amp;_xlpm.p)))))</f>
        <v>0.33333333333333331</v>
      </c>
      <c r="I47" s="4" t="s">
        <v>782</v>
      </c>
      <c r="J47" t="s">
        <v>823</v>
      </c>
      <c r="K47" s="5" t="s">
        <v>7</v>
      </c>
      <c r="L47" s="5" t="s">
        <v>2106</v>
      </c>
      <c r="M47" t="s">
        <v>5011</v>
      </c>
      <c r="N47" s="5" t="s">
        <v>11577</v>
      </c>
      <c r="O47" s="5" t="s">
        <v>5072</v>
      </c>
      <c r="P47" s="5" t="s">
        <v>8021</v>
      </c>
      <c r="R47" t="b">
        <v>1</v>
      </c>
    </row>
    <row r="48" spans="1:18">
      <c r="A48" t="s">
        <v>3009</v>
      </c>
      <c r="B48" t="s">
        <v>3535</v>
      </c>
      <c r="C48" s="5" t="s">
        <v>7927</v>
      </c>
      <c r="D48" s="1">
        <v>1</v>
      </c>
      <c r="E48" s="1">
        <v>6</v>
      </c>
      <c r="F48" s="1">
        <v>36</v>
      </c>
      <c r="G48" s="1">
        <v>36</v>
      </c>
      <c r="H48" s="8" cm="1">
        <f t="array" ref="H48">_xlfn.LET(_xlpm.s,IFERROR(--F48,""),_xlpm.e,IFERROR(--G48,""),IF(OR(_xlpm.s="",_xlpm.e="",_xlpm.e&lt;_xlpm.s),"",_xlfn.LET(_xlpm.p,_xlfn.SEQUENCE(_xlpm.e-_xlpm.s+1,1,_xlpm.s,1),SUM(1/COUNTIFS($D:$D,D48,$E:$E,E48,$F:$F,"&lt;&gt;N/A",$G:$G,"&lt;&gt;N/A",$F:$F,"&lt;="&amp;_xlpm.p,$G:$G,"&gt;="&amp;_xlpm.p)))))</f>
        <v>0.33333333333333331</v>
      </c>
      <c r="I48" s="4" t="s">
        <v>782</v>
      </c>
      <c r="J48" t="s">
        <v>822</v>
      </c>
      <c r="K48" s="5" t="s">
        <v>7</v>
      </c>
      <c r="L48" s="5" t="s">
        <v>2107</v>
      </c>
      <c r="M48" t="s">
        <v>5011</v>
      </c>
      <c r="N48" s="5" t="s">
        <v>11578</v>
      </c>
      <c r="O48" s="5" t="s">
        <v>5072</v>
      </c>
      <c r="P48" s="5" t="s">
        <v>8021</v>
      </c>
      <c r="R48" t="b">
        <v>1</v>
      </c>
    </row>
    <row r="49" spans="1:18">
      <c r="A49" t="s">
        <v>3009</v>
      </c>
      <c r="B49" t="s">
        <v>3536</v>
      </c>
      <c r="C49" s="5" t="s">
        <v>7927</v>
      </c>
      <c r="D49" s="1">
        <v>1</v>
      </c>
      <c r="E49" s="1">
        <v>6</v>
      </c>
      <c r="F49" s="1">
        <v>36</v>
      </c>
      <c r="G49" s="1">
        <v>36</v>
      </c>
      <c r="H49" s="8" cm="1">
        <f t="array" ref="H49">_xlfn.LET(_xlpm.s,IFERROR(--F49,""),_xlpm.e,IFERROR(--G49,""),IF(OR(_xlpm.s="",_xlpm.e="",_xlpm.e&lt;_xlpm.s),"",_xlfn.LET(_xlpm.p,_xlfn.SEQUENCE(_xlpm.e-_xlpm.s+1,1,_xlpm.s,1),SUM(1/COUNTIFS($D:$D,D49,$E:$E,E49,$F:$F,"&lt;&gt;N/A",$G:$G,"&lt;&gt;N/A",$F:$F,"&lt;="&amp;_xlpm.p,$G:$G,"&gt;="&amp;_xlpm.p)))))</f>
        <v>0.33333333333333331</v>
      </c>
      <c r="I49" s="4" t="s">
        <v>782</v>
      </c>
      <c r="J49" t="s">
        <v>2283</v>
      </c>
      <c r="K49" s="5" t="s">
        <v>7</v>
      </c>
      <c r="L49" s="5" t="s">
        <v>2108</v>
      </c>
      <c r="M49" s="5" t="s">
        <v>7</v>
      </c>
      <c r="N49" s="5" t="s">
        <v>7</v>
      </c>
      <c r="O49" s="5" t="s">
        <v>5072</v>
      </c>
      <c r="P49" s="5" t="s">
        <v>8021</v>
      </c>
      <c r="R49" t="b">
        <v>1</v>
      </c>
    </row>
    <row r="50" spans="1:18">
      <c r="A50" t="s">
        <v>3009</v>
      </c>
      <c r="B50" t="s">
        <v>3537</v>
      </c>
      <c r="C50" s="5" t="s">
        <v>7927</v>
      </c>
      <c r="D50" s="1">
        <v>1</v>
      </c>
      <c r="E50" s="1">
        <v>6</v>
      </c>
      <c r="F50" s="1">
        <v>36</v>
      </c>
      <c r="G50" s="1">
        <v>36</v>
      </c>
      <c r="H50" s="8" cm="1">
        <f t="array" ref="H50">_xlfn.LET(_xlpm.s,IFERROR(--F50,""),_xlpm.e,IFERROR(--G50,""),IF(OR(_xlpm.s="",_xlpm.e="",_xlpm.e&lt;_xlpm.s),"",_xlfn.LET(_xlpm.p,_xlfn.SEQUENCE(_xlpm.e-_xlpm.s+1,1,_xlpm.s,1),SUM(1/COUNTIFS($D:$D,D50,$E:$E,E50,$F:$F,"&lt;&gt;N/A",$G:$G,"&lt;&gt;N/A",$F:$F,"&lt;="&amp;_xlpm.p,$G:$G,"&gt;="&amp;_xlpm.p)))))</f>
        <v>0.33333333333333331</v>
      </c>
      <c r="I50" s="4" t="s">
        <v>782</v>
      </c>
      <c r="J50" t="s">
        <v>802</v>
      </c>
      <c r="K50" s="5" t="s">
        <v>7</v>
      </c>
      <c r="L50" s="5" t="s">
        <v>7</v>
      </c>
      <c r="M50" s="5" t="s">
        <v>7</v>
      </c>
      <c r="N50" s="5" t="s">
        <v>7</v>
      </c>
      <c r="O50" s="4" t="s">
        <v>778</v>
      </c>
      <c r="P50" s="4" t="s">
        <v>7834</v>
      </c>
      <c r="R50" t="b">
        <v>1</v>
      </c>
    </row>
    <row r="51" spans="1:18">
      <c r="A51" t="s">
        <v>3009</v>
      </c>
      <c r="B51" t="s">
        <v>6960</v>
      </c>
      <c r="C51" s="5" t="s">
        <v>7898</v>
      </c>
      <c r="D51" s="1">
        <v>1</v>
      </c>
      <c r="E51" s="1">
        <v>7</v>
      </c>
      <c r="F51" s="1">
        <v>37</v>
      </c>
      <c r="G51" s="1">
        <v>37</v>
      </c>
      <c r="H51" s="8" cm="1">
        <f t="array" ref="H51">_xlfn.LET(_xlpm.s,IFERROR(--F51,""),_xlpm.e,IFERROR(--G51,""),IF(OR(_xlpm.s="",_xlpm.e="",_xlpm.e&lt;_xlpm.s),"",_xlfn.LET(_xlpm.p,_xlfn.SEQUENCE(_xlpm.e-_xlpm.s+1,1,_xlpm.s,1),SUM(1/COUNTIFS($D:$D,D51,$E:$E,E51,$F:$F,"&lt;&gt;N/A",$G:$G,"&lt;&gt;N/A",$F:$F,"&lt;="&amp;_xlpm.p,$G:$G,"&gt;="&amp;_xlpm.p)))))</f>
        <v>1</v>
      </c>
      <c r="I51" s="4" t="s">
        <v>774</v>
      </c>
      <c r="J51" t="s">
        <v>799</v>
      </c>
      <c r="K51" s="5" t="s">
        <v>11507</v>
      </c>
      <c r="L51" s="5" t="s">
        <v>7</v>
      </c>
      <c r="M51" s="5" t="s">
        <v>7</v>
      </c>
      <c r="N51" s="5" t="s">
        <v>7</v>
      </c>
      <c r="O51" s="4" t="s">
        <v>778</v>
      </c>
      <c r="P51" s="4" t="s">
        <v>7834</v>
      </c>
      <c r="R51" t="b">
        <v>1</v>
      </c>
    </row>
    <row r="52" spans="1:18">
      <c r="A52" t="s">
        <v>3009</v>
      </c>
      <c r="B52" t="s">
        <v>3538</v>
      </c>
      <c r="C52" s="5" t="s">
        <v>7898</v>
      </c>
      <c r="D52" s="1">
        <v>1</v>
      </c>
      <c r="E52" s="1">
        <v>7</v>
      </c>
      <c r="F52" s="1">
        <v>38</v>
      </c>
      <c r="G52" s="1">
        <v>39</v>
      </c>
      <c r="H52" s="8" cm="1">
        <f t="array" ref="H52">_xlfn.LET(_xlpm.s,IFERROR(--F52,""),_xlpm.e,IFERROR(--G52,""),IF(OR(_xlpm.s="",_xlpm.e="",_xlpm.e&lt;_xlpm.s),"",_xlfn.LET(_xlpm.p,_xlfn.SEQUENCE(_xlpm.e-_xlpm.s+1,1,_xlpm.s,1),SUM(1/COUNTIFS($D:$D,D52,$E:$E,E52,$F:$F,"&lt;&gt;N/A",$G:$G,"&lt;&gt;N/A",$F:$F,"&lt;="&amp;_xlpm.p,$G:$G,"&gt;="&amp;_xlpm.p)))))</f>
        <v>1.5</v>
      </c>
      <c r="I52" s="4" t="s">
        <v>782</v>
      </c>
      <c r="J52" s="4" t="s">
        <v>803</v>
      </c>
      <c r="K52" s="5" t="s">
        <v>7</v>
      </c>
      <c r="L52" s="5" t="s">
        <v>7</v>
      </c>
      <c r="M52" s="5" t="s">
        <v>7</v>
      </c>
      <c r="N52" s="5" t="s">
        <v>7</v>
      </c>
      <c r="O52" s="4" t="s">
        <v>778</v>
      </c>
      <c r="P52" s="4" t="s">
        <v>7834</v>
      </c>
      <c r="R52" t="b">
        <v>1</v>
      </c>
    </row>
    <row r="53" spans="1:18">
      <c r="A53" t="s">
        <v>3009</v>
      </c>
      <c r="B53" t="s">
        <v>3539</v>
      </c>
      <c r="C53" s="5" t="s">
        <v>7898</v>
      </c>
      <c r="D53" s="1">
        <v>1</v>
      </c>
      <c r="E53" s="1">
        <v>7</v>
      </c>
      <c r="F53" s="1">
        <v>39</v>
      </c>
      <c r="G53" s="1">
        <v>40</v>
      </c>
      <c r="H53" s="8" cm="1">
        <f t="array" ref="H53">_xlfn.LET(_xlpm.s,IFERROR(--F53,""),_xlpm.e,IFERROR(--G53,""),IF(OR(_xlpm.s="",_xlpm.e="",_xlpm.e&lt;_xlpm.s),"",_xlfn.LET(_xlpm.p,_xlfn.SEQUENCE(_xlpm.e-_xlpm.s+1,1,_xlpm.s,1),SUM(1/COUNTIFS($D:$D,D53,$E:$E,E53,$F:$F,"&lt;&gt;N/A",$G:$G,"&lt;&gt;N/A",$F:$F,"&lt;="&amp;_xlpm.p,$G:$G,"&gt;="&amp;_xlpm.p)))))</f>
        <v>0.75</v>
      </c>
      <c r="I53" s="4" t="s">
        <v>782</v>
      </c>
      <c r="J53" s="4" t="s">
        <v>804</v>
      </c>
      <c r="K53" s="5" t="s">
        <v>805</v>
      </c>
      <c r="L53" s="5" t="s">
        <v>7</v>
      </c>
      <c r="M53" s="5" t="s">
        <v>7</v>
      </c>
      <c r="N53" s="5" t="s">
        <v>7</v>
      </c>
      <c r="O53" s="4" t="s">
        <v>778</v>
      </c>
      <c r="P53" s="4" t="s">
        <v>7834</v>
      </c>
      <c r="R53" t="b">
        <v>1</v>
      </c>
    </row>
    <row r="54" spans="1:18">
      <c r="A54" t="s">
        <v>3009</v>
      </c>
      <c r="B54" t="s">
        <v>3540</v>
      </c>
      <c r="C54" s="5" t="s">
        <v>7898</v>
      </c>
      <c r="D54" s="1">
        <v>1</v>
      </c>
      <c r="E54" s="1">
        <v>7</v>
      </c>
      <c r="F54" s="1">
        <v>40</v>
      </c>
      <c r="G54" s="1">
        <v>40</v>
      </c>
      <c r="H54" s="8" cm="1">
        <f t="array" ref="H54">_xlfn.LET(_xlpm.s,IFERROR(--F54,""),_xlpm.e,IFERROR(--G54,""),IF(OR(_xlpm.s="",_xlpm.e="",_xlpm.e&lt;_xlpm.s),"",_xlfn.LET(_xlpm.p,_xlfn.SEQUENCE(_xlpm.e-_xlpm.s+1,1,_xlpm.s,1),SUM(1/COUNTIFS($D:$D,D54,$E:$E,E54,$F:$F,"&lt;&gt;N/A",$G:$G,"&lt;&gt;N/A",$F:$F,"&lt;="&amp;_xlpm.p,$G:$G,"&gt;="&amp;_xlpm.p)))))</f>
        <v>0.25</v>
      </c>
      <c r="I54" s="4" t="s">
        <v>782</v>
      </c>
      <c r="J54" t="s">
        <v>2286</v>
      </c>
      <c r="K54" s="5" t="s">
        <v>7</v>
      </c>
      <c r="L54" s="5" t="s">
        <v>7</v>
      </c>
      <c r="M54" t="s">
        <v>5011</v>
      </c>
      <c r="N54" s="5" t="s">
        <v>11579</v>
      </c>
      <c r="O54" s="5" t="s">
        <v>5072</v>
      </c>
      <c r="P54" s="5" t="s">
        <v>8021</v>
      </c>
      <c r="R54" t="b">
        <v>1</v>
      </c>
    </row>
    <row r="55" spans="1:18">
      <c r="A55" t="s">
        <v>3009</v>
      </c>
      <c r="B55" t="s">
        <v>3541</v>
      </c>
      <c r="C55" s="5" t="s">
        <v>7898</v>
      </c>
      <c r="D55" s="1">
        <v>1</v>
      </c>
      <c r="E55" s="1">
        <v>7</v>
      </c>
      <c r="F55" s="1">
        <v>40</v>
      </c>
      <c r="G55" s="1">
        <v>40</v>
      </c>
      <c r="H55" s="8" cm="1">
        <f t="array" ref="H55">_xlfn.LET(_xlpm.s,IFERROR(--F55,""),_xlpm.e,IFERROR(--G55,""),IF(OR(_xlpm.s="",_xlpm.e="",_xlpm.e&lt;_xlpm.s),"",_xlfn.LET(_xlpm.p,_xlfn.SEQUENCE(_xlpm.e-_xlpm.s+1,1,_xlpm.s,1),SUM(1/COUNTIFS($D:$D,D55,$E:$E,E55,$F:$F,"&lt;&gt;N/A",$G:$G,"&lt;&gt;N/A",$F:$F,"&lt;="&amp;_xlpm.p,$G:$G,"&gt;="&amp;_xlpm.p)))))</f>
        <v>0.25</v>
      </c>
      <c r="I55" s="4" t="s">
        <v>782</v>
      </c>
      <c r="J55" t="s">
        <v>806</v>
      </c>
      <c r="K55" s="5" t="s">
        <v>7</v>
      </c>
      <c r="L55" s="5" t="s">
        <v>2109</v>
      </c>
      <c r="M55" t="s">
        <v>5011</v>
      </c>
      <c r="N55" s="5" t="s">
        <v>11580</v>
      </c>
      <c r="O55" s="5" t="s">
        <v>5072</v>
      </c>
      <c r="P55" s="5" t="s">
        <v>8021</v>
      </c>
      <c r="R55" t="b">
        <v>1</v>
      </c>
    </row>
    <row r="56" spans="1:18">
      <c r="A56" t="s">
        <v>3009</v>
      </c>
      <c r="B56" t="s">
        <v>3542</v>
      </c>
      <c r="C56" s="5" t="s">
        <v>7898</v>
      </c>
      <c r="D56" s="1">
        <v>1</v>
      </c>
      <c r="E56" s="1">
        <v>7</v>
      </c>
      <c r="F56" s="1">
        <v>40</v>
      </c>
      <c r="G56" s="1">
        <v>40</v>
      </c>
      <c r="H56" s="8" cm="1">
        <f t="array" ref="H56">_xlfn.LET(_xlpm.s,IFERROR(--F56,""),_xlpm.e,IFERROR(--G56,""),IF(OR(_xlpm.s="",_xlpm.e="",_xlpm.e&lt;_xlpm.s),"",_xlfn.LET(_xlpm.p,_xlfn.SEQUENCE(_xlpm.e-_xlpm.s+1,1,_xlpm.s,1),SUM(1/COUNTIFS($D:$D,D56,$E:$E,E56,$F:$F,"&lt;&gt;N/A",$G:$G,"&lt;&gt;N/A",$F:$F,"&lt;="&amp;_xlpm.p,$G:$G,"&gt;="&amp;_xlpm.p)))))</f>
        <v>0.25</v>
      </c>
      <c r="I56" s="4" t="s">
        <v>782</v>
      </c>
      <c r="J56" t="s">
        <v>6966</v>
      </c>
      <c r="K56" s="5" t="s">
        <v>6967</v>
      </c>
      <c r="L56" s="5" t="s">
        <v>7</v>
      </c>
      <c r="M56" s="5" t="s">
        <v>7</v>
      </c>
      <c r="N56" s="5" t="s">
        <v>7</v>
      </c>
      <c r="O56" s="4" t="s">
        <v>778</v>
      </c>
      <c r="P56" s="4" t="s">
        <v>7834</v>
      </c>
      <c r="R56" t="b">
        <v>1</v>
      </c>
    </row>
    <row r="57" spans="1:18">
      <c r="A57" t="s">
        <v>3009</v>
      </c>
      <c r="B57" t="s">
        <v>3543</v>
      </c>
      <c r="C57" s="5" t="s">
        <v>7899</v>
      </c>
      <c r="D57" s="1">
        <v>1</v>
      </c>
      <c r="E57" s="1">
        <v>8</v>
      </c>
      <c r="F57" s="1">
        <v>41</v>
      </c>
      <c r="G57" s="1">
        <v>41</v>
      </c>
      <c r="H57" s="8" cm="1">
        <f t="array" ref="H57">_xlfn.LET(_xlpm.s,IFERROR(--F57,""),_xlpm.e,IFERROR(--G57,""),IF(OR(_xlpm.s="",_xlpm.e="",_xlpm.e&lt;_xlpm.s),"",_xlfn.LET(_xlpm.p,_xlfn.SEQUENCE(_xlpm.e-_xlpm.s+1,1,_xlpm.s,1),SUM(1/COUNTIFS($D:$D,D57,$E:$E,E57,$F:$F,"&lt;&gt;N/A",$G:$G,"&lt;&gt;N/A",$F:$F,"&lt;="&amp;_xlpm.p,$G:$G,"&gt;="&amp;_xlpm.p)))))</f>
        <v>0.5</v>
      </c>
      <c r="I57" s="4" t="s">
        <v>774</v>
      </c>
      <c r="J57" t="s">
        <v>799</v>
      </c>
      <c r="K57" s="5" t="s">
        <v>11509</v>
      </c>
      <c r="L57" s="5" t="s">
        <v>7</v>
      </c>
      <c r="M57" s="5" t="s">
        <v>7</v>
      </c>
      <c r="N57" s="5" t="s">
        <v>7</v>
      </c>
      <c r="O57" s="4" t="s">
        <v>778</v>
      </c>
      <c r="P57" s="4" t="s">
        <v>7834</v>
      </c>
      <c r="R57" t="b">
        <v>1</v>
      </c>
    </row>
    <row r="58" spans="1:18">
      <c r="A58" t="s">
        <v>3009</v>
      </c>
      <c r="B58" t="s">
        <v>3544</v>
      </c>
      <c r="C58" s="5" t="s">
        <v>7899</v>
      </c>
      <c r="D58" s="1">
        <v>1</v>
      </c>
      <c r="E58" s="1">
        <v>8</v>
      </c>
      <c r="F58" s="1">
        <v>41</v>
      </c>
      <c r="G58" s="1">
        <v>41</v>
      </c>
      <c r="H58" s="8" cm="1">
        <f t="array" ref="H58">_xlfn.LET(_xlpm.s,IFERROR(--F58,""),_xlpm.e,IFERROR(--G58,""),IF(OR(_xlpm.s="",_xlpm.e="",_xlpm.e&lt;_xlpm.s),"",_xlfn.LET(_xlpm.p,_xlfn.SEQUENCE(_xlpm.e-_xlpm.s+1,1,_xlpm.s,1),SUM(1/COUNTIFS($D:$D,D58,$E:$E,E58,$F:$F,"&lt;&gt;N/A",$G:$G,"&lt;&gt;N/A",$F:$F,"&lt;="&amp;_xlpm.p,$G:$G,"&gt;="&amp;_xlpm.p)))))</f>
        <v>0.5</v>
      </c>
      <c r="I58" s="4" t="s">
        <v>782</v>
      </c>
      <c r="J58" s="4" t="s">
        <v>807</v>
      </c>
      <c r="K58" s="5" t="s">
        <v>808</v>
      </c>
      <c r="L58" s="5" t="s">
        <v>7</v>
      </c>
      <c r="M58" s="5" t="s">
        <v>7</v>
      </c>
      <c r="N58" s="5" t="s">
        <v>7</v>
      </c>
      <c r="O58" s="4" t="s">
        <v>778</v>
      </c>
      <c r="P58" s="4" t="s">
        <v>7834</v>
      </c>
      <c r="R58" t="b">
        <v>1</v>
      </c>
    </row>
    <row r="59" spans="1:18">
      <c r="A59" t="s">
        <v>3009</v>
      </c>
      <c r="B59" t="s">
        <v>3545</v>
      </c>
      <c r="C59" s="5" t="s">
        <v>7899</v>
      </c>
      <c r="D59" s="1">
        <v>1</v>
      </c>
      <c r="E59" s="1">
        <v>8</v>
      </c>
      <c r="F59" s="1">
        <v>42</v>
      </c>
      <c r="G59" s="1">
        <v>43</v>
      </c>
      <c r="H59" s="8" cm="1">
        <f t="array" ref="H59">_xlfn.LET(_xlpm.s,IFERROR(--F59,""),_xlpm.e,IFERROR(--G59,""),IF(OR(_xlpm.s="",_xlpm.e="",_xlpm.e&lt;_xlpm.s),"",_xlfn.LET(_xlpm.p,_xlfn.SEQUENCE(_xlpm.e-_xlpm.s+1,1,_xlpm.s,1),SUM(1/COUNTIFS($D:$D,D59,$E:$E,E59,$F:$F,"&lt;&gt;N/A",$G:$G,"&lt;&gt;N/A",$F:$F,"&lt;="&amp;_xlpm.p,$G:$G,"&gt;="&amp;_xlpm.p)))))</f>
        <v>1.5</v>
      </c>
      <c r="I59" s="4" t="s">
        <v>782</v>
      </c>
      <c r="J59" t="s">
        <v>809</v>
      </c>
      <c r="K59" s="5" t="s">
        <v>810</v>
      </c>
      <c r="L59" s="5" t="s">
        <v>7</v>
      </c>
      <c r="M59" s="5" t="s">
        <v>7</v>
      </c>
      <c r="N59" s="5" t="s">
        <v>7</v>
      </c>
      <c r="O59" s="4" t="s">
        <v>778</v>
      </c>
      <c r="P59" s="4" t="s">
        <v>7834</v>
      </c>
      <c r="R59" t="b">
        <v>1</v>
      </c>
    </row>
    <row r="60" spans="1:18">
      <c r="A60" t="s">
        <v>3009</v>
      </c>
      <c r="B60" t="s">
        <v>3546</v>
      </c>
      <c r="C60" s="5" t="s">
        <v>7899</v>
      </c>
      <c r="D60" s="1">
        <v>1</v>
      </c>
      <c r="E60" s="1">
        <v>8</v>
      </c>
      <c r="F60" s="1">
        <v>43</v>
      </c>
      <c r="G60" s="1">
        <v>43</v>
      </c>
      <c r="H60" s="8" cm="1">
        <f t="array" ref="H60">_xlfn.LET(_xlpm.s,IFERROR(--F60,""),_xlpm.e,IFERROR(--G60,""),IF(OR(_xlpm.s="",_xlpm.e="",_xlpm.e&lt;_xlpm.s),"",_xlfn.LET(_xlpm.p,_xlfn.SEQUENCE(_xlpm.e-_xlpm.s+1,1,_xlpm.s,1),SUM(1/COUNTIFS($D:$D,D60,$E:$E,E60,$F:$F,"&lt;&gt;N/A",$G:$G,"&lt;&gt;N/A",$F:$F,"&lt;="&amp;_xlpm.p,$G:$G,"&gt;="&amp;_xlpm.p)))))</f>
        <v>0.5</v>
      </c>
      <c r="I60" s="4" t="s">
        <v>782</v>
      </c>
      <c r="J60" t="s">
        <v>10505</v>
      </c>
      <c r="K60" s="5" t="s">
        <v>7</v>
      </c>
      <c r="L60" s="5" t="s">
        <v>2110</v>
      </c>
      <c r="M60" s="5" t="s">
        <v>7</v>
      </c>
      <c r="N60" s="5" t="s">
        <v>7</v>
      </c>
      <c r="O60" s="4" t="s">
        <v>778</v>
      </c>
      <c r="P60" s="4" t="s">
        <v>7834</v>
      </c>
      <c r="R60" t="b">
        <v>1</v>
      </c>
    </row>
    <row r="61" spans="1:18">
      <c r="A61" t="s">
        <v>3009</v>
      </c>
      <c r="B61" t="s">
        <v>3547</v>
      </c>
      <c r="C61" s="5" t="s">
        <v>7899</v>
      </c>
      <c r="D61" s="1">
        <v>1</v>
      </c>
      <c r="E61" s="1">
        <v>8</v>
      </c>
      <c r="F61" s="1">
        <v>44</v>
      </c>
      <c r="G61" s="1">
        <v>44</v>
      </c>
      <c r="H61" s="8" cm="1">
        <f t="array" ref="H61">_xlfn.LET(_xlpm.s,IFERROR(--F61,""),_xlpm.e,IFERROR(--G61,""),IF(OR(_xlpm.s="",_xlpm.e="",_xlpm.e&lt;_xlpm.s),"",_xlfn.LET(_xlpm.p,_xlfn.SEQUENCE(_xlpm.e-_xlpm.s+1,1,_xlpm.s,1),SUM(1/COUNTIFS($D:$D,D61,$E:$E,E61,$F:$F,"&lt;&gt;N/A",$G:$G,"&lt;&gt;N/A",$F:$F,"&lt;="&amp;_xlpm.p,$G:$G,"&gt;="&amp;_xlpm.p)))))</f>
        <v>0.2</v>
      </c>
      <c r="I61" s="4" t="s">
        <v>782</v>
      </c>
      <c r="J61" t="s">
        <v>811</v>
      </c>
      <c r="K61" s="5" t="s">
        <v>7</v>
      </c>
      <c r="L61" s="5" t="s">
        <v>2111</v>
      </c>
      <c r="M61" t="s">
        <v>5012</v>
      </c>
      <c r="N61" s="5" t="s">
        <v>2291</v>
      </c>
      <c r="O61" s="5" t="s">
        <v>5072</v>
      </c>
      <c r="P61" s="5" t="s">
        <v>8034</v>
      </c>
      <c r="R61" t="b">
        <v>1</v>
      </c>
    </row>
    <row r="62" spans="1:18">
      <c r="A62" t="s">
        <v>3009</v>
      </c>
      <c r="B62" t="s">
        <v>3548</v>
      </c>
      <c r="C62" s="5" t="s">
        <v>7899</v>
      </c>
      <c r="D62" s="1">
        <v>1</v>
      </c>
      <c r="E62" s="1">
        <v>8</v>
      </c>
      <c r="F62" s="1">
        <v>44</v>
      </c>
      <c r="G62" s="1">
        <v>44</v>
      </c>
      <c r="H62" s="8" cm="1">
        <f t="array" ref="H62">_xlfn.LET(_xlpm.s,IFERROR(--F62,""),_xlpm.e,IFERROR(--G62,""),IF(OR(_xlpm.s="",_xlpm.e="",_xlpm.e&lt;_xlpm.s),"",_xlfn.LET(_xlpm.p,_xlfn.SEQUENCE(_xlpm.e-_xlpm.s+1,1,_xlpm.s,1),SUM(1/COUNTIFS($D:$D,D62,$E:$E,E62,$F:$F,"&lt;&gt;N/A",$G:$G,"&lt;&gt;N/A",$F:$F,"&lt;="&amp;_xlpm.p,$G:$G,"&gt;="&amp;_xlpm.p)))))</f>
        <v>0.2</v>
      </c>
      <c r="I62" s="4" t="s">
        <v>782</v>
      </c>
      <c r="J62" t="s">
        <v>2289</v>
      </c>
      <c r="K62" s="5" t="s">
        <v>7</v>
      </c>
      <c r="L62" s="5" t="s">
        <v>2112</v>
      </c>
      <c r="M62" t="s">
        <v>5012</v>
      </c>
      <c r="N62" s="5" t="s">
        <v>2290</v>
      </c>
      <c r="O62" s="5" t="s">
        <v>5072</v>
      </c>
      <c r="P62" s="5" t="s">
        <v>8034</v>
      </c>
      <c r="R62" t="b">
        <v>1</v>
      </c>
    </row>
    <row r="63" spans="1:18">
      <c r="A63" t="s">
        <v>3009</v>
      </c>
      <c r="B63" t="s">
        <v>3549</v>
      </c>
      <c r="C63" s="5" t="s">
        <v>7899</v>
      </c>
      <c r="D63" s="1">
        <v>1</v>
      </c>
      <c r="E63" s="1">
        <v>8</v>
      </c>
      <c r="F63" s="1">
        <v>44</v>
      </c>
      <c r="G63" s="1">
        <v>44</v>
      </c>
      <c r="H63" s="8" cm="1">
        <f t="array" ref="H63">_xlfn.LET(_xlpm.s,IFERROR(--F63,""),_xlpm.e,IFERROR(--G63,""),IF(OR(_xlpm.s="",_xlpm.e="",_xlpm.e&lt;_xlpm.s),"",_xlfn.LET(_xlpm.p,_xlfn.SEQUENCE(_xlpm.e-_xlpm.s+1,1,_xlpm.s,1),SUM(1/COUNTIFS($D:$D,D63,$E:$E,E63,$F:$F,"&lt;&gt;N/A",$G:$G,"&lt;&gt;N/A",$F:$F,"&lt;="&amp;_xlpm.p,$G:$G,"&gt;="&amp;_xlpm.p)))))</f>
        <v>0.2</v>
      </c>
      <c r="I63" s="4" t="s">
        <v>782</v>
      </c>
      <c r="J63" t="s">
        <v>2287</v>
      </c>
      <c r="K63" s="5" t="s">
        <v>7</v>
      </c>
      <c r="L63" s="5" t="s">
        <v>2113</v>
      </c>
      <c r="M63" t="s">
        <v>5012</v>
      </c>
      <c r="N63" s="5" t="s">
        <v>2288</v>
      </c>
      <c r="O63" s="5" t="s">
        <v>5072</v>
      </c>
      <c r="P63" s="5" t="s">
        <v>8034</v>
      </c>
      <c r="R63" t="b">
        <v>1</v>
      </c>
    </row>
    <row r="64" spans="1:18">
      <c r="A64" t="s">
        <v>3009</v>
      </c>
      <c r="B64" t="s">
        <v>6969</v>
      </c>
      <c r="C64" s="5" t="s">
        <v>7899</v>
      </c>
      <c r="D64" s="1">
        <v>1</v>
      </c>
      <c r="E64" s="1">
        <v>8</v>
      </c>
      <c r="F64" s="1">
        <v>44</v>
      </c>
      <c r="G64" s="1">
        <v>44</v>
      </c>
      <c r="H64" s="8" cm="1">
        <f t="array" ref="H64">_xlfn.LET(_xlpm.s,IFERROR(--F64,""),_xlpm.e,IFERROR(--G64,""),IF(OR(_xlpm.s="",_xlpm.e="",_xlpm.e&lt;_xlpm.s),"",_xlfn.LET(_xlpm.p,_xlfn.SEQUENCE(_xlpm.e-_xlpm.s+1,1,_xlpm.s,1),SUM(1/COUNTIFS($D:$D,D64,$E:$E,E64,$F:$F,"&lt;&gt;N/A",$G:$G,"&lt;&gt;N/A",$F:$F,"&lt;="&amp;_xlpm.p,$G:$G,"&gt;="&amp;_xlpm.p)))))</f>
        <v>0.2</v>
      </c>
      <c r="I64" s="4" t="s">
        <v>782</v>
      </c>
      <c r="J64" t="s">
        <v>4378</v>
      </c>
      <c r="K64" s="5" t="s">
        <v>7</v>
      </c>
      <c r="L64" s="5" t="s">
        <v>7</v>
      </c>
      <c r="M64" t="s">
        <v>7096</v>
      </c>
      <c r="N64" s="5" t="s">
        <v>7284</v>
      </c>
      <c r="O64" s="5" t="s">
        <v>11522</v>
      </c>
      <c r="P64" s="5" t="s">
        <v>8021</v>
      </c>
      <c r="Q64" s="5"/>
      <c r="R64" t="b">
        <v>1</v>
      </c>
    </row>
    <row r="65" spans="1:18">
      <c r="A65" t="s">
        <v>3009</v>
      </c>
      <c r="B65" t="s">
        <v>10506</v>
      </c>
      <c r="C65" s="5" t="s">
        <v>7899</v>
      </c>
      <c r="D65" s="1">
        <v>1</v>
      </c>
      <c r="E65" s="1">
        <v>8</v>
      </c>
      <c r="F65" s="1">
        <v>44</v>
      </c>
      <c r="G65" s="1">
        <v>44</v>
      </c>
      <c r="H65" s="8" cm="1">
        <f t="array" ref="H65">_xlfn.LET(_xlpm.s,IFERROR(--F65,""),_xlpm.e,IFERROR(--G65,""),IF(OR(_xlpm.s="",_xlpm.e="",_xlpm.e&lt;_xlpm.s),"",_xlfn.LET(_xlpm.p,_xlfn.SEQUENCE(_xlpm.e-_xlpm.s+1,1,_xlpm.s,1),SUM(1/COUNTIFS($D:$D,D65,$E:$E,E65,$F:$F,"&lt;&gt;N/A",$G:$G,"&lt;&gt;N/A",$F:$F,"&lt;="&amp;_xlpm.p,$G:$G,"&gt;="&amp;_xlpm.p)))))</f>
        <v>0.2</v>
      </c>
      <c r="I65" s="4" t="s">
        <v>7</v>
      </c>
      <c r="J65" t="s">
        <v>6719</v>
      </c>
      <c r="K65" s="5" t="s">
        <v>7</v>
      </c>
      <c r="L65" s="5" t="s">
        <v>7</v>
      </c>
      <c r="M65" s="5" t="s">
        <v>7</v>
      </c>
      <c r="N65" s="5" t="s">
        <v>7</v>
      </c>
      <c r="O65" s="4" t="s">
        <v>778</v>
      </c>
      <c r="P65" s="4" t="s">
        <v>7834</v>
      </c>
      <c r="R65" t="b">
        <v>0</v>
      </c>
    </row>
    <row r="66" spans="1:18">
      <c r="A66" t="s">
        <v>3009</v>
      </c>
      <c r="B66" t="s">
        <v>3550</v>
      </c>
      <c r="C66" s="5" t="s">
        <v>7900</v>
      </c>
      <c r="D66" s="1">
        <v>1</v>
      </c>
      <c r="E66" s="1">
        <v>9</v>
      </c>
      <c r="F66" s="1">
        <v>45</v>
      </c>
      <c r="G66" s="1">
        <v>46</v>
      </c>
      <c r="H66" s="8" cm="1">
        <f t="array" ref="H66">_xlfn.LET(_xlpm.s,IFERROR(--F66,""),_xlpm.e,IFERROR(--G66,""),IF(OR(_xlpm.s="",_xlpm.e="",_xlpm.e&lt;_xlpm.s),"",_xlfn.LET(_xlpm.p,_xlfn.SEQUENCE(_xlpm.e-_xlpm.s+1,1,_xlpm.s,1),SUM(1/COUNTIFS($D:$D,D66,$E:$E,E66,$F:$F,"&lt;&gt;N/A",$G:$G,"&lt;&gt;N/A",$F:$F,"&lt;="&amp;_xlpm.p,$G:$G,"&gt;="&amp;_xlpm.p)))))</f>
        <v>1.5</v>
      </c>
      <c r="I66" s="4" t="s">
        <v>774</v>
      </c>
      <c r="J66" t="s">
        <v>799</v>
      </c>
      <c r="K66" s="5" t="s">
        <v>11509</v>
      </c>
      <c r="L66" s="5" t="s">
        <v>7</v>
      </c>
      <c r="M66" s="5" t="s">
        <v>7</v>
      </c>
      <c r="N66" s="5" t="s">
        <v>7</v>
      </c>
      <c r="O66" s="4" t="s">
        <v>778</v>
      </c>
      <c r="P66" s="4" t="s">
        <v>7834</v>
      </c>
      <c r="R66" t="b">
        <v>0</v>
      </c>
    </row>
    <row r="67" spans="1:18">
      <c r="A67" t="s">
        <v>3009</v>
      </c>
      <c r="B67" t="s">
        <v>3551</v>
      </c>
      <c r="C67" s="5" t="s">
        <v>7900</v>
      </c>
      <c r="D67" s="1">
        <v>1</v>
      </c>
      <c r="E67" s="1">
        <v>9</v>
      </c>
      <c r="F67" s="1">
        <v>46</v>
      </c>
      <c r="G67" s="1">
        <v>47</v>
      </c>
      <c r="H67" s="8" cm="1">
        <f t="array" ref="H67">_xlfn.LET(_xlpm.s,IFERROR(--F67,""),_xlpm.e,IFERROR(--G67,""),IF(OR(_xlpm.s="",_xlpm.e="",_xlpm.e&lt;_xlpm.s),"",_xlfn.LET(_xlpm.p,_xlfn.SEQUENCE(_xlpm.e-_xlpm.s+1,1,_xlpm.s,1),SUM(1/COUNTIFS($D:$D,D67,$E:$E,E67,$F:$F,"&lt;&gt;N/A",$G:$G,"&lt;&gt;N/A",$F:$F,"&lt;="&amp;_xlpm.p,$G:$G,"&gt;="&amp;_xlpm.p)))))</f>
        <v>1</v>
      </c>
      <c r="I67" s="4" t="s">
        <v>782</v>
      </c>
      <c r="J67" t="s">
        <v>812</v>
      </c>
      <c r="K67" s="5" t="s">
        <v>7</v>
      </c>
      <c r="L67" s="5" t="s">
        <v>7</v>
      </c>
      <c r="M67" s="5" t="s">
        <v>7</v>
      </c>
      <c r="N67" s="5" t="s">
        <v>7</v>
      </c>
      <c r="O67" s="4" t="s">
        <v>778</v>
      </c>
      <c r="P67" s="4" t="s">
        <v>7834</v>
      </c>
      <c r="R67" t="b">
        <v>1</v>
      </c>
    </row>
    <row r="68" spans="1:18">
      <c r="A68" t="s">
        <v>3009</v>
      </c>
      <c r="B68" t="s">
        <v>6970</v>
      </c>
      <c r="C68" s="5" t="s">
        <v>7900</v>
      </c>
      <c r="D68" s="1">
        <v>1</v>
      </c>
      <c r="E68" s="1">
        <v>9</v>
      </c>
      <c r="F68" s="1">
        <v>47</v>
      </c>
      <c r="G68" s="1">
        <v>48</v>
      </c>
      <c r="H68" s="8" cm="1">
        <f t="array" ref="H68">_xlfn.LET(_xlpm.s,IFERROR(--F68,""),_xlpm.e,IFERROR(--G68,""),IF(OR(_xlpm.s="",_xlpm.e="",_xlpm.e&lt;_xlpm.s),"",_xlfn.LET(_xlpm.p,_xlfn.SEQUENCE(_xlpm.e-_xlpm.s+1,1,_xlpm.s,1),SUM(1/COUNTIFS($D:$D,D68,$E:$E,E68,$F:$F,"&lt;&gt;N/A",$G:$G,"&lt;&gt;N/A",$F:$F,"&lt;="&amp;_xlpm.p,$G:$G,"&gt;="&amp;_xlpm.p)))))</f>
        <v>1</v>
      </c>
      <c r="I68" s="4" t="s">
        <v>782</v>
      </c>
      <c r="J68" t="s">
        <v>813</v>
      </c>
      <c r="K68" s="5" t="s">
        <v>7</v>
      </c>
      <c r="L68" s="5" t="s">
        <v>7</v>
      </c>
      <c r="M68" s="5" t="s">
        <v>7</v>
      </c>
      <c r="N68" s="5" t="s">
        <v>7</v>
      </c>
      <c r="O68" s="4" t="s">
        <v>778</v>
      </c>
      <c r="P68" s="4" t="s">
        <v>7834</v>
      </c>
      <c r="R68" t="b">
        <v>1</v>
      </c>
    </row>
    <row r="69" spans="1:18">
      <c r="A69" t="s">
        <v>3009</v>
      </c>
      <c r="B69" t="s">
        <v>10507</v>
      </c>
      <c r="C69" s="5" t="s">
        <v>7900</v>
      </c>
      <c r="D69" s="1">
        <v>1</v>
      </c>
      <c r="E69" s="1">
        <v>9</v>
      </c>
      <c r="F69" s="1">
        <v>48</v>
      </c>
      <c r="G69" s="1">
        <v>48</v>
      </c>
      <c r="H69" s="8" cm="1">
        <f t="array" ref="H69">_xlfn.LET(_xlpm.s,IFERROR(--F69,""),_xlpm.e,IFERROR(--G69,""),IF(OR(_xlpm.s="",_xlpm.e="",_xlpm.e&lt;_xlpm.s),"",_xlfn.LET(_xlpm.p,_xlfn.SEQUENCE(_xlpm.e-_xlpm.s+1,1,_xlpm.s,1),SUM(1/COUNTIFS($D:$D,D69,$E:$E,E69,$F:$F,"&lt;&gt;N/A",$G:$G,"&lt;&gt;N/A",$F:$F,"&lt;="&amp;_xlpm.p,$G:$G,"&gt;="&amp;_xlpm.p)))))</f>
        <v>0.5</v>
      </c>
      <c r="I69" s="4" t="s">
        <v>782</v>
      </c>
      <c r="J69" t="s">
        <v>814</v>
      </c>
      <c r="K69" s="5" t="s">
        <v>815</v>
      </c>
      <c r="L69" s="5" t="s">
        <v>7</v>
      </c>
      <c r="M69" s="5" t="s">
        <v>7</v>
      </c>
      <c r="N69" s="5" t="s">
        <v>7</v>
      </c>
      <c r="O69" s="4" t="s">
        <v>778</v>
      </c>
      <c r="P69" s="4" t="s">
        <v>7834</v>
      </c>
      <c r="R69" t="b">
        <v>1</v>
      </c>
    </row>
    <row r="70" spans="1:18">
      <c r="A70" t="s">
        <v>3009</v>
      </c>
      <c r="B70" t="s">
        <v>3552</v>
      </c>
      <c r="C70" s="5" t="s">
        <v>7995</v>
      </c>
      <c r="D70" s="1">
        <v>1</v>
      </c>
      <c r="E70" s="1">
        <v>10</v>
      </c>
      <c r="F70" s="1">
        <v>49</v>
      </c>
      <c r="G70" s="1">
        <v>50</v>
      </c>
      <c r="H70" s="8" cm="1">
        <f t="array" ref="H70">_xlfn.LET(_xlpm.s,IFERROR(--F70,""),_xlpm.e,IFERROR(--G70,""),IF(OR(_xlpm.s="",_xlpm.e="",_xlpm.e&lt;_xlpm.s),"",_xlfn.LET(_xlpm.p,_xlfn.SEQUENCE(_xlpm.e-_xlpm.s+1,1,_xlpm.s,1),SUM(1/COUNTIFS($D:$D,D70,$E:$E,E70,$F:$F,"&lt;&gt;N/A",$G:$G,"&lt;&gt;N/A",$F:$F,"&lt;="&amp;_xlpm.p,$G:$G,"&gt;="&amp;_xlpm.p)))))</f>
        <v>1.5</v>
      </c>
      <c r="I70" s="4" t="s">
        <v>774</v>
      </c>
      <c r="J70" t="s">
        <v>799</v>
      </c>
      <c r="K70" s="5" t="s">
        <v>11509</v>
      </c>
      <c r="L70" s="5" t="s">
        <v>7</v>
      </c>
      <c r="M70" s="5" t="s">
        <v>7</v>
      </c>
      <c r="N70" s="5" t="s">
        <v>7</v>
      </c>
      <c r="O70" s="4" t="s">
        <v>778</v>
      </c>
      <c r="P70" s="4" t="s">
        <v>7834</v>
      </c>
      <c r="R70" t="b">
        <v>0</v>
      </c>
    </row>
    <row r="71" spans="1:18">
      <c r="A71" t="s">
        <v>3009</v>
      </c>
      <c r="B71" t="s">
        <v>3553</v>
      </c>
      <c r="C71" s="5" t="s">
        <v>7995</v>
      </c>
      <c r="D71" s="1">
        <v>1</v>
      </c>
      <c r="E71" s="1">
        <v>10</v>
      </c>
      <c r="F71" s="1">
        <v>50</v>
      </c>
      <c r="G71" s="1">
        <v>53</v>
      </c>
      <c r="H71" s="8" cm="1">
        <f t="array" ref="H71">_xlfn.LET(_xlpm.s,IFERROR(--F71,""),_xlpm.e,IFERROR(--G71,""),IF(OR(_xlpm.s="",_xlpm.e="",_xlpm.e&lt;_xlpm.s),"",_xlfn.LET(_xlpm.p,_xlfn.SEQUENCE(_xlpm.e-_xlpm.s+1,1,_xlpm.s,1),SUM(1/COUNTIFS($D:$D,D71,$E:$E,E71,$F:$F,"&lt;&gt;N/A",$G:$G,"&lt;&gt;N/A",$F:$F,"&lt;="&amp;_xlpm.p,$G:$G,"&gt;="&amp;_xlpm.p)))))</f>
        <v>3</v>
      </c>
      <c r="I71" s="4" t="s">
        <v>782</v>
      </c>
      <c r="J71" t="s">
        <v>5051</v>
      </c>
      <c r="K71" s="5" t="s">
        <v>7</v>
      </c>
      <c r="L71" s="5" t="s">
        <v>7</v>
      </c>
      <c r="M71" s="5" t="s">
        <v>7</v>
      </c>
      <c r="N71" s="5" t="s">
        <v>7</v>
      </c>
      <c r="O71" s="4" t="s">
        <v>778</v>
      </c>
      <c r="P71" s="4" t="s">
        <v>7834</v>
      </c>
      <c r="R71" t="b">
        <v>1</v>
      </c>
    </row>
    <row r="72" spans="1:18">
      <c r="A72" t="s">
        <v>3009</v>
      </c>
      <c r="B72" t="s">
        <v>3554</v>
      </c>
      <c r="C72" s="5" t="s">
        <v>7995</v>
      </c>
      <c r="D72" s="1">
        <v>1</v>
      </c>
      <c r="E72" s="1">
        <v>10</v>
      </c>
      <c r="F72" s="1">
        <v>53</v>
      </c>
      <c r="G72" s="1">
        <v>56</v>
      </c>
      <c r="H72" s="8" cm="1">
        <f t="array" ref="H72">_xlfn.LET(_xlpm.s,IFERROR(--F72,""),_xlpm.e,IFERROR(--G72,""),IF(OR(_xlpm.s="",_xlpm.e="",_xlpm.e&lt;_xlpm.s),"",_xlfn.LET(_xlpm.p,_xlfn.SEQUENCE(_xlpm.e-_xlpm.s+1,1,_xlpm.s,1),SUM(1/COUNTIFS($D:$D,D72,$E:$E,E72,$F:$F,"&lt;&gt;N/A",$G:$G,"&lt;&gt;N/A",$F:$F,"&lt;="&amp;_xlpm.p,$G:$G,"&gt;="&amp;_xlpm.p)))))</f>
        <v>2.8333333333333335</v>
      </c>
      <c r="I72" s="4" t="s">
        <v>782</v>
      </c>
      <c r="J72" t="s">
        <v>824</v>
      </c>
      <c r="K72" s="5" t="s">
        <v>7</v>
      </c>
      <c r="L72" s="5" t="s">
        <v>2105</v>
      </c>
      <c r="M72" t="s">
        <v>5052</v>
      </c>
      <c r="N72" s="5" t="s">
        <v>11575</v>
      </c>
      <c r="O72" s="5" t="s">
        <v>5072</v>
      </c>
      <c r="P72" s="5" t="s">
        <v>8021</v>
      </c>
      <c r="R72" t="b">
        <v>1</v>
      </c>
    </row>
    <row r="73" spans="1:18">
      <c r="A73" t="s">
        <v>3009</v>
      </c>
      <c r="B73" t="s">
        <v>6971</v>
      </c>
      <c r="C73" s="5" t="s">
        <v>7995</v>
      </c>
      <c r="D73" s="1">
        <v>1</v>
      </c>
      <c r="E73" s="1">
        <v>10</v>
      </c>
      <c r="F73" s="1">
        <v>56</v>
      </c>
      <c r="G73" s="1">
        <v>56</v>
      </c>
      <c r="H73" s="8" cm="1">
        <f t="array" ref="H73">_xlfn.LET(_xlpm.s,IFERROR(--F73,""),_xlpm.e,IFERROR(--G73,""),IF(OR(_xlpm.s="",_xlpm.e="",_xlpm.e&lt;_xlpm.s),"",_xlfn.LET(_xlpm.p,_xlfn.SEQUENCE(_xlpm.e-_xlpm.s+1,1,_xlpm.s,1),SUM(1/COUNTIFS($D:$D,D73,$E:$E,E73,$F:$F,"&lt;&gt;N/A",$G:$G,"&lt;&gt;N/A",$F:$F,"&lt;="&amp;_xlpm.p,$G:$G,"&gt;="&amp;_xlpm.p)))))</f>
        <v>0.33333333333333331</v>
      </c>
      <c r="I73" s="4" t="s">
        <v>782</v>
      </c>
      <c r="J73" t="s">
        <v>825</v>
      </c>
      <c r="K73" t="s">
        <v>826</v>
      </c>
      <c r="L73" s="5" t="s">
        <v>7</v>
      </c>
      <c r="M73" s="5" t="s">
        <v>7</v>
      </c>
      <c r="N73" s="5" t="s">
        <v>7</v>
      </c>
      <c r="O73" s="4" t="s">
        <v>778</v>
      </c>
      <c r="P73" s="4" t="s">
        <v>7834</v>
      </c>
      <c r="R73" t="b">
        <v>1</v>
      </c>
    </row>
    <row r="74" spans="1:18">
      <c r="A74" t="s">
        <v>3009</v>
      </c>
      <c r="B74" t="s">
        <v>10508</v>
      </c>
      <c r="C74" s="5" t="s">
        <v>7995</v>
      </c>
      <c r="D74" s="1">
        <v>1</v>
      </c>
      <c r="E74" s="1">
        <v>10</v>
      </c>
      <c r="F74" s="1">
        <v>56</v>
      </c>
      <c r="G74" s="1">
        <v>56</v>
      </c>
      <c r="H74" s="8" cm="1">
        <f t="array" ref="H74">_xlfn.LET(_xlpm.s,IFERROR(--F74,""),_xlpm.e,IFERROR(--G74,""),IF(OR(_xlpm.s="",_xlpm.e="",_xlpm.e&lt;_xlpm.s),"",_xlfn.LET(_xlpm.p,_xlfn.SEQUENCE(_xlpm.e-_xlpm.s+1,1,_xlpm.s,1),SUM(1/COUNTIFS($D:$D,D74,$E:$E,E74,$F:$F,"&lt;&gt;N/A",$G:$G,"&lt;&gt;N/A",$F:$F,"&lt;="&amp;_xlpm.p,$G:$G,"&gt;="&amp;_xlpm.p)))))</f>
        <v>0.33333333333333331</v>
      </c>
      <c r="I74" s="4" t="s">
        <v>782</v>
      </c>
      <c r="J74" t="s">
        <v>2292</v>
      </c>
      <c r="K74" s="5" t="s">
        <v>7</v>
      </c>
      <c r="L74" s="5" t="s">
        <v>7</v>
      </c>
      <c r="M74" t="s">
        <v>5043</v>
      </c>
      <c r="N74" s="5" t="s">
        <v>7173</v>
      </c>
      <c r="O74" s="5" t="s">
        <v>11522</v>
      </c>
      <c r="P74" s="5" t="s">
        <v>8021</v>
      </c>
      <c r="R74" t="b">
        <v>1</v>
      </c>
    </row>
    <row r="75" spans="1:18">
      <c r="A75" t="s">
        <v>3009</v>
      </c>
      <c r="B75" t="s">
        <v>3555</v>
      </c>
      <c r="C75" s="5" t="s">
        <v>7928</v>
      </c>
      <c r="D75" s="1">
        <v>1</v>
      </c>
      <c r="E75" s="1">
        <v>11</v>
      </c>
      <c r="F75" s="1">
        <v>57</v>
      </c>
      <c r="G75" s="1">
        <v>58</v>
      </c>
      <c r="H75" s="8" cm="1">
        <f t="array" ref="H75">_xlfn.LET(_xlpm.s,IFERROR(--F75,""),_xlpm.e,IFERROR(--G75,""),IF(OR(_xlpm.s="",_xlpm.e="",_xlpm.e&lt;_xlpm.s),"",_xlfn.LET(_xlpm.p,_xlfn.SEQUENCE(_xlpm.e-_xlpm.s+1,1,_xlpm.s,1),SUM(1/COUNTIFS($D:$D,D75,$E:$E,E75,$F:$F,"&lt;&gt;N/A",$G:$G,"&lt;&gt;N/A",$F:$F,"&lt;="&amp;_xlpm.p,$G:$G,"&gt;="&amp;_xlpm.p)))))</f>
        <v>1.5</v>
      </c>
      <c r="I75" s="4" t="s">
        <v>774</v>
      </c>
      <c r="J75" t="s">
        <v>839</v>
      </c>
      <c r="K75" s="5" t="s">
        <v>11509</v>
      </c>
      <c r="L75" s="5" t="s">
        <v>7</v>
      </c>
      <c r="M75" s="5" t="s">
        <v>7</v>
      </c>
      <c r="N75" s="5" t="s">
        <v>7</v>
      </c>
      <c r="O75" s="4" t="s">
        <v>778</v>
      </c>
      <c r="P75" s="4" t="s">
        <v>7834</v>
      </c>
      <c r="R75" t="b">
        <v>0</v>
      </c>
    </row>
    <row r="76" spans="1:18">
      <c r="A76" t="s">
        <v>3009</v>
      </c>
      <c r="B76" t="s">
        <v>6972</v>
      </c>
      <c r="C76" s="5" t="s">
        <v>7928</v>
      </c>
      <c r="D76" s="1">
        <v>1</v>
      </c>
      <c r="E76" s="1">
        <v>11</v>
      </c>
      <c r="F76" s="1">
        <v>58</v>
      </c>
      <c r="G76" s="1">
        <v>60</v>
      </c>
      <c r="H76" s="8" cm="1">
        <f t="array" ref="H76">_xlfn.LET(_xlpm.s,IFERROR(--F76,""),_xlpm.e,IFERROR(--G76,""),IF(OR(_xlpm.s="",_xlpm.e="",_xlpm.e&lt;_xlpm.s),"",_xlfn.LET(_xlpm.p,_xlfn.SEQUENCE(_xlpm.e-_xlpm.s+1,1,_xlpm.s,1),SUM(1/COUNTIFS($D:$D,D76,$E:$E,E76,$F:$F,"&lt;&gt;N/A",$G:$G,"&lt;&gt;N/A",$F:$F,"&lt;="&amp;_xlpm.p,$G:$G,"&gt;="&amp;_xlpm.p)))))</f>
        <v>2</v>
      </c>
      <c r="I76" s="4" t="s">
        <v>782</v>
      </c>
      <c r="J76" t="s">
        <v>827</v>
      </c>
      <c r="K76" t="s">
        <v>847</v>
      </c>
      <c r="L76" s="5" t="s">
        <v>7</v>
      </c>
      <c r="M76" s="5" t="s">
        <v>7</v>
      </c>
      <c r="N76" s="5" t="s">
        <v>7</v>
      </c>
      <c r="O76" s="4" t="s">
        <v>778</v>
      </c>
      <c r="P76" s="4" t="s">
        <v>7834</v>
      </c>
      <c r="R76" t="b">
        <v>1</v>
      </c>
    </row>
    <row r="77" spans="1:18">
      <c r="A77" t="s">
        <v>3009</v>
      </c>
      <c r="B77" t="s">
        <v>10509</v>
      </c>
      <c r="C77" s="5" t="s">
        <v>7928</v>
      </c>
      <c r="D77" s="1">
        <v>1</v>
      </c>
      <c r="E77" s="1">
        <v>11</v>
      </c>
      <c r="F77" s="1">
        <v>60</v>
      </c>
      <c r="G77" s="1">
        <v>60</v>
      </c>
      <c r="H77" s="8" cm="1">
        <f t="array" ref="H77">_xlfn.LET(_xlpm.s,IFERROR(--F77,""),_xlpm.e,IFERROR(--G77,""),IF(OR(_xlpm.s="",_xlpm.e="",_xlpm.e&lt;_xlpm.s),"",_xlfn.LET(_xlpm.p,_xlfn.SEQUENCE(_xlpm.e-_xlpm.s+1,1,_xlpm.s,1),SUM(1/COUNTIFS($D:$D,D77,$E:$E,E77,$F:$F,"&lt;&gt;N/A",$G:$G,"&lt;&gt;N/A",$F:$F,"&lt;="&amp;_xlpm.p,$G:$G,"&gt;="&amp;_xlpm.p)))))</f>
        <v>0.5</v>
      </c>
      <c r="I77" s="4" t="s">
        <v>782</v>
      </c>
      <c r="J77" t="s">
        <v>828</v>
      </c>
      <c r="K77" t="s">
        <v>808</v>
      </c>
      <c r="L77" s="5" t="s">
        <v>7</v>
      </c>
      <c r="M77" s="5" t="s">
        <v>7</v>
      </c>
      <c r="N77" s="5" t="s">
        <v>7</v>
      </c>
      <c r="O77" s="4" t="s">
        <v>778</v>
      </c>
      <c r="P77" s="4" t="s">
        <v>7834</v>
      </c>
      <c r="R77" t="b">
        <v>1</v>
      </c>
    </row>
    <row r="78" spans="1:18">
      <c r="A78" t="s">
        <v>3009</v>
      </c>
      <c r="B78" t="s">
        <v>3556</v>
      </c>
      <c r="C78" s="5" t="s">
        <v>7929</v>
      </c>
      <c r="D78" s="1">
        <v>1</v>
      </c>
      <c r="E78" s="1">
        <v>12</v>
      </c>
      <c r="F78" s="1">
        <v>61</v>
      </c>
      <c r="G78" s="1">
        <v>62</v>
      </c>
      <c r="H78" s="8" cm="1">
        <f t="array" ref="H78">_xlfn.LET(_xlpm.s,IFERROR(--F78,""),_xlpm.e,IFERROR(--G78,""),IF(OR(_xlpm.s="",_xlpm.e="",_xlpm.e&lt;_xlpm.s),"",_xlfn.LET(_xlpm.p,_xlfn.SEQUENCE(_xlpm.e-_xlpm.s+1,1,_xlpm.s,1),SUM(1/COUNTIFS($D:$D,D78,$E:$E,E78,$F:$F,"&lt;&gt;N/A",$G:$G,"&lt;&gt;N/A",$F:$F,"&lt;="&amp;_xlpm.p,$G:$G,"&gt;="&amp;_xlpm.p)))))</f>
        <v>1.5</v>
      </c>
      <c r="I78" s="4" t="s">
        <v>774</v>
      </c>
      <c r="J78" t="s">
        <v>839</v>
      </c>
      <c r="K78" s="5" t="s">
        <v>11509</v>
      </c>
      <c r="L78" s="5" t="s">
        <v>7</v>
      </c>
      <c r="M78" s="5" t="s">
        <v>7</v>
      </c>
      <c r="N78" s="5" t="s">
        <v>7</v>
      </c>
      <c r="O78" s="4" t="s">
        <v>778</v>
      </c>
      <c r="P78" s="4" t="s">
        <v>7834</v>
      </c>
      <c r="R78" t="b">
        <v>0</v>
      </c>
    </row>
    <row r="79" spans="1:18">
      <c r="A79" t="s">
        <v>3009</v>
      </c>
      <c r="B79" t="s">
        <v>3557</v>
      </c>
      <c r="C79" s="5" t="s">
        <v>7929</v>
      </c>
      <c r="D79" s="1">
        <v>1</v>
      </c>
      <c r="E79" s="1">
        <v>12</v>
      </c>
      <c r="F79" s="1">
        <v>62</v>
      </c>
      <c r="G79" s="1">
        <v>66</v>
      </c>
      <c r="H79" s="8" cm="1">
        <f t="array" ref="H79">_xlfn.LET(_xlpm.s,IFERROR(--F79,""),_xlpm.e,IFERROR(--G79,""),IF(OR(_xlpm.s="",_xlpm.e="",_xlpm.e&lt;_xlpm.s),"",_xlfn.LET(_xlpm.p,_xlfn.SEQUENCE(_xlpm.e-_xlpm.s+1,1,_xlpm.s,1),SUM(1/COUNTIFS($D:$D,D79,$E:$E,E79,$F:$F,"&lt;&gt;N/A",$G:$G,"&lt;&gt;N/A",$F:$F,"&lt;="&amp;_xlpm.p,$G:$G,"&gt;="&amp;_xlpm.p)))))</f>
        <v>3.8333333333333335</v>
      </c>
      <c r="I79" s="4" t="s">
        <v>782</v>
      </c>
      <c r="J79" t="s">
        <v>829</v>
      </c>
      <c r="K79" s="5" t="s">
        <v>11509</v>
      </c>
      <c r="L79" s="5" t="s">
        <v>7</v>
      </c>
      <c r="M79" s="5" t="s">
        <v>7</v>
      </c>
      <c r="N79" s="5" t="s">
        <v>7</v>
      </c>
      <c r="O79" s="4" t="s">
        <v>778</v>
      </c>
      <c r="P79" s="4" t="s">
        <v>7834</v>
      </c>
      <c r="R79" t="b">
        <v>1</v>
      </c>
    </row>
    <row r="80" spans="1:18">
      <c r="A80" t="s">
        <v>3009</v>
      </c>
      <c r="B80" t="s">
        <v>3558</v>
      </c>
      <c r="C80" s="5" t="s">
        <v>7929</v>
      </c>
      <c r="D80" s="1">
        <v>1</v>
      </c>
      <c r="E80" s="1">
        <v>12</v>
      </c>
      <c r="F80" s="1">
        <v>66</v>
      </c>
      <c r="G80" s="1">
        <v>66</v>
      </c>
      <c r="H80" s="8" cm="1">
        <f t="array" ref="H80">_xlfn.LET(_xlpm.s,IFERROR(--F80,""),_xlpm.e,IFERROR(--G80,""),IF(OR(_xlpm.s="",_xlpm.e="",_xlpm.e&lt;_xlpm.s),"",_xlfn.LET(_xlpm.p,_xlfn.SEQUENCE(_xlpm.e-_xlpm.s+1,1,_xlpm.s,1),SUM(1/COUNTIFS($D:$D,D80,$E:$E,E80,$F:$F,"&lt;&gt;N/A",$G:$G,"&lt;&gt;N/A",$F:$F,"&lt;="&amp;_xlpm.p,$G:$G,"&gt;="&amp;_xlpm.p)))))</f>
        <v>0.33333333333333331</v>
      </c>
      <c r="I80" s="4" t="s">
        <v>782</v>
      </c>
      <c r="J80" t="s">
        <v>830</v>
      </c>
      <c r="K80" t="s">
        <v>826</v>
      </c>
      <c r="L80" s="5" t="s">
        <v>7</v>
      </c>
      <c r="M80" s="5" t="s">
        <v>7</v>
      </c>
      <c r="N80" s="5" t="s">
        <v>7</v>
      </c>
      <c r="O80" s="4" t="s">
        <v>778</v>
      </c>
      <c r="P80" s="4" t="s">
        <v>7834</v>
      </c>
      <c r="R80" t="b">
        <v>1</v>
      </c>
    </row>
    <row r="81" spans="1:18">
      <c r="A81" t="s">
        <v>3009</v>
      </c>
      <c r="B81" t="s">
        <v>6973</v>
      </c>
      <c r="C81" s="5" t="s">
        <v>7929</v>
      </c>
      <c r="D81" s="1">
        <v>1</v>
      </c>
      <c r="E81" s="1">
        <v>12</v>
      </c>
      <c r="F81" s="1">
        <v>66</v>
      </c>
      <c r="G81" s="1">
        <v>67</v>
      </c>
      <c r="H81" s="8" cm="1">
        <f t="array" ref="H81">_xlfn.LET(_xlpm.s,IFERROR(--F81,""),_xlpm.e,IFERROR(--G81,""),IF(OR(_xlpm.s="",_xlpm.e="",_xlpm.e&lt;_xlpm.s),"",_xlfn.LET(_xlpm.p,_xlfn.SEQUENCE(_xlpm.e-_xlpm.s+1,1,_xlpm.s,1),SUM(1/COUNTIFS($D:$D,D81,$E:$E,E81,$F:$F,"&lt;&gt;N/A",$G:$G,"&lt;&gt;N/A",$F:$F,"&lt;="&amp;_xlpm.p,$G:$G,"&gt;="&amp;_xlpm.p)))))</f>
        <v>0.66666666666666663</v>
      </c>
      <c r="I81" s="4" t="s">
        <v>782</v>
      </c>
      <c r="J81" t="s">
        <v>831</v>
      </c>
      <c r="K81" s="5" t="s">
        <v>7</v>
      </c>
      <c r="L81" s="5" t="s">
        <v>7</v>
      </c>
      <c r="M81" t="s">
        <v>7174</v>
      </c>
      <c r="N81" s="5" t="s">
        <v>7282</v>
      </c>
      <c r="O81" s="5" t="s">
        <v>11522</v>
      </c>
      <c r="P81" s="5" t="s">
        <v>8021</v>
      </c>
      <c r="R81" t="b">
        <v>1</v>
      </c>
    </row>
    <row r="82" spans="1:18">
      <c r="A82" t="s">
        <v>3009</v>
      </c>
      <c r="B82" t="s">
        <v>6974</v>
      </c>
      <c r="C82" s="5" t="s">
        <v>7929</v>
      </c>
      <c r="D82" s="1">
        <v>1</v>
      </c>
      <c r="E82" s="1">
        <v>12</v>
      </c>
      <c r="F82" s="1">
        <v>67</v>
      </c>
      <c r="G82" s="1">
        <v>67</v>
      </c>
      <c r="H82" s="8" cm="1">
        <f t="array" ref="H82">_xlfn.LET(_xlpm.s,IFERROR(--F82,""),_xlpm.e,IFERROR(--G82,""),IF(OR(_xlpm.s="",_xlpm.e="",_xlpm.e&lt;_xlpm.s),"",_xlfn.LET(_xlpm.p,_xlfn.SEQUENCE(_xlpm.e-_xlpm.s+1,1,_xlpm.s,1),SUM(1/COUNTIFS($D:$D,D82,$E:$E,E82,$F:$F,"&lt;&gt;N/A",$G:$G,"&lt;&gt;N/A",$F:$F,"&lt;="&amp;_xlpm.p,$G:$G,"&gt;="&amp;_xlpm.p)))))</f>
        <v>0.33333333333333331</v>
      </c>
      <c r="I82" s="4" t="s">
        <v>782</v>
      </c>
      <c r="J82" t="s">
        <v>7392</v>
      </c>
      <c r="K82" s="5" t="s">
        <v>7</v>
      </c>
      <c r="L82" s="5" t="s">
        <v>7</v>
      </c>
      <c r="M82" t="s">
        <v>5043</v>
      </c>
      <c r="N82" s="5" t="s">
        <v>7393</v>
      </c>
      <c r="O82" s="5" t="s">
        <v>11522</v>
      </c>
      <c r="P82" s="5" t="s">
        <v>8021</v>
      </c>
      <c r="R82" t="b">
        <v>1</v>
      </c>
    </row>
    <row r="83" spans="1:18">
      <c r="A83" t="s">
        <v>3009</v>
      </c>
      <c r="B83" t="s">
        <v>7098</v>
      </c>
      <c r="C83" s="5" t="s">
        <v>7929</v>
      </c>
      <c r="D83" s="1">
        <v>1</v>
      </c>
      <c r="E83" s="1">
        <v>12</v>
      </c>
      <c r="F83" s="1">
        <v>67</v>
      </c>
      <c r="G83" s="1">
        <v>68</v>
      </c>
      <c r="H83" s="8" cm="1">
        <f t="array" ref="H83">_xlfn.LET(_xlpm.s,IFERROR(--F83,""),_xlpm.e,IFERROR(--G83,""),IF(OR(_xlpm.s="",_xlpm.e="",_xlpm.e&lt;_xlpm.s),"",_xlfn.LET(_xlpm.p,_xlfn.SEQUENCE(_xlpm.e-_xlpm.s+1,1,_xlpm.s,1),SUM(1/COUNTIFS($D:$D,D83,$E:$E,E83,$F:$F,"&lt;&gt;N/A",$G:$G,"&lt;&gt;N/A",$F:$F,"&lt;="&amp;_xlpm.p,$G:$G,"&gt;="&amp;_xlpm.p)))))</f>
        <v>0.83333333333333326</v>
      </c>
      <c r="I83" t="s">
        <v>183</v>
      </c>
      <c r="J83" t="s">
        <v>27</v>
      </c>
      <c r="K83" s="5" t="s">
        <v>2114</v>
      </c>
      <c r="L83" s="5" t="s">
        <v>7</v>
      </c>
      <c r="M83" s="5" t="s">
        <v>7</v>
      </c>
      <c r="N83" s="5" t="s">
        <v>7</v>
      </c>
      <c r="O83" s="4" t="s">
        <v>778</v>
      </c>
      <c r="P83" s="4" t="s">
        <v>7834</v>
      </c>
      <c r="R83" t="b">
        <v>1</v>
      </c>
    </row>
    <row r="84" spans="1:18">
      <c r="A84" t="s">
        <v>3009</v>
      </c>
      <c r="B84" t="s">
        <v>10510</v>
      </c>
      <c r="C84" s="5" t="s">
        <v>7929</v>
      </c>
      <c r="D84" s="1">
        <v>1</v>
      </c>
      <c r="E84" s="1">
        <v>12</v>
      </c>
      <c r="F84" s="1">
        <v>68</v>
      </c>
      <c r="G84" s="1">
        <v>68</v>
      </c>
      <c r="H84" s="8" cm="1">
        <f t="array" ref="H84">_xlfn.LET(_xlpm.s,IFERROR(--F84,""),_xlpm.e,IFERROR(--G84,""),IF(OR(_xlpm.s="",_xlpm.e="",_xlpm.e&lt;_xlpm.s),"",_xlfn.LET(_xlpm.p,_xlfn.SEQUENCE(_xlpm.e-_xlpm.s+1,1,_xlpm.s,1),SUM(1/COUNTIFS($D:$D,D84,$E:$E,E84,$F:$F,"&lt;&gt;N/A",$G:$G,"&lt;&gt;N/A",$F:$F,"&lt;="&amp;_xlpm.p,$G:$G,"&gt;="&amp;_xlpm.p)))))</f>
        <v>0.5</v>
      </c>
      <c r="I84" s="4" t="s">
        <v>7</v>
      </c>
      <c r="J84" t="s">
        <v>6719</v>
      </c>
      <c r="K84" s="5" t="s">
        <v>7</v>
      </c>
      <c r="L84" s="5" t="s">
        <v>7</v>
      </c>
      <c r="M84" s="5" t="s">
        <v>7</v>
      </c>
      <c r="N84" s="5" t="s">
        <v>7</v>
      </c>
      <c r="O84" s="4" t="s">
        <v>778</v>
      </c>
      <c r="P84" s="4" t="s">
        <v>7834</v>
      </c>
      <c r="R84" t="b">
        <v>0</v>
      </c>
    </row>
    <row r="85" spans="1:18">
      <c r="A85" t="s">
        <v>3009</v>
      </c>
      <c r="B85" t="s">
        <v>6975</v>
      </c>
      <c r="C85" s="5" t="s">
        <v>7930</v>
      </c>
      <c r="D85" s="1">
        <v>1</v>
      </c>
      <c r="E85" s="1">
        <v>13</v>
      </c>
      <c r="F85" s="1">
        <v>69</v>
      </c>
      <c r="G85" s="1">
        <v>70</v>
      </c>
      <c r="H85" s="8" cm="1">
        <f t="array" ref="H85">_xlfn.LET(_xlpm.s,IFERROR(--F85,""),_xlpm.e,IFERROR(--G85,""),IF(OR(_xlpm.s="",_xlpm.e="",_xlpm.e&lt;_xlpm.s),"",_xlfn.LET(_xlpm.p,_xlfn.SEQUENCE(_xlpm.e-_xlpm.s+1,1,_xlpm.s,1),SUM(1/COUNTIFS($D:$D,D85,$E:$E,E85,$F:$F,"&lt;&gt;N/A",$G:$G,"&lt;&gt;N/A",$F:$F,"&lt;="&amp;_xlpm.p,$G:$G,"&gt;="&amp;_xlpm.p)))))</f>
        <v>1.5</v>
      </c>
      <c r="I85" s="4" t="s">
        <v>774</v>
      </c>
      <c r="J85" t="s">
        <v>839</v>
      </c>
      <c r="K85" s="5" t="s">
        <v>11509</v>
      </c>
      <c r="L85" s="5" t="s">
        <v>7</v>
      </c>
      <c r="M85" s="5" t="s">
        <v>7</v>
      </c>
      <c r="N85" s="5" t="s">
        <v>7</v>
      </c>
      <c r="O85" s="4" t="s">
        <v>778</v>
      </c>
      <c r="P85" s="4" t="s">
        <v>7834</v>
      </c>
      <c r="R85" t="b">
        <v>0</v>
      </c>
    </row>
    <row r="86" spans="1:18">
      <c r="A86" t="s">
        <v>3009</v>
      </c>
      <c r="B86" t="s">
        <v>6976</v>
      </c>
      <c r="C86" s="5" t="s">
        <v>7930</v>
      </c>
      <c r="D86" s="1">
        <v>1</v>
      </c>
      <c r="E86" s="1">
        <v>13</v>
      </c>
      <c r="F86" s="1">
        <v>70</v>
      </c>
      <c r="G86" s="1">
        <v>71</v>
      </c>
      <c r="H86" s="8" cm="1">
        <f t="array" ref="H86">_xlfn.LET(_xlpm.s,IFERROR(--F86,""),_xlpm.e,IFERROR(--G86,""),IF(OR(_xlpm.s="",_xlpm.e="",_xlpm.e&lt;_xlpm.s),"",_xlfn.LET(_xlpm.p,_xlfn.SEQUENCE(_xlpm.e-_xlpm.s+1,1,_xlpm.s,1),SUM(1/COUNTIFS($D:$D,D86,$E:$E,E86,$F:$F,"&lt;&gt;N/A",$G:$G,"&lt;&gt;N/A",$F:$F,"&lt;="&amp;_xlpm.p,$G:$G,"&gt;="&amp;_xlpm.p)))))</f>
        <v>1</v>
      </c>
      <c r="I86" s="4" t="s">
        <v>782</v>
      </c>
      <c r="J86" t="s">
        <v>832</v>
      </c>
      <c r="K86" s="5" t="s">
        <v>2295</v>
      </c>
      <c r="L86" s="5" t="s">
        <v>2115</v>
      </c>
      <c r="M86" s="5" t="s">
        <v>7</v>
      </c>
      <c r="N86" s="5" t="s">
        <v>2294</v>
      </c>
      <c r="O86" s="5" t="s">
        <v>5072</v>
      </c>
      <c r="P86" s="5" t="s">
        <v>8021</v>
      </c>
      <c r="R86" t="b">
        <v>1</v>
      </c>
    </row>
    <row r="87" spans="1:18">
      <c r="A87" t="s">
        <v>3009</v>
      </c>
      <c r="B87" t="s">
        <v>7099</v>
      </c>
      <c r="C87" s="5" t="s">
        <v>7930</v>
      </c>
      <c r="D87" s="1">
        <v>1</v>
      </c>
      <c r="E87" s="1">
        <v>13</v>
      </c>
      <c r="F87" s="1">
        <v>71</v>
      </c>
      <c r="G87" s="1">
        <v>72</v>
      </c>
      <c r="H87" s="8" cm="1">
        <f t="array" ref="H87">_xlfn.LET(_xlpm.s,IFERROR(--F87,""),_xlpm.e,IFERROR(--G87,""),IF(OR(_xlpm.s="",_xlpm.e="",_xlpm.e&lt;_xlpm.s),"",_xlfn.LET(_xlpm.p,_xlfn.SEQUENCE(_xlpm.e-_xlpm.s+1,1,_xlpm.s,1),SUM(1/COUNTIFS($D:$D,D87,$E:$E,E87,$F:$F,"&lt;&gt;N/A",$G:$G,"&lt;&gt;N/A",$F:$F,"&lt;="&amp;_xlpm.p,$G:$G,"&gt;="&amp;_xlpm.p)))))</f>
        <v>1</v>
      </c>
      <c r="I87" s="4" t="s">
        <v>782</v>
      </c>
      <c r="J87" t="s">
        <v>833</v>
      </c>
      <c r="K87" s="5" t="s">
        <v>2116</v>
      </c>
      <c r="L87" s="5" t="s">
        <v>2117</v>
      </c>
      <c r="M87" t="s">
        <v>5012</v>
      </c>
      <c r="N87" s="5" t="s">
        <v>2293</v>
      </c>
      <c r="O87" s="5" t="s">
        <v>5072</v>
      </c>
      <c r="P87" s="5" t="s">
        <v>8034</v>
      </c>
      <c r="R87" t="b">
        <v>1</v>
      </c>
    </row>
    <row r="88" spans="1:18">
      <c r="A88" t="s">
        <v>3009</v>
      </c>
      <c r="B88" t="s">
        <v>10511</v>
      </c>
      <c r="C88" s="5" t="s">
        <v>7930</v>
      </c>
      <c r="D88" s="1">
        <v>1</v>
      </c>
      <c r="E88" s="1">
        <v>13</v>
      </c>
      <c r="F88" s="1">
        <v>72</v>
      </c>
      <c r="G88" s="1">
        <v>72</v>
      </c>
      <c r="H88" s="8" cm="1">
        <f t="array" ref="H88">_xlfn.LET(_xlpm.s,IFERROR(--F88,""),_xlpm.e,IFERROR(--G88,""),IF(OR(_xlpm.s="",_xlpm.e="",_xlpm.e&lt;_xlpm.s),"",_xlfn.LET(_xlpm.p,_xlfn.SEQUENCE(_xlpm.e-_xlpm.s+1,1,_xlpm.s,1),SUM(1/COUNTIFS($D:$D,D88,$E:$E,E88,$F:$F,"&lt;&gt;N/A",$G:$G,"&lt;&gt;N/A",$F:$F,"&lt;="&amp;_xlpm.p,$G:$G,"&gt;="&amp;_xlpm.p)))))</f>
        <v>0.5</v>
      </c>
      <c r="I88" s="4" t="s">
        <v>782</v>
      </c>
      <c r="J88" t="s">
        <v>834</v>
      </c>
      <c r="K88" t="s">
        <v>826</v>
      </c>
      <c r="L88" s="5" t="s">
        <v>7</v>
      </c>
      <c r="M88" s="5" t="s">
        <v>7</v>
      </c>
      <c r="N88" s="5" t="s">
        <v>7</v>
      </c>
      <c r="O88" s="4" t="s">
        <v>778</v>
      </c>
      <c r="P88" s="4" t="s">
        <v>7834</v>
      </c>
      <c r="R88" t="b">
        <v>1</v>
      </c>
    </row>
    <row r="89" spans="1:18">
      <c r="A89" t="s">
        <v>3009</v>
      </c>
      <c r="B89" t="s">
        <v>3559</v>
      </c>
      <c r="C89" s="5" t="s">
        <v>7993</v>
      </c>
      <c r="D89" s="1">
        <v>1</v>
      </c>
      <c r="E89" s="1">
        <v>14</v>
      </c>
      <c r="F89" s="1">
        <v>73</v>
      </c>
      <c r="G89" s="1">
        <v>74</v>
      </c>
      <c r="H89" s="8" cm="1">
        <f t="array" ref="H89">_xlfn.LET(_xlpm.s,IFERROR(--F89,""),_xlpm.e,IFERROR(--G89,""),IF(OR(_xlpm.s="",_xlpm.e="",_xlpm.e&lt;_xlpm.s),"",_xlfn.LET(_xlpm.p,_xlfn.SEQUENCE(_xlpm.e-_xlpm.s+1,1,_xlpm.s,1),SUM(1/COUNTIFS($D:$D,D89,$E:$E,E89,$F:$F,"&lt;&gt;N/A",$G:$G,"&lt;&gt;N/A",$F:$F,"&lt;="&amp;_xlpm.p,$G:$G,"&gt;="&amp;_xlpm.p)))))</f>
        <v>1.5</v>
      </c>
      <c r="I89" s="4" t="s">
        <v>774</v>
      </c>
      <c r="J89" t="s">
        <v>781</v>
      </c>
      <c r="K89" s="5" t="s">
        <v>11509</v>
      </c>
      <c r="L89" s="5" t="s">
        <v>7</v>
      </c>
      <c r="M89" s="5" t="s">
        <v>7</v>
      </c>
      <c r="N89" s="5" t="s">
        <v>7</v>
      </c>
      <c r="O89" s="4" t="s">
        <v>778</v>
      </c>
      <c r="P89" s="4" t="s">
        <v>7834</v>
      </c>
      <c r="R89" t="b">
        <v>0</v>
      </c>
    </row>
    <row r="90" spans="1:18">
      <c r="A90" t="s">
        <v>3009</v>
      </c>
      <c r="B90" t="s">
        <v>6977</v>
      </c>
      <c r="C90" s="5" t="s">
        <v>7993</v>
      </c>
      <c r="D90" s="1">
        <v>1</v>
      </c>
      <c r="E90" s="1">
        <v>14</v>
      </c>
      <c r="F90" s="1">
        <v>74</v>
      </c>
      <c r="G90" s="1">
        <v>74</v>
      </c>
      <c r="H90" s="8" cm="1">
        <f t="array" ref="H90">_xlfn.LET(_xlpm.s,IFERROR(--F90,""),_xlpm.e,IFERROR(--G90,""),IF(OR(_xlpm.s="",_xlpm.e="",_xlpm.e&lt;_xlpm.s),"",_xlfn.LET(_xlpm.p,_xlfn.SEQUENCE(_xlpm.e-_xlpm.s+1,1,_xlpm.s,1),SUM(1/COUNTIFS($D:$D,D90,$E:$E,E90,$F:$F,"&lt;&gt;N/A",$G:$G,"&lt;&gt;N/A",$F:$F,"&lt;="&amp;_xlpm.p,$G:$G,"&gt;="&amp;_xlpm.p)))))</f>
        <v>0.5</v>
      </c>
      <c r="I90" s="4" t="s">
        <v>782</v>
      </c>
      <c r="J90" t="s">
        <v>835</v>
      </c>
      <c r="K90" t="s">
        <v>810</v>
      </c>
      <c r="L90" s="5" t="s">
        <v>7</v>
      </c>
      <c r="M90" s="5" t="s">
        <v>7</v>
      </c>
      <c r="N90" s="5" t="s">
        <v>7</v>
      </c>
      <c r="O90" s="4" t="s">
        <v>778</v>
      </c>
      <c r="P90" s="4" t="s">
        <v>7834</v>
      </c>
      <c r="R90" t="b">
        <v>1</v>
      </c>
    </row>
    <row r="91" spans="1:18">
      <c r="A91" t="s">
        <v>3009</v>
      </c>
      <c r="B91" t="s">
        <v>6978</v>
      </c>
      <c r="C91" s="5" t="s">
        <v>7993</v>
      </c>
      <c r="D91" s="1">
        <v>1</v>
      </c>
      <c r="E91" s="1">
        <v>14</v>
      </c>
      <c r="F91" s="1">
        <v>75</v>
      </c>
      <c r="G91" s="1">
        <v>75</v>
      </c>
      <c r="H91" s="8" cm="1">
        <f t="array" ref="H91">_xlfn.LET(_xlpm.s,IFERROR(--F91,""),_xlpm.e,IFERROR(--G91,""),IF(OR(_xlpm.s="",_xlpm.e="",_xlpm.e&lt;_xlpm.s),"",_xlfn.LET(_xlpm.p,_xlfn.SEQUENCE(_xlpm.e-_xlpm.s+1,1,_xlpm.s,1),SUM(1/COUNTIFS($D:$D,D91,$E:$E,E91,$F:$F,"&lt;&gt;N/A",$G:$G,"&lt;&gt;N/A",$F:$F,"&lt;="&amp;_xlpm.p,$G:$G,"&gt;="&amp;_xlpm.p)))))</f>
        <v>0.5</v>
      </c>
      <c r="I91" s="4" t="s">
        <v>782</v>
      </c>
      <c r="J91" t="s">
        <v>836</v>
      </c>
      <c r="K91" s="5" t="s">
        <v>7</v>
      </c>
      <c r="L91" s="5" t="s">
        <v>2118</v>
      </c>
      <c r="M91" t="s">
        <v>5052</v>
      </c>
      <c r="N91" s="5" t="s">
        <v>11581</v>
      </c>
      <c r="O91" s="5" t="s">
        <v>5072</v>
      </c>
      <c r="P91" s="5" t="s">
        <v>8021</v>
      </c>
      <c r="R91" t="b">
        <v>1</v>
      </c>
    </row>
    <row r="92" spans="1:18">
      <c r="A92" t="s">
        <v>3009</v>
      </c>
      <c r="B92" t="s">
        <v>7100</v>
      </c>
      <c r="C92" s="5" t="s">
        <v>7993</v>
      </c>
      <c r="D92" s="1">
        <v>1</v>
      </c>
      <c r="E92" s="1">
        <v>14</v>
      </c>
      <c r="F92" s="1">
        <v>75</v>
      </c>
      <c r="G92" s="1">
        <v>76</v>
      </c>
      <c r="H92" s="8" cm="1">
        <f t="array" ref="H92">_xlfn.LET(_xlpm.s,IFERROR(--F92,""),_xlpm.e,IFERROR(--G92,""),IF(OR(_xlpm.s="",_xlpm.e="",_xlpm.e&lt;_xlpm.s),"",_xlfn.LET(_xlpm.p,_xlfn.SEQUENCE(_xlpm.e-_xlpm.s+1,1,_xlpm.s,1),SUM(1/COUNTIFS($D:$D,D92,$E:$E,E92,$F:$F,"&lt;&gt;N/A",$G:$G,"&lt;&gt;N/A",$F:$F,"&lt;="&amp;_xlpm.p,$G:$G,"&gt;="&amp;_xlpm.p)))))</f>
        <v>1</v>
      </c>
      <c r="I92" s="4" t="s">
        <v>782</v>
      </c>
      <c r="J92" t="s">
        <v>837</v>
      </c>
      <c r="K92" s="5" t="s">
        <v>7</v>
      </c>
      <c r="L92" s="5" t="s">
        <v>2119</v>
      </c>
      <c r="M92" t="s">
        <v>7187</v>
      </c>
      <c r="N92" s="5" t="s">
        <v>7186</v>
      </c>
      <c r="O92" s="5" t="s">
        <v>11522</v>
      </c>
      <c r="P92" s="5" t="s">
        <v>8021</v>
      </c>
      <c r="R92" t="b">
        <v>1</v>
      </c>
    </row>
    <row r="93" spans="1:18">
      <c r="A93" t="s">
        <v>3009</v>
      </c>
      <c r="B93" t="s">
        <v>10512</v>
      </c>
      <c r="C93" s="5" t="s">
        <v>7993</v>
      </c>
      <c r="D93" s="1">
        <v>1</v>
      </c>
      <c r="E93" s="1">
        <v>14</v>
      </c>
      <c r="F93" s="1">
        <v>76</v>
      </c>
      <c r="G93" s="1">
        <v>76</v>
      </c>
      <c r="H93" s="8" cm="1">
        <f t="array" ref="H93">_xlfn.LET(_xlpm.s,IFERROR(--F93,""),_xlpm.e,IFERROR(--G93,""),IF(OR(_xlpm.s="",_xlpm.e="",_xlpm.e&lt;_xlpm.s),"",_xlfn.LET(_xlpm.p,_xlfn.SEQUENCE(_xlpm.e-_xlpm.s+1,1,_xlpm.s,1),SUM(1/COUNTIFS($D:$D,D93,$E:$E,E93,$F:$F,"&lt;&gt;N/A",$G:$G,"&lt;&gt;N/A",$F:$F,"&lt;="&amp;_xlpm.p,$G:$G,"&gt;="&amp;_xlpm.p)))))</f>
        <v>0.5</v>
      </c>
      <c r="I93" t="s">
        <v>183</v>
      </c>
      <c r="J93" t="s">
        <v>27</v>
      </c>
      <c r="K93" s="5" t="s">
        <v>838</v>
      </c>
      <c r="L93" s="5" t="s">
        <v>7</v>
      </c>
      <c r="M93" s="5" t="s">
        <v>7</v>
      </c>
      <c r="N93" s="5" t="s">
        <v>7</v>
      </c>
      <c r="O93" s="4" t="s">
        <v>778</v>
      </c>
      <c r="P93" s="4" t="s">
        <v>7834</v>
      </c>
      <c r="R93" t="b">
        <v>1</v>
      </c>
    </row>
    <row r="94" spans="1:18">
      <c r="A94" t="s">
        <v>3009</v>
      </c>
      <c r="B94" t="s">
        <v>3560</v>
      </c>
      <c r="C94" s="5" t="s">
        <v>7994</v>
      </c>
      <c r="D94" s="1">
        <v>1</v>
      </c>
      <c r="E94" s="1">
        <v>15</v>
      </c>
      <c r="F94" s="1">
        <v>77</v>
      </c>
      <c r="G94" s="1">
        <v>81</v>
      </c>
      <c r="H94" s="8" cm="1">
        <f t="array" ref="H94">_xlfn.LET(_xlpm.s,IFERROR(--F94,""),_xlpm.e,IFERROR(--G94,""),IF(OR(_xlpm.s="",_xlpm.e="",_xlpm.e&lt;_xlpm.s),"",_xlfn.LET(_xlpm.p,_xlfn.SEQUENCE(_xlpm.e-_xlpm.s+1,1,_xlpm.s,1),SUM(1/COUNTIFS($D:$D,D94,$E:$E,E94,$F:$F,"&lt;&gt;N/A",$G:$G,"&lt;&gt;N/A",$F:$F,"&lt;="&amp;_xlpm.p,$G:$G,"&gt;="&amp;_xlpm.p)))))</f>
        <v>4.5</v>
      </c>
      <c r="I94" s="4" t="s">
        <v>774</v>
      </c>
      <c r="J94" t="s">
        <v>839</v>
      </c>
      <c r="K94" s="5" t="s">
        <v>11509</v>
      </c>
      <c r="L94" s="5" t="s">
        <v>7</v>
      </c>
      <c r="M94" s="5" t="s">
        <v>7</v>
      </c>
      <c r="N94" s="5" t="s">
        <v>7</v>
      </c>
      <c r="O94" s="4" t="s">
        <v>778</v>
      </c>
      <c r="P94" s="4" t="s">
        <v>7834</v>
      </c>
      <c r="R94" t="b">
        <v>1</v>
      </c>
    </row>
    <row r="95" spans="1:18">
      <c r="A95" t="s">
        <v>3009</v>
      </c>
      <c r="B95" t="s">
        <v>3561</v>
      </c>
      <c r="C95" s="5" t="s">
        <v>7994</v>
      </c>
      <c r="D95" s="1">
        <v>1</v>
      </c>
      <c r="E95" s="1">
        <v>15</v>
      </c>
      <c r="F95" s="1">
        <v>81</v>
      </c>
      <c r="G95" s="1">
        <v>81</v>
      </c>
      <c r="H95" s="8" cm="1">
        <f t="array" ref="H95">_xlfn.LET(_xlpm.s,IFERROR(--F95,""),_xlpm.e,IFERROR(--G95,""),IF(OR(_xlpm.s="",_xlpm.e="",_xlpm.e&lt;_xlpm.s),"",_xlfn.LET(_xlpm.p,_xlfn.SEQUENCE(_xlpm.e-_xlpm.s+1,1,_xlpm.s,1),SUM(1/COUNTIFS($D:$D,D95,$E:$E,E95,$F:$F,"&lt;&gt;N/A",$G:$G,"&lt;&gt;N/A",$F:$F,"&lt;="&amp;_xlpm.p,$G:$G,"&gt;="&amp;_xlpm.p)))))</f>
        <v>0.5</v>
      </c>
      <c r="I95" s="4" t="s">
        <v>782</v>
      </c>
      <c r="J95" t="s">
        <v>840</v>
      </c>
      <c r="K95" s="5" t="s">
        <v>2120</v>
      </c>
      <c r="L95" s="5" t="s">
        <v>7</v>
      </c>
      <c r="M95" s="5" t="s">
        <v>7</v>
      </c>
      <c r="N95" s="5" t="s">
        <v>7</v>
      </c>
      <c r="O95" s="4" t="s">
        <v>778</v>
      </c>
      <c r="P95" s="4" t="s">
        <v>7834</v>
      </c>
      <c r="R95" t="b">
        <v>1</v>
      </c>
    </row>
    <row r="96" spans="1:18">
      <c r="A96" t="s">
        <v>3009</v>
      </c>
      <c r="B96" t="s">
        <v>6979</v>
      </c>
      <c r="C96" s="5" t="s">
        <v>7994</v>
      </c>
      <c r="D96" s="1">
        <v>1</v>
      </c>
      <c r="E96" s="1">
        <v>15</v>
      </c>
      <c r="F96" s="1">
        <v>82</v>
      </c>
      <c r="G96" s="1">
        <v>83</v>
      </c>
      <c r="H96" s="8" cm="1">
        <f t="array" ref="H96">_xlfn.LET(_xlpm.s,IFERROR(--F96,""),_xlpm.e,IFERROR(--G96,""),IF(OR(_xlpm.s="",_xlpm.e="",_xlpm.e&lt;_xlpm.s),"",_xlfn.LET(_xlpm.p,_xlfn.SEQUENCE(_xlpm.e-_xlpm.s+1,1,_xlpm.s,1),SUM(1/COUNTIFS($D:$D,D96,$E:$E,E96,$F:$F,"&lt;&gt;N/A",$G:$G,"&lt;&gt;N/A",$F:$F,"&lt;="&amp;_xlpm.p,$G:$G,"&gt;="&amp;_xlpm.p)))))</f>
        <v>1.3333333333333333</v>
      </c>
      <c r="I96" s="4" t="s">
        <v>782</v>
      </c>
      <c r="J96" t="s">
        <v>841</v>
      </c>
      <c r="K96" s="5" t="s">
        <v>7</v>
      </c>
      <c r="L96" s="5" t="s">
        <v>2121</v>
      </c>
      <c r="M96" t="s">
        <v>5534</v>
      </c>
      <c r="N96" s="5" t="s">
        <v>8093</v>
      </c>
      <c r="O96" s="5" t="s">
        <v>11522</v>
      </c>
      <c r="P96" s="5" t="s">
        <v>8021</v>
      </c>
      <c r="R96" t="b">
        <v>1</v>
      </c>
    </row>
    <row r="97" spans="1:18">
      <c r="A97" t="s">
        <v>3009</v>
      </c>
      <c r="B97" t="s">
        <v>6980</v>
      </c>
      <c r="C97" s="5" t="s">
        <v>7994</v>
      </c>
      <c r="D97" s="1">
        <v>1</v>
      </c>
      <c r="E97" s="1">
        <v>15</v>
      </c>
      <c r="F97" s="1">
        <v>83</v>
      </c>
      <c r="G97" s="1">
        <v>83</v>
      </c>
      <c r="H97" s="8" cm="1">
        <f t="array" ref="H97">_xlfn.LET(_xlpm.s,IFERROR(--F97,""),_xlpm.e,IFERROR(--G97,""),IF(OR(_xlpm.s="",_xlpm.e="",_xlpm.e&lt;_xlpm.s),"",_xlfn.LET(_xlpm.p,_xlfn.SEQUENCE(_xlpm.e-_xlpm.s+1,1,_xlpm.s,1),SUM(1/COUNTIFS($D:$D,D97,$E:$E,E97,$F:$F,"&lt;&gt;N/A",$G:$G,"&lt;&gt;N/A",$F:$F,"&lt;="&amp;_xlpm.p,$G:$G,"&gt;="&amp;_xlpm.p)))))</f>
        <v>0.33333333333333331</v>
      </c>
      <c r="I97" s="4" t="s">
        <v>782</v>
      </c>
      <c r="J97" t="s">
        <v>842</v>
      </c>
      <c r="K97" s="5" t="s">
        <v>2122</v>
      </c>
      <c r="L97" s="5" t="s">
        <v>2123</v>
      </c>
      <c r="M97" t="s">
        <v>7244</v>
      </c>
      <c r="N97" s="5" t="s">
        <v>7245</v>
      </c>
      <c r="O97" s="5" t="s">
        <v>5072</v>
      </c>
      <c r="P97" s="5" t="s">
        <v>8034</v>
      </c>
      <c r="R97" t="b">
        <v>1</v>
      </c>
    </row>
    <row r="98" spans="1:18">
      <c r="A98" t="s">
        <v>3009</v>
      </c>
      <c r="B98" t="s">
        <v>7101</v>
      </c>
      <c r="C98" s="5" t="s">
        <v>7994</v>
      </c>
      <c r="D98" s="1">
        <v>1</v>
      </c>
      <c r="E98" s="1">
        <v>15</v>
      </c>
      <c r="F98" s="1">
        <v>83</v>
      </c>
      <c r="G98" s="1">
        <v>84</v>
      </c>
      <c r="H98" s="8" cm="1">
        <f t="array" ref="H98">_xlfn.LET(_xlpm.s,IFERROR(--F98,""),_xlpm.e,IFERROR(--G98,""),IF(OR(_xlpm.s="",_xlpm.e="",_xlpm.e&lt;_xlpm.s),"",_xlfn.LET(_xlpm.p,_xlfn.SEQUENCE(_xlpm.e-_xlpm.s+1,1,_xlpm.s,1),SUM(1/COUNTIFS($D:$D,D98,$E:$E,E98,$F:$F,"&lt;&gt;N/A",$G:$G,"&lt;&gt;N/A",$F:$F,"&lt;="&amp;_xlpm.p,$G:$G,"&gt;="&amp;_xlpm.p)))))</f>
        <v>0.83333333333333326</v>
      </c>
      <c r="I98" s="4" t="s">
        <v>782</v>
      </c>
      <c r="J98" t="s">
        <v>844</v>
      </c>
      <c r="K98" t="s">
        <v>843</v>
      </c>
      <c r="L98" s="5" t="s">
        <v>7</v>
      </c>
      <c r="M98" s="5" t="s">
        <v>7</v>
      </c>
      <c r="N98" s="5" t="s">
        <v>7</v>
      </c>
      <c r="O98" s="4" t="s">
        <v>778</v>
      </c>
      <c r="P98" s="4" t="s">
        <v>7834</v>
      </c>
      <c r="R98" t="b">
        <v>1</v>
      </c>
    </row>
    <row r="99" spans="1:18">
      <c r="A99" t="s">
        <v>3009</v>
      </c>
      <c r="B99" t="s">
        <v>10513</v>
      </c>
      <c r="C99" s="5" t="s">
        <v>7994</v>
      </c>
      <c r="D99" s="1">
        <v>1</v>
      </c>
      <c r="E99" s="1">
        <v>15</v>
      </c>
      <c r="F99" s="1">
        <v>84</v>
      </c>
      <c r="G99" s="1">
        <v>84</v>
      </c>
      <c r="H99" s="8" cm="1">
        <f t="array" ref="H99">_xlfn.LET(_xlpm.s,IFERROR(--F99,""),_xlpm.e,IFERROR(--G99,""),IF(OR(_xlpm.s="",_xlpm.e="",_xlpm.e&lt;_xlpm.s),"",_xlfn.LET(_xlpm.p,_xlfn.SEQUENCE(_xlpm.e-_xlpm.s+1,1,_xlpm.s,1),SUM(1/COUNTIFS($D:$D,D99,$E:$E,E99,$F:$F,"&lt;&gt;N/A",$G:$G,"&lt;&gt;N/A",$F:$F,"&lt;="&amp;_xlpm.p,$G:$G,"&gt;="&amp;_xlpm.p)))))</f>
        <v>0.5</v>
      </c>
      <c r="I99" s="4" t="s">
        <v>782</v>
      </c>
      <c r="J99" t="s">
        <v>845</v>
      </c>
      <c r="K99" s="5" t="s">
        <v>7</v>
      </c>
      <c r="L99" s="5" t="s">
        <v>2124</v>
      </c>
      <c r="M99" t="s">
        <v>5052</v>
      </c>
      <c r="N99" s="5" t="s">
        <v>11582</v>
      </c>
      <c r="O99" s="5" t="s">
        <v>5072</v>
      </c>
      <c r="P99" s="5" t="s">
        <v>8021</v>
      </c>
      <c r="R99" t="b">
        <v>1</v>
      </c>
    </row>
    <row r="100" spans="1:18">
      <c r="A100" t="s">
        <v>3009</v>
      </c>
      <c r="B100" t="s">
        <v>3562</v>
      </c>
      <c r="C100" s="5" t="s">
        <v>7938</v>
      </c>
      <c r="D100" s="1">
        <v>1</v>
      </c>
      <c r="E100" s="1">
        <v>16</v>
      </c>
      <c r="F100" s="1">
        <v>85</v>
      </c>
      <c r="G100" s="1">
        <v>85</v>
      </c>
      <c r="H100" s="8" cm="1">
        <f t="array" ref="H100">_xlfn.LET(_xlpm.s,IFERROR(--F100,""),_xlpm.e,IFERROR(--G100,""),IF(OR(_xlpm.s="",_xlpm.e="",_xlpm.e&lt;_xlpm.s),"",_xlfn.LET(_xlpm.p,_xlfn.SEQUENCE(_xlpm.e-_xlpm.s+1,1,_xlpm.s,1),SUM(1/COUNTIFS($D:$D,D100,$E:$E,E100,$F:$F,"&lt;&gt;N/A",$G:$G,"&lt;&gt;N/A",$F:$F,"&lt;="&amp;_xlpm.p,$G:$G,"&gt;="&amp;_xlpm.p)))))</f>
        <v>0.5</v>
      </c>
      <c r="I100" s="4" t="s">
        <v>774</v>
      </c>
      <c r="J100" t="s">
        <v>839</v>
      </c>
      <c r="K100" s="5" t="s">
        <v>11509</v>
      </c>
      <c r="L100" s="5" t="s">
        <v>7</v>
      </c>
      <c r="M100" s="5" t="s">
        <v>7</v>
      </c>
      <c r="N100" s="5" t="s">
        <v>7</v>
      </c>
      <c r="O100" s="4" t="s">
        <v>778</v>
      </c>
      <c r="P100" s="4" t="s">
        <v>7834</v>
      </c>
      <c r="R100" t="b">
        <v>0</v>
      </c>
    </row>
    <row r="101" spans="1:18">
      <c r="A101" t="s">
        <v>3009</v>
      </c>
      <c r="B101" t="s">
        <v>3563</v>
      </c>
      <c r="C101" s="5" t="s">
        <v>7938</v>
      </c>
      <c r="D101" s="1">
        <v>1</v>
      </c>
      <c r="E101" s="1">
        <v>16</v>
      </c>
      <c r="F101" s="1">
        <v>85</v>
      </c>
      <c r="G101" s="1">
        <v>86</v>
      </c>
      <c r="H101" s="8" cm="1">
        <f t="array" ref="H101">_xlfn.LET(_xlpm.s,IFERROR(--F101,""),_xlpm.e,IFERROR(--G101,""),IF(OR(_xlpm.s="",_xlpm.e="",_xlpm.e&lt;_xlpm.s),"",_xlfn.LET(_xlpm.p,_xlfn.SEQUENCE(_xlpm.e-_xlpm.s+1,1,_xlpm.s,1),SUM(1/COUNTIFS($D:$D,D101,$E:$E,E101,$F:$F,"&lt;&gt;N/A",$G:$G,"&lt;&gt;N/A",$F:$F,"&lt;="&amp;_xlpm.p,$G:$G,"&gt;="&amp;_xlpm.p)))))</f>
        <v>1</v>
      </c>
      <c r="I101" s="4" t="s">
        <v>774</v>
      </c>
      <c r="J101" t="s">
        <v>848</v>
      </c>
      <c r="K101" s="5" t="s">
        <v>11509</v>
      </c>
      <c r="L101" s="5" t="s">
        <v>7</v>
      </c>
      <c r="M101" s="5" t="s">
        <v>7</v>
      </c>
      <c r="N101" s="5" t="s">
        <v>7</v>
      </c>
      <c r="O101" s="4" t="s">
        <v>778</v>
      </c>
      <c r="P101" s="4" t="s">
        <v>7834</v>
      </c>
      <c r="R101" t="b">
        <v>1</v>
      </c>
    </row>
    <row r="102" spans="1:18">
      <c r="A102" t="s">
        <v>3009</v>
      </c>
      <c r="B102" t="s">
        <v>6981</v>
      </c>
      <c r="C102" s="5" t="s">
        <v>7938</v>
      </c>
      <c r="D102" s="1">
        <v>1</v>
      </c>
      <c r="E102" s="1">
        <v>16</v>
      </c>
      <c r="F102" s="1">
        <v>86</v>
      </c>
      <c r="G102" s="1">
        <v>87</v>
      </c>
      <c r="H102" s="8" cm="1">
        <f t="array" ref="H102">_xlfn.LET(_xlpm.s,IFERROR(--F102,""),_xlpm.e,IFERROR(--G102,""),IF(OR(_xlpm.s="",_xlpm.e="",_xlpm.e&lt;_xlpm.s),"",_xlfn.LET(_xlpm.p,_xlfn.SEQUENCE(_xlpm.e-_xlpm.s+1,1,_xlpm.s,1),SUM(1/COUNTIFS($D:$D,D102,$E:$E,E102,$F:$F,"&lt;&gt;N/A",$G:$G,"&lt;&gt;N/A",$F:$F,"&lt;="&amp;_xlpm.p,$G:$G,"&gt;="&amp;_xlpm.p)))))</f>
        <v>1</v>
      </c>
      <c r="I102" s="4" t="s">
        <v>782</v>
      </c>
      <c r="J102" t="s">
        <v>846</v>
      </c>
      <c r="K102" t="s">
        <v>847</v>
      </c>
      <c r="L102" s="5" t="s">
        <v>7</v>
      </c>
      <c r="M102" s="5" t="s">
        <v>7</v>
      </c>
      <c r="N102" s="5" t="s">
        <v>7</v>
      </c>
      <c r="O102" s="4" t="s">
        <v>778</v>
      </c>
      <c r="P102" s="4" t="s">
        <v>7834</v>
      </c>
      <c r="R102" t="b">
        <v>1</v>
      </c>
    </row>
    <row r="103" spans="1:18">
      <c r="A103" t="s">
        <v>3009</v>
      </c>
      <c r="B103" t="s">
        <v>6982</v>
      </c>
      <c r="C103" s="5" t="s">
        <v>7938</v>
      </c>
      <c r="D103" s="1">
        <v>1</v>
      </c>
      <c r="E103" s="1">
        <v>16</v>
      </c>
      <c r="F103" s="1">
        <v>87</v>
      </c>
      <c r="G103" s="1">
        <v>88</v>
      </c>
      <c r="H103" s="8" cm="1">
        <f t="array" ref="H103">_xlfn.LET(_xlpm.s,IFERROR(--F103,""),_xlpm.e,IFERROR(--G103,""),IF(OR(_xlpm.s="",_xlpm.e="",_xlpm.e&lt;_xlpm.s),"",_xlfn.LET(_xlpm.p,_xlfn.SEQUENCE(_xlpm.e-_xlpm.s+1,1,_xlpm.s,1),SUM(1/COUNTIFS($D:$D,D103,$E:$E,E103,$F:$F,"&lt;&gt;N/A",$G:$G,"&lt;&gt;N/A",$F:$F,"&lt;="&amp;_xlpm.p,$G:$G,"&gt;="&amp;_xlpm.p)))))</f>
        <v>0.83333333333333326</v>
      </c>
      <c r="I103" s="4" t="s">
        <v>782</v>
      </c>
      <c r="J103" t="s">
        <v>2296</v>
      </c>
      <c r="K103" s="5" t="s">
        <v>7</v>
      </c>
      <c r="L103" s="5" t="s">
        <v>2125</v>
      </c>
      <c r="M103" t="s">
        <v>5012</v>
      </c>
      <c r="N103" s="5" t="s">
        <v>2297</v>
      </c>
      <c r="O103" s="5" t="s">
        <v>5072</v>
      </c>
      <c r="P103" s="5" t="s">
        <v>8034</v>
      </c>
      <c r="R103" t="b">
        <v>1</v>
      </c>
    </row>
    <row r="104" spans="1:18">
      <c r="A104" t="s">
        <v>3009</v>
      </c>
      <c r="B104" t="s">
        <v>7102</v>
      </c>
      <c r="C104" s="5" t="s">
        <v>7938</v>
      </c>
      <c r="D104" s="1">
        <v>1</v>
      </c>
      <c r="E104" s="1">
        <v>16</v>
      </c>
      <c r="F104" s="1">
        <v>88</v>
      </c>
      <c r="G104" s="1">
        <v>88</v>
      </c>
      <c r="H104" s="8" cm="1">
        <f t="array" ref="H104">_xlfn.LET(_xlpm.s,IFERROR(--F104,""),_xlpm.e,IFERROR(--G104,""),IF(OR(_xlpm.s="",_xlpm.e="",_xlpm.e&lt;_xlpm.s),"",_xlfn.LET(_xlpm.p,_xlfn.SEQUENCE(_xlpm.e-_xlpm.s+1,1,_xlpm.s,1),SUM(1/COUNTIFS($D:$D,D104,$E:$E,E104,$F:$F,"&lt;&gt;N/A",$G:$G,"&lt;&gt;N/A",$F:$F,"&lt;="&amp;_xlpm.p,$G:$G,"&gt;="&amp;_xlpm.p)))))</f>
        <v>0.33333333333333331</v>
      </c>
      <c r="I104" s="4" t="s">
        <v>208</v>
      </c>
      <c r="J104" t="s">
        <v>2298</v>
      </c>
      <c r="K104" s="5" t="s">
        <v>7</v>
      </c>
      <c r="L104" s="5" t="s">
        <v>2126</v>
      </c>
      <c r="M104" t="s">
        <v>7185</v>
      </c>
      <c r="N104" s="5" t="s">
        <v>2299</v>
      </c>
      <c r="O104" s="5" t="s">
        <v>5072</v>
      </c>
      <c r="P104" s="5" t="s">
        <v>8021</v>
      </c>
      <c r="R104" t="b">
        <v>1</v>
      </c>
    </row>
    <row r="105" spans="1:18">
      <c r="A105" t="s">
        <v>3009</v>
      </c>
      <c r="B105" t="s">
        <v>10514</v>
      </c>
      <c r="C105" s="5" t="s">
        <v>7938</v>
      </c>
      <c r="D105" s="1">
        <v>1</v>
      </c>
      <c r="E105" s="1">
        <v>16</v>
      </c>
      <c r="F105" s="1">
        <v>88</v>
      </c>
      <c r="G105" s="1">
        <v>88</v>
      </c>
      <c r="H105" s="8" cm="1">
        <f t="array" ref="H105">_xlfn.LET(_xlpm.s,IFERROR(--F105,""),_xlpm.e,IFERROR(--G105,""),IF(OR(_xlpm.s="",_xlpm.e="",_xlpm.e&lt;_xlpm.s),"",_xlfn.LET(_xlpm.p,_xlfn.SEQUENCE(_xlpm.e-_xlpm.s+1,1,_xlpm.s,1),SUM(1/COUNTIFS($D:$D,D105,$E:$E,E105,$F:$F,"&lt;&gt;N/A",$G:$G,"&lt;&gt;N/A",$F:$F,"&lt;="&amp;_xlpm.p,$G:$G,"&gt;="&amp;_xlpm.p)))))</f>
        <v>0.33333333333333331</v>
      </c>
      <c r="I105" s="4" t="s">
        <v>208</v>
      </c>
      <c r="J105" t="s">
        <v>853</v>
      </c>
      <c r="K105" s="5" t="s">
        <v>7</v>
      </c>
      <c r="L105" s="5" t="s">
        <v>7</v>
      </c>
      <c r="M105" s="5" t="s">
        <v>7</v>
      </c>
      <c r="N105" s="5" t="s">
        <v>7</v>
      </c>
      <c r="O105" s="4" t="s">
        <v>778</v>
      </c>
      <c r="P105" s="4" t="s">
        <v>7834</v>
      </c>
      <c r="R105" t="b">
        <v>1</v>
      </c>
    </row>
    <row r="106" spans="1:18">
      <c r="A106" t="s">
        <v>3009</v>
      </c>
      <c r="B106" t="s">
        <v>3564</v>
      </c>
      <c r="C106" s="5" t="s">
        <v>7939</v>
      </c>
      <c r="D106" s="1">
        <v>1</v>
      </c>
      <c r="E106" s="1">
        <v>17</v>
      </c>
      <c r="F106" s="1">
        <v>89</v>
      </c>
      <c r="G106" s="1">
        <v>90</v>
      </c>
      <c r="H106" s="8" cm="1">
        <f t="array" ref="H106">_xlfn.LET(_xlpm.s,IFERROR(--F106,""),_xlpm.e,IFERROR(--G106,""),IF(OR(_xlpm.s="",_xlpm.e="",_xlpm.e&lt;_xlpm.s),"",_xlfn.LET(_xlpm.p,_xlfn.SEQUENCE(_xlpm.e-_xlpm.s+1,1,_xlpm.s,1),SUM(1/COUNTIFS($D:$D,D106,$E:$E,E106,$F:$F,"&lt;&gt;N/A",$G:$G,"&lt;&gt;N/A",$F:$F,"&lt;="&amp;_xlpm.p,$G:$G,"&gt;="&amp;_xlpm.p)))))</f>
        <v>1.5</v>
      </c>
      <c r="I106" s="4" t="s">
        <v>774</v>
      </c>
      <c r="J106" t="s">
        <v>848</v>
      </c>
      <c r="K106" s="5" t="s">
        <v>11509</v>
      </c>
      <c r="L106" s="5" t="s">
        <v>7</v>
      </c>
      <c r="M106" s="5" t="s">
        <v>7</v>
      </c>
      <c r="N106" s="5" t="s">
        <v>7</v>
      </c>
      <c r="O106" s="4" t="s">
        <v>778</v>
      </c>
      <c r="P106" s="4" t="s">
        <v>7834</v>
      </c>
      <c r="R106" t="b">
        <v>1</v>
      </c>
    </row>
    <row r="107" spans="1:18">
      <c r="A107" t="s">
        <v>3009</v>
      </c>
      <c r="B107" t="s">
        <v>3565</v>
      </c>
      <c r="C107" s="5" t="s">
        <v>7939</v>
      </c>
      <c r="D107" s="1">
        <v>1</v>
      </c>
      <c r="E107" s="1">
        <v>17</v>
      </c>
      <c r="F107" s="1">
        <v>90</v>
      </c>
      <c r="G107" s="1">
        <v>92</v>
      </c>
      <c r="H107" s="8" cm="1">
        <f t="array" ref="H107">_xlfn.LET(_xlpm.s,IFERROR(--F107,""),_xlpm.e,IFERROR(--G107,""),IF(OR(_xlpm.s="",_xlpm.e="",_xlpm.e&lt;_xlpm.s),"",_xlfn.LET(_xlpm.p,_xlfn.SEQUENCE(_xlpm.e-_xlpm.s+1,1,_xlpm.s,1),SUM(1/COUNTIFS($D:$D,D107,$E:$E,E107,$F:$F,"&lt;&gt;N/A",$G:$G,"&lt;&gt;N/A",$F:$F,"&lt;="&amp;_xlpm.p,$G:$G,"&gt;="&amp;_xlpm.p)))))</f>
        <v>1.7</v>
      </c>
      <c r="I107" s="4" t="s">
        <v>782</v>
      </c>
      <c r="J107" t="s">
        <v>849</v>
      </c>
      <c r="K107" s="5" t="s">
        <v>11509</v>
      </c>
      <c r="L107" s="5" t="s">
        <v>7</v>
      </c>
      <c r="M107" s="5" t="s">
        <v>7</v>
      </c>
      <c r="N107" s="5" t="s">
        <v>7</v>
      </c>
      <c r="O107" s="4" t="s">
        <v>778</v>
      </c>
      <c r="P107" s="4" t="s">
        <v>7834</v>
      </c>
      <c r="R107" t="b">
        <v>1</v>
      </c>
    </row>
    <row r="108" spans="1:18">
      <c r="A108" t="s">
        <v>3009</v>
      </c>
      <c r="B108" t="s">
        <v>6983</v>
      </c>
      <c r="C108" s="5" t="s">
        <v>7939</v>
      </c>
      <c r="D108" s="1">
        <v>1</v>
      </c>
      <c r="E108" s="1">
        <v>17</v>
      </c>
      <c r="F108" s="1">
        <v>92</v>
      </c>
      <c r="G108" s="1">
        <v>92</v>
      </c>
      <c r="H108" s="8" cm="1">
        <f t="array" ref="H108">_xlfn.LET(_xlpm.s,IFERROR(--F108,""),_xlpm.e,IFERROR(--G108,""),IF(OR(_xlpm.s="",_xlpm.e="",_xlpm.e&lt;_xlpm.s),"",_xlfn.LET(_xlpm.p,_xlfn.SEQUENCE(_xlpm.e-_xlpm.s+1,1,_xlpm.s,1),SUM(1/COUNTIFS($D:$D,D108,$E:$E,E108,$F:$F,"&lt;&gt;N/A",$G:$G,"&lt;&gt;N/A",$F:$F,"&lt;="&amp;_xlpm.p,$G:$G,"&gt;="&amp;_xlpm.p)))))</f>
        <v>0.2</v>
      </c>
      <c r="I108" s="4" t="s">
        <v>782</v>
      </c>
      <c r="J108" t="s">
        <v>850</v>
      </c>
      <c r="K108" s="5" t="s">
        <v>7</v>
      </c>
      <c r="L108" s="5" t="s">
        <v>2125</v>
      </c>
      <c r="M108" t="s">
        <v>5012</v>
      </c>
      <c r="N108" s="5" t="s">
        <v>2300</v>
      </c>
      <c r="O108" s="5" t="s">
        <v>5072</v>
      </c>
      <c r="P108" s="5" t="s">
        <v>8034</v>
      </c>
      <c r="R108" t="b">
        <v>1</v>
      </c>
    </row>
    <row r="109" spans="1:18">
      <c r="A109" t="s">
        <v>3009</v>
      </c>
      <c r="B109" t="s">
        <v>6984</v>
      </c>
      <c r="C109" s="5" t="s">
        <v>7939</v>
      </c>
      <c r="D109" s="1">
        <v>1</v>
      </c>
      <c r="E109" s="1">
        <v>17</v>
      </c>
      <c r="F109" s="1">
        <v>92</v>
      </c>
      <c r="G109" s="1">
        <v>92</v>
      </c>
      <c r="H109" s="8" cm="1">
        <f t="array" ref="H109">_xlfn.LET(_xlpm.s,IFERROR(--F109,""),_xlpm.e,IFERROR(--G109,""),IF(OR(_xlpm.s="",_xlpm.e="",_xlpm.e&lt;_xlpm.s),"",_xlfn.LET(_xlpm.p,_xlfn.SEQUENCE(_xlpm.e-_xlpm.s+1,1,_xlpm.s,1),SUM(1/COUNTIFS($D:$D,D109,$E:$E,E109,$F:$F,"&lt;&gt;N/A",$G:$G,"&lt;&gt;N/A",$F:$F,"&lt;="&amp;_xlpm.p,$G:$G,"&gt;="&amp;_xlpm.p)))))</f>
        <v>0.2</v>
      </c>
      <c r="I109" s="4" t="s">
        <v>782</v>
      </c>
      <c r="J109" t="s">
        <v>851</v>
      </c>
      <c r="K109" s="5" t="s">
        <v>7</v>
      </c>
      <c r="L109" s="5" t="s">
        <v>2127</v>
      </c>
      <c r="M109" t="s">
        <v>7181</v>
      </c>
      <c r="N109" s="5" t="s">
        <v>2301</v>
      </c>
      <c r="O109" s="5" t="s">
        <v>5072</v>
      </c>
      <c r="P109" s="5" t="s">
        <v>8021</v>
      </c>
      <c r="R109" t="b">
        <v>1</v>
      </c>
    </row>
    <row r="110" spans="1:18">
      <c r="A110" t="s">
        <v>3009</v>
      </c>
      <c r="B110" t="s">
        <v>7103</v>
      </c>
      <c r="C110" s="5" t="s">
        <v>7939</v>
      </c>
      <c r="D110" s="1">
        <v>1</v>
      </c>
      <c r="E110" s="1">
        <v>17</v>
      </c>
      <c r="F110" s="1">
        <v>92</v>
      </c>
      <c r="G110" s="1">
        <v>92</v>
      </c>
      <c r="H110" s="8" cm="1">
        <f t="array" ref="H110">_xlfn.LET(_xlpm.s,IFERROR(--F110,""),_xlpm.e,IFERROR(--G110,""),IF(OR(_xlpm.s="",_xlpm.e="",_xlpm.e&lt;_xlpm.s),"",_xlfn.LET(_xlpm.p,_xlfn.SEQUENCE(_xlpm.e-_xlpm.s+1,1,_xlpm.s,1),SUM(1/COUNTIFS($D:$D,D110,$E:$E,E110,$F:$F,"&lt;&gt;N/A",$G:$G,"&lt;&gt;N/A",$F:$F,"&lt;="&amp;_xlpm.p,$G:$G,"&gt;="&amp;_xlpm.p)))))</f>
        <v>0.2</v>
      </c>
      <c r="I110" s="4" t="s">
        <v>782</v>
      </c>
      <c r="J110" t="s">
        <v>852</v>
      </c>
      <c r="K110" s="5" t="s">
        <v>7</v>
      </c>
      <c r="L110" s="5" t="s">
        <v>2128</v>
      </c>
      <c r="M110" t="s">
        <v>5012</v>
      </c>
      <c r="N110" s="5" t="s">
        <v>2302</v>
      </c>
      <c r="O110" s="5" t="s">
        <v>5072</v>
      </c>
      <c r="P110" s="5" t="s">
        <v>8034</v>
      </c>
      <c r="R110" t="b">
        <v>1</v>
      </c>
    </row>
    <row r="111" spans="1:18">
      <c r="A111" t="s">
        <v>3009</v>
      </c>
      <c r="B111" t="s">
        <v>10515</v>
      </c>
      <c r="C111" s="5" t="s">
        <v>7939</v>
      </c>
      <c r="D111" s="1">
        <v>1</v>
      </c>
      <c r="E111" s="1">
        <v>17</v>
      </c>
      <c r="F111" s="1">
        <v>92</v>
      </c>
      <c r="G111" s="1">
        <v>92</v>
      </c>
      <c r="H111" s="8" cm="1">
        <f t="array" ref="H111">_xlfn.LET(_xlpm.s,IFERROR(--F111,""),_xlpm.e,IFERROR(--G111,""),IF(OR(_xlpm.s="",_xlpm.e="",_xlpm.e&lt;_xlpm.s),"",_xlfn.LET(_xlpm.p,_xlfn.SEQUENCE(_xlpm.e-_xlpm.s+1,1,_xlpm.s,1),SUM(1/COUNTIFS($D:$D,D111,$E:$E,E111,$F:$F,"&lt;&gt;N/A",$G:$G,"&lt;&gt;N/A",$F:$F,"&lt;="&amp;_xlpm.p,$G:$G,"&gt;="&amp;_xlpm.p)))))</f>
        <v>0.2</v>
      </c>
      <c r="I111" s="4" t="s">
        <v>782</v>
      </c>
      <c r="J111" s="4" t="s">
        <v>853</v>
      </c>
      <c r="K111" s="5" t="s">
        <v>7</v>
      </c>
      <c r="L111" s="5" t="s">
        <v>7</v>
      </c>
      <c r="M111" s="5" t="s">
        <v>7</v>
      </c>
      <c r="N111" s="5" t="s">
        <v>7</v>
      </c>
      <c r="O111" s="4" t="s">
        <v>778</v>
      </c>
      <c r="P111" s="4" t="s">
        <v>7834</v>
      </c>
      <c r="R111" t="b">
        <v>1</v>
      </c>
    </row>
    <row r="112" spans="1:18">
      <c r="A112" t="s">
        <v>3009</v>
      </c>
      <c r="B112" t="s">
        <v>3566</v>
      </c>
      <c r="C112" s="5" t="s">
        <v>7940</v>
      </c>
      <c r="D112" s="1">
        <v>1</v>
      </c>
      <c r="E112" s="1">
        <v>18</v>
      </c>
      <c r="F112" s="1">
        <v>93</v>
      </c>
      <c r="G112" s="1">
        <v>93</v>
      </c>
      <c r="H112" s="8" cm="1">
        <f t="array" ref="H112">_xlfn.LET(_xlpm.s,IFERROR(--F112,""),_xlpm.e,IFERROR(--G112,""),IF(OR(_xlpm.s="",_xlpm.e="",_xlpm.e&lt;_xlpm.s),"",_xlfn.LET(_xlpm.p,_xlfn.SEQUENCE(_xlpm.e-_xlpm.s+1,1,_xlpm.s,1),SUM(1/COUNTIFS($D:$D,D112,$E:$E,E112,$F:$F,"&lt;&gt;N/A",$G:$G,"&lt;&gt;N/A",$F:$F,"&lt;="&amp;_xlpm.p,$G:$G,"&gt;="&amp;_xlpm.p)))))</f>
        <v>0.5</v>
      </c>
      <c r="I112" s="4" t="s">
        <v>774</v>
      </c>
      <c r="J112" t="s">
        <v>848</v>
      </c>
      <c r="K112" s="5" t="s">
        <v>11509</v>
      </c>
      <c r="L112" s="5" t="s">
        <v>7</v>
      </c>
      <c r="M112" s="5" t="s">
        <v>7</v>
      </c>
      <c r="N112" s="5" t="s">
        <v>7</v>
      </c>
      <c r="O112" s="4" t="s">
        <v>778</v>
      </c>
      <c r="P112" s="4" t="s">
        <v>7834</v>
      </c>
      <c r="R112" t="b">
        <v>1</v>
      </c>
    </row>
    <row r="113" spans="1:18">
      <c r="A113" t="s">
        <v>3009</v>
      </c>
      <c r="B113" t="s">
        <v>3567</v>
      </c>
      <c r="C113" s="5" t="s">
        <v>7940</v>
      </c>
      <c r="D113" s="1">
        <v>1</v>
      </c>
      <c r="E113" s="1">
        <v>18</v>
      </c>
      <c r="F113" s="1">
        <v>93</v>
      </c>
      <c r="G113" s="1">
        <v>94</v>
      </c>
      <c r="H113" s="8" cm="1">
        <f t="array" ref="H113">_xlfn.LET(_xlpm.s,IFERROR(--F113,""),_xlpm.e,IFERROR(--G113,""),IF(OR(_xlpm.s="",_xlpm.e="",_xlpm.e&lt;_xlpm.s),"",_xlfn.LET(_xlpm.p,_xlfn.SEQUENCE(_xlpm.e-_xlpm.s+1,1,_xlpm.s,1),SUM(1/COUNTIFS($D:$D,D113,$E:$E,E113,$F:$F,"&lt;&gt;N/A",$G:$G,"&lt;&gt;N/A",$F:$F,"&lt;="&amp;_xlpm.p,$G:$G,"&gt;="&amp;_xlpm.p)))))</f>
        <v>0.83333333333333326</v>
      </c>
      <c r="I113" s="4" t="s">
        <v>782</v>
      </c>
      <c r="J113" t="s">
        <v>854</v>
      </c>
      <c r="K113" s="5" t="s">
        <v>855</v>
      </c>
      <c r="L113" s="5" t="s">
        <v>2126</v>
      </c>
      <c r="M113" t="s">
        <v>5536</v>
      </c>
      <c r="N113" s="5" t="s">
        <v>10426</v>
      </c>
      <c r="O113" s="5" t="s">
        <v>5072</v>
      </c>
      <c r="P113" s="5" t="s">
        <v>8021</v>
      </c>
      <c r="R113" t="b">
        <v>1</v>
      </c>
    </row>
    <row r="114" spans="1:18">
      <c r="A114" t="s">
        <v>3009</v>
      </c>
      <c r="B114" t="s">
        <v>3568</v>
      </c>
      <c r="C114" s="5" t="s">
        <v>7940</v>
      </c>
      <c r="D114" s="1">
        <v>1</v>
      </c>
      <c r="E114" s="1">
        <v>18</v>
      </c>
      <c r="F114" s="1">
        <v>94</v>
      </c>
      <c r="G114" s="1">
        <v>94</v>
      </c>
      <c r="H114" s="8" cm="1">
        <f t="array" ref="H114">_xlfn.LET(_xlpm.s,IFERROR(--F114,""),_xlpm.e,IFERROR(--G114,""),IF(OR(_xlpm.s="",_xlpm.e="",_xlpm.e&lt;_xlpm.s),"",_xlfn.LET(_xlpm.p,_xlfn.SEQUENCE(_xlpm.e-_xlpm.s+1,1,_xlpm.s,1),SUM(1/COUNTIFS($D:$D,D114,$E:$E,E114,$F:$F,"&lt;&gt;N/A",$G:$G,"&lt;&gt;N/A",$F:$F,"&lt;="&amp;_xlpm.p,$G:$G,"&gt;="&amp;_xlpm.p)))))</f>
        <v>0.33333333333333331</v>
      </c>
      <c r="I114" s="4" t="s">
        <v>782</v>
      </c>
      <c r="J114" t="s">
        <v>2081</v>
      </c>
      <c r="K114" s="5" t="s">
        <v>7</v>
      </c>
      <c r="L114" s="5" t="s">
        <v>2126</v>
      </c>
      <c r="M114" t="s">
        <v>5536</v>
      </c>
      <c r="N114" s="5" t="s">
        <v>10427</v>
      </c>
      <c r="O114" s="5" t="s">
        <v>5072</v>
      </c>
      <c r="P114" s="5" t="s">
        <v>8021</v>
      </c>
      <c r="R114" t="b">
        <v>1</v>
      </c>
    </row>
    <row r="115" spans="1:18">
      <c r="A115" t="s">
        <v>3009</v>
      </c>
      <c r="B115" t="s">
        <v>3569</v>
      </c>
      <c r="C115" s="5" t="s">
        <v>7940</v>
      </c>
      <c r="D115" s="1">
        <v>1</v>
      </c>
      <c r="E115" s="1">
        <v>18</v>
      </c>
      <c r="F115" s="1">
        <v>94</v>
      </c>
      <c r="G115" s="1">
        <v>94</v>
      </c>
      <c r="H115" s="8" cm="1">
        <f t="array" ref="H115">_xlfn.LET(_xlpm.s,IFERROR(--F115,""),_xlpm.e,IFERROR(--G115,""),IF(OR(_xlpm.s="",_xlpm.e="",_xlpm.e&lt;_xlpm.s),"",_xlfn.LET(_xlpm.p,_xlfn.SEQUENCE(_xlpm.e-_xlpm.s+1,1,_xlpm.s,1),SUM(1/COUNTIFS($D:$D,D115,$E:$E,E115,$F:$F,"&lt;&gt;N/A",$G:$G,"&lt;&gt;N/A",$F:$F,"&lt;="&amp;_xlpm.p,$G:$G,"&gt;="&amp;_xlpm.p)))))</f>
        <v>0.33333333333333331</v>
      </c>
      <c r="I115" s="4" t="s">
        <v>782</v>
      </c>
      <c r="J115" t="s">
        <v>856</v>
      </c>
      <c r="K115" s="5" t="s">
        <v>2129</v>
      </c>
      <c r="L115" s="5" t="s">
        <v>2130</v>
      </c>
      <c r="M115" t="s">
        <v>7176</v>
      </c>
      <c r="N115" s="5" t="s">
        <v>2304</v>
      </c>
      <c r="O115" s="5" t="s">
        <v>5072</v>
      </c>
      <c r="P115" s="5" t="s">
        <v>8021</v>
      </c>
      <c r="R115" t="b">
        <v>1</v>
      </c>
    </row>
    <row r="116" spans="1:18">
      <c r="A116" t="s">
        <v>3009</v>
      </c>
      <c r="B116" t="s">
        <v>6985</v>
      </c>
      <c r="C116" s="5" t="s">
        <v>7940</v>
      </c>
      <c r="D116" s="1">
        <v>1</v>
      </c>
      <c r="E116" s="1">
        <v>18</v>
      </c>
      <c r="F116" s="1">
        <v>95</v>
      </c>
      <c r="G116" s="1">
        <v>95</v>
      </c>
      <c r="H116" s="8" cm="1">
        <f t="array" ref="H116">_xlfn.LET(_xlpm.s,IFERROR(--F116,""),_xlpm.e,IFERROR(--G116,""),IF(OR(_xlpm.s="",_xlpm.e="",_xlpm.e&lt;_xlpm.s),"",_xlfn.LET(_xlpm.p,_xlfn.SEQUENCE(_xlpm.e-_xlpm.s+1,1,_xlpm.s,1),SUM(1/COUNTIFS($D:$D,D116,$E:$E,E116,$F:$F,"&lt;&gt;N/A",$G:$G,"&lt;&gt;N/A",$F:$F,"&lt;="&amp;_xlpm.p,$G:$G,"&gt;="&amp;_xlpm.p)))))</f>
        <v>0.5</v>
      </c>
      <c r="I116" s="4" t="s">
        <v>782</v>
      </c>
      <c r="J116" t="s">
        <v>857</v>
      </c>
      <c r="K116" s="5" t="s">
        <v>7</v>
      </c>
      <c r="L116" s="5" t="s">
        <v>2131</v>
      </c>
      <c r="M116" t="s">
        <v>6328</v>
      </c>
      <c r="N116" s="5" t="s">
        <v>7395</v>
      </c>
      <c r="O116" s="5" t="s">
        <v>5072</v>
      </c>
      <c r="P116" s="5" t="s">
        <v>8021</v>
      </c>
      <c r="R116" t="b">
        <v>1</v>
      </c>
    </row>
    <row r="117" spans="1:18">
      <c r="A117" t="s">
        <v>3009</v>
      </c>
      <c r="B117" t="s">
        <v>6986</v>
      </c>
      <c r="C117" s="5" t="s">
        <v>7940</v>
      </c>
      <c r="D117" s="1">
        <v>1</v>
      </c>
      <c r="E117" s="1">
        <v>18</v>
      </c>
      <c r="F117" s="1">
        <v>95</v>
      </c>
      <c r="G117" s="1">
        <v>96</v>
      </c>
      <c r="H117" s="8" cm="1">
        <f t="array" ref="H117">_xlfn.LET(_xlpm.s,IFERROR(--F117,""),_xlpm.e,IFERROR(--G117,""),IF(OR(_xlpm.s="",_xlpm.e="",_xlpm.e&lt;_xlpm.s),"",_xlfn.LET(_xlpm.p,_xlfn.SEQUENCE(_xlpm.e-_xlpm.s+1,1,_xlpm.s,1),SUM(1/COUNTIFS($D:$D,D117,$E:$E,E117,$F:$F,"&lt;&gt;N/A",$G:$G,"&lt;&gt;N/A",$F:$F,"&lt;="&amp;_xlpm.p,$G:$G,"&gt;="&amp;_xlpm.p)))))</f>
        <v>0.83333333333333326</v>
      </c>
      <c r="I117" s="4" t="s">
        <v>782</v>
      </c>
      <c r="J117" t="s">
        <v>858</v>
      </c>
      <c r="K117" s="5" t="s">
        <v>7</v>
      </c>
      <c r="L117" s="5" t="s">
        <v>2132</v>
      </c>
      <c r="M117" s="5" t="s">
        <v>7</v>
      </c>
      <c r="N117" s="5" t="s">
        <v>2303</v>
      </c>
      <c r="O117" s="5" t="s">
        <v>5072</v>
      </c>
      <c r="P117" s="5" t="s">
        <v>8021</v>
      </c>
      <c r="R117" t="b">
        <v>1</v>
      </c>
    </row>
    <row r="118" spans="1:18">
      <c r="A118" t="s">
        <v>3009</v>
      </c>
      <c r="B118" t="s">
        <v>7104</v>
      </c>
      <c r="C118" s="5" t="s">
        <v>7940</v>
      </c>
      <c r="D118" s="1">
        <v>1</v>
      </c>
      <c r="E118" s="1">
        <v>18</v>
      </c>
      <c r="F118" s="1">
        <v>96</v>
      </c>
      <c r="G118" s="1">
        <v>96</v>
      </c>
      <c r="H118" s="8" cm="1">
        <f t="array" ref="H118">_xlfn.LET(_xlpm.s,IFERROR(--F118,""),_xlpm.e,IFERROR(--G118,""),IF(OR(_xlpm.s="",_xlpm.e="",_xlpm.e&lt;_xlpm.s),"",_xlfn.LET(_xlpm.p,_xlfn.SEQUENCE(_xlpm.e-_xlpm.s+1,1,_xlpm.s,1),SUM(1/COUNTIFS($D:$D,D118,$E:$E,E118,$F:$F,"&lt;&gt;N/A",$G:$G,"&lt;&gt;N/A",$F:$F,"&lt;="&amp;_xlpm.p,$G:$G,"&gt;="&amp;_xlpm.p)))))</f>
        <v>0.33333333333333331</v>
      </c>
      <c r="I118" s="4" t="s">
        <v>782</v>
      </c>
      <c r="J118" t="s">
        <v>859</v>
      </c>
      <c r="K118" s="5" t="s">
        <v>7</v>
      </c>
      <c r="L118" s="5" t="s">
        <v>2133</v>
      </c>
      <c r="M118" t="s">
        <v>5024</v>
      </c>
      <c r="N118" s="5" t="s">
        <v>10480</v>
      </c>
      <c r="O118" s="5" t="s">
        <v>11522</v>
      </c>
      <c r="P118" s="5" t="s">
        <v>8021</v>
      </c>
      <c r="R118" t="b">
        <v>1</v>
      </c>
    </row>
    <row r="119" spans="1:18">
      <c r="A119" t="s">
        <v>3009</v>
      </c>
      <c r="B119" t="s">
        <v>10516</v>
      </c>
      <c r="C119" s="5" t="s">
        <v>7940</v>
      </c>
      <c r="D119" s="1">
        <v>1</v>
      </c>
      <c r="E119" s="1">
        <v>18</v>
      </c>
      <c r="F119" s="1">
        <v>96</v>
      </c>
      <c r="G119" s="1">
        <v>96</v>
      </c>
      <c r="H119" s="8" cm="1">
        <f t="array" ref="H119">_xlfn.LET(_xlpm.s,IFERROR(--F119,""),_xlpm.e,IFERROR(--G119,""),IF(OR(_xlpm.s="",_xlpm.e="",_xlpm.e&lt;_xlpm.s),"",_xlfn.LET(_xlpm.p,_xlfn.SEQUENCE(_xlpm.e-_xlpm.s+1,1,_xlpm.s,1),SUM(1/COUNTIFS($D:$D,D119,$E:$E,E119,$F:$F,"&lt;&gt;N/A",$G:$G,"&lt;&gt;N/A",$F:$F,"&lt;="&amp;_xlpm.p,$G:$G,"&gt;="&amp;_xlpm.p)))))</f>
        <v>0.33333333333333331</v>
      </c>
      <c r="I119" s="4" t="s">
        <v>7</v>
      </c>
      <c r="J119" t="s">
        <v>4476</v>
      </c>
      <c r="K119" s="5" t="s">
        <v>7</v>
      </c>
      <c r="L119" s="5" t="s">
        <v>7</v>
      </c>
      <c r="M119" s="5" t="s">
        <v>7</v>
      </c>
      <c r="N119" s="5" t="s">
        <v>7</v>
      </c>
      <c r="O119" s="4" t="s">
        <v>778</v>
      </c>
      <c r="P119" s="4" t="s">
        <v>7834</v>
      </c>
      <c r="R119" t="b">
        <v>0</v>
      </c>
    </row>
    <row r="120" spans="1:18">
      <c r="A120" t="s">
        <v>3009</v>
      </c>
      <c r="B120" t="s">
        <v>3570</v>
      </c>
      <c r="C120" s="5" t="s">
        <v>7992</v>
      </c>
      <c r="D120" s="1">
        <v>1</v>
      </c>
      <c r="E120" s="1">
        <v>19</v>
      </c>
      <c r="F120" s="1">
        <v>97</v>
      </c>
      <c r="G120" s="1">
        <v>97</v>
      </c>
      <c r="H120" s="8" cm="1">
        <f t="array" ref="H120">_xlfn.LET(_xlpm.s,IFERROR(--F120,""),_xlpm.e,IFERROR(--G120,""),IF(OR(_xlpm.s="",_xlpm.e="",_xlpm.e&lt;_xlpm.s),"",_xlfn.LET(_xlpm.p,_xlfn.SEQUENCE(_xlpm.e-_xlpm.s+1,1,_xlpm.s,1),SUM(1/COUNTIFS($D:$D,D120,$E:$E,E120,$F:$F,"&lt;&gt;N/A",$G:$G,"&lt;&gt;N/A",$F:$F,"&lt;="&amp;_xlpm.p,$G:$G,"&gt;="&amp;_xlpm.p)))))</f>
        <v>0.5</v>
      </c>
      <c r="I120" s="4" t="s">
        <v>774</v>
      </c>
      <c r="J120" t="s">
        <v>839</v>
      </c>
      <c r="K120" s="5" t="s">
        <v>11509</v>
      </c>
      <c r="L120" s="5" t="s">
        <v>7</v>
      </c>
      <c r="M120" s="5" t="s">
        <v>7</v>
      </c>
      <c r="N120" s="5" t="s">
        <v>7</v>
      </c>
      <c r="O120" s="4" t="s">
        <v>778</v>
      </c>
      <c r="P120" s="4" t="s">
        <v>7834</v>
      </c>
      <c r="R120" t="b">
        <v>0</v>
      </c>
    </row>
    <row r="121" spans="1:18">
      <c r="A121" t="s">
        <v>3009</v>
      </c>
      <c r="B121" t="s">
        <v>3571</v>
      </c>
      <c r="C121" s="5" t="s">
        <v>7992</v>
      </c>
      <c r="D121" s="1">
        <v>1</v>
      </c>
      <c r="E121" s="1">
        <v>19</v>
      </c>
      <c r="F121" s="1">
        <v>97</v>
      </c>
      <c r="G121" s="1">
        <v>98</v>
      </c>
      <c r="H121" s="8" cm="1">
        <f t="array" ref="H121">_xlfn.LET(_xlpm.s,IFERROR(--F121,""),_xlpm.e,IFERROR(--G121,""),IF(OR(_xlpm.s="",_xlpm.e="",_xlpm.e&lt;_xlpm.s),"",_xlfn.LET(_xlpm.p,_xlfn.SEQUENCE(_xlpm.e-_xlpm.s+1,1,_xlpm.s,1),SUM(1/COUNTIFS($D:$D,D121,$E:$E,E121,$F:$F,"&lt;&gt;N/A",$G:$G,"&lt;&gt;N/A",$F:$F,"&lt;="&amp;_xlpm.p,$G:$G,"&gt;="&amp;_xlpm.p)))))</f>
        <v>1.5</v>
      </c>
      <c r="I121" s="4" t="s">
        <v>774</v>
      </c>
      <c r="J121" t="s">
        <v>848</v>
      </c>
      <c r="K121" s="5" t="s">
        <v>11509</v>
      </c>
      <c r="L121" s="5" t="s">
        <v>7</v>
      </c>
      <c r="M121" s="5" t="s">
        <v>7</v>
      </c>
      <c r="N121" s="5" t="s">
        <v>7</v>
      </c>
      <c r="O121" s="4" t="s">
        <v>778</v>
      </c>
      <c r="P121" s="4" t="s">
        <v>7834</v>
      </c>
      <c r="R121" t="b">
        <v>1</v>
      </c>
    </row>
    <row r="122" spans="1:18">
      <c r="A122" t="s">
        <v>3009</v>
      </c>
      <c r="B122" t="s">
        <v>6987</v>
      </c>
      <c r="C122" s="5" t="s">
        <v>7992</v>
      </c>
      <c r="D122" s="1">
        <v>1</v>
      </c>
      <c r="E122" s="1">
        <v>19</v>
      </c>
      <c r="F122" s="1">
        <v>99</v>
      </c>
      <c r="G122" s="1">
        <v>100</v>
      </c>
      <c r="H122" s="8" cm="1">
        <f t="array" ref="H122">_xlfn.LET(_xlpm.s,IFERROR(--F122,""),_xlpm.e,IFERROR(--G122,""),IF(OR(_xlpm.s="",_xlpm.e="",_xlpm.e&lt;_xlpm.s),"",_xlfn.LET(_xlpm.p,_xlfn.SEQUENCE(_xlpm.e-_xlpm.s+1,1,_xlpm.s,1),SUM(1/COUNTIFS($D:$D,D122,$E:$E,E122,$F:$F,"&lt;&gt;N/A",$G:$G,"&lt;&gt;N/A",$F:$F,"&lt;="&amp;_xlpm.p,$G:$G,"&gt;="&amp;_xlpm.p)))))</f>
        <v>1.5</v>
      </c>
      <c r="I122" s="4" t="s">
        <v>782</v>
      </c>
      <c r="J122" t="s">
        <v>861</v>
      </c>
      <c r="K122" t="s">
        <v>860</v>
      </c>
      <c r="L122" s="5" t="s">
        <v>7</v>
      </c>
      <c r="M122" s="5" t="s">
        <v>7</v>
      </c>
      <c r="N122" s="5" t="s">
        <v>7</v>
      </c>
      <c r="O122" s="4" t="s">
        <v>778</v>
      </c>
      <c r="P122" s="4" t="s">
        <v>7834</v>
      </c>
      <c r="R122" t="b">
        <v>1</v>
      </c>
    </row>
    <row r="123" spans="1:18">
      <c r="A123" t="s">
        <v>3009</v>
      </c>
      <c r="B123" t="s">
        <v>6988</v>
      </c>
      <c r="C123" s="5" t="s">
        <v>7992</v>
      </c>
      <c r="D123" s="1">
        <v>1</v>
      </c>
      <c r="E123" s="1">
        <v>19</v>
      </c>
      <c r="F123" s="1">
        <v>100</v>
      </c>
      <c r="G123" s="1">
        <v>100</v>
      </c>
      <c r="H123" s="8" cm="1">
        <f t="array" ref="H123">_xlfn.LET(_xlpm.s,IFERROR(--F123,""),_xlpm.e,IFERROR(--G123,""),IF(OR(_xlpm.s="",_xlpm.e="",_xlpm.e&lt;_xlpm.s),"",_xlfn.LET(_xlpm.p,_xlfn.SEQUENCE(_xlpm.e-_xlpm.s+1,1,_xlpm.s,1),SUM(1/COUNTIFS($D:$D,D123,$E:$E,E123,$F:$F,"&lt;&gt;N/A",$G:$G,"&lt;&gt;N/A",$F:$F,"&lt;="&amp;_xlpm.p,$G:$G,"&gt;="&amp;_xlpm.p)))))</f>
        <v>0.5</v>
      </c>
      <c r="I123" s="4" t="s">
        <v>782</v>
      </c>
      <c r="J123" t="s">
        <v>862</v>
      </c>
      <c r="K123" t="s">
        <v>863</v>
      </c>
      <c r="L123" s="5" t="s">
        <v>2134</v>
      </c>
      <c r="M123" t="s">
        <v>7180</v>
      </c>
      <c r="N123" s="5" t="s">
        <v>7283</v>
      </c>
      <c r="O123" s="5" t="s">
        <v>5072</v>
      </c>
      <c r="P123" s="5" t="s">
        <v>8021</v>
      </c>
      <c r="R123" t="b">
        <v>1</v>
      </c>
    </row>
    <row r="124" spans="1:18">
      <c r="A124" t="s">
        <v>3009</v>
      </c>
      <c r="B124" t="s">
        <v>7105</v>
      </c>
      <c r="C124" s="5" t="s">
        <v>7992</v>
      </c>
      <c r="D124" s="1">
        <v>1</v>
      </c>
      <c r="E124" s="1">
        <v>19</v>
      </c>
      <c r="F124" s="1">
        <v>101</v>
      </c>
      <c r="G124" s="1">
        <v>104</v>
      </c>
      <c r="H124" s="8" cm="1">
        <f t="array" ref="H124">_xlfn.LET(_xlpm.s,IFERROR(--F124,""),_xlpm.e,IFERROR(--G124,""),IF(OR(_xlpm.s="",_xlpm.e="",_xlpm.e&lt;_xlpm.s),"",_xlfn.LET(_xlpm.p,_xlfn.SEQUENCE(_xlpm.e-_xlpm.s+1,1,_xlpm.s,1),SUM(1/COUNTIFS($D:$D,D124,$E:$E,E124,$F:$F,"&lt;&gt;N/A",$G:$G,"&lt;&gt;N/A",$F:$F,"&lt;="&amp;_xlpm.p,$G:$G,"&gt;="&amp;_xlpm.p)))))</f>
        <v>3.5</v>
      </c>
      <c r="I124" s="4" t="s">
        <v>782</v>
      </c>
      <c r="J124" t="s">
        <v>864</v>
      </c>
      <c r="K124" s="5" t="s">
        <v>865</v>
      </c>
      <c r="L124" s="5" t="s">
        <v>2135</v>
      </c>
      <c r="M124" s="5" t="s">
        <v>7</v>
      </c>
      <c r="N124" s="5" t="s">
        <v>2396</v>
      </c>
      <c r="O124" s="5" t="s">
        <v>5072</v>
      </c>
      <c r="P124" s="5" t="s">
        <v>8021</v>
      </c>
      <c r="Q124" s="5" t="s">
        <v>6759</v>
      </c>
      <c r="R124" t="b">
        <v>1</v>
      </c>
    </row>
    <row r="125" spans="1:18">
      <c r="A125" t="s">
        <v>3009</v>
      </c>
      <c r="B125" t="s">
        <v>10517</v>
      </c>
      <c r="C125" s="5" t="s">
        <v>7992</v>
      </c>
      <c r="D125" s="1">
        <v>1</v>
      </c>
      <c r="E125" s="1">
        <v>19</v>
      </c>
      <c r="F125" s="1">
        <v>104</v>
      </c>
      <c r="G125" s="1">
        <v>104</v>
      </c>
      <c r="H125" s="8" cm="1">
        <f t="array" ref="H125">_xlfn.LET(_xlpm.s,IFERROR(--F125,""),_xlpm.e,IFERROR(--G125,""),IF(OR(_xlpm.s="",_xlpm.e="",_xlpm.e&lt;_xlpm.s),"",_xlfn.LET(_xlpm.p,_xlfn.SEQUENCE(_xlpm.e-_xlpm.s+1,1,_xlpm.s,1),SUM(1/COUNTIFS($D:$D,D125,$E:$E,E125,$F:$F,"&lt;&gt;N/A",$G:$G,"&lt;&gt;N/A",$F:$F,"&lt;="&amp;_xlpm.p,$G:$G,"&gt;="&amp;_xlpm.p)))))</f>
        <v>0.5</v>
      </c>
      <c r="I125" s="4" t="s">
        <v>7</v>
      </c>
      <c r="J125" t="s">
        <v>4475</v>
      </c>
      <c r="K125" s="5" t="s">
        <v>7</v>
      </c>
      <c r="L125" s="5" t="s">
        <v>7</v>
      </c>
      <c r="M125" s="5" t="s">
        <v>7</v>
      </c>
      <c r="N125" s="5" t="s">
        <v>7</v>
      </c>
      <c r="O125" s="4" t="s">
        <v>778</v>
      </c>
      <c r="P125" s="4" t="s">
        <v>7834</v>
      </c>
      <c r="R125" t="b">
        <v>1</v>
      </c>
    </row>
    <row r="126" spans="1:18">
      <c r="A126" t="s">
        <v>3009</v>
      </c>
      <c r="B126" t="s">
        <v>7106</v>
      </c>
      <c r="C126" s="5" t="s">
        <v>7946</v>
      </c>
      <c r="D126" s="1">
        <v>1</v>
      </c>
      <c r="E126" s="1">
        <v>20</v>
      </c>
      <c r="F126" s="1">
        <v>105</v>
      </c>
      <c r="G126" s="1">
        <v>106</v>
      </c>
      <c r="H126" s="8" cm="1">
        <f t="array" ref="H126">_xlfn.LET(_xlpm.s,IFERROR(--F126,""),_xlpm.e,IFERROR(--G126,""),IF(OR(_xlpm.s="",_xlpm.e="",_xlpm.e&lt;_xlpm.s),"",_xlfn.LET(_xlpm.p,_xlfn.SEQUENCE(_xlpm.e-_xlpm.s+1,1,_xlpm.s,1),SUM(1/COUNTIFS($D:$D,D126,$E:$E,E126,$F:$F,"&lt;&gt;N/A",$G:$G,"&lt;&gt;N/A",$F:$F,"&lt;="&amp;_xlpm.p,$G:$G,"&gt;="&amp;_xlpm.p)))))</f>
        <v>2</v>
      </c>
      <c r="I126" s="4" t="s">
        <v>774</v>
      </c>
      <c r="J126" t="s">
        <v>866</v>
      </c>
      <c r="K126" s="5" t="s">
        <v>11509</v>
      </c>
      <c r="L126" s="5" t="s">
        <v>7</v>
      </c>
      <c r="M126" s="5" t="s">
        <v>7</v>
      </c>
      <c r="N126" s="5" t="s">
        <v>7</v>
      </c>
      <c r="O126" s="4" t="s">
        <v>778</v>
      </c>
      <c r="P126" s="4" t="s">
        <v>7834</v>
      </c>
      <c r="R126" t="b">
        <v>1</v>
      </c>
    </row>
    <row r="127" spans="1:18">
      <c r="A127" t="s">
        <v>3009</v>
      </c>
      <c r="B127" t="s">
        <v>10518</v>
      </c>
      <c r="C127" s="5" t="s">
        <v>7946</v>
      </c>
      <c r="D127" s="1">
        <v>1</v>
      </c>
      <c r="E127" s="1">
        <v>20</v>
      </c>
      <c r="F127" s="1">
        <v>107</v>
      </c>
      <c r="G127" s="1">
        <v>112</v>
      </c>
      <c r="H127" s="8" cm="1">
        <f t="array" ref="H127">_xlfn.LET(_xlpm.s,IFERROR(--F127,""),_xlpm.e,IFERROR(--G127,""),IF(OR(_xlpm.s="",_xlpm.e="",_xlpm.e&lt;_xlpm.s),"",_xlfn.LET(_xlpm.p,_xlfn.SEQUENCE(_xlpm.e-_xlpm.s+1,1,_xlpm.s,1),SUM(1/COUNTIFS($D:$D,D127,$E:$E,E127,$F:$F,"&lt;&gt;N/A",$G:$G,"&lt;&gt;N/A",$F:$F,"&lt;="&amp;_xlpm.p,$G:$G,"&gt;="&amp;_xlpm.p)))))</f>
        <v>6</v>
      </c>
      <c r="I127" s="4" t="s">
        <v>782</v>
      </c>
      <c r="J127" t="s">
        <v>867</v>
      </c>
      <c r="K127" t="s">
        <v>847</v>
      </c>
      <c r="L127" s="5" t="s">
        <v>7</v>
      </c>
      <c r="M127" s="5" t="s">
        <v>7</v>
      </c>
      <c r="N127" s="5" t="s">
        <v>7</v>
      </c>
      <c r="O127" s="4" t="s">
        <v>778</v>
      </c>
      <c r="P127" s="4" t="s">
        <v>7834</v>
      </c>
      <c r="R127" t="b">
        <v>1</v>
      </c>
    </row>
    <row r="128" spans="1:18">
      <c r="A128" t="s">
        <v>3009</v>
      </c>
      <c r="B128" t="s">
        <v>3572</v>
      </c>
      <c r="C128" s="5" t="s">
        <v>7947</v>
      </c>
      <c r="D128" s="1">
        <v>1</v>
      </c>
      <c r="E128" s="1">
        <v>21</v>
      </c>
      <c r="F128" s="1">
        <v>113</v>
      </c>
      <c r="G128" s="1">
        <v>113</v>
      </c>
      <c r="H128" s="8" cm="1">
        <f t="array" ref="H128">_xlfn.LET(_xlpm.s,IFERROR(--F128,""),_xlpm.e,IFERROR(--G128,""),IF(OR(_xlpm.s="",_xlpm.e="",_xlpm.e&lt;_xlpm.s),"",_xlfn.LET(_xlpm.p,_xlfn.SEQUENCE(_xlpm.e-_xlpm.s+1,1,_xlpm.s,1),SUM(1/COUNTIFS($D:$D,D128,$E:$E,E128,$F:$F,"&lt;&gt;N/A",$G:$G,"&lt;&gt;N/A",$F:$F,"&lt;="&amp;_xlpm.p,$G:$G,"&gt;="&amp;_xlpm.p)))))</f>
        <v>1</v>
      </c>
      <c r="I128" s="4" t="s">
        <v>774</v>
      </c>
      <c r="J128" t="s">
        <v>839</v>
      </c>
      <c r="K128" s="5" t="s">
        <v>11509</v>
      </c>
      <c r="L128" s="5" t="s">
        <v>7</v>
      </c>
      <c r="M128" s="5" t="s">
        <v>7</v>
      </c>
      <c r="N128" s="5" t="s">
        <v>7</v>
      </c>
      <c r="O128" s="4" t="s">
        <v>778</v>
      </c>
      <c r="P128" s="4" t="s">
        <v>7834</v>
      </c>
      <c r="R128" t="b">
        <v>0</v>
      </c>
    </row>
    <row r="129" spans="1:18">
      <c r="A129" t="s">
        <v>3009</v>
      </c>
      <c r="B129" t="s">
        <v>3573</v>
      </c>
      <c r="C129" s="5" t="s">
        <v>7947</v>
      </c>
      <c r="D129" s="1">
        <v>1</v>
      </c>
      <c r="E129" s="1">
        <v>21</v>
      </c>
      <c r="F129" s="1">
        <v>114</v>
      </c>
      <c r="G129" s="1">
        <v>115</v>
      </c>
      <c r="H129" s="8" cm="1">
        <f t="array" ref="H129">_xlfn.LET(_xlpm.s,IFERROR(--F129,""),_xlpm.e,IFERROR(--G129,""),IF(OR(_xlpm.s="",_xlpm.e="",_xlpm.e&lt;_xlpm.s),"",_xlfn.LET(_xlpm.p,_xlfn.SEQUENCE(_xlpm.e-_xlpm.s+1,1,_xlpm.s,1),SUM(1/COUNTIFS($D:$D,D129,$E:$E,E129,$F:$F,"&lt;&gt;N/A",$G:$G,"&lt;&gt;N/A",$F:$F,"&lt;="&amp;_xlpm.p,$G:$G,"&gt;="&amp;_xlpm.p)))))</f>
        <v>1.1666666666666667</v>
      </c>
      <c r="I129" s="4" t="s">
        <v>782</v>
      </c>
      <c r="J129" t="s">
        <v>868</v>
      </c>
      <c r="K129" s="5" t="s">
        <v>2136</v>
      </c>
      <c r="L129" s="5" t="s">
        <v>2137</v>
      </c>
      <c r="M129" t="s">
        <v>7179</v>
      </c>
      <c r="N129" s="5" t="s">
        <v>2305</v>
      </c>
      <c r="O129" s="4" t="s">
        <v>5072</v>
      </c>
      <c r="P129" s="5" t="s">
        <v>8092</v>
      </c>
      <c r="R129" t="b">
        <v>1</v>
      </c>
    </row>
    <row r="130" spans="1:18">
      <c r="A130" t="s">
        <v>3009</v>
      </c>
      <c r="B130" t="s">
        <v>3574</v>
      </c>
      <c r="C130" s="5" t="s">
        <v>7947</v>
      </c>
      <c r="D130" s="1">
        <v>1</v>
      </c>
      <c r="E130" s="1">
        <v>21</v>
      </c>
      <c r="F130" s="1">
        <v>115</v>
      </c>
      <c r="G130" s="1">
        <v>115</v>
      </c>
      <c r="H130" s="8" cm="1">
        <f t="array" ref="H130">_xlfn.LET(_xlpm.s,IFERROR(--F130,""),_xlpm.e,IFERROR(--G130,""),IF(OR(_xlpm.s="",_xlpm.e="",_xlpm.e&lt;_xlpm.s),"",_xlfn.LET(_xlpm.p,_xlfn.SEQUENCE(_xlpm.e-_xlpm.s+1,1,_xlpm.s,1),SUM(1/COUNTIFS($D:$D,D130,$E:$E,E130,$F:$F,"&lt;&gt;N/A",$G:$G,"&lt;&gt;N/A",$F:$F,"&lt;="&amp;_xlpm.p,$G:$G,"&gt;="&amp;_xlpm.p)))))</f>
        <v>0.16666666666666666</v>
      </c>
      <c r="I130" s="4" t="s">
        <v>782</v>
      </c>
      <c r="J130" t="s">
        <v>8100</v>
      </c>
      <c r="K130" s="5" t="s">
        <v>7</v>
      </c>
      <c r="L130" s="5" t="s">
        <v>8099</v>
      </c>
      <c r="M130" t="s">
        <v>5012</v>
      </c>
      <c r="N130" s="5" t="s">
        <v>2309</v>
      </c>
      <c r="O130" s="4" t="s">
        <v>5072</v>
      </c>
      <c r="P130" s="4" t="s">
        <v>8034</v>
      </c>
      <c r="R130" t="b">
        <v>1</v>
      </c>
    </row>
    <row r="131" spans="1:18">
      <c r="A131" t="s">
        <v>3009</v>
      </c>
      <c r="B131" t="s">
        <v>3575</v>
      </c>
      <c r="C131" s="5" t="s">
        <v>7947</v>
      </c>
      <c r="D131" s="1">
        <v>1</v>
      </c>
      <c r="E131" s="1">
        <v>21</v>
      </c>
      <c r="F131" s="1">
        <v>115</v>
      </c>
      <c r="G131" s="1">
        <v>115</v>
      </c>
      <c r="H131" s="8" cm="1">
        <f t="array" ref="H131">_xlfn.LET(_xlpm.s,IFERROR(--F131,""),_xlpm.e,IFERROR(--G131,""),IF(OR(_xlpm.s="",_xlpm.e="",_xlpm.e&lt;_xlpm.s),"",_xlfn.LET(_xlpm.p,_xlfn.SEQUENCE(_xlpm.e-_xlpm.s+1,1,_xlpm.s,1),SUM(1/COUNTIFS($D:$D,D131,$E:$E,E131,$F:$F,"&lt;&gt;N/A",$G:$G,"&lt;&gt;N/A",$F:$F,"&lt;="&amp;_xlpm.p,$G:$G,"&gt;="&amp;_xlpm.p)))))</f>
        <v>0.16666666666666666</v>
      </c>
      <c r="I131" s="4" t="s">
        <v>782</v>
      </c>
      <c r="J131" t="s">
        <v>8098</v>
      </c>
      <c r="K131" s="5" t="s">
        <v>7</v>
      </c>
      <c r="L131" s="5" t="s">
        <v>8097</v>
      </c>
      <c r="M131" t="s">
        <v>5012</v>
      </c>
      <c r="N131" s="5" t="s">
        <v>2308</v>
      </c>
      <c r="O131" s="5" t="s">
        <v>5072</v>
      </c>
      <c r="P131" s="5" t="s">
        <v>8034</v>
      </c>
      <c r="R131" t="b">
        <v>1</v>
      </c>
    </row>
    <row r="132" spans="1:18">
      <c r="A132" t="s">
        <v>3009</v>
      </c>
      <c r="B132" t="s">
        <v>6989</v>
      </c>
      <c r="C132" s="5" t="s">
        <v>7947</v>
      </c>
      <c r="D132" s="1">
        <v>1</v>
      </c>
      <c r="E132" s="1">
        <v>21</v>
      </c>
      <c r="F132" s="1">
        <v>115</v>
      </c>
      <c r="G132" s="1">
        <v>115</v>
      </c>
      <c r="H132" s="8" cm="1">
        <f t="array" ref="H132">_xlfn.LET(_xlpm.s,IFERROR(--F132,""),_xlpm.e,IFERROR(--G132,""),IF(OR(_xlpm.s="",_xlpm.e="",_xlpm.e&lt;_xlpm.s),"",_xlfn.LET(_xlpm.p,_xlfn.SEQUENCE(_xlpm.e-_xlpm.s+1,1,_xlpm.s,1),SUM(1/COUNTIFS($D:$D,D132,$E:$E,E132,$F:$F,"&lt;&gt;N/A",$G:$G,"&lt;&gt;N/A",$F:$F,"&lt;="&amp;_xlpm.p,$G:$G,"&gt;="&amp;_xlpm.p)))))</f>
        <v>0.16666666666666666</v>
      </c>
      <c r="I132" s="4" t="s">
        <v>782</v>
      </c>
      <c r="J132" t="s">
        <v>8096</v>
      </c>
      <c r="K132" s="5" t="s">
        <v>7</v>
      </c>
      <c r="L132" s="5" t="s">
        <v>2138</v>
      </c>
      <c r="M132" t="s">
        <v>5012</v>
      </c>
      <c r="N132" s="5" t="s">
        <v>2306</v>
      </c>
      <c r="O132" s="5" t="s">
        <v>5072</v>
      </c>
      <c r="P132" s="5" t="s">
        <v>8034</v>
      </c>
      <c r="R132" t="b">
        <v>1</v>
      </c>
    </row>
    <row r="133" spans="1:18">
      <c r="A133" t="s">
        <v>3009</v>
      </c>
      <c r="B133" t="s">
        <v>6990</v>
      </c>
      <c r="C133" s="5" t="s">
        <v>7947</v>
      </c>
      <c r="D133" s="1">
        <v>1</v>
      </c>
      <c r="E133" s="1">
        <v>21</v>
      </c>
      <c r="F133" s="1">
        <v>115</v>
      </c>
      <c r="G133" s="1">
        <v>115</v>
      </c>
      <c r="H133" s="8" cm="1">
        <f t="array" ref="H133">_xlfn.LET(_xlpm.s,IFERROR(--F133,""),_xlpm.e,IFERROR(--G133,""),IF(OR(_xlpm.s="",_xlpm.e="",_xlpm.e&lt;_xlpm.s),"",_xlfn.LET(_xlpm.p,_xlfn.SEQUENCE(_xlpm.e-_xlpm.s+1,1,_xlpm.s,1),SUM(1/COUNTIFS($D:$D,D133,$E:$E,E133,$F:$F,"&lt;&gt;N/A",$G:$G,"&lt;&gt;N/A",$F:$F,"&lt;="&amp;_xlpm.p,$G:$G,"&gt;="&amp;_xlpm.p)))))</f>
        <v>0.16666666666666666</v>
      </c>
      <c r="I133" s="4" t="s">
        <v>782</v>
      </c>
      <c r="J133" t="s">
        <v>8095</v>
      </c>
      <c r="K133" s="5" t="s">
        <v>7</v>
      </c>
      <c r="L133" s="5" t="s">
        <v>8094</v>
      </c>
      <c r="M133" t="s">
        <v>5012</v>
      </c>
      <c r="N133" s="5" t="s">
        <v>2307</v>
      </c>
      <c r="O133" s="5" t="s">
        <v>5072</v>
      </c>
      <c r="P133" s="5" t="s">
        <v>8034</v>
      </c>
      <c r="R133" t="b">
        <v>1</v>
      </c>
    </row>
    <row r="134" spans="1:18">
      <c r="A134" t="s">
        <v>3009</v>
      </c>
      <c r="B134" t="s">
        <v>7107</v>
      </c>
      <c r="C134" s="5" t="s">
        <v>7947</v>
      </c>
      <c r="D134" s="1">
        <v>1</v>
      </c>
      <c r="E134" s="1">
        <v>21</v>
      </c>
      <c r="F134" s="1">
        <v>115</v>
      </c>
      <c r="G134" s="1">
        <v>116</v>
      </c>
      <c r="H134" s="8" cm="1">
        <f t="array" ref="H134">_xlfn.LET(_xlpm.s,IFERROR(--F134,""),_xlpm.e,IFERROR(--G134,""),IF(OR(_xlpm.s="",_xlpm.e="",_xlpm.e&lt;_xlpm.s),"",_xlfn.LET(_xlpm.p,_xlfn.SEQUENCE(_xlpm.e-_xlpm.s+1,1,_xlpm.s,1),SUM(1/COUNTIFS($D:$D,D134,$E:$E,E134,$F:$F,"&lt;&gt;N/A",$G:$G,"&lt;&gt;N/A",$F:$F,"&lt;="&amp;_xlpm.p,$G:$G,"&gt;="&amp;_xlpm.p)))))</f>
        <v>0.66666666666666663</v>
      </c>
      <c r="I134" s="4" t="s">
        <v>782</v>
      </c>
      <c r="J134" t="s">
        <v>869</v>
      </c>
      <c r="K134" t="s">
        <v>847</v>
      </c>
      <c r="L134" s="5" t="s">
        <v>7</v>
      </c>
      <c r="M134" s="5" t="s">
        <v>7</v>
      </c>
      <c r="N134" s="5" t="s">
        <v>7</v>
      </c>
      <c r="O134" s="4" t="s">
        <v>778</v>
      </c>
      <c r="P134" s="4" t="s">
        <v>7834</v>
      </c>
      <c r="R134" t="b">
        <v>1</v>
      </c>
    </row>
    <row r="135" spans="1:18">
      <c r="A135" t="s">
        <v>3009</v>
      </c>
      <c r="B135" t="s">
        <v>10519</v>
      </c>
      <c r="C135" s="5" t="s">
        <v>7947</v>
      </c>
      <c r="D135" s="1">
        <v>1</v>
      </c>
      <c r="E135" s="1">
        <v>21</v>
      </c>
      <c r="F135" s="1">
        <v>116</v>
      </c>
      <c r="G135" s="1">
        <v>116</v>
      </c>
      <c r="H135" s="8" cm="1">
        <f t="array" ref="H135">_xlfn.LET(_xlpm.s,IFERROR(--F135,""),_xlpm.e,IFERROR(--G135,""),IF(OR(_xlpm.s="",_xlpm.e="",_xlpm.e&lt;_xlpm.s),"",_xlfn.LET(_xlpm.p,_xlfn.SEQUENCE(_xlpm.e-_xlpm.s+1,1,_xlpm.s,1),SUM(1/COUNTIFS($D:$D,D135,$E:$E,E135,$F:$F,"&lt;&gt;N/A",$G:$G,"&lt;&gt;N/A",$F:$F,"&lt;="&amp;_xlpm.p,$G:$G,"&gt;="&amp;_xlpm.p)))))</f>
        <v>0.5</v>
      </c>
      <c r="I135" s="4" t="s">
        <v>782</v>
      </c>
      <c r="J135" t="s">
        <v>4475</v>
      </c>
      <c r="K135" s="5" t="s">
        <v>7</v>
      </c>
      <c r="L135" s="5" t="s">
        <v>7</v>
      </c>
      <c r="M135" s="5" t="s">
        <v>7</v>
      </c>
      <c r="N135" s="5" t="s">
        <v>7</v>
      </c>
      <c r="O135" s="4" t="s">
        <v>778</v>
      </c>
      <c r="P135" s="4" t="s">
        <v>7834</v>
      </c>
      <c r="R135" t="b">
        <v>1</v>
      </c>
    </row>
    <row r="136" spans="1:18">
      <c r="A136" t="s">
        <v>3009</v>
      </c>
      <c r="B136" t="s">
        <v>3576</v>
      </c>
      <c r="C136" s="5" t="s">
        <v>7948</v>
      </c>
      <c r="D136" s="1">
        <v>1</v>
      </c>
      <c r="E136" s="1">
        <v>22</v>
      </c>
      <c r="F136" s="1">
        <v>117</v>
      </c>
      <c r="G136" s="1">
        <v>118</v>
      </c>
      <c r="H136" s="8" cm="1">
        <f t="array" ref="H136">_xlfn.LET(_xlpm.s,IFERROR(--F136,""),_xlpm.e,IFERROR(--G136,""),IF(OR(_xlpm.s="",_xlpm.e="",_xlpm.e&lt;_xlpm.s),"",_xlfn.LET(_xlpm.p,_xlfn.SEQUENCE(_xlpm.e-_xlpm.s+1,1,_xlpm.s,1),SUM(1/COUNTIFS($D:$D,D136,$E:$E,E136,$F:$F,"&lt;&gt;N/A",$G:$G,"&lt;&gt;N/A",$F:$F,"&lt;="&amp;_xlpm.p,$G:$G,"&gt;="&amp;_xlpm.p)))))</f>
        <v>1.5</v>
      </c>
      <c r="I136" s="4" t="s">
        <v>774</v>
      </c>
      <c r="J136" t="s">
        <v>839</v>
      </c>
      <c r="K136" s="5" t="s">
        <v>11509</v>
      </c>
      <c r="L136" s="5" t="s">
        <v>7</v>
      </c>
      <c r="M136" s="5" t="s">
        <v>7</v>
      </c>
      <c r="N136" s="5" t="s">
        <v>7</v>
      </c>
      <c r="O136" s="4" t="s">
        <v>778</v>
      </c>
      <c r="P136" s="4" t="s">
        <v>7834</v>
      </c>
      <c r="R136" t="b">
        <v>0</v>
      </c>
    </row>
    <row r="137" spans="1:18">
      <c r="A137" t="s">
        <v>3009</v>
      </c>
      <c r="B137" t="s">
        <v>6991</v>
      </c>
      <c r="C137" s="5" t="s">
        <v>7948</v>
      </c>
      <c r="D137" s="1">
        <v>1</v>
      </c>
      <c r="E137" s="1">
        <v>22</v>
      </c>
      <c r="F137" s="1">
        <v>118</v>
      </c>
      <c r="G137" s="1">
        <v>119</v>
      </c>
      <c r="H137" s="8" cm="1">
        <f t="array" ref="H137">_xlfn.LET(_xlpm.s,IFERROR(--F137,""),_xlpm.e,IFERROR(--G137,""),IF(OR(_xlpm.s="",_xlpm.e="",_xlpm.e&lt;_xlpm.s),"",_xlfn.LET(_xlpm.p,_xlfn.SEQUENCE(_xlpm.e-_xlpm.s+1,1,_xlpm.s,1),SUM(1/COUNTIFS($D:$D,D137,$E:$E,E137,$F:$F,"&lt;&gt;N/A",$G:$G,"&lt;&gt;N/A",$F:$F,"&lt;="&amp;_xlpm.p,$G:$G,"&gt;="&amp;_xlpm.p)))))</f>
        <v>1.5</v>
      </c>
      <c r="I137" s="4" t="s">
        <v>782</v>
      </c>
      <c r="J137" t="s">
        <v>870</v>
      </c>
      <c r="K137" s="5" t="s">
        <v>2139</v>
      </c>
      <c r="L137" s="5" t="s">
        <v>7</v>
      </c>
      <c r="M137" t="s">
        <v>5029</v>
      </c>
      <c r="N137" s="5" t="s">
        <v>7394</v>
      </c>
      <c r="O137" s="4" t="s">
        <v>5072</v>
      </c>
      <c r="P137" s="4" t="s">
        <v>8021</v>
      </c>
      <c r="R137" t="b">
        <v>1</v>
      </c>
    </row>
    <row r="138" spans="1:18">
      <c r="A138" t="s">
        <v>3009</v>
      </c>
      <c r="B138" t="s">
        <v>6992</v>
      </c>
      <c r="C138" s="5" t="s">
        <v>7948</v>
      </c>
      <c r="D138" s="1">
        <v>1</v>
      </c>
      <c r="E138" s="1">
        <v>22</v>
      </c>
      <c r="F138" s="1">
        <v>120</v>
      </c>
      <c r="G138" s="1">
        <v>120</v>
      </c>
      <c r="H138" s="8" cm="1">
        <f t="array" ref="H138">_xlfn.LET(_xlpm.s,IFERROR(--F138,""),_xlpm.e,IFERROR(--G138,""),IF(OR(_xlpm.s="",_xlpm.e="",_xlpm.e&lt;_xlpm.s),"",_xlfn.LET(_xlpm.p,_xlfn.SEQUENCE(_xlpm.e-_xlpm.s+1,1,_xlpm.s,1),SUM(1/COUNTIFS($D:$D,D138,$E:$E,E138,$F:$F,"&lt;&gt;N/A",$G:$G,"&lt;&gt;N/A",$F:$F,"&lt;="&amp;_xlpm.p,$G:$G,"&gt;="&amp;_xlpm.p)))))</f>
        <v>0.33333333333333331</v>
      </c>
      <c r="I138" s="4" t="s">
        <v>782</v>
      </c>
      <c r="J138" t="s">
        <v>871</v>
      </c>
      <c r="K138" s="5" t="s">
        <v>7</v>
      </c>
      <c r="L138" s="5" t="s">
        <v>2140</v>
      </c>
      <c r="M138" t="s">
        <v>5012</v>
      </c>
      <c r="N138" s="5" t="s">
        <v>2310</v>
      </c>
      <c r="O138" s="4" t="s">
        <v>5072</v>
      </c>
      <c r="P138" s="4" t="s">
        <v>8034</v>
      </c>
      <c r="R138" t="b">
        <v>1</v>
      </c>
    </row>
    <row r="139" spans="1:18">
      <c r="A139" t="s">
        <v>3009</v>
      </c>
      <c r="B139" t="s">
        <v>7108</v>
      </c>
      <c r="C139" s="5" t="s">
        <v>7948</v>
      </c>
      <c r="D139" s="1">
        <v>1</v>
      </c>
      <c r="E139" s="1">
        <v>22</v>
      </c>
      <c r="F139" s="1">
        <v>120</v>
      </c>
      <c r="G139" s="1">
        <v>120</v>
      </c>
      <c r="H139" s="8" cm="1">
        <f t="array" ref="H139">_xlfn.LET(_xlpm.s,IFERROR(--F139,""),_xlpm.e,IFERROR(--G139,""),IF(OR(_xlpm.s="",_xlpm.e="",_xlpm.e&lt;_xlpm.s),"",_xlfn.LET(_xlpm.p,_xlfn.SEQUENCE(_xlpm.e-_xlpm.s+1,1,_xlpm.s,1),SUM(1/COUNTIFS($D:$D,D139,$E:$E,E139,$F:$F,"&lt;&gt;N/A",$G:$G,"&lt;&gt;N/A",$F:$F,"&lt;="&amp;_xlpm.p,$G:$G,"&gt;="&amp;_xlpm.p)))))</f>
        <v>0.33333333333333331</v>
      </c>
      <c r="I139" s="4" t="s">
        <v>782</v>
      </c>
      <c r="J139" t="s">
        <v>872</v>
      </c>
      <c r="K139" s="5" t="s">
        <v>2141</v>
      </c>
      <c r="L139" s="5" t="s">
        <v>2142</v>
      </c>
      <c r="M139" t="s">
        <v>5012</v>
      </c>
      <c r="N139" s="5" t="s">
        <v>2311</v>
      </c>
      <c r="O139" s="4" t="s">
        <v>5072</v>
      </c>
      <c r="P139" s="4" t="s">
        <v>8034</v>
      </c>
      <c r="R139" t="b">
        <v>1</v>
      </c>
    </row>
    <row r="140" spans="1:18">
      <c r="A140" t="s">
        <v>3009</v>
      </c>
      <c r="B140" t="s">
        <v>10520</v>
      </c>
      <c r="C140" s="5" t="s">
        <v>7948</v>
      </c>
      <c r="D140" s="1">
        <v>1</v>
      </c>
      <c r="E140" s="1">
        <v>22</v>
      </c>
      <c r="F140" s="1">
        <v>120</v>
      </c>
      <c r="G140" s="1">
        <v>120</v>
      </c>
      <c r="H140" s="8" cm="1">
        <f t="array" ref="H140">_xlfn.LET(_xlpm.s,IFERROR(--F140,""),_xlpm.e,IFERROR(--G140,""),IF(OR(_xlpm.s="",_xlpm.e="",_xlpm.e&lt;_xlpm.s),"",_xlfn.LET(_xlpm.p,_xlfn.SEQUENCE(_xlpm.e-_xlpm.s+1,1,_xlpm.s,1),SUM(1/COUNTIFS($D:$D,D140,$E:$E,E140,$F:$F,"&lt;&gt;N/A",$G:$G,"&lt;&gt;N/A",$F:$F,"&lt;="&amp;_xlpm.p,$G:$G,"&gt;="&amp;_xlpm.p)))))</f>
        <v>0.33333333333333331</v>
      </c>
      <c r="I140" s="4" t="s">
        <v>782</v>
      </c>
      <c r="J140" t="s">
        <v>873</v>
      </c>
      <c r="K140" s="5" t="s">
        <v>7</v>
      </c>
      <c r="L140" s="5" t="s">
        <v>2143</v>
      </c>
      <c r="M140" s="5" t="s">
        <v>7</v>
      </c>
      <c r="N140" s="5" t="s">
        <v>7</v>
      </c>
      <c r="O140" s="4" t="s">
        <v>5072</v>
      </c>
      <c r="P140" s="4" t="s">
        <v>8021</v>
      </c>
      <c r="R140" t="b">
        <v>1</v>
      </c>
    </row>
    <row r="141" spans="1:18">
      <c r="A141" t="s">
        <v>3009</v>
      </c>
      <c r="B141" t="s">
        <v>7109</v>
      </c>
      <c r="C141" s="5" t="s">
        <v>10291</v>
      </c>
      <c r="D141" s="1">
        <v>1</v>
      </c>
      <c r="E141" s="1">
        <v>23</v>
      </c>
      <c r="F141" s="1">
        <v>121</v>
      </c>
      <c r="G141" s="1">
        <v>123</v>
      </c>
      <c r="H141" s="8" cm="1">
        <f t="array" ref="H141">_xlfn.LET(_xlpm.s,IFERROR(--F141,""),_xlpm.e,IFERROR(--G141,""),IF(OR(_xlpm.s="",_xlpm.e="",_xlpm.e&lt;_xlpm.s),"",_xlfn.LET(_xlpm.p,_xlfn.SEQUENCE(_xlpm.e-_xlpm.s+1,1,_xlpm.s,1),SUM(1/COUNTIFS($D:$D,D141,$E:$E,E141,$F:$F,"&lt;&gt;N/A",$G:$G,"&lt;&gt;N/A",$F:$F,"&lt;="&amp;_xlpm.p,$G:$G,"&gt;="&amp;_xlpm.p)))))</f>
        <v>3</v>
      </c>
      <c r="I141" s="4" t="s">
        <v>774</v>
      </c>
      <c r="J141" t="s">
        <v>874</v>
      </c>
      <c r="K141" t="s">
        <v>11508</v>
      </c>
      <c r="L141" s="5" t="s">
        <v>7</v>
      </c>
      <c r="M141" s="5" t="s">
        <v>7</v>
      </c>
      <c r="N141" s="5" t="s">
        <v>7</v>
      </c>
      <c r="O141" s="4" t="s">
        <v>778</v>
      </c>
      <c r="P141" s="4" t="s">
        <v>7834</v>
      </c>
      <c r="R141" t="b">
        <v>1</v>
      </c>
    </row>
    <row r="142" spans="1:18">
      <c r="A142" t="s">
        <v>3009</v>
      </c>
      <c r="B142" t="s">
        <v>10521</v>
      </c>
      <c r="C142" s="5" t="s">
        <v>10291</v>
      </c>
      <c r="D142" s="1">
        <v>1</v>
      </c>
      <c r="E142" s="1">
        <v>23</v>
      </c>
      <c r="F142" s="1">
        <v>124</v>
      </c>
      <c r="G142" s="1">
        <v>124</v>
      </c>
      <c r="H142" s="8" cm="1">
        <f t="array" ref="H142">_xlfn.LET(_xlpm.s,IFERROR(--F142,""),_xlpm.e,IFERROR(--G142,""),IF(OR(_xlpm.s="",_xlpm.e="",_xlpm.e&lt;_xlpm.s),"",_xlfn.LET(_xlpm.p,_xlfn.SEQUENCE(_xlpm.e-_xlpm.s+1,1,_xlpm.s,1),SUM(1/COUNTIFS($D:$D,D142,$E:$E,E142,$F:$F,"&lt;&gt;N/A",$G:$G,"&lt;&gt;N/A",$F:$F,"&lt;="&amp;_xlpm.p,$G:$G,"&gt;="&amp;_xlpm.p)))))</f>
        <v>1</v>
      </c>
      <c r="I142" s="4" t="s">
        <v>782</v>
      </c>
      <c r="J142" t="s">
        <v>875</v>
      </c>
      <c r="K142" s="5" t="s">
        <v>7</v>
      </c>
      <c r="L142" s="5" t="s">
        <v>2144</v>
      </c>
      <c r="M142" t="s">
        <v>7178</v>
      </c>
      <c r="N142" s="5" t="s">
        <v>2349</v>
      </c>
      <c r="O142" s="4" t="s">
        <v>5072</v>
      </c>
      <c r="P142" s="4" t="s">
        <v>8021</v>
      </c>
      <c r="R142" t="b">
        <v>1</v>
      </c>
    </row>
    <row r="143" spans="1:18">
      <c r="A143" t="s">
        <v>3009</v>
      </c>
      <c r="B143" t="s">
        <v>3577</v>
      </c>
      <c r="C143" s="5" t="s">
        <v>7955</v>
      </c>
      <c r="D143" s="1">
        <v>1</v>
      </c>
      <c r="E143" s="1">
        <v>24</v>
      </c>
      <c r="F143" s="1">
        <v>125</v>
      </c>
      <c r="G143" s="1">
        <v>125</v>
      </c>
      <c r="H143" s="8" cm="1">
        <f t="array" ref="H143">_xlfn.LET(_xlpm.s,IFERROR(--F143,""),_xlpm.e,IFERROR(--G143,""),IF(OR(_xlpm.s="",_xlpm.e="",_xlpm.e&lt;_xlpm.s),"",_xlfn.LET(_xlpm.p,_xlfn.SEQUENCE(_xlpm.e-_xlpm.s+1,1,_xlpm.s,1),SUM(1/COUNTIFS($D:$D,D143,$E:$E,E143,$F:$F,"&lt;&gt;N/A",$G:$G,"&lt;&gt;N/A",$F:$F,"&lt;="&amp;_xlpm.p,$G:$G,"&gt;="&amp;_xlpm.p)))))</f>
        <v>0.5</v>
      </c>
      <c r="I143" s="4" t="s">
        <v>774</v>
      </c>
      <c r="J143" t="s">
        <v>839</v>
      </c>
      <c r="K143" s="5" t="s">
        <v>11509</v>
      </c>
      <c r="L143" s="5" t="s">
        <v>7</v>
      </c>
      <c r="M143" s="5" t="s">
        <v>7</v>
      </c>
      <c r="N143" s="5" t="s">
        <v>7</v>
      </c>
      <c r="O143" s="4" t="s">
        <v>778</v>
      </c>
      <c r="P143" s="4" t="s">
        <v>7834</v>
      </c>
      <c r="R143" t="b">
        <v>0</v>
      </c>
    </row>
    <row r="144" spans="1:18">
      <c r="A144" t="s">
        <v>3009</v>
      </c>
      <c r="B144" t="s">
        <v>3578</v>
      </c>
      <c r="C144" s="5" t="s">
        <v>7955</v>
      </c>
      <c r="D144" s="1">
        <v>1</v>
      </c>
      <c r="E144" s="1">
        <v>24</v>
      </c>
      <c r="F144" s="1">
        <v>125</v>
      </c>
      <c r="G144" s="1">
        <v>126</v>
      </c>
      <c r="H144" s="8" cm="1">
        <f t="array" ref="H144">_xlfn.LET(_xlpm.s,IFERROR(--F144,""),_xlpm.e,IFERROR(--G144,""),IF(OR(_xlpm.s="",_xlpm.e="",_xlpm.e&lt;_xlpm.s),"",_xlfn.LET(_xlpm.p,_xlfn.SEQUENCE(_xlpm.e-_xlpm.s+1,1,_xlpm.s,1),SUM(1/COUNTIFS($D:$D,D144,$E:$E,E144,$F:$F,"&lt;&gt;N/A",$G:$G,"&lt;&gt;N/A",$F:$F,"&lt;="&amp;_xlpm.p,$G:$G,"&gt;="&amp;_xlpm.p)))))</f>
        <v>1</v>
      </c>
      <c r="I144" s="4" t="s">
        <v>774</v>
      </c>
      <c r="J144" t="s">
        <v>848</v>
      </c>
      <c r="K144" s="5" t="s">
        <v>11509</v>
      </c>
      <c r="L144" s="5" t="s">
        <v>7</v>
      </c>
      <c r="M144" s="5" t="s">
        <v>7</v>
      </c>
      <c r="N144" s="5" t="s">
        <v>7</v>
      </c>
      <c r="O144" s="4" t="s">
        <v>778</v>
      </c>
      <c r="P144" s="4" t="s">
        <v>7834</v>
      </c>
      <c r="R144" t="b">
        <v>1</v>
      </c>
    </row>
    <row r="145" spans="1:18">
      <c r="A145" t="s">
        <v>3009</v>
      </c>
      <c r="B145" t="s">
        <v>6993</v>
      </c>
      <c r="C145" s="5" t="s">
        <v>7955</v>
      </c>
      <c r="D145" s="1">
        <v>1</v>
      </c>
      <c r="E145" s="1">
        <v>24</v>
      </c>
      <c r="F145" s="1">
        <v>126</v>
      </c>
      <c r="G145" s="1">
        <v>127</v>
      </c>
      <c r="H145" s="8" cm="1">
        <f t="array" ref="H145">_xlfn.LET(_xlpm.s,IFERROR(--F145,""),_xlpm.e,IFERROR(--G145,""),IF(OR(_xlpm.s="",_xlpm.e="",_xlpm.e&lt;_xlpm.s),"",_xlfn.LET(_xlpm.p,_xlfn.SEQUENCE(_xlpm.e-_xlpm.s+1,1,_xlpm.s,1),SUM(1/COUNTIFS($D:$D,D145,$E:$E,E145,$F:$F,"&lt;&gt;N/A",$G:$G,"&lt;&gt;N/A",$F:$F,"&lt;="&amp;_xlpm.p,$G:$G,"&gt;="&amp;_xlpm.p)))))</f>
        <v>0.83333333333333326</v>
      </c>
      <c r="I145" s="4" t="s">
        <v>782</v>
      </c>
      <c r="J145" t="s">
        <v>877</v>
      </c>
      <c r="K145" s="5" t="s">
        <v>7</v>
      </c>
      <c r="L145" s="5" t="s">
        <v>2313</v>
      </c>
      <c r="M145" t="s">
        <v>6951</v>
      </c>
      <c r="N145" s="5" t="s">
        <v>7177</v>
      </c>
      <c r="O145" s="4" t="s">
        <v>5072</v>
      </c>
      <c r="P145" s="4" t="s">
        <v>8021</v>
      </c>
      <c r="R145" t="b">
        <v>1</v>
      </c>
    </row>
    <row r="146" spans="1:18">
      <c r="A146" t="s">
        <v>3009</v>
      </c>
      <c r="B146" t="s">
        <v>6994</v>
      </c>
      <c r="C146" s="5" t="s">
        <v>7955</v>
      </c>
      <c r="D146" s="1">
        <v>1</v>
      </c>
      <c r="E146" s="1">
        <v>24</v>
      </c>
      <c r="F146" s="1">
        <v>127</v>
      </c>
      <c r="G146" s="1">
        <v>127</v>
      </c>
      <c r="H146" s="8" cm="1">
        <f t="array" ref="H146">_xlfn.LET(_xlpm.s,IFERROR(--F146,""),_xlpm.e,IFERROR(--G146,""),IF(OR(_xlpm.s="",_xlpm.e="",_xlpm.e&lt;_xlpm.s),"",_xlfn.LET(_xlpm.p,_xlfn.SEQUENCE(_xlpm.e-_xlpm.s+1,1,_xlpm.s,1),SUM(1/COUNTIFS($D:$D,D146,$E:$E,E146,$F:$F,"&lt;&gt;N/A",$G:$G,"&lt;&gt;N/A",$F:$F,"&lt;="&amp;_xlpm.p,$G:$G,"&gt;="&amp;_xlpm.p)))))</f>
        <v>0.33333333333333331</v>
      </c>
      <c r="I146" s="4" t="s">
        <v>782</v>
      </c>
      <c r="J146" t="s">
        <v>2336</v>
      </c>
      <c r="K146" s="5" t="s">
        <v>7</v>
      </c>
      <c r="L146" s="5" t="s">
        <v>2312</v>
      </c>
      <c r="M146" t="s">
        <v>6951</v>
      </c>
      <c r="N146" s="5" t="s">
        <v>7280</v>
      </c>
      <c r="O146" s="4" t="s">
        <v>5072</v>
      </c>
      <c r="P146" s="4" t="s">
        <v>8021</v>
      </c>
      <c r="R146" t="b">
        <v>1</v>
      </c>
    </row>
    <row r="147" spans="1:18">
      <c r="A147" t="s">
        <v>3009</v>
      </c>
      <c r="B147" t="s">
        <v>7110</v>
      </c>
      <c r="C147" s="5" t="s">
        <v>7955</v>
      </c>
      <c r="D147" s="1">
        <v>1</v>
      </c>
      <c r="E147" s="1">
        <v>24</v>
      </c>
      <c r="F147" s="1">
        <v>127</v>
      </c>
      <c r="G147" s="1">
        <v>128</v>
      </c>
      <c r="H147" s="8" cm="1">
        <f t="array" ref="H147">_xlfn.LET(_xlpm.s,IFERROR(--F147,""),_xlpm.e,IFERROR(--G147,""),IF(OR(_xlpm.s="",_xlpm.e="",_xlpm.e&lt;_xlpm.s),"",_xlfn.LET(_xlpm.p,_xlfn.SEQUENCE(_xlpm.e-_xlpm.s+1,1,_xlpm.s,1),SUM(1/COUNTIFS($D:$D,D147,$E:$E,E147,$F:$F,"&lt;&gt;N/A",$G:$G,"&lt;&gt;N/A",$F:$F,"&lt;="&amp;_xlpm.p,$G:$G,"&gt;="&amp;_xlpm.p)))))</f>
        <v>0.83333333333333326</v>
      </c>
      <c r="I147" s="4" t="s">
        <v>782</v>
      </c>
      <c r="J147" t="s">
        <v>876</v>
      </c>
      <c r="K147" s="5" t="s">
        <v>2145</v>
      </c>
      <c r="L147" s="5" t="s">
        <v>7</v>
      </c>
      <c r="M147" t="s">
        <v>7176</v>
      </c>
      <c r="N147" s="5" t="s">
        <v>2335</v>
      </c>
      <c r="O147" s="4" t="s">
        <v>5072</v>
      </c>
      <c r="P147" s="4" t="s">
        <v>8021</v>
      </c>
      <c r="R147" t="b">
        <v>1</v>
      </c>
    </row>
    <row r="148" spans="1:18">
      <c r="A148" t="s">
        <v>3009</v>
      </c>
      <c r="B148" t="s">
        <v>10522</v>
      </c>
      <c r="C148" s="5" t="s">
        <v>7955</v>
      </c>
      <c r="D148" s="1">
        <v>1</v>
      </c>
      <c r="E148" s="1">
        <v>24</v>
      </c>
      <c r="F148" s="1">
        <v>128</v>
      </c>
      <c r="G148" s="1">
        <v>128</v>
      </c>
      <c r="H148" s="8" cm="1">
        <f t="array" ref="H148">_xlfn.LET(_xlpm.s,IFERROR(--F148,""),_xlpm.e,IFERROR(--G148,""),IF(OR(_xlpm.s="",_xlpm.e="",_xlpm.e&lt;_xlpm.s),"",_xlfn.LET(_xlpm.p,_xlfn.SEQUENCE(_xlpm.e-_xlpm.s+1,1,_xlpm.s,1),SUM(1/COUNTIFS($D:$D,D148,$E:$E,E148,$F:$F,"&lt;&gt;N/A",$G:$G,"&lt;&gt;N/A",$F:$F,"&lt;="&amp;_xlpm.p,$G:$G,"&gt;="&amp;_xlpm.p)))))</f>
        <v>0.5</v>
      </c>
      <c r="I148" s="4" t="s">
        <v>782</v>
      </c>
      <c r="J148" t="s">
        <v>878</v>
      </c>
      <c r="K148" s="5" t="s">
        <v>7</v>
      </c>
      <c r="L148" s="5" t="s">
        <v>2146</v>
      </c>
      <c r="M148" t="s">
        <v>6951</v>
      </c>
      <c r="N148" s="5" t="s">
        <v>2334</v>
      </c>
      <c r="O148" s="4" t="s">
        <v>5072</v>
      </c>
      <c r="P148" s="4" t="s">
        <v>8021</v>
      </c>
      <c r="R148" t="b">
        <v>1</v>
      </c>
    </row>
    <row r="149" spans="1:18">
      <c r="A149" t="s">
        <v>3009</v>
      </c>
      <c r="B149" t="s">
        <v>6995</v>
      </c>
      <c r="C149" s="5" t="s">
        <v>7956</v>
      </c>
      <c r="D149" s="1">
        <v>1</v>
      </c>
      <c r="E149" s="1">
        <v>25</v>
      </c>
      <c r="F149" s="1">
        <v>127</v>
      </c>
      <c r="G149" s="1">
        <v>127</v>
      </c>
      <c r="H149" s="8" cm="1">
        <f t="array" ref="H149">_xlfn.LET(_xlpm.s,IFERROR(--F149,""),_xlpm.e,IFERROR(--G149,""),IF(OR(_xlpm.s="",_xlpm.e="",_xlpm.e&lt;_xlpm.s),"",_xlfn.LET(_xlpm.p,_xlfn.SEQUENCE(_xlpm.e-_xlpm.s+1,1,_xlpm.s,1),SUM(1/COUNTIFS($D:$D,D149,$E:$E,E149,$F:$F,"&lt;&gt;N/A",$G:$G,"&lt;&gt;N/A",$F:$F,"&lt;="&amp;_xlpm.p,$G:$G,"&gt;="&amp;_xlpm.p)))))</f>
        <v>1</v>
      </c>
      <c r="I149" s="4" t="s">
        <v>774</v>
      </c>
      <c r="J149" t="s">
        <v>839</v>
      </c>
      <c r="K149" s="5" t="s">
        <v>11509</v>
      </c>
      <c r="L149" s="5" t="s">
        <v>7</v>
      </c>
      <c r="M149" s="5" t="s">
        <v>7</v>
      </c>
      <c r="N149" s="5" t="s">
        <v>7</v>
      </c>
      <c r="O149" s="4" t="s">
        <v>778</v>
      </c>
      <c r="P149" s="4" t="s">
        <v>7834</v>
      </c>
      <c r="R149" t="b">
        <v>0</v>
      </c>
    </row>
    <row r="150" spans="1:18">
      <c r="A150" t="s">
        <v>3009</v>
      </c>
      <c r="B150" t="s">
        <v>7111</v>
      </c>
      <c r="C150" s="5" t="s">
        <v>7956</v>
      </c>
      <c r="D150" s="1">
        <v>1</v>
      </c>
      <c r="E150" s="1">
        <v>25</v>
      </c>
      <c r="F150" s="1">
        <v>128</v>
      </c>
      <c r="G150" s="1">
        <v>128</v>
      </c>
      <c r="H150" s="8" cm="1">
        <f t="array" ref="H150">_xlfn.LET(_xlpm.s,IFERROR(--F150,""),_xlpm.e,IFERROR(--G150,""),IF(OR(_xlpm.s="",_xlpm.e="",_xlpm.e&lt;_xlpm.s),"",_xlfn.LET(_xlpm.p,_xlfn.SEQUENCE(_xlpm.e-_xlpm.s+1,1,_xlpm.s,1),SUM(1/COUNTIFS($D:$D,D150,$E:$E,E150,$F:$F,"&lt;&gt;N/A",$G:$G,"&lt;&gt;N/A",$F:$F,"&lt;="&amp;_xlpm.p,$G:$G,"&gt;="&amp;_xlpm.p)))))</f>
        <v>0.5</v>
      </c>
      <c r="I150" s="4" t="s">
        <v>782</v>
      </c>
      <c r="J150" t="s">
        <v>2272</v>
      </c>
      <c r="K150" s="5" t="s">
        <v>2147</v>
      </c>
      <c r="L150" s="5" t="s">
        <v>2333</v>
      </c>
      <c r="M150" t="s">
        <v>6951</v>
      </c>
      <c r="N150" s="5" t="s">
        <v>2332</v>
      </c>
      <c r="O150" s="4" t="s">
        <v>5072</v>
      </c>
      <c r="P150" s="4" t="s">
        <v>8021</v>
      </c>
      <c r="R150" t="b">
        <v>1</v>
      </c>
    </row>
    <row r="151" spans="1:18">
      <c r="A151" t="s">
        <v>3009</v>
      </c>
      <c r="B151" t="s">
        <v>10523</v>
      </c>
      <c r="C151" s="5" t="s">
        <v>7956</v>
      </c>
      <c r="D151" s="1">
        <v>1</v>
      </c>
      <c r="E151" s="1">
        <v>25</v>
      </c>
      <c r="F151" s="1">
        <v>128</v>
      </c>
      <c r="G151" s="1">
        <v>130</v>
      </c>
      <c r="H151" s="8" cm="1">
        <f t="array" ref="H151">_xlfn.LET(_xlpm.s,IFERROR(--F151,""),_xlpm.e,IFERROR(--G151,""),IF(OR(_xlpm.s="",_xlpm.e="",_xlpm.e&lt;_xlpm.s),"",_xlfn.LET(_xlpm.p,_xlfn.SEQUENCE(_xlpm.e-_xlpm.s+1,1,_xlpm.s,1),SUM(1/COUNTIFS($D:$D,D151,$E:$E,E151,$F:$F,"&lt;&gt;N/A",$G:$G,"&lt;&gt;N/A",$F:$F,"&lt;="&amp;_xlpm.p,$G:$G,"&gt;="&amp;_xlpm.p)))))</f>
        <v>2.5</v>
      </c>
      <c r="I151" s="4" t="s">
        <v>782</v>
      </c>
      <c r="J151" t="s">
        <v>27</v>
      </c>
      <c r="K151" s="5" t="s">
        <v>7</v>
      </c>
      <c r="L151" s="5" t="s">
        <v>7</v>
      </c>
      <c r="M151" s="5" t="s">
        <v>7</v>
      </c>
      <c r="N151" s="5" t="s">
        <v>7</v>
      </c>
      <c r="O151" s="4" t="s">
        <v>778</v>
      </c>
      <c r="P151" s="4" t="s">
        <v>7834</v>
      </c>
      <c r="R151" t="b">
        <v>1</v>
      </c>
    </row>
    <row r="152" spans="1:18">
      <c r="A152" t="s">
        <v>3009</v>
      </c>
      <c r="B152" t="s">
        <v>3579</v>
      </c>
      <c r="C152" s="5" t="s">
        <v>7957</v>
      </c>
      <c r="D152" s="1">
        <v>1</v>
      </c>
      <c r="E152" s="1">
        <v>26</v>
      </c>
      <c r="F152" s="1">
        <v>131</v>
      </c>
      <c r="G152" s="1">
        <v>131</v>
      </c>
      <c r="H152" s="8" cm="1">
        <f t="array" ref="H152">_xlfn.LET(_xlpm.s,IFERROR(--F152,""),_xlpm.e,IFERROR(--G152,""),IF(OR(_xlpm.s="",_xlpm.e="",_xlpm.e&lt;_xlpm.s),"",_xlfn.LET(_xlpm.p,_xlfn.SEQUENCE(_xlpm.e-_xlpm.s+1,1,_xlpm.s,1),SUM(1/COUNTIFS($D:$D,D152,$E:$E,E152,$F:$F,"&lt;&gt;N/A",$G:$G,"&lt;&gt;N/A",$F:$F,"&lt;="&amp;_xlpm.p,$G:$G,"&gt;="&amp;_xlpm.p)))))</f>
        <v>0.5</v>
      </c>
      <c r="I152" s="4" t="s">
        <v>774</v>
      </c>
      <c r="J152" t="s">
        <v>839</v>
      </c>
      <c r="K152" s="5" t="s">
        <v>11509</v>
      </c>
      <c r="L152" s="5" t="s">
        <v>7</v>
      </c>
      <c r="M152" s="5" t="s">
        <v>7</v>
      </c>
      <c r="N152" s="5" t="s">
        <v>7</v>
      </c>
      <c r="O152" s="4" t="s">
        <v>778</v>
      </c>
      <c r="P152" s="4" t="s">
        <v>7834</v>
      </c>
      <c r="R152" t="b">
        <v>0</v>
      </c>
    </row>
    <row r="153" spans="1:18">
      <c r="A153" t="s">
        <v>3009</v>
      </c>
      <c r="B153" t="s">
        <v>3580</v>
      </c>
      <c r="C153" s="5" t="s">
        <v>7957</v>
      </c>
      <c r="D153" s="1">
        <v>1</v>
      </c>
      <c r="E153" s="1">
        <v>26</v>
      </c>
      <c r="F153" s="1">
        <v>131</v>
      </c>
      <c r="G153" s="1">
        <v>132</v>
      </c>
      <c r="H153" s="8" cm="1">
        <f t="array" ref="H153">_xlfn.LET(_xlpm.s,IFERROR(--F153,""),_xlpm.e,IFERROR(--G153,""),IF(OR(_xlpm.s="",_xlpm.e="",_xlpm.e&lt;_xlpm.s),"",_xlfn.LET(_xlpm.p,_xlfn.SEQUENCE(_xlpm.e-_xlpm.s+1,1,_xlpm.s,1),SUM(1/COUNTIFS($D:$D,D153,$E:$E,E153,$F:$F,"&lt;&gt;N/A",$G:$G,"&lt;&gt;N/A",$F:$F,"&lt;="&amp;_xlpm.p,$G:$G,"&gt;="&amp;_xlpm.p)))))</f>
        <v>1</v>
      </c>
      <c r="I153" s="4" t="s">
        <v>774</v>
      </c>
      <c r="J153" t="s">
        <v>848</v>
      </c>
      <c r="K153" s="5" t="s">
        <v>11509</v>
      </c>
      <c r="L153" s="5" t="s">
        <v>7</v>
      </c>
      <c r="M153" s="5" t="s">
        <v>7</v>
      </c>
      <c r="N153" s="5" t="s">
        <v>7</v>
      </c>
      <c r="O153" s="4" t="s">
        <v>778</v>
      </c>
      <c r="P153" s="4" t="s">
        <v>7834</v>
      </c>
      <c r="R153" t="b">
        <v>1</v>
      </c>
    </row>
    <row r="154" spans="1:18">
      <c r="A154" t="s">
        <v>3009</v>
      </c>
      <c r="B154" t="s">
        <v>3581</v>
      </c>
      <c r="C154" s="5" t="s">
        <v>7957</v>
      </c>
      <c r="D154" s="1">
        <v>1</v>
      </c>
      <c r="E154" s="1">
        <v>26</v>
      </c>
      <c r="F154" s="1">
        <v>132</v>
      </c>
      <c r="G154" s="1">
        <v>133</v>
      </c>
      <c r="H154" s="8" cm="1">
        <f t="array" ref="H154">_xlfn.LET(_xlpm.s,IFERROR(--F154,""),_xlpm.e,IFERROR(--G154,""),IF(OR(_xlpm.s="",_xlpm.e="",_xlpm.e&lt;_xlpm.s),"",_xlfn.LET(_xlpm.p,_xlfn.SEQUENCE(_xlpm.e-_xlpm.s+1,1,_xlpm.s,1),SUM(1/COUNTIFS($D:$D,D154,$E:$E,E154,$F:$F,"&lt;&gt;N/A",$G:$G,"&lt;&gt;N/A",$F:$F,"&lt;="&amp;_xlpm.p,$G:$G,"&gt;="&amp;_xlpm.p)))))</f>
        <v>1</v>
      </c>
      <c r="I154" s="4" t="s">
        <v>782</v>
      </c>
      <c r="J154" t="s">
        <v>879</v>
      </c>
      <c r="K154" s="5" t="s">
        <v>2149</v>
      </c>
      <c r="L154" s="5" t="s">
        <v>7</v>
      </c>
      <c r="M154" s="5" t="s">
        <v>7</v>
      </c>
      <c r="N154" s="5" t="s">
        <v>7</v>
      </c>
      <c r="O154" s="4" t="s">
        <v>778</v>
      </c>
      <c r="P154" s="4" t="s">
        <v>7834</v>
      </c>
      <c r="R154" t="b">
        <v>1</v>
      </c>
    </row>
    <row r="155" spans="1:18">
      <c r="A155" t="s">
        <v>3009</v>
      </c>
      <c r="B155" t="s">
        <v>6996</v>
      </c>
      <c r="C155" s="5" t="s">
        <v>7957</v>
      </c>
      <c r="D155" s="1">
        <v>1</v>
      </c>
      <c r="E155" s="1">
        <v>26</v>
      </c>
      <c r="F155" s="1">
        <v>133</v>
      </c>
      <c r="G155" s="1">
        <v>134</v>
      </c>
      <c r="H155" s="8" cm="1">
        <f t="array" ref="H155">_xlfn.LET(_xlpm.s,IFERROR(--F155,""),_xlpm.e,IFERROR(--G155,""),IF(OR(_xlpm.s="",_xlpm.e="",_xlpm.e&lt;_xlpm.s),"",_xlfn.LET(_xlpm.p,_xlfn.SEQUENCE(_xlpm.e-_xlpm.s+1,1,_xlpm.s,1),SUM(1/COUNTIFS($D:$D,D155,$E:$E,E155,$F:$F,"&lt;&gt;N/A",$G:$G,"&lt;&gt;N/A",$F:$F,"&lt;="&amp;_xlpm.p,$G:$G,"&gt;="&amp;_xlpm.p)))))</f>
        <v>0.75</v>
      </c>
      <c r="I155" s="4" t="s">
        <v>782</v>
      </c>
      <c r="J155" t="s">
        <v>880</v>
      </c>
      <c r="K155" t="s">
        <v>847</v>
      </c>
      <c r="L155" s="5" t="s">
        <v>7</v>
      </c>
      <c r="M155" s="5" t="s">
        <v>7</v>
      </c>
      <c r="N155" s="5" t="s">
        <v>7</v>
      </c>
      <c r="O155" s="4" t="s">
        <v>778</v>
      </c>
      <c r="P155" s="4" t="s">
        <v>7834</v>
      </c>
      <c r="R155" t="b">
        <v>1</v>
      </c>
    </row>
    <row r="156" spans="1:18">
      <c r="A156" t="s">
        <v>3009</v>
      </c>
      <c r="B156" t="s">
        <v>6997</v>
      </c>
      <c r="C156" s="5" t="s">
        <v>7957</v>
      </c>
      <c r="D156" s="1">
        <v>1</v>
      </c>
      <c r="E156" s="1">
        <v>26</v>
      </c>
      <c r="F156" s="1">
        <v>134</v>
      </c>
      <c r="G156" s="1">
        <v>134</v>
      </c>
      <c r="H156" s="8" cm="1">
        <f t="array" ref="H156">_xlfn.LET(_xlpm.s,IFERROR(--F156,""),_xlpm.e,IFERROR(--G156,""),IF(OR(_xlpm.s="",_xlpm.e="",_xlpm.e&lt;_xlpm.s),"",_xlfn.LET(_xlpm.p,_xlfn.SEQUENCE(_xlpm.e-_xlpm.s+1,1,_xlpm.s,1),SUM(1/COUNTIFS($D:$D,D156,$E:$E,E156,$F:$F,"&lt;&gt;N/A",$G:$G,"&lt;&gt;N/A",$F:$F,"&lt;="&amp;_xlpm.p,$G:$G,"&gt;="&amp;_xlpm.p)))))</f>
        <v>0.25</v>
      </c>
      <c r="I156" s="4" t="s">
        <v>782</v>
      </c>
      <c r="J156" t="s">
        <v>208</v>
      </c>
      <c r="K156" s="5" t="s">
        <v>7</v>
      </c>
      <c r="L156" s="5" t="s">
        <v>7</v>
      </c>
      <c r="M156" s="5" t="s">
        <v>7</v>
      </c>
      <c r="N156" s="5" t="s">
        <v>2329</v>
      </c>
      <c r="O156" s="4" t="s">
        <v>5072</v>
      </c>
      <c r="P156" s="4" t="s">
        <v>8021</v>
      </c>
      <c r="Q156" s="5"/>
      <c r="R156" t="b">
        <v>1</v>
      </c>
    </row>
    <row r="157" spans="1:18">
      <c r="A157" t="s">
        <v>3009</v>
      </c>
      <c r="B157" t="s">
        <v>7112</v>
      </c>
      <c r="C157" s="5" t="s">
        <v>7957</v>
      </c>
      <c r="D157" s="1">
        <v>1</v>
      </c>
      <c r="E157" s="1">
        <v>26</v>
      </c>
      <c r="F157" s="1">
        <v>134</v>
      </c>
      <c r="G157" s="1">
        <v>134</v>
      </c>
      <c r="H157" s="8" cm="1">
        <f t="array" ref="H157">_xlfn.LET(_xlpm.s,IFERROR(--F157,""),_xlpm.e,IFERROR(--G157,""),IF(OR(_xlpm.s="",_xlpm.e="",_xlpm.e&lt;_xlpm.s),"",_xlfn.LET(_xlpm.p,_xlfn.SEQUENCE(_xlpm.e-_xlpm.s+1,1,_xlpm.s,1),SUM(1/COUNTIFS($D:$D,D157,$E:$E,E157,$F:$F,"&lt;&gt;N/A",$G:$G,"&lt;&gt;N/A",$F:$F,"&lt;="&amp;_xlpm.p,$G:$G,"&gt;="&amp;_xlpm.p)))))</f>
        <v>0.25</v>
      </c>
      <c r="I157" s="4" t="s">
        <v>782</v>
      </c>
      <c r="J157" t="s">
        <v>882</v>
      </c>
      <c r="K157" s="5" t="s">
        <v>7</v>
      </c>
      <c r="L157" s="5" t="s">
        <v>2150</v>
      </c>
      <c r="M157" s="5" t="s">
        <v>6951</v>
      </c>
      <c r="N157" s="5" t="s">
        <v>2330</v>
      </c>
      <c r="O157" s="4" t="s">
        <v>5072</v>
      </c>
      <c r="P157" s="4" t="s">
        <v>8021</v>
      </c>
      <c r="R157" t="b">
        <v>1</v>
      </c>
    </row>
    <row r="158" spans="1:18">
      <c r="A158" t="s">
        <v>3009</v>
      </c>
      <c r="B158" t="s">
        <v>10524</v>
      </c>
      <c r="C158" s="5" t="s">
        <v>7957</v>
      </c>
      <c r="D158" s="1">
        <v>1</v>
      </c>
      <c r="E158" s="1">
        <v>26</v>
      </c>
      <c r="F158" s="1">
        <v>134</v>
      </c>
      <c r="G158" s="1">
        <v>134</v>
      </c>
      <c r="H158" s="8" cm="1">
        <f t="array" ref="H158">_xlfn.LET(_xlpm.s,IFERROR(--F158,""),_xlpm.e,IFERROR(--G158,""),IF(OR(_xlpm.s="",_xlpm.e="",_xlpm.e&lt;_xlpm.s),"",_xlfn.LET(_xlpm.p,_xlfn.SEQUENCE(_xlpm.e-_xlpm.s+1,1,_xlpm.s,1),SUM(1/COUNTIFS($D:$D,D158,$E:$E,E158,$F:$F,"&lt;&gt;N/A",$G:$G,"&lt;&gt;N/A",$F:$F,"&lt;="&amp;_xlpm.p,$G:$G,"&gt;="&amp;_xlpm.p)))))</f>
        <v>0.25</v>
      </c>
      <c r="I158" s="4" t="s">
        <v>782</v>
      </c>
      <c r="J158" t="s">
        <v>881</v>
      </c>
      <c r="K158" s="5" t="s">
        <v>7</v>
      </c>
      <c r="L158" s="5" t="s">
        <v>2150</v>
      </c>
      <c r="M158" s="5" t="s">
        <v>6951</v>
      </c>
      <c r="N158" s="5" t="s">
        <v>2331</v>
      </c>
      <c r="O158" s="4" t="s">
        <v>5072</v>
      </c>
      <c r="P158" s="4" t="s">
        <v>8021</v>
      </c>
      <c r="R158" t="b">
        <v>1</v>
      </c>
    </row>
    <row r="159" spans="1:18">
      <c r="A159" t="s">
        <v>3009</v>
      </c>
      <c r="B159" t="s">
        <v>10525</v>
      </c>
      <c r="C159" s="5" t="s">
        <v>10289</v>
      </c>
      <c r="D159" s="1">
        <v>1</v>
      </c>
      <c r="E159" s="1">
        <v>27</v>
      </c>
      <c r="F159" s="1">
        <v>135</v>
      </c>
      <c r="G159" s="1">
        <v>138</v>
      </c>
      <c r="H159" s="8" cm="1">
        <f t="array" ref="H159">_xlfn.LET(_xlpm.s,IFERROR(--F159,""),_xlpm.e,IFERROR(--G159,""),IF(OR(_xlpm.s="",_xlpm.e="",_xlpm.e&lt;_xlpm.s),"",_xlfn.LET(_xlpm.p,_xlfn.SEQUENCE(_xlpm.e-_xlpm.s+1,1,_xlpm.s,1),SUM(1/COUNTIFS($D:$D,D159,$E:$E,E159,$F:$F,"&lt;&gt;N/A",$G:$G,"&lt;&gt;N/A",$F:$F,"&lt;="&amp;_xlpm.p,$G:$G,"&gt;="&amp;_xlpm.p)))))</f>
        <v>4</v>
      </c>
      <c r="I159" s="4" t="s">
        <v>782</v>
      </c>
      <c r="J159" t="s">
        <v>3209</v>
      </c>
      <c r="K159" s="5" t="s">
        <v>11509</v>
      </c>
      <c r="L159" s="5" t="s">
        <v>7</v>
      </c>
      <c r="M159" s="5" t="s">
        <v>7</v>
      </c>
      <c r="N159" s="5" t="s">
        <v>7</v>
      </c>
      <c r="O159" s="4" t="s">
        <v>778</v>
      </c>
      <c r="P159" s="4" t="s">
        <v>7834</v>
      </c>
      <c r="R159" t="b">
        <v>1</v>
      </c>
    </row>
    <row r="160" spans="1:18">
      <c r="A160" t="s">
        <v>3009</v>
      </c>
      <c r="B160" t="s">
        <v>6998</v>
      </c>
      <c r="C160" s="5" t="s">
        <v>10290</v>
      </c>
      <c r="D160" s="1">
        <v>1</v>
      </c>
      <c r="E160" s="1">
        <v>28</v>
      </c>
      <c r="F160" s="1">
        <v>147</v>
      </c>
      <c r="G160" s="1">
        <v>147</v>
      </c>
      <c r="H160" s="8" cm="1">
        <f t="array" ref="H160">_xlfn.LET(_xlpm.s,IFERROR(--F160,""),_xlpm.e,IFERROR(--G160,""),IF(OR(_xlpm.s="",_xlpm.e="",_xlpm.e&lt;_xlpm.s),"",_xlfn.LET(_xlpm.p,_xlfn.SEQUENCE(_xlpm.e-_xlpm.s+1,1,_xlpm.s,1),SUM(1/COUNTIFS($D:$D,D160,$E:$E,E160,$F:$F,"&lt;&gt;N/A",$G:$G,"&lt;&gt;N/A",$F:$F,"&lt;="&amp;_xlpm.p,$G:$G,"&gt;="&amp;_xlpm.p)))))</f>
        <v>0.5</v>
      </c>
      <c r="I160" s="4" t="s">
        <v>774</v>
      </c>
      <c r="J160" t="s">
        <v>839</v>
      </c>
      <c r="K160" s="5" t="s">
        <v>11509</v>
      </c>
      <c r="L160" s="5" t="s">
        <v>7</v>
      </c>
      <c r="M160" s="5" t="s">
        <v>7</v>
      </c>
      <c r="N160" s="5" t="s">
        <v>7</v>
      </c>
      <c r="O160" s="4" t="s">
        <v>778</v>
      </c>
      <c r="P160" s="4" t="s">
        <v>7834</v>
      </c>
      <c r="R160" t="b">
        <v>0</v>
      </c>
    </row>
    <row r="161" spans="1:18">
      <c r="A161" t="s">
        <v>3009</v>
      </c>
      <c r="B161" t="s">
        <v>6999</v>
      </c>
      <c r="C161" s="5" t="s">
        <v>10290</v>
      </c>
      <c r="D161" s="1">
        <v>1</v>
      </c>
      <c r="E161" s="1">
        <v>28</v>
      </c>
      <c r="F161" s="1">
        <v>147</v>
      </c>
      <c r="G161" s="1">
        <v>148</v>
      </c>
      <c r="H161" s="8" cm="1">
        <f t="array" ref="H161">_xlfn.LET(_xlpm.s,IFERROR(--F161,""),_xlpm.e,IFERROR(--G161,""),IF(OR(_xlpm.s="",_xlpm.e="",_xlpm.e&lt;_xlpm.s),"",_xlfn.LET(_xlpm.p,_xlfn.SEQUENCE(_xlpm.e-_xlpm.s+1,1,_xlpm.s,1),SUM(1/COUNTIFS($D:$D,D161,$E:$E,E161,$F:$F,"&lt;&gt;N/A",$G:$G,"&lt;&gt;N/A",$F:$F,"&lt;="&amp;_xlpm.p,$G:$G,"&gt;="&amp;_xlpm.p)))))</f>
        <v>1</v>
      </c>
      <c r="I161" s="4" t="s">
        <v>782</v>
      </c>
      <c r="J161" t="s">
        <v>883</v>
      </c>
      <c r="K161" s="5" t="s">
        <v>11509</v>
      </c>
      <c r="L161" s="5" t="s">
        <v>7</v>
      </c>
      <c r="M161" s="5" t="s">
        <v>7</v>
      </c>
      <c r="N161" s="5" t="s">
        <v>7</v>
      </c>
      <c r="O161" s="4" t="s">
        <v>778</v>
      </c>
      <c r="P161" s="4" t="s">
        <v>7834</v>
      </c>
      <c r="R161" t="b">
        <v>1</v>
      </c>
    </row>
    <row r="162" spans="1:18">
      <c r="A162" t="s">
        <v>3009</v>
      </c>
      <c r="B162" t="s">
        <v>7113</v>
      </c>
      <c r="C162" s="5" t="s">
        <v>10290</v>
      </c>
      <c r="D162" s="1">
        <v>1</v>
      </c>
      <c r="E162" s="1">
        <v>28</v>
      </c>
      <c r="F162" s="1">
        <v>148</v>
      </c>
      <c r="G162" s="1">
        <v>150</v>
      </c>
      <c r="H162" s="8" cm="1">
        <f t="array" ref="H162">_xlfn.LET(_xlpm.s,IFERROR(--F162,""),_xlpm.e,IFERROR(--G162,""),IF(OR(_xlpm.s="",_xlpm.e="",_xlpm.e&lt;_xlpm.s),"",_xlfn.LET(_xlpm.p,_xlfn.SEQUENCE(_xlpm.e-_xlpm.s+1,1,_xlpm.s,1),SUM(1/COUNTIFS($D:$D,D162,$E:$E,E162,$F:$F,"&lt;&gt;N/A",$G:$G,"&lt;&gt;N/A",$F:$F,"&lt;="&amp;_xlpm.p,$G:$G,"&gt;="&amp;_xlpm.p)))))</f>
        <v>2</v>
      </c>
      <c r="I162" s="4" t="s">
        <v>782</v>
      </c>
      <c r="J162" t="s">
        <v>884</v>
      </c>
      <c r="K162" t="s">
        <v>847</v>
      </c>
      <c r="L162" s="5" t="s">
        <v>7</v>
      </c>
      <c r="M162" s="5" t="s">
        <v>7</v>
      </c>
      <c r="N162" s="5" t="s">
        <v>7</v>
      </c>
      <c r="O162" s="4" t="s">
        <v>778</v>
      </c>
      <c r="P162" s="4" t="s">
        <v>7834</v>
      </c>
      <c r="R162" t="b">
        <v>1</v>
      </c>
    </row>
    <row r="163" spans="1:18">
      <c r="A163" t="s">
        <v>3009</v>
      </c>
      <c r="B163" t="s">
        <v>10526</v>
      </c>
      <c r="C163" s="5" t="s">
        <v>10290</v>
      </c>
      <c r="D163" s="1">
        <v>1</v>
      </c>
      <c r="E163" s="1">
        <v>28</v>
      </c>
      <c r="F163" s="1">
        <v>150</v>
      </c>
      <c r="G163" s="1">
        <v>150</v>
      </c>
      <c r="H163" s="8" cm="1">
        <f t="array" ref="H163">_xlfn.LET(_xlpm.s,IFERROR(--F163,""),_xlpm.e,IFERROR(--G163,""),IF(OR(_xlpm.s="",_xlpm.e="",_xlpm.e&lt;_xlpm.s),"",_xlfn.LET(_xlpm.p,_xlfn.SEQUENCE(_xlpm.e-_xlpm.s+1,1,_xlpm.s,1),SUM(1/COUNTIFS($D:$D,D163,$E:$E,E163,$F:$F,"&lt;&gt;N/A",$G:$G,"&lt;&gt;N/A",$F:$F,"&lt;="&amp;_xlpm.p,$G:$G,"&gt;="&amp;_xlpm.p)))))</f>
        <v>0.5</v>
      </c>
      <c r="I163" s="4" t="s">
        <v>782</v>
      </c>
      <c r="J163" t="s">
        <v>885</v>
      </c>
      <c r="K163" t="s">
        <v>644</v>
      </c>
      <c r="L163" s="5" t="s">
        <v>7</v>
      </c>
      <c r="M163" s="5" t="s">
        <v>7</v>
      </c>
      <c r="N163" s="5" t="s">
        <v>7</v>
      </c>
      <c r="O163" s="4" t="s">
        <v>778</v>
      </c>
      <c r="P163" s="4" t="s">
        <v>7834</v>
      </c>
      <c r="R163" t="b">
        <v>1</v>
      </c>
    </row>
    <row r="164" spans="1:18">
      <c r="A164" t="s">
        <v>3009</v>
      </c>
      <c r="B164" t="s">
        <v>7000</v>
      </c>
      <c r="C164" s="5" t="s">
        <v>7962</v>
      </c>
      <c r="D164" s="1">
        <v>1</v>
      </c>
      <c r="E164" s="1">
        <v>29</v>
      </c>
      <c r="F164" s="1">
        <v>151</v>
      </c>
      <c r="G164" s="1">
        <v>151</v>
      </c>
      <c r="H164" s="8" cm="1">
        <f t="array" ref="H164">_xlfn.LET(_xlpm.s,IFERROR(--F164,""),_xlpm.e,IFERROR(--G164,""),IF(OR(_xlpm.s="",_xlpm.e="",_xlpm.e&lt;_xlpm.s),"",_xlfn.LET(_xlpm.p,_xlfn.SEQUENCE(_xlpm.e-_xlpm.s+1,1,_xlpm.s,1),SUM(1/COUNTIFS($D:$D,D164,$E:$E,E164,$F:$F,"&lt;&gt;N/A",$G:$G,"&lt;&gt;N/A",$F:$F,"&lt;="&amp;_xlpm.p,$G:$G,"&gt;="&amp;_xlpm.p)))))</f>
        <v>0.5</v>
      </c>
      <c r="I164" s="4" t="s">
        <v>774</v>
      </c>
      <c r="J164" t="s">
        <v>839</v>
      </c>
      <c r="K164" s="5" t="s">
        <v>11509</v>
      </c>
      <c r="L164" s="5" t="s">
        <v>7</v>
      </c>
      <c r="M164" s="5" t="s">
        <v>7</v>
      </c>
      <c r="N164" s="5" t="s">
        <v>7</v>
      </c>
      <c r="O164" s="4" t="s">
        <v>778</v>
      </c>
      <c r="P164" s="4" t="s">
        <v>7834</v>
      </c>
      <c r="R164" t="b">
        <v>1</v>
      </c>
    </row>
    <row r="165" spans="1:18">
      <c r="A165" t="s">
        <v>3009</v>
      </c>
      <c r="B165" t="s">
        <v>7114</v>
      </c>
      <c r="C165" s="5" t="s">
        <v>7962</v>
      </c>
      <c r="D165" s="1">
        <v>1</v>
      </c>
      <c r="E165" s="1">
        <v>29</v>
      </c>
      <c r="F165" s="1">
        <v>151</v>
      </c>
      <c r="G165" s="1">
        <v>152</v>
      </c>
      <c r="H165" s="8" cm="1">
        <f t="array" ref="H165">_xlfn.LET(_xlpm.s,IFERROR(--F165,""),_xlpm.e,IFERROR(--G165,""),IF(OR(_xlpm.s="",_xlpm.e="",_xlpm.e&lt;_xlpm.s),"",_xlfn.LET(_xlpm.p,_xlfn.SEQUENCE(_xlpm.e-_xlpm.s+1,1,_xlpm.s,1),SUM(1/COUNTIFS($D:$D,D165,$E:$E,E165,$F:$F,"&lt;&gt;N/A",$G:$G,"&lt;&gt;N/A",$F:$F,"&lt;="&amp;_xlpm.p,$G:$G,"&gt;="&amp;_xlpm.p)))))</f>
        <v>1</v>
      </c>
      <c r="I165" s="4" t="s">
        <v>774</v>
      </c>
      <c r="J165" t="s">
        <v>848</v>
      </c>
      <c r="K165" s="5" t="s">
        <v>11509</v>
      </c>
      <c r="L165" s="5" t="s">
        <v>7</v>
      </c>
      <c r="M165" s="5" t="s">
        <v>7</v>
      </c>
      <c r="N165" s="5" t="s">
        <v>7</v>
      </c>
      <c r="O165" s="4" t="s">
        <v>778</v>
      </c>
      <c r="P165" s="4" t="s">
        <v>7834</v>
      </c>
      <c r="R165" t="b">
        <v>1</v>
      </c>
    </row>
    <row r="166" spans="1:18">
      <c r="A166" t="s">
        <v>3009</v>
      </c>
      <c r="B166" t="s">
        <v>10527</v>
      </c>
      <c r="C166" s="5" t="s">
        <v>7962</v>
      </c>
      <c r="D166" s="1">
        <v>1</v>
      </c>
      <c r="E166" s="1">
        <v>29</v>
      </c>
      <c r="F166" s="1">
        <v>152</v>
      </c>
      <c r="G166" s="1">
        <v>154</v>
      </c>
      <c r="H166" s="8" cm="1">
        <f t="array" ref="H166">_xlfn.LET(_xlpm.s,IFERROR(--F166,""),_xlpm.e,IFERROR(--G166,""),IF(OR(_xlpm.s="",_xlpm.e="",_xlpm.e&lt;_xlpm.s),"",_xlfn.LET(_xlpm.p,_xlfn.SEQUENCE(_xlpm.e-_xlpm.s+1,1,_xlpm.s,1),SUM(1/COUNTIFS($D:$D,D166,$E:$E,E166,$F:$F,"&lt;&gt;N/A",$G:$G,"&lt;&gt;N/A",$F:$F,"&lt;="&amp;_xlpm.p,$G:$G,"&gt;="&amp;_xlpm.p)))))</f>
        <v>2.5</v>
      </c>
      <c r="I166" s="4" t="s">
        <v>782</v>
      </c>
      <c r="J166" t="s">
        <v>886</v>
      </c>
      <c r="K166" s="5" t="s">
        <v>887</v>
      </c>
      <c r="L166" s="5" t="s">
        <v>7</v>
      </c>
      <c r="M166" s="5" t="s">
        <v>7</v>
      </c>
      <c r="N166" s="5" t="s">
        <v>7</v>
      </c>
      <c r="O166" s="4" t="s">
        <v>778</v>
      </c>
      <c r="P166" s="4" t="s">
        <v>7834</v>
      </c>
      <c r="R166" t="b">
        <v>1</v>
      </c>
    </row>
    <row r="167" spans="1:18">
      <c r="A167" t="s">
        <v>3009</v>
      </c>
      <c r="B167" t="s">
        <v>7001</v>
      </c>
      <c r="C167" s="5" t="s">
        <v>7963</v>
      </c>
      <c r="D167" s="1">
        <v>1</v>
      </c>
      <c r="E167" s="1">
        <v>30</v>
      </c>
      <c r="F167" s="1">
        <v>155</v>
      </c>
      <c r="G167" s="1">
        <v>155</v>
      </c>
      <c r="H167" s="8" cm="1">
        <f t="array" ref="H167">_xlfn.LET(_xlpm.s,IFERROR(--F167,""),_xlpm.e,IFERROR(--G167,""),IF(OR(_xlpm.s="",_xlpm.e="",_xlpm.e&lt;_xlpm.s),"",_xlfn.LET(_xlpm.p,_xlfn.SEQUENCE(_xlpm.e-_xlpm.s+1,1,_xlpm.s,1),SUM(1/COUNTIFS($D:$D,D167,$E:$E,E167,$F:$F,"&lt;&gt;N/A",$G:$G,"&lt;&gt;N/A",$F:$F,"&lt;="&amp;_xlpm.p,$G:$G,"&gt;="&amp;_xlpm.p)))))</f>
        <v>0.5</v>
      </c>
      <c r="I167" s="4" t="s">
        <v>774</v>
      </c>
      <c r="J167" t="s">
        <v>839</v>
      </c>
      <c r="K167" s="5" t="s">
        <v>7</v>
      </c>
      <c r="L167" s="5" t="s">
        <v>7</v>
      </c>
      <c r="M167" s="5" t="s">
        <v>7</v>
      </c>
      <c r="N167" s="5" t="s">
        <v>7</v>
      </c>
      <c r="O167" s="4" t="s">
        <v>778</v>
      </c>
      <c r="P167" s="4" t="s">
        <v>7834</v>
      </c>
      <c r="R167" t="b">
        <v>0</v>
      </c>
    </row>
    <row r="168" spans="1:18">
      <c r="A168" t="s">
        <v>3009</v>
      </c>
      <c r="B168" t="s">
        <v>7002</v>
      </c>
      <c r="C168" s="5" t="s">
        <v>7963</v>
      </c>
      <c r="D168" s="1">
        <v>1</v>
      </c>
      <c r="E168" s="1">
        <v>30</v>
      </c>
      <c r="F168" s="1">
        <v>155</v>
      </c>
      <c r="G168" s="1">
        <v>156</v>
      </c>
      <c r="H168" s="8" cm="1">
        <f t="array" ref="H168">_xlfn.LET(_xlpm.s,IFERROR(--F168,""),_xlpm.e,IFERROR(--G168,""),IF(OR(_xlpm.s="",_xlpm.e="",_xlpm.e&lt;_xlpm.s),"",_xlfn.LET(_xlpm.p,_xlfn.SEQUENCE(_xlpm.e-_xlpm.s+1,1,_xlpm.s,1),SUM(1/COUNTIFS($D:$D,D168,$E:$E,E168,$F:$F,"&lt;&gt;N/A",$G:$G,"&lt;&gt;N/A",$F:$F,"&lt;="&amp;_xlpm.p,$G:$G,"&gt;="&amp;_xlpm.p)))))</f>
        <v>1</v>
      </c>
      <c r="I168" s="4" t="s">
        <v>774</v>
      </c>
      <c r="J168" t="s">
        <v>848</v>
      </c>
      <c r="K168" s="5" t="s">
        <v>7</v>
      </c>
      <c r="L168" s="5" t="s">
        <v>7</v>
      </c>
      <c r="M168" s="5" t="s">
        <v>7</v>
      </c>
      <c r="N168" s="5" t="s">
        <v>7</v>
      </c>
      <c r="O168" s="4" t="s">
        <v>778</v>
      </c>
      <c r="P168" s="4" t="s">
        <v>7834</v>
      </c>
      <c r="R168" t="b">
        <v>1</v>
      </c>
    </row>
    <row r="169" spans="1:18">
      <c r="A169" t="s">
        <v>3009</v>
      </c>
      <c r="B169" t="s">
        <v>7115</v>
      </c>
      <c r="C169" s="5" t="s">
        <v>7963</v>
      </c>
      <c r="D169" s="1">
        <v>1</v>
      </c>
      <c r="E169" s="1">
        <v>30</v>
      </c>
      <c r="F169" s="1">
        <v>156</v>
      </c>
      <c r="G169" s="1">
        <v>158</v>
      </c>
      <c r="H169" s="8" cm="1">
        <f t="array" ref="H169">_xlfn.LET(_xlpm.s,IFERROR(--F169,""),_xlpm.e,IFERROR(--G169,""),IF(OR(_xlpm.s="",_xlpm.e="",_xlpm.e&lt;_xlpm.s),"",_xlfn.LET(_xlpm.p,_xlfn.SEQUENCE(_xlpm.e-_xlpm.s+1,1,_xlpm.s,1),SUM(1/COUNTIFS($D:$D,D169,$E:$E,E169,$F:$F,"&lt;&gt;N/A",$G:$G,"&lt;&gt;N/A",$F:$F,"&lt;="&amp;_xlpm.p,$G:$G,"&gt;="&amp;_xlpm.p)))))</f>
        <v>2</v>
      </c>
      <c r="I169" s="4" t="s">
        <v>782</v>
      </c>
      <c r="J169" t="s">
        <v>888</v>
      </c>
      <c r="K169" t="s">
        <v>847</v>
      </c>
      <c r="L169" s="5" t="s">
        <v>7</v>
      </c>
      <c r="M169" s="5" t="s">
        <v>7</v>
      </c>
      <c r="N169" s="5" t="s">
        <v>7</v>
      </c>
      <c r="O169" s="4" t="s">
        <v>778</v>
      </c>
      <c r="P169" s="4" t="s">
        <v>7834</v>
      </c>
      <c r="R169" t="b">
        <v>1</v>
      </c>
    </row>
    <row r="170" spans="1:18">
      <c r="A170" t="s">
        <v>3009</v>
      </c>
      <c r="B170" t="s">
        <v>10528</v>
      </c>
      <c r="C170" s="5" t="s">
        <v>7963</v>
      </c>
      <c r="D170" s="1">
        <v>1</v>
      </c>
      <c r="E170" s="1">
        <v>30</v>
      </c>
      <c r="F170" s="1">
        <v>158</v>
      </c>
      <c r="G170" s="1">
        <v>158</v>
      </c>
      <c r="H170" s="8" cm="1">
        <f t="array" ref="H170">_xlfn.LET(_xlpm.s,IFERROR(--F170,""),_xlpm.e,IFERROR(--G170,""),IF(OR(_xlpm.s="",_xlpm.e="",_xlpm.e&lt;_xlpm.s),"",_xlfn.LET(_xlpm.p,_xlfn.SEQUENCE(_xlpm.e-_xlpm.s+1,1,_xlpm.s,1),SUM(1/COUNTIFS($D:$D,D170,$E:$E,E170,$F:$F,"&lt;&gt;N/A",$G:$G,"&lt;&gt;N/A",$F:$F,"&lt;="&amp;_xlpm.p,$G:$G,"&gt;="&amp;_xlpm.p)))))</f>
        <v>0.5</v>
      </c>
      <c r="I170" s="4" t="s">
        <v>782</v>
      </c>
      <c r="J170" t="s">
        <v>889</v>
      </c>
      <c r="K170" t="s">
        <v>890</v>
      </c>
      <c r="L170" s="5" t="s">
        <v>7</v>
      </c>
      <c r="M170" s="5" t="s">
        <v>7</v>
      </c>
      <c r="N170" s="5" t="s">
        <v>7</v>
      </c>
      <c r="O170" s="4" t="s">
        <v>778</v>
      </c>
      <c r="P170" s="4" t="s">
        <v>7834</v>
      </c>
      <c r="R170" t="b">
        <v>1</v>
      </c>
    </row>
    <row r="171" spans="1:18">
      <c r="A171" t="s">
        <v>3009</v>
      </c>
      <c r="B171" t="s">
        <v>3582</v>
      </c>
      <c r="C171" s="5" t="s">
        <v>7964</v>
      </c>
      <c r="D171" s="1">
        <v>1</v>
      </c>
      <c r="E171" s="1">
        <v>31</v>
      </c>
      <c r="F171" s="1">
        <v>159</v>
      </c>
      <c r="G171" s="1">
        <v>160</v>
      </c>
      <c r="H171" s="8" cm="1">
        <f t="array" ref="H171">_xlfn.LET(_xlpm.s,IFERROR(--F171,""),_xlpm.e,IFERROR(--G171,""),IF(OR(_xlpm.s="",_xlpm.e="",_xlpm.e&lt;_xlpm.s),"",_xlfn.LET(_xlpm.p,_xlfn.SEQUENCE(_xlpm.e-_xlpm.s+1,1,_xlpm.s,1),SUM(1/COUNTIFS($D:$D,D171,$E:$E,E171,$F:$F,"&lt;&gt;N/A",$G:$G,"&lt;&gt;N/A",$F:$F,"&lt;="&amp;_xlpm.p,$G:$G,"&gt;="&amp;_xlpm.p)))))</f>
        <v>1.3333333333333333</v>
      </c>
      <c r="I171" s="4" t="s">
        <v>774</v>
      </c>
      <c r="J171" t="s">
        <v>839</v>
      </c>
      <c r="K171" s="5" t="s">
        <v>7</v>
      </c>
      <c r="L171" s="5" t="s">
        <v>7</v>
      </c>
      <c r="M171" s="5" t="s">
        <v>7</v>
      </c>
      <c r="N171" s="5" t="s">
        <v>7</v>
      </c>
      <c r="O171" s="4" t="s">
        <v>778</v>
      </c>
      <c r="P171" s="4" t="s">
        <v>7834</v>
      </c>
      <c r="R171" t="b">
        <v>0</v>
      </c>
    </row>
    <row r="172" spans="1:18">
      <c r="A172" t="s">
        <v>3009</v>
      </c>
      <c r="B172" t="s">
        <v>7003</v>
      </c>
      <c r="C172" s="5" t="s">
        <v>7964</v>
      </c>
      <c r="D172" s="1">
        <v>1</v>
      </c>
      <c r="E172" s="1">
        <v>31</v>
      </c>
      <c r="F172" s="1">
        <v>160</v>
      </c>
      <c r="G172" s="1">
        <v>160</v>
      </c>
      <c r="H172" s="8" cm="1">
        <f t="array" ref="H172">_xlfn.LET(_xlpm.s,IFERROR(--F172,""),_xlpm.e,IFERROR(--G172,""),IF(OR(_xlpm.s="",_xlpm.e="",_xlpm.e&lt;_xlpm.s),"",_xlfn.LET(_xlpm.p,_xlfn.SEQUENCE(_xlpm.e-_xlpm.s+1,1,_xlpm.s,1),SUM(1/COUNTIFS($D:$D,D172,$E:$E,E172,$F:$F,"&lt;&gt;N/A",$G:$G,"&lt;&gt;N/A",$F:$F,"&lt;="&amp;_xlpm.p,$G:$G,"&gt;="&amp;_xlpm.p)))))</f>
        <v>0.33333333333333331</v>
      </c>
      <c r="I172" s="4" t="s">
        <v>782</v>
      </c>
      <c r="J172" t="s">
        <v>891</v>
      </c>
      <c r="K172" s="5" t="s">
        <v>7</v>
      </c>
      <c r="L172" s="5" t="s">
        <v>2148</v>
      </c>
      <c r="M172" t="s">
        <v>6951</v>
      </c>
      <c r="N172" s="5" t="s">
        <v>2327</v>
      </c>
      <c r="O172" s="4" t="s">
        <v>5072</v>
      </c>
      <c r="P172" s="4" t="s">
        <v>8021</v>
      </c>
      <c r="R172" t="b">
        <v>1</v>
      </c>
    </row>
    <row r="173" spans="1:18">
      <c r="A173" t="s">
        <v>3009</v>
      </c>
      <c r="B173" t="s">
        <v>7004</v>
      </c>
      <c r="C173" s="5" t="s">
        <v>7964</v>
      </c>
      <c r="D173" s="1">
        <v>1</v>
      </c>
      <c r="E173" s="1">
        <v>31</v>
      </c>
      <c r="F173" s="1">
        <v>160</v>
      </c>
      <c r="G173" s="1">
        <v>162</v>
      </c>
      <c r="H173" s="8" cm="1">
        <f t="array" ref="H173">_xlfn.LET(_xlpm.s,IFERROR(--F173,""),_xlpm.e,IFERROR(--G173,""),IF(OR(_xlpm.s="",_xlpm.e="",_xlpm.e&lt;_xlpm.s),"",_xlfn.LET(_xlpm.p,_xlfn.SEQUENCE(_xlpm.e-_xlpm.s+1,1,_xlpm.s,1),SUM(1/COUNTIFS($D:$D,D173,$E:$E,E173,$F:$F,"&lt;&gt;N/A",$G:$G,"&lt;&gt;N/A",$F:$F,"&lt;="&amp;_xlpm.p,$G:$G,"&gt;="&amp;_xlpm.p)))))</f>
        <v>1.6666666666666665</v>
      </c>
      <c r="I173" s="4" t="s">
        <v>782</v>
      </c>
      <c r="J173" t="s">
        <v>892</v>
      </c>
      <c r="K173" s="5" t="s">
        <v>7</v>
      </c>
      <c r="L173" s="5" t="s">
        <v>2148</v>
      </c>
      <c r="M173" t="s">
        <v>6951</v>
      </c>
      <c r="N173" s="5" t="s">
        <v>2328</v>
      </c>
      <c r="O173" s="4" t="s">
        <v>11522</v>
      </c>
      <c r="P173" s="4" t="s">
        <v>8021</v>
      </c>
      <c r="R173" t="b">
        <v>1</v>
      </c>
    </row>
    <row r="174" spans="1:18">
      <c r="A174" t="s">
        <v>3009</v>
      </c>
      <c r="B174" t="s">
        <v>7116</v>
      </c>
      <c r="C174" s="5" t="s">
        <v>7964</v>
      </c>
      <c r="D174" s="1">
        <v>1</v>
      </c>
      <c r="E174" s="1">
        <v>31</v>
      </c>
      <c r="F174" s="1">
        <v>162</v>
      </c>
      <c r="G174" s="1">
        <v>162</v>
      </c>
      <c r="H174" s="8" cm="1">
        <f t="array" ref="H174">_xlfn.LET(_xlpm.s,IFERROR(--F174,""),_xlpm.e,IFERROR(--G174,""),IF(OR(_xlpm.s="",_xlpm.e="",_xlpm.e&lt;_xlpm.s),"",_xlfn.LET(_xlpm.p,_xlfn.SEQUENCE(_xlpm.e-_xlpm.s+1,1,_xlpm.s,1),SUM(1/COUNTIFS($D:$D,D174,$E:$E,E174,$F:$F,"&lt;&gt;N/A",$G:$G,"&lt;&gt;N/A",$F:$F,"&lt;="&amp;_xlpm.p,$G:$G,"&gt;="&amp;_xlpm.p)))))</f>
        <v>0.33333333333333331</v>
      </c>
      <c r="I174" s="4" t="s">
        <v>782</v>
      </c>
      <c r="J174" t="s">
        <v>893</v>
      </c>
      <c r="K174" s="5" t="s">
        <v>7</v>
      </c>
      <c r="L174" s="5" t="s">
        <v>2151</v>
      </c>
      <c r="M174" t="s">
        <v>6951</v>
      </c>
      <c r="N174" s="5" t="s">
        <v>2326</v>
      </c>
      <c r="O174" s="4" t="s">
        <v>5072</v>
      </c>
      <c r="P174" s="4" t="s">
        <v>8021</v>
      </c>
      <c r="R174" t="b">
        <v>1</v>
      </c>
    </row>
    <row r="175" spans="1:18">
      <c r="A175" t="s">
        <v>3009</v>
      </c>
      <c r="B175" t="s">
        <v>10529</v>
      </c>
      <c r="C175" s="5" t="s">
        <v>7964</v>
      </c>
      <c r="D175" s="1">
        <v>1</v>
      </c>
      <c r="E175" s="1">
        <v>31</v>
      </c>
      <c r="F175" s="1">
        <v>162</v>
      </c>
      <c r="G175" s="1">
        <v>162</v>
      </c>
      <c r="H175" s="8" cm="1">
        <f t="array" ref="H175">_xlfn.LET(_xlpm.s,IFERROR(--F175,""),_xlpm.e,IFERROR(--G175,""),IF(OR(_xlpm.s="",_xlpm.e="",_xlpm.e&lt;_xlpm.s),"",_xlfn.LET(_xlpm.p,_xlfn.SEQUENCE(_xlpm.e-_xlpm.s+1,1,_xlpm.s,1),SUM(1/COUNTIFS($D:$D,D175,$E:$E,E175,$F:$F,"&lt;&gt;N/A",$G:$G,"&lt;&gt;N/A",$F:$F,"&lt;="&amp;_xlpm.p,$G:$G,"&gt;="&amp;_xlpm.p)))))</f>
        <v>0.33333333333333331</v>
      </c>
      <c r="I175" s="4" t="s">
        <v>782</v>
      </c>
      <c r="J175" t="s">
        <v>7679</v>
      </c>
      <c r="K175" s="5" t="s">
        <v>7</v>
      </c>
      <c r="L175" s="5" t="s">
        <v>2152</v>
      </c>
      <c r="M175" s="5" t="s">
        <v>7</v>
      </c>
      <c r="N175" s="5" t="s">
        <v>7</v>
      </c>
      <c r="O175" s="4" t="s">
        <v>11522</v>
      </c>
      <c r="P175" s="4" t="s">
        <v>8021</v>
      </c>
      <c r="R175" t="b">
        <v>1</v>
      </c>
    </row>
    <row r="176" spans="1:18">
      <c r="A176" t="s">
        <v>3009</v>
      </c>
      <c r="B176" t="s">
        <v>3583</v>
      </c>
      <c r="C176" s="5" t="s">
        <v>10288</v>
      </c>
      <c r="D176" s="1">
        <v>1</v>
      </c>
      <c r="E176" s="1">
        <v>32</v>
      </c>
      <c r="F176" s="1">
        <v>163</v>
      </c>
      <c r="G176" s="1">
        <v>163</v>
      </c>
      <c r="H176" s="8" cm="1">
        <f t="array" ref="H176">_xlfn.LET(_xlpm.s,IFERROR(--F176,""),_xlpm.e,IFERROR(--G176,""),IF(OR(_xlpm.s="",_xlpm.e="",_xlpm.e&lt;_xlpm.s),"",_xlfn.LET(_xlpm.p,_xlfn.SEQUENCE(_xlpm.e-_xlpm.s+1,1,_xlpm.s,1),SUM(1/COUNTIFS($D:$D,D176,$E:$E,E176,$F:$F,"&lt;&gt;N/A",$G:$G,"&lt;&gt;N/A",$F:$F,"&lt;="&amp;_xlpm.p,$G:$G,"&gt;="&amp;_xlpm.p)))))</f>
        <v>0.5</v>
      </c>
      <c r="I176" s="4" t="s">
        <v>774</v>
      </c>
      <c r="J176" t="s">
        <v>839</v>
      </c>
      <c r="K176" s="5" t="s">
        <v>7</v>
      </c>
      <c r="L176" s="5" t="s">
        <v>7</v>
      </c>
      <c r="M176" s="5" t="s">
        <v>7</v>
      </c>
      <c r="N176" s="5" t="s">
        <v>7</v>
      </c>
      <c r="O176" s="4" t="s">
        <v>778</v>
      </c>
      <c r="P176" s="4" t="s">
        <v>7834</v>
      </c>
      <c r="R176" t="b">
        <v>0</v>
      </c>
    </row>
    <row r="177" spans="1:18">
      <c r="A177" t="s">
        <v>3009</v>
      </c>
      <c r="B177" t="s">
        <v>7005</v>
      </c>
      <c r="C177" s="5" t="s">
        <v>10288</v>
      </c>
      <c r="D177" s="1">
        <v>1</v>
      </c>
      <c r="E177" s="1">
        <v>32</v>
      </c>
      <c r="F177" s="1">
        <v>163</v>
      </c>
      <c r="G177" s="1">
        <v>164</v>
      </c>
      <c r="H177" s="8" cm="1">
        <f t="array" ref="H177">_xlfn.LET(_xlpm.s,IFERROR(--F177,""),_xlpm.e,IFERROR(--G177,""),IF(OR(_xlpm.s="",_xlpm.e="",_xlpm.e&lt;_xlpm.s),"",_xlfn.LET(_xlpm.p,_xlfn.SEQUENCE(_xlpm.e-_xlpm.s+1,1,_xlpm.s,1),SUM(1/COUNTIFS($D:$D,D177,$E:$E,E177,$F:$F,"&lt;&gt;N/A",$G:$G,"&lt;&gt;N/A",$F:$F,"&lt;="&amp;_xlpm.p,$G:$G,"&gt;="&amp;_xlpm.p)))))</f>
        <v>1</v>
      </c>
      <c r="I177" s="4" t="s">
        <v>774</v>
      </c>
      <c r="J177" t="s">
        <v>848</v>
      </c>
      <c r="K177" s="5" t="s">
        <v>7</v>
      </c>
      <c r="L177" s="5" t="s">
        <v>7</v>
      </c>
      <c r="M177" s="5" t="s">
        <v>7</v>
      </c>
      <c r="N177" s="5" t="s">
        <v>7</v>
      </c>
      <c r="O177" s="4" t="s">
        <v>778</v>
      </c>
      <c r="P177" s="4" t="s">
        <v>7834</v>
      </c>
      <c r="R177" t="b">
        <v>1</v>
      </c>
    </row>
    <row r="178" spans="1:18">
      <c r="A178" t="s">
        <v>3009</v>
      </c>
      <c r="B178" t="s">
        <v>7006</v>
      </c>
      <c r="C178" s="5" t="s">
        <v>10288</v>
      </c>
      <c r="D178" s="1">
        <v>1</v>
      </c>
      <c r="E178" s="1">
        <v>32</v>
      </c>
      <c r="F178" s="1">
        <v>164</v>
      </c>
      <c r="G178" s="1">
        <v>165</v>
      </c>
      <c r="H178" s="8" cm="1">
        <f t="array" ref="H178">_xlfn.LET(_xlpm.s,IFERROR(--F178,""),_xlpm.e,IFERROR(--G178,""),IF(OR(_xlpm.s="",_xlpm.e="",_xlpm.e&lt;_xlpm.s),"",_xlfn.LET(_xlpm.p,_xlfn.SEQUENCE(_xlpm.e-_xlpm.s+1,1,_xlpm.s,1),SUM(1/COUNTIFS($D:$D,D178,$E:$E,E178,$F:$F,"&lt;&gt;N/A",$G:$G,"&lt;&gt;N/A",$F:$F,"&lt;="&amp;_xlpm.p,$G:$G,"&gt;="&amp;_xlpm.p)))))</f>
        <v>1</v>
      </c>
      <c r="I178" s="4" t="s">
        <v>782</v>
      </c>
      <c r="J178" t="s">
        <v>894</v>
      </c>
      <c r="K178" s="5" t="s">
        <v>7</v>
      </c>
      <c r="L178" s="5" t="s">
        <v>2153</v>
      </c>
      <c r="M178" t="s">
        <v>6951</v>
      </c>
      <c r="N178" s="5" t="s">
        <v>2324</v>
      </c>
      <c r="O178" s="4" t="s">
        <v>5072</v>
      </c>
      <c r="P178" s="4" t="s">
        <v>8021</v>
      </c>
      <c r="R178" t="b">
        <v>1</v>
      </c>
    </row>
    <row r="179" spans="1:18">
      <c r="A179" t="s">
        <v>3009</v>
      </c>
      <c r="B179" t="s">
        <v>7117</v>
      </c>
      <c r="C179" s="5" t="s">
        <v>10288</v>
      </c>
      <c r="D179" s="1">
        <v>1</v>
      </c>
      <c r="E179" s="1">
        <v>32</v>
      </c>
      <c r="F179" s="1">
        <v>165</v>
      </c>
      <c r="G179" s="1">
        <v>166</v>
      </c>
      <c r="H179" s="8" cm="1">
        <f t="array" ref="H179">_xlfn.LET(_xlpm.s,IFERROR(--F179,""),_xlpm.e,IFERROR(--G179,""),IF(OR(_xlpm.s="",_xlpm.e="",_xlpm.e&lt;_xlpm.s),"",_xlfn.LET(_xlpm.p,_xlfn.SEQUENCE(_xlpm.e-_xlpm.s+1,1,_xlpm.s,1),SUM(1/COUNTIFS($D:$D,D179,$E:$E,E179,$F:$F,"&lt;&gt;N/A",$G:$G,"&lt;&gt;N/A",$F:$F,"&lt;="&amp;_xlpm.p,$G:$G,"&gt;="&amp;_xlpm.p)))))</f>
        <v>1</v>
      </c>
      <c r="I179" s="4" t="s">
        <v>782</v>
      </c>
      <c r="J179" t="s">
        <v>895</v>
      </c>
      <c r="K179" s="5" t="s">
        <v>7</v>
      </c>
      <c r="L179" s="5" t="s">
        <v>2154</v>
      </c>
      <c r="M179" s="5" t="s">
        <v>7257</v>
      </c>
      <c r="N179" s="5" t="s">
        <v>2325</v>
      </c>
      <c r="O179" s="4" t="s">
        <v>11522</v>
      </c>
      <c r="P179" s="4" t="s">
        <v>8021</v>
      </c>
      <c r="R179" t="b">
        <v>1</v>
      </c>
    </row>
    <row r="180" spans="1:18">
      <c r="A180" t="s">
        <v>3009</v>
      </c>
      <c r="B180" t="s">
        <v>10530</v>
      </c>
      <c r="C180" s="5" t="s">
        <v>10288</v>
      </c>
      <c r="D180" s="1">
        <v>1</v>
      </c>
      <c r="E180" s="1">
        <v>32</v>
      </c>
      <c r="F180" s="1">
        <v>166</v>
      </c>
      <c r="G180" s="1">
        <v>166</v>
      </c>
      <c r="H180" s="8" cm="1">
        <f t="array" ref="H180">_xlfn.LET(_xlpm.s,IFERROR(--F180,""),_xlpm.e,IFERROR(--G180,""),IF(OR(_xlpm.s="",_xlpm.e="",_xlpm.e&lt;_xlpm.s),"",_xlfn.LET(_xlpm.p,_xlfn.SEQUENCE(_xlpm.e-_xlpm.s+1,1,_xlpm.s,1),SUM(1/COUNTIFS($D:$D,D180,$E:$E,E180,$F:$F,"&lt;&gt;N/A",$G:$G,"&lt;&gt;N/A",$F:$F,"&lt;="&amp;_xlpm.p,$G:$G,"&gt;="&amp;_xlpm.p)))))</f>
        <v>0.5</v>
      </c>
      <c r="I180" s="4" t="s">
        <v>782</v>
      </c>
      <c r="J180" t="s">
        <v>896</v>
      </c>
      <c r="K180" s="5" t="s">
        <v>7</v>
      </c>
      <c r="L180" s="5" t="s">
        <v>2155</v>
      </c>
      <c r="M180" t="s">
        <v>7257</v>
      </c>
      <c r="N180" s="5" t="s">
        <v>7277</v>
      </c>
      <c r="O180" s="4" t="s">
        <v>5072</v>
      </c>
      <c r="P180" s="4" t="s">
        <v>8021</v>
      </c>
      <c r="R180" t="b">
        <v>1</v>
      </c>
    </row>
    <row r="181" spans="1:18">
      <c r="A181" t="s">
        <v>3009</v>
      </c>
      <c r="B181" t="s">
        <v>7007</v>
      </c>
      <c r="C181" s="5" t="s">
        <v>7968</v>
      </c>
      <c r="D181" s="1">
        <v>1</v>
      </c>
      <c r="E181" s="1">
        <v>33</v>
      </c>
      <c r="F181" s="1">
        <v>167</v>
      </c>
      <c r="G181" s="1">
        <v>168</v>
      </c>
      <c r="H181" s="8" cm="1">
        <f t="array" ref="H181">_xlfn.LET(_xlpm.s,IFERROR(--F181,""),_xlpm.e,IFERROR(--G181,""),IF(OR(_xlpm.s="",_xlpm.e="",_xlpm.e&lt;_xlpm.s),"",_xlfn.LET(_xlpm.p,_xlfn.SEQUENCE(_xlpm.e-_xlpm.s+1,1,_xlpm.s,1),SUM(1/COUNTIFS($D:$D,D181,$E:$E,E181,$F:$F,"&lt;&gt;N/A",$G:$G,"&lt;&gt;N/A",$F:$F,"&lt;="&amp;_xlpm.p,$G:$G,"&gt;="&amp;_xlpm.p)))))</f>
        <v>1.5</v>
      </c>
      <c r="I181" s="4" t="s">
        <v>782</v>
      </c>
      <c r="J181" t="s">
        <v>897</v>
      </c>
      <c r="K181" t="s">
        <v>898</v>
      </c>
      <c r="L181" s="5" t="s">
        <v>7</v>
      </c>
      <c r="M181" s="5" t="s">
        <v>7</v>
      </c>
      <c r="N181" s="5" t="s">
        <v>7</v>
      </c>
      <c r="O181" s="4" t="s">
        <v>778</v>
      </c>
      <c r="P181" s="4" t="s">
        <v>7834</v>
      </c>
      <c r="R181" t="b">
        <v>1</v>
      </c>
    </row>
    <row r="182" spans="1:18">
      <c r="A182" t="s">
        <v>3009</v>
      </c>
      <c r="B182" t="s">
        <v>7008</v>
      </c>
      <c r="C182" s="5" t="s">
        <v>7968</v>
      </c>
      <c r="D182" s="1">
        <v>1</v>
      </c>
      <c r="E182" s="1">
        <v>33</v>
      </c>
      <c r="F182" s="1">
        <v>168</v>
      </c>
      <c r="G182" s="1">
        <v>169</v>
      </c>
      <c r="H182" s="8" cm="1">
        <f t="array" ref="H182">_xlfn.LET(_xlpm.s,IFERROR(--F182,""),_xlpm.e,IFERROR(--G182,""),IF(OR(_xlpm.s="",_xlpm.e="",_xlpm.e&lt;_xlpm.s),"",_xlfn.LET(_xlpm.p,_xlfn.SEQUENCE(_xlpm.e-_xlpm.s+1,1,_xlpm.s,1),SUM(1/COUNTIFS($D:$D,D182,$E:$E,E182,$F:$F,"&lt;&gt;N/A",$G:$G,"&lt;&gt;N/A",$F:$F,"&lt;="&amp;_xlpm.p,$G:$G,"&gt;="&amp;_xlpm.p)))))</f>
        <v>1</v>
      </c>
      <c r="I182" s="4" t="s">
        <v>782</v>
      </c>
      <c r="J182" t="s">
        <v>899</v>
      </c>
      <c r="K182" s="5" t="s">
        <v>7</v>
      </c>
      <c r="L182" s="5" t="s">
        <v>7</v>
      </c>
      <c r="M182" s="5" t="s">
        <v>7</v>
      </c>
      <c r="N182" s="5" t="s">
        <v>7</v>
      </c>
      <c r="O182" s="4" t="s">
        <v>778</v>
      </c>
      <c r="P182" s="4" t="s">
        <v>7834</v>
      </c>
      <c r="R182" t="b">
        <v>1</v>
      </c>
    </row>
    <row r="183" spans="1:18">
      <c r="A183" t="s">
        <v>3009</v>
      </c>
      <c r="B183" t="s">
        <v>7118</v>
      </c>
      <c r="C183" s="5" t="s">
        <v>7968</v>
      </c>
      <c r="D183" s="1">
        <v>1</v>
      </c>
      <c r="E183" s="1">
        <v>33</v>
      </c>
      <c r="F183" s="1">
        <v>169</v>
      </c>
      <c r="G183" s="1">
        <v>170</v>
      </c>
      <c r="H183" s="8" cm="1">
        <f t="array" ref="H183">_xlfn.LET(_xlpm.s,IFERROR(--F183,""),_xlpm.e,IFERROR(--G183,""),IF(OR(_xlpm.s="",_xlpm.e="",_xlpm.e&lt;_xlpm.s),"",_xlfn.LET(_xlpm.p,_xlfn.SEQUENCE(_xlpm.e-_xlpm.s+1,1,_xlpm.s,1),SUM(1/COUNTIFS($D:$D,D183,$E:$E,E183,$F:$F,"&lt;&gt;N/A",$G:$G,"&lt;&gt;N/A",$F:$F,"&lt;="&amp;_xlpm.p,$G:$G,"&gt;="&amp;_xlpm.p)))))</f>
        <v>1</v>
      </c>
      <c r="I183" s="4" t="s">
        <v>782</v>
      </c>
      <c r="J183" t="s">
        <v>4473</v>
      </c>
      <c r="K183" s="5" t="s">
        <v>7</v>
      </c>
      <c r="L183" s="5" t="s">
        <v>7</v>
      </c>
      <c r="M183" s="5" t="s">
        <v>7</v>
      </c>
      <c r="N183" s="5" t="s">
        <v>7</v>
      </c>
      <c r="O183" s="4" t="s">
        <v>778</v>
      </c>
      <c r="P183" s="4" t="s">
        <v>7834</v>
      </c>
      <c r="R183" t="b">
        <v>1</v>
      </c>
    </row>
    <row r="184" spans="1:18">
      <c r="A184" t="s">
        <v>3009</v>
      </c>
      <c r="B184" t="s">
        <v>10531</v>
      </c>
      <c r="C184" s="5" t="s">
        <v>7968</v>
      </c>
      <c r="D184" s="1">
        <v>1</v>
      </c>
      <c r="E184" s="1">
        <v>33</v>
      </c>
      <c r="F184" s="1">
        <v>170</v>
      </c>
      <c r="G184" s="1">
        <v>170</v>
      </c>
      <c r="H184" s="8" cm="1">
        <f t="array" ref="H184">_xlfn.LET(_xlpm.s,IFERROR(--F184,""),_xlpm.e,IFERROR(--G184,""),IF(OR(_xlpm.s="",_xlpm.e="",_xlpm.e&lt;_xlpm.s),"",_xlfn.LET(_xlpm.p,_xlfn.SEQUENCE(_xlpm.e-_xlpm.s+1,1,_xlpm.s,1),SUM(1/COUNTIFS($D:$D,D184,$E:$E,E184,$F:$F,"&lt;&gt;N/A",$G:$G,"&lt;&gt;N/A",$F:$F,"&lt;="&amp;_xlpm.p,$G:$G,"&gt;="&amp;_xlpm.p)))))</f>
        <v>0.5</v>
      </c>
      <c r="I184" s="4" t="s">
        <v>782</v>
      </c>
      <c r="J184" t="s">
        <v>900</v>
      </c>
      <c r="K184" s="5" t="s">
        <v>7</v>
      </c>
      <c r="L184" s="5" t="s">
        <v>7</v>
      </c>
      <c r="M184" s="5" t="s">
        <v>7</v>
      </c>
      <c r="N184" s="5" t="s">
        <v>7</v>
      </c>
      <c r="O184" s="4" t="s">
        <v>778</v>
      </c>
      <c r="P184" s="4" t="s">
        <v>7834</v>
      </c>
      <c r="R184" t="b">
        <v>1</v>
      </c>
    </row>
    <row r="185" spans="1:18">
      <c r="A185" t="s">
        <v>3009</v>
      </c>
      <c r="B185" t="s">
        <v>3584</v>
      </c>
      <c r="C185" s="5" t="s">
        <v>7969</v>
      </c>
      <c r="D185" s="1">
        <v>1</v>
      </c>
      <c r="E185" s="1">
        <v>34</v>
      </c>
      <c r="F185" s="1">
        <v>171</v>
      </c>
      <c r="G185" s="1">
        <v>171</v>
      </c>
      <c r="H185" s="8" cm="1">
        <f t="array" ref="H185">_xlfn.LET(_xlpm.s,IFERROR(--F185,""),_xlpm.e,IFERROR(--G185,""),IF(OR(_xlpm.s="",_xlpm.e="",_xlpm.e&lt;_xlpm.s),"",_xlfn.LET(_xlpm.p,_xlfn.SEQUENCE(_xlpm.e-_xlpm.s+1,1,_xlpm.s,1),SUM(1/COUNTIFS($D:$D,D185,$E:$E,E185,$F:$F,"&lt;&gt;N/A",$G:$G,"&lt;&gt;N/A",$F:$F,"&lt;="&amp;_xlpm.p,$G:$G,"&gt;="&amp;_xlpm.p)))))</f>
        <v>0.5</v>
      </c>
      <c r="I185" s="4" t="s">
        <v>774</v>
      </c>
      <c r="J185" t="s">
        <v>839</v>
      </c>
      <c r="K185" s="5" t="s">
        <v>11509</v>
      </c>
      <c r="L185" s="5" t="s">
        <v>7</v>
      </c>
      <c r="M185" s="5" t="s">
        <v>7</v>
      </c>
      <c r="N185" s="5" t="s">
        <v>7</v>
      </c>
      <c r="O185" s="4" t="s">
        <v>778</v>
      </c>
      <c r="P185" s="4" t="s">
        <v>7834</v>
      </c>
      <c r="R185" t="b">
        <v>0</v>
      </c>
    </row>
    <row r="186" spans="1:18">
      <c r="A186" t="s">
        <v>3009</v>
      </c>
      <c r="B186" t="s">
        <v>3585</v>
      </c>
      <c r="C186" s="5" t="s">
        <v>7969</v>
      </c>
      <c r="D186" s="1">
        <v>1</v>
      </c>
      <c r="E186" s="1">
        <v>34</v>
      </c>
      <c r="F186" s="1">
        <v>171</v>
      </c>
      <c r="G186" s="1">
        <v>172</v>
      </c>
      <c r="H186" s="8" cm="1">
        <f t="array" ref="H186">_xlfn.LET(_xlpm.s,IFERROR(--F186,""),_xlpm.e,IFERROR(--G186,""),IF(OR(_xlpm.s="",_xlpm.e="",_xlpm.e&lt;_xlpm.s),"",_xlfn.LET(_xlpm.p,_xlfn.SEQUENCE(_xlpm.e-_xlpm.s+1,1,_xlpm.s,1),SUM(1/COUNTIFS($D:$D,D186,$E:$E,E186,$F:$F,"&lt;&gt;N/A",$G:$G,"&lt;&gt;N/A",$F:$F,"&lt;="&amp;_xlpm.p,$G:$G,"&gt;="&amp;_xlpm.p)))))</f>
        <v>0.83333333333333326</v>
      </c>
      <c r="I186" s="4" t="s">
        <v>774</v>
      </c>
      <c r="J186" t="s">
        <v>848</v>
      </c>
      <c r="K186" s="5" t="s">
        <v>11509</v>
      </c>
      <c r="L186" s="5" t="s">
        <v>7</v>
      </c>
      <c r="M186" s="5" t="s">
        <v>7</v>
      </c>
      <c r="N186" s="5" t="s">
        <v>7</v>
      </c>
      <c r="O186" s="4" t="s">
        <v>778</v>
      </c>
      <c r="P186" s="4" t="s">
        <v>7834</v>
      </c>
      <c r="R186" t="b">
        <v>1</v>
      </c>
    </row>
    <row r="187" spans="1:18">
      <c r="A187" t="s">
        <v>3009</v>
      </c>
      <c r="B187" t="s">
        <v>3586</v>
      </c>
      <c r="C187" s="5" t="s">
        <v>7969</v>
      </c>
      <c r="D187" s="1">
        <v>1</v>
      </c>
      <c r="E187" s="1">
        <v>34</v>
      </c>
      <c r="F187" s="1">
        <v>172</v>
      </c>
      <c r="G187" s="1">
        <v>172</v>
      </c>
      <c r="H187" s="8" cm="1">
        <f t="array" ref="H187">_xlfn.LET(_xlpm.s,IFERROR(--F187,""),_xlpm.e,IFERROR(--G187,""),IF(OR(_xlpm.s="",_xlpm.e="",_xlpm.e&lt;_xlpm.s),"",_xlfn.LET(_xlpm.p,_xlfn.SEQUENCE(_xlpm.e-_xlpm.s+1,1,_xlpm.s,1),SUM(1/COUNTIFS($D:$D,D187,$E:$E,E187,$F:$F,"&lt;&gt;N/A",$G:$G,"&lt;&gt;N/A",$F:$F,"&lt;="&amp;_xlpm.p,$G:$G,"&gt;="&amp;_xlpm.p)))))</f>
        <v>0.33333333333333331</v>
      </c>
      <c r="I187" s="4" t="s">
        <v>782</v>
      </c>
      <c r="J187" t="s">
        <v>901</v>
      </c>
      <c r="K187" s="5" t="s">
        <v>7</v>
      </c>
      <c r="L187" s="5" t="s">
        <v>2156</v>
      </c>
      <c r="M187" t="s">
        <v>5024</v>
      </c>
      <c r="N187" s="5" t="s">
        <v>2314</v>
      </c>
      <c r="O187" s="4" t="s">
        <v>5072</v>
      </c>
      <c r="P187" s="4" t="s">
        <v>8021</v>
      </c>
      <c r="R187" t="b">
        <v>1</v>
      </c>
    </row>
    <row r="188" spans="1:18">
      <c r="A188" t="s">
        <v>3009</v>
      </c>
      <c r="B188" t="s">
        <v>3587</v>
      </c>
      <c r="C188" s="5" t="s">
        <v>7969</v>
      </c>
      <c r="D188" s="1">
        <v>1</v>
      </c>
      <c r="E188" s="1">
        <v>34</v>
      </c>
      <c r="F188" s="1">
        <v>172</v>
      </c>
      <c r="G188" s="1">
        <v>173</v>
      </c>
      <c r="H188" s="8" cm="1">
        <f t="array" ref="H188">_xlfn.LET(_xlpm.s,IFERROR(--F188,""),_xlpm.e,IFERROR(--G188,""),IF(OR(_xlpm.s="",_xlpm.e="",_xlpm.e&lt;_xlpm.s),"",_xlfn.LET(_xlpm.p,_xlfn.SEQUENCE(_xlpm.e-_xlpm.s+1,1,_xlpm.s,1),SUM(1/COUNTIFS($D:$D,D188,$E:$E,E188,$F:$F,"&lt;&gt;N/A",$G:$G,"&lt;&gt;N/A",$F:$F,"&lt;="&amp;_xlpm.p,$G:$G,"&gt;="&amp;_xlpm.p)))))</f>
        <v>0.53333333333333333</v>
      </c>
      <c r="I188" s="4" t="s">
        <v>782</v>
      </c>
      <c r="J188" t="s">
        <v>902</v>
      </c>
      <c r="K188" s="5" t="s">
        <v>7</v>
      </c>
      <c r="L188" s="5" t="s">
        <v>2156</v>
      </c>
      <c r="M188" t="s">
        <v>5024</v>
      </c>
      <c r="N188" s="5" t="s">
        <v>2315</v>
      </c>
      <c r="O188" s="4" t="s">
        <v>5072</v>
      </c>
      <c r="P188" s="4" t="s">
        <v>8021</v>
      </c>
      <c r="R188" t="b">
        <v>1</v>
      </c>
    </row>
    <row r="189" spans="1:18">
      <c r="A189" t="s">
        <v>3009</v>
      </c>
      <c r="B189" t="s">
        <v>3588</v>
      </c>
      <c r="C189" s="5" t="s">
        <v>7969</v>
      </c>
      <c r="D189" s="1">
        <v>1</v>
      </c>
      <c r="E189" s="1">
        <v>34</v>
      </c>
      <c r="F189" s="1">
        <v>173</v>
      </c>
      <c r="G189" s="1">
        <v>173</v>
      </c>
      <c r="H189" s="8" cm="1">
        <f t="array" ref="H189">_xlfn.LET(_xlpm.s,IFERROR(--F189,""),_xlpm.e,IFERROR(--G189,""),IF(OR(_xlpm.s="",_xlpm.e="",_xlpm.e&lt;_xlpm.s),"",_xlfn.LET(_xlpm.p,_xlfn.SEQUENCE(_xlpm.e-_xlpm.s+1,1,_xlpm.s,1),SUM(1/COUNTIFS($D:$D,D189,$E:$E,E189,$F:$F,"&lt;&gt;N/A",$G:$G,"&lt;&gt;N/A",$F:$F,"&lt;="&amp;_xlpm.p,$G:$G,"&gt;="&amp;_xlpm.p)))))</f>
        <v>0.2</v>
      </c>
      <c r="I189" s="4" t="s">
        <v>782</v>
      </c>
      <c r="J189" t="s">
        <v>903</v>
      </c>
      <c r="K189" s="5" t="s">
        <v>7</v>
      </c>
      <c r="L189" s="5" t="s">
        <v>2156</v>
      </c>
      <c r="M189" t="s">
        <v>5024</v>
      </c>
      <c r="N189" s="5" t="s">
        <v>2316</v>
      </c>
      <c r="O189" s="4" t="s">
        <v>5072</v>
      </c>
      <c r="P189" s="4" t="s">
        <v>8021</v>
      </c>
      <c r="R189" t="b">
        <v>1</v>
      </c>
    </row>
    <row r="190" spans="1:18">
      <c r="A190" t="s">
        <v>3009</v>
      </c>
      <c r="B190" t="s">
        <v>7009</v>
      </c>
      <c r="C190" s="5" t="s">
        <v>7969</v>
      </c>
      <c r="D190" s="1">
        <v>1</v>
      </c>
      <c r="E190" s="1">
        <v>34</v>
      </c>
      <c r="F190" s="1">
        <v>173</v>
      </c>
      <c r="G190" s="1">
        <v>173</v>
      </c>
      <c r="H190" s="8" cm="1">
        <f t="array" ref="H190">_xlfn.LET(_xlpm.s,IFERROR(--F190,""),_xlpm.e,IFERROR(--G190,""),IF(OR(_xlpm.s="",_xlpm.e="",_xlpm.e&lt;_xlpm.s),"",_xlfn.LET(_xlpm.p,_xlfn.SEQUENCE(_xlpm.e-_xlpm.s+1,1,_xlpm.s,1),SUM(1/COUNTIFS($D:$D,D190,$E:$E,E190,$F:$F,"&lt;&gt;N/A",$G:$G,"&lt;&gt;N/A",$F:$F,"&lt;="&amp;_xlpm.p,$G:$G,"&gt;="&amp;_xlpm.p)))))</f>
        <v>0.2</v>
      </c>
      <c r="I190" s="4" t="s">
        <v>782</v>
      </c>
      <c r="J190" t="s">
        <v>904</v>
      </c>
      <c r="K190" s="5" t="s">
        <v>7</v>
      </c>
      <c r="L190" s="5" t="s">
        <v>2156</v>
      </c>
      <c r="M190" t="s">
        <v>5024</v>
      </c>
      <c r="N190" s="5" t="s">
        <v>2322</v>
      </c>
      <c r="O190" s="4" t="s">
        <v>5072</v>
      </c>
      <c r="P190" s="4" t="s">
        <v>8021</v>
      </c>
      <c r="R190" t="b">
        <v>1</v>
      </c>
    </row>
    <row r="191" spans="1:18">
      <c r="A191" t="s">
        <v>3009</v>
      </c>
      <c r="B191" t="s">
        <v>7010</v>
      </c>
      <c r="C191" s="5" t="s">
        <v>7969</v>
      </c>
      <c r="D191" s="1">
        <v>1</v>
      </c>
      <c r="E191" s="1">
        <v>34</v>
      </c>
      <c r="F191" s="1">
        <v>173</v>
      </c>
      <c r="G191" s="1">
        <v>173</v>
      </c>
      <c r="H191" s="8" cm="1">
        <f t="array" ref="H191">_xlfn.LET(_xlpm.s,IFERROR(--F191,""),_xlpm.e,IFERROR(--G191,""),IF(OR(_xlpm.s="",_xlpm.e="",_xlpm.e&lt;_xlpm.s),"",_xlfn.LET(_xlpm.p,_xlfn.SEQUENCE(_xlpm.e-_xlpm.s+1,1,_xlpm.s,1),SUM(1/COUNTIFS($D:$D,D191,$E:$E,E191,$F:$F,"&lt;&gt;N/A",$G:$G,"&lt;&gt;N/A",$F:$F,"&lt;="&amp;_xlpm.p,$G:$G,"&gt;="&amp;_xlpm.p)))))</f>
        <v>0.2</v>
      </c>
      <c r="I191" s="4" t="s">
        <v>782</v>
      </c>
      <c r="J191" t="s">
        <v>905</v>
      </c>
      <c r="K191" s="5" t="s">
        <v>7</v>
      </c>
      <c r="L191" s="5" t="s">
        <v>2156</v>
      </c>
      <c r="M191" t="s">
        <v>5024</v>
      </c>
      <c r="N191" s="5" t="s">
        <v>2317</v>
      </c>
      <c r="O191" s="4" t="s">
        <v>5072</v>
      </c>
      <c r="P191" s="4" t="s">
        <v>8021</v>
      </c>
      <c r="R191" t="b">
        <v>1</v>
      </c>
    </row>
    <row r="192" spans="1:18">
      <c r="A192" t="s">
        <v>3009</v>
      </c>
      <c r="B192" t="s">
        <v>7119</v>
      </c>
      <c r="C192" s="5" t="s">
        <v>7969</v>
      </c>
      <c r="D192" s="1">
        <v>1</v>
      </c>
      <c r="E192" s="1">
        <v>34</v>
      </c>
      <c r="F192" s="1">
        <v>173</v>
      </c>
      <c r="G192" s="1">
        <v>173</v>
      </c>
      <c r="H192" s="8" cm="1">
        <f t="array" ref="H192">_xlfn.LET(_xlpm.s,IFERROR(--F192,""),_xlpm.e,IFERROR(--G192,""),IF(OR(_xlpm.s="",_xlpm.e="",_xlpm.e&lt;_xlpm.s),"",_xlfn.LET(_xlpm.p,_xlfn.SEQUENCE(_xlpm.e-_xlpm.s+1,1,_xlpm.s,1),SUM(1/COUNTIFS($D:$D,D192,$E:$E,E192,$F:$F,"&lt;&gt;N/A",$G:$G,"&lt;&gt;N/A",$F:$F,"&lt;="&amp;_xlpm.p,$G:$G,"&gt;="&amp;_xlpm.p)))))</f>
        <v>0.2</v>
      </c>
      <c r="I192" s="4" t="s">
        <v>782</v>
      </c>
      <c r="J192" t="s">
        <v>906</v>
      </c>
      <c r="K192" s="5" t="s">
        <v>7</v>
      </c>
      <c r="L192" s="5" t="s">
        <v>2156</v>
      </c>
      <c r="M192" t="s">
        <v>5024</v>
      </c>
      <c r="N192" s="5" t="s">
        <v>2318</v>
      </c>
      <c r="O192" s="4" t="s">
        <v>5072</v>
      </c>
      <c r="P192" s="4" t="s">
        <v>8021</v>
      </c>
      <c r="R192" t="b">
        <v>1</v>
      </c>
    </row>
    <row r="193" spans="1:18">
      <c r="A193" t="s">
        <v>3009</v>
      </c>
      <c r="B193" t="s">
        <v>10532</v>
      </c>
      <c r="C193" s="5" t="s">
        <v>7969</v>
      </c>
      <c r="D193" s="1">
        <v>1</v>
      </c>
      <c r="E193" s="1">
        <v>34</v>
      </c>
      <c r="F193" s="1">
        <v>174</v>
      </c>
      <c r="G193" s="1">
        <v>174</v>
      </c>
      <c r="H193" s="8" cm="1">
        <f t="array" ref="H193">_xlfn.LET(_xlpm.s,IFERROR(--F193,""),_xlpm.e,IFERROR(--G193,""),IF(OR(_xlpm.s="",_xlpm.e="",_xlpm.e&lt;_xlpm.s),"",_xlfn.LET(_xlpm.p,_xlfn.SEQUENCE(_xlpm.e-_xlpm.s+1,1,_xlpm.s,1),SUM(1/COUNTIFS($D:$D,D193,$E:$E,E193,$F:$F,"&lt;&gt;N/A",$G:$G,"&lt;&gt;N/A",$F:$F,"&lt;="&amp;_xlpm.p,$G:$G,"&gt;="&amp;_xlpm.p)))))</f>
        <v>1</v>
      </c>
      <c r="I193" s="4" t="s">
        <v>782</v>
      </c>
      <c r="J193" t="s">
        <v>907</v>
      </c>
      <c r="K193" s="5" t="s">
        <v>7</v>
      </c>
      <c r="L193" s="5" t="s">
        <v>2157</v>
      </c>
      <c r="M193" s="5" t="s">
        <v>7188</v>
      </c>
      <c r="N193" s="5" t="s">
        <v>2323</v>
      </c>
      <c r="O193" s="4" t="s">
        <v>5072</v>
      </c>
      <c r="P193" s="4" t="s">
        <v>8021</v>
      </c>
      <c r="R193" t="b">
        <v>1</v>
      </c>
    </row>
    <row r="194" spans="1:18">
      <c r="A194" t="s">
        <v>3009</v>
      </c>
      <c r="B194" t="s">
        <v>7120</v>
      </c>
      <c r="C194" s="5" t="s">
        <v>7970</v>
      </c>
      <c r="D194" s="1">
        <v>1</v>
      </c>
      <c r="E194" s="1">
        <v>35</v>
      </c>
      <c r="F194" s="1">
        <v>175</v>
      </c>
      <c r="G194" s="1">
        <v>182</v>
      </c>
      <c r="H194" s="8" cm="1">
        <f t="array" ref="H194">_xlfn.LET(_xlpm.s,IFERROR(--F194,""),_xlpm.e,IFERROR(--G194,""),IF(OR(_xlpm.s="",_xlpm.e="",_xlpm.e&lt;_xlpm.s),"",_xlfn.LET(_xlpm.p,_xlfn.SEQUENCE(_xlpm.e-_xlpm.s+1,1,_xlpm.s,1),SUM(1/COUNTIFS($D:$D,D194,$E:$E,E194,$F:$F,"&lt;&gt;N/A",$G:$G,"&lt;&gt;N/A",$F:$F,"&lt;="&amp;_xlpm.p,$G:$G,"&gt;="&amp;_xlpm.p)))))</f>
        <v>7.5</v>
      </c>
      <c r="I194" s="5" t="s">
        <v>7</v>
      </c>
      <c r="J194" t="s">
        <v>1127</v>
      </c>
      <c r="K194" t="s">
        <v>1242</v>
      </c>
      <c r="L194" s="5" t="s">
        <v>7</v>
      </c>
      <c r="M194" s="5" t="s">
        <v>7</v>
      </c>
      <c r="N194" s="5" t="s">
        <v>7</v>
      </c>
      <c r="O194" s="4" t="s">
        <v>778</v>
      </c>
      <c r="P194" s="4" t="s">
        <v>7834</v>
      </c>
      <c r="R194" t="b">
        <v>1</v>
      </c>
    </row>
    <row r="195" spans="1:18">
      <c r="A195" t="s">
        <v>3009</v>
      </c>
      <c r="B195" t="s">
        <v>10533</v>
      </c>
      <c r="C195" s="5" t="s">
        <v>7970</v>
      </c>
      <c r="D195" s="1">
        <v>1</v>
      </c>
      <c r="E195" s="1">
        <v>35</v>
      </c>
      <c r="F195" s="1">
        <v>182</v>
      </c>
      <c r="G195" s="1">
        <v>182</v>
      </c>
      <c r="H195" s="8" cm="1">
        <f t="array" ref="H195">_xlfn.LET(_xlpm.s,IFERROR(--F195,""),_xlpm.e,IFERROR(--G195,""),IF(OR(_xlpm.s="",_xlpm.e="",_xlpm.e&lt;_xlpm.s),"",_xlfn.LET(_xlpm.p,_xlfn.SEQUENCE(_xlpm.e-_xlpm.s+1,1,_xlpm.s,1),SUM(1/COUNTIFS($D:$D,D195,$E:$E,E195,$F:$F,"&lt;&gt;N/A",$G:$G,"&lt;&gt;N/A",$F:$F,"&lt;="&amp;_xlpm.p,$G:$G,"&gt;="&amp;_xlpm.p)))))</f>
        <v>0.5</v>
      </c>
      <c r="I195" s="5" t="s">
        <v>7</v>
      </c>
      <c r="J195" t="s">
        <v>4474</v>
      </c>
      <c r="K195" s="5" t="s">
        <v>7</v>
      </c>
      <c r="L195" s="5" t="s">
        <v>7</v>
      </c>
      <c r="M195" s="5" t="s">
        <v>7</v>
      </c>
      <c r="N195" s="5" t="s">
        <v>7</v>
      </c>
      <c r="O195" s="4" t="s">
        <v>778</v>
      </c>
      <c r="P195" s="4" t="s">
        <v>7834</v>
      </c>
      <c r="R195" t="b">
        <v>1</v>
      </c>
    </row>
    <row r="196" spans="1:18">
      <c r="A196" t="s">
        <v>3009</v>
      </c>
      <c r="B196" t="s">
        <v>3589</v>
      </c>
      <c r="C196" s="5" t="s">
        <v>10287</v>
      </c>
      <c r="D196" s="1">
        <v>1</v>
      </c>
      <c r="E196" s="1">
        <v>36</v>
      </c>
      <c r="F196" s="1">
        <v>183</v>
      </c>
      <c r="G196" s="1">
        <v>184</v>
      </c>
      <c r="H196" s="8" cm="1">
        <f t="array" ref="H196">_xlfn.LET(_xlpm.s,IFERROR(--F196,""),_xlpm.e,IFERROR(--G196,""),IF(OR(_xlpm.s="",_xlpm.e="",_xlpm.e&lt;_xlpm.s),"",_xlfn.LET(_xlpm.p,_xlfn.SEQUENCE(_xlpm.e-_xlpm.s+1,1,_xlpm.s,1),SUM(1/COUNTIFS($D:$D,D196,$E:$E,E196,$F:$F,"&lt;&gt;N/A",$G:$G,"&lt;&gt;N/A",$F:$F,"&lt;="&amp;_xlpm.p,$G:$G,"&gt;="&amp;_xlpm.p)))))</f>
        <v>1.25</v>
      </c>
      <c r="I196" s="4" t="s">
        <v>774</v>
      </c>
      <c r="J196" t="s">
        <v>839</v>
      </c>
      <c r="K196" s="5" t="s">
        <v>7</v>
      </c>
      <c r="L196" s="5" t="s">
        <v>7</v>
      </c>
      <c r="M196" s="5" t="s">
        <v>7</v>
      </c>
      <c r="N196" s="5" t="s">
        <v>7</v>
      </c>
      <c r="O196" s="4" t="s">
        <v>778</v>
      </c>
      <c r="P196" s="4" t="s">
        <v>7834</v>
      </c>
      <c r="R196" t="b">
        <v>0</v>
      </c>
    </row>
    <row r="197" spans="1:18">
      <c r="A197" t="s">
        <v>3009</v>
      </c>
      <c r="B197" t="s">
        <v>3590</v>
      </c>
      <c r="C197" s="5" t="s">
        <v>10287</v>
      </c>
      <c r="D197" s="1">
        <v>1</v>
      </c>
      <c r="E197" s="1">
        <v>36</v>
      </c>
      <c r="F197" s="1">
        <v>184</v>
      </c>
      <c r="G197" s="1">
        <v>184</v>
      </c>
      <c r="H197" s="8" cm="1">
        <f t="array" ref="H197">_xlfn.LET(_xlpm.s,IFERROR(--F197,""),_xlpm.e,IFERROR(--G197,""),IF(OR(_xlpm.s="",_xlpm.e="",_xlpm.e&lt;_xlpm.s),"",_xlfn.LET(_xlpm.p,_xlfn.SEQUENCE(_xlpm.e-_xlpm.s+1,1,_xlpm.s,1),SUM(1/COUNTIFS($D:$D,D197,$E:$E,E197,$F:$F,"&lt;&gt;N/A",$G:$G,"&lt;&gt;N/A",$F:$F,"&lt;="&amp;_xlpm.p,$G:$G,"&gt;="&amp;_xlpm.p)))))</f>
        <v>0.25</v>
      </c>
      <c r="I197" s="4" t="s">
        <v>774</v>
      </c>
      <c r="J197" t="s">
        <v>848</v>
      </c>
      <c r="K197" s="5" t="s">
        <v>909</v>
      </c>
      <c r="L197" s="5" t="s">
        <v>7</v>
      </c>
      <c r="M197" s="5" t="s">
        <v>7</v>
      </c>
      <c r="N197" s="5" t="s">
        <v>7</v>
      </c>
      <c r="O197" s="4" t="s">
        <v>778</v>
      </c>
      <c r="P197" s="4" t="s">
        <v>7834</v>
      </c>
      <c r="R197" t="b">
        <v>1</v>
      </c>
    </row>
    <row r="198" spans="1:18">
      <c r="A198" t="s">
        <v>3009</v>
      </c>
      <c r="B198" t="s">
        <v>3591</v>
      </c>
      <c r="C198" s="5" t="s">
        <v>10287</v>
      </c>
      <c r="D198" s="1">
        <v>1</v>
      </c>
      <c r="E198" s="1">
        <v>36</v>
      </c>
      <c r="F198" s="1">
        <v>184</v>
      </c>
      <c r="G198" s="1">
        <v>184</v>
      </c>
      <c r="H198" s="8" cm="1">
        <f t="array" ref="H198">_xlfn.LET(_xlpm.s,IFERROR(--F198,""),_xlpm.e,IFERROR(--G198,""),IF(OR(_xlpm.s="",_xlpm.e="",_xlpm.e&lt;_xlpm.s),"",_xlfn.LET(_xlpm.p,_xlfn.SEQUENCE(_xlpm.e-_xlpm.s+1,1,_xlpm.s,1),SUM(1/COUNTIFS($D:$D,D198,$E:$E,E198,$F:$F,"&lt;&gt;N/A",$G:$G,"&lt;&gt;N/A",$F:$F,"&lt;="&amp;_xlpm.p,$G:$G,"&gt;="&amp;_xlpm.p)))))</f>
        <v>0.25</v>
      </c>
      <c r="I198" s="4" t="s">
        <v>774</v>
      </c>
      <c r="J198" t="s">
        <v>908</v>
      </c>
      <c r="K198" s="5" t="s">
        <v>910</v>
      </c>
      <c r="L198" s="5" t="s">
        <v>7</v>
      </c>
      <c r="M198" s="5" t="s">
        <v>7</v>
      </c>
      <c r="N198" s="5" t="s">
        <v>7</v>
      </c>
      <c r="O198" s="4" t="s">
        <v>778</v>
      </c>
      <c r="P198" s="4" t="s">
        <v>7834</v>
      </c>
      <c r="R198" t="b">
        <v>1</v>
      </c>
    </row>
    <row r="199" spans="1:18">
      <c r="A199" t="s">
        <v>3009</v>
      </c>
      <c r="B199" t="s">
        <v>3592</v>
      </c>
      <c r="C199" s="5" t="s">
        <v>10287</v>
      </c>
      <c r="D199" s="1">
        <v>1</v>
      </c>
      <c r="E199" s="1">
        <v>36</v>
      </c>
      <c r="F199" s="1">
        <v>184</v>
      </c>
      <c r="G199" s="1">
        <v>185</v>
      </c>
      <c r="H199" s="8" cm="1">
        <f t="array" ref="H199">_xlfn.LET(_xlpm.s,IFERROR(--F199,""),_xlpm.e,IFERROR(--G199,""),IF(OR(_xlpm.s="",_xlpm.e="",_xlpm.e&lt;_xlpm.s),"",_xlfn.LET(_xlpm.p,_xlfn.SEQUENCE(_xlpm.e-_xlpm.s+1,1,_xlpm.s,1),SUM(1/COUNTIFS($D:$D,D199,$E:$E,E199,$F:$F,"&lt;&gt;N/A",$G:$G,"&lt;&gt;N/A",$F:$F,"&lt;="&amp;_xlpm.p,$G:$G,"&gt;="&amp;_xlpm.p)))))</f>
        <v>0.5</v>
      </c>
      <c r="I199" s="4" t="s">
        <v>782</v>
      </c>
      <c r="J199" t="s">
        <v>911</v>
      </c>
      <c r="K199" s="5" t="s">
        <v>7</v>
      </c>
      <c r="L199" s="5" t="s">
        <v>2158</v>
      </c>
      <c r="M199" t="s">
        <v>7266</v>
      </c>
      <c r="N199" s="5" t="s">
        <v>2319</v>
      </c>
      <c r="O199" s="4" t="s">
        <v>11522</v>
      </c>
      <c r="P199" s="4" t="s">
        <v>8021</v>
      </c>
      <c r="R199" t="b">
        <v>1</v>
      </c>
    </row>
    <row r="200" spans="1:18">
      <c r="A200" t="s">
        <v>3009</v>
      </c>
      <c r="B200" t="s">
        <v>7011</v>
      </c>
      <c r="C200" s="5" t="s">
        <v>10287</v>
      </c>
      <c r="D200" s="1">
        <v>1</v>
      </c>
      <c r="E200" s="1">
        <v>36</v>
      </c>
      <c r="F200" s="1">
        <v>185</v>
      </c>
      <c r="G200" s="1">
        <v>185</v>
      </c>
      <c r="H200" s="8" cm="1">
        <f t="array" ref="H200">_xlfn.LET(_xlpm.s,IFERROR(--F200,""),_xlpm.e,IFERROR(--G200,""),IF(OR(_xlpm.s="",_xlpm.e="",_xlpm.e&lt;_xlpm.s),"",_xlfn.LET(_xlpm.p,_xlfn.SEQUENCE(_xlpm.e-_xlpm.s+1,1,_xlpm.s,1),SUM(1/COUNTIFS($D:$D,D200,$E:$E,E200,$F:$F,"&lt;&gt;N/A",$G:$G,"&lt;&gt;N/A",$F:$F,"&lt;="&amp;_xlpm.p,$G:$G,"&gt;="&amp;_xlpm.p)))))</f>
        <v>0.25</v>
      </c>
      <c r="I200" s="4" t="s">
        <v>782</v>
      </c>
      <c r="J200" t="s">
        <v>912</v>
      </c>
      <c r="K200" s="5" t="s">
        <v>7</v>
      </c>
      <c r="L200" s="5" t="s">
        <v>2159</v>
      </c>
      <c r="M200" t="s">
        <v>5024</v>
      </c>
      <c r="N200" s="5" t="s">
        <v>2320</v>
      </c>
      <c r="O200" s="4" t="s">
        <v>11522</v>
      </c>
      <c r="P200" s="4" t="s">
        <v>8021</v>
      </c>
      <c r="R200" t="b">
        <v>1</v>
      </c>
    </row>
    <row r="201" spans="1:18">
      <c r="A201" t="s">
        <v>3009</v>
      </c>
      <c r="B201" t="s">
        <v>7012</v>
      </c>
      <c r="C201" s="5" t="s">
        <v>10287</v>
      </c>
      <c r="D201" s="1">
        <v>1</v>
      </c>
      <c r="E201" s="1">
        <v>36</v>
      </c>
      <c r="F201" s="1">
        <v>185</v>
      </c>
      <c r="G201" s="1">
        <v>185</v>
      </c>
      <c r="H201" s="8" cm="1">
        <f t="array" ref="H201">_xlfn.LET(_xlpm.s,IFERROR(--F201,""),_xlpm.e,IFERROR(--G201,""),IF(OR(_xlpm.s="",_xlpm.e="",_xlpm.e&lt;_xlpm.s),"",_xlfn.LET(_xlpm.p,_xlfn.SEQUENCE(_xlpm.e-_xlpm.s+1,1,_xlpm.s,1),SUM(1/COUNTIFS($D:$D,D201,$E:$E,E201,$F:$F,"&lt;&gt;N/A",$G:$G,"&lt;&gt;N/A",$F:$F,"&lt;="&amp;_xlpm.p,$G:$G,"&gt;="&amp;_xlpm.p)))))</f>
        <v>0.25</v>
      </c>
      <c r="I201" s="4" t="s">
        <v>782</v>
      </c>
      <c r="J201" t="s">
        <v>913</v>
      </c>
      <c r="K201" t="s">
        <v>847</v>
      </c>
      <c r="L201" s="5" t="s">
        <v>7</v>
      </c>
      <c r="M201" s="5" t="s">
        <v>7</v>
      </c>
      <c r="N201" s="5" t="s">
        <v>7</v>
      </c>
      <c r="O201" s="4" t="s">
        <v>778</v>
      </c>
      <c r="P201" s="4" t="s">
        <v>7834</v>
      </c>
      <c r="R201" t="b">
        <v>1</v>
      </c>
    </row>
    <row r="202" spans="1:18">
      <c r="A202" t="s">
        <v>3009</v>
      </c>
      <c r="B202" t="s">
        <v>7013</v>
      </c>
      <c r="C202" s="5" t="s">
        <v>10287</v>
      </c>
      <c r="D202" s="1">
        <v>1</v>
      </c>
      <c r="E202" s="1">
        <v>36</v>
      </c>
      <c r="F202" s="1">
        <v>185</v>
      </c>
      <c r="G202" s="1">
        <v>186</v>
      </c>
      <c r="H202" s="8" cm="1">
        <f t="array" ref="H202">_xlfn.LET(_xlpm.s,IFERROR(--F202,""),_xlpm.e,IFERROR(--G202,""),IF(OR(_xlpm.s="",_xlpm.e="",_xlpm.e&lt;_xlpm.s),"",_xlfn.LET(_xlpm.p,_xlfn.SEQUENCE(_xlpm.e-_xlpm.s+1,1,_xlpm.s,1),SUM(1/COUNTIFS($D:$D,D202,$E:$E,E202,$F:$F,"&lt;&gt;N/A",$G:$G,"&lt;&gt;N/A",$F:$F,"&lt;="&amp;_xlpm.p,$G:$G,"&gt;="&amp;_xlpm.p)))))</f>
        <v>0.58333333333333326</v>
      </c>
      <c r="I202" s="4" t="s">
        <v>782</v>
      </c>
      <c r="J202" t="s">
        <v>3187</v>
      </c>
      <c r="K202" s="5" t="s">
        <v>7</v>
      </c>
      <c r="L202" s="5" t="s">
        <v>2160</v>
      </c>
      <c r="M202" t="s">
        <v>5024</v>
      </c>
      <c r="N202" s="5" t="s">
        <v>2321</v>
      </c>
      <c r="O202" s="4" t="s">
        <v>5072</v>
      </c>
      <c r="P202" s="4" t="s">
        <v>8021</v>
      </c>
      <c r="R202" t="b">
        <v>1</v>
      </c>
    </row>
    <row r="203" spans="1:18">
      <c r="A203" t="s">
        <v>3009</v>
      </c>
      <c r="B203" t="s">
        <v>7121</v>
      </c>
      <c r="C203" s="5" t="s">
        <v>10287</v>
      </c>
      <c r="D203" s="1">
        <v>1</v>
      </c>
      <c r="E203" s="1">
        <v>36</v>
      </c>
      <c r="F203" s="1">
        <v>186</v>
      </c>
      <c r="G203" s="1">
        <v>186</v>
      </c>
      <c r="H203" s="8" cm="1">
        <f t="array" ref="H203">_xlfn.LET(_xlpm.s,IFERROR(--F203,""),_xlpm.e,IFERROR(--G203,""),IF(OR(_xlpm.s="",_xlpm.e="",_xlpm.e&lt;_xlpm.s),"",_xlfn.LET(_xlpm.p,_xlfn.SEQUENCE(_xlpm.e-_xlpm.s+1,1,_xlpm.s,1),SUM(1/COUNTIFS($D:$D,D203,$E:$E,E203,$F:$F,"&lt;&gt;N/A",$G:$G,"&lt;&gt;N/A",$F:$F,"&lt;="&amp;_xlpm.p,$G:$G,"&gt;="&amp;_xlpm.p)))))</f>
        <v>0.33333333333333331</v>
      </c>
      <c r="I203" s="4" t="s">
        <v>782</v>
      </c>
      <c r="J203" t="s">
        <v>914</v>
      </c>
      <c r="K203" s="5" t="s">
        <v>7</v>
      </c>
      <c r="L203" s="5" t="s">
        <v>2161</v>
      </c>
      <c r="M203" t="s">
        <v>7249</v>
      </c>
      <c r="N203" s="5" t="s">
        <v>10300</v>
      </c>
      <c r="O203" s="4" t="s">
        <v>5072</v>
      </c>
      <c r="P203" s="4" t="s">
        <v>8021</v>
      </c>
      <c r="R203" t="b">
        <v>1</v>
      </c>
    </row>
    <row r="204" spans="1:18">
      <c r="A204" t="s">
        <v>3009</v>
      </c>
      <c r="B204" t="s">
        <v>10534</v>
      </c>
      <c r="C204" s="5" t="s">
        <v>10287</v>
      </c>
      <c r="D204" s="1">
        <v>1</v>
      </c>
      <c r="E204" s="1">
        <v>36</v>
      </c>
      <c r="F204" s="1">
        <v>186</v>
      </c>
      <c r="G204" s="1">
        <v>186</v>
      </c>
      <c r="H204" s="8" cm="1">
        <f t="array" ref="H204">_xlfn.LET(_xlpm.s,IFERROR(--F204,""),_xlpm.e,IFERROR(--G204,""),IF(OR(_xlpm.s="",_xlpm.e="",_xlpm.e&lt;_xlpm.s),"",_xlfn.LET(_xlpm.p,_xlfn.SEQUENCE(_xlpm.e-_xlpm.s+1,1,_xlpm.s,1),SUM(1/COUNTIFS($D:$D,D204,$E:$E,E204,$F:$F,"&lt;&gt;N/A",$G:$G,"&lt;&gt;N/A",$F:$F,"&lt;="&amp;_xlpm.p,$G:$G,"&gt;="&amp;_xlpm.p)))))</f>
        <v>0.33333333333333331</v>
      </c>
      <c r="I204" s="4" t="s">
        <v>7</v>
      </c>
      <c r="J204" t="s">
        <v>6968</v>
      </c>
      <c r="K204" s="5" t="s">
        <v>7</v>
      </c>
      <c r="L204" s="5" t="s">
        <v>7</v>
      </c>
      <c r="M204" s="5" t="s">
        <v>7</v>
      </c>
      <c r="N204" s="5" t="s">
        <v>7</v>
      </c>
      <c r="O204" s="4" t="s">
        <v>778</v>
      </c>
      <c r="P204" s="4" t="s">
        <v>7834</v>
      </c>
      <c r="R204" s="5" t="b">
        <v>0</v>
      </c>
    </row>
    <row r="205" spans="1:18">
      <c r="A205" t="s">
        <v>3009</v>
      </c>
      <c r="B205" t="s">
        <v>7014</v>
      </c>
      <c r="C205" s="5" t="s">
        <v>7974</v>
      </c>
      <c r="D205" s="1">
        <v>1</v>
      </c>
      <c r="E205" s="1">
        <v>37</v>
      </c>
      <c r="F205" s="1">
        <v>187</v>
      </c>
      <c r="G205" s="1">
        <v>189</v>
      </c>
      <c r="H205" s="8" cm="1">
        <f t="array" ref="H205">_xlfn.LET(_xlpm.s,IFERROR(--F205,""),_xlpm.e,IFERROR(--G205,""),IF(OR(_xlpm.s="",_xlpm.e="",_xlpm.e&lt;_xlpm.s),"",_xlfn.LET(_xlpm.p,_xlfn.SEQUENCE(_xlpm.e-_xlpm.s+1,1,_xlpm.s,1),SUM(1/COUNTIFS($D:$D,D205,$E:$E,E205,$F:$F,"&lt;&gt;N/A",$G:$G,"&lt;&gt;N/A",$F:$F,"&lt;="&amp;_xlpm.p,$G:$G,"&gt;="&amp;_xlpm.p)))))</f>
        <v>1.3333333333333333</v>
      </c>
      <c r="I205" s="4" t="s">
        <v>774</v>
      </c>
      <c r="J205" t="s">
        <v>839</v>
      </c>
      <c r="K205" s="5" t="s">
        <v>7</v>
      </c>
      <c r="L205" s="5" t="s">
        <v>7</v>
      </c>
      <c r="M205" s="5" t="s">
        <v>7</v>
      </c>
      <c r="N205" s="5" t="s">
        <v>7</v>
      </c>
      <c r="O205" s="4" t="s">
        <v>778</v>
      </c>
      <c r="P205" s="4" t="s">
        <v>7834</v>
      </c>
      <c r="R205" t="b">
        <v>1</v>
      </c>
    </row>
    <row r="206" spans="1:18">
      <c r="A206" t="s">
        <v>3009</v>
      </c>
      <c r="B206" t="s">
        <v>7122</v>
      </c>
      <c r="C206" s="5" t="s">
        <v>7974</v>
      </c>
      <c r="D206" s="1">
        <v>1</v>
      </c>
      <c r="E206" s="1">
        <v>37</v>
      </c>
      <c r="F206" s="1">
        <v>187</v>
      </c>
      <c r="G206" s="1">
        <v>189</v>
      </c>
      <c r="H206" s="8" cm="1">
        <f t="array" ref="H206">_xlfn.LET(_xlpm.s,IFERROR(--F206,""),_xlpm.e,IFERROR(--G206,""),IF(OR(_xlpm.s="",_xlpm.e="",_xlpm.e&lt;_xlpm.s),"",_xlfn.LET(_xlpm.p,_xlfn.SEQUENCE(_xlpm.e-_xlpm.s+1,1,_xlpm.s,1),SUM(1/COUNTIFS($D:$D,D206,$E:$E,E206,$F:$F,"&lt;&gt;N/A",$G:$G,"&lt;&gt;N/A",$F:$F,"&lt;="&amp;_xlpm.p,$G:$G,"&gt;="&amp;_xlpm.p)))))</f>
        <v>1.3333333333333333</v>
      </c>
      <c r="I206" s="4" t="s">
        <v>774</v>
      </c>
      <c r="J206" t="s">
        <v>916</v>
      </c>
      <c r="K206" t="s">
        <v>917</v>
      </c>
      <c r="L206" s="5" t="s">
        <v>7</v>
      </c>
      <c r="M206" s="5" t="s">
        <v>7</v>
      </c>
      <c r="N206" s="5" t="s">
        <v>7</v>
      </c>
      <c r="O206" s="4" t="s">
        <v>778</v>
      </c>
      <c r="P206" s="4" t="s">
        <v>7834</v>
      </c>
      <c r="R206" t="b">
        <v>1</v>
      </c>
    </row>
    <row r="207" spans="1:18">
      <c r="A207" t="s">
        <v>3009</v>
      </c>
      <c r="B207" t="s">
        <v>10535</v>
      </c>
      <c r="C207" s="5" t="s">
        <v>7974</v>
      </c>
      <c r="D207" s="1">
        <v>1</v>
      </c>
      <c r="E207" s="1">
        <v>37</v>
      </c>
      <c r="F207" s="1">
        <v>189</v>
      </c>
      <c r="G207" s="1">
        <v>190</v>
      </c>
      <c r="H207" s="8" cm="1">
        <f t="array" ref="H207">_xlfn.LET(_xlpm.s,IFERROR(--F207,""),_xlpm.e,IFERROR(--G207,""),IF(OR(_xlpm.s="",_xlpm.e="",_xlpm.e&lt;_xlpm.s),"",_xlfn.LET(_xlpm.p,_xlfn.SEQUENCE(_xlpm.e-_xlpm.s+1,1,_xlpm.s,1),SUM(1/COUNTIFS($D:$D,D207,$E:$E,E207,$F:$F,"&lt;&gt;N/A",$G:$G,"&lt;&gt;N/A",$F:$F,"&lt;="&amp;_xlpm.p,$G:$G,"&gt;="&amp;_xlpm.p)))))</f>
        <v>1.3333333333333333</v>
      </c>
      <c r="I207" s="4" t="s">
        <v>782</v>
      </c>
      <c r="J207" t="s">
        <v>915</v>
      </c>
      <c r="K207" s="5" t="s">
        <v>7</v>
      </c>
      <c r="L207" s="5" t="s">
        <v>2162</v>
      </c>
      <c r="M207" s="5" t="s">
        <v>7</v>
      </c>
      <c r="N207" s="5" t="s">
        <v>7</v>
      </c>
      <c r="O207" s="4" t="s">
        <v>11522</v>
      </c>
      <c r="P207" s="4" t="s">
        <v>8021</v>
      </c>
      <c r="R207" t="b">
        <v>1</v>
      </c>
    </row>
    <row r="208" spans="1:18">
      <c r="A208" t="s">
        <v>3009</v>
      </c>
      <c r="B208" t="s">
        <v>3593</v>
      </c>
      <c r="C208" s="5" t="s">
        <v>7975</v>
      </c>
      <c r="D208" s="1">
        <v>1</v>
      </c>
      <c r="E208" s="1">
        <v>38</v>
      </c>
      <c r="F208" s="1">
        <v>191</v>
      </c>
      <c r="G208" s="1">
        <v>192</v>
      </c>
      <c r="H208" s="8" cm="1">
        <f t="array" ref="H208">_xlfn.LET(_xlpm.s,IFERROR(--F208,""),_xlpm.e,IFERROR(--G208,""),IF(OR(_xlpm.s="",_xlpm.e="",_xlpm.e&lt;_xlpm.s),"",_xlfn.LET(_xlpm.p,_xlfn.SEQUENCE(_xlpm.e-_xlpm.s+1,1,_xlpm.s,1),SUM(1/COUNTIFS($D:$D,D208,$E:$E,E208,$F:$F,"&lt;&gt;N/A",$G:$G,"&lt;&gt;N/A",$F:$F,"&lt;="&amp;_xlpm.p,$G:$G,"&gt;="&amp;_xlpm.p)))))</f>
        <v>1.3333333333333333</v>
      </c>
      <c r="I208" s="4" t="s">
        <v>774</v>
      </c>
      <c r="J208" t="s">
        <v>839</v>
      </c>
      <c r="K208" s="5" t="s">
        <v>7</v>
      </c>
      <c r="L208" s="5" t="s">
        <v>7</v>
      </c>
      <c r="M208" s="5" t="s">
        <v>7</v>
      </c>
      <c r="N208" s="5" t="s">
        <v>7</v>
      </c>
      <c r="O208" s="4" t="s">
        <v>778</v>
      </c>
      <c r="P208" s="4" t="s">
        <v>7834</v>
      </c>
      <c r="R208" t="b">
        <v>1</v>
      </c>
    </row>
    <row r="209" spans="1:18">
      <c r="A209" t="s">
        <v>3009</v>
      </c>
      <c r="B209" t="s">
        <v>3594</v>
      </c>
      <c r="C209" s="5" t="s">
        <v>7975</v>
      </c>
      <c r="D209" s="1">
        <v>1</v>
      </c>
      <c r="E209" s="1">
        <v>38</v>
      </c>
      <c r="F209" s="1">
        <v>192</v>
      </c>
      <c r="G209" s="1">
        <v>192</v>
      </c>
      <c r="H209" s="8" cm="1">
        <f t="array" ref="H209">_xlfn.LET(_xlpm.s,IFERROR(--F209,""),_xlpm.e,IFERROR(--G209,""),IF(OR(_xlpm.s="",_xlpm.e="",_xlpm.e&lt;_xlpm.s),"",_xlfn.LET(_xlpm.p,_xlfn.SEQUENCE(_xlpm.e-_xlpm.s+1,1,_xlpm.s,1),SUM(1/COUNTIFS($D:$D,D209,$E:$E,E209,$F:$F,"&lt;&gt;N/A",$G:$G,"&lt;&gt;N/A",$F:$F,"&lt;="&amp;_xlpm.p,$G:$G,"&gt;="&amp;_xlpm.p)))))</f>
        <v>0.33333333333333331</v>
      </c>
      <c r="I209" s="4" t="s">
        <v>774</v>
      </c>
      <c r="J209" t="s">
        <v>908</v>
      </c>
      <c r="K209" s="5" t="s">
        <v>2163</v>
      </c>
      <c r="L209" s="5" t="s">
        <v>7</v>
      </c>
      <c r="M209" s="5" t="s">
        <v>7</v>
      </c>
      <c r="N209" s="5" t="s">
        <v>7</v>
      </c>
      <c r="O209" s="4" t="s">
        <v>778</v>
      </c>
      <c r="P209" s="4" t="s">
        <v>7834</v>
      </c>
      <c r="R209" t="b">
        <v>1</v>
      </c>
    </row>
    <row r="210" spans="1:18">
      <c r="A210" t="s">
        <v>3009</v>
      </c>
      <c r="B210" t="s">
        <v>7015</v>
      </c>
      <c r="C210" s="5" t="s">
        <v>7975</v>
      </c>
      <c r="D210" s="1">
        <v>1</v>
      </c>
      <c r="E210" s="1">
        <v>38</v>
      </c>
      <c r="F210" s="1">
        <v>192</v>
      </c>
      <c r="G210" s="1">
        <v>193</v>
      </c>
      <c r="H210" s="8" cm="1">
        <f t="array" ref="H210">_xlfn.LET(_xlpm.s,IFERROR(--F210,""),_xlpm.e,IFERROR(--G210,""),IF(OR(_xlpm.s="",_xlpm.e="",_xlpm.e&lt;_xlpm.s),"",_xlfn.LET(_xlpm.p,_xlfn.SEQUENCE(_xlpm.e-_xlpm.s+1,1,_xlpm.s,1),SUM(1/COUNTIFS($D:$D,D210,$E:$E,E210,$F:$F,"&lt;&gt;N/A",$G:$G,"&lt;&gt;N/A",$F:$F,"&lt;="&amp;_xlpm.p,$G:$G,"&gt;="&amp;_xlpm.p)))))</f>
        <v>0.66666666666666663</v>
      </c>
      <c r="I210" s="4" t="s">
        <v>782</v>
      </c>
      <c r="J210" t="s">
        <v>918</v>
      </c>
      <c r="K210" s="5" t="s">
        <v>7</v>
      </c>
      <c r="L210" s="5" t="s">
        <v>7</v>
      </c>
      <c r="M210" s="5" t="s">
        <v>7</v>
      </c>
      <c r="N210" s="5" t="s">
        <v>7</v>
      </c>
      <c r="O210" s="4" t="s">
        <v>778</v>
      </c>
      <c r="P210" s="4" t="s">
        <v>7834</v>
      </c>
      <c r="R210" t="b">
        <v>1</v>
      </c>
    </row>
    <row r="211" spans="1:18">
      <c r="A211" t="s">
        <v>3009</v>
      </c>
      <c r="B211" t="s">
        <v>7016</v>
      </c>
      <c r="C211" s="5" t="s">
        <v>7975</v>
      </c>
      <c r="D211" s="1">
        <v>1</v>
      </c>
      <c r="E211" s="1">
        <v>38</v>
      </c>
      <c r="F211" s="1">
        <v>193</v>
      </c>
      <c r="G211" s="1">
        <v>193</v>
      </c>
      <c r="H211" s="8" cm="1">
        <f t="array" ref="H211">_xlfn.LET(_xlpm.s,IFERROR(--F211,""),_xlpm.e,IFERROR(--G211,""),IF(OR(_xlpm.s="",_xlpm.e="",_xlpm.e&lt;_xlpm.s),"",_xlfn.LET(_xlpm.p,_xlfn.SEQUENCE(_xlpm.e-_xlpm.s+1,1,_xlpm.s,1),SUM(1/COUNTIFS($D:$D,D211,$E:$E,E211,$F:$F,"&lt;&gt;N/A",$G:$G,"&lt;&gt;N/A",$F:$F,"&lt;="&amp;_xlpm.p,$G:$G,"&gt;="&amp;_xlpm.p)))))</f>
        <v>0.33333333333333331</v>
      </c>
      <c r="I211" s="4" t="s">
        <v>782</v>
      </c>
      <c r="J211" t="s">
        <v>7265</v>
      </c>
      <c r="K211" s="5" t="s">
        <v>7</v>
      </c>
      <c r="L211" s="5" t="s">
        <v>7</v>
      </c>
      <c r="M211" t="s">
        <v>7249</v>
      </c>
      <c r="N211" s="5" t="s">
        <v>10299</v>
      </c>
      <c r="O211" s="4" t="s">
        <v>5072</v>
      </c>
      <c r="P211" s="4" t="s">
        <v>8021</v>
      </c>
      <c r="R211" t="b">
        <v>1</v>
      </c>
    </row>
    <row r="212" spans="1:18">
      <c r="A212" t="s">
        <v>3009</v>
      </c>
      <c r="B212" t="s">
        <v>7017</v>
      </c>
      <c r="C212" s="5" t="s">
        <v>7975</v>
      </c>
      <c r="D212" s="1">
        <v>1</v>
      </c>
      <c r="E212" s="1">
        <v>38</v>
      </c>
      <c r="F212" s="1">
        <v>193</v>
      </c>
      <c r="G212" s="1">
        <v>194</v>
      </c>
      <c r="H212" s="8" cm="1">
        <f t="array" ref="H212">_xlfn.LET(_xlpm.s,IFERROR(--F212,""),_xlpm.e,IFERROR(--G212,""),IF(OR(_xlpm.s="",_xlpm.e="",_xlpm.e&lt;_xlpm.s),"",_xlfn.LET(_xlpm.p,_xlfn.SEQUENCE(_xlpm.e-_xlpm.s+1,1,_xlpm.s,1),SUM(1/COUNTIFS($D:$D,D212,$E:$E,E212,$F:$F,"&lt;&gt;N/A",$G:$G,"&lt;&gt;N/A",$F:$F,"&lt;="&amp;_xlpm.p,$G:$G,"&gt;="&amp;_xlpm.p)))))</f>
        <v>0.58333333333333326</v>
      </c>
      <c r="I212" s="4" t="s">
        <v>782</v>
      </c>
      <c r="J212" t="s">
        <v>919</v>
      </c>
      <c r="K212" s="5" t="s">
        <v>7</v>
      </c>
      <c r="L212" s="5" t="s">
        <v>7</v>
      </c>
      <c r="M212" t="s">
        <v>7249</v>
      </c>
      <c r="N212" s="5" t="s">
        <v>7264</v>
      </c>
      <c r="O212" s="4" t="s">
        <v>5072</v>
      </c>
      <c r="P212" s="4" t="s">
        <v>8021</v>
      </c>
      <c r="Q212" s="5"/>
      <c r="R212" t="b">
        <v>1</v>
      </c>
    </row>
    <row r="213" spans="1:18">
      <c r="A213" t="s">
        <v>3009</v>
      </c>
      <c r="B213" t="s">
        <v>7018</v>
      </c>
      <c r="C213" s="5" t="s">
        <v>7975</v>
      </c>
      <c r="D213" s="1">
        <v>1</v>
      </c>
      <c r="E213" s="1">
        <v>38</v>
      </c>
      <c r="F213" s="1">
        <v>194</v>
      </c>
      <c r="G213" s="1">
        <v>194</v>
      </c>
      <c r="H213" s="8" cm="1">
        <f t="array" ref="H213">_xlfn.LET(_xlpm.s,IFERROR(--F213,""),_xlpm.e,IFERROR(--G213,""),IF(OR(_xlpm.s="",_xlpm.e="",_xlpm.e&lt;_xlpm.s),"",_xlfn.LET(_xlpm.p,_xlfn.SEQUENCE(_xlpm.e-_xlpm.s+1,1,_xlpm.s,1),SUM(1/COUNTIFS($D:$D,D213,$E:$E,E213,$F:$F,"&lt;&gt;N/A",$G:$G,"&lt;&gt;N/A",$F:$F,"&lt;="&amp;_xlpm.p,$G:$G,"&gt;="&amp;_xlpm.p)))))</f>
        <v>0.25</v>
      </c>
      <c r="I213" s="4" t="s">
        <v>782</v>
      </c>
      <c r="J213" t="s">
        <v>920</v>
      </c>
      <c r="K213" s="5" t="s">
        <v>7</v>
      </c>
      <c r="L213" s="5" t="s">
        <v>2164</v>
      </c>
      <c r="M213" s="5" t="s">
        <v>7</v>
      </c>
      <c r="N213" s="5" t="s">
        <v>7</v>
      </c>
      <c r="O213" s="4" t="s">
        <v>11522</v>
      </c>
      <c r="P213" s="4" t="s">
        <v>8021</v>
      </c>
      <c r="R213" t="b">
        <v>1</v>
      </c>
    </row>
    <row r="214" spans="1:18">
      <c r="A214" t="s">
        <v>3009</v>
      </c>
      <c r="B214" t="s">
        <v>7123</v>
      </c>
      <c r="C214" s="5" t="s">
        <v>7975</v>
      </c>
      <c r="D214" s="1">
        <v>1</v>
      </c>
      <c r="E214" s="1">
        <v>38</v>
      </c>
      <c r="F214" s="1">
        <v>194</v>
      </c>
      <c r="G214" s="1">
        <v>194</v>
      </c>
      <c r="H214" s="8" cm="1">
        <f t="array" ref="H214">_xlfn.LET(_xlpm.s,IFERROR(--F214,""),_xlpm.e,IFERROR(--G214,""),IF(OR(_xlpm.s="",_xlpm.e="",_xlpm.e&lt;_xlpm.s),"",_xlfn.LET(_xlpm.p,_xlfn.SEQUENCE(_xlpm.e-_xlpm.s+1,1,_xlpm.s,1),SUM(1/COUNTIFS($D:$D,D214,$E:$E,E214,$F:$F,"&lt;&gt;N/A",$G:$G,"&lt;&gt;N/A",$F:$F,"&lt;="&amp;_xlpm.p,$G:$G,"&gt;="&amp;_xlpm.p)))))</f>
        <v>0.25</v>
      </c>
      <c r="I214" s="4" t="s">
        <v>782</v>
      </c>
      <c r="J214" t="s">
        <v>921</v>
      </c>
      <c r="K214" s="5" t="s">
        <v>7</v>
      </c>
      <c r="L214" s="5" t="s">
        <v>2165</v>
      </c>
      <c r="M214" t="s">
        <v>5024</v>
      </c>
      <c r="N214" s="5" t="s">
        <v>2370</v>
      </c>
      <c r="O214" s="4" t="s">
        <v>5072</v>
      </c>
      <c r="P214" s="4" t="s">
        <v>8021</v>
      </c>
      <c r="R214" t="b">
        <v>1</v>
      </c>
    </row>
    <row r="215" spans="1:18">
      <c r="A215" t="s">
        <v>3009</v>
      </c>
      <c r="B215" t="s">
        <v>10536</v>
      </c>
      <c r="C215" s="5" t="s">
        <v>7975</v>
      </c>
      <c r="D215" s="1">
        <v>1</v>
      </c>
      <c r="E215" s="1">
        <v>38</v>
      </c>
      <c r="F215" s="1">
        <v>194</v>
      </c>
      <c r="G215" s="1">
        <v>194</v>
      </c>
      <c r="H215" s="8" cm="1">
        <f t="array" ref="H215">_xlfn.LET(_xlpm.s,IFERROR(--F215,""),_xlpm.e,IFERROR(--G215,""),IF(OR(_xlpm.s="",_xlpm.e="",_xlpm.e&lt;_xlpm.s),"",_xlfn.LET(_xlpm.p,_xlfn.SEQUENCE(_xlpm.e-_xlpm.s+1,1,_xlpm.s,1),SUM(1/COUNTIFS($D:$D,D215,$E:$E,E215,$F:$F,"&lt;&gt;N/A",$G:$G,"&lt;&gt;N/A",$F:$F,"&lt;="&amp;_xlpm.p,$G:$G,"&gt;="&amp;_xlpm.p)))))</f>
        <v>0.25</v>
      </c>
      <c r="I215" s="4" t="s">
        <v>7</v>
      </c>
      <c r="J215" t="s">
        <v>11405</v>
      </c>
      <c r="K215" s="5" t="s">
        <v>7</v>
      </c>
      <c r="L215" s="5" t="s">
        <v>7</v>
      </c>
      <c r="M215" s="5" t="s">
        <v>7</v>
      </c>
      <c r="N215" s="5" t="s">
        <v>7</v>
      </c>
      <c r="O215" s="4" t="s">
        <v>778</v>
      </c>
      <c r="P215" s="4" t="s">
        <v>7834</v>
      </c>
      <c r="R215" s="5" t="b">
        <v>0</v>
      </c>
    </row>
    <row r="216" spans="1:18">
      <c r="A216" t="s">
        <v>3009</v>
      </c>
      <c r="B216" t="s">
        <v>7019</v>
      </c>
      <c r="C216" s="5" t="s">
        <v>7976</v>
      </c>
      <c r="D216" s="1">
        <v>1</v>
      </c>
      <c r="E216" s="1">
        <v>39</v>
      </c>
      <c r="F216" s="1">
        <v>195</v>
      </c>
      <c r="G216" s="1">
        <v>195</v>
      </c>
      <c r="H216" s="8" cm="1">
        <f t="array" ref="H216">_xlfn.LET(_xlpm.s,IFERROR(--F216,""),_xlpm.e,IFERROR(--G216,""),IF(OR(_xlpm.s="",_xlpm.e="",_xlpm.e&lt;_xlpm.s),"",_xlfn.LET(_xlpm.p,_xlfn.SEQUENCE(_xlpm.e-_xlpm.s+1,1,_xlpm.s,1),SUM(1/COUNTIFS($D:$D,D216,$E:$E,E216,$F:$F,"&lt;&gt;N/A",$G:$G,"&lt;&gt;N/A",$F:$F,"&lt;="&amp;_xlpm.p,$G:$G,"&gt;="&amp;_xlpm.p)))))</f>
        <v>0.5</v>
      </c>
      <c r="I216" s="4" t="s">
        <v>774</v>
      </c>
      <c r="J216" t="s">
        <v>839</v>
      </c>
      <c r="K216" s="5" t="s">
        <v>7</v>
      </c>
      <c r="L216" s="5" t="s">
        <v>7</v>
      </c>
      <c r="M216" s="5" t="s">
        <v>7</v>
      </c>
      <c r="N216" s="5" t="s">
        <v>7</v>
      </c>
      <c r="O216" s="4" t="s">
        <v>778</v>
      </c>
      <c r="P216" s="4" t="s">
        <v>7834</v>
      </c>
      <c r="R216" t="b">
        <v>0</v>
      </c>
    </row>
    <row r="217" spans="1:18">
      <c r="A217" t="s">
        <v>3009</v>
      </c>
      <c r="B217" t="s">
        <v>7020</v>
      </c>
      <c r="C217" s="5" t="s">
        <v>7976</v>
      </c>
      <c r="D217" s="1">
        <v>1</v>
      </c>
      <c r="E217" s="1">
        <v>39</v>
      </c>
      <c r="F217" s="1">
        <v>195</v>
      </c>
      <c r="G217" s="1">
        <v>196</v>
      </c>
      <c r="H217" s="8" cm="1">
        <f t="array" ref="H217">_xlfn.LET(_xlpm.s,IFERROR(--F217,""),_xlpm.e,IFERROR(--G217,""),IF(OR(_xlpm.s="",_xlpm.e="",_xlpm.e&lt;_xlpm.s),"",_xlfn.LET(_xlpm.p,_xlfn.SEQUENCE(_xlpm.e-_xlpm.s+1,1,_xlpm.s,1),SUM(1/COUNTIFS($D:$D,D217,$E:$E,E217,$F:$F,"&lt;&gt;N/A",$G:$G,"&lt;&gt;N/A",$F:$F,"&lt;="&amp;_xlpm.p,$G:$G,"&gt;="&amp;_xlpm.p)))))</f>
        <v>1</v>
      </c>
      <c r="I217" s="4" t="s">
        <v>774</v>
      </c>
      <c r="J217" t="s">
        <v>848</v>
      </c>
      <c r="K217" s="5" t="s">
        <v>7</v>
      </c>
      <c r="L217" s="5" t="s">
        <v>7</v>
      </c>
      <c r="M217" s="5" t="s">
        <v>7</v>
      </c>
      <c r="N217" s="5" t="s">
        <v>7</v>
      </c>
      <c r="O217" s="4" t="s">
        <v>778</v>
      </c>
      <c r="P217" s="4" t="s">
        <v>7834</v>
      </c>
      <c r="R217" t="b">
        <v>1</v>
      </c>
    </row>
    <row r="218" spans="1:18">
      <c r="A218" t="s">
        <v>3009</v>
      </c>
      <c r="B218" t="s">
        <v>7021</v>
      </c>
      <c r="C218" s="5" t="s">
        <v>7976</v>
      </c>
      <c r="D218" s="1">
        <v>1</v>
      </c>
      <c r="E218" s="1">
        <v>39</v>
      </c>
      <c r="F218" s="1">
        <v>196</v>
      </c>
      <c r="G218" s="1">
        <v>197</v>
      </c>
      <c r="H218" s="8" cm="1">
        <f t="array" ref="H218">_xlfn.LET(_xlpm.s,IFERROR(--F218,""),_xlpm.e,IFERROR(--G218,""),IF(OR(_xlpm.s="",_xlpm.e="",_xlpm.e&lt;_xlpm.s),"",_xlfn.LET(_xlpm.p,_xlfn.SEQUENCE(_xlpm.e-_xlpm.s+1,1,_xlpm.s,1),SUM(1/COUNTIFS($D:$D,D218,$E:$E,E218,$F:$F,"&lt;&gt;N/A",$G:$G,"&lt;&gt;N/A",$F:$F,"&lt;="&amp;_xlpm.p,$G:$G,"&gt;="&amp;_xlpm.p)))))</f>
        <v>1</v>
      </c>
      <c r="I218" s="4" t="s">
        <v>782</v>
      </c>
      <c r="J218" t="s">
        <v>922</v>
      </c>
      <c r="K218" s="5" t="s">
        <v>2166</v>
      </c>
      <c r="L218" s="5" t="s">
        <v>2167</v>
      </c>
      <c r="M218" s="5" t="s">
        <v>7</v>
      </c>
      <c r="N218" s="5" t="s">
        <v>7</v>
      </c>
      <c r="O218" s="4" t="s">
        <v>5072</v>
      </c>
      <c r="P218" s="4" t="s">
        <v>8021</v>
      </c>
      <c r="R218" t="b">
        <v>1</v>
      </c>
    </row>
    <row r="219" spans="1:18">
      <c r="A219" t="s">
        <v>3009</v>
      </c>
      <c r="B219" t="s">
        <v>7124</v>
      </c>
      <c r="C219" s="5" t="s">
        <v>7976</v>
      </c>
      <c r="D219" s="1">
        <v>1</v>
      </c>
      <c r="E219" s="1">
        <v>39</v>
      </c>
      <c r="F219" s="1">
        <v>197</v>
      </c>
      <c r="G219" s="1">
        <v>198</v>
      </c>
      <c r="H219" s="8" cm="1">
        <f t="array" ref="H219">_xlfn.LET(_xlpm.s,IFERROR(--F219,""),_xlpm.e,IFERROR(--G219,""),IF(OR(_xlpm.s="",_xlpm.e="",_xlpm.e&lt;_xlpm.s),"",_xlfn.LET(_xlpm.p,_xlfn.SEQUENCE(_xlpm.e-_xlpm.s+1,1,_xlpm.s,1),SUM(1/COUNTIFS($D:$D,D219,$E:$E,E219,$F:$F,"&lt;&gt;N/A",$G:$G,"&lt;&gt;N/A",$F:$F,"&lt;="&amp;_xlpm.p,$G:$G,"&gt;="&amp;_xlpm.p)))))</f>
        <v>1</v>
      </c>
      <c r="I219" s="4" t="s">
        <v>782</v>
      </c>
      <c r="J219" t="s">
        <v>923</v>
      </c>
      <c r="K219" s="5" t="s">
        <v>11509</v>
      </c>
      <c r="L219" s="5" t="s">
        <v>7</v>
      </c>
      <c r="M219" s="5" t="s">
        <v>7</v>
      </c>
      <c r="N219" s="5" t="s">
        <v>7</v>
      </c>
      <c r="O219" s="4" t="s">
        <v>778</v>
      </c>
      <c r="P219" s="4" t="s">
        <v>7834</v>
      </c>
      <c r="R219" t="b">
        <v>1</v>
      </c>
    </row>
    <row r="220" spans="1:18">
      <c r="A220" t="s">
        <v>3009</v>
      </c>
      <c r="B220" t="s">
        <v>10537</v>
      </c>
      <c r="C220" s="5" t="s">
        <v>7976</v>
      </c>
      <c r="D220" s="1">
        <v>1</v>
      </c>
      <c r="E220" s="1">
        <v>39</v>
      </c>
      <c r="F220" s="1">
        <v>198</v>
      </c>
      <c r="G220" s="1">
        <v>198</v>
      </c>
      <c r="H220" s="8" cm="1">
        <f t="array" ref="H220">_xlfn.LET(_xlpm.s,IFERROR(--F220,""),_xlpm.e,IFERROR(--G220,""),IF(OR(_xlpm.s="",_xlpm.e="",_xlpm.e&lt;_xlpm.s),"",_xlfn.LET(_xlpm.p,_xlfn.SEQUENCE(_xlpm.e-_xlpm.s+1,1,_xlpm.s,1),SUM(1/COUNTIFS($D:$D,D220,$E:$E,E220,$F:$F,"&lt;&gt;N/A",$G:$G,"&lt;&gt;N/A",$F:$F,"&lt;="&amp;_xlpm.p,$G:$G,"&gt;="&amp;_xlpm.p)))))</f>
        <v>0.5</v>
      </c>
      <c r="I220" s="4" t="s">
        <v>782</v>
      </c>
      <c r="J220" t="s">
        <v>899</v>
      </c>
      <c r="K220" s="5" t="s">
        <v>7</v>
      </c>
      <c r="L220" s="5" t="s">
        <v>7</v>
      </c>
      <c r="M220" s="5" t="s">
        <v>7</v>
      </c>
      <c r="N220" s="5" t="s">
        <v>7</v>
      </c>
      <c r="O220" s="4" t="s">
        <v>778</v>
      </c>
      <c r="P220" s="4" t="s">
        <v>7834</v>
      </c>
      <c r="R220" t="b">
        <v>1</v>
      </c>
    </row>
    <row r="221" spans="1:18">
      <c r="A221" t="s">
        <v>3009</v>
      </c>
      <c r="B221" t="s">
        <v>7022</v>
      </c>
      <c r="C221" s="5" t="s">
        <v>10276</v>
      </c>
      <c r="D221" s="1">
        <v>1</v>
      </c>
      <c r="E221" s="1">
        <v>40</v>
      </c>
      <c r="F221" s="1">
        <v>199</v>
      </c>
      <c r="G221" s="1">
        <v>199</v>
      </c>
      <c r="H221" s="8" cm="1">
        <f t="array" ref="H221">_xlfn.LET(_xlpm.s,IFERROR(--F221,""),_xlpm.e,IFERROR(--G221,""),IF(OR(_xlpm.s="",_xlpm.e="",_xlpm.e&lt;_xlpm.s),"",_xlfn.LET(_xlpm.p,_xlfn.SEQUENCE(_xlpm.e-_xlpm.s+1,1,_xlpm.s,1),SUM(1/COUNTIFS($D:$D,D221,$E:$E,E221,$F:$F,"&lt;&gt;N/A",$G:$G,"&lt;&gt;N/A",$F:$F,"&lt;="&amp;_xlpm.p,$G:$G,"&gt;="&amp;_xlpm.p)))))</f>
        <v>0.5</v>
      </c>
      <c r="I221" s="4" t="s">
        <v>774</v>
      </c>
      <c r="J221" t="s">
        <v>839</v>
      </c>
      <c r="K221" s="5" t="s">
        <v>7</v>
      </c>
      <c r="L221" s="5" t="s">
        <v>7</v>
      </c>
      <c r="M221" s="5" t="s">
        <v>7</v>
      </c>
      <c r="N221" s="5" t="s">
        <v>7</v>
      </c>
      <c r="O221" s="4" t="s">
        <v>778</v>
      </c>
      <c r="P221" s="4" t="s">
        <v>7834</v>
      </c>
      <c r="R221" t="b">
        <v>1</v>
      </c>
    </row>
    <row r="222" spans="1:18">
      <c r="A222" t="s">
        <v>3009</v>
      </c>
      <c r="B222" t="s">
        <v>7023</v>
      </c>
      <c r="C222" s="5" t="s">
        <v>10276</v>
      </c>
      <c r="D222" s="1">
        <v>1</v>
      </c>
      <c r="E222" s="1">
        <v>40</v>
      </c>
      <c r="F222" s="1">
        <v>199</v>
      </c>
      <c r="G222" s="1">
        <v>200</v>
      </c>
      <c r="H222" s="8" cm="1">
        <f t="array" ref="H222">_xlfn.LET(_xlpm.s,IFERROR(--F222,""),_xlpm.e,IFERROR(--G222,""),IF(OR(_xlpm.s="",_xlpm.e="",_xlpm.e&lt;_xlpm.s),"",_xlfn.LET(_xlpm.p,_xlfn.SEQUENCE(_xlpm.e-_xlpm.s+1,1,_xlpm.s,1),SUM(1/COUNTIFS($D:$D,D222,$E:$E,E222,$F:$F,"&lt;&gt;N/A",$G:$G,"&lt;&gt;N/A",$F:$F,"&lt;="&amp;_xlpm.p,$G:$G,"&gt;="&amp;_xlpm.p)))))</f>
        <v>1</v>
      </c>
      <c r="I222" s="4" t="s">
        <v>774</v>
      </c>
      <c r="J222" t="s">
        <v>848</v>
      </c>
      <c r="K222" s="5" t="s">
        <v>7</v>
      </c>
      <c r="L222" s="5" t="s">
        <v>7</v>
      </c>
      <c r="M222" s="5" t="s">
        <v>7</v>
      </c>
      <c r="N222" s="5" t="s">
        <v>7</v>
      </c>
      <c r="O222" s="4" t="s">
        <v>778</v>
      </c>
      <c r="P222" s="4" t="s">
        <v>7834</v>
      </c>
      <c r="R222" t="b">
        <v>1</v>
      </c>
    </row>
    <row r="223" spans="1:18">
      <c r="A223" t="s">
        <v>3009</v>
      </c>
      <c r="B223" t="s">
        <v>7024</v>
      </c>
      <c r="C223" s="5" t="s">
        <v>10276</v>
      </c>
      <c r="D223" s="1">
        <v>1</v>
      </c>
      <c r="E223" s="1">
        <v>40</v>
      </c>
      <c r="F223" s="1">
        <v>200</v>
      </c>
      <c r="G223" s="1">
        <v>201</v>
      </c>
      <c r="H223" s="8" cm="1">
        <f t="array" ref="H223">_xlfn.LET(_xlpm.s,IFERROR(--F223,""),_xlpm.e,IFERROR(--G223,""),IF(OR(_xlpm.s="",_xlpm.e="",_xlpm.e&lt;_xlpm.s),"",_xlfn.LET(_xlpm.p,_xlfn.SEQUENCE(_xlpm.e-_xlpm.s+1,1,_xlpm.s,1),SUM(1/COUNTIFS($D:$D,D223,$E:$E,E223,$F:$F,"&lt;&gt;N/A",$G:$G,"&lt;&gt;N/A",$F:$F,"&lt;="&amp;_xlpm.p,$G:$G,"&gt;="&amp;_xlpm.p)))))</f>
        <v>0.83333333333333326</v>
      </c>
      <c r="I223" s="4" t="s">
        <v>782</v>
      </c>
      <c r="J223" t="s">
        <v>10301</v>
      </c>
      <c r="K223" s="5" t="s">
        <v>7</v>
      </c>
      <c r="L223" s="5" t="s">
        <v>2168</v>
      </c>
      <c r="M223" s="5" t="s">
        <v>7</v>
      </c>
      <c r="N223" s="5" t="s">
        <v>7</v>
      </c>
      <c r="O223" s="4" t="s">
        <v>5072</v>
      </c>
      <c r="P223" s="4" t="s">
        <v>8021</v>
      </c>
      <c r="R223" t="b">
        <v>1</v>
      </c>
    </row>
    <row r="224" spans="1:18">
      <c r="A224" t="s">
        <v>3009</v>
      </c>
      <c r="B224" t="s">
        <v>7125</v>
      </c>
      <c r="C224" s="5" t="s">
        <v>10276</v>
      </c>
      <c r="D224" s="1">
        <v>1</v>
      </c>
      <c r="E224" s="1">
        <v>40</v>
      </c>
      <c r="F224" s="1">
        <v>201</v>
      </c>
      <c r="G224" s="1">
        <v>201</v>
      </c>
      <c r="H224" s="8" cm="1">
        <f t="array" ref="H224">_xlfn.LET(_xlpm.s,IFERROR(--F224,""),_xlpm.e,IFERROR(--G224,""),IF(OR(_xlpm.s="",_xlpm.e="",_xlpm.e&lt;_xlpm.s),"",_xlfn.LET(_xlpm.p,_xlfn.SEQUENCE(_xlpm.e-_xlpm.s+1,1,_xlpm.s,1),SUM(1/COUNTIFS($D:$D,D224,$E:$E,E224,$F:$F,"&lt;&gt;N/A",$G:$G,"&lt;&gt;N/A",$F:$F,"&lt;="&amp;_xlpm.p,$G:$G,"&gt;="&amp;_xlpm.p)))))</f>
        <v>0.33333333333333331</v>
      </c>
      <c r="I224" s="4" t="s">
        <v>782</v>
      </c>
      <c r="J224" t="s">
        <v>924</v>
      </c>
      <c r="K224" s="5" t="s">
        <v>7</v>
      </c>
      <c r="L224" s="5" t="s">
        <v>2168</v>
      </c>
      <c r="M224" s="5" t="s">
        <v>7</v>
      </c>
      <c r="N224" s="5" t="s">
        <v>7</v>
      </c>
      <c r="O224" s="4" t="s">
        <v>5072</v>
      </c>
      <c r="P224" s="4" t="s">
        <v>8021</v>
      </c>
      <c r="R224" t="b">
        <v>1</v>
      </c>
    </row>
    <row r="225" spans="1:18">
      <c r="A225" t="s">
        <v>3009</v>
      </c>
      <c r="B225" t="s">
        <v>10538</v>
      </c>
      <c r="C225" s="5" t="s">
        <v>10276</v>
      </c>
      <c r="D225" s="1">
        <v>1</v>
      </c>
      <c r="E225" s="1">
        <v>40</v>
      </c>
      <c r="F225" s="1">
        <v>201</v>
      </c>
      <c r="G225" s="1">
        <v>202</v>
      </c>
      <c r="H225" s="8" cm="1">
        <f t="array" ref="H225">_xlfn.LET(_xlpm.s,IFERROR(--F225,""),_xlpm.e,IFERROR(--G225,""),IF(OR(_xlpm.s="",_xlpm.e="",_xlpm.e&lt;_xlpm.s),"",_xlfn.LET(_xlpm.p,_xlfn.SEQUENCE(_xlpm.e-_xlpm.s+1,1,_xlpm.s,1),SUM(1/COUNTIFS($D:$D,D225,$E:$E,E225,$F:$F,"&lt;&gt;N/A",$G:$G,"&lt;&gt;N/A",$F:$F,"&lt;="&amp;_xlpm.p,$G:$G,"&gt;="&amp;_xlpm.p)))))</f>
        <v>1.3333333333333333</v>
      </c>
      <c r="I225" s="4" t="s">
        <v>782</v>
      </c>
      <c r="J225" t="s">
        <v>925</v>
      </c>
      <c r="K225" s="5" t="s">
        <v>7</v>
      </c>
      <c r="L225" s="5" t="s">
        <v>7</v>
      </c>
      <c r="M225" s="5" t="s">
        <v>7</v>
      </c>
      <c r="N225" s="5" t="s">
        <v>7</v>
      </c>
      <c r="O225" s="4" t="s">
        <v>11522</v>
      </c>
      <c r="P225" s="4" t="s">
        <v>8021</v>
      </c>
      <c r="R225" t="b">
        <v>1</v>
      </c>
    </row>
    <row r="226" spans="1:18">
      <c r="A226" t="s">
        <v>3009</v>
      </c>
      <c r="B226" t="s">
        <v>7025</v>
      </c>
      <c r="C226" s="5" t="s">
        <v>10277</v>
      </c>
      <c r="D226" s="1">
        <v>1</v>
      </c>
      <c r="E226" s="1">
        <v>41</v>
      </c>
      <c r="F226" s="1">
        <v>202</v>
      </c>
      <c r="G226" s="1">
        <v>203</v>
      </c>
      <c r="H226" s="8" cm="1">
        <f t="array" ref="H226">_xlfn.LET(_xlpm.s,IFERROR(--F226,""),_xlpm.e,IFERROR(--G226,""),IF(OR(_xlpm.s="",_xlpm.e="",_xlpm.e&lt;_xlpm.s),"",_xlfn.LET(_xlpm.p,_xlfn.SEQUENCE(_xlpm.e-_xlpm.s+1,1,_xlpm.s,1),SUM(1/COUNTIFS($D:$D,D226,$E:$E,E226,$F:$F,"&lt;&gt;N/A",$G:$G,"&lt;&gt;N/A",$F:$F,"&lt;="&amp;_xlpm.p,$G:$G,"&gt;="&amp;_xlpm.p)))))</f>
        <v>1.5</v>
      </c>
      <c r="I226" s="4" t="s">
        <v>774</v>
      </c>
      <c r="J226" t="s">
        <v>839</v>
      </c>
      <c r="K226" s="5" t="s">
        <v>7</v>
      </c>
      <c r="L226" s="5" t="s">
        <v>7</v>
      </c>
      <c r="M226" s="5" t="s">
        <v>7</v>
      </c>
      <c r="N226" s="5" t="s">
        <v>7</v>
      </c>
      <c r="O226" s="4" t="s">
        <v>778</v>
      </c>
      <c r="P226" s="4" t="s">
        <v>7834</v>
      </c>
      <c r="R226" t="b">
        <v>1</v>
      </c>
    </row>
    <row r="227" spans="1:18">
      <c r="A227" t="s">
        <v>3009</v>
      </c>
      <c r="B227" t="s">
        <v>7026</v>
      </c>
      <c r="C227" s="5" t="s">
        <v>10277</v>
      </c>
      <c r="D227" s="1">
        <v>1</v>
      </c>
      <c r="E227" s="1">
        <v>41</v>
      </c>
      <c r="F227" s="1">
        <v>203</v>
      </c>
      <c r="G227" s="1">
        <v>204</v>
      </c>
      <c r="H227" s="8" cm="1">
        <f t="array" ref="H227">_xlfn.LET(_xlpm.s,IFERROR(--F227,""),_xlpm.e,IFERROR(--G227,""),IF(OR(_xlpm.s="",_xlpm.e="",_xlpm.e&lt;_xlpm.s),"",_xlfn.LET(_xlpm.p,_xlfn.SEQUENCE(_xlpm.e-_xlpm.s+1,1,_xlpm.s,1),SUM(1/COUNTIFS($D:$D,D227,$E:$E,E227,$F:$F,"&lt;&gt;N/A",$G:$G,"&lt;&gt;N/A",$F:$F,"&lt;="&amp;_xlpm.p,$G:$G,"&gt;="&amp;_xlpm.p)))))</f>
        <v>0.83333333333333326</v>
      </c>
      <c r="I227" s="4" t="s">
        <v>774</v>
      </c>
      <c r="J227" t="s">
        <v>848</v>
      </c>
      <c r="K227" s="5" t="s">
        <v>7</v>
      </c>
      <c r="L227" s="5" t="s">
        <v>7</v>
      </c>
      <c r="M227" s="5" t="s">
        <v>7</v>
      </c>
      <c r="N227" s="5" t="s">
        <v>7</v>
      </c>
      <c r="O227" s="4" t="s">
        <v>778</v>
      </c>
      <c r="P227" s="4" t="s">
        <v>7834</v>
      </c>
      <c r="R227" t="b">
        <v>1</v>
      </c>
    </row>
    <row r="228" spans="1:18">
      <c r="A228" t="s">
        <v>3009</v>
      </c>
      <c r="B228" t="s">
        <v>7027</v>
      </c>
      <c r="C228" s="5" t="s">
        <v>10277</v>
      </c>
      <c r="D228" s="1">
        <v>1</v>
      </c>
      <c r="E228" s="1">
        <v>41</v>
      </c>
      <c r="F228" s="1">
        <v>204</v>
      </c>
      <c r="G228" s="1">
        <v>204</v>
      </c>
      <c r="H228" s="8" cm="1">
        <f t="array" ref="H228">_xlfn.LET(_xlpm.s,IFERROR(--F228,""),_xlpm.e,IFERROR(--G228,""),IF(OR(_xlpm.s="",_xlpm.e="",_xlpm.e&lt;_xlpm.s),"",_xlfn.LET(_xlpm.p,_xlfn.SEQUENCE(_xlpm.e-_xlpm.s+1,1,_xlpm.s,1),SUM(1/COUNTIFS($D:$D,D228,$E:$E,E228,$F:$F,"&lt;&gt;N/A",$G:$G,"&lt;&gt;N/A",$F:$F,"&lt;="&amp;_xlpm.p,$G:$G,"&gt;="&amp;_xlpm.p)))))</f>
        <v>0.33333333333333331</v>
      </c>
      <c r="I228" s="4" t="s">
        <v>782</v>
      </c>
      <c r="J228" t="s">
        <v>926</v>
      </c>
      <c r="K228" s="5" t="s">
        <v>7</v>
      </c>
      <c r="L228" s="5" t="s">
        <v>2168</v>
      </c>
      <c r="M228" s="5" t="s">
        <v>7</v>
      </c>
      <c r="N228" s="5" t="s">
        <v>2362</v>
      </c>
      <c r="O228" s="4" t="s">
        <v>5072</v>
      </c>
      <c r="P228" s="4" t="s">
        <v>8021</v>
      </c>
      <c r="R228" t="b">
        <v>1</v>
      </c>
    </row>
    <row r="229" spans="1:18">
      <c r="A229" t="s">
        <v>3009</v>
      </c>
      <c r="B229" t="s">
        <v>7126</v>
      </c>
      <c r="C229" s="5" t="s">
        <v>10277</v>
      </c>
      <c r="D229" s="1">
        <v>1</v>
      </c>
      <c r="E229" s="1">
        <v>41</v>
      </c>
      <c r="F229" s="1">
        <v>204</v>
      </c>
      <c r="G229" s="1">
        <v>206</v>
      </c>
      <c r="H229" s="8" cm="1">
        <f t="array" ref="H229">_xlfn.LET(_xlpm.s,IFERROR(--F229,""),_xlpm.e,IFERROR(--G229,""),IF(OR(_xlpm.s="",_xlpm.e="",_xlpm.e&lt;_xlpm.s),"",_xlfn.LET(_xlpm.p,_xlfn.SEQUENCE(_xlpm.e-_xlpm.s+1,1,_xlpm.s,1),SUM(1/COUNTIFS($D:$D,D229,$E:$E,E229,$F:$F,"&lt;&gt;N/A",$G:$G,"&lt;&gt;N/A",$F:$F,"&lt;="&amp;_xlpm.p,$G:$G,"&gt;="&amp;_xlpm.p)))))</f>
        <v>1.8333333333333333</v>
      </c>
      <c r="I229" s="4" t="s">
        <v>782</v>
      </c>
      <c r="J229" t="s">
        <v>927</v>
      </c>
      <c r="K229" s="5" t="s">
        <v>2169</v>
      </c>
      <c r="L229" s="5" t="s">
        <v>928</v>
      </c>
      <c r="M229" t="s">
        <v>5024</v>
      </c>
      <c r="N229" s="5" t="s">
        <v>7262</v>
      </c>
      <c r="O229" s="4" t="s">
        <v>5072</v>
      </c>
      <c r="P229" s="4" t="s">
        <v>8021</v>
      </c>
      <c r="R229" t="b">
        <v>1</v>
      </c>
    </row>
    <row r="230" spans="1:18">
      <c r="A230" t="s">
        <v>3009</v>
      </c>
      <c r="B230" t="s">
        <v>10539</v>
      </c>
      <c r="C230" s="5" t="s">
        <v>10277</v>
      </c>
      <c r="D230" s="1">
        <v>1</v>
      </c>
      <c r="E230" s="1">
        <v>41</v>
      </c>
      <c r="F230" s="1">
        <v>206</v>
      </c>
      <c r="G230" s="1">
        <v>206</v>
      </c>
      <c r="H230" s="8" cm="1">
        <f t="array" ref="H230">_xlfn.LET(_xlpm.s,IFERROR(--F230,""),_xlpm.e,IFERROR(--G230,""),IF(OR(_xlpm.s="",_xlpm.e="",_xlpm.e&lt;_xlpm.s),"",_xlfn.LET(_xlpm.p,_xlfn.SEQUENCE(_xlpm.e-_xlpm.s+1,1,_xlpm.s,1),SUM(1/COUNTIFS($D:$D,D230,$E:$E,E230,$F:$F,"&lt;&gt;N/A",$G:$G,"&lt;&gt;N/A",$F:$F,"&lt;="&amp;_xlpm.p,$G:$G,"&gt;="&amp;_xlpm.p)))))</f>
        <v>0.5</v>
      </c>
      <c r="I230" s="4" t="s">
        <v>782</v>
      </c>
      <c r="J230" t="s">
        <v>4382</v>
      </c>
      <c r="K230" s="5" t="s">
        <v>7</v>
      </c>
      <c r="L230" s="5" t="s">
        <v>929</v>
      </c>
      <c r="M230" t="s">
        <v>7261</v>
      </c>
      <c r="N230" s="5" t="s">
        <v>11583</v>
      </c>
      <c r="O230" s="4" t="s">
        <v>11522</v>
      </c>
      <c r="P230" s="5" t="s">
        <v>8021</v>
      </c>
      <c r="R230" t="b">
        <v>1</v>
      </c>
    </row>
    <row r="231" spans="1:18">
      <c r="A231" t="s">
        <v>3009</v>
      </c>
      <c r="B231" t="s">
        <v>7028</v>
      </c>
      <c r="C231" s="5" t="s">
        <v>7979</v>
      </c>
      <c r="D231" s="1">
        <v>1</v>
      </c>
      <c r="E231" s="1">
        <v>42</v>
      </c>
      <c r="F231" s="1">
        <v>207</v>
      </c>
      <c r="G231" s="1">
        <v>207</v>
      </c>
      <c r="H231" s="8" cm="1">
        <f t="array" ref="H231">_xlfn.LET(_xlpm.s,IFERROR(--F231,""),_xlpm.e,IFERROR(--G231,""),IF(OR(_xlpm.s="",_xlpm.e="",_xlpm.e&lt;_xlpm.s),"",_xlfn.LET(_xlpm.p,_xlfn.SEQUENCE(_xlpm.e-_xlpm.s+1,1,_xlpm.s,1),SUM(1/COUNTIFS($D:$D,D231,$E:$E,E231,$F:$F,"&lt;&gt;N/A",$G:$G,"&lt;&gt;N/A",$F:$F,"&lt;="&amp;_xlpm.p,$G:$G,"&gt;="&amp;_xlpm.p)))))</f>
        <v>0.5</v>
      </c>
      <c r="I231" s="4" t="s">
        <v>774</v>
      </c>
      <c r="J231" t="s">
        <v>839</v>
      </c>
      <c r="K231" s="5" t="s">
        <v>7</v>
      </c>
      <c r="L231" s="5" t="s">
        <v>7</v>
      </c>
      <c r="M231" s="5" t="s">
        <v>7</v>
      </c>
      <c r="N231" s="5" t="s">
        <v>7</v>
      </c>
      <c r="O231" s="4" t="s">
        <v>778</v>
      </c>
      <c r="P231" s="4" t="s">
        <v>7834</v>
      </c>
      <c r="R231" t="b">
        <v>1</v>
      </c>
    </row>
    <row r="232" spans="1:18">
      <c r="A232" t="s">
        <v>3009</v>
      </c>
      <c r="B232" t="s">
        <v>7029</v>
      </c>
      <c r="C232" s="5" t="s">
        <v>7979</v>
      </c>
      <c r="D232" s="1">
        <v>1</v>
      </c>
      <c r="E232" s="1">
        <v>42</v>
      </c>
      <c r="F232" s="1">
        <v>207</v>
      </c>
      <c r="G232" s="1">
        <v>210</v>
      </c>
      <c r="H232" s="8" cm="1">
        <f t="array" ref="H232">_xlfn.LET(_xlpm.s,IFERROR(--F232,""),_xlpm.e,IFERROR(--G232,""),IF(OR(_xlpm.s="",_xlpm.e="",_xlpm.e&lt;_xlpm.s),"",_xlfn.LET(_xlpm.p,_xlfn.SEQUENCE(_xlpm.e-_xlpm.s+1,1,_xlpm.s,1),SUM(1/COUNTIFS($D:$D,D232,$E:$E,E232,$F:$F,"&lt;&gt;N/A",$G:$G,"&lt;&gt;N/A",$F:$F,"&lt;="&amp;_xlpm.p,$G:$G,"&gt;="&amp;_xlpm.p)))))</f>
        <v>2.8333333333333335</v>
      </c>
      <c r="I232" s="4" t="s">
        <v>782</v>
      </c>
      <c r="J232" t="s">
        <v>930</v>
      </c>
      <c r="K232" t="s">
        <v>847</v>
      </c>
      <c r="L232" s="5" t="s">
        <v>7</v>
      </c>
      <c r="M232" s="5" t="s">
        <v>7</v>
      </c>
      <c r="N232" s="5" t="s">
        <v>7</v>
      </c>
      <c r="O232" s="4" t="s">
        <v>778</v>
      </c>
      <c r="P232" s="4" t="s">
        <v>7834</v>
      </c>
      <c r="R232" t="b">
        <v>1</v>
      </c>
    </row>
    <row r="233" spans="1:18">
      <c r="A233" t="s">
        <v>3009</v>
      </c>
      <c r="B233" t="s">
        <v>7127</v>
      </c>
      <c r="C233" s="5" t="s">
        <v>7979</v>
      </c>
      <c r="D233" s="1">
        <v>1</v>
      </c>
      <c r="E233" s="1">
        <v>42</v>
      </c>
      <c r="F233" s="1">
        <v>210</v>
      </c>
      <c r="G233" s="1">
        <v>210</v>
      </c>
      <c r="H233" s="8" cm="1">
        <f t="array" ref="H233">_xlfn.LET(_xlpm.s,IFERROR(--F233,""),_xlpm.e,IFERROR(--G233,""),IF(OR(_xlpm.s="",_xlpm.e="",_xlpm.e&lt;_xlpm.s),"",_xlfn.LET(_xlpm.p,_xlfn.SEQUENCE(_xlpm.e-_xlpm.s+1,1,_xlpm.s,1),SUM(1/COUNTIFS($D:$D,D233,$E:$E,E233,$F:$F,"&lt;&gt;N/A",$G:$G,"&lt;&gt;N/A",$F:$F,"&lt;="&amp;_xlpm.p,$G:$G,"&gt;="&amp;_xlpm.p)))))</f>
        <v>0.33333333333333331</v>
      </c>
      <c r="I233" s="4" t="s">
        <v>782</v>
      </c>
      <c r="J233" t="s">
        <v>931</v>
      </c>
      <c r="K233" s="5" t="s">
        <v>7</v>
      </c>
      <c r="L233" s="5" t="s">
        <v>7260</v>
      </c>
      <c r="M233" s="5" t="s">
        <v>7</v>
      </c>
      <c r="N233" t="s">
        <v>8038</v>
      </c>
      <c r="O233" s="4" t="s">
        <v>11522</v>
      </c>
      <c r="P233" s="4" t="s">
        <v>8021</v>
      </c>
      <c r="R233" t="b">
        <v>1</v>
      </c>
    </row>
    <row r="234" spans="1:18">
      <c r="A234" t="s">
        <v>3009</v>
      </c>
      <c r="B234" t="s">
        <v>10540</v>
      </c>
      <c r="C234" s="5" t="s">
        <v>7979</v>
      </c>
      <c r="D234" s="1">
        <v>1</v>
      </c>
      <c r="E234" s="1">
        <v>42</v>
      </c>
      <c r="F234" s="1">
        <v>210</v>
      </c>
      <c r="G234" s="1">
        <v>210</v>
      </c>
      <c r="H234" s="8" cm="1">
        <f t="array" ref="H234">_xlfn.LET(_xlpm.s,IFERROR(--F234,""),_xlpm.e,IFERROR(--G234,""),IF(OR(_xlpm.s="",_xlpm.e="",_xlpm.e&lt;_xlpm.s),"",_xlfn.LET(_xlpm.p,_xlfn.SEQUENCE(_xlpm.e-_xlpm.s+1,1,_xlpm.s,1),SUM(1/COUNTIFS($D:$D,D234,$E:$E,E234,$F:$F,"&lt;&gt;N/A",$G:$G,"&lt;&gt;N/A",$F:$F,"&lt;="&amp;_xlpm.p,$G:$G,"&gt;="&amp;_xlpm.p)))))</f>
        <v>0.33333333333333331</v>
      </c>
      <c r="I234" s="4" t="s">
        <v>782</v>
      </c>
      <c r="J234" t="s">
        <v>932</v>
      </c>
      <c r="K234" s="5" t="s">
        <v>7</v>
      </c>
      <c r="L234" s="5" t="s">
        <v>7260</v>
      </c>
      <c r="M234" s="5" t="s">
        <v>7</v>
      </c>
      <c r="N234" t="s">
        <v>8038</v>
      </c>
      <c r="O234" s="4" t="s">
        <v>11522</v>
      </c>
      <c r="P234" s="4" t="s">
        <v>8021</v>
      </c>
      <c r="R234" t="b">
        <v>1</v>
      </c>
    </row>
    <row r="235" spans="1:18">
      <c r="A235" t="s">
        <v>3009</v>
      </c>
      <c r="B235" t="s">
        <v>7030</v>
      </c>
      <c r="C235" s="5" t="s">
        <v>7980</v>
      </c>
      <c r="D235" s="1">
        <v>1</v>
      </c>
      <c r="E235" s="1">
        <v>43</v>
      </c>
      <c r="F235" s="1">
        <v>211</v>
      </c>
      <c r="G235" s="1">
        <v>211</v>
      </c>
      <c r="H235" s="8" cm="1">
        <f t="array" ref="H235">_xlfn.LET(_xlpm.s,IFERROR(--F235,""),_xlpm.e,IFERROR(--G235,""),IF(OR(_xlpm.s="",_xlpm.e="",_xlpm.e&lt;_xlpm.s),"",_xlfn.LET(_xlpm.p,_xlfn.SEQUENCE(_xlpm.e-_xlpm.s+1,1,_xlpm.s,1),SUM(1/COUNTIFS($D:$D,D235,$E:$E,E235,$F:$F,"&lt;&gt;N/A",$G:$G,"&lt;&gt;N/A",$F:$F,"&lt;="&amp;_xlpm.p,$G:$G,"&gt;="&amp;_xlpm.p)))))</f>
        <v>0.5</v>
      </c>
      <c r="I235" s="4" t="s">
        <v>774</v>
      </c>
      <c r="J235" t="s">
        <v>839</v>
      </c>
      <c r="K235" s="5" t="s">
        <v>7</v>
      </c>
      <c r="L235" s="5" t="s">
        <v>7</v>
      </c>
      <c r="M235" s="5" t="s">
        <v>7</v>
      </c>
      <c r="N235" s="5" t="s">
        <v>7</v>
      </c>
      <c r="O235" s="4" t="s">
        <v>778</v>
      </c>
      <c r="P235" s="4" t="s">
        <v>7834</v>
      </c>
      <c r="R235" t="b">
        <v>0</v>
      </c>
    </row>
    <row r="236" spans="1:18">
      <c r="A236" t="s">
        <v>3009</v>
      </c>
      <c r="B236" t="s">
        <v>7031</v>
      </c>
      <c r="C236" s="5" t="s">
        <v>7980</v>
      </c>
      <c r="D236" s="1">
        <v>1</v>
      </c>
      <c r="E236" s="1">
        <v>43</v>
      </c>
      <c r="F236" s="1">
        <v>211</v>
      </c>
      <c r="G236" s="1">
        <v>212</v>
      </c>
      <c r="H236" s="8" cm="1">
        <f t="array" ref="H236">_xlfn.LET(_xlpm.s,IFERROR(--F236,""),_xlpm.e,IFERROR(--G236,""),IF(OR(_xlpm.s="",_xlpm.e="",_xlpm.e&lt;_xlpm.s),"",_xlfn.LET(_xlpm.p,_xlfn.SEQUENCE(_xlpm.e-_xlpm.s+1,1,_xlpm.s,1),SUM(1/COUNTIFS($D:$D,D236,$E:$E,E236,$F:$F,"&lt;&gt;N/A",$G:$G,"&lt;&gt;N/A",$F:$F,"&lt;="&amp;_xlpm.p,$G:$G,"&gt;="&amp;_xlpm.p)))))</f>
        <v>1</v>
      </c>
      <c r="I236" s="4" t="s">
        <v>774</v>
      </c>
      <c r="J236" t="s">
        <v>848</v>
      </c>
      <c r="K236" s="5" t="s">
        <v>7</v>
      </c>
      <c r="L236" s="5" t="s">
        <v>7</v>
      </c>
      <c r="M236" s="5" t="s">
        <v>7</v>
      </c>
      <c r="N236" s="5" t="s">
        <v>7</v>
      </c>
      <c r="O236" s="4" t="s">
        <v>778</v>
      </c>
      <c r="P236" s="4" t="s">
        <v>7834</v>
      </c>
      <c r="R236" t="b">
        <v>1</v>
      </c>
    </row>
    <row r="237" spans="1:18">
      <c r="A237" t="s">
        <v>3009</v>
      </c>
      <c r="B237" t="s">
        <v>7032</v>
      </c>
      <c r="C237" s="5" t="s">
        <v>7980</v>
      </c>
      <c r="D237" s="1">
        <v>1</v>
      </c>
      <c r="E237" s="1">
        <v>43</v>
      </c>
      <c r="F237" s="1">
        <v>212</v>
      </c>
      <c r="G237" s="1">
        <v>213</v>
      </c>
      <c r="H237" s="8" cm="1">
        <f t="array" ref="H237">_xlfn.LET(_xlpm.s,IFERROR(--F237,""),_xlpm.e,IFERROR(--G237,""),IF(OR(_xlpm.s="",_xlpm.e="",_xlpm.e&lt;_xlpm.s),"",_xlfn.LET(_xlpm.p,_xlfn.SEQUENCE(_xlpm.e-_xlpm.s+1,1,_xlpm.s,1),SUM(1/COUNTIFS($D:$D,D237,$E:$E,E237,$F:$F,"&lt;&gt;N/A",$G:$G,"&lt;&gt;N/A",$F:$F,"&lt;="&amp;_xlpm.p,$G:$G,"&gt;="&amp;_xlpm.p)))))</f>
        <v>0.83333333333333326</v>
      </c>
      <c r="I237" s="4" t="s">
        <v>782</v>
      </c>
      <c r="J237" t="s">
        <v>933</v>
      </c>
      <c r="K237" s="5" t="s">
        <v>7</v>
      </c>
      <c r="L237" s="5" t="s">
        <v>7</v>
      </c>
      <c r="M237" s="5" t="s">
        <v>7</v>
      </c>
      <c r="N237" s="5" t="s">
        <v>7</v>
      </c>
      <c r="O237" s="4" t="s">
        <v>778</v>
      </c>
      <c r="P237" s="4" t="s">
        <v>7834</v>
      </c>
      <c r="R237" t="b">
        <v>1</v>
      </c>
    </row>
    <row r="238" spans="1:18">
      <c r="A238" t="s">
        <v>3009</v>
      </c>
      <c r="B238" t="s">
        <v>7033</v>
      </c>
      <c r="C238" s="5" t="s">
        <v>7980</v>
      </c>
      <c r="D238" s="1">
        <v>1</v>
      </c>
      <c r="E238" s="1">
        <v>43</v>
      </c>
      <c r="F238" s="1">
        <v>213</v>
      </c>
      <c r="G238" s="1">
        <v>213</v>
      </c>
      <c r="H238" s="8" cm="1">
        <f t="array" ref="H238">_xlfn.LET(_xlpm.s,IFERROR(--F238,""),_xlpm.e,IFERROR(--G238,""),IF(OR(_xlpm.s="",_xlpm.e="",_xlpm.e&lt;_xlpm.s),"",_xlfn.LET(_xlpm.p,_xlfn.SEQUENCE(_xlpm.e-_xlpm.s+1,1,_xlpm.s,1),SUM(1/COUNTIFS($D:$D,D238,$E:$E,E238,$F:$F,"&lt;&gt;N/A",$G:$G,"&lt;&gt;N/A",$F:$F,"&lt;="&amp;_xlpm.p,$G:$G,"&gt;="&amp;_xlpm.p)))))</f>
        <v>0.33333333333333331</v>
      </c>
      <c r="I238" s="4" t="s">
        <v>782</v>
      </c>
      <c r="J238" t="s">
        <v>4383</v>
      </c>
      <c r="K238" s="5" t="s">
        <v>7</v>
      </c>
      <c r="L238" s="5" t="s">
        <v>2170</v>
      </c>
      <c r="M238" t="s">
        <v>5024</v>
      </c>
      <c r="N238" s="5" t="s">
        <v>2363</v>
      </c>
      <c r="O238" s="4" t="s">
        <v>11522</v>
      </c>
      <c r="P238" s="4" t="s">
        <v>8021</v>
      </c>
      <c r="R238" t="b">
        <v>1</v>
      </c>
    </row>
    <row r="239" spans="1:18">
      <c r="A239" t="s">
        <v>3009</v>
      </c>
      <c r="B239" t="s">
        <v>7128</v>
      </c>
      <c r="C239" s="5" t="s">
        <v>7980</v>
      </c>
      <c r="D239" s="1">
        <v>1</v>
      </c>
      <c r="E239" s="1">
        <v>43</v>
      </c>
      <c r="F239" s="1">
        <v>213</v>
      </c>
      <c r="G239" s="1">
        <v>214</v>
      </c>
      <c r="H239" s="8" cm="1">
        <f t="array" ref="H239">_xlfn.LET(_xlpm.s,IFERROR(--F239,""),_xlpm.e,IFERROR(--G239,""),IF(OR(_xlpm.s="",_xlpm.e="",_xlpm.e&lt;_xlpm.s),"",_xlfn.LET(_xlpm.p,_xlfn.SEQUENCE(_xlpm.e-_xlpm.s+1,1,_xlpm.s,1),SUM(1/COUNTIFS($D:$D,D239,$E:$E,E239,$F:$F,"&lt;&gt;N/A",$G:$G,"&lt;&gt;N/A",$F:$F,"&lt;="&amp;_xlpm.p,$G:$G,"&gt;="&amp;_xlpm.p)))))</f>
        <v>0.83333333333333326</v>
      </c>
      <c r="I239" s="4" t="s">
        <v>782</v>
      </c>
      <c r="J239" t="s">
        <v>10438</v>
      </c>
      <c r="K239" s="5" t="s">
        <v>7</v>
      </c>
      <c r="L239" s="5" t="s">
        <v>7</v>
      </c>
      <c r="M239" s="5" t="s">
        <v>7</v>
      </c>
      <c r="N239" s="5" t="s">
        <v>10448</v>
      </c>
      <c r="O239" s="4" t="s">
        <v>5072</v>
      </c>
      <c r="P239" s="4" t="s">
        <v>8021</v>
      </c>
      <c r="R239" t="b">
        <v>1</v>
      </c>
    </row>
    <row r="240" spans="1:18">
      <c r="A240" t="s">
        <v>3009</v>
      </c>
      <c r="B240" t="s">
        <v>10541</v>
      </c>
      <c r="C240" s="5" t="s">
        <v>7980</v>
      </c>
      <c r="D240" s="1">
        <v>1</v>
      </c>
      <c r="E240" s="1">
        <v>43</v>
      </c>
      <c r="F240" s="1">
        <v>214</v>
      </c>
      <c r="G240" s="1">
        <v>214</v>
      </c>
      <c r="H240" s="8" cm="1">
        <f t="array" ref="H240">_xlfn.LET(_xlpm.s,IFERROR(--F240,""),_xlpm.e,IFERROR(--G240,""),IF(OR(_xlpm.s="",_xlpm.e="",_xlpm.e&lt;_xlpm.s),"",_xlfn.LET(_xlpm.p,_xlfn.SEQUENCE(_xlpm.e-_xlpm.s+1,1,_xlpm.s,1),SUM(1/COUNTIFS($D:$D,D240,$E:$E,E240,$F:$F,"&lt;&gt;N/A",$G:$G,"&lt;&gt;N/A",$F:$F,"&lt;="&amp;_xlpm.p,$G:$G,"&gt;="&amp;_xlpm.p)))))</f>
        <v>0.5</v>
      </c>
      <c r="I240" s="4" t="s">
        <v>782</v>
      </c>
      <c r="J240" t="s">
        <v>934</v>
      </c>
      <c r="K240" t="s">
        <v>7258</v>
      </c>
      <c r="L240" s="5" t="s">
        <v>7</v>
      </c>
      <c r="M240" s="5" t="s">
        <v>7</v>
      </c>
      <c r="N240" s="5" t="s">
        <v>7</v>
      </c>
      <c r="O240" s="4" t="s">
        <v>5072</v>
      </c>
      <c r="P240" s="4" t="s">
        <v>7</v>
      </c>
      <c r="Q240" t="s">
        <v>7259</v>
      </c>
      <c r="R240" t="b">
        <v>1</v>
      </c>
    </row>
    <row r="241" spans="1:18">
      <c r="A241" t="s">
        <v>3009</v>
      </c>
      <c r="B241" t="s">
        <v>7034</v>
      </c>
      <c r="C241" s="5" t="s">
        <v>7981</v>
      </c>
      <c r="D241" s="1">
        <v>1</v>
      </c>
      <c r="E241" s="1">
        <v>44</v>
      </c>
      <c r="F241" s="1">
        <v>215</v>
      </c>
      <c r="G241" s="1">
        <v>215</v>
      </c>
      <c r="H241" s="8" cm="1">
        <f t="array" ref="H241">_xlfn.LET(_xlpm.s,IFERROR(--F241,""),_xlpm.e,IFERROR(--G241,""),IF(OR(_xlpm.s="",_xlpm.e="",_xlpm.e&lt;_xlpm.s),"",_xlfn.LET(_xlpm.p,_xlfn.SEQUENCE(_xlpm.e-_xlpm.s+1,1,_xlpm.s,1),SUM(1/COUNTIFS($D:$D,D241,$E:$E,E241,$F:$F,"&lt;&gt;N/A",$G:$G,"&lt;&gt;N/A",$F:$F,"&lt;="&amp;_xlpm.p,$G:$G,"&gt;="&amp;_xlpm.p)))))</f>
        <v>0.5</v>
      </c>
      <c r="I241" s="4" t="s">
        <v>774</v>
      </c>
      <c r="J241" t="s">
        <v>839</v>
      </c>
      <c r="K241" s="5" t="s">
        <v>7</v>
      </c>
      <c r="L241" s="5" t="s">
        <v>7</v>
      </c>
      <c r="M241" s="5" t="s">
        <v>7</v>
      </c>
      <c r="N241" s="5" t="s">
        <v>7</v>
      </c>
      <c r="O241" s="4" t="s">
        <v>778</v>
      </c>
      <c r="P241" s="4" t="s">
        <v>7834</v>
      </c>
      <c r="R241" t="b">
        <v>0</v>
      </c>
    </row>
    <row r="242" spans="1:18">
      <c r="A242" t="s">
        <v>3009</v>
      </c>
      <c r="B242" t="s">
        <v>7035</v>
      </c>
      <c r="C242" s="5" t="s">
        <v>7981</v>
      </c>
      <c r="D242" s="1">
        <v>1</v>
      </c>
      <c r="E242" s="1">
        <v>44</v>
      </c>
      <c r="F242" s="1">
        <v>215</v>
      </c>
      <c r="G242" s="1">
        <v>217</v>
      </c>
      <c r="H242" s="8" cm="1">
        <f t="array" ref="H242">_xlfn.LET(_xlpm.s,IFERROR(--F242,""),_xlpm.e,IFERROR(--G242,""),IF(OR(_xlpm.s="",_xlpm.e="",_xlpm.e&lt;_xlpm.s),"",_xlfn.LET(_xlpm.p,_xlfn.SEQUENCE(_xlpm.e-_xlpm.s+1,1,_xlpm.s,1),SUM(1/COUNTIFS($D:$D,D242,$E:$E,E242,$F:$F,"&lt;&gt;N/A",$G:$G,"&lt;&gt;N/A",$F:$F,"&lt;="&amp;_xlpm.p,$G:$G,"&gt;="&amp;_xlpm.p)))))</f>
        <v>2</v>
      </c>
      <c r="I242" s="4" t="s">
        <v>774</v>
      </c>
      <c r="J242" t="s">
        <v>4472</v>
      </c>
      <c r="K242" t="s">
        <v>533</v>
      </c>
      <c r="L242" s="5" t="s">
        <v>7</v>
      </c>
      <c r="M242" s="5" t="s">
        <v>7</v>
      </c>
      <c r="N242" s="5" t="s">
        <v>7</v>
      </c>
      <c r="O242" s="4" t="s">
        <v>778</v>
      </c>
      <c r="P242" s="4" t="s">
        <v>7834</v>
      </c>
      <c r="R242" t="b">
        <v>1</v>
      </c>
    </row>
    <row r="243" spans="1:18">
      <c r="A243" t="s">
        <v>3009</v>
      </c>
      <c r="B243" t="s">
        <v>7129</v>
      </c>
      <c r="C243" s="5" t="s">
        <v>7981</v>
      </c>
      <c r="D243" s="1">
        <v>1</v>
      </c>
      <c r="E243" s="1">
        <v>44</v>
      </c>
      <c r="F243" s="1">
        <v>217</v>
      </c>
      <c r="G243" s="1">
        <v>218</v>
      </c>
      <c r="H243" s="8" cm="1">
        <f t="array" ref="H243">_xlfn.LET(_xlpm.s,IFERROR(--F243,""),_xlpm.e,IFERROR(--G243,""),IF(OR(_xlpm.s="",_xlpm.e="",_xlpm.e&lt;_xlpm.s),"",_xlfn.LET(_xlpm.p,_xlfn.SEQUENCE(_xlpm.e-_xlpm.s+1,1,_xlpm.s,1),SUM(1/COUNTIFS($D:$D,D243,$E:$E,E243,$F:$F,"&lt;&gt;N/A",$G:$G,"&lt;&gt;N/A",$F:$F,"&lt;="&amp;_xlpm.p,$G:$G,"&gt;="&amp;_xlpm.p)))))</f>
        <v>1</v>
      </c>
      <c r="I243" s="4" t="s">
        <v>782</v>
      </c>
      <c r="J243" t="s">
        <v>935</v>
      </c>
      <c r="K243" s="5" t="s">
        <v>7</v>
      </c>
      <c r="L243" s="5" t="s">
        <v>7</v>
      </c>
      <c r="M243" t="s">
        <v>5024</v>
      </c>
      <c r="N243" s="5" t="s">
        <v>2365</v>
      </c>
      <c r="O243" s="4" t="s">
        <v>5072</v>
      </c>
      <c r="P243" s="4" t="s">
        <v>8021</v>
      </c>
      <c r="R243" t="b">
        <v>1</v>
      </c>
    </row>
    <row r="244" spans="1:18">
      <c r="A244" t="s">
        <v>3009</v>
      </c>
      <c r="B244" t="s">
        <v>10542</v>
      </c>
      <c r="C244" s="5" t="s">
        <v>7981</v>
      </c>
      <c r="D244" s="1">
        <v>1</v>
      </c>
      <c r="E244" s="1">
        <v>44</v>
      </c>
      <c r="F244" s="1">
        <v>218</v>
      </c>
      <c r="G244" s="1">
        <v>218</v>
      </c>
      <c r="H244" s="8" cm="1">
        <f t="array" ref="H244">_xlfn.LET(_xlpm.s,IFERROR(--F244,""),_xlpm.e,IFERROR(--G244,""),IF(OR(_xlpm.s="",_xlpm.e="",_xlpm.e&lt;_xlpm.s),"",_xlfn.LET(_xlpm.p,_xlfn.SEQUENCE(_xlpm.e-_xlpm.s+1,1,_xlpm.s,1),SUM(1/COUNTIFS($D:$D,D244,$E:$E,E244,$F:$F,"&lt;&gt;N/A",$G:$G,"&lt;&gt;N/A",$F:$F,"&lt;="&amp;_xlpm.p,$G:$G,"&gt;="&amp;_xlpm.p)))))</f>
        <v>0.5</v>
      </c>
      <c r="I244" s="4" t="s">
        <v>782</v>
      </c>
      <c r="J244" t="s">
        <v>936</v>
      </c>
      <c r="K244" s="5" t="s">
        <v>7</v>
      </c>
      <c r="L244" s="5" t="s">
        <v>2171</v>
      </c>
      <c r="M244" t="s">
        <v>5024</v>
      </c>
      <c r="N244" s="5" t="s">
        <v>2366</v>
      </c>
      <c r="O244" s="4" t="s">
        <v>5072</v>
      </c>
      <c r="P244" s="4" t="s">
        <v>8021</v>
      </c>
      <c r="R244" t="b">
        <v>1</v>
      </c>
    </row>
    <row r="245" spans="1:18">
      <c r="A245" t="s">
        <v>3009</v>
      </c>
      <c r="B245" t="s">
        <v>7036</v>
      </c>
      <c r="C245" s="5" t="s">
        <v>10286</v>
      </c>
      <c r="D245" s="1">
        <v>1</v>
      </c>
      <c r="E245" s="1">
        <v>45</v>
      </c>
      <c r="F245" s="1">
        <v>219</v>
      </c>
      <c r="G245" s="1">
        <v>220</v>
      </c>
      <c r="H245" s="8" cm="1">
        <f t="array" ref="H245">_xlfn.LET(_xlpm.s,IFERROR(--F245,""),_xlpm.e,IFERROR(--G245,""),IF(OR(_xlpm.s="",_xlpm.e="",_xlpm.e&lt;_xlpm.s),"",_xlfn.LET(_xlpm.p,_xlfn.SEQUENCE(_xlpm.e-_xlpm.s+1,1,_xlpm.s,1),SUM(1/COUNTIFS($D:$D,D245,$E:$E,E245,$F:$F,"&lt;&gt;N/A",$G:$G,"&lt;&gt;N/A",$F:$F,"&lt;="&amp;_xlpm.p,$G:$G,"&gt;="&amp;_xlpm.p)))))</f>
        <v>1.5</v>
      </c>
      <c r="I245" s="4" t="s">
        <v>774</v>
      </c>
      <c r="J245" t="s">
        <v>839</v>
      </c>
      <c r="K245" s="5" t="s">
        <v>7</v>
      </c>
      <c r="L245" s="5" t="s">
        <v>7</v>
      </c>
      <c r="M245" s="5" t="s">
        <v>7</v>
      </c>
      <c r="N245" s="5" t="s">
        <v>7</v>
      </c>
      <c r="O245" s="4" t="s">
        <v>778</v>
      </c>
      <c r="P245" s="4" t="s">
        <v>7834</v>
      </c>
      <c r="R245" t="b">
        <v>0</v>
      </c>
    </row>
    <row r="246" spans="1:18">
      <c r="A246" t="s">
        <v>3009</v>
      </c>
      <c r="B246" t="s">
        <v>7130</v>
      </c>
      <c r="C246" s="5" t="s">
        <v>10286</v>
      </c>
      <c r="D246" s="1">
        <v>1</v>
      </c>
      <c r="E246" s="1">
        <v>45</v>
      </c>
      <c r="F246" s="1">
        <v>220</v>
      </c>
      <c r="G246" s="1">
        <v>222</v>
      </c>
      <c r="H246" s="8" cm="1">
        <f t="array" ref="H246">_xlfn.LET(_xlpm.s,IFERROR(--F246,""),_xlpm.e,IFERROR(--G246,""),IF(OR(_xlpm.s="",_xlpm.e="",_xlpm.e&lt;_xlpm.s),"",_xlfn.LET(_xlpm.p,_xlfn.SEQUENCE(_xlpm.e-_xlpm.s+1,1,_xlpm.s,1),SUM(1/COUNTIFS($D:$D,D246,$E:$E,E246,$F:$F,"&lt;&gt;N/A",$G:$G,"&lt;&gt;N/A",$F:$F,"&lt;="&amp;_xlpm.p,$G:$G,"&gt;="&amp;_xlpm.p)))))</f>
        <v>2</v>
      </c>
      <c r="I246" s="4" t="s">
        <v>782</v>
      </c>
      <c r="J246" t="s">
        <v>937</v>
      </c>
      <c r="K246" s="5" t="s">
        <v>7</v>
      </c>
      <c r="L246" s="5" t="s">
        <v>7</v>
      </c>
      <c r="M246" s="5" t="s">
        <v>7</v>
      </c>
      <c r="N246" s="5" t="s">
        <v>7254</v>
      </c>
      <c r="O246" s="4" t="s">
        <v>5072</v>
      </c>
      <c r="P246" s="4" t="s">
        <v>8021</v>
      </c>
      <c r="R246" t="b">
        <v>1</v>
      </c>
    </row>
    <row r="247" spans="1:18">
      <c r="A247" t="s">
        <v>3009</v>
      </c>
      <c r="B247" t="s">
        <v>10543</v>
      </c>
      <c r="C247" s="5" t="s">
        <v>10286</v>
      </c>
      <c r="D247" s="1">
        <v>1</v>
      </c>
      <c r="E247" s="1">
        <v>45</v>
      </c>
      <c r="F247" s="1">
        <v>222</v>
      </c>
      <c r="G247" s="1">
        <v>222</v>
      </c>
      <c r="H247" s="8" cm="1">
        <f t="array" ref="H247">_xlfn.LET(_xlpm.s,IFERROR(--F247,""),_xlpm.e,IFERROR(--G247,""),IF(OR(_xlpm.s="",_xlpm.e="",_xlpm.e&lt;_xlpm.s),"",_xlfn.LET(_xlpm.p,_xlfn.SEQUENCE(_xlpm.e-_xlpm.s+1,1,_xlpm.s,1),SUM(1/COUNTIFS($D:$D,D247,$E:$E,E247,$F:$F,"&lt;&gt;N/A",$G:$G,"&lt;&gt;N/A",$F:$F,"&lt;="&amp;_xlpm.p,$G:$G,"&gt;="&amp;_xlpm.p)))))</f>
        <v>0.5</v>
      </c>
      <c r="I247" s="4" t="s">
        <v>782</v>
      </c>
      <c r="J247" t="s">
        <v>938</v>
      </c>
      <c r="K247" s="5" t="s">
        <v>7</v>
      </c>
      <c r="L247" s="5" t="s">
        <v>7</v>
      </c>
      <c r="M247" t="s">
        <v>5024</v>
      </c>
      <c r="N247" s="5" t="s">
        <v>2367</v>
      </c>
      <c r="O247" s="4" t="s">
        <v>11522</v>
      </c>
      <c r="P247" s="4" t="s">
        <v>8021</v>
      </c>
      <c r="R247" t="b">
        <v>1</v>
      </c>
    </row>
    <row r="248" spans="1:18">
      <c r="A248" t="s">
        <v>3009</v>
      </c>
      <c r="B248" t="s">
        <v>7037</v>
      </c>
      <c r="C248" s="5" t="s">
        <v>7914</v>
      </c>
      <c r="D248" s="1">
        <v>1</v>
      </c>
      <c r="E248" s="1">
        <v>46</v>
      </c>
      <c r="F248" s="1">
        <v>223</v>
      </c>
      <c r="G248" s="1">
        <v>223</v>
      </c>
      <c r="H248" s="8" cm="1">
        <f t="array" ref="H248">_xlfn.LET(_xlpm.s,IFERROR(--F248,""),_xlpm.e,IFERROR(--G248,""),IF(OR(_xlpm.s="",_xlpm.e="",_xlpm.e&lt;_xlpm.s),"",_xlfn.LET(_xlpm.p,_xlfn.SEQUENCE(_xlpm.e-_xlpm.s+1,1,_xlpm.s,1),SUM(1/COUNTIFS($D:$D,D248,$E:$E,E248,$F:$F,"&lt;&gt;N/A",$G:$G,"&lt;&gt;N/A",$F:$F,"&lt;="&amp;_xlpm.p,$G:$G,"&gt;="&amp;_xlpm.p)))))</f>
        <v>0.5</v>
      </c>
      <c r="I248" s="4" t="s">
        <v>774</v>
      </c>
      <c r="J248" t="s">
        <v>839</v>
      </c>
      <c r="K248" s="5" t="s">
        <v>7</v>
      </c>
      <c r="L248" s="5" t="s">
        <v>7</v>
      </c>
      <c r="M248" s="5" t="s">
        <v>7</v>
      </c>
      <c r="N248" s="5" t="s">
        <v>7</v>
      </c>
      <c r="O248" s="4" t="s">
        <v>778</v>
      </c>
      <c r="P248" s="4" t="s">
        <v>7834</v>
      </c>
      <c r="R248" t="b">
        <v>0</v>
      </c>
    </row>
    <row r="249" spans="1:18">
      <c r="A249" t="s">
        <v>3009</v>
      </c>
      <c r="B249" t="s">
        <v>7131</v>
      </c>
      <c r="C249" s="5" t="s">
        <v>7914</v>
      </c>
      <c r="D249" s="1">
        <v>1</v>
      </c>
      <c r="E249" s="1">
        <v>46</v>
      </c>
      <c r="F249" s="1">
        <v>223</v>
      </c>
      <c r="G249" s="1">
        <v>226</v>
      </c>
      <c r="H249" s="8" cm="1">
        <f t="array" ref="H249">_xlfn.LET(_xlpm.s,IFERROR(--F249,""),_xlpm.e,IFERROR(--G249,""),IF(OR(_xlpm.s="",_xlpm.e="",_xlpm.e&lt;_xlpm.s),"",_xlfn.LET(_xlpm.p,_xlfn.SEQUENCE(_xlpm.e-_xlpm.s+1,1,_xlpm.s,1),SUM(1/COUNTIFS($D:$D,D249,$E:$E,E249,$F:$F,"&lt;&gt;N/A",$G:$G,"&lt;&gt;N/A",$F:$F,"&lt;="&amp;_xlpm.p,$G:$G,"&gt;="&amp;_xlpm.p)))))</f>
        <v>3</v>
      </c>
      <c r="I249" s="4" t="s">
        <v>782</v>
      </c>
      <c r="J249" t="s">
        <v>939</v>
      </c>
      <c r="K249" s="5" t="s">
        <v>7</v>
      </c>
      <c r="L249" s="5" t="s">
        <v>7</v>
      </c>
      <c r="M249" s="5" t="s">
        <v>7</v>
      </c>
      <c r="N249" s="5" t="s">
        <v>2368</v>
      </c>
      <c r="O249" s="4" t="s">
        <v>11522</v>
      </c>
      <c r="P249" s="4" t="s">
        <v>8021</v>
      </c>
      <c r="R249" t="b">
        <v>1</v>
      </c>
    </row>
    <row r="250" spans="1:18">
      <c r="A250" t="s">
        <v>3009</v>
      </c>
      <c r="B250" t="s">
        <v>10544</v>
      </c>
      <c r="C250" s="5" t="s">
        <v>7914</v>
      </c>
      <c r="D250" s="1">
        <v>1</v>
      </c>
      <c r="E250" s="1">
        <v>46</v>
      </c>
      <c r="F250" s="1">
        <v>226</v>
      </c>
      <c r="G250" s="1">
        <v>226</v>
      </c>
      <c r="H250" s="8" cm="1">
        <f t="array" ref="H250">_xlfn.LET(_xlpm.s,IFERROR(--F250,""),_xlpm.e,IFERROR(--G250,""),IF(OR(_xlpm.s="",_xlpm.e="",_xlpm.e&lt;_xlpm.s),"",_xlfn.LET(_xlpm.p,_xlfn.SEQUENCE(_xlpm.e-_xlpm.s+1,1,_xlpm.s,1),SUM(1/COUNTIFS($D:$D,D250,$E:$E,E250,$F:$F,"&lt;&gt;N/A",$G:$G,"&lt;&gt;N/A",$F:$F,"&lt;="&amp;_xlpm.p,$G:$G,"&gt;="&amp;_xlpm.p)))))</f>
        <v>0.5</v>
      </c>
      <c r="I250" s="4" t="s">
        <v>782</v>
      </c>
      <c r="J250" t="s">
        <v>4387</v>
      </c>
      <c r="K250" s="5" t="s">
        <v>7</v>
      </c>
      <c r="L250" s="5" t="s">
        <v>7</v>
      </c>
      <c r="M250" s="5" t="s">
        <v>7</v>
      </c>
      <c r="N250" s="5" t="s">
        <v>7</v>
      </c>
      <c r="O250" s="4" t="s">
        <v>778</v>
      </c>
      <c r="P250" s="4" t="s">
        <v>7834</v>
      </c>
      <c r="R250" t="b">
        <v>1</v>
      </c>
    </row>
    <row r="251" spans="1:18">
      <c r="A251" t="s">
        <v>3009</v>
      </c>
      <c r="B251" t="s">
        <v>7038</v>
      </c>
      <c r="C251" s="5" t="s">
        <v>7915</v>
      </c>
      <c r="D251" s="1">
        <v>1</v>
      </c>
      <c r="E251" s="1">
        <v>47</v>
      </c>
      <c r="F251" s="1">
        <v>227</v>
      </c>
      <c r="G251" s="1">
        <v>227</v>
      </c>
      <c r="H251" s="8" cm="1">
        <f t="array" ref="H251">_xlfn.LET(_xlpm.s,IFERROR(--F251,""),_xlpm.e,IFERROR(--G251,""),IF(OR(_xlpm.s="",_xlpm.e="",_xlpm.e&lt;_xlpm.s),"",_xlfn.LET(_xlpm.p,_xlfn.SEQUENCE(_xlpm.e-_xlpm.s+1,1,_xlpm.s,1),SUM(1/COUNTIFS($D:$D,D251,$E:$E,E251,$F:$F,"&lt;&gt;N/A",$G:$G,"&lt;&gt;N/A",$F:$F,"&lt;="&amp;_xlpm.p,$G:$G,"&gt;="&amp;_xlpm.p)))))</f>
        <v>0.5</v>
      </c>
      <c r="I251" s="4" t="s">
        <v>774</v>
      </c>
      <c r="J251" t="s">
        <v>839</v>
      </c>
      <c r="K251" s="5" t="s">
        <v>7</v>
      </c>
      <c r="L251" s="5" t="s">
        <v>7</v>
      </c>
      <c r="M251" s="5" t="s">
        <v>7</v>
      </c>
      <c r="N251" s="5" t="s">
        <v>7</v>
      </c>
      <c r="O251" s="4" t="s">
        <v>778</v>
      </c>
      <c r="P251" s="4" t="s">
        <v>7834</v>
      </c>
      <c r="R251" t="b">
        <v>0</v>
      </c>
    </row>
    <row r="252" spans="1:18">
      <c r="A252" t="s">
        <v>3009</v>
      </c>
      <c r="B252" t="s">
        <v>7039</v>
      </c>
      <c r="C252" s="5" t="s">
        <v>7915</v>
      </c>
      <c r="D252" s="1">
        <v>1</v>
      </c>
      <c r="E252" s="1">
        <v>47</v>
      </c>
      <c r="F252" s="1">
        <v>227</v>
      </c>
      <c r="G252" s="1">
        <v>228</v>
      </c>
      <c r="H252" s="8" cm="1">
        <f t="array" ref="H252">_xlfn.LET(_xlpm.s,IFERROR(--F252,""),_xlpm.e,IFERROR(--G252,""),IF(OR(_xlpm.s="",_xlpm.e="",_xlpm.e&lt;_xlpm.s),"",_xlfn.LET(_xlpm.p,_xlfn.SEQUENCE(_xlpm.e-_xlpm.s+1,1,_xlpm.s,1),SUM(1/COUNTIFS($D:$D,D252,$E:$E,E252,$F:$F,"&lt;&gt;N/A",$G:$G,"&lt;&gt;N/A",$F:$F,"&lt;="&amp;_xlpm.p,$G:$G,"&gt;="&amp;_xlpm.p)))))</f>
        <v>1</v>
      </c>
      <c r="I252" s="4" t="s">
        <v>774</v>
      </c>
      <c r="J252" t="s">
        <v>848</v>
      </c>
      <c r="K252" s="5" t="s">
        <v>7</v>
      </c>
      <c r="L252" s="5" t="s">
        <v>7</v>
      </c>
      <c r="M252" s="5" t="s">
        <v>7</v>
      </c>
      <c r="N252" s="5" t="s">
        <v>7</v>
      </c>
      <c r="O252" s="4" t="s">
        <v>778</v>
      </c>
      <c r="P252" s="4" t="s">
        <v>7834</v>
      </c>
      <c r="R252" t="b">
        <v>1</v>
      </c>
    </row>
    <row r="253" spans="1:18">
      <c r="A253" t="s">
        <v>3009</v>
      </c>
      <c r="B253" t="s">
        <v>7040</v>
      </c>
      <c r="C253" s="5" t="s">
        <v>7915</v>
      </c>
      <c r="D253" s="1">
        <v>1</v>
      </c>
      <c r="E253" s="1">
        <v>47</v>
      </c>
      <c r="F253" s="1">
        <v>228</v>
      </c>
      <c r="G253" s="1">
        <v>229</v>
      </c>
      <c r="H253" s="8" cm="1">
        <f t="array" ref="H253">_xlfn.LET(_xlpm.s,IFERROR(--F253,""),_xlpm.e,IFERROR(--G253,""),IF(OR(_xlpm.s="",_xlpm.e="",_xlpm.e&lt;_xlpm.s),"",_xlfn.LET(_xlpm.p,_xlfn.SEQUENCE(_xlpm.e-_xlpm.s+1,1,_xlpm.s,1),SUM(1/COUNTIFS($D:$D,D253,$E:$E,E253,$F:$F,"&lt;&gt;N/A",$G:$G,"&lt;&gt;N/A",$F:$F,"&lt;="&amp;_xlpm.p,$G:$G,"&gt;="&amp;_xlpm.p)))))</f>
        <v>1</v>
      </c>
      <c r="I253" s="4" t="s">
        <v>782</v>
      </c>
      <c r="J253" t="s">
        <v>940</v>
      </c>
      <c r="K253" s="5" t="s">
        <v>7</v>
      </c>
      <c r="L253" s="5" t="s">
        <v>2172</v>
      </c>
      <c r="M253" t="s">
        <v>5029</v>
      </c>
      <c r="N253" s="5" t="s">
        <v>2369</v>
      </c>
      <c r="O253" s="4" t="s">
        <v>5072</v>
      </c>
      <c r="P253" s="4" t="s">
        <v>8021</v>
      </c>
      <c r="R253" t="b">
        <v>1</v>
      </c>
    </row>
    <row r="254" spans="1:18">
      <c r="A254" t="s">
        <v>3009</v>
      </c>
      <c r="B254" t="s">
        <v>7132</v>
      </c>
      <c r="C254" s="5" t="s">
        <v>7915</v>
      </c>
      <c r="D254" s="1">
        <v>1</v>
      </c>
      <c r="E254" s="1">
        <v>47</v>
      </c>
      <c r="F254" s="1">
        <v>229</v>
      </c>
      <c r="G254" s="1">
        <v>230</v>
      </c>
      <c r="H254" s="8" cm="1">
        <f t="array" ref="H254">_xlfn.LET(_xlpm.s,IFERROR(--F254,""),_xlpm.e,IFERROR(--G254,""),IF(OR(_xlpm.s="",_xlpm.e="",_xlpm.e&lt;_xlpm.s),"",_xlfn.LET(_xlpm.p,_xlfn.SEQUENCE(_xlpm.e-_xlpm.s+1,1,_xlpm.s,1),SUM(1/COUNTIFS($D:$D,D254,$E:$E,E254,$F:$F,"&lt;&gt;N/A",$G:$G,"&lt;&gt;N/A",$F:$F,"&lt;="&amp;_xlpm.p,$G:$G,"&gt;="&amp;_xlpm.p)))))</f>
        <v>1</v>
      </c>
      <c r="I254" s="4" t="s">
        <v>782</v>
      </c>
      <c r="J254" t="s">
        <v>4384</v>
      </c>
      <c r="K254" s="5" t="s">
        <v>7</v>
      </c>
      <c r="L254" s="5" t="s">
        <v>7</v>
      </c>
      <c r="M254" s="5" t="s">
        <v>7</v>
      </c>
      <c r="N254" s="5" t="s">
        <v>7</v>
      </c>
      <c r="O254" s="4" t="s">
        <v>778</v>
      </c>
      <c r="P254" s="4" t="s">
        <v>7834</v>
      </c>
      <c r="R254" t="b">
        <v>1</v>
      </c>
    </row>
    <row r="255" spans="1:18">
      <c r="A255" t="s">
        <v>3009</v>
      </c>
      <c r="B255" t="s">
        <v>10545</v>
      </c>
      <c r="C255" s="5" t="s">
        <v>7915</v>
      </c>
      <c r="D255" s="1">
        <v>1</v>
      </c>
      <c r="E255" s="1">
        <v>47</v>
      </c>
      <c r="F255" s="1">
        <v>230</v>
      </c>
      <c r="G255" s="1">
        <v>230</v>
      </c>
      <c r="H255" s="8" cm="1">
        <f t="array" ref="H255">_xlfn.LET(_xlpm.s,IFERROR(--F255,""),_xlpm.e,IFERROR(--G255,""),IF(OR(_xlpm.s="",_xlpm.e="",_xlpm.e&lt;_xlpm.s),"",_xlfn.LET(_xlpm.p,_xlfn.SEQUENCE(_xlpm.e-_xlpm.s+1,1,_xlpm.s,1),SUM(1/COUNTIFS($D:$D,D255,$E:$E,E255,$F:$F,"&lt;&gt;N/A",$G:$G,"&lt;&gt;N/A",$F:$F,"&lt;="&amp;_xlpm.p,$G:$G,"&gt;="&amp;_xlpm.p)))))</f>
        <v>0.5</v>
      </c>
      <c r="I255" s="4" t="s">
        <v>782</v>
      </c>
      <c r="J255" t="s">
        <v>4385</v>
      </c>
      <c r="K255" s="5" t="s">
        <v>7</v>
      </c>
      <c r="L255" s="5" t="s">
        <v>7</v>
      </c>
      <c r="M255" s="5" t="s">
        <v>7</v>
      </c>
      <c r="N255" s="5" t="s">
        <v>7</v>
      </c>
      <c r="O255" s="4" t="s">
        <v>778</v>
      </c>
      <c r="P255" s="4" t="s">
        <v>7834</v>
      </c>
      <c r="R255" t="b">
        <v>1</v>
      </c>
    </row>
    <row r="256" spans="1:18">
      <c r="A256" t="s">
        <v>3009</v>
      </c>
      <c r="B256" t="s">
        <v>7041</v>
      </c>
      <c r="C256" s="5" t="s">
        <v>7916</v>
      </c>
      <c r="D256" s="1">
        <v>1</v>
      </c>
      <c r="E256" s="1">
        <v>48</v>
      </c>
      <c r="F256" s="1">
        <v>231</v>
      </c>
      <c r="G256" s="1">
        <v>232</v>
      </c>
      <c r="H256" s="8" cm="1">
        <f t="array" ref="H256">_xlfn.LET(_xlpm.s,IFERROR(--F256,""),_xlpm.e,IFERROR(--G256,""),IF(OR(_xlpm.s="",_xlpm.e="",_xlpm.e&lt;_xlpm.s),"",_xlfn.LET(_xlpm.p,_xlfn.SEQUENCE(_xlpm.e-_xlpm.s+1,1,_xlpm.s,1),SUM(1/COUNTIFS($D:$D,D256,$E:$E,E256,$F:$F,"&lt;&gt;N/A",$G:$G,"&lt;&gt;N/A",$F:$F,"&lt;="&amp;_xlpm.p,$G:$G,"&gt;="&amp;_xlpm.p)))))</f>
        <v>1.5</v>
      </c>
      <c r="I256" s="4" t="s">
        <v>774</v>
      </c>
      <c r="J256" t="s">
        <v>941</v>
      </c>
      <c r="K256" s="5" t="s">
        <v>2173</v>
      </c>
      <c r="L256" s="5" t="s">
        <v>7</v>
      </c>
      <c r="M256" s="5" t="s">
        <v>7</v>
      </c>
      <c r="N256" s="5" t="s">
        <v>7</v>
      </c>
      <c r="O256" s="4" t="s">
        <v>778</v>
      </c>
      <c r="P256" s="4" t="s">
        <v>7834</v>
      </c>
      <c r="R256" t="b">
        <v>1</v>
      </c>
    </row>
    <row r="257" spans="1:18">
      <c r="A257" t="s">
        <v>3009</v>
      </c>
      <c r="B257" t="s">
        <v>7042</v>
      </c>
      <c r="C257" s="5" t="s">
        <v>7916</v>
      </c>
      <c r="D257" s="1">
        <v>1</v>
      </c>
      <c r="E257" s="1">
        <v>48</v>
      </c>
      <c r="F257" s="1">
        <v>232</v>
      </c>
      <c r="G257" s="1">
        <v>233</v>
      </c>
      <c r="H257" s="8" cm="1">
        <f t="array" ref="H257">_xlfn.LET(_xlpm.s,IFERROR(--F257,""),_xlpm.e,IFERROR(--G257,""),IF(OR(_xlpm.s="",_xlpm.e="",_xlpm.e&lt;_xlpm.s),"",_xlfn.LET(_xlpm.p,_xlfn.SEQUENCE(_xlpm.e-_xlpm.s+1,1,_xlpm.s,1),SUM(1/COUNTIFS($D:$D,D257,$E:$E,E257,$F:$F,"&lt;&gt;N/A",$G:$G,"&lt;&gt;N/A",$F:$F,"&lt;="&amp;_xlpm.p,$G:$G,"&gt;="&amp;_xlpm.p)))))</f>
        <v>1</v>
      </c>
      <c r="I257" s="4" t="s">
        <v>774</v>
      </c>
      <c r="J257" t="s">
        <v>942</v>
      </c>
      <c r="K257" s="5" t="s">
        <v>7</v>
      </c>
      <c r="L257" s="5" t="s">
        <v>7</v>
      </c>
      <c r="M257" s="5" t="s">
        <v>7</v>
      </c>
      <c r="N257" s="5" t="s">
        <v>7</v>
      </c>
      <c r="O257" s="4" t="s">
        <v>778</v>
      </c>
      <c r="P257" s="4" t="s">
        <v>7834</v>
      </c>
      <c r="R257" t="b">
        <v>1</v>
      </c>
    </row>
    <row r="258" spans="1:18">
      <c r="A258" t="s">
        <v>3009</v>
      </c>
      <c r="B258" t="s">
        <v>7133</v>
      </c>
      <c r="C258" s="5" t="s">
        <v>7916</v>
      </c>
      <c r="D258" s="1">
        <v>1</v>
      </c>
      <c r="E258" s="1">
        <v>48</v>
      </c>
      <c r="F258" s="1">
        <v>233</v>
      </c>
      <c r="G258" s="1">
        <v>234</v>
      </c>
      <c r="H258" s="8" cm="1">
        <f t="array" ref="H258">_xlfn.LET(_xlpm.s,IFERROR(--F258,""),_xlpm.e,IFERROR(--G258,""),IF(OR(_xlpm.s="",_xlpm.e="",_xlpm.e&lt;_xlpm.s),"",_xlfn.LET(_xlpm.p,_xlfn.SEQUENCE(_xlpm.e-_xlpm.s+1,1,_xlpm.s,1),SUM(1/COUNTIFS($D:$D,D258,$E:$E,E258,$F:$F,"&lt;&gt;N/A",$G:$G,"&lt;&gt;N/A",$F:$F,"&lt;="&amp;_xlpm.p,$G:$G,"&gt;="&amp;_xlpm.p)))))</f>
        <v>1</v>
      </c>
      <c r="I258" s="4" t="s">
        <v>782</v>
      </c>
      <c r="J258" t="s">
        <v>7189</v>
      </c>
      <c r="K258" s="5" t="s">
        <v>7</v>
      </c>
      <c r="L258" s="5" t="s">
        <v>7</v>
      </c>
      <c r="M258" s="5" t="s">
        <v>7</v>
      </c>
      <c r="N258" s="5" t="s">
        <v>7</v>
      </c>
      <c r="O258" s="4" t="s">
        <v>778</v>
      </c>
      <c r="P258" s="4" t="s">
        <v>7834</v>
      </c>
      <c r="R258" t="b">
        <v>1</v>
      </c>
    </row>
    <row r="259" spans="1:18">
      <c r="A259" t="s">
        <v>3009</v>
      </c>
      <c r="B259" t="s">
        <v>10546</v>
      </c>
      <c r="C259" s="5" t="s">
        <v>7916</v>
      </c>
      <c r="D259" s="1">
        <v>1</v>
      </c>
      <c r="E259" s="1">
        <v>48</v>
      </c>
      <c r="F259" s="1">
        <v>234</v>
      </c>
      <c r="G259" s="1">
        <v>234</v>
      </c>
      <c r="H259" s="8" cm="1">
        <f t="array" ref="H259">_xlfn.LET(_xlpm.s,IFERROR(--F259,""),_xlpm.e,IFERROR(--G259,""),IF(OR(_xlpm.s="",_xlpm.e="",_xlpm.e&lt;_xlpm.s),"",_xlfn.LET(_xlpm.p,_xlfn.SEQUENCE(_xlpm.e-_xlpm.s+1,1,_xlpm.s,1),SUM(1/COUNTIFS($D:$D,D259,$E:$E,E259,$F:$F,"&lt;&gt;N/A",$G:$G,"&lt;&gt;N/A",$F:$F,"&lt;="&amp;_xlpm.p,$G:$G,"&gt;="&amp;_xlpm.p)))))</f>
        <v>0.5</v>
      </c>
      <c r="I259" s="4" t="s">
        <v>782</v>
      </c>
      <c r="J259" t="s">
        <v>943</v>
      </c>
      <c r="K259" s="5" t="s">
        <v>7</v>
      </c>
      <c r="L259" s="5" t="s">
        <v>2174</v>
      </c>
      <c r="M259" t="s">
        <v>5024</v>
      </c>
      <c r="N259" s="5" t="s">
        <v>2371</v>
      </c>
      <c r="O259" s="4" t="s">
        <v>5072</v>
      </c>
      <c r="P259" s="4" t="s">
        <v>8021</v>
      </c>
      <c r="R259" t="b">
        <v>1</v>
      </c>
    </row>
    <row r="260" spans="1:18">
      <c r="A260" t="s">
        <v>3009</v>
      </c>
      <c r="B260" t="s">
        <v>7043</v>
      </c>
      <c r="C260" s="5" t="s">
        <v>10282</v>
      </c>
      <c r="D260" s="1">
        <v>1</v>
      </c>
      <c r="E260" s="1">
        <v>49</v>
      </c>
      <c r="F260" s="1">
        <v>235</v>
      </c>
      <c r="G260" s="1">
        <v>236</v>
      </c>
      <c r="H260" s="8" cm="1">
        <f t="array" ref="H260">_xlfn.LET(_xlpm.s,IFERROR(--F260,""),_xlpm.e,IFERROR(--G260,""),IF(OR(_xlpm.s="",_xlpm.e="",_xlpm.e&lt;_xlpm.s),"",_xlfn.LET(_xlpm.p,_xlfn.SEQUENCE(_xlpm.e-_xlpm.s+1,1,_xlpm.s,1),SUM(1/COUNTIFS($D:$D,D260,$E:$E,E260,$F:$F,"&lt;&gt;N/A",$G:$G,"&lt;&gt;N/A",$F:$F,"&lt;="&amp;_xlpm.p,$G:$G,"&gt;="&amp;_xlpm.p)))))</f>
        <v>1.5</v>
      </c>
      <c r="I260" s="4" t="s">
        <v>774</v>
      </c>
      <c r="J260" t="s">
        <v>839</v>
      </c>
      <c r="K260" s="5" t="s">
        <v>7</v>
      </c>
      <c r="L260" s="5" t="s">
        <v>7</v>
      </c>
      <c r="M260" s="5" t="s">
        <v>7</v>
      </c>
      <c r="N260" s="5" t="s">
        <v>7</v>
      </c>
      <c r="O260" s="4" t="s">
        <v>778</v>
      </c>
      <c r="P260" s="4" t="s">
        <v>7834</v>
      </c>
      <c r="R260" t="b">
        <v>0</v>
      </c>
    </row>
    <row r="261" spans="1:18">
      <c r="A261" t="s">
        <v>3009</v>
      </c>
      <c r="B261" t="s">
        <v>7134</v>
      </c>
      <c r="C261" s="5" t="s">
        <v>10282</v>
      </c>
      <c r="D261" s="1">
        <v>1</v>
      </c>
      <c r="E261" s="1">
        <v>49</v>
      </c>
      <c r="F261" s="1">
        <v>236</v>
      </c>
      <c r="G261" s="1">
        <v>238</v>
      </c>
      <c r="H261" s="8" cm="1">
        <f t="array" ref="H261">_xlfn.LET(_xlpm.s,IFERROR(--F261,""),_xlpm.e,IFERROR(--G261,""),IF(OR(_xlpm.s="",_xlpm.e="",_xlpm.e&lt;_xlpm.s),"",_xlfn.LET(_xlpm.p,_xlfn.SEQUENCE(_xlpm.e-_xlpm.s+1,1,_xlpm.s,1),SUM(1/COUNTIFS($D:$D,D261,$E:$E,E261,$F:$F,"&lt;&gt;N/A",$G:$G,"&lt;&gt;N/A",$F:$F,"&lt;="&amp;_xlpm.p,$G:$G,"&gt;="&amp;_xlpm.p)))))</f>
        <v>2</v>
      </c>
      <c r="I261" s="4" t="s">
        <v>774</v>
      </c>
      <c r="J261" t="s">
        <v>944</v>
      </c>
      <c r="K261" s="5" t="s">
        <v>946</v>
      </c>
      <c r="L261" s="5" t="s">
        <v>7</v>
      </c>
      <c r="M261" s="5" t="s">
        <v>7</v>
      </c>
      <c r="N261" s="5" t="s">
        <v>7</v>
      </c>
      <c r="O261" s="4" t="s">
        <v>778</v>
      </c>
      <c r="P261" s="4" t="s">
        <v>7834</v>
      </c>
      <c r="R261" t="b">
        <v>1</v>
      </c>
    </row>
    <row r="262" spans="1:18">
      <c r="A262" t="s">
        <v>3009</v>
      </c>
      <c r="B262" t="s">
        <v>10547</v>
      </c>
      <c r="C262" s="5" t="s">
        <v>10282</v>
      </c>
      <c r="D262" s="1">
        <v>1</v>
      </c>
      <c r="E262" s="1">
        <v>49</v>
      </c>
      <c r="F262" s="1">
        <v>238</v>
      </c>
      <c r="G262" s="1">
        <v>238</v>
      </c>
      <c r="H262" s="8" cm="1">
        <f t="array" ref="H262">_xlfn.LET(_xlpm.s,IFERROR(--F262,""),_xlpm.e,IFERROR(--G262,""),IF(OR(_xlpm.s="",_xlpm.e="",_xlpm.e&lt;_xlpm.s),"",_xlfn.LET(_xlpm.p,_xlfn.SEQUENCE(_xlpm.e-_xlpm.s+1,1,_xlpm.s,1),SUM(1/COUNTIFS($D:$D,D262,$E:$E,E262,$F:$F,"&lt;&gt;N/A",$G:$G,"&lt;&gt;N/A",$F:$F,"&lt;="&amp;_xlpm.p,$G:$G,"&gt;="&amp;_xlpm.p)))))</f>
        <v>0.5</v>
      </c>
      <c r="I262" s="4" t="s">
        <v>782</v>
      </c>
      <c r="J262" t="s">
        <v>945</v>
      </c>
      <c r="K262" s="5" t="s">
        <v>7</v>
      </c>
      <c r="L262" s="5" t="s">
        <v>2175</v>
      </c>
      <c r="M262" t="s">
        <v>5024</v>
      </c>
      <c r="N262" s="5" t="s">
        <v>2372</v>
      </c>
      <c r="O262" s="4" t="s">
        <v>5072</v>
      </c>
      <c r="P262" s="4" t="s">
        <v>8021</v>
      </c>
      <c r="R262" t="b">
        <v>1</v>
      </c>
    </row>
    <row r="263" spans="1:18">
      <c r="A263" t="s">
        <v>3009</v>
      </c>
      <c r="B263" t="s">
        <v>7135</v>
      </c>
      <c r="C263" s="5" t="s">
        <v>7919</v>
      </c>
      <c r="D263" s="1">
        <v>1</v>
      </c>
      <c r="E263" s="1">
        <v>50</v>
      </c>
      <c r="F263" s="1">
        <v>239</v>
      </c>
      <c r="G263" s="1">
        <v>240</v>
      </c>
      <c r="H263" s="8" cm="1">
        <f t="array" ref="H263">_xlfn.LET(_xlpm.s,IFERROR(--F263,""),_xlpm.e,IFERROR(--G263,""),IF(OR(_xlpm.s="",_xlpm.e="",_xlpm.e&lt;_xlpm.s),"",_xlfn.LET(_xlpm.p,_xlfn.SEQUENCE(_xlpm.e-_xlpm.s+1,1,_xlpm.s,1),SUM(1/COUNTIFS($D:$D,D263,$E:$E,E263,$F:$F,"&lt;&gt;N/A",$G:$G,"&lt;&gt;N/A",$F:$F,"&lt;="&amp;_xlpm.p,$G:$G,"&gt;="&amp;_xlpm.p)))))</f>
        <v>1.5</v>
      </c>
      <c r="I263" s="4" t="s">
        <v>782</v>
      </c>
      <c r="J263" t="s">
        <v>947</v>
      </c>
      <c r="K263" s="5" t="s">
        <v>725</v>
      </c>
      <c r="L263" s="5" t="s">
        <v>7</v>
      </c>
      <c r="M263" s="5" t="s">
        <v>7</v>
      </c>
      <c r="N263" s="5" t="s">
        <v>7</v>
      </c>
      <c r="O263" s="4" t="s">
        <v>778</v>
      </c>
      <c r="P263" s="4" t="s">
        <v>7834</v>
      </c>
      <c r="R263" t="b">
        <v>1</v>
      </c>
    </row>
    <row r="264" spans="1:18">
      <c r="A264" t="s">
        <v>3009</v>
      </c>
      <c r="B264" t="s">
        <v>10548</v>
      </c>
      <c r="C264" s="5" t="s">
        <v>7919</v>
      </c>
      <c r="D264" s="1">
        <v>1</v>
      </c>
      <c r="E264" s="1">
        <v>50</v>
      </c>
      <c r="F264" s="1">
        <v>240</v>
      </c>
      <c r="G264" s="1">
        <v>242</v>
      </c>
      <c r="H264" s="8" cm="1">
        <f t="array" ref="H264">_xlfn.LET(_xlpm.s,IFERROR(--F264,""),_xlpm.e,IFERROR(--G264,""),IF(OR(_xlpm.s="",_xlpm.e="",_xlpm.e&lt;_xlpm.s),"",_xlfn.LET(_xlpm.p,_xlfn.SEQUENCE(_xlpm.e-_xlpm.s+1,1,_xlpm.s,1),SUM(1/COUNTIFS($D:$D,D264,$E:$E,E264,$F:$F,"&lt;&gt;N/A",$G:$G,"&lt;&gt;N/A",$F:$F,"&lt;="&amp;_xlpm.p,$G:$G,"&gt;="&amp;_xlpm.p)))))</f>
        <v>2.5</v>
      </c>
      <c r="I264" s="4" t="s">
        <v>782</v>
      </c>
      <c r="J264" t="s">
        <v>4386</v>
      </c>
      <c r="K264" s="5" t="s">
        <v>7</v>
      </c>
      <c r="L264" s="5" t="s">
        <v>7</v>
      </c>
      <c r="M264" s="5" t="s">
        <v>7</v>
      </c>
      <c r="N264" s="5" t="s">
        <v>7</v>
      </c>
      <c r="O264" s="4" t="s">
        <v>778</v>
      </c>
      <c r="P264" s="4" t="s">
        <v>7834</v>
      </c>
      <c r="R264" t="b">
        <v>1</v>
      </c>
    </row>
    <row r="265" spans="1:18">
      <c r="A265" t="s">
        <v>3009</v>
      </c>
      <c r="B265" t="s">
        <v>7044</v>
      </c>
      <c r="C265" s="5" t="s">
        <v>7920</v>
      </c>
      <c r="D265" s="1">
        <v>1</v>
      </c>
      <c r="E265" s="1">
        <v>51</v>
      </c>
      <c r="F265" s="1">
        <v>243</v>
      </c>
      <c r="G265" s="1">
        <v>244</v>
      </c>
      <c r="H265" s="8" cm="1">
        <f t="array" ref="H265">_xlfn.LET(_xlpm.s,IFERROR(--F265,""),_xlpm.e,IFERROR(--G265,""),IF(OR(_xlpm.s="",_xlpm.e="",_xlpm.e&lt;_xlpm.s),"",_xlfn.LET(_xlpm.p,_xlfn.SEQUENCE(_xlpm.e-_xlpm.s+1,1,_xlpm.s,1),SUM(1/COUNTIFS($D:$D,D265,$E:$E,E265,$F:$F,"&lt;&gt;N/A",$G:$G,"&lt;&gt;N/A",$F:$F,"&lt;="&amp;_xlpm.p,$G:$G,"&gt;="&amp;_xlpm.p)))))</f>
        <v>1.5</v>
      </c>
      <c r="I265" s="4" t="s">
        <v>774</v>
      </c>
      <c r="J265" t="s">
        <v>839</v>
      </c>
      <c r="K265" s="5" t="s">
        <v>7</v>
      </c>
      <c r="L265" s="5" t="s">
        <v>7</v>
      </c>
      <c r="M265" s="5" t="s">
        <v>7</v>
      </c>
      <c r="N265" s="5" t="s">
        <v>7</v>
      </c>
      <c r="O265" s="4" t="s">
        <v>778</v>
      </c>
      <c r="P265" s="4" t="s">
        <v>7834</v>
      </c>
      <c r="R265" t="b">
        <v>0</v>
      </c>
    </row>
    <row r="266" spans="1:18">
      <c r="A266" t="s">
        <v>3009</v>
      </c>
      <c r="B266" t="s">
        <v>7045</v>
      </c>
      <c r="C266" s="5" t="s">
        <v>7920</v>
      </c>
      <c r="D266" s="1">
        <v>1</v>
      </c>
      <c r="E266" s="1">
        <v>51</v>
      </c>
      <c r="F266" s="1">
        <v>244</v>
      </c>
      <c r="G266" s="1">
        <v>245</v>
      </c>
      <c r="H266" s="8" cm="1">
        <f t="array" ref="H266">_xlfn.LET(_xlpm.s,IFERROR(--F266,""),_xlpm.e,IFERROR(--G266,""),IF(OR(_xlpm.s="",_xlpm.e="",_xlpm.e&lt;_xlpm.s),"",_xlfn.LET(_xlpm.p,_xlfn.SEQUENCE(_xlpm.e-_xlpm.s+1,1,_xlpm.s,1),SUM(1/COUNTIFS($D:$D,D266,$E:$E,E266,$F:$F,"&lt;&gt;N/A",$G:$G,"&lt;&gt;N/A",$F:$F,"&lt;="&amp;_xlpm.p,$G:$G,"&gt;="&amp;_xlpm.p)))))</f>
        <v>1.5</v>
      </c>
      <c r="I266" s="4" t="s">
        <v>774</v>
      </c>
      <c r="J266" t="s">
        <v>948</v>
      </c>
      <c r="K266" t="s">
        <v>847</v>
      </c>
      <c r="L266" s="5" t="s">
        <v>7</v>
      </c>
      <c r="M266" s="5" t="s">
        <v>7</v>
      </c>
      <c r="N266" s="5" t="s">
        <v>7</v>
      </c>
      <c r="O266" s="4" t="s">
        <v>778</v>
      </c>
      <c r="P266" s="4" t="s">
        <v>7834</v>
      </c>
      <c r="R266" t="b">
        <v>1</v>
      </c>
    </row>
    <row r="267" spans="1:18">
      <c r="A267" t="s">
        <v>3009</v>
      </c>
      <c r="B267" t="s">
        <v>7136</v>
      </c>
      <c r="C267" s="5" t="s">
        <v>7920</v>
      </c>
      <c r="D267" s="1">
        <v>1</v>
      </c>
      <c r="E267" s="1">
        <v>51</v>
      </c>
      <c r="F267" s="1">
        <v>246</v>
      </c>
      <c r="G267" s="1">
        <v>246</v>
      </c>
      <c r="H267" s="8" cm="1">
        <f t="array" ref="H267">_xlfn.LET(_xlpm.s,IFERROR(--F267,""),_xlpm.e,IFERROR(--G267,""),IF(OR(_xlpm.s="",_xlpm.e="",_xlpm.e&lt;_xlpm.s),"",_xlfn.LET(_xlpm.p,_xlfn.SEQUENCE(_xlpm.e-_xlpm.s+1,1,_xlpm.s,1),SUM(1/COUNTIFS($D:$D,D267,$E:$E,E267,$F:$F,"&lt;&gt;N/A",$G:$G,"&lt;&gt;N/A",$F:$F,"&lt;="&amp;_xlpm.p,$G:$G,"&gt;="&amp;_xlpm.p)))))</f>
        <v>0.5</v>
      </c>
      <c r="I267" s="4" t="s">
        <v>782</v>
      </c>
      <c r="J267" t="s">
        <v>949</v>
      </c>
      <c r="K267" s="5" t="s">
        <v>7</v>
      </c>
      <c r="L267" s="5" t="s">
        <v>2176</v>
      </c>
      <c r="M267" t="s">
        <v>7174</v>
      </c>
      <c r="N267" s="5" t="s">
        <v>7698</v>
      </c>
      <c r="O267" s="4" t="s">
        <v>11522</v>
      </c>
      <c r="P267" s="4" t="s">
        <v>8021</v>
      </c>
      <c r="R267" t="b">
        <v>1</v>
      </c>
    </row>
    <row r="268" spans="1:18">
      <c r="A268" t="s">
        <v>3009</v>
      </c>
      <c r="B268" t="s">
        <v>10549</v>
      </c>
      <c r="C268" s="5" t="s">
        <v>7920</v>
      </c>
      <c r="D268" s="1">
        <v>1</v>
      </c>
      <c r="E268" s="1">
        <v>51</v>
      </c>
      <c r="F268" s="1">
        <v>246</v>
      </c>
      <c r="G268" s="1">
        <v>246</v>
      </c>
      <c r="H268" s="8" cm="1">
        <f t="array" ref="H268">_xlfn.LET(_xlpm.s,IFERROR(--F268,""),_xlpm.e,IFERROR(--G268,""),IF(OR(_xlpm.s="",_xlpm.e="",_xlpm.e&lt;_xlpm.s),"",_xlfn.LET(_xlpm.p,_xlfn.SEQUENCE(_xlpm.e-_xlpm.s+1,1,_xlpm.s,1),SUM(1/COUNTIFS($D:$D,D268,$E:$E,E268,$F:$F,"&lt;&gt;N/A",$G:$G,"&lt;&gt;N/A",$F:$F,"&lt;="&amp;_xlpm.p,$G:$G,"&gt;="&amp;_xlpm.p)))))</f>
        <v>0.5</v>
      </c>
      <c r="I268" s="4" t="s">
        <v>782</v>
      </c>
      <c r="J268" t="s">
        <v>950</v>
      </c>
      <c r="K268" t="s">
        <v>847</v>
      </c>
      <c r="L268" s="5" t="s">
        <v>7</v>
      </c>
      <c r="M268" s="5" t="s">
        <v>7</v>
      </c>
      <c r="N268" s="5" t="s">
        <v>7</v>
      </c>
      <c r="O268" s="4" t="s">
        <v>778</v>
      </c>
      <c r="P268" s="4" t="s">
        <v>7834</v>
      </c>
      <c r="R268" t="b">
        <v>1</v>
      </c>
    </row>
    <row r="269" spans="1:18">
      <c r="A269" t="s">
        <v>3009</v>
      </c>
      <c r="B269" t="s">
        <v>7046</v>
      </c>
      <c r="C269" s="5" t="s">
        <v>7921</v>
      </c>
      <c r="D269" s="1">
        <v>1</v>
      </c>
      <c r="E269" s="1">
        <v>52</v>
      </c>
      <c r="F269" s="1">
        <v>247</v>
      </c>
      <c r="G269" s="1">
        <v>249</v>
      </c>
      <c r="H269" s="8" cm="1">
        <f t="array" ref="H269">_xlfn.LET(_xlpm.s,IFERROR(--F269,""),_xlpm.e,IFERROR(--G269,""),IF(OR(_xlpm.s="",_xlpm.e="",_xlpm.e&lt;_xlpm.s),"",_xlfn.LET(_xlpm.p,_xlfn.SEQUENCE(_xlpm.e-_xlpm.s+1,1,_xlpm.s,1),SUM(1/COUNTIFS($D:$D,D269,$E:$E,E269,$F:$F,"&lt;&gt;N/A",$G:$G,"&lt;&gt;N/A",$F:$F,"&lt;="&amp;_xlpm.p,$G:$G,"&gt;="&amp;_xlpm.p)))))</f>
        <v>2.5</v>
      </c>
      <c r="I269" s="4" t="s">
        <v>774</v>
      </c>
      <c r="J269" t="s">
        <v>839</v>
      </c>
      <c r="K269" s="5" t="s">
        <v>7</v>
      </c>
      <c r="L269" s="5" t="s">
        <v>7</v>
      </c>
      <c r="M269" s="5" t="s">
        <v>7</v>
      </c>
      <c r="N269" s="5" t="s">
        <v>7</v>
      </c>
      <c r="O269" s="4" t="s">
        <v>778</v>
      </c>
      <c r="P269" s="4" t="s">
        <v>7834</v>
      </c>
      <c r="R269" t="b">
        <v>0</v>
      </c>
    </row>
    <row r="270" spans="1:18">
      <c r="A270" t="s">
        <v>3009</v>
      </c>
      <c r="B270" t="s">
        <v>7047</v>
      </c>
      <c r="C270" s="5" t="s">
        <v>7921</v>
      </c>
      <c r="D270" s="1">
        <v>1</v>
      </c>
      <c r="E270" s="1">
        <v>52</v>
      </c>
      <c r="F270" s="1">
        <v>249</v>
      </c>
      <c r="G270" s="1">
        <v>250</v>
      </c>
      <c r="H270" s="8" cm="1">
        <f t="array" ref="H270">_xlfn.LET(_xlpm.s,IFERROR(--F270,""),_xlpm.e,IFERROR(--G270,""),IF(OR(_xlpm.s="",_xlpm.e="",_xlpm.e&lt;_xlpm.s),"",_xlfn.LET(_xlpm.p,_xlfn.SEQUENCE(_xlpm.e-_xlpm.s+1,1,_xlpm.s,1),SUM(1/COUNTIFS($D:$D,D270,$E:$E,E270,$F:$F,"&lt;&gt;N/A",$G:$G,"&lt;&gt;N/A",$F:$F,"&lt;="&amp;_xlpm.p,$G:$G,"&gt;="&amp;_xlpm.p)))))</f>
        <v>0.83333333333333326</v>
      </c>
      <c r="I270" s="4" t="s">
        <v>782</v>
      </c>
      <c r="J270" t="s">
        <v>951</v>
      </c>
      <c r="K270" t="s">
        <v>2177</v>
      </c>
      <c r="L270" s="5" t="s">
        <v>7</v>
      </c>
      <c r="M270" s="5" t="s">
        <v>7</v>
      </c>
      <c r="N270" s="5" t="s">
        <v>7</v>
      </c>
      <c r="O270" s="4" t="s">
        <v>778</v>
      </c>
      <c r="P270" s="4" t="s">
        <v>7834</v>
      </c>
      <c r="R270" t="b">
        <v>1</v>
      </c>
    </row>
    <row r="271" spans="1:18">
      <c r="A271" t="s">
        <v>3009</v>
      </c>
      <c r="B271" t="s">
        <v>7137</v>
      </c>
      <c r="C271" s="5" t="s">
        <v>7921</v>
      </c>
      <c r="D271" s="1">
        <v>1</v>
      </c>
      <c r="E271" s="1">
        <v>52</v>
      </c>
      <c r="F271" s="1">
        <v>250</v>
      </c>
      <c r="G271" s="1">
        <v>250</v>
      </c>
      <c r="H271" s="8" cm="1">
        <f t="array" ref="H271">_xlfn.LET(_xlpm.s,IFERROR(--F271,""),_xlpm.e,IFERROR(--G271,""),IF(OR(_xlpm.s="",_xlpm.e="",_xlpm.e&lt;_xlpm.s),"",_xlfn.LET(_xlpm.p,_xlfn.SEQUENCE(_xlpm.e-_xlpm.s+1,1,_xlpm.s,1),SUM(1/COUNTIFS($D:$D,D271,$E:$E,E271,$F:$F,"&lt;&gt;N/A",$G:$G,"&lt;&gt;N/A",$F:$F,"&lt;="&amp;_xlpm.p,$G:$G,"&gt;="&amp;_xlpm.p)))))</f>
        <v>0.33333333333333331</v>
      </c>
      <c r="I271" s="4" t="s">
        <v>782</v>
      </c>
      <c r="J271" t="s">
        <v>952</v>
      </c>
      <c r="K271" s="5" t="s">
        <v>7</v>
      </c>
      <c r="L271" s="5" t="s">
        <v>2178</v>
      </c>
      <c r="M271" t="s">
        <v>5028</v>
      </c>
      <c r="N271" s="5" t="s">
        <v>11584</v>
      </c>
      <c r="O271" s="4" t="s">
        <v>11522</v>
      </c>
      <c r="P271" s="5" t="s">
        <v>8021</v>
      </c>
      <c r="R271" t="b">
        <v>1</v>
      </c>
    </row>
    <row r="272" spans="1:18">
      <c r="A272" t="s">
        <v>3009</v>
      </c>
      <c r="B272" t="s">
        <v>10550</v>
      </c>
      <c r="C272" s="5" t="s">
        <v>7921</v>
      </c>
      <c r="D272" s="1">
        <v>1</v>
      </c>
      <c r="E272" s="1">
        <v>52</v>
      </c>
      <c r="F272" s="1">
        <v>250</v>
      </c>
      <c r="G272" s="1">
        <v>250</v>
      </c>
      <c r="H272" s="8" cm="1">
        <f t="array" ref="H272">_xlfn.LET(_xlpm.s,IFERROR(--F272,""),_xlpm.e,IFERROR(--G272,""),IF(OR(_xlpm.s="",_xlpm.e="",_xlpm.e&lt;_xlpm.s),"",_xlfn.LET(_xlpm.p,_xlfn.SEQUENCE(_xlpm.e-_xlpm.s+1,1,_xlpm.s,1),SUM(1/COUNTIFS($D:$D,D272,$E:$E,E272,$F:$F,"&lt;&gt;N/A",$G:$G,"&lt;&gt;N/A",$F:$F,"&lt;="&amp;_xlpm.p,$G:$G,"&gt;="&amp;_xlpm.p)))))</f>
        <v>0.33333333333333331</v>
      </c>
      <c r="I272" s="4" t="s">
        <v>782</v>
      </c>
      <c r="J272" t="s">
        <v>4376</v>
      </c>
      <c r="K272" s="5" t="s">
        <v>7</v>
      </c>
      <c r="L272" s="5" t="s">
        <v>7</v>
      </c>
      <c r="M272" s="5" t="s">
        <v>7</v>
      </c>
      <c r="N272" s="5" t="s">
        <v>7</v>
      </c>
      <c r="O272" s="4" t="s">
        <v>778</v>
      </c>
      <c r="P272" s="4" t="s">
        <v>7834</v>
      </c>
      <c r="R272" t="b">
        <v>1</v>
      </c>
    </row>
    <row r="273" spans="1:18">
      <c r="A273" t="s">
        <v>3009</v>
      </c>
      <c r="B273" t="s">
        <v>7048</v>
      </c>
      <c r="C273" s="5" t="s">
        <v>7922</v>
      </c>
      <c r="D273" s="1">
        <v>1</v>
      </c>
      <c r="E273" s="1">
        <v>53</v>
      </c>
      <c r="F273" s="1">
        <v>251</v>
      </c>
      <c r="G273" s="1">
        <v>252</v>
      </c>
      <c r="H273" s="8" cm="1">
        <f t="array" ref="H273">_xlfn.LET(_xlpm.s,IFERROR(--F273,""),_xlpm.e,IFERROR(--G273,""),IF(OR(_xlpm.s="",_xlpm.e="",_xlpm.e&lt;_xlpm.s),"",_xlfn.LET(_xlpm.p,_xlfn.SEQUENCE(_xlpm.e-_xlpm.s+1,1,_xlpm.s,1),SUM(1/COUNTIFS($D:$D,D273,$E:$E,E273,$F:$F,"&lt;&gt;N/A",$G:$G,"&lt;&gt;N/A",$F:$F,"&lt;="&amp;_xlpm.p,$G:$G,"&gt;="&amp;_xlpm.p)))))</f>
        <v>1.5</v>
      </c>
      <c r="I273" s="4" t="s">
        <v>774</v>
      </c>
      <c r="J273" t="s">
        <v>839</v>
      </c>
      <c r="K273" s="5" t="s">
        <v>7</v>
      </c>
      <c r="L273" s="5" t="s">
        <v>7</v>
      </c>
      <c r="M273" s="5" t="s">
        <v>7</v>
      </c>
      <c r="N273" s="5" t="s">
        <v>7</v>
      </c>
      <c r="O273" s="4" t="s">
        <v>778</v>
      </c>
      <c r="P273" s="4" t="s">
        <v>7834</v>
      </c>
      <c r="R273" t="b">
        <v>1</v>
      </c>
    </row>
    <row r="274" spans="1:18">
      <c r="A274" t="s">
        <v>3009</v>
      </c>
      <c r="B274" t="s">
        <v>7138</v>
      </c>
      <c r="C274" s="5" t="s">
        <v>7922</v>
      </c>
      <c r="D274" s="1">
        <v>1</v>
      </c>
      <c r="E274" s="1">
        <v>53</v>
      </c>
      <c r="F274" s="1">
        <v>252</v>
      </c>
      <c r="G274" s="1">
        <v>254</v>
      </c>
      <c r="H274" s="8" cm="1">
        <f t="array" ref="H274">_xlfn.LET(_xlpm.s,IFERROR(--F274,""),_xlpm.e,IFERROR(--G274,""),IF(OR(_xlpm.s="",_xlpm.e="",_xlpm.e&lt;_xlpm.s),"",_xlfn.LET(_xlpm.p,_xlfn.SEQUENCE(_xlpm.e-_xlpm.s+1,1,_xlpm.s,1),SUM(1/COUNTIFS($D:$D,D274,$E:$E,E274,$F:$F,"&lt;&gt;N/A",$G:$G,"&lt;&gt;N/A",$F:$F,"&lt;="&amp;_xlpm.p,$G:$G,"&gt;="&amp;_xlpm.p)))))</f>
        <v>2</v>
      </c>
      <c r="I274" s="4" t="s">
        <v>782</v>
      </c>
      <c r="J274" t="s">
        <v>953</v>
      </c>
      <c r="K274" s="5" t="s">
        <v>11509</v>
      </c>
      <c r="L274" s="5" t="s">
        <v>7</v>
      </c>
      <c r="M274" s="5" t="s">
        <v>7</v>
      </c>
      <c r="N274" s="5" t="s">
        <v>7</v>
      </c>
      <c r="O274" s="4" t="s">
        <v>778</v>
      </c>
      <c r="P274" s="4" t="s">
        <v>7834</v>
      </c>
      <c r="R274" t="b">
        <v>1</v>
      </c>
    </row>
    <row r="275" spans="1:18">
      <c r="A275" t="s">
        <v>3009</v>
      </c>
      <c r="B275" t="s">
        <v>10551</v>
      </c>
      <c r="C275" s="5" t="s">
        <v>7922</v>
      </c>
      <c r="D275" s="1">
        <v>1</v>
      </c>
      <c r="E275" s="1">
        <v>53</v>
      </c>
      <c r="F275" s="1">
        <v>254</v>
      </c>
      <c r="G275" s="1">
        <v>254</v>
      </c>
      <c r="H275" s="8" cm="1">
        <f t="array" ref="H275">_xlfn.LET(_xlpm.s,IFERROR(--F275,""),_xlpm.e,IFERROR(--G275,""),IF(OR(_xlpm.s="",_xlpm.e="",_xlpm.e&lt;_xlpm.s),"",_xlfn.LET(_xlpm.p,_xlfn.SEQUENCE(_xlpm.e-_xlpm.s+1,1,_xlpm.s,1),SUM(1/COUNTIFS($D:$D,D275,$E:$E,E275,$F:$F,"&lt;&gt;N/A",$G:$G,"&lt;&gt;N/A",$F:$F,"&lt;="&amp;_xlpm.p,$G:$G,"&gt;="&amp;_xlpm.p)))))</f>
        <v>0.5</v>
      </c>
      <c r="I275" s="4" t="s">
        <v>782</v>
      </c>
      <c r="J275" t="s">
        <v>4375</v>
      </c>
      <c r="K275" s="5" t="s">
        <v>7</v>
      </c>
      <c r="L275" s="5" t="s">
        <v>7</v>
      </c>
      <c r="M275" s="5" t="s">
        <v>7</v>
      </c>
      <c r="N275" s="5" t="s">
        <v>7</v>
      </c>
      <c r="O275" s="4" t="s">
        <v>778</v>
      </c>
      <c r="P275" s="4" t="s">
        <v>7834</v>
      </c>
      <c r="R275" t="b">
        <v>1</v>
      </c>
    </row>
    <row r="276" spans="1:18">
      <c r="A276" t="s">
        <v>3010</v>
      </c>
      <c r="B276" t="s">
        <v>7049</v>
      </c>
      <c r="C276" s="5" t="s">
        <v>10280</v>
      </c>
      <c r="D276" s="1">
        <v>1</v>
      </c>
      <c r="E276" s="1">
        <v>54</v>
      </c>
      <c r="F276" s="1">
        <v>255</v>
      </c>
      <c r="G276" s="1">
        <v>256</v>
      </c>
      <c r="H276" s="8" cm="1">
        <f t="array" ref="H276">_xlfn.LET(_xlpm.s,IFERROR(--F276,""),_xlpm.e,IFERROR(--G276,""),IF(OR(_xlpm.s="",_xlpm.e="",_xlpm.e&lt;_xlpm.s),"",_xlfn.LET(_xlpm.p,_xlfn.SEQUENCE(_xlpm.e-_xlpm.s+1,1,_xlpm.s,1),SUM(1/COUNTIFS($D:$D,D276,$E:$E,E276,$F:$F,"&lt;&gt;N/A",$G:$G,"&lt;&gt;N/A",$F:$F,"&lt;="&amp;_xlpm.p,$G:$G,"&gt;="&amp;_xlpm.p)))))</f>
        <v>1</v>
      </c>
      <c r="I276" s="4" t="s">
        <v>774</v>
      </c>
      <c r="J276" t="s">
        <v>839</v>
      </c>
      <c r="K276" s="5" t="s">
        <v>7</v>
      </c>
      <c r="L276" s="5" t="s">
        <v>7</v>
      </c>
      <c r="M276" s="5" t="s">
        <v>7</v>
      </c>
      <c r="N276" s="5" t="s">
        <v>7</v>
      </c>
      <c r="O276" s="4" t="s">
        <v>778</v>
      </c>
      <c r="P276" s="4" t="s">
        <v>7834</v>
      </c>
      <c r="R276" t="b">
        <v>0</v>
      </c>
    </row>
    <row r="277" spans="1:18">
      <c r="A277" t="s">
        <v>3010</v>
      </c>
      <c r="B277" t="s">
        <v>7139</v>
      </c>
      <c r="C277" s="5" t="s">
        <v>10280</v>
      </c>
      <c r="D277" s="1">
        <v>1</v>
      </c>
      <c r="E277" s="1">
        <v>54</v>
      </c>
      <c r="F277" s="1">
        <v>255</v>
      </c>
      <c r="G277" s="1">
        <v>258</v>
      </c>
      <c r="H277" s="8" cm="1">
        <f t="array" ref="H277">_xlfn.LET(_xlpm.s,IFERROR(--F277,""),_xlpm.e,IFERROR(--G277,""),IF(OR(_xlpm.s="",_xlpm.e="",_xlpm.e&lt;_xlpm.s),"",_xlfn.LET(_xlpm.p,_xlfn.SEQUENCE(_xlpm.e-_xlpm.s+1,1,_xlpm.s,1),SUM(1/COUNTIFS($D:$D,D277,$E:$E,E277,$F:$F,"&lt;&gt;N/A",$G:$G,"&lt;&gt;N/A",$F:$F,"&lt;="&amp;_xlpm.p,$G:$G,"&gt;="&amp;_xlpm.p)))))</f>
        <v>2.5</v>
      </c>
      <c r="I277" s="4" t="s">
        <v>774</v>
      </c>
      <c r="J277" t="s">
        <v>954</v>
      </c>
      <c r="K277" t="s">
        <v>955</v>
      </c>
      <c r="L277" s="5" t="s">
        <v>7</v>
      </c>
      <c r="M277" s="5" t="s">
        <v>7</v>
      </c>
      <c r="N277" s="5" t="s">
        <v>7</v>
      </c>
      <c r="O277" s="4" t="s">
        <v>778</v>
      </c>
      <c r="P277" s="4" t="s">
        <v>7834</v>
      </c>
      <c r="R277" t="b">
        <v>1</v>
      </c>
    </row>
    <row r="278" spans="1:18">
      <c r="A278" t="s">
        <v>3010</v>
      </c>
      <c r="B278" t="s">
        <v>10552</v>
      </c>
      <c r="C278" s="5" t="s">
        <v>10280</v>
      </c>
      <c r="D278" s="1">
        <v>1</v>
      </c>
      <c r="E278" s="1">
        <v>54</v>
      </c>
      <c r="F278" s="1">
        <v>258</v>
      </c>
      <c r="G278" s="1">
        <v>258</v>
      </c>
      <c r="H278" s="8" cm="1">
        <f t="array" ref="H278">_xlfn.LET(_xlpm.s,IFERROR(--F278,""),_xlpm.e,IFERROR(--G278,""),IF(OR(_xlpm.s="",_xlpm.e="",_xlpm.e&lt;_xlpm.s),"",_xlfn.LET(_xlpm.p,_xlfn.SEQUENCE(_xlpm.e-_xlpm.s+1,1,_xlpm.s,1),SUM(1/COUNTIFS($D:$D,D278,$E:$E,E278,$F:$F,"&lt;&gt;N/A",$G:$G,"&lt;&gt;N/A",$F:$F,"&lt;="&amp;_xlpm.p,$G:$G,"&gt;="&amp;_xlpm.p)))))</f>
        <v>0.5</v>
      </c>
      <c r="I278" s="4" t="s">
        <v>782</v>
      </c>
      <c r="J278" t="s">
        <v>956</v>
      </c>
      <c r="K278" s="5" t="s">
        <v>7</v>
      </c>
      <c r="L278" s="5" t="s">
        <v>7</v>
      </c>
      <c r="M278" s="5" t="s">
        <v>7</v>
      </c>
      <c r="N278" s="5" t="s">
        <v>7</v>
      </c>
      <c r="O278" s="4" t="s">
        <v>778</v>
      </c>
      <c r="P278" s="4" t="s">
        <v>7834</v>
      </c>
      <c r="R278" t="b">
        <v>1</v>
      </c>
    </row>
    <row r="279" spans="1:18">
      <c r="A279" t="s">
        <v>3010</v>
      </c>
      <c r="B279" t="s">
        <v>7050</v>
      </c>
      <c r="C279" s="5" t="s">
        <v>7909</v>
      </c>
      <c r="D279" s="1">
        <v>1</v>
      </c>
      <c r="E279" s="1">
        <v>55</v>
      </c>
      <c r="F279" s="1">
        <v>259</v>
      </c>
      <c r="G279" s="1">
        <v>259</v>
      </c>
      <c r="H279" s="8" cm="1">
        <f t="array" ref="H279">_xlfn.LET(_xlpm.s,IFERROR(--F279,""),_xlpm.e,IFERROR(--G279,""),IF(OR(_xlpm.s="",_xlpm.e="",_xlpm.e&lt;_xlpm.s),"",_xlfn.LET(_xlpm.p,_xlfn.SEQUENCE(_xlpm.e-_xlpm.s+1,1,_xlpm.s,1),SUM(1/COUNTIFS($D:$D,D279,$E:$E,E279,$F:$F,"&lt;&gt;N/A",$G:$G,"&lt;&gt;N/A",$F:$F,"&lt;="&amp;_xlpm.p,$G:$G,"&gt;="&amp;_xlpm.p)))))</f>
        <v>0.5</v>
      </c>
      <c r="I279" s="4" t="s">
        <v>774</v>
      </c>
      <c r="J279" t="s">
        <v>839</v>
      </c>
      <c r="K279" s="5" t="s">
        <v>7</v>
      </c>
      <c r="L279" s="5" t="s">
        <v>7</v>
      </c>
      <c r="M279" s="5" t="s">
        <v>7</v>
      </c>
      <c r="N279" s="5" t="s">
        <v>7</v>
      </c>
      <c r="O279" s="4" t="s">
        <v>778</v>
      </c>
      <c r="P279" s="4" t="s">
        <v>7834</v>
      </c>
      <c r="R279" t="b">
        <v>1</v>
      </c>
    </row>
    <row r="280" spans="1:18">
      <c r="A280" t="s">
        <v>3010</v>
      </c>
      <c r="B280" t="s">
        <v>7051</v>
      </c>
      <c r="C280" s="5" t="s">
        <v>7909</v>
      </c>
      <c r="D280" s="1">
        <v>1</v>
      </c>
      <c r="E280" s="1">
        <v>55</v>
      </c>
      <c r="F280" s="1">
        <v>259</v>
      </c>
      <c r="G280" s="1">
        <v>262</v>
      </c>
      <c r="H280" s="8" cm="1">
        <f t="array" ref="H280">_xlfn.LET(_xlpm.s,IFERROR(--F280,""),_xlpm.e,IFERROR(--G280,""),IF(OR(_xlpm.s="",_xlpm.e="",_xlpm.e&lt;_xlpm.s),"",_xlfn.LET(_xlpm.p,_xlfn.SEQUENCE(_xlpm.e-_xlpm.s+1,1,_xlpm.s,1),SUM(1/COUNTIFS($D:$D,D280,$E:$E,E280,$F:$F,"&lt;&gt;N/A",$G:$G,"&lt;&gt;N/A",$F:$F,"&lt;="&amp;_xlpm.p,$G:$G,"&gt;="&amp;_xlpm.p)))))</f>
        <v>2.75</v>
      </c>
      <c r="I280" s="4" t="s">
        <v>782</v>
      </c>
      <c r="J280" t="s">
        <v>957</v>
      </c>
      <c r="K280" s="5" t="s">
        <v>7</v>
      </c>
      <c r="L280" s="5" t="s">
        <v>7</v>
      </c>
      <c r="M280" s="5" t="s">
        <v>7</v>
      </c>
      <c r="N280" s="5" t="s">
        <v>7</v>
      </c>
      <c r="O280" s="4" t="s">
        <v>778</v>
      </c>
      <c r="P280" s="4" t="s">
        <v>7834</v>
      </c>
      <c r="R280" t="b">
        <v>1</v>
      </c>
    </row>
    <row r="281" spans="1:18">
      <c r="A281" t="s">
        <v>3010</v>
      </c>
      <c r="B281" t="s">
        <v>7052</v>
      </c>
      <c r="C281" s="5" t="s">
        <v>7909</v>
      </c>
      <c r="D281" s="1">
        <v>1</v>
      </c>
      <c r="E281" s="1">
        <v>55</v>
      </c>
      <c r="F281" s="1">
        <v>262</v>
      </c>
      <c r="G281" s="1">
        <v>262</v>
      </c>
      <c r="H281" s="8" cm="1">
        <f t="array" ref="H281">_xlfn.LET(_xlpm.s,IFERROR(--F281,""),_xlpm.e,IFERROR(--G281,""),IF(OR(_xlpm.s="",_xlpm.e="",_xlpm.e&lt;_xlpm.s),"",_xlfn.LET(_xlpm.p,_xlfn.SEQUENCE(_xlpm.e-_xlpm.s+1,1,_xlpm.s,1),SUM(1/COUNTIFS($D:$D,D281,$E:$E,E281,$F:$F,"&lt;&gt;N/A",$G:$G,"&lt;&gt;N/A",$F:$F,"&lt;="&amp;_xlpm.p,$G:$G,"&gt;="&amp;_xlpm.p)))))</f>
        <v>0.25</v>
      </c>
      <c r="I281" s="4" t="s">
        <v>782</v>
      </c>
      <c r="J281" t="s">
        <v>4392</v>
      </c>
      <c r="K281" s="5" t="s">
        <v>7</v>
      </c>
      <c r="L281" s="5" t="s">
        <v>2179</v>
      </c>
      <c r="M281" s="5" t="s">
        <v>7</v>
      </c>
      <c r="N281" s="5" t="s">
        <v>7263</v>
      </c>
      <c r="O281" s="4" t="s">
        <v>11522</v>
      </c>
      <c r="P281" s="4" t="s">
        <v>8021</v>
      </c>
      <c r="R281" t="b">
        <v>1</v>
      </c>
    </row>
    <row r="282" spans="1:18">
      <c r="A282" t="s">
        <v>3010</v>
      </c>
      <c r="B282" t="s">
        <v>7140</v>
      </c>
      <c r="C282" s="5" t="s">
        <v>7909</v>
      </c>
      <c r="D282" s="1">
        <v>1</v>
      </c>
      <c r="E282" s="1">
        <v>55</v>
      </c>
      <c r="F282" s="1">
        <v>262</v>
      </c>
      <c r="G282" s="1">
        <v>262</v>
      </c>
      <c r="H282" s="8" cm="1">
        <f t="array" ref="H282">_xlfn.LET(_xlpm.s,IFERROR(--F282,""),_xlpm.e,IFERROR(--G282,""),IF(OR(_xlpm.s="",_xlpm.e="",_xlpm.e&lt;_xlpm.s),"",_xlfn.LET(_xlpm.p,_xlfn.SEQUENCE(_xlpm.e-_xlpm.s+1,1,_xlpm.s,1),SUM(1/COUNTIFS($D:$D,D282,$E:$E,E282,$F:$F,"&lt;&gt;N/A",$G:$G,"&lt;&gt;N/A",$F:$F,"&lt;="&amp;_xlpm.p,$G:$G,"&gt;="&amp;_xlpm.p)))))</f>
        <v>0.25</v>
      </c>
      <c r="I282" s="4" t="s">
        <v>782</v>
      </c>
      <c r="J282" t="s">
        <v>958</v>
      </c>
      <c r="K282" s="5" t="s">
        <v>7</v>
      </c>
      <c r="L282" s="5" t="s">
        <v>7</v>
      </c>
      <c r="M282" t="s">
        <v>5025</v>
      </c>
      <c r="N282" s="5" t="s">
        <v>2392</v>
      </c>
      <c r="O282" s="4" t="s">
        <v>5072</v>
      </c>
      <c r="P282" s="4" t="s">
        <v>8021</v>
      </c>
      <c r="R282" t="b">
        <v>1</v>
      </c>
    </row>
    <row r="283" spans="1:18">
      <c r="A283" t="s">
        <v>3010</v>
      </c>
      <c r="B283" t="s">
        <v>10553</v>
      </c>
      <c r="C283" s="5" t="s">
        <v>7909</v>
      </c>
      <c r="D283" s="1">
        <v>1</v>
      </c>
      <c r="E283" s="1">
        <v>55</v>
      </c>
      <c r="F283" s="1">
        <v>262</v>
      </c>
      <c r="G283" s="1">
        <v>262</v>
      </c>
      <c r="H283" s="8" cm="1">
        <f t="array" ref="H283">_xlfn.LET(_xlpm.s,IFERROR(--F283,""),_xlpm.e,IFERROR(--G283,""),IF(OR(_xlpm.s="",_xlpm.e="",_xlpm.e&lt;_xlpm.s),"",_xlfn.LET(_xlpm.p,_xlfn.SEQUENCE(_xlpm.e-_xlpm.s+1,1,_xlpm.s,1),SUM(1/COUNTIFS($D:$D,D283,$E:$E,E283,$F:$F,"&lt;&gt;N/A",$G:$G,"&lt;&gt;N/A",$F:$F,"&lt;="&amp;_xlpm.p,$G:$G,"&gt;="&amp;_xlpm.p)))))</f>
        <v>0.25</v>
      </c>
      <c r="I283" s="4" t="s">
        <v>782</v>
      </c>
      <c r="J283" t="s">
        <v>959</v>
      </c>
      <c r="K283" s="5" t="s">
        <v>7</v>
      </c>
      <c r="L283" s="5" t="s">
        <v>2390</v>
      </c>
      <c r="M283" t="s">
        <v>5024</v>
      </c>
      <c r="N283" s="5" t="s">
        <v>2389</v>
      </c>
      <c r="O283" s="4" t="s">
        <v>5072</v>
      </c>
      <c r="P283" s="4" t="s">
        <v>8021</v>
      </c>
      <c r="R283" t="b">
        <v>1</v>
      </c>
    </row>
    <row r="284" spans="1:18">
      <c r="A284" t="s">
        <v>3010</v>
      </c>
      <c r="B284" t="s">
        <v>7053</v>
      </c>
      <c r="C284" s="5" t="s">
        <v>7910</v>
      </c>
      <c r="D284" s="1">
        <v>1</v>
      </c>
      <c r="E284" s="1">
        <v>56</v>
      </c>
      <c r="F284" s="1">
        <v>263</v>
      </c>
      <c r="G284" s="1">
        <v>264</v>
      </c>
      <c r="H284" s="8" cm="1">
        <f t="array" ref="H284">_xlfn.LET(_xlpm.s,IFERROR(--F284,""),_xlpm.e,IFERROR(--G284,""),IF(OR(_xlpm.s="",_xlpm.e="",_xlpm.e&lt;_xlpm.s),"",_xlfn.LET(_xlpm.p,_xlfn.SEQUENCE(_xlpm.e-_xlpm.s+1,1,_xlpm.s,1),SUM(1/COUNTIFS($D:$D,D284,$E:$E,E284,$F:$F,"&lt;&gt;N/A",$G:$G,"&lt;&gt;N/A",$F:$F,"&lt;="&amp;_xlpm.p,$G:$G,"&gt;="&amp;_xlpm.p)))))</f>
        <v>1.5</v>
      </c>
      <c r="I284" s="4" t="s">
        <v>774</v>
      </c>
      <c r="J284" t="s">
        <v>839</v>
      </c>
      <c r="K284" s="5" t="s">
        <v>7</v>
      </c>
      <c r="L284" s="5" t="s">
        <v>7</v>
      </c>
      <c r="M284" s="5" t="s">
        <v>7</v>
      </c>
      <c r="N284" s="5" t="s">
        <v>7</v>
      </c>
      <c r="O284" s="4" t="s">
        <v>778</v>
      </c>
      <c r="P284" s="4" t="s">
        <v>7834</v>
      </c>
      <c r="R284" t="b">
        <v>0</v>
      </c>
    </row>
    <row r="285" spans="1:18">
      <c r="A285" t="s">
        <v>3010</v>
      </c>
      <c r="B285" t="s">
        <v>7054</v>
      </c>
      <c r="C285" s="5" t="s">
        <v>7910</v>
      </c>
      <c r="D285" s="1">
        <v>1</v>
      </c>
      <c r="E285" s="1">
        <v>56</v>
      </c>
      <c r="F285" s="1">
        <v>264</v>
      </c>
      <c r="G285" s="1">
        <v>265</v>
      </c>
      <c r="H285" s="8" cm="1">
        <f t="array" ref="H285">_xlfn.LET(_xlpm.s,IFERROR(--F285,""),_xlpm.e,IFERROR(--G285,""),IF(OR(_xlpm.s="",_xlpm.e="",_xlpm.e&lt;_xlpm.s),"",_xlfn.LET(_xlpm.p,_xlfn.SEQUENCE(_xlpm.e-_xlpm.s+1,1,_xlpm.s,1),SUM(1/COUNTIFS($D:$D,D285,$E:$E,E285,$F:$F,"&lt;&gt;N/A",$G:$G,"&lt;&gt;N/A",$F:$F,"&lt;="&amp;_xlpm.p,$G:$G,"&gt;="&amp;_xlpm.p)))))</f>
        <v>1</v>
      </c>
      <c r="I285" s="4" t="s">
        <v>782</v>
      </c>
      <c r="J285" t="s">
        <v>960</v>
      </c>
      <c r="K285" s="5" t="s">
        <v>7</v>
      </c>
      <c r="L285" s="5" t="s">
        <v>7</v>
      </c>
      <c r="M285" s="5" t="s">
        <v>7</v>
      </c>
      <c r="N285" s="5" t="s">
        <v>7</v>
      </c>
      <c r="O285" s="4" t="s">
        <v>778</v>
      </c>
      <c r="P285" s="4" t="s">
        <v>7834</v>
      </c>
      <c r="R285" t="b">
        <v>1</v>
      </c>
    </row>
    <row r="286" spans="1:18">
      <c r="A286" t="s">
        <v>3010</v>
      </c>
      <c r="B286" t="s">
        <v>7141</v>
      </c>
      <c r="C286" s="5" t="s">
        <v>7910</v>
      </c>
      <c r="D286" s="1">
        <v>1</v>
      </c>
      <c r="E286" s="1">
        <v>56</v>
      </c>
      <c r="F286" s="1">
        <v>265</v>
      </c>
      <c r="G286" s="1">
        <v>266</v>
      </c>
      <c r="H286" s="8" cm="1">
        <f t="array" ref="H286">_xlfn.LET(_xlpm.s,IFERROR(--F286,""),_xlpm.e,IFERROR(--G286,""),IF(OR(_xlpm.s="",_xlpm.e="",_xlpm.e&lt;_xlpm.s),"",_xlfn.LET(_xlpm.p,_xlfn.SEQUENCE(_xlpm.e-_xlpm.s+1,1,_xlpm.s,1),SUM(1/COUNTIFS($D:$D,D286,$E:$E,E286,$F:$F,"&lt;&gt;N/A",$G:$G,"&lt;&gt;N/A",$F:$F,"&lt;="&amp;_xlpm.p,$G:$G,"&gt;="&amp;_xlpm.p)))))</f>
        <v>1</v>
      </c>
      <c r="I286" s="4" t="s">
        <v>782</v>
      </c>
      <c r="J286" t="s">
        <v>961</v>
      </c>
      <c r="K286" s="5" t="s">
        <v>7</v>
      </c>
      <c r="L286" s="5" t="s">
        <v>2180</v>
      </c>
      <c r="M286" t="s">
        <v>5026</v>
      </c>
      <c r="N286" s="5" t="s">
        <v>2393</v>
      </c>
      <c r="O286" s="4" t="s">
        <v>5072</v>
      </c>
      <c r="P286" s="4" t="s">
        <v>8021</v>
      </c>
      <c r="R286" t="b">
        <v>1</v>
      </c>
    </row>
    <row r="287" spans="1:18">
      <c r="A287" t="s">
        <v>3010</v>
      </c>
      <c r="B287" t="s">
        <v>10554</v>
      </c>
      <c r="C287" s="5" t="s">
        <v>7910</v>
      </c>
      <c r="D287" s="1">
        <v>1</v>
      </c>
      <c r="E287" s="1">
        <v>56</v>
      </c>
      <c r="F287" s="1">
        <v>266</v>
      </c>
      <c r="G287" s="1">
        <v>266</v>
      </c>
      <c r="H287" s="8" cm="1">
        <f t="array" ref="H287">_xlfn.LET(_xlpm.s,IFERROR(--F287,""),_xlpm.e,IFERROR(--G287,""),IF(OR(_xlpm.s="",_xlpm.e="",_xlpm.e&lt;_xlpm.s),"",_xlfn.LET(_xlpm.p,_xlfn.SEQUENCE(_xlpm.e-_xlpm.s+1,1,_xlpm.s,1),SUM(1/COUNTIFS($D:$D,D287,$E:$E,E287,$F:$F,"&lt;&gt;N/A",$G:$G,"&lt;&gt;N/A",$F:$F,"&lt;="&amp;_xlpm.p,$G:$G,"&gt;="&amp;_xlpm.p)))))</f>
        <v>0.5</v>
      </c>
      <c r="I287" s="4" t="s">
        <v>782</v>
      </c>
      <c r="J287" t="s">
        <v>5027</v>
      </c>
      <c r="K287" s="5" t="s">
        <v>7</v>
      </c>
      <c r="L287" s="5" t="s">
        <v>7</v>
      </c>
      <c r="M287" s="5" t="s">
        <v>7</v>
      </c>
      <c r="N287" s="5" t="s">
        <v>7</v>
      </c>
      <c r="O287" s="4" t="s">
        <v>778</v>
      </c>
      <c r="P287" s="4" t="s">
        <v>7834</v>
      </c>
      <c r="R287" t="b">
        <v>1</v>
      </c>
    </row>
    <row r="288" spans="1:18">
      <c r="A288" t="s">
        <v>3010</v>
      </c>
      <c r="B288" t="s">
        <v>7055</v>
      </c>
      <c r="C288" s="5" t="s">
        <v>7911</v>
      </c>
      <c r="D288" s="1">
        <v>1</v>
      </c>
      <c r="E288" s="1">
        <v>57</v>
      </c>
      <c r="F288" s="1">
        <v>267</v>
      </c>
      <c r="G288" s="1">
        <v>268</v>
      </c>
      <c r="H288" s="8" cm="1">
        <f t="array" ref="H288">_xlfn.LET(_xlpm.s,IFERROR(--F288,""),_xlpm.e,IFERROR(--G288,""),IF(OR(_xlpm.s="",_xlpm.e="",_xlpm.e&lt;_xlpm.s),"",_xlfn.LET(_xlpm.p,_xlfn.SEQUENCE(_xlpm.e-_xlpm.s+1,1,_xlpm.s,1),SUM(1/COUNTIFS($D:$D,D288,$E:$E,E288,$F:$F,"&lt;&gt;N/A",$G:$G,"&lt;&gt;N/A",$F:$F,"&lt;="&amp;_xlpm.p,$G:$G,"&gt;="&amp;_xlpm.p)))))</f>
        <v>1.5</v>
      </c>
      <c r="I288" s="4" t="s">
        <v>774</v>
      </c>
      <c r="J288" t="s">
        <v>839</v>
      </c>
      <c r="K288" s="5" t="s">
        <v>7</v>
      </c>
      <c r="L288" s="5" t="s">
        <v>7</v>
      </c>
      <c r="M288" s="5" t="s">
        <v>7</v>
      </c>
      <c r="N288" s="5" t="s">
        <v>7</v>
      </c>
      <c r="O288" s="4" t="s">
        <v>778</v>
      </c>
      <c r="P288" s="4" t="s">
        <v>7834</v>
      </c>
      <c r="R288" t="b">
        <v>0</v>
      </c>
    </row>
    <row r="289" spans="1:18">
      <c r="A289" t="s">
        <v>3010</v>
      </c>
      <c r="B289" t="s">
        <v>7142</v>
      </c>
      <c r="C289" s="5" t="s">
        <v>7911</v>
      </c>
      <c r="D289" s="1">
        <v>1</v>
      </c>
      <c r="E289" s="1">
        <v>57</v>
      </c>
      <c r="F289" s="1">
        <v>268</v>
      </c>
      <c r="G289" s="1">
        <v>269</v>
      </c>
      <c r="H289" s="8" cm="1">
        <f t="array" ref="H289">_xlfn.LET(_xlpm.s,IFERROR(--F289,""),_xlpm.e,IFERROR(--G289,""),IF(OR(_xlpm.s="",_xlpm.e="",_xlpm.e&lt;_xlpm.s),"",_xlfn.LET(_xlpm.p,_xlfn.SEQUENCE(_xlpm.e-_xlpm.s+1,1,_xlpm.s,1),SUM(1/COUNTIFS($D:$D,D289,$E:$E,E289,$F:$F,"&lt;&gt;N/A",$G:$G,"&lt;&gt;N/A",$F:$F,"&lt;="&amp;_xlpm.p,$G:$G,"&gt;="&amp;_xlpm.p)))))</f>
        <v>1</v>
      </c>
      <c r="I289" s="4" t="s">
        <v>782</v>
      </c>
      <c r="J289" t="s">
        <v>962</v>
      </c>
      <c r="K289" s="5" t="s">
        <v>7</v>
      </c>
      <c r="L289" s="5" t="s">
        <v>7</v>
      </c>
      <c r="M289" t="s">
        <v>7256</v>
      </c>
      <c r="N289" s="5" t="s">
        <v>2395</v>
      </c>
      <c r="O289" s="4" t="s">
        <v>11522</v>
      </c>
      <c r="P289" s="4" t="s">
        <v>8021</v>
      </c>
      <c r="R289" t="b">
        <v>1</v>
      </c>
    </row>
    <row r="290" spans="1:18">
      <c r="A290" t="s">
        <v>3010</v>
      </c>
      <c r="B290" t="s">
        <v>10555</v>
      </c>
      <c r="C290" s="5" t="s">
        <v>7911</v>
      </c>
      <c r="D290" s="1">
        <v>1</v>
      </c>
      <c r="E290" s="1">
        <v>57</v>
      </c>
      <c r="F290" s="1">
        <v>269</v>
      </c>
      <c r="G290" s="1">
        <v>270</v>
      </c>
      <c r="H290" s="8" cm="1">
        <f t="array" ref="H290">_xlfn.LET(_xlpm.s,IFERROR(--F290,""),_xlpm.e,IFERROR(--G290,""),IF(OR(_xlpm.s="",_xlpm.e="",_xlpm.e&lt;_xlpm.s),"",_xlfn.LET(_xlpm.p,_xlfn.SEQUENCE(_xlpm.e-_xlpm.s+1,1,_xlpm.s,1),SUM(1/COUNTIFS($D:$D,D290,$E:$E,E290,$F:$F,"&lt;&gt;N/A",$G:$G,"&lt;&gt;N/A",$F:$F,"&lt;="&amp;_xlpm.p,$G:$G,"&gt;="&amp;_xlpm.p)))))</f>
        <v>1.5</v>
      </c>
      <c r="I290" s="4" t="s">
        <v>782</v>
      </c>
      <c r="J290" t="s">
        <v>963</v>
      </c>
      <c r="K290" s="5" t="s">
        <v>7</v>
      </c>
      <c r="L290" s="5" t="s">
        <v>7</v>
      </c>
      <c r="M290" s="5" t="s">
        <v>7</v>
      </c>
      <c r="N290" s="5" t="s">
        <v>7</v>
      </c>
      <c r="O290" s="4" t="s">
        <v>778</v>
      </c>
      <c r="P290" s="4" t="s">
        <v>7834</v>
      </c>
      <c r="R290" t="b">
        <v>1</v>
      </c>
    </row>
    <row r="291" spans="1:18">
      <c r="A291" t="s">
        <v>3010</v>
      </c>
      <c r="B291" t="s">
        <v>7056</v>
      </c>
      <c r="C291" s="5" t="s">
        <v>10281</v>
      </c>
      <c r="D291" s="1">
        <v>1</v>
      </c>
      <c r="E291" s="1">
        <v>58</v>
      </c>
      <c r="F291" s="1">
        <v>271</v>
      </c>
      <c r="G291" s="1">
        <v>272</v>
      </c>
      <c r="H291" s="8" cm="1">
        <f t="array" ref="H291">_xlfn.LET(_xlpm.s,IFERROR(--F291,""),_xlpm.e,IFERROR(--G291,""),IF(OR(_xlpm.s="",_xlpm.e="",_xlpm.e&lt;_xlpm.s),"",_xlfn.LET(_xlpm.p,_xlfn.SEQUENCE(_xlpm.e-_xlpm.s+1,1,_xlpm.s,1),SUM(1/COUNTIFS($D:$D,D291,$E:$E,E291,$F:$F,"&lt;&gt;N/A",$G:$G,"&lt;&gt;N/A",$F:$F,"&lt;="&amp;_xlpm.p,$G:$G,"&gt;="&amp;_xlpm.p)))))</f>
        <v>1.5</v>
      </c>
      <c r="I291" s="4" t="s">
        <v>774</v>
      </c>
      <c r="J291" t="s">
        <v>839</v>
      </c>
      <c r="K291" s="5" t="s">
        <v>7</v>
      </c>
      <c r="L291" s="5" t="s">
        <v>7</v>
      </c>
      <c r="M291" s="5" t="s">
        <v>7</v>
      </c>
      <c r="N291" s="5" t="s">
        <v>7</v>
      </c>
      <c r="O291" s="4" t="s">
        <v>778</v>
      </c>
      <c r="P291" s="4" t="s">
        <v>7834</v>
      </c>
      <c r="R291" t="b">
        <v>0</v>
      </c>
    </row>
    <row r="292" spans="1:18">
      <c r="A292" t="s">
        <v>3010</v>
      </c>
      <c r="B292" t="s">
        <v>7057</v>
      </c>
      <c r="C292" s="5" t="s">
        <v>10281</v>
      </c>
      <c r="D292" s="1">
        <v>1</v>
      </c>
      <c r="E292" s="1">
        <v>58</v>
      </c>
      <c r="F292" s="1">
        <v>272</v>
      </c>
      <c r="G292" s="1">
        <v>273</v>
      </c>
      <c r="H292" s="8" cm="1">
        <f t="array" ref="H292">_xlfn.LET(_xlpm.s,IFERROR(--F292,""),_xlpm.e,IFERROR(--G292,""),IF(OR(_xlpm.s="",_xlpm.e="",_xlpm.e&lt;_xlpm.s),"",_xlfn.LET(_xlpm.p,_xlfn.SEQUENCE(_xlpm.e-_xlpm.s+1,1,_xlpm.s,1),SUM(1/COUNTIFS($D:$D,D292,$E:$E,E292,$F:$F,"&lt;&gt;N/A",$G:$G,"&lt;&gt;N/A",$F:$F,"&lt;="&amp;_xlpm.p,$G:$G,"&gt;="&amp;_xlpm.p)))))</f>
        <v>1</v>
      </c>
      <c r="I292" s="4" t="s">
        <v>782</v>
      </c>
      <c r="J292" t="s">
        <v>964</v>
      </c>
      <c r="K292" s="5" t="s">
        <v>7</v>
      </c>
      <c r="L292" s="5" t="s">
        <v>2394</v>
      </c>
      <c r="M292" t="s">
        <v>7250</v>
      </c>
      <c r="N292" t="s">
        <v>7255</v>
      </c>
      <c r="O292" s="4" t="s">
        <v>5072</v>
      </c>
      <c r="P292" s="4" t="s">
        <v>8021</v>
      </c>
      <c r="R292" t="b">
        <v>1</v>
      </c>
    </row>
    <row r="293" spans="1:18">
      <c r="A293" t="s">
        <v>3010</v>
      </c>
      <c r="B293" t="s">
        <v>7143</v>
      </c>
      <c r="C293" s="5" t="s">
        <v>10281</v>
      </c>
      <c r="D293" s="1">
        <v>1</v>
      </c>
      <c r="E293" s="1">
        <v>58</v>
      </c>
      <c r="F293" s="1">
        <v>273</v>
      </c>
      <c r="G293" s="1">
        <v>274</v>
      </c>
      <c r="H293" s="8" cm="1">
        <f t="array" ref="H293">_xlfn.LET(_xlpm.s,IFERROR(--F293,""),_xlpm.e,IFERROR(--G293,""),IF(OR(_xlpm.s="",_xlpm.e="",_xlpm.e&lt;_xlpm.s),"",_xlfn.LET(_xlpm.p,_xlfn.SEQUENCE(_xlpm.e-_xlpm.s+1,1,_xlpm.s,1),SUM(1/COUNTIFS($D:$D,D293,$E:$E,E293,$F:$F,"&lt;&gt;N/A",$G:$G,"&lt;&gt;N/A",$F:$F,"&lt;="&amp;_xlpm.p,$G:$G,"&gt;="&amp;_xlpm.p)))))</f>
        <v>1</v>
      </c>
      <c r="I293" s="4" t="s">
        <v>782</v>
      </c>
      <c r="J293" t="s">
        <v>4395</v>
      </c>
      <c r="K293" s="5" t="s">
        <v>7</v>
      </c>
      <c r="L293" s="5" t="s">
        <v>7</v>
      </c>
      <c r="M293" s="5" t="s">
        <v>7</v>
      </c>
      <c r="N293" s="5" t="s">
        <v>7</v>
      </c>
      <c r="O293" s="4" t="s">
        <v>778</v>
      </c>
      <c r="P293" s="4" t="s">
        <v>7834</v>
      </c>
      <c r="R293" t="b">
        <v>1</v>
      </c>
    </row>
    <row r="294" spans="1:18">
      <c r="A294" t="s">
        <v>3010</v>
      </c>
      <c r="B294" t="s">
        <v>10556</v>
      </c>
      <c r="C294" s="5" t="s">
        <v>10281</v>
      </c>
      <c r="D294" s="1">
        <v>1</v>
      </c>
      <c r="E294" s="1">
        <v>58</v>
      </c>
      <c r="F294" s="1">
        <v>274</v>
      </c>
      <c r="G294" s="1">
        <v>274</v>
      </c>
      <c r="H294" s="8" cm="1">
        <f t="array" ref="H294">_xlfn.LET(_xlpm.s,IFERROR(--F294,""),_xlpm.e,IFERROR(--G294,""),IF(OR(_xlpm.s="",_xlpm.e="",_xlpm.e&lt;_xlpm.s),"",_xlfn.LET(_xlpm.p,_xlfn.SEQUENCE(_xlpm.e-_xlpm.s+1,1,_xlpm.s,1),SUM(1/COUNTIFS($D:$D,D294,$E:$E,E294,$F:$F,"&lt;&gt;N/A",$G:$G,"&lt;&gt;N/A",$F:$F,"&lt;="&amp;_xlpm.p,$G:$G,"&gt;="&amp;_xlpm.p)))))</f>
        <v>0.5</v>
      </c>
      <c r="I294" s="4" t="s">
        <v>782</v>
      </c>
      <c r="J294" t="s">
        <v>4396</v>
      </c>
      <c r="K294" s="5" t="s">
        <v>7</v>
      </c>
      <c r="L294" s="5" t="s">
        <v>7</v>
      </c>
      <c r="M294" s="5" t="s">
        <v>7</v>
      </c>
      <c r="N294" s="5" t="s">
        <v>7</v>
      </c>
      <c r="O294" s="4" t="s">
        <v>778</v>
      </c>
      <c r="P294" s="4" t="s">
        <v>7834</v>
      </c>
      <c r="R294" t="b">
        <v>1</v>
      </c>
    </row>
    <row r="295" spans="1:18">
      <c r="A295" t="s">
        <v>3010</v>
      </c>
      <c r="B295" t="s">
        <v>7144</v>
      </c>
      <c r="C295" s="5" t="s">
        <v>7901</v>
      </c>
      <c r="D295" s="1">
        <v>1</v>
      </c>
      <c r="E295" s="1">
        <v>59</v>
      </c>
      <c r="F295" s="1">
        <v>275</v>
      </c>
      <c r="G295" s="1">
        <v>276</v>
      </c>
      <c r="H295" s="8" cm="1">
        <f t="array" ref="H295">_xlfn.LET(_xlpm.s,IFERROR(--F295,""),_xlpm.e,IFERROR(--G295,""),IF(OR(_xlpm.s="",_xlpm.e="",_xlpm.e&lt;_xlpm.s),"",_xlfn.LET(_xlpm.p,_xlfn.SEQUENCE(_xlpm.e-_xlpm.s+1,1,_xlpm.s,1),SUM(1/COUNTIFS($D:$D,D295,$E:$E,E295,$F:$F,"&lt;&gt;N/A",$G:$G,"&lt;&gt;N/A",$F:$F,"&lt;="&amp;_xlpm.p,$G:$G,"&gt;="&amp;_xlpm.p)))))</f>
        <v>1.5</v>
      </c>
      <c r="I295" s="4" t="s">
        <v>782</v>
      </c>
      <c r="J295" t="s">
        <v>965</v>
      </c>
      <c r="K295" t="s">
        <v>847</v>
      </c>
      <c r="L295" s="5" t="s">
        <v>7</v>
      </c>
      <c r="M295" s="5" t="s">
        <v>7</v>
      </c>
      <c r="N295" s="5" t="s">
        <v>7</v>
      </c>
      <c r="O295" s="4" t="s">
        <v>778</v>
      </c>
      <c r="P295" s="4" t="s">
        <v>7834</v>
      </c>
      <c r="R295" t="b">
        <v>1</v>
      </c>
    </row>
    <row r="296" spans="1:18">
      <c r="A296" t="s">
        <v>3010</v>
      </c>
      <c r="B296" t="s">
        <v>10557</v>
      </c>
      <c r="C296" s="5" t="s">
        <v>7901</v>
      </c>
      <c r="D296" s="1">
        <v>1</v>
      </c>
      <c r="E296" s="1">
        <v>59</v>
      </c>
      <c r="F296" s="1">
        <v>276</v>
      </c>
      <c r="G296" s="1">
        <v>278</v>
      </c>
      <c r="H296" s="8" cm="1">
        <f t="array" ref="H296">_xlfn.LET(_xlpm.s,IFERROR(--F296,""),_xlpm.e,IFERROR(--G296,""),IF(OR(_xlpm.s="",_xlpm.e="",_xlpm.e&lt;_xlpm.s),"",_xlfn.LET(_xlpm.p,_xlfn.SEQUENCE(_xlpm.e-_xlpm.s+1,1,_xlpm.s,1),SUM(1/COUNTIFS($D:$D,D296,$E:$E,E296,$F:$F,"&lt;&gt;N/A",$G:$G,"&lt;&gt;N/A",$F:$F,"&lt;="&amp;_xlpm.p,$G:$G,"&gt;="&amp;_xlpm.p)))))</f>
        <v>2.5</v>
      </c>
      <c r="I296" s="4" t="s">
        <v>782</v>
      </c>
      <c r="J296" t="s">
        <v>966</v>
      </c>
      <c r="K296" s="5" t="s">
        <v>11509</v>
      </c>
      <c r="L296" s="5" t="s">
        <v>7</v>
      </c>
      <c r="M296" s="5" t="s">
        <v>7</v>
      </c>
      <c r="N296" s="5" t="s">
        <v>7</v>
      </c>
      <c r="O296" s="4" t="s">
        <v>778</v>
      </c>
      <c r="P296" s="4" t="s">
        <v>7834</v>
      </c>
      <c r="R296" t="b">
        <v>1</v>
      </c>
    </row>
    <row r="297" spans="1:18">
      <c r="A297" t="s">
        <v>3010</v>
      </c>
      <c r="B297" t="s">
        <v>7058</v>
      </c>
      <c r="C297" s="5" t="s">
        <v>7902</v>
      </c>
      <c r="D297" s="1">
        <v>1</v>
      </c>
      <c r="E297" s="1">
        <v>60</v>
      </c>
      <c r="F297" s="1">
        <v>279</v>
      </c>
      <c r="G297" s="1">
        <v>280</v>
      </c>
      <c r="H297" s="8" cm="1">
        <f t="array" ref="H297">_xlfn.LET(_xlpm.s,IFERROR(--F297,""),_xlpm.e,IFERROR(--G297,""),IF(OR(_xlpm.s="",_xlpm.e="",_xlpm.e&lt;_xlpm.s),"",_xlfn.LET(_xlpm.p,_xlfn.SEQUENCE(_xlpm.e-_xlpm.s+1,1,_xlpm.s,1),SUM(1/COUNTIFS($D:$D,D297,$E:$E,E297,$F:$F,"&lt;&gt;N/A",$G:$G,"&lt;&gt;N/A",$F:$F,"&lt;="&amp;_xlpm.p,$G:$G,"&gt;="&amp;_xlpm.p)))))</f>
        <v>1.3333333333333333</v>
      </c>
      <c r="I297" s="4" t="s">
        <v>774</v>
      </c>
      <c r="J297" t="s">
        <v>839</v>
      </c>
      <c r="K297" s="5" t="s">
        <v>7</v>
      </c>
      <c r="L297" s="5" t="s">
        <v>7</v>
      </c>
      <c r="M297" s="5" t="s">
        <v>7</v>
      </c>
      <c r="N297" s="5" t="s">
        <v>7</v>
      </c>
      <c r="O297" s="4" t="s">
        <v>778</v>
      </c>
      <c r="P297" s="4" t="s">
        <v>7834</v>
      </c>
      <c r="R297" t="b">
        <v>0</v>
      </c>
    </row>
    <row r="298" spans="1:18">
      <c r="A298" t="s">
        <v>3010</v>
      </c>
      <c r="B298" t="s">
        <v>7059</v>
      </c>
      <c r="C298" s="5" t="s">
        <v>7902</v>
      </c>
      <c r="D298" s="1">
        <v>1</v>
      </c>
      <c r="E298" s="1">
        <v>60</v>
      </c>
      <c r="F298" s="1">
        <v>280</v>
      </c>
      <c r="G298" s="1">
        <v>280</v>
      </c>
      <c r="H298" s="8" cm="1">
        <f t="array" ref="H298">_xlfn.LET(_xlpm.s,IFERROR(--F298,""),_xlpm.e,IFERROR(--G298,""),IF(OR(_xlpm.s="",_xlpm.e="",_xlpm.e&lt;_xlpm.s),"",_xlfn.LET(_xlpm.p,_xlfn.SEQUENCE(_xlpm.e-_xlpm.s+1,1,_xlpm.s,1),SUM(1/COUNTIFS($D:$D,D298,$E:$E,E298,$F:$F,"&lt;&gt;N/A",$G:$G,"&lt;&gt;N/A",$F:$F,"&lt;="&amp;_xlpm.p,$G:$G,"&gt;="&amp;_xlpm.p)))))</f>
        <v>0.33333333333333331</v>
      </c>
      <c r="I298" s="4" t="s">
        <v>774</v>
      </c>
      <c r="J298" t="s">
        <v>967</v>
      </c>
      <c r="K298" s="5" t="s">
        <v>7</v>
      </c>
      <c r="L298" s="5" t="s">
        <v>7</v>
      </c>
      <c r="M298" s="5" t="s">
        <v>7</v>
      </c>
      <c r="N298" s="4" t="s">
        <v>7</v>
      </c>
      <c r="O298" s="4" t="s">
        <v>7</v>
      </c>
      <c r="P298" s="4" t="s">
        <v>10162</v>
      </c>
      <c r="Q298" s="5" t="s">
        <v>6950</v>
      </c>
      <c r="R298" t="b">
        <v>1</v>
      </c>
    </row>
    <row r="299" spans="1:18">
      <c r="A299" t="s">
        <v>3010</v>
      </c>
      <c r="B299" t="s">
        <v>7060</v>
      </c>
      <c r="C299" s="5" t="s">
        <v>7902</v>
      </c>
      <c r="D299" s="1">
        <v>1</v>
      </c>
      <c r="E299" s="1">
        <v>60</v>
      </c>
      <c r="F299" s="1">
        <v>280</v>
      </c>
      <c r="G299" s="1">
        <v>280</v>
      </c>
      <c r="H299" s="8" cm="1">
        <f t="array" ref="H299">_xlfn.LET(_xlpm.s,IFERROR(--F299,""),_xlpm.e,IFERROR(--G299,""),IF(OR(_xlpm.s="",_xlpm.e="",_xlpm.e&lt;_xlpm.s),"",_xlfn.LET(_xlpm.p,_xlfn.SEQUENCE(_xlpm.e-_xlpm.s+1,1,_xlpm.s,1),SUM(1/COUNTIFS($D:$D,D299,$E:$E,E299,$F:$F,"&lt;&gt;N/A",$G:$G,"&lt;&gt;N/A",$F:$F,"&lt;="&amp;_xlpm.p,$G:$G,"&gt;="&amp;_xlpm.p)))))</f>
        <v>0.33333333333333331</v>
      </c>
      <c r="I299" s="4" t="s">
        <v>774</v>
      </c>
      <c r="J299" t="s">
        <v>968</v>
      </c>
      <c r="K299" s="5" t="s">
        <v>7</v>
      </c>
      <c r="L299" s="5" t="s">
        <v>7</v>
      </c>
      <c r="M299" s="5" t="s">
        <v>7</v>
      </c>
      <c r="N299" s="4" t="s">
        <v>7</v>
      </c>
      <c r="O299" s="4" t="s">
        <v>7</v>
      </c>
      <c r="P299" s="4" t="s">
        <v>10162</v>
      </c>
      <c r="Q299" s="5" t="s">
        <v>6950</v>
      </c>
      <c r="R299" t="b">
        <v>1</v>
      </c>
    </row>
    <row r="300" spans="1:18">
      <c r="A300" t="s">
        <v>3010</v>
      </c>
      <c r="B300" t="s">
        <v>7061</v>
      </c>
      <c r="C300" s="5" t="s">
        <v>7902</v>
      </c>
      <c r="D300" s="1">
        <v>1</v>
      </c>
      <c r="E300" s="1">
        <v>60</v>
      </c>
      <c r="F300" s="1">
        <v>281</v>
      </c>
      <c r="G300" s="1">
        <v>282</v>
      </c>
      <c r="H300" s="8" cm="1">
        <f t="array" ref="H300">_xlfn.LET(_xlpm.s,IFERROR(--F300,""),_xlpm.e,IFERROR(--G300,""),IF(OR(_xlpm.s="",_xlpm.e="",_xlpm.e&lt;_xlpm.s),"",_xlfn.LET(_xlpm.p,_xlfn.SEQUENCE(_xlpm.e-_xlpm.s+1,1,_xlpm.s,1),SUM(1/COUNTIFS($D:$D,D300,$E:$E,E300,$F:$F,"&lt;&gt;N/A",$G:$G,"&lt;&gt;N/A",$F:$F,"&lt;="&amp;_xlpm.p,$G:$G,"&gt;="&amp;_xlpm.p)))))</f>
        <v>1.3333333333333333</v>
      </c>
      <c r="I300" s="4" t="s">
        <v>782</v>
      </c>
      <c r="J300" t="s">
        <v>969</v>
      </c>
      <c r="K300" s="5" t="s">
        <v>7</v>
      </c>
      <c r="L300" s="5" t="s">
        <v>7</v>
      </c>
      <c r="M300" t="s">
        <v>7250</v>
      </c>
      <c r="N300" s="5" t="s">
        <v>7281</v>
      </c>
      <c r="O300" s="4" t="s">
        <v>11522</v>
      </c>
      <c r="P300" s="4" t="s">
        <v>8021</v>
      </c>
      <c r="R300" t="b">
        <v>1</v>
      </c>
    </row>
    <row r="301" spans="1:18">
      <c r="A301" t="s">
        <v>3010</v>
      </c>
      <c r="B301" t="s">
        <v>7145</v>
      </c>
      <c r="C301" s="5" t="s">
        <v>7902</v>
      </c>
      <c r="D301" s="1">
        <v>1</v>
      </c>
      <c r="E301" s="1">
        <v>60</v>
      </c>
      <c r="F301" s="1">
        <v>282</v>
      </c>
      <c r="G301" s="1">
        <v>282</v>
      </c>
      <c r="H301" s="8" cm="1">
        <f t="array" ref="H301">_xlfn.LET(_xlpm.s,IFERROR(--F301,""),_xlpm.e,IFERROR(--G301,""),IF(OR(_xlpm.s="",_xlpm.e="",_xlpm.e&lt;_xlpm.s),"",_xlfn.LET(_xlpm.p,_xlfn.SEQUENCE(_xlpm.e-_xlpm.s+1,1,_xlpm.s,1),SUM(1/COUNTIFS($D:$D,D301,$E:$E,E301,$F:$F,"&lt;&gt;N/A",$G:$G,"&lt;&gt;N/A",$F:$F,"&lt;="&amp;_xlpm.p,$G:$G,"&gt;="&amp;_xlpm.p)))))</f>
        <v>0.33333333333333331</v>
      </c>
      <c r="I301" s="4" t="s">
        <v>782</v>
      </c>
      <c r="J301" t="s">
        <v>970</v>
      </c>
      <c r="K301" s="5" t="s">
        <v>7</v>
      </c>
      <c r="L301" s="5" t="s">
        <v>7</v>
      </c>
      <c r="M301" s="5" t="s">
        <v>7</v>
      </c>
      <c r="N301" s="5" t="s">
        <v>7</v>
      </c>
      <c r="O301" s="4" t="s">
        <v>11522</v>
      </c>
      <c r="P301" s="4" t="s">
        <v>8021</v>
      </c>
      <c r="Q301" s="5" t="s">
        <v>11524</v>
      </c>
      <c r="R301" t="b">
        <v>1</v>
      </c>
    </row>
    <row r="302" spans="1:18">
      <c r="A302" t="s">
        <v>3010</v>
      </c>
      <c r="B302" t="s">
        <v>10558</v>
      </c>
      <c r="C302" s="5" t="s">
        <v>7902</v>
      </c>
      <c r="D302" s="1">
        <v>1</v>
      </c>
      <c r="E302" s="1">
        <v>60</v>
      </c>
      <c r="F302" s="1">
        <v>282</v>
      </c>
      <c r="G302" s="1">
        <v>282</v>
      </c>
      <c r="H302" s="8" cm="1">
        <f t="array" ref="H302">_xlfn.LET(_xlpm.s,IFERROR(--F302,""),_xlpm.e,IFERROR(--G302,""),IF(OR(_xlpm.s="",_xlpm.e="",_xlpm.e&lt;_xlpm.s),"",_xlfn.LET(_xlpm.p,_xlfn.SEQUENCE(_xlpm.e-_xlpm.s+1,1,_xlpm.s,1),SUM(1/COUNTIFS($D:$D,D302,$E:$E,E302,$F:$F,"&lt;&gt;N/A",$G:$G,"&lt;&gt;N/A",$F:$F,"&lt;="&amp;_xlpm.p,$G:$G,"&gt;="&amp;_xlpm.p)))))</f>
        <v>0.33333333333333331</v>
      </c>
      <c r="I302" s="4" t="s">
        <v>782</v>
      </c>
      <c r="J302" t="s">
        <v>4393</v>
      </c>
      <c r="K302" s="5" t="s">
        <v>7</v>
      </c>
      <c r="L302" s="5" t="s">
        <v>4563</v>
      </c>
      <c r="M302" s="5" t="s">
        <v>7</v>
      </c>
      <c r="N302" s="5" t="s">
        <v>2391</v>
      </c>
      <c r="O302" s="4" t="s">
        <v>5072</v>
      </c>
      <c r="P302" s="4" t="s">
        <v>8021</v>
      </c>
      <c r="R302" t="b">
        <v>1</v>
      </c>
    </row>
    <row r="303" spans="1:18">
      <c r="A303" t="s">
        <v>3010</v>
      </c>
      <c r="B303" t="s">
        <v>7146</v>
      </c>
      <c r="C303" s="5" t="s">
        <v>7903</v>
      </c>
      <c r="D303" s="1">
        <v>1</v>
      </c>
      <c r="E303" s="1" t="s">
        <v>976</v>
      </c>
      <c r="F303" s="1">
        <v>283</v>
      </c>
      <c r="G303" s="1">
        <v>284</v>
      </c>
      <c r="H303" s="8" cm="1">
        <f t="array" ref="H303">_xlfn.LET(_xlpm.s,IFERROR(--F303,""),_xlpm.e,IFERROR(--G303,""),IF(OR(_xlpm.s="",_xlpm.e="",_xlpm.e&lt;_xlpm.s),"",_xlfn.LET(_xlpm.p,_xlfn.SEQUENCE(_xlpm.e-_xlpm.s+1,1,_xlpm.s,1),SUM(1/COUNTIFS($D:$D,D303,$E:$E,E303,$F:$F,"&lt;&gt;N/A",$G:$G,"&lt;&gt;N/A",$F:$F,"&lt;="&amp;_xlpm.p,$G:$G,"&gt;="&amp;_xlpm.p)))))</f>
        <v>1.5</v>
      </c>
      <c r="I303" s="4" t="s">
        <v>774</v>
      </c>
      <c r="J303" t="s">
        <v>839</v>
      </c>
      <c r="K303" s="5" t="s">
        <v>7</v>
      </c>
      <c r="L303" s="5" t="s">
        <v>7</v>
      </c>
      <c r="M303" s="5" t="s">
        <v>7</v>
      </c>
      <c r="N303" s="5" t="s">
        <v>7</v>
      </c>
      <c r="O303" s="4" t="s">
        <v>778</v>
      </c>
      <c r="P303" s="4" t="s">
        <v>7834</v>
      </c>
      <c r="R303" t="b">
        <v>0</v>
      </c>
    </row>
    <row r="304" spans="1:18">
      <c r="A304" t="s">
        <v>3010</v>
      </c>
      <c r="B304" t="s">
        <v>10559</v>
      </c>
      <c r="C304" s="5" t="s">
        <v>7903</v>
      </c>
      <c r="D304" s="1">
        <v>1</v>
      </c>
      <c r="E304" s="1" t="s">
        <v>976</v>
      </c>
      <c r="F304" s="1">
        <v>284</v>
      </c>
      <c r="G304" s="1">
        <v>286</v>
      </c>
      <c r="H304" s="8" cm="1">
        <f t="array" ref="H304">_xlfn.LET(_xlpm.s,IFERROR(--F304,""),_xlpm.e,IFERROR(--G304,""),IF(OR(_xlpm.s="",_xlpm.e="",_xlpm.e&lt;_xlpm.s),"",_xlfn.LET(_xlpm.p,_xlfn.SEQUENCE(_xlpm.e-_xlpm.s+1,1,_xlpm.s,1),SUM(1/COUNTIFS($D:$D,D304,$E:$E,E304,$F:$F,"&lt;&gt;N/A",$G:$G,"&lt;&gt;N/A",$F:$F,"&lt;="&amp;_xlpm.p,$G:$G,"&gt;="&amp;_xlpm.p)))))</f>
        <v>2.5</v>
      </c>
      <c r="I304" s="4" t="s">
        <v>774</v>
      </c>
      <c r="J304" t="s">
        <v>4391</v>
      </c>
      <c r="K304" s="5" t="s">
        <v>973</v>
      </c>
      <c r="L304" s="5" t="s">
        <v>7</v>
      </c>
      <c r="M304" s="5" t="s">
        <v>7</v>
      </c>
      <c r="N304" s="5" t="s">
        <v>7</v>
      </c>
      <c r="O304" s="4" t="s">
        <v>778</v>
      </c>
      <c r="P304" s="4" t="s">
        <v>7834</v>
      </c>
      <c r="R304" t="b">
        <v>1</v>
      </c>
    </row>
    <row r="305" spans="1:18">
      <c r="A305" t="s">
        <v>3010</v>
      </c>
      <c r="B305" t="s">
        <v>10560</v>
      </c>
      <c r="C305" s="5" t="s">
        <v>10285</v>
      </c>
      <c r="D305" s="1">
        <v>1</v>
      </c>
      <c r="E305" s="1" t="s">
        <v>977</v>
      </c>
      <c r="F305" s="1">
        <v>287</v>
      </c>
      <c r="G305" s="1">
        <v>300</v>
      </c>
      <c r="H305" s="8" cm="1">
        <f t="array" ref="H305">_xlfn.LET(_xlpm.s,IFERROR(--F305,""),_xlpm.e,IFERROR(--G305,""),IF(OR(_xlpm.s="",_xlpm.e="",_xlpm.e&lt;_xlpm.s),"",_xlfn.LET(_xlpm.p,_xlfn.SEQUENCE(_xlpm.e-_xlpm.s+1,1,_xlpm.s,1),SUM(1/COUNTIFS($D:$D,D305,$E:$E,E305,$F:$F,"&lt;&gt;N/A",$G:$G,"&lt;&gt;N/A",$F:$F,"&lt;="&amp;_xlpm.p,$G:$G,"&gt;="&amp;_xlpm.p)))))</f>
        <v>14</v>
      </c>
      <c r="I305" s="4" t="s">
        <v>774</v>
      </c>
      <c r="J305" t="s">
        <v>971</v>
      </c>
      <c r="K305" s="5" t="s">
        <v>973</v>
      </c>
      <c r="L305" s="5" t="s">
        <v>7</v>
      </c>
      <c r="M305" s="5" t="s">
        <v>7</v>
      </c>
      <c r="N305" s="5" t="s">
        <v>7</v>
      </c>
      <c r="O305" s="4" t="s">
        <v>778</v>
      </c>
      <c r="P305" s="4" t="s">
        <v>7834</v>
      </c>
      <c r="R305" t="b">
        <v>1</v>
      </c>
    </row>
    <row r="306" spans="1:18">
      <c r="A306" t="s">
        <v>3010</v>
      </c>
      <c r="B306" t="s">
        <v>10561</v>
      </c>
      <c r="C306" s="5" t="s">
        <v>7931</v>
      </c>
      <c r="D306" s="1">
        <v>1</v>
      </c>
      <c r="E306" s="1" t="s">
        <v>981</v>
      </c>
      <c r="F306" s="1">
        <v>301</v>
      </c>
      <c r="G306" s="1">
        <v>304</v>
      </c>
      <c r="H306" s="8" cm="1">
        <f t="array" ref="H306">_xlfn.LET(_xlpm.s,IFERROR(--F306,""),_xlpm.e,IFERROR(--G306,""),IF(OR(_xlpm.s="",_xlpm.e="",_xlpm.e&lt;_xlpm.s),"",_xlfn.LET(_xlpm.p,_xlfn.SEQUENCE(_xlpm.e-_xlpm.s+1,1,_xlpm.s,1),SUM(1/COUNTIFS($D:$D,D306,$E:$E,E306,$F:$F,"&lt;&gt;N/A",$G:$G,"&lt;&gt;N/A",$F:$F,"&lt;="&amp;_xlpm.p,$G:$G,"&gt;="&amp;_xlpm.p)))))</f>
        <v>4</v>
      </c>
      <c r="I306" s="4" t="s">
        <v>774</v>
      </c>
      <c r="J306" t="s">
        <v>971</v>
      </c>
      <c r="K306" s="5" t="s">
        <v>973</v>
      </c>
      <c r="L306" s="5" t="s">
        <v>7</v>
      </c>
      <c r="M306" s="5" t="s">
        <v>7</v>
      </c>
      <c r="N306" s="5" t="s">
        <v>7</v>
      </c>
      <c r="O306" s="4" t="s">
        <v>778</v>
      </c>
      <c r="P306" s="4" t="s">
        <v>7834</v>
      </c>
      <c r="R306" t="b">
        <v>1</v>
      </c>
    </row>
    <row r="307" spans="1:18">
      <c r="A307" t="s">
        <v>3010</v>
      </c>
      <c r="B307" t="s">
        <v>7147</v>
      </c>
      <c r="C307" s="5" t="s">
        <v>7932</v>
      </c>
      <c r="D307" s="1">
        <v>1</v>
      </c>
      <c r="E307" s="1" t="s">
        <v>980</v>
      </c>
      <c r="F307" s="1">
        <v>305</v>
      </c>
      <c r="G307" s="1">
        <v>306</v>
      </c>
      <c r="H307" s="8" cm="1">
        <f t="array" ref="H307">_xlfn.LET(_xlpm.s,IFERROR(--F307,""),_xlpm.e,IFERROR(--G307,""),IF(OR(_xlpm.s="",_xlpm.e="",_xlpm.e&lt;_xlpm.s),"",_xlfn.LET(_xlpm.p,_xlfn.SEQUENCE(_xlpm.e-_xlpm.s+1,1,_xlpm.s,1),SUM(1/COUNTIFS($D:$D,D307,$E:$E,E307,$F:$F,"&lt;&gt;N/A",$G:$G,"&lt;&gt;N/A",$F:$F,"&lt;="&amp;_xlpm.p,$G:$G,"&gt;="&amp;_xlpm.p)))))</f>
        <v>1.5</v>
      </c>
      <c r="I307" s="4" t="s">
        <v>774</v>
      </c>
      <c r="J307" t="s">
        <v>972</v>
      </c>
      <c r="K307" s="5" t="s">
        <v>973</v>
      </c>
      <c r="L307" s="5" t="s">
        <v>7</v>
      </c>
      <c r="M307" s="5" t="s">
        <v>7</v>
      </c>
      <c r="N307" s="5" t="s">
        <v>7</v>
      </c>
      <c r="O307" s="4" t="s">
        <v>778</v>
      </c>
      <c r="P307" s="4" t="s">
        <v>7834</v>
      </c>
      <c r="R307" t="b">
        <v>1</v>
      </c>
    </row>
    <row r="308" spans="1:18">
      <c r="A308" t="s">
        <v>3010</v>
      </c>
      <c r="B308" t="s">
        <v>10562</v>
      </c>
      <c r="C308" s="5" t="s">
        <v>7932</v>
      </c>
      <c r="D308" s="1">
        <v>1</v>
      </c>
      <c r="E308" s="1" t="s">
        <v>980</v>
      </c>
      <c r="F308" s="1">
        <v>306</v>
      </c>
      <c r="G308" s="1">
        <v>308</v>
      </c>
      <c r="H308" s="8" cm="1">
        <f t="array" ref="H308">_xlfn.LET(_xlpm.s,IFERROR(--F308,""),_xlpm.e,IFERROR(--G308,""),IF(OR(_xlpm.s="",_xlpm.e="",_xlpm.e&lt;_xlpm.s),"",_xlfn.LET(_xlpm.p,_xlfn.SEQUENCE(_xlpm.e-_xlpm.s+1,1,_xlpm.s,1),SUM(1/COUNTIFS($D:$D,D308,$E:$E,E308,$F:$F,"&lt;&gt;N/A",$G:$G,"&lt;&gt;N/A",$F:$F,"&lt;="&amp;_xlpm.p,$G:$G,"&gt;="&amp;_xlpm.p)))))</f>
        <v>2.5</v>
      </c>
      <c r="I308" s="4" t="s">
        <v>782</v>
      </c>
      <c r="J308" t="s">
        <v>974</v>
      </c>
      <c r="K308" s="5" t="s">
        <v>7</v>
      </c>
      <c r="L308" s="5" t="s">
        <v>7</v>
      </c>
      <c r="M308" t="s">
        <v>7250</v>
      </c>
      <c r="N308" s="5" t="s">
        <v>7281</v>
      </c>
      <c r="O308" s="4" t="s">
        <v>11522</v>
      </c>
      <c r="P308" s="4" t="s">
        <v>8021</v>
      </c>
      <c r="R308" t="b">
        <v>1</v>
      </c>
    </row>
    <row r="309" spans="1:18">
      <c r="A309" t="s">
        <v>3010</v>
      </c>
      <c r="B309" t="s">
        <v>7148</v>
      </c>
      <c r="C309" s="5" t="s">
        <v>7933</v>
      </c>
      <c r="D309" s="1">
        <v>1</v>
      </c>
      <c r="E309" s="1" t="s">
        <v>979</v>
      </c>
      <c r="F309" s="1">
        <v>309</v>
      </c>
      <c r="G309" s="1">
        <v>309</v>
      </c>
      <c r="H309" s="8" cm="1">
        <f t="array" ref="H309">_xlfn.LET(_xlpm.s,IFERROR(--F309,""),_xlpm.e,IFERROR(--G309,""),IF(OR(_xlpm.s="",_xlpm.e="",_xlpm.e&lt;_xlpm.s),"",_xlfn.LET(_xlpm.p,_xlfn.SEQUENCE(_xlpm.e-_xlpm.s+1,1,_xlpm.s,1),SUM(1/COUNTIFS($D:$D,D309,$E:$E,E309,$F:$F,"&lt;&gt;N/A",$G:$G,"&lt;&gt;N/A",$F:$F,"&lt;="&amp;_xlpm.p,$G:$G,"&gt;="&amp;_xlpm.p)))))</f>
        <v>0.5</v>
      </c>
      <c r="I309" s="4" t="s">
        <v>774</v>
      </c>
      <c r="J309" t="s">
        <v>839</v>
      </c>
      <c r="K309" s="5" t="s">
        <v>7</v>
      </c>
      <c r="L309" s="5" t="s">
        <v>7</v>
      </c>
      <c r="M309" s="5" t="s">
        <v>7</v>
      </c>
      <c r="N309" s="5" t="s">
        <v>7</v>
      </c>
      <c r="O309" s="4" t="s">
        <v>778</v>
      </c>
      <c r="P309" s="4" t="s">
        <v>7834</v>
      </c>
      <c r="R309" t="b">
        <v>0</v>
      </c>
    </row>
    <row r="310" spans="1:18">
      <c r="A310" t="s">
        <v>3010</v>
      </c>
      <c r="B310" t="s">
        <v>10563</v>
      </c>
      <c r="C310" s="5" t="s">
        <v>7933</v>
      </c>
      <c r="D310" s="1">
        <v>1</v>
      </c>
      <c r="E310" s="1" t="s">
        <v>979</v>
      </c>
      <c r="F310" s="1">
        <v>309</v>
      </c>
      <c r="G310" s="1">
        <v>312</v>
      </c>
      <c r="H310" s="8" cm="1">
        <f t="array" ref="H310">_xlfn.LET(_xlpm.s,IFERROR(--F310,""),_xlpm.e,IFERROR(--G310,""),IF(OR(_xlpm.s="",_xlpm.e="",_xlpm.e&lt;_xlpm.s),"",_xlfn.LET(_xlpm.p,_xlfn.SEQUENCE(_xlpm.e-_xlpm.s+1,1,_xlpm.s,1),SUM(1/COUNTIFS($D:$D,D310,$E:$E,E310,$F:$F,"&lt;&gt;N/A",$G:$G,"&lt;&gt;N/A",$F:$F,"&lt;="&amp;_xlpm.p,$G:$G,"&gt;="&amp;_xlpm.p)))))</f>
        <v>3.5</v>
      </c>
      <c r="I310" s="4" t="s">
        <v>774</v>
      </c>
      <c r="J310" t="s">
        <v>11416</v>
      </c>
      <c r="K310" t="s">
        <v>644</v>
      </c>
      <c r="L310" s="5" t="s">
        <v>7</v>
      </c>
      <c r="M310" s="5" t="s">
        <v>7</v>
      </c>
      <c r="N310" s="5" t="s">
        <v>7</v>
      </c>
      <c r="O310" s="4" t="s">
        <v>778</v>
      </c>
      <c r="P310" s="4" t="s">
        <v>7834</v>
      </c>
      <c r="R310" t="b">
        <v>1</v>
      </c>
    </row>
    <row r="311" spans="1:18">
      <c r="A311" t="s">
        <v>3010</v>
      </c>
      <c r="B311" t="s">
        <v>7062</v>
      </c>
      <c r="C311" s="5" t="s">
        <v>7934</v>
      </c>
      <c r="D311" s="1">
        <v>1</v>
      </c>
      <c r="E311" s="1" t="s">
        <v>978</v>
      </c>
      <c r="F311" s="1">
        <v>313</v>
      </c>
      <c r="G311" s="1">
        <v>313</v>
      </c>
      <c r="H311" s="8" cm="1">
        <f t="array" ref="H311">_xlfn.LET(_xlpm.s,IFERROR(--F311,""),_xlpm.e,IFERROR(--G311,""),IF(OR(_xlpm.s="",_xlpm.e="",_xlpm.e&lt;_xlpm.s),"",_xlfn.LET(_xlpm.p,_xlfn.SEQUENCE(_xlpm.e-_xlpm.s+1,1,_xlpm.s,1),SUM(1/COUNTIFS($D:$D,D311,$E:$E,E311,$F:$F,"&lt;&gt;N/A",$G:$G,"&lt;&gt;N/A",$F:$F,"&lt;="&amp;_xlpm.p,$G:$G,"&gt;="&amp;_xlpm.p)))))</f>
        <v>0.5</v>
      </c>
      <c r="I311" s="4" t="s">
        <v>774</v>
      </c>
      <c r="J311" t="s">
        <v>975</v>
      </c>
      <c r="K311" t="s">
        <v>644</v>
      </c>
      <c r="L311" s="5" t="s">
        <v>7</v>
      </c>
      <c r="M311" s="5" t="s">
        <v>7</v>
      </c>
      <c r="N311" s="5" t="s">
        <v>7</v>
      </c>
      <c r="O311" s="4" t="s">
        <v>778</v>
      </c>
      <c r="P311" s="4" t="s">
        <v>7834</v>
      </c>
      <c r="R311" t="b">
        <v>1</v>
      </c>
    </row>
    <row r="312" spans="1:18">
      <c r="A312" t="s">
        <v>3010</v>
      </c>
      <c r="B312" t="s">
        <v>7063</v>
      </c>
      <c r="C312" s="5" t="s">
        <v>7934</v>
      </c>
      <c r="D312" s="1">
        <v>1</v>
      </c>
      <c r="E312" s="1" t="s">
        <v>978</v>
      </c>
      <c r="F312" s="1">
        <v>313</v>
      </c>
      <c r="G312" s="1">
        <v>316</v>
      </c>
      <c r="H312" s="8" cm="1">
        <f t="array" ref="H312">_xlfn.LET(_xlpm.s,IFERROR(--F312,""),_xlpm.e,IFERROR(--G312,""),IF(OR(_xlpm.s="",_xlpm.e="",_xlpm.e&lt;_xlpm.s),"",_xlfn.LET(_xlpm.p,_xlfn.SEQUENCE(_xlpm.e-_xlpm.s+1,1,_xlpm.s,1),SUM(1/COUNTIFS($D:$D,D312,$E:$E,E312,$F:$F,"&lt;&gt;N/A",$G:$G,"&lt;&gt;N/A",$F:$F,"&lt;="&amp;_xlpm.p,$G:$G,"&gt;="&amp;_xlpm.p)))))</f>
        <v>2.8333333333333335</v>
      </c>
      <c r="I312" s="4" t="s">
        <v>782</v>
      </c>
      <c r="J312" t="s">
        <v>974</v>
      </c>
      <c r="K312" s="5" t="s">
        <v>7</v>
      </c>
      <c r="L312" s="5" t="s">
        <v>7</v>
      </c>
      <c r="M312" t="s">
        <v>7250</v>
      </c>
      <c r="N312" s="5" t="s">
        <v>7281</v>
      </c>
      <c r="O312" s="4" t="s">
        <v>5072</v>
      </c>
      <c r="P312" s="4" t="s">
        <v>8021</v>
      </c>
      <c r="R312" t="b">
        <v>1</v>
      </c>
    </row>
    <row r="313" spans="1:18">
      <c r="A313" t="s">
        <v>3010</v>
      </c>
      <c r="B313" t="s">
        <v>7149</v>
      </c>
      <c r="C313" s="5" t="s">
        <v>7934</v>
      </c>
      <c r="D313" s="1">
        <v>1</v>
      </c>
      <c r="E313" s="1" t="s">
        <v>978</v>
      </c>
      <c r="F313" s="1">
        <v>316</v>
      </c>
      <c r="G313" s="1">
        <v>316</v>
      </c>
      <c r="H313" s="8" cm="1">
        <f t="array" ref="H313">_xlfn.LET(_xlpm.s,IFERROR(--F313,""),_xlpm.e,IFERROR(--G313,""),IF(OR(_xlpm.s="",_xlpm.e="",_xlpm.e&lt;_xlpm.s),"",_xlfn.LET(_xlpm.p,_xlfn.SEQUENCE(_xlpm.e-_xlpm.s+1,1,_xlpm.s,1),SUM(1/COUNTIFS($D:$D,D313,$E:$E,E313,$F:$F,"&lt;&gt;N/A",$G:$G,"&lt;&gt;N/A",$F:$F,"&lt;="&amp;_xlpm.p,$G:$G,"&gt;="&amp;_xlpm.p)))))</f>
        <v>0.33333333333333331</v>
      </c>
      <c r="I313" s="4" t="s">
        <v>782</v>
      </c>
      <c r="J313" t="s">
        <v>982</v>
      </c>
      <c r="K313" s="5" t="s">
        <v>7</v>
      </c>
      <c r="L313" s="5" t="s">
        <v>2181</v>
      </c>
      <c r="M313" t="s">
        <v>7174</v>
      </c>
      <c r="N313" s="5" t="s">
        <v>2361</v>
      </c>
      <c r="O313" s="4" t="s">
        <v>5072</v>
      </c>
      <c r="P313" s="4" t="s">
        <v>8021</v>
      </c>
      <c r="R313" t="b">
        <v>1</v>
      </c>
    </row>
    <row r="314" spans="1:18">
      <c r="A314" t="s">
        <v>3010</v>
      </c>
      <c r="B314" t="s">
        <v>10564</v>
      </c>
      <c r="C314" s="5" t="s">
        <v>7934</v>
      </c>
      <c r="D314" s="1">
        <v>1</v>
      </c>
      <c r="E314" s="1" t="s">
        <v>978</v>
      </c>
      <c r="F314" s="1">
        <v>316</v>
      </c>
      <c r="G314" s="1">
        <v>316</v>
      </c>
      <c r="H314" s="8" cm="1">
        <f t="array" ref="H314">_xlfn.LET(_xlpm.s,IFERROR(--F314,""),_xlpm.e,IFERROR(--G314,""),IF(OR(_xlpm.s="",_xlpm.e="",_xlpm.e&lt;_xlpm.s),"",_xlfn.LET(_xlpm.p,_xlfn.SEQUENCE(_xlpm.e-_xlpm.s+1,1,_xlpm.s,1),SUM(1/COUNTIFS($D:$D,D314,$E:$E,E314,$F:$F,"&lt;&gt;N/A",$G:$G,"&lt;&gt;N/A",$F:$F,"&lt;="&amp;_xlpm.p,$G:$G,"&gt;="&amp;_xlpm.p)))))</f>
        <v>0.33333333333333331</v>
      </c>
      <c r="I314" s="4" t="s">
        <v>782</v>
      </c>
      <c r="J314" s="5" t="s">
        <v>4394</v>
      </c>
      <c r="K314" s="5" t="s">
        <v>7</v>
      </c>
      <c r="L314" s="5" t="s">
        <v>7</v>
      </c>
      <c r="M314" s="5" t="s">
        <v>7</v>
      </c>
      <c r="N314" s="5" t="s">
        <v>7</v>
      </c>
      <c r="O314" s="4" t="s">
        <v>778</v>
      </c>
      <c r="P314" s="4" t="s">
        <v>7834</v>
      </c>
      <c r="R314" t="b">
        <v>1</v>
      </c>
    </row>
    <row r="315" spans="1:18">
      <c r="A315" t="s">
        <v>3010</v>
      </c>
      <c r="B315" t="s">
        <v>7064</v>
      </c>
      <c r="C315" s="5" t="s">
        <v>10284</v>
      </c>
      <c r="D315" s="1">
        <v>1</v>
      </c>
      <c r="E315" s="1" t="s">
        <v>983</v>
      </c>
      <c r="F315" s="1">
        <v>317</v>
      </c>
      <c r="G315" s="1">
        <v>324</v>
      </c>
      <c r="H315" s="8" cm="1">
        <f t="array" ref="H315">_xlfn.LET(_xlpm.s,IFERROR(--F315,""),_xlpm.e,IFERROR(--G315,""),IF(OR(_xlpm.s="",_xlpm.e="",_xlpm.e&lt;_xlpm.s),"",_xlfn.LET(_xlpm.p,_xlfn.SEQUENCE(_xlpm.e-_xlpm.s+1,1,_xlpm.s,1),SUM(1/COUNTIFS($D:$D,D315,$E:$E,E315,$F:$F,"&lt;&gt;N/A",$G:$G,"&lt;&gt;N/A",$F:$F,"&lt;="&amp;_xlpm.p,$G:$G,"&gt;="&amp;_xlpm.p)))))</f>
        <v>7.25</v>
      </c>
      <c r="I315" s="4" t="s">
        <v>774</v>
      </c>
      <c r="J315" s="5" t="s">
        <v>4397</v>
      </c>
      <c r="K315" s="5" t="s">
        <v>11509</v>
      </c>
      <c r="L315" s="5" t="s">
        <v>7</v>
      </c>
      <c r="M315" s="5" t="s">
        <v>7</v>
      </c>
      <c r="N315" s="5" t="s">
        <v>7</v>
      </c>
      <c r="O315" s="4" t="s">
        <v>778</v>
      </c>
      <c r="P315" s="4" t="s">
        <v>7834</v>
      </c>
      <c r="R315" t="b">
        <v>1</v>
      </c>
    </row>
    <row r="316" spans="1:18">
      <c r="A316" t="s">
        <v>3010</v>
      </c>
      <c r="B316" t="s">
        <v>7065</v>
      </c>
      <c r="C316" s="5" t="s">
        <v>10284</v>
      </c>
      <c r="D316" s="1">
        <v>1</v>
      </c>
      <c r="E316" s="1" t="s">
        <v>983</v>
      </c>
      <c r="F316" s="1">
        <v>324</v>
      </c>
      <c r="G316" s="1">
        <v>324</v>
      </c>
      <c r="H316" s="8" cm="1">
        <f t="array" ref="H316">_xlfn.LET(_xlpm.s,IFERROR(--F316,""),_xlpm.e,IFERROR(--G316,""),IF(OR(_xlpm.s="",_xlpm.e="",_xlpm.e&lt;_xlpm.s),"",_xlfn.LET(_xlpm.p,_xlfn.SEQUENCE(_xlpm.e-_xlpm.s+1,1,_xlpm.s,1),SUM(1/COUNTIFS($D:$D,D316,$E:$E,E316,$F:$F,"&lt;&gt;N/A",$G:$G,"&lt;&gt;N/A",$F:$F,"&lt;="&amp;_xlpm.p,$G:$G,"&gt;="&amp;_xlpm.p)))))</f>
        <v>0.25</v>
      </c>
      <c r="I316" s="4" t="s">
        <v>782</v>
      </c>
      <c r="J316" t="s">
        <v>984</v>
      </c>
      <c r="K316" s="5" t="s">
        <v>7</v>
      </c>
      <c r="L316" s="5" t="s">
        <v>2182</v>
      </c>
      <c r="M316" t="s">
        <v>6965</v>
      </c>
      <c r="N316" s="5" t="s">
        <v>2359</v>
      </c>
      <c r="O316" s="4" t="s">
        <v>11522</v>
      </c>
      <c r="P316" s="4" t="s">
        <v>8021</v>
      </c>
      <c r="R316" t="b">
        <v>1</v>
      </c>
    </row>
    <row r="317" spans="1:18">
      <c r="A317" t="s">
        <v>3010</v>
      </c>
      <c r="B317" t="s">
        <v>7150</v>
      </c>
      <c r="C317" s="5" t="s">
        <v>10284</v>
      </c>
      <c r="D317" s="1">
        <v>1</v>
      </c>
      <c r="E317" s="1" t="s">
        <v>983</v>
      </c>
      <c r="F317" s="1">
        <v>324</v>
      </c>
      <c r="G317" s="1">
        <v>324</v>
      </c>
      <c r="H317" s="8" cm="1">
        <f t="array" ref="H317">_xlfn.LET(_xlpm.s,IFERROR(--F317,""),_xlpm.e,IFERROR(--G317,""),IF(OR(_xlpm.s="",_xlpm.e="",_xlpm.e&lt;_xlpm.s),"",_xlfn.LET(_xlpm.p,_xlfn.SEQUENCE(_xlpm.e-_xlpm.s+1,1,_xlpm.s,1),SUM(1/COUNTIFS($D:$D,D317,$E:$E,E317,$F:$F,"&lt;&gt;N/A",$G:$G,"&lt;&gt;N/A",$F:$F,"&lt;="&amp;_xlpm.p,$G:$G,"&gt;="&amp;_xlpm.p)))))</f>
        <v>0.25</v>
      </c>
      <c r="I317" s="4" t="s">
        <v>782</v>
      </c>
      <c r="J317" t="s">
        <v>985</v>
      </c>
      <c r="K317" s="5" t="s">
        <v>7</v>
      </c>
      <c r="L317" s="5" t="s">
        <v>2183</v>
      </c>
      <c r="M317" t="s">
        <v>7249</v>
      </c>
      <c r="N317" s="5" t="s">
        <v>4485</v>
      </c>
      <c r="O317" s="4" t="s">
        <v>11522</v>
      </c>
      <c r="P317" s="4" t="s">
        <v>8021</v>
      </c>
      <c r="R317" t="b">
        <v>1</v>
      </c>
    </row>
    <row r="318" spans="1:18">
      <c r="A318" t="s">
        <v>3010</v>
      </c>
      <c r="B318" t="s">
        <v>10565</v>
      </c>
      <c r="C318" s="5" t="s">
        <v>10284</v>
      </c>
      <c r="D318" s="1">
        <v>1</v>
      </c>
      <c r="E318" s="1" t="s">
        <v>983</v>
      </c>
      <c r="F318" s="1">
        <v>324</v>
      </c>
      <c r="G318" s="1">
        <v>324</v>
      </c>
      <c r="H318" s="8" cm="1">
        <f t="array" ref="H318">_xlfn.LET(_xlpm.s,IFERROR(--F318,""),_xlpm.e,IFERROR(--G318,""),IF(OR(_xlpm.s="",_xlpm.e="",_xlpm.e&lt;_xlpm.s),"",_xlfn.LET(_xlpm.p,_xlfn.SEQUENCE(_xlpm.e-_xlpm.s+1,1,_xlpm.s,1),SUM(1/COUNTIFS($D:$D,D318,$E:$E,E318,$F:$F,"&lt;&gt;N/A",$G:$G,"&lt;&gt;N/A",$F:$F,"&lt;="&amp;_xlpm.p,$G:$G,"&gt;="&amp;_xlpm.p)))))</f>
        <v>0.25</v>
      </c>
      <c r="I318" s="4" t="s">
        <v>782</v>
      </c>
      <c r="J318" t="s">
        <v>986</v>
      </c>
      <c r="K318" s="5" t="s">
        <v>7</v>
      </c>
      <c r="L318" s="5" t="s">
        <v>2184</v>
      </c>
      <c r="M318" t="s">
        <v>5057</v>
      </c>
      <c r="N318" s="5" t="s">
        <v>7251</v>
      </c>
      <c r="O318" s="4" t="s">
        <v>5072</v>
      </c>
      <c r="P318" s="4" t="s">
        <v>8034</v>
      </c>
      <c r="R318" t="b">
        <v>1</v>
      </c>
    </row>
    <row r="319" spans="1:18">
      <c r="A319" t="s">
        <v>3010</v>
      </c>
      <c r="B319" t="s">
        <v>7066</v>
      </c>
      <c r="C319" s="5" t="s">
        <v>7941</v>
      </c>
      <c r="D319" s="1">
        <v>1</v>
      </c>
      <c r="E319" s="1" t="s">
        <v>987</v>
      </c>
      <c r="F319" s="1">
        <v>325</v>
      </c>
      <c r="G319" s="1">
        <v>326</v>
      </c>
      <c r="H319" s="8" cm="1">
        <f t="array" ref="H319">_xlfn.LET(_xlpm.s,IFERROR(--F319,""),_xlpm.e,IFERROR(--G319,""),IF(OR(_xlpm.s="",_xlpm.e="",_xlpm.e&lt;_xlpm.s),"",_xlfn.LET(_xlpm.p,_xlfn.SEQUENCE(_xlpm.e-_xlpm.s+1,1,_xlpm.s,1),SUM(1/COUNTIFS($D:$D,D319,$E:$E,E319,$F:$F,"&lt;&gt;N/A",$G:$G,"&lt;&gt;N/A",$F:$F,"&lt;="&amp;_xlpm.p,$G:$G,"&gt;="&amp;_xlpm.p)))))</f>
        <v>2</v>
      </c>
      <c r="I319" s="4" t="s">
        <v>774</v>
      </c>
      <c r="J319" t="s">
        <v>839</v>
      </c>
      <c r="K319" s="5" t="s">
        <v>7</v>
      </c>
      <c r="L319" s="5" t="s">
        <v>7</v>
      </c>
      <c r="M319" s="5" t="s">
        <v>7</v>
      </c>
      <c r="N319" s="5" t="s">
        <v>7</v>
      </c>
      <c r="O319" s="4" t="s">
        <v>778</v>
      </c>
      <c r="P319" s="4" t="s">
        <v>7834</v>
      </c>
      <c r="R319" t="b">
        <v>0</v>
      </c>
    </row>
    <row r="320" spans="1:18">
      <c r="A320" t="s">
        <v>3010</v>
      </c>
      <c r="B320" t="s">
        <v>7151</v>
      </c>
      <c r="C320" s="5" t="s">
        <v>7941</v>
      </c>
      <c r="D320" s="1">
        <v>1</v>
      </c>
      <c r="E320" s="1" t="s">
        <v>987</v>
      </c>
      <c r="F320" s="1">
        <v>327</v>
      </c>
      <c r="G320" s="1">
        <v>327</v>
      </c>
      <c r="H320" s="8" cm="1">
        <f t="array" ref="H320">_xlfn.LET(_xlpm.s,IFERROR(--F320,""),_xlpm.e,IFERROR(--G320,""),IF(OR(_xlpm.s="",_xlpm.e="",_xlpm.e&lt;_xlpm.s),"",_xlfn.LET(_xlpm.p,_xlfn.SEQUENCE(_xlpm.e-_xlpm.s+1,1,_xlpm.s,1),SUM(1/COUNTIFS($D:$D,D320,$E:$E,E320,$F:$F,"&lt;&gt;N/A",$G:$G,"&lt;&gt;N/A",$F:$F,"&lt;="&amp;_xlpm.p,$G:$G,"&gt;="&amp;_xlpm.p)))))</f>
        <v>0.5</v>
      </c>
      <c r="I320" s="4" t="s">
        <v>782</v>
      </c>
      <c r="J320" t="s">
        <v>7210</v>
      </c>
      <c r="K320" s="5" t="s">
        <v>7</v>
      </c>
      <c r="L320" s="5" t="s">
        <v>2185</v>
      </c>
      <c r="M320" t="s">
        <v>7188</v>
      </c>
      <c r="N320" s="5" t="s">
        <v>2360</v>
      </c>
      <c r="O320" s="4" t="s">
        <v>5072</v>
      </c>
      <c r="P320" s="4" t="s">
        <v>8021</v>
      </c>
      <c r="R320" t="b">
        <v>1</v>
      </c>
    </row>
    <row r="321" spans="1:18">
      <c r="A321" t="s">
        <v>3010</v>
      </c>
      <c r="B321" t="s">
        <v>10566</v>
      </c>
      <c r="C321" s="5" t="s">
        <v>7941</v>
      </c>
      <c r="D321" s="1">
        <v>1</v>
      </c>
      <c r="E321" s="1" t="s">
        <v>987</v>
      </c>
      <c r="F321" s="1">
        <v>327</v>
      </c>
      <c r="G321" s="1">
        <v>328</v>
      </c>
      <c r="H321" s="8" cm="1">
        <f t="array" ref="H321">_xlfn.LET(_xlpm.s,IFERROR(--F321,""),_xlpm.e,IFERROR(--G321,""),IF(OR(_xlpm.s="",_xlpm.e="",_xlpm.e&lt;_xlpm.s),"",_xlfn.LET(_xlpm.p,_xlfn.SEQUENCE(_xlpm.e-_xlpm.s+1,1,_xlpm.s,1),SUM(1/COUNTIFS($D:$D,D321,$E:$E,E321,$F:$F,"&lt;&gt;N/A",$G:$G,"&lt;&gt;N/A",$F:$F,"&lt;="&amp;_xlpm.p,$G:$G,"&gt;="&amp;_xlpm.p)))))</f>
        <v>1.5</v>
      </c>
      <c r="I321" s="4" t="s">
        <v>782</v>
      </c>
      <c r="J321" t="s">
        <v>988</v>
      </c>
      <c r="K321" s="5" t="s">
        <v>7</v>
      </c>
      <c r="L321" s="5" t="s">
        <v>2186</v>
      </c>
      <c r="M321" t="s">
        <v>5024</v>
      </c>
      <c r="N321" s="5" t="s">
        <v>7252</v>
      </c>
      <c r="O321" s="4" t="s">
        <v>5072</v>
      </c>
      <c r="P321" s="4" t="s">
        <v>8021</v>
      </c>
      <c r="R321" t="b">
        <v>1</v>
      </c>
    </row>
    <row r="322" spans="1:18">
      <c r="A322" t="s">
        <v>3010</v>
      </c>
      <c r="B322" t="s">
        <v>7067</v>
      </c>
      <c r="C322" s="5" t="s">
        <v>7942</v>
      </c>
      <c r="D322" s="1">
        <v>1</v>
      </c>
      <c r="E322" s="1" t="s">
        <v>989</v>
      </c>
      <c r="F322" s="1">
        <v>329</v>
      </c>
      <c r="G322" s="1">
        <v>331</v>
      </c>
      <c r="H322" s="8" cm="1">
        <f t="array" ref="H322">_xlfn.LET(_xlpm.s,IFERROR(--F322,""),_xlpm.e,IFERROR(--G322,""),IF(OR(_xlpm.s="",_xlpm.e="",_xlpm.e&lt;_xlpm.s),"",_xlfn.LET(_xlpm.p,_xlfn.SEQUENCE(_xlpm.e-_xlpm.s+1,1,_xlpm.s,1),SUM(1/COUNTIFS($D:$D,D322,$E:$E,E322,$F:$F,"&lt;&gt;N/A",$G:$G,"&lt;&gt;N/A",$F:$F,"&lt;="&amp;_xlpm.p,$G:$G,"&gt;="&amp;_xlpm.p)))))</f>
        <v>2.3333333333333335</v>
      </c>
      <c r="I322" s="4" t="s">
        <v>774</v>
      </c>
      <c r="J322" t="s">
        <v>839</v>
      </c>
      <c r="K322" s="5" t="s">
        <v>7</v>
      </c>
      <c r="L322" s="5" t="s">
        <v>7</v>
      </c>
      <c r="M322" s="5" t="s">
        <v>7</v>
      </c>
      <c r="N322" s="5" t="s">
        <v>7</v>
      </c>
      <c r="O322" s="4" t="s">
        <v>778</v>
      </c>
      <c r="P322" s="4" t="s">
        <v>7834</v>
      </c>
      <c r="R322" t="b">
        <v>0</v>
      </c>
    </row>
    <row r="323" spans="1:18">
      <c r="A323" t="s">
        <v>3010</v>
      </c>
      <c r="B323" t="s">
        <v>7068</v>
      </c>
      <c r="C323" s="5" t="s">
        <v>7942</v>
      </c>
      <c r="D323" s="1">
        <v>1</v>
      </c>
      <c r="E323" s="1" t="s">
        <v>989</v>
      </c>
      <c r="F323" s="1">
        <v>331</v>
      </c>
      <c r="G323" s="1">
        <v>331</v>
      </c>
      <c r="H323" s="8" cm="1">
        <f t="array" ref="H323">_xlfn.LET(_xlpm.s,IFERROR(--F323,""),_xlpm.e,IFERROR(--G323,""),IF(OR(_xlpm.s="",_xlpm.e="",_xlpm.e&lt;_xlpm.s),"",_xlfn.LET(_xlpm.p,_xlfn.SEQUENCE(_xlpm.e-_xlpm.s+1,1,_xlpm.s,1),SUM(1/COUNTIFS($D:$D,D323,$E:$E,E323,$F:$F,"&lt;&gt;N/A",$G:$G,"&lt;&gt;N/A",$F:$F,"&lt;="&amp;_xlpm.p,$G:$G,"&gt;="&amp;_xlpm.p)))))</f>
        <v>0.33333333333333331</v>
      </c>
      <c r="I323" s="4" t="s">
        <v>782</v>
      </c>
      <c r="J323" t="s">
        <v>990</v>
      </c>
      <c r="K323" s="5" t="s">
        <v>11509</v>
      </c>
      <c r="L323" s="5" t="s">
        <v>7</v>
      </c>
      <c r="M323" s="5" t="s">
        <v>7</v>
      </c>
      <c r="N323" s="5" t="s">
        <v>7</v>
      </c>
      <c r="O323" s="4" t="s">
        <v>778</v>
      </c>
      <c r="P323" s="4" t="s">
        <v>7834</v>
      </c>
      <c r="R323" t="b">
        <v>1</v>
      </c>
    </row>
    <row r="324" spans="1:18">
      <c r="A324" t="s">
        <v>3010</v>
      </c>
      <c r="B324" t="s">
        <v>7069</v>
      </c>
      <c r="C324" s="5" t="s">
        <v>7942</v>
      </c>
      <c r="D324" s="1">
        <v>1</v>
      </c>
      <c r="E324" s="1" t="s">
        <v>989</v>
      </c>
      <c r="F324" s="1">
        <v>331</v>
      </c>
      <c r="G324" s="1">
        <v>331</v>
      </c>
      <c r="H324" s="8" cm="1">
        <f t="array" ref="H324">_xlfn.LET(_xlpm.s,IFERROR(--F324,""),_xlpm.e,IFERROR(--G324,""),IF(OR(_xlpm.s="",_xlpm.e="",_xlpm.e&lt;_xlpm.s),"",_xlfn.LET(_xlpm.p,_xlfn.SEQUENCE(_xlpm.e-_xlpm.s+1,1,_xlpm.s,1),SUM(1/COUNTIFS($D:$D,D324,$E:$E,E324,$F:$F,"&lt;&gt;N/A",$G:$G,"&lt;&gt;N/A",$F:$F,"&lt;="&amp;_xlpm.p,$G:$G,"&gt;="&amp;_xlpm.p)))))</f>
        <v>0.33333333333333331</v>
      </c>
      <c r="I324" s="4" t="s">
        <v>782</v>
      </c>
      <c r="J324" t="s">
        <v>991</v>
      </c>
      <c r="K324" s="5" t="s">
        <v>7</v>
      </c>
      <c r="L324" s="5" t="s">
        <v>7</v>
      </c>
      <c r="M324" t="s">
        <v>7249</v>
      </c>
      <c r="N324" s="5" t="s">
        <v>2351</v>
      </c>
      <c r="O324" s="4" t="s">
        <v>11522</v>
      </c>
      <c r="P324" s="4" t="s">
        <v>8021</v>
      </c>
      <c r="R324" t="b">
        <v>1</v>
      </c>
    </row>
    <row r="325" spans="1:18">
      <c r="A325" t="s">
        <v>3010</v>
      </c>
      <c r="B325" t="s">
        <v>7070</v>
      </c>
      <c r="C325" s="5" t="s">
        <v>7942</v>
      </c>
      <c r="D325" s="1">
        <v>1</v>
      </c>
      <c r="E325" s="1" t="s">
        <v>989</v>
      </c>
      <c r="F325" s="1">
        <v>332</v>
      </c>
      <c r="G325" s="1">
        <v>332</v>
      </c>
      <c r="H325" s="8" cm="1">
        <f t="array" ref="H325">_xlfn.LET(_xlpm.s,IFERROR(--F325,""),_xlpm.e,IFERROR(--G325,""),IF(OR(_xlpm.s="",_xlpm.e="",_xlpm.e&lt;_xlpm.s),"",_xlfn.LET(_xlpm.p,_xlfn.SEQUENCE(_xlpm.e-_xlpm.s+1,1,_xlpm.s,1),SUM(1/COUNTIFS($D:$D,D325,$E:$E,E325,$F:$F,"&lt;&gt;N/A",$G:$G,"&lt;&gt;N/A",$F:$F,"&lt;="&amp;_xlpm.p,$G:$G,"&gt;="&amp;_xlpm.p)))))</f>
        <v>0.33333333333333331</v>
      </c>
      <c r="I325" s="4" t="s">
        <v>782</v>
      </c>
      <c r="J325" t="s">
        <v>2350</v>
      </c>
      <c r="K325" s="5" t="s">
        <v>7</v>
      </c>
      <c r="L325" s="5" t="s">
        <v>2187</v>
      </c>
      <c r="M325" t="s">
        <v>7208</v>
      </c>
      <c r="N325" s="5" t="s">
        <v>2352</v>
      </c>
      <c r="O325" s="4" t="s">
        <v>11522</v>
      </c>
      <c r="P325" s="4" t="s">
        <v>8021</v>
      </c>
      <c r="R325" t="b">
        <v>1</v>
      </c>
    </row>
    <row r="326" spans="1:18">
      <c r="A326" t="s">
        <v>3010</v>
      </c>
      <c r="B326" t="s">
        <v>7152</v>
      </c>
      <c r="C326" s="5" t="s">
        <v>7942</v>
      </c>
      <c r="D326" s="1">
        <v>1</v>
      </c>
      <c r="E326" s="1" t="s">
        <v>989</v>
      </c>
      <c r="F326" s="1">
        <v>332</v>
      </c>
      <c r="G326" s="1">
        <v>332</v>
      </c>
      <c r="H326" s="8" cm="1">
        <f t="array" ref="H326">_xlfn.LET(_xlpm.s,IFERROR(--F326,""),_xlpm.e,IFERROR(--G326,""),IF(OR(_xlpm.s="",_xlpm.e="",_xlpm.e&lt;_xlpm.s),"",_xlfn.LET(_xlpm.p,_xlfn.SEQUENCE(_xlpm.e-_xlpm.s+1,1,_xlpm.s,1),SUM(1/COUNTIFS($D:$D,D326,$E:$E,E326,$F:$F,"&lt;&gt;N/A",$G:$G,"&lt;&gt;N/A",$F:$F,"&lt;="&amp;_xlpm.p,$G:$G,"&gt;="&amp;_xlpm.p)))))</f>
        <v>0.33333333333333331</v>
      </c>
      <c r="I326" s="4" t="s">
        <v>782</v>
      </c>
      <c r="J326" s="5" t="s">
        <v>992</v>
      </c>
      <c r="K326" s="5" t="s">
        <v>7</v>
      </c>
      <c r="L326" s="5" t="s">
        <v>2188</v>
      </c>
      <c r="M326" t="s">
        <v>7249</v>
      </c>
      <c r="N326" s="5" t="s">
        <v>2355</v>
      </c>
      <c r="O326" s="4" t="s">
        <v>5072</v>
      </c>
      <c r="P326" s="4" t="s">
        <v>8021</v>
      </c>
      <c r="R326" t="b">
        <v>1</v>
      </c>
    </row>
    <row r="327" spans="1:18">
      <c r="A327" t="s">
        <v>3010</v>
      </c>
      <c r="B327" t="s">
        <v>10567</v>
      </c>
      <c r="C327" s="5" t="s">
        <v>7942</v>
      </c>
      <c r="D327" s="1">
        <v>1</v>
      </c>
      <c r="E327" s="1" t="s">
        <v>989</v>
      </c>
      <c r="F327" s="1">
        <v>332</v>
      </c>
      <c r="G327" s="1">
        <v>332</v>
      </c>
      <c r="H327" s="8" cm="1">
        <f t="array" ref="H327">_xlfn.LET(_xlpm.s,IFERROR(--F327,""),_xlpm.e,IFERROR(--G327,""),IF(OR(_xlpm.s="",_xlpm.e="",_xlpm.e&lt;_xlpm.s),"",_xlfn.LET(_xlpm.p,_xlfn.SEQUENCE(_xlpm.e-_xlpm.s+1,1,_xlpm.s,1),SUM(1/COUNTIFS($D:$D,D327,$E:$E,E327,$F:$F,"&lt;&gt;N/A",$G:$G,"&lt;&gt;N/A",$F:$F,"&lt;="&amp;_xlpm.p,$G:$G,"&gt;="&amp;_xlpm.p)))))</f>
        <v>0.33333333333333331</v>
      </c>
      <c r="I327" s="4" t="s">
        <v>782</v>
      </c>
      <c r="J327" s="5" t="s">
        <v>2353</v>
      </c>
      <c r="K327" s="5" t="s">
        <v>7</v>
      </c>
      <c r="L327" s="5" t="s">
        <v>2188</v>
      </c>
      <c r="M327" t="s">
        <v>7249</v>
      </c>
      <c r="N327" s="5" t="s">
        <v>2354</v>
      </c>
      <c r="O327" s="4" t="s">
        <v>11522</v>
      </c>
      <c r="P327" s="4" t="s">
        <v>8021</v>
      </c>
      <c r="R327" t="b">
        <v>1</v>
      </c>
    </row>
    <row r="328" spans="1:18">
      <c r="A328" t="s">
        <v>3010</v>
      </c>
      <c r="B328" t="s">
        <v>7071</v>
      </c>
      <c r="C328" s="5" t="s">
        <v>10283</v>
      </c>
      <c r="D328" s="1">
        <v>1</v>
      </c>
      <c r="E328" s="1" t="s">
        <v>993</v>
      </c>
      <c r="F328" s="1">
        <v>333</v>
      </c>
      <c r="G328" s="1">
        <v>333</v>
      </c>
      <c r="H328" s="8" cm="1">
        <f t="array" ref="H328">_xlfn.LET(_xlpm.s,IFERROR(--F328,""),_xlpm.e,IFERROR(--G328,""),IF(OR(_xlpm.s="",_xlpm.e="",_xlpm.e&lt;_xlpm.s),"",_xlfn.LET(_xlpm.p,_xlfn.SEQUENCE(_xlpm.e-_xlpm.s+1,1,_xlpm.s,1),SUM(1/COUNTIFS($D:$D,D328,$E:$E,E328,$F:$F,"&lt;&gt;N/A",$G:$G,"&lt;&gt;N/A",$F:$F,"&lt;="&amp;_xlpm.p,$G:$G,"&gt;="&amp;_xlpm.p)))))</f>
        <v>0.5</v>
      </c>
      <c r="I328" s="4" t="s">
        <v>774</v>
      </c>
      <c r="J328" s="5" t="s">
        <v>839</v>
      </c>
      <c r="K328" s="5" t="s">
        <v>7</v>
      </c>
      <c r="L328" s="5" t="s">
        <v>7</v>
      </c>
      <c r="M328" s="5" t="s">
        <v>7</v>
      </c>
      <c r="N328" s="5" t="s">
        <v>7</v>
      </c>
      <c r="O328" s="4" t="s">
        <v>778</v>
      </c>
      <c r="P328" s="4" t="s">
        <v>7834</v>
      </c>
      <c r="R328" t="b">
        <v>0</v>
      </c>
    </row>
    <row r="329" spans="1:18">
      <c r="A329" t="s">
        <v>3010</v>
      </c>
      <c r="B329" t="s">
        <v>7072</v>
      </c>
      <c r="C329" s="5" t="s">
        <v>10283</v>
      </c>
      <c r="D329" s="1">
        <v>1</v>
      </c>
      <c r="E329" s="1" t="s">
        <v>993</v>
      </c>
      <c r="F329" s="1">
        <v>333</v>
      </c>
      <c r="G329" s="1">
        <v>334</v>
      </c>
      <c r="H329" s="8" cm="1">
        <f t="array" ref="H329">_xlfn.LET(_xlpm.s,IFERROR(--F329,""),_xlpm.e,IFERROR(--G329,""),IF(OR(_xlpm.s="",_xlpm.e="",_xlpm.e&lt;_xlpm.s),"",_xlfn.LET(_xlpm.p,_xlfn.SEQUENCE(_xlpm.e-_xlpm.s+1,1,_xlpm.s,1),SUM(1/COUNTIFS($D:$D,D329,$E:$E,E329,$F:$F,"&lt;&gt;N/A",$G:$G,"&lt;&gt;N/A",$F:$F,"&lt;="&amp;_xlpm.p,$G:$G,"&gt;="&amp;_xlpm.p)))))</f>
        <v>1</v>
      </c>
      <c r="I329" s="4" t="s">
        <v>782</v>
      </c>
      <c r="J329" s="5" t="s">
        <v>994</v>
      </c>
      <c r="K329" s="5" t="s">
        <v>7</v>
      </c>
      <c r="L329" s="5" t="s">
        <v>2356</v>
      </c>
      <c r="M329" s="5" t="s">
        <v>7350</v>
      </c>
      <c r="N329" s="5" t="s">
        <v>7351</v>
      </c>
      <c r="O329" s="4" t="s">
        <v>11522</v>
      </c>
      <c r="P329" s="4" t="s">
        <v>8034</v>
      </c>
      <c r="Q329" s="5"/>
      <c r="R329" t="b">
        <v>1</v>
      </c>
    </row>
    <row r="330" spans="1:18">
      <c r="A330" t="s">
        <v>3010</v>
      </c>
      <c r="B330" t="s">
        <v>7073</v>
      </c>
      <c r="C330" s="5" t="s">
        <v>10283</v>
      </c>
      <c r="D330" s="1">
        <v>1</v>
      </c>
      <c r="E330" s="1" t="s">
        <v>993</v>
      </c>
      <c r="F330" s="1">
        <v>334</v>
      </c>
      <c r="G330" s="1">
        <v>335</v>
      </c>
      <c r="H330" s="8" cm="1">
        <f t="array" ref="H330">_xlfn.LET(_xlpm.s,IFERROR(--F330,""),_xlpm.e,IFERROR(--G330,""),IF(OR(_xlpm.s="",_xlpm.e="",_xlpm.e&lt;_xlpm.s),"",_xlfn.LET(_xlpm.p,_xlfn.SEQUENCE(_xlpm.e-_xlpm.s+1,1,_xlpm.s,1),SUM(1/COUNTIFS($D:$D,D330,$E:$E,E330,$F:$F,"&lt;&gt;N/A",$G:$G,"&lt;&gt;N/A",$F:$F,"&lt;="&amp;_xlpm.p,$G:$G,"&gt;="&amp;_xlpm.p)))))</f>
        <v>0.83333333333333326</v>
      </c>
      <c r="I330" s="4" t="s">
        <v>782</v>
      </c>
      <c r="J330" s="5" t="s">
        <v>995</v>
      </c>
      <c r="K330" s="5" t="s">
        <v>7</v>
      </c>
      <c r="L330" s="5" t="s">
        <v>2189</v>
      </c>
      <c r="M330" t="s">
        <v>7253</v>
      </c>
      <c r="N330" s="5" t="s">
        <v>2386</v>
      </c>
      <c r="O330" s="4" t="s">
        <v>5072</v>
      </c>
      <c r="P330" s="4" t="s">
        <v>8034</v>
      </c>
      <c r="R330" t="b">
        <v>1</v>
      </c>
    </row>
    <row r="331" spans="1:18">
      <c r="A331" t="s">
        <v>3010</v>
      </c>
      <c r="B331" t="s">
        <v>7074</v>
      </c>
      <c r="C331" s="5" t="s">
        <v>10283</v>
      </c>
      <c r="D331" s="1">
        <v>1</v>
      </c>
      <c r="E331" s="1" t="s">
        <v>993</v>
      </c>
      <c r="F331" s="1">
        <v>335</v>
      </c>
      <c r="G331" s="1">
        <v>335</v>
      </c>
      <c r="H331" s="8" cm="1">
        <f t="array" ref="H331">_xlfn.LET(_xlpm.s,IFERROR(--F331,""),_xlpm.e,IFERROR(--G331,""),IF(OR(_xlpm.s="",_xlpm.e="",_xlpm.e&lt;_xlpm.s),"",_xlfn.LET(_xlpm.p,_xlfn.SEQUENCE(_xlpm.e-_xlpm.s+1,1,_xlpm.s,1),SUM(1/COUNTIFS($D:$D,D331,$E:$E,E331,$F:$F,"&lt;&gt;N/A",$G:$G,"&lt;&gt;N/A",$F:$F,"&lt;="&amp;_xlpm.p,$G:$G,"&gt;="&amp;_xlpm.p)))))</f>
        <v>0.33333333333333331</v>
      </c>
      <c r="I331" s="4" t="s">
        <v>782</v>
      </c>
      <c r="J331" s="5" t="s">
        <v>10607</v>
      </c>
      <c r="K331" s="5" t="s">
        <v>11510</v>
      </c>
      <c r="L331" s="5" t="s">
        <v>7</v>
      </c>
      <c r="M331" s="5" t="s">
        <v>7</v>
      </c>
      <c r="N331" s="5" t="s">
        <v>7</v>
      </c>
      <c r="O331" s="4" t="s">
        <v>778</v>
      </c>
      <c r="P331" s="4" t="s">
        <v>7834</v>
      </c>
      <c r="R331" t="b">
        <v>1</v>
      </c>
    </row>
    <row r="332" spans="1:18">
      <c r="A332" t="s">
        <v>3010</v>
      </c>
      <c r="B332" t="s">
        <v>7153</v>
      </c>
      <c r="C332" s="5" t="s">
        <v>10283</v>
      </c>
      <c r="D332" s="1">
        <v>1</v>
      </c>
      <c r="E332" s="1" t="s">
        <v>993</v>
      </c>
      <c r="F332" s="1">
        <v>335</v>
      </c>
      <c r="G332" s="1">
        <v>336</v>
      </c>
      <c r="H332" s="8" cm="1">
        <f t="array" ref="H332">_xlfn.LET(_xlpm.s,IFERROR(--F332,""),_xlpm.e,IFERROR(--G332,""),IF(OR(_xlpm.s="",_xlpm.e="",_xlpm.e&lt;_xlpm.s),"",_xlfn.LET(_xlpm.p,_xlfn.SEQUENCE(_xlpm.e-_xlpm.s+1,1,_xlpm.s,1),SUM(1/COUNTIFS($D:$D,D332,$E:$E,E332,$F:$F,"&lt;&gt;N/A",$G:$G,"&lt;&gt;N/A",$F:$F,"&lt;="&amp;_xlpm.p,$G:$G,"&gt;="&amp;_xlpm.p)))))</f>
        <v>0.83333333333333326</v>
      </c>
      <c r="I332" s="4" t="s">
        <v>782</v>
      </c>
      <c r="J332" s="5" t="s">
        <v>996</v>
      </c>
      <c r="K332" s="5" t="s">
        <v>7</v>
      </c>
      <c r="L332" s="5" t="s">
        <v>2190</v>
      </c>
      <c r="M332" s="5" t="s">
        <v>7208</v>
      </c>
      <c r="N332" s="5" t="s">
        <v>2357</v>
      </c>
      <c r="O332" s="4" t="s">
        <v>5072</v>
      </c>
      <c r="P332" s="4" t="s">
        <v>8021</v>
      </c>
      <c r="R332" t="b">
        <v>1</v>
      </c>
    </row>
    <row r="333" spans="1:18">
      <c r="A333" t="s">
        <v>3010</v>
      </c>
      <c r="B333" t="s">
        <v>10568</v>
      </c>
      <c r="C333" s="5" t="s">
        <v>10283</v>
      </c>
      <c r="D333" s="1">
        <v>1</v>
      </c>
      <c r="E333" s="1" t="s">
        <v>993</v>
      </c>
      <c r="F333" s="1">
        <v>336</v>
      </c>
      <c r="G333" s="1">
        <v>336</v>
      </c>
      <c r="H333" s="8" cm="1">
        <f t="array" ref="H333">_xlfn.LET(_xlpm.s,IFERROR(--F333,""),_xlpm.e,IFERROR(--G333,""),IF(OR(_xlpm.s="",_xlpm.e="",_xlpm.e&lt;_xlpm.s),"",_xlfn.LET(_xlpm.p,_xlfn.SEQUENCE(_xlpm.e-_xlpm.s+1,1,_xlpm.s,1),SUM(1/COUNTIFS($D:$D,D333,$E:$E,E333,$F:$F,"&lt;&gt;N/A",$G:$G,"&lt;&gt;N/A",$F:$F,"&lt;="&amp;_xlpm.p,$G:$G,"&gt;="&amp;_xlpm.p)))))</f>
        <v>0.5</v>
      </c>
      <c r="I333" s="4" t="s">
        <v>782</v>
      </c>
      <c r="J333" s="5" t="s">
        <v>997</v>
      </c>
      <c r="K333" s="5" t="s">
        <v>11509</v>
      </c>
      <c r="L333" s="5" t="s">
        <v>7</v>
      </c>
      <c r="M333" s="5" t="s">
        <v>7</v>
      </c>
      <c r="N333" s="5" t="s">
        <v>7</v>
      </c>
      <c r="O333" s="4" t="s">
        <v>778</v>
      </c>
      <c r="P333" s="4" t="s">
        <v>7834</v>
      </c>
      <c r="R333" t="b">
        <v>1</v>
      </c>
    </row>
    <row r="334" spans="1:18">
      <c r="A334" t="s">
        <v>3010</v>
      </c>
      <c r="B334" t="s">
        <v>7154</v>
      </c>
      <c r="C334" s="5" t="s">
        <v>7949</v>
      </c>
      <c r="D334" s="1">
        <v>1</v>
      </c>
      <c r="E334" s="1" t="s">
        <v>998</v>
      </c>
      <c r="F334" s="1">
        <v>337</v>
      </c>
      <c r="G334" s="1">
        <v>338</v>
      </c>
      <c r="H334" s="8" cm="1">
        <f t="array" ref="H334">_xlfn.LET(_xlpm.s,IFERROR(--F334,""),_xlpm.e,IFERROR(--G334,""),IF(OR(_xlpm.s="",_xlpm.e="",_xlpm.e&lt;_xlpm.s),"",_xlfn.LET(_xlpm.p,_xlfn.SEQUENCE(_xlpm.e-_xlpm.s+1,1,_xlpm.s,1),SUM(1/COUNTIFS($D:$D,D334,$E:$E,E334,$F:$F,"&lt;&gt;N/A",$G:$G,"&lt;&gt;N/A",$F:$F,"&lt;="&amp;_xlpm.p,$G:$G,"&gt;="&amp;_xlpm.p)))))</f>
        <v>1.5</v>
      </c>
      <c r="I334" s="4" t="s">
        <v>774</v>
      </c>
      <c r="J334" t="s">
        <v>848</v>
      </c>
      <c r="K334" s="5" t="s">
        <v>7</v>
      </c>
      <c r="L334" s="5" t="s">
        <v>7</v>
      </c>
      <c r="M334" s="5" t="s">
        <v>7</v>
      </c>
      <c r="N334" s="5" t="s">
        <v>7</v>
      </c>
      <c r="O334" s="4" t="s">
        <v>778</v>
      </c>
      <c r="P334" s="4" t="s">
        <v>7834</v>
      </c>
      <c r="R334" t="b">
        <v>1</v>
      </c>
    </row>
    <row r="335" spans="1:18">
      <c r="A335" t="s">
        <v>3010</v>
      </c>
      <c r="B335" t="s">
        <v>10569</v>
      </c>
      <c r="C335" s="5" t="s">
        <v>7949</v>
      </c>
      <c r="D335" s="1">
        <v>1</v>
      </c>
      <c r="E335" s="1" t="s">
        <v>998</v>
      </c>
      <c r="F335" s="1">
        <v>338</v>
      </c>
      <c r="G335" s="1">
        <v>340</v>
      </c>
      <c r="H335" s="8" cm="1">
        <f t="array" ref="H335">_xlfn.LET(_xlpm.s,IFERROR(--F335,""),_xlpm.e,IFERROR(--G335,""),IF(OR(_xlpm.s="",_xlpm.e="",_xlpm.e&lt;_xlpm.s),"",_xlfn.LET(_xlpm.p,_xlfn.SEQUENCE(_xlpm.e-_xlpm.s+1,1,_xlpm.s,1),SUM(1/COUNTIFS($D:$D,D335,$E:$E,E335,$F:$F,"&lt;&gt;N/A",$G:$G,"&lt;&gt;N/A",$F:$F,"&lt;="&amp;_xlpm.p,$G:$G,"&gt;="&amp;_xlpm.p)))))</f>
        <v>2.5</v>
      </c>
      <c r="I335" s="4" t="s">
        <v>782</v>
      </c>
      <c r="J335" s="5" t="s">
        <v>999</v>
      </c>
      <c r="K335" s="5" t="s">
        <v>11509</v>
      </c>
      <c r="L335" s="5" t="s">
        <v>7</v>
      </c>
      <c r="M335" s="5" t="s">
        <v>7</v>
      </c>
      <c r="N335" s="5" t="s">
        <v>7</v>
      </c>
      <c r="O335" s="4" t="s">
        <v>778</v>
      </c>
      <c r="P335" s="4" t="s">
        <v>7834</v>
      </c>
      <c r="R335" t="b">
        <v>1</v>
      </c>
    </row>
    <row r="336" spans="1:18">
      <c r="A336" t="s">
        <v>3010</v>
      </c>
      <c r="B336" t="s">
        <v>7155</v>
      </c>
      <c r="C336" s="5" t="s">
        <v>7950</v>
      </c>
      <c r="D336" s="1">
        <v>1</v>
      </c>
      <c r="E336" s="1" t="s">
        <v>1000</v>
      </c>
      <c r="F336" s="1">
        <v>341</v>
      </c>
      <c r="G336" s="1">
        <v>344</v>
      </c>
      <c r="H336" s="8" cm="1">
        <f t="array" ref="H336">_xlfn.LET(_xlpm.s,IFERROR(--F336,""),_xlpm.e,IFERROR(--G336,""),IF(OR(_xlpm.s="",_xlpm.e="",_xlpm.e&lt;_xlpm.s),"",_xlfn.LET(_xlpm.p,_xlfn.SEQUENCE(_xlpm.e-_xlpm.s+1,1,_xlpm.s,1),SUM(1/COUNTIFS($D:$D,D336,$E:$E,E336,$F:$F,"&lt;&gt;N/A",$G:$G,"&lt;&gt;N/A",$F:$F,"&lt;="&amp;_xlpm.p,$G:$G,"&gt;="&amp;_xlpm.p)))))</f>
        <v>3.5</v>
      </c>
      <c r="I336" s="4" t="s">
        <v>774</v>
      </c>
      <c r="J336" s="5" t="s">
        <v>1001</v>
      </c>
      <c r="K336" s="5" t="s">
        <v>1002</v>
      </c>
      <c r="L336" s="5" t="s">
        <v>7</v>
      </c>
      <c r="M336" s="5" t="s">
        <v>7</v>
      </c>
      <c r="N336" s="5" t="s">
        <v>7</v>
      </c>
      <c r="O336" s="4" t="s">
        <v>778</v>
      </c>
      <c r="P336" s="4" t="s">
        <v>7834</v>
      </c>
      <c r="R336" t="b">
        <v>1</v>
      </c>
    </row>
    <row r="337" spans="1:18">
      <c r="A337" t="s">
        <v>3010</v>
      </c>
      <c r="B337" t="s">
        <v>10570</v>
      </c>
      <c r="C337" s="5" t="s">
        <v>7950</v>
      </c>
      <c r="D337" s="1">
        <v>1</v>
      </c>
      <c r="E337" s="1" t="s">
        <v>1000</v>
      </c>
      <c r="F337" s="1">
        <v>344</v>
      </c>
      <c r="G337" s="1">
        <v>344</v>
      </c>
      <c r="H337" s="8" cm="1">
        <f t="array" ref="H337">_xlfn.LET(_xlpm.s,IFERROR(--F337,""),_xlpm.e,IFERROR(--G337,""),IF(OR(_xlpm.s="",_xlpm.e="",_xlpm.e&lt;_xlpm.s),"",_xlfn.LET(_xlpm.p,_xlfn.SEQUENCE(_xlpm.e-_xlpm.s+1,1,_xlpm.s,1),SUM(1/COUNTIFS($D:$D,D337,$E:$E,E337,$F:$F,"&lt;&gt;N/A",$G:$G,"&lt;&gt;N/A",$F:$F,"&lt;="&amp;_xlpm.p,$G:$G,"&gt;="&amp;_xlpm.p)))))</f>
        <v>0.5</v>
      </c>
      <c r="I337" s="4" t="s">
        <v>782</v>
      </c>
      <c r="J337" s="5" t="s">
        <v>4446</v>
      </c>
      <c r="K337" s="5" t="s">
        <v>7</v>
      </c>
      <c r="L337" s="5" t="s">
        <v>2191</v>
      </c>
      <c r="M337" t="s">
        <v>6965</v>
      </c>
      <c r="N337" s="5" t="s">
        <v>2364</v>
      </c>
      <c r="O337" s="4" t="s">
        <v>5072</v>
      </c>
      <c r="P337" s="4" t="s">
        <v>8021</v>
      </c>
      <c r="R337" t="b">
        <v>1</v>
      </c>
    </row>
    <row r="338" spans="1:18">
      <c r="A338" t="s">
        <v>3010</v>
      </c>
      <c r="B338" t="s">
        <v>7156</v>
      </c>
      <c r="C338" s="5" t="s">
        <v>7951</v>
      </c>
      <c r="D338" s="1">
        <v>1</v>
      </c>
      <c r="E338" s="1" t="s">
        <v>1003</v>
      </c>
      <c r="F338" s="1">
        <v>345</v>
      </c>
      <c r="G338" s="1">
        <v>348</v>
      </c>
      <c r="H338" s="8" cm="1">
        <f t="array" ref="H338">_xlfn.LET(_xlpm.s,IFERROR(--F338,""),_xlpm.e,IFERROR(--G338,""),IF(OR(_xlpm.s="",_xlpm.e="",_xlpm.e&lt;_xlpm.s),"",_xlfn.LET(_xlpm.p,_xlfn.SEQUENCE(_xlpm.e-_xlpm.s+1,1,_xlpm.s,1),SUM(1/COUNTIFS($D:$D,D338,$E:$E,E338,$F:$F,"&lt;&gt;N/A",$G:$G,"&lt;&gt;N/A",$F:$F,"&lt;="&amp;_xlpm.p,$G:$G,"&gt;="&amp;_xlpm.p)))))</f>
        <v>3.5</v>
      </c>
      <c r="I338" s="4" t="s">
        <v>782</v>
      </c>
      <c r="J338" s="5" t="s">
        <v>1004</v>
      </c>
      <c r="K338" s="5" t="s">
        <v>838</v>
      </c>
      <c r="L338" s="5" t="s">
        <v>7</v>
      </c>
      <c r="M338" s="5" t="s">
        <v>7</v>
      </c>
      <c r="N338" s="5" t="s">
        <v>7</v>
      </c>
      <c r="O338" s="4" t="s">
        <v>778</v>
      </c>
      <c r="P338" s="4" t="s">
        <v>7834</v>
      </c>
      <c r="R338" t="b">
        <v>1</v>
      </c>
    </row>
    <row r="339" spans="1:18">
      <c r="A339" t="s">
        <v>3010</v>
      </c>
      <c r="B339" t="s">
        <v>10571</v>
      </c>
      <c r="C339" s="5" t="s">
        <v>7951</v>
      </c>
      <c r="D339" s="1">
        <v>1</v>
      </c>
      <c r="E339" s="1" t="s">
        <v>1003</v>
      </c>
      <c r="F339" s="1">
        <v>348</v>
      </c>
      <c r="G339" s="1">
        <v>348</v>
      </c>
      <c r="H339" s="8" cm="1">
        <f t="array" ref="H339">_xlfn.LET(_xlpm.s,IFERROR(--F339,""),_xlpm.e,IFERROR(--G339,""),IF(OR(_xlpm.s="",_xlpm.e="",_xlpm.e&lt;_xlpm.s),"",_xlfn.LET(_xlpm.p,_xlfn.SEQUENCE(_xlpm.e-_xlpm.s+1,1,_xlpm.s,1),SUM(1/COUNTIFS($D:$D,D339,$E:$E,E339,$F:$F,"&lt;&gt;N/A",$G:$G,"&lt;&gt;N/A",$F:$F,"&lt;="&amp;_xlpm.p,$G:$G,"&gt;="&amp;_xlpm.p)))))</f>
        <v>0.5</v>
      </c>
      <c r="I339" s="4" t="s">
        <v>782</v>
      </c>
      <c r="J339" s="5" t="s">
        <v>923</v>
      </c>
      <c r="K339" s="5" t="s">
        <v>11509</v>
      </c>
      <c r="L339" s="5" t="s">
        <v>7</v>
      </c>
      <c r="M339" s="5" t="s">
        <v>7</v>
      </c>
      <c r="N339" s="5" t="s">
        <v>7</v>
      </c>
      <c r="O339" s="4" t="s">
        <v>778</v>
      </c>
      <c r="P339" s="4" t="s">
        <v>7834</v>
      </c>
      <c r="R339" t="b">
        <v>1</v>
      </c>
    </row>
    <row r="340" spans="1:18">
      <c r="A340" t="s">
        <v>3010</v>
      </c>
      <c r="B340" t="s">
        <v>7157</v>
      </c>
      <c r="C340" s="5" t="s">
        <v>10272</v>
      </c>
      <c r="D340" s="1">
        <v>1</v>
      </c>
      <c r="E340" s="1" t="s">
        <v>1005</v>
      </c>
      <c r="F340" s="1">
        <v>349</v>
      </c>
      <c r="G340" s="1">
        <v>352</v>
      </c>
      <c r="H340" s="8" cm="1">
        <f t="array" ref="H340">_xlfn.LET(_xlpm.s,IFERROR(--F340,""),_xlpm.e,IFERROR(--G340,""),IF(OR(_xlpm.s="",_xlpm.e="",_xlpm.e&lt;_xlpm.s),"",_xlfn.LET(_xlpm.p,_xlfn.SEQUENCE(_xlpm.e-_xlpm.s+1,1,_xlpm.s,1),SUM(1/COUNTIFS($D:$D,D340,$E:$E,E340,$F:$F,"&lt;&gt;N/A",$G:$G,"&lt;&gt;N/A",$F:$F,"&lt;="&amp;_xlpm.p,$G:$G,"&gt;="&amp;_xlpm.p)))))</f>
        <v>3.5</v>
      </c>
      <c r="I340" s="4" t="s">
        <v>774</v>
      </c>
      <c r="J340" s="5" t="s">
        <v>839</v>
      </c>
      <c r="K340" s="5" t="s">
        <v>7</v>
      </c>
      <c r="L340" s="5" t="s">
        <v>7</v>
      </c>
      <c r="M340" s="5" t="s">
        <v>7</v>
      </c>
      <c r="N340" s="5" t="s">
        <v>7</v>
      </c>
      <c r="O340" s="4" t="s">
        <v>778</v>
      </c>
      <c r="P340" s="4" t="s">
        <v>7834</v>
      </c>
      <c r="R340" t="b">
        <v>0</v>
      </c>
    </row>
    <row r="341" spans="1:18">
      <c r="A341" t="s">
        <v>3010</v>
      </c>
      <c r="B341" t="s">
        <v>10572</v>
      </c>
      <c r="C341" s="5" t="s">
        <v>10272</v>
      </c>
      <c r="D341" s="1">
        <v>1</v>
      </c>
      <c r="E341" s="1" t="s">
        <v>1005</v>
      </c>
      <c r="F341" s="1">
        <v>352</v>
      </c>
      <c r="G341" s="1">
        <v>352</v>
      </c>
      <c r="H341" s="8" cm="1">
        <f t="array" ref="H341">_xlfn.LET(_xlpm.s,IFERROR(--F341,""),_xlpm.e,IFERROR(--G341,""),IF(OR(_xlpm.s="",_xlpm.e="",_xlpm.e&lt;_xlpm.s),"",_xlfn.LET(_xlpm.p,_xlfn.SEQUENCE(_xlpm.e-_xlpm.s+1,1,_xlpm.s,1),SUM(1/COUNTIFS($D:$D,D341,$E:$E,E341,$F:$F,"&lt;&gt;N/A",$G:$G,"&lt;&gt;N/A",$F:$F,"&lt;="&amp;_xlpm.p,$G:$G,"&gt;="&amp;_xlpm.p)))))</f>
        <v>0.5</v>
      </c>
      <c r="I341" s="4" t="s">
        <v>782</v>
      </c>
      <c r="J341" s="5" t="s">
        <v>1006</v>
      </c>
      <c r="K341" s="5" t="s">
        <v>7</v>
      </c>
      <c r="L341" s="5" t="s">
        <v>2192</v>
      </c>
      <c r="M341" s="5" t="s">
        <v>7249</v>
      </c>
      <c r="N341" s="5" t="s">
        <v>2379</v>
      </c>
      <c r="O341" s="4" t="s">
        <v>5072</v>
      </c>
      <c r="P341" s="4" t="s">
        <v>8021</v>
      </c>
      <c r="R341" t="b">
        <v>1</v>
      </c>
    </row>
    <row r="342" spans="1:18">
      <c r="A342" t="s">
        <v>3010</v>
      </c>
      <c r="B342" t="s">
        <v>7075</v>
      </c>
      <c r="C342" s="5" t="s">
        <v>10273</v>
      </c>
      <c r="D342" s="1">
        <v>1</v>
      </c>
      <c r="E342" s="1" t="s">
        <v>1008</v>
      </c>
      <c r="F342" s="1">
        <v>353</v>
      </c>
      <c r="G342" s="1">
        <v>354</v>
      </c>
      <c r="H342" s="8" cm="1">
        <f t="array" ref="H342">_xlfn.LET(_xlpm.s,IFERROR(--F342,""),_xlpm.e,IFERROR(--G342,""),IF(OR(_xlpm.s="",_xlpm.e="",_xlpm.e&lt;_xlpm.s),"",_xlfn.LET(_xlpm.p,_xlfn.SEQUENCE(_xlpm.e-_xlpm.s+1,1,_xlpm.s,1),SUM(1/COUNTIFS($D:$D,D342,$E:$E,E342,$F:$F,"&lt;&gt;N/A",$G:$G,"&lt;&gt;N/A",$F:$F,"&lt;="&amp;_xlpm.p,$G:$G,"&gt;="&amp;_xlpm.p)))))</f>
        <v>1.5</v>
      </c>
      <c r="I342" s="4" t="s">
        <v>774</v>
      </c>
      <c r="J342" s="5" t="s">
        <v>839</v>
      </c>
      <c r="K342" s="5" t="s">
        <v>7</v>
      </c>
      <c r="L342" s="5" t="s">
        <v>7</v>
      </c>
      <c r="M342" s="5" t="s">
        <v>7</v>
      </c>
      <c r="N342" s="5" t="s">
        <v>7</v>
      </c>
      <c r="O342" s="4" t="s">
        <v>778</v>
      </c>
      <c r="P342" s="4" t="s">
        <v>7834</v>
      </c>
      <c r="R342" t="b">
        <v>1</v>
      </c>
    </row>
    <row r="343" spans="1:18">
      <c r="A343" t="s">
        <v>3010</v>
      </c>
      <c r="B343" t="s">
        <v>7076</v>
      </c>
      <c r="C343" s="5" t="s">
        <v>10273</v>
      </c>
      <c r="D343" s="1">
        <v>1</v>
      </c>
      <c r="E343" s="1" t="s">
        <v>1008</v>
      </c>
      <c r="F343" s="1">
        <v>354</v>
      </c>
      <c r="G343" s="1">
        <v>356</v>
      </c>
      <c r="H343" s="8" cm="1">
        <f t="array" ref="H343">_xlfn.LET(_xlpm.s,IFERROR(--F343,""),_xlpm.e,IFERROR(--G343,""),IF(OR(_xlpm.s="",_xlpm.e="",_xlpm.e&lt;_xlpm.s),"",_xlfn.LET(_xlpm.p,_xlfn.SEQUENCE(_xlpm.e-_xlpm.s+1,1,_xlpm.s,1),SUM(1/COUNTIFS($D:$D,D343,$E:$E,E343,$F:$F,"&lt;&gt;N/A",$G:$G,"&lt;&gt;N/A",$F:$F,"&lt;="&amp;_xlpm.p,$G:$G,"&gt;="&amp;_xlpm.p)))))</f>
        <v>1.8333333333333333</v>
      </c>
      <c r="I343" s="4" t="s">
        <v>782</v>
      </c>
      <c r="J343" s="5" t="s">
        <v>1009</v>
      </c>
      <c r="K343" s="5" t="s">
        <v>11509</v>
      </c>
      <c r="L343" s="5" t="s">
        <v>7</v>
      </c>
      <c r="M343" s="5" t="s">
        <v>7</v>
      </c>
      <c r="N343" s="5" t="s">
        <v>7</v>
      </c>
      <c r="O343" s="4" t="s">
        <v>778</v>
      </c>
      <c r="P343" s="4" t="s">
        <v>7834</v>
      </c>
      <c r="R343" t="b">
        <v>1</v>
      </c>
    </row>
    <row r="344" spans="1:18">
      <c r="A344" t="s">
        <v>3010</v>
      </c>
      <c r="B344" t="s">
        <v>7158</v>
      </c>
      <c r="C344" s="5" t="s">
        <v>10273</v>
      </c>
      <c r="D344" s="1">
        <v>1</v>
      </c>
      <c r="E344" s="1" t="s">
        <v>1008</v>
      </c>
      <c r="F344" s="1">
        <v>356</v>
      </c>
      <c r="G344" s="1">
        <v>356</v>
      </c>
      <c r="H344" s="8" cm="1">
        <f t="array" ref="H344">_xlfn.LET(_xlpm.s,IFERROR(--F344,""),_xlpm.e,IFERROR(--G344,""),IF(OR(_xlpm.s="",_xlpm.e="",_xlpm.e&lt;_xlpm.s),"",_xlfn.LET(_xlpm.p,_xlfn.SEQUENCE(_xlpm.e-_xlpm.s+1,1,_xlpm.s,1),SUM(1/COUNTIFS($D:$D,D344,$E:$E,E344,$F:$F,"&lt;&gt;N/A",$G:$G,"&lt;&gt;N/A",$F:$F,"&lt;="&amp;_xlpm.p,$G:$G,"&gt;="&amp;_xlpm.p)))))</f>
        <v>0.33333333333333331</v>
      </c>
      <c r="I344" s="4" t="s">
        <v>782</v>
      </c>
      <c r="J344" s="5" t="s">
        <v>11418</v>
      </c>
      <c r="K344" s="5" t="s">
        <v>7</v>
      </c>
      <c r="L344" s="5" t="s">
        <v>2193</v>
      </c>
      <c r="M344" s="5" t="s">
        <v>7208</v>
      </c>
      <c r="N344" s="5" t="s">
        <v>2358</v>
      </c>
      <c r="O344" s="4" t="s">
        <v>11522</v>
      </c>
      <c r="P344" s="4" t="s">
        <v>8021</v>
      </c>
      <c r="R344" t="b">
        <v>1</v>
      </c>
    </row>
    <row r="345" spans="1:18">
      <c r="A345" t="s">
        <v>3010</v>
      </c>
      <c r="B345" t="s">
        <v>10573</v>
      </c>
      <c r="C345" s="5" t="s">
        <v>10273</v>
      </c>
      <c r="D345" s="1">
        <v>1</v>
      </c>
      <c r="E345" s="1" t="s">
        <v>1008</v>
      </c>
      <c r="F345" s="1">
        <v>356</v>
      </c>
      <c r="G345" s="1">
        <v>356</v>
      </c>
      <c r="H345" s="8" cm="1">
        <f t="array" ref="H345">_xlfn.LET(_xlpm.s,IFERROR(--F345,""),_xlpm.e,IFERROR(--G345,""),IF(OR(_xlpm.s="",_xlpm.e="",_xlpm.e&lt;_xlpm.s),"",_xlfn.LET(_xlpm.p,_xlfn.SEQUENCE(_xlpm.e-_xlpm.s+1,1,_xlpm.s,1),SUM(1/COUNTIFS($D:$D,D345,$E:$E,E345,$F:$F,"&lt;&gt;N/A",$G:$G,"&lt;&gt;N/A",$F:$F,"&lt;="&amp;_xlpm.p,$G:$G,"&gt;="&amp;_xlpm.p)))))</f>
        <v>0.33333333333333331</v>
      </c>
      <c r="I345" s="4" t="s">
        <v>782</v>
      </c>
      <c r="J345" s="5" t="s">
        <v>2835</v>
      </c>
      <c r="K345" s="5" t="s">
        <v>1010</v>
      </c>
      <c r="L345" s="5" t="s">
        <v>2194</v>
      </c>
      <c r="M345" t="s">
        <v>6965</v>
      </c>
      <c r="N345" s="5" t="s">
        <v>2376</v>
      </c>
      <c r="O345" s="4" t="s">
        <v>5072</v>
      </c>
      <c r="P345" s="4" t="s">
        <v>8021</v>
      </c>
      <c r="R345" t="b">
        <v>1</v>
      </c>
    </row>
    <row r="346" spans="1:18">
      <c r="A346" t="s">
        <v>3010</v>
      </c>
      <c r="B346" t="s">
        <v>7159</v>
      </c>
      <c r="C346" s="5" t="s">
        <v>7958</v>
      </c>
      <c r="D346" s="1">
        <v>1</v>
      </c>
      <c r="E346" s="1" t="s">
        <v>1011</v>
      </c>
      <c r="F346" s="1">
        <v>357</v>
      </c>
      <c r="G346" s="1">
        <v>358</v>
      </c>
      <c r="H346" s="8" cm="1">
        <f t="array" ref="H346">_xlfn.LET(_xlpm.s,IFERROR(--F346,""),_xlpm.e,IFERROR(--G346,""),IF(OR(_xlpm.s="",_xlpm.e="",_xlpm.e&lt;_xlpm.s),"",_xlfn.LET(_xlpm.p,_xlfn.SEQUENCE(_xlpm.e-_xlpm.s+1,1,_xlpm.s,1),SUM(1/COUNTIFS($D:$D,D346,$E:$E,E346,$F:$F,"&lt;&gt;N/A",$G:$G,"&lt;&gt;N/A",$F:$F,"&lt;="&amp;_xlpm.p,$G:$G,"&gt;="&amp;_xlpm.p)))))</f>
        <v>2</v>
      </c>
      <c r="I346" s="4" t="s">
        <v>774</v>
      </c>
      <c r="J346" s="5" t="s">
        <v>839</v>
      </c>
      <c r="K346" s="5" t="s">
        <v>7</v>
      </c>
      <c r="L346" s="5" t="s">
        <v>7</v>
      </c>
      <c r="M346" s="5" t="s">
        <v>7</v>
      </c>
      <c r="N346" s="5" t="s">
        <v>7</v>
      </c>
      <c r="O346" s="4" t="s">
        <v>778</v>
      </c>
      <c r="P346" s="4" t="s">
        <v>7834</v>
      </c>
      <c r="R346" t="b">
        <v>0</v>
      </c>
    </row>
    <row r="347" spans="1:18">
      <c r="A347" t="s">
        <v>3010</v>
      </c>
      <c r="B347" t="s">
        <v>10574</v>
      </c>
      <c r="C347" s="5" t="s">
        <v>7958</v>
      </c>
      <c r="D347" s="1">
        <v>1</v>
      </c>
      <c r="E347" s="1" t="s">
        <v>1011</v>
      </c>
      <c r="F347" s="1">
        <v>359</v>
      </c>
      <c r="G347" s="1">
        <v>360</v>
      </c>
      <c r="H347" s="8" cm="1">
        <f t="array" ref="H347">_xlfn.LET(_xlpm.s,IFERROR(--F347,""),_xlpm.e,IFERROR(--G347,""),IF(OR(_xlpm.s="",_xlpm.e="",_xlpm.e&lt;_xlpm.s),"",_xlfn.LET(_xlpm.p,_xlfn.SEQUENCE(_xlpm.e-_xlpm.s+1,1,_xlpm.s,1),SUM(1/COUNTIFS($D:$D,D347,$E:$E,E347,$F:$F,"&lt;&gt;N/A",$G:$G,"&lt;&gt;N/A",$F:$F,"&lt;="&amp;_xlpm.p,$G:$G,"&gt;="&amp;_xlpm.p)))))</f>
        <v>2</v>
      </c>
      <c r="I347" s="4" t="s">
        <v>782</v>
      </c>
      <c r="J347" s="5" t="s">
        <v>1012</v>
      </c>
      <c r="K347" s="5" t="s">
        <v>11509</v>
      </c>
      <c r="L347" s="5" t="s">
        <v>7</v>
      </c>
      <c r="M347" s="5" t="s">
        <v>7</v>
      </c>
      <c r="N347" s="5" t="s">
        <v>7</v>
      </c>
      <c r="O347" s="4" t="s">
        <v>778</v>
      </c>
      <c r="P347" s="4" t="s">
        <v>7834</v>
      </c>
      <c r="R347" t="b">
        <v>1</v>
      </c>
    </row>
    <row r="348" spans="1:18">
      <c r="A348" t="s">
        <v>3010</v>
      </c>
      <c r="B348" t="s">
        <v>7160</v>
      </c>
      <c r="C348" s="5" t="s">
        <v>7959</v>
      </c>
      <c r="D348" s="1">
        <v>1</v>
      </c>
      <c r="E348" s="1" t="s">
        <v>1014</v>
      </c>
      <c r="F348" s="1">
        <v>361</v>
      </c>
      <c r="G348" s="1">
        <v>361</v>
      </c>
      <c r="H348" s="8" cm="1">
        <f t="array" ref="H348">_xlfn.LET(_xlpm.s,IFERROR(--F348,""),_xlpm.e,IFERROR(--G348,""),IF(OR(_xlpm.s="",_xlpm.e="",_xlpm.e&lt;_xlpm.s),"",_xlfn.LET(_xlpm.p,_xlfn.SEQUENCE(_xlpm.e-_xlpm.s+1,1,_xlpm.s,1),SUM(1/COUNTIFS($D:$D,D348,$E:$E,E348,$F:$F,"&lt;&gt;N/A",$G:$G,"&lt;&gt;N/A",$F:$F,"&lt;="&amp;_xlpm.p,$G:$G,"&gt;="&amp;_xlpm.p)))))</f>
        <v>0.5</v>
      </c>
      <c r="I348" s="4" t="s">
        <v>774</v>
      </c>
      <c r="J348" s="5" t="s">
        <v>839</v>
      </c>
      <c r="K348" s="5" t="s">
        <v>7</v>
      </c>
      <c r="L348" s="5" t="s">
        <v>7</v>
      </c>
      <c r="M348" s="5" t="s">
        <v>7</v>
      </c>
      <c r="N348" s="5" t="s">
        <v>7</v>
      </c>
      <c r="O348" s="4" t="s">
        <v>778</v>
      </c>
      <c r="P348" s="4" t="s">
        <v>7834</v>
      </c>
      <c r="R348" t="b">
        <v>0</v>
      </c>
    </row>
    <row r="349" spans="1:18">
      <c r="A349" t="s">
        <v>3010</v>
      </c>
      <c r="B349" t="s">
        <v>10575</v>
      </c>
      <c r="C349" s="5" t="s">
        <v>7959</v>
      </c>
      <c r="D349" s="1">
        <v>1</v>
      </c>
      <c r="E349" s="1" t="s">
        <v>1014</v>
      </c>
      <c r="F349" s="1">
        <v>361</v>
      </c>
      <c r="G349" s="1">
        <v>364</v>
      </c>
      <c r="H349" s="8" cm="1">
        <f t="array" ref="H349">_xlfn.LET(_xlpm.s,IFERROR(--F349,""),_xlpm.e,IFERROR(--G349,""),IF(OR(_xlpm.s="",_xlpm.e="",_xlpm.e&lt;_xlpm.s),"",_xlfn.LET(_xlpm.p,_xlfn.SEQUENCE(_xlpm.e-_xlpm.s+1,1,_xlpm.s,1),SUM(1/COUNTIFS($D:$D,D349,$E:$E,E349,$F:$F,"&lt;&gt;N/A",$G:$G,"&lt;&gt;N/A",$F:$F,"&lt;="&amp;_xlpm.p,$G:$G,"&gt;="&amp;_xlpm.p)))))</f>
        <v>3.5</v>
      </c>
      <c r="I349" s="4" t="s">
        <v>782</v>
      </c>
      <c r="J349" s="5" t="s">
        <v>2383</v>
      </c>
      <c r="K349" s="5" t="s">
        <v>2195</v>
      </c>
      <c r="L349" s="5" t="s">
        <v>2196</v>
      </c>
      <c r="M349" s="5" t="s">
        <v>7209</v>
      </c>
      <c r="N349" s="5" t="s">
        <v>2384</v>
      </c>
      <c r="O349" s="4" t="s">
        <v>5072</v>
      </c>
      <c r="P349" s="4" t="s">
        <v>8021</v>
      </c>
      <c r="R349" t="b">
        <v>1</v>
      </c>
    </row>
    <row r="350" spans="1:18">
      <c r="A350" t="s">
        <v>3010</v>
      </c>
      <c r="B350" t="s">
        <v>7161</v>
      </c>
      <c r="C350" s="5" t="s">
        <v>7960</v>
      </c>
      <c r="D350" s="1">
        <v>1</v>
      </c>
      <c r="E350" s="1" t="s">
        <v>1015</v>
      </c>
      <c r="F350" s="1">
        <v>365</v>
      </c>
      <c r="G350" s="1">
        <v>366</v>
      </c>
      <c r="H350" s="8" cm="1">
        <f t="array" ref="H350">_xlfn.LET(_xlpm.s,IFERROR(--F350,""),_xlpm.e,IFERROR(--G350,""),IF(OR(_xlpm.s="",_xlpm.e="",_xlpm.e&lt;_xlpm.s),"",_xlfn.LET(_xlpm.p,_xlfn.SEQUENCE(_xlpm.e-_xlpm.s+1,1,_xlpm.s,1),SUM(1/COUNTIFS($D:$D,D350,$E:$E,E350,$F:$F,"&lt;&gt;N/A",$G:$G,"&lt;&gt;N/A",$F:$F,"&lt;="&amp;_xlpm.p,$G:$G,"&gt;="&amp;_xlpm.p)))))</f>
        <v>2</v>
      </c>
      <c r="I350" s="4" t="s">
        <v>774</v>
      </c>
      <c r="J350" s="5" t="s">
        <v>839</v>
      </c>
      <c r="K350" s="5" t="s">
        <v>7</v>
      </c>
      <c r="L350" s="5" t="s">
        <v>7</v>
      </c>
      <c r="M350" s="5" t="s">
        <v>7</v>
      </c>
      <c r="N350" s="5" t="s">
        <v>7</v>
      </c>
      <c r="O350" s="4" t="s">
        <v>778</v>
      </c>
      <c r="P350" s="4" t="s">
        <v>7834</v>
      </c>
      <c r="R350" t="b">
        <v>0</v>
      </c>
    </row>
    <row r="351" spans="1:18">
      <c r="A351" t="s">
        <v>3010</v>
      </c>
      <c r="B351" t="s">
        <v>10576</v>
      </c>
      <c r="C351" s="5" t="s">
        <v>7960</v>
      </c>
      <c r="D351" s="1">
        <v>1</v>
      </c>
      <c r="E351" s="1" t="s">
        <v>1015</v>
      </c>
      <c r="F351" s="1">
        <v>367</v>
      </c>
      <c r="G351" s="1">
        <v>368</v>
      </c>
      <c r="H351" s="8" cm="1">
        <f t="array" ref="H351">_xlfn.LET(_xlpm.s,IFERROR(--F351,""),_xlpm.e,IFERROR(--G351,""),IF(OR(_xlpm.s="",_xlpm.e="",_xlpm.e&lt;_xlpm.s),"",_xlfn.LET(_xlpm.p,_xlfn.SEQUENCE(_xlpm.e-_xlpm.s+1,1,_xlpm.s,1),SUM(1/COUNTIFS($D:$D,D351,$E:$E,E351,$F:$F,"&lt;&gt;N/A",$G:$G,"&lt;&gt;N/A",$F:$F,"&lt;="&amp;_xlpm.p,$G:$G,"&gt;="&amp;_xlpm.p)))))</f>
        <v>2</v>
      </c>
      <c r="I351" s="4" t="s">
        <v>782</v>
      </c>
      <c r="J351" s="5" t="s">
        <v>4390</v>
      </c>
      <c r="K351" t="s">
        <v>1013</v>
      </c>
      <c r="L351" s="5" t="s">
        <v>7</v>
      </c>
      <c r="M351" s="5" t="s">
        <v>7</v>
      </c>
      <c r="N351" s="5" t="s">
        <v>7</v>
      </c>
      <c r="O351" s="4" t="s">
        <v>778</v>
      </c>
      <c r="P351" s="4" t="s">
        <v>7834</v>
      </c>
      <c r="R351" t="b">
        <v>1</v>
      </c>
    </row>
    <row r="352" spans="1:18">
      <c r="A352" t="s">
        <v>3010</v>
      </c>
      <c r="B352" t="s">
        <v>7077</v>
      </c>
      <c r="C352" s="5" t="s">
        <v>7965</v>
      </c>
      <c r="D352" s="1">
        <v>1</v>
      </c>
      <c r="E352" s="1" t="s">
        <v>1016</v>
      </c>
      <c r="F352" s="1">
        <v>369</v>
      </c>
      <c r="G352" s="1">
        <v>369</v>
      </c>
      <c r="H352" s="8" cm="1">
        <f t="array" ref="H352">_xlfn.LET(_xlpm.s,IFERROR(--F352,""),_xlpm.e,IFERROR(--G352,""),IF(OR(_xlpm.s="",_xlpm.e="",_xlpm.e&lt;_xlpm.s),"",_xlfn.LET(_xlpm.p,_xlfn.SEQUENCE(_xlpm.e-_xlpm.s+1,1,_xlpm.s,1),SUM(1/COUNTIFS($D:$D,D352,$E:$E,E352,$F:$F,"&lt;&gt;N/A",$G:$G,"&lt;&gt;N/A",$F:$F,"&lt;="&amp;_xlpm.p,$G:$G,"&gt;="&amp;_xlpm.p)))))</f>
        <v>0.5</v>
      </c>
      <c r="I352" s="4" t="s">
        <v>774</v>
      </c>
      <c r="J352" s="5" t="s">
        <v>839</v>
      </c>
      <c r="K352" s="5" t="s">
        <v>7</v>
      </c>
      <c r="L352" s="5" t="s">
        <v>7</v>
      </c>
      <c r="M352" s="5" t="s">
        <v>7</v>
      </c>
      <c r="N352" s="5" t="s">
        <v>7</v>
      </c>
      <c r="O352" s="4" t="s">
        <v>778</v>
      </c>
      <c r="P352" s="4" t="s">
        <v>7834</v>
      </c>
      <c r="R352" t="b">
        <v>0</v>
      </c>
    </row>
    <row r="353" spans="1:18">
      <c r="A353" t="s">
        <v>3010</v>
      </c>
      <c r="B353" t="s">
        <v>7162</v>
      </c>
      <c r="C353" s="5" t="s">
        <v>7965</v>
      </c>
      <c r="D353" s="1">
        <v>1</v>
      </c>
      <c r="E353" s="1" t="s">
        <v>1016</v>
      </c>
      <c r="F353" s="1">
        <v>369</v>
      </c>
      <c r="G353" s="1">
        <v>371</v>
      </c>
      <c r="H353" s="8" cm="1">
        <f t="array" ref="H353">_xlfn.LET(_xlpm.s,IFERROR(--F353,""),_xlpm.e,IFERROR(--G353,""),IF(OR(_xlpm.s="",_xlpm.e="",_xlpm.e&lt;_xlpm.s),"",_xlfn.LET(_xlpm.p,_xlfn.SEQUENCE(_xlpm.e-_xlpm.s+1,1,_xlpm.s,1),SUM(1/COUNTIFS($D:$D,D353,$E:$E,E353,$F:$F,"&lt;&gt;N/A",$G:$G,"&lt;&gt;N/A",$F:$F,"&lt;="&amp;_xlpm.p,$G:$G,"&gt;="&amp;_xlpm.p)))))</f>
        <v>2</v>
      </c>
      <c r="I353" s="4" t="s">
        <v>782</v>
      </c>
      <c r="J353" s="5" t="s">
        <v>3217</v>
      </c>
      <c r="K353" s="5" t="s">
        <v>2197</v>
      </c>
      <c r="L353" s="5" t="s">
        <v>2193</v>
      </c>
      <c r="M353" t="s">
        <v>7208</v>
      </c>
      <c r="N353" s="5" t="s">
        <v>10298</v>
      </c>
      <c r="O353" s="4" t="s">
        <v>5072</v>
      </c>
      <c r="P353" s="4" t="s">
        <v>8021</v>
      </c>
      <c r="R353" t="b">
        <v>1</v>
      </c>
    </row>
    <row r="354" spans="1:18">
      <c r="A354" t="s">
        <v>3010</v>
      </c>
      <c r="B354" t="s">
        <v>10577</v>
      </c>
      <c r="C354" s="5" t="s">
        <v>7965</v>
      </c>
      <c r="D354" s="1">
        <v>1</v>
      </c>
      <c r="E354" s="1" t="s">
        <v>1016</v>
      </c>
      <c r="F354" s="1">
        <v>371</v>
      </c>
      <c r="G354" s="1">
        <v>372</v>
      </c>
      <c r="H354" s="8" cm="1">
        <f t="array" ref="H354">_xlfn.LET(_xlpm.s,IFERROR(--F354,""),_xlpm.e,IFERROR(--G354,""),IF(OR(_xlpm.s="",_xlpm.e="",_xlpm.e&lt;_xlpm.s),"",_xlfn.LET(_xlpm.p,_xlfn.SEQUENCE(_xlpm.e-_xlpm.s+1,1,_xlpm.s,1),SUM(1/COUNTIFS($D:$D,D354,$E:$E,E354,$F:$F,"&lt;&gt;N/A",$G:$G,"&lt;&gt;N/A",$F:$F,"&lt;="&amp;_xlpm.p,$G:$G,"&gt;="&amp;_xlpm.p)))))</f>
        <v>1</v>
      </c>
      <c r="I354" s="4" t="s">
        <v>782</v>
      </c>
      <c r="J354" s="5" t="s">
        <v>1017</v>
      </c>
      <c r="K354" s="5" t="s">
        <v>2380</v>
      </c>
      <c r="L354" s="5" t="s">
        <v>2198</v>
      </c>
      <c r="M354" s="5" t="s">
        <v>7209</v>
      </c>
      <c r="N354" s="5" t="s">
        <v>2382</v>
      </c>
      <c r="O354" s="4" t="s">
        <v>5072</v>
      </c>
      <c r="P354" s="4" t="s">
        <v>8021</v>
      </c>
      <c r="R354" t="b">
        <v>1</v>
      </c>
    </row>
    <row r="355" spans="1:18">
      <c r="A355" t="s">
        <v>3010</v>
      </c>
      <c r="B355" t="s">
        <v>11420</v>
      </c>
      <c r="C355" s="5" t="s">
        <v>7965</v>
      </c>
      <c r="D355" s="1">
        <v>1</v>
      </c>
      <c r="E355" s="1" t="s">
        <v>1016</v>
      </c>
      <c r="F355" s="1">
        <v>372</v>
      </c>
      <c r="G355" s="1">
        <v>372</v>
      </c>
      <c r="H355" s="8" cm="1">
        <f t="array" ref="H355">_xlfn.LET(_xlpm.s,IFERROR(--F355,""),_xlpm.e,IFERROR(--G355,""),IF(OR(_xlpm.s="",_xlpm.e="",_xlpm.e&lt;_xlpm.s),"",_xlfn.LET(_xlpm.p,_xlfn.SEQUENCE(_xlpm.e-_xlpm.s+1,1,_xlpm.s,1),SUM(1/COUNTIFS($D:$D,D355,$E:$E,E355,$F:$F,"&lt;&gt;N/A",$G:$G,"&lt;&gt;N/A",$F:$F,"&lt;="&amp;_xlpm.p,$G:$G,"&gt;="&amp;_xlpm.p)))))</f>
        <v>0.5</v>
      </c>
      <c r="I355" s="4" t="s">
        <v>782</v>
      </c>
      <c r="J355" t="s">
        <v>11419</v>
      </c>
      <c r="K355" s="5" t="s">
        <v>7</v>
      </c>
      <c r="L355" s="5" t="s">
        <v>7</v>
      </c>
      <c r="M355" s="5" t="s">
        <v>7</v>
      </c>
      <c r="N355" s="5" t="s">
        <v>7</v>
      </c>
      <c r="O355" s="4" t="s">
        <v>778</v>
      </c>
      <c r="P355" s="4" t="s">
        <v>7834</v>
      </c>
      <c r="R355" t="b">
        <v>0</v>
      </c>
    </row>
    <row r="356" spans="1:18">
      <c r="A356" t="s">
        <v>3010</v>
      </c>
      <c r="B356" t="s">
        <v>10578</v>
      </c>
      <c r="C356" s="5" t="s">
        <v>7966</v>
      </c>
      <c r="D356" s="1">
        <v>1</v>
      </c>
      <c r="E356" s="1" t="s">
        <v>1018</v>
      </c>
      <c r="F356" s="1">
        <v>373</v>
      </c>
      <c r="G356" s="1">
        <v>375</v>
      </c>
      <c r="H356" s="8" cm="1">
        <f t="array" ref="H356">_xlfn.LET(_xlpm.s,IFERROR(--F356,""),_xlpm.e,IFERROR(--G356,""),IF(OR(_xlpm.s="",_xlpm.e="",_xlpm.e&lt;_xlpm.s),"",_xlfn.LET(_xlpm.p,_xlfn.SEQUENCE(_xlpm.e-_xlpm.s+1,1,_xlpm.s,1),SUM(1/COUNTIFS($D:$D,D356,$E:$E,E356,$F:$F,"&lt;&gt;N/A",$G:$G,"&lt;&gt;N/A",$F:$F,"&lt;="&amp;_xlpm.p,$G:$G,"&gt;="&amp;_xlpm.p)))))</f>
        <v>2.5</v>
      </c>
      <c r="I356" s="4" t="s">
        <v>774</v>
      </c>
      <c r="J356" s="5" t="s">
        <v>839</v>
      </c>
      <c r="K356" s="5" t="s">
        <v>7</v>
      </c>
      <c r="L356" s="5" t="s">
        <v>7</v>
      </c>
      <c r="M356" s="5" t="s">
        <v>7</v>
      </c>
      <c r="N356" s="5" t="s">
        <v>7</v>
      </c>
      <c r="O356" s="4" t="s">
        <v>778</v>
      </c>
      <c r="P356" s="4" t="s">
        <v>7834</v>
      </c>
      <c r="R356" t="b">
        <v>0</v>
      </c>
    </row>
    <row r="357" spans="1:18">
      <c r="A357" t="s">
        <v>3010</v>
      </c>
      <c r="B357" t="s">
        <v>11421</v>
      </c>
      <c r="C357" s="5" t="s">
        <v>7966</v>
      </c>
      <c r="D357" s="1">
        <v>1</v>
      </c>
      <c r="E357" s="1" t="s">
        <v>1018</v>
      </c>
      <c r="F357" s="1">
        <v>375</v>
      </c>
      <c r="G357" s="1">
        <v>376</v>
      </c>
      <c r="H357" s="8" cm="1">
        <f t="array" ref="H357">_xlfn.LET(_xlpm.s,IFERROR(--F357,""),_xlpm.e,IFERROR(--G357,""),IF(OR(_xlpm.s="",_xlpm.e="",_xlpm.e&lt;_xlpm.s),"",_xlfn.LET(_xlpm.p,_xlfn.SEQUENCE(_xlpm.e-_xlpm.s+1,1,_xlpm.s,1),SUM(1/COUNTIFS($D:$D,D357,$E:$E,E357,$F:$F,"&lt;&gt;N/A",$G:$G,"&lt;&gt;N/A",$F:$F,"&lt;="&amp;_xlpm.p,$G:$G,"&gt;="&amp;_xlpm.p)))))</f>
        <v>1.5</v>
      </c>
      <c r="I357" s="4" t="s">
        <v>782</v>
      </c>
      <c r="J357" s="5" t="s">
        <v>1019</v>
      </c>
      <c r="K357" s="5" t="s">
        <v>7</v>
      </c>
      <c r="L357" s="5" t="s">
        <v>7</v>
      </c>
      <c r="M357" t="s">
        <v>6965</v>
      </c>
      <c r="N357" s="5" t="s">
        <v>2377</v>
      </c>
      <c r="O357" s="4" t="s">
        <v>5072</v>
      </c>
      <c r="P357" s="4" t="s">
        <v>8021</v>
      </c>
      <c r="R357" t="b">
        <v>1</v>
      </c>
    </row>
    <row r="358" spans="1:18">
      <c r="A358" t="s">
        <v>3010</v>
      </c>
      <c r="B358" t="s">
        <v>7078</v>
      </c>
      <c r="C358" s="5" t="s">
        <v>7967</v>
      </c>
      <c r="D358" s="1">
        <v>1</v>
      </c>
      <c r="E358" s="1" t="s">
        <v>1020</v>
      </c>
      <c r="F358" s="1">
        <v>377</v>
      </c>
      <c r="G358" s="1">
        <v>378</v>
      </c>
      <c r="H358" s="8" cm="1">
        <f t="array" ref="H358">_xlfn.LET(_xlpm.s,IFERROR(--F358,""),_xlpm.e,IFERROR(--G358,""),IF(OR(_xlpm.s="",_xlpm.e="",_xlpm.e&lt;_xlpm.s),"",_xlfn.LET(_xlpm.p,_xlfn.SEQUENCE(_xlpm.e-_xlpm.s+1,1,_xlpm.s,1),SUM(1/COUNTIFS($D:$D,D358,$E:$E,E358,$F:$F,"&lt;&gt;N/A",$G:$G,"&lt;&gt;N/A",$F:$F,"&lt;="&amp;_xlpm.p,$G:$G,"&gt;="&amp;_xlpm.p)))))</f>
        <v>1.5</v>
      </c>
      <c r="I358" s="4" t="s">
        <v>774</v>
      </c>
      <c r="J358" s="5" t="s">
        <v>839</v>
      </c>
      <c r="K358" s="5" t="s">
        <v>7</v>
      </c>
      <c r="L358" s="5" t="s">
        <v>7</v>
      </c>
      <c r="M358" s="5" t="s">
        <v>7</v>
      </c>
      <c r="N358" s="5" t="s">
        <v>7</v>
      </c>
      <c r="O358" s="4" t="s">
        <v>778</v>
      </c>
      <c r="P358" s="4" t="s">
        <v>7834</v>
      </c>
      <c r="R358" t="b">
        <v>0</v>
      </c>
    </row>
    <row r="359" spans="1:18">
      <c r="A359" t="s">
        <v>3010</v>
      </c>
      <c r="B359" t="s">
        <v>7163</v>
      </c>
      <c r="C359" s="5" t="s">
        <v>7967</v>
      </c>
      <c r="D359" s="1">
        <v>1</v>
      </c>
      <c r="E359" s="1" t="s">
        <v>1020</v>
      </c>
      <c r="F359" s="1">
        <v>378</v>
      </c>
      <c r="G359" s="1">
        <v>379</v>
      </c>
      <c r="H359" s="8" cm="1">
        <f t="array" ref="H359">_xlfn.LET(_xlpm.s,IFERROR(--F359,""),_xlpm.e,IFERROR(--G359,""),IF(OR(_xlpm.s="",_xlpm.e="",_xlpm.e&lt;_xlpm.s),"",_xlfn.LET(_xlpm.p,_xlfn.SEQUENCE(_xlpm.e-_xlpm.s+1,1,_xlpm.s,1),SUM(1/COUNTIFS($D:$D,D359,$E:$E,E359,$F:$F,"&lt;&gt;N/A",$G:$G,"&lt;&gt;N/A",$F:$F,"&lt;="&amp;_xlpm.p,$G:$G,"&gt;="&amp;_xlpm.p)))))</f>
        <v>1</v>
      </c>
      <c r="I359" s="4" t="s">
        <v>782</v>
      </c>
      <c r="J359" s="5" t="s">
        <v>1021</v>
      </c>
      <c r="K359" s="5" t="s">
        <v>1022</v>
      </c>
      <c r="L359" s="5" t="s">
        <v>7</v>
      </c>
      <c r="M359" s="5" t="s">
        <v>7</v>
      </c>
      <c r="N359" s="5" t="s">
        <v>7</v>
      </c>
      <c r="O359" s="4" t="s">
        <v>778</v>
      </c>
      <c r="P359" s="4" t="s">
        <v>7834</v>
      </c>
      <c r="R359" t="b">
        <v>1</v>
      </c>
    </row>
    <row r="360" spans="1:18">
      <c r="A360" t="s">
        <v>3010</v>
      </c>
      <c r="B360" t="s">
        <v>10579</v>
      </c>
      <c r="C360" s="5" t="s">
        <v>7967</v>
      </c>
      <c r="D360" s="1">
        <v>1</v>
      </c>
      <c r="E360" s="1" t="s">
        <v>1020</v>
      </c>
      <c r="F360" s="1">
        <v>379</v>
      </c>
      <c r="G360" s="1">
        <v>380</v>
      </c>
      <c r="H360" s="8" cm="1">
        <f t="array" ref="H360">_xlfn.LET(_xlpm.s,IFERROR(--F360,""),_xlpm.e,IFERROR(--G360,""),IF(OR(_xlpm.s="",_xlpm.e="",_xlpm.e&lt;_xlpm.s),"",_xlfn.LET(_xlpm.p,_xlfn.SEQUENCE(_xlpm.e-_xlpm.s+1,1,_xlpm.s,1),SUM(1/COUNTIFS($D:$D,D360,$E:$E,E360,$F:$F,"&lt;&gt;N/A",$G:$G,"&lt;&gt;N/A",$F:$F,"&lt;="&amp;_xlpm.p,$G:$G,"&gt;="&amp;_xlpm.p)))))</f>
        <v>1</v>
      </c>
      <c r="I360" s="4" t="s">
        <v>782</v>
      </c>
      <c r="J360" s="5" t="s">
        <v>1023</v>
      </c>
      <c r="K360" s="5" t="s">
        <v>2199</v>
      </c>
      <c r="L360" s="5" t="s">
        <v>7</v>
      </c>
      <c r="M360" s="5" t="s">
        <v>7</v>
      </c>
      <c r="N360" s="5" t="s">
        <v>10157</v>
      </c>
      <c r="O360" s="4" t="s">
        <v>5072</v>
      </c>
      <c r="P360" s="4" t="s">
        <v>8027</v>
      </c>
      <c r="R360" t="b">
        <v>1</v>
      </c>
    </row>
    <row r="361" spans="1:18">
      <c r="A361" t="s">
        <v>3010</v>
      </c>
      <c r="B361" t="s">
        <v>11422</v>
      </c>
      <c r="C361" s="5" t="s">
        <v>7967</v>
      </c>
      <c r="D361" s="1">
        <v>1</v>
      </c>
      <c r="E361" s="1" t="s">
        <v>1020</v>
      </c>
      <c r="F361" s="1">
        <v>380</v>
      </c>
      <c r="G361" s="1">
        <v>380</v>
      </c>
      <c r="H361" s="8" cm="1">
        <f t="array" ref="H361">_xlfn.LET(_xlpm.s,IFERROR(--F361,""),_xlpm.e,IFERROR(--G361,""),IF(OR(_xlpm.s="",_xlpm.e="",_xlpm.e&lt;_xlpm.s),"",_xlfn.LET(_xlpm.p,_xlfn.SEQUENCE(_xlpm.e-_xlpm.s+1,1,_xlpm.s,1),SUM(1/COUNTIFS($D:$D,D361,$E:$E,E361,$F:$F,"&lt;&gt;N/A",$G:$G,"&lt;&gt;N/A",$F:$F,"&lt;="&amp;_xlpm.p,$G:$G,"&gt;="&amp;_xlpm.p)))))</f>
        <v>0.5</v>
      </c>
      <c r="I361" s="4" t="s">
        <v>782</v>
      </c>
      <c r="J361" s="5" t="s">
        <v>1024</v>
      </c>
      <c r="K361" s="5" t="s">
        <v>7</v>
      </c>
      <c r="L361" s="5" t="s">
        <v>7</v>
      </c>
      <c r="M361" s="5" t="s">
        <v>7</v>
      </c>
      <c r="N361" s="5" t="s">
        <v>2375</v>
      </c>
      <c r="O361" s="4" t="s">
        <v>5072</v>
      </c>
      <c r="P361" s="4" t="s">
        <v>8027</v>
      </c>
      <c r="R361" t="b">
        <v>1</v>
      </c>
    </row>
    <row r="362" spans="1:18">
      <c r="A362" t="s">
        <v>3010</v>
      </c>
      <c r="B362" t="s">
        <v>7079</v>
      </c>
      <c r="C362" s="5" t="s">
        <v>10271</v>
      </c>
      <c r="D362" s="1">
        <v>1</v>
      </c>
      <c r="E362" s="1" t="s">
        <v>1025</v>
      </c>
      <c r="F362" s="1">
        <v>381</v>
      </c>
      <c r="G362" s="1">
        <v>382</v>
      </c>
      <c r="H362" s="8" cm="1">
        <f t="array" ref="H362">_xlfn.LET(_xlpm.s,IFERROR(--F362,""),_xlpm.e,IFERROR(--G362,""),IF(OR(_xlpm.s="",_xlpm.e="",_xlpm.e&lt;_xlpm.s),"",_xlfn.LET(_xlpm.p,_xlfn.SEQUENCE(_xlpm.e-_xlpm.s+1,1,_xlpm.s,1),SUM(1/COUNTIFS($D:$D,D362,$E:$E,E362,$F:$F,"&lt;&gt;N/A",$G:$G,"&lt;&gt;N/A",$F:$F,"&lt;="&amp;_xlpm.p,$G:$G,"&gt;="&amp;_xlpm.p)))))</f>
        <v>1.3333333333333333</v>
      </c>
      <c r="I362" s="4" t="s">
        <v>774</v>
      </c>
      <c r="J362" s="5" t="s">
        <v>839</v>
      </c>
      <c r="K362" s="5" t="s">
        <v>7</v>
      </c>
      <c r="L362" s="5" t="s">
        <v>7</v>
      </c>
      <c r="M362" s="5" t="s">
        <v>7</v>
      </c>
      <c r="N362" s="5" t="s">
        <v>7</v>
      </c>
      <c r="O362" s="4" t="s">
        <v>778</v>
      </c>
      <c r="P362" s="4" t="s">
        <v>7834</v>
      </c>
      <c r="R362" t="b">
        <v>0</v>
      </c>
    </row>
    <row r="363" spans="1:18">
      <c r="A363" t="s">
        <v>3010</v>
      </c>
      <c r="B363" t="s">
        <v>7080</v>
      </c>
      <c r="C363" s="5" t="s">
        <v>10271</v>
      </c>
      <c r="D363" s="1">
        <v>1</v>
      </c>
      <c r="E363" s="1" t="s">
        <v>1025</v>
      </c>
      <c r="F363" s="1">
        <v>382</v>
      </c>
      <c r="G363" s="1">
        <v>382</v>
      </c>
      <c r="H363" s="8" cm="1">
        <f t="array" ref="H363">_xlfn.LET(_xlpm.s,IFERROR(--F363,""),_xlpm.e,IFERROR(--G363,""),IF(OR(_xlpm.s="",_xlpm.e="",_xlpm.e&lt;_xlpm.s),"",_xlfn.LET(_xlpm.p,_xlfn.SEQUENCE(_xlpm.e-_xlpm.s+1,1,_xlpm.s,1),SUM(1/COUNTIFS($D:$D,D363,$E:$E,E363,$F:$F,"&lt;&gt;N/A",$G:$G,"&lt;&gt;N/A",$F:$F,"&lt;="&amp;_xlpm.p,$G:$G,"&gt;="&amp;_xlpm.p)))))</f>
        <v>0.33333333333333331</v>
      </c>
      <c r="I363" s="4" t="s">
        <v>774</v>
      </c>
      <c r="J363" s="5" t="s">
        <v>848</v>
      </c>
      <c r="K363" s="5" t="s">
        <v>7</v>
      </c>
      <c r="L363" s="5" t="s">
        <v>7</v>
      </c>
      <c r="M363" s="5" t="s">
        <v>7</v>
      </c>
      <c r="N363" s="5" t="s">
        <v>7</v>
      </c>
      <c r="O363" s="4" t="s">
        <v>778</v>
      </c>
      <c r="P363" s="4" t="s">
        <v>7834</v>
      </c>
      <c r="R363" t="b">
        <v>1</v>
      </c>
    </row>
    <row r="364" spans="1:18">
      <c r="A364" t="s">
        <v>3010</v>
      </c>
      <c r="B364" t="s">
        <v>7164</v>
      </c>
      <c r="C364" s="5" t="s">
        <v>10271</v>
      </c>
      <c r="D364" s="1">
        <v>1</v>
      </c>
      <c r="E364" s="1" t="s">
        <v>1025</v>
      </c>
      <c r="F364" s="1">
        <v>382</v>
      </c>
      <c r="G364" s="1">
        <v>383</v>
      </c>
      <c r="H364" s="8" cm="1">
        <f t="array" ref="H364">_xlfn.LET(_xlpm.s,IFERROR(--F364,""),_xlpm.e,IFERROR(--G364,""),IF(OR(_xlpm.s="",_xlpm.e="",_xlpm.e&lt;_xlpm.s),"",_xlfn.LET(_xlpm.p,_xlfn.SEQUENCE(_xlpm.e-_xlpm.s+1,1,_xlpm.s,1),SUM(1/COUNTIFS($D:$D,D364,$E:$E,E364,$F:$F,"&lt;&gt;N/A",$G:$G,"&lt;&gt;N/A",$F:$F,"&lt;="&amp;_xlpm.p,$G:$G,"&gt;="&amp;_xlpm.p)))))</f>
        <v>0.83333333333333326</v>
      </c>
      <c r="I364" s="4" t="s">
        <v>782</v>
      </c>
      <c r="J364" s="5" t="s">
        <v>1026</v>
      </c>
      <c r="K364" s="5" t="s">
        <v>2200</v>
      </c>
      <c r="L364" s="5" t="s">
        <v>7</v>
      </c>
      <c r="M364" s="5" t="s">
        <v>7</v>
      </c>
      <c r="N364" s="5" t="s">
        <v>2378</v>
      </c>
      <c r="O364" s="4" t="s">
        <v>5072</v>
      </c>
      <c r="P364" s="4" t="s">
        <v>8027</v>
      </c>
      <c r="R364" t="b">
        <v>1</v>
      </c>
    </row>
    <row r="365" spans="1:18">
      <c r="A365" t="s">
        <v>3010</v>
      </c>
      <c r="B365" t="s">
        <v>10580</v>
      </c>
      <c r="C365" s="5" t="s">
        <v>10271</v>
      </c>
      <c r="D365" s="1">
        <v>1</v>
      </c>
      <c r="E365" s="1" t="s">
        <v>1025</v>
      </c>
      <c r="F365" s="1">
        <v>383</v>
      </c>
      <c r="G365" s="1">
        <v>384</v>
      </c>
      <c r="H365" s="8" cm="1">
        <f t="array" ref="H365">_xlfn.LET(_xlpm.s,IFERROR(--F365,""),_xlpm.e,IFERROR(--G365,""),IF(OR(_xlpm.s="",_xlpm.e="",_xlpm.e&lt;_xlpm.s),"",_xlfn.LET(_xlpm.p,_xlfn.SEQUENCE(_xlpm.e-_xlpm.s+1,1,_xlpm.s,1),SUM(1/COUNTIFS($D:$D,D365,$E:$E,E365,$F:$F,"&lt;&gt;N/A",$G:$G,"&lt;&gt;N/A",$F:$F,"&lt;="&amp;_xlpm.p,$G:$G,"&gt;="&amp;_xlpm.p)))))</f>
        <v>1</v>
      </c>
      <c r="I365" s="4" t="s">
        <v>782</v>
      </c>
      <c r="J365" s="5" t="s">
        <v>1027</v>
      </c>
      <c r="K365" s="5" t="s">
        <v>7</v>
      </c>
      <c r="L365" s="5" t="s">
        <v>2201</v>
      </c>
      <c r="M365" t="s">
        <v>6965</v>
      </c>
      <c r="N365" s="5" t="s">
        <v>2346</v>
      </c>
      <c r="O365" s="4" t="s">
        <v>11522</v>
      </c>
      <c r="P365" s="4" t="s">
        <v>8034</v>
      </c>
      <c r="R365" t="b">
        <v>1</v>
      </c>
    </row>
    <row r="366" spans="1:18">
      <c r="A366" t="s">
        <v>3010</v>
      </c>
      <c r="B366" t="s">
        <v>11423</v>
      </c>
      <c r="C366" s="5" t="s">
        <v>10271</v>
      </c>
      <c r="D366" s="1">
        <v>1</v>
      </c>
      <c r="E366" s="1" t="s">
        <v>1025</v>
      </c>
      <c r="F366" s="1">
        <v>384</v>
      </c>
      <c r="G366" s="1">
        <v>384</v>
      </c>
      <c r="H366" s="8" cm="1">
        <f t="array" ref="H366">_xlfn.LET(_xlpm.s,IFERROR(--F366,""),_xlpm.e,IFERROR(--G366,""),IF(OR(_xlpm.s="",_xlpm.e="",_xlpm.e&lt;_xlpm.s),"",_xlfn.LET(_xlpm.p,_xlfn.SEQUENCE(_xlpm.e-_xlpm.s+1,1,_xlpm.s,1),SUM(1/COUNTIFS($D:$D,D366,$E:$E,E366,$F:$F,"&lt;&gt;N/A",$G:$G,"&lt;&gt;N/A",$F:$F,"&lt;="&amp;_xlpm.p,$G:$G,"&gt;="&amp;_xlpm.p)))))</f>
        <v>0.5</v>
      </c>
      <c r="I366" s="4" t="s">
        <v>782</v>
      </c>
      <c r="J366" s="5" t="s">
        <v>1028</v>
      </c>
      <c r="K366" s="5" t="s">
        <v>11509</v>
      </c>
      <c r="L366" s="5" t="s">
        <v>7</v>
      </c>
      <c r="M366" s="5" t="s">
        <v>7</v>
      </c>
      <c r="N366" s="5" t="s">
        <v>7</v>
      </c>
      <c r="O366" s="4" t="s">
        <v>778</v>
      </c>
      <c r="P366" s="4" t="s">
        <v>7834</v>
      </c>
      <c r="R366" t="b">
        <v>1</v>
      </c>
    </row>
    <row r="367" spans="1:18">
      <c r="A367" t="s">
        <v>3010</v>
      </c>
      <c r="B367" t="s">
        <v>7081</v>
      </c>
      <c r="C367" s="5" t="s">
        <v>7971</v>
      </c>
      <c r="D367" s="1">
        <v>1</v>
      </c>
      <c r="E367" s="1" t="s">
        <v>1029</v>
      </c>
      <c r="F367" s="1">
        <v>385</v>
      </c>
      <c r="G367" s="1">
        <v>386</v>
      </c>
      <c r="H367" s="8" cm="1">
        <f t="array" ref="H367">_xlfn.LET(_xlpm.s,IFERROR(--F367,""),_xlpm.e,IFERROR(--G367,""),IF(OR(_xlpm.s="",_xlpm.e="",_xlpm.e&lt;_xlpm.s),"",_xlfn.LET(_xlpm.p,_xlfn.SEQUENCE(_xlpm.e-_xlpm.s+1,1,_xlpm.s,1),SUM(1/COUNTIFS($D:$D,D367,$E:$E,E367,$F:$F,"&lt;&gt;N/A",$G:$G,"&lt;&gt;N/A",$F:$F,"&lt;="&amp;_xlpm.p,$G:$G,"&gt;="&amp;_xlpm.p)))))</f>
        <v>1.5</v>
      </c>
      <c r="I367" s="4" t="s">
        <v>774</v>
      </c>
      <c r="J367" s="5" t="s">
        <v>839</v>
      </c>
      <c r="K367" s="5" t="s">
        <v>7</v>
      </c>
      <c r="L367" s="5" t="s">
        <v>7</v>
      </c>
      <c r="M367" s="5" t="s">
        <v>7</v>
      </c>
      <c r="N367" s="5" t="s">
        <v>7</v>
      </c>
      <c r="O367" s="4" t="s">
        <v>778</v>
      </c>
      <c r="P367" s="4" t="s">
        <v>7834</v>
      </c>
      <c r="R367" t="b">
        <v>0</v>
      </c>
    </row>
    <row r="368" spans="1:18">
      <c r="A368" t="s">
        <v>3010</v>
      </c>
      <c r="B368" t="s">
        <v>7082</v>
      </c>
      <c r="C368" s="5" t="s">
        <v>7971</v>
      </c>
      <c r="D368" s="1">
        <v>1</v>
      </c>
      <c r="E368" s="1" t="s">
        <v>1029</v>
      </c>
      <c r="F368" s="1">
        <v>386</v>
      </c>
      <c r="G368" s="1">
        <v>387</v>
      </c>
      <c r="H368" s="8" cm="1">
        <f t="array" ref="H368">_xlfn.LET(_xlpm.s,IFERROR(--F368,""),_xlpm.e,IFERROR(--G368,""),IF(OR(_xlpm.s="",_xlpm.e="",_xlpm.e&lt;_xlpm.s),"",_xlfn.LET(_xlpm.p,_xlfn.SEQUENCE(_xlpm.e-_xlpm.s+1,1,_xlpm.s,1),SUM(1/COUNTIFS($D:$D,D368,$E:$E,E368,$F:$F,"&lt;&gt;N/A",$G:$G,"&lt;&gt;N/A",$F:$F,"&lt;="&amp;_xlpm.p,$G:$G,"&gt;="&amp;_xlpm.p)))))</f>
        <v>0.83333333333333326</v>
      </c>
      <c r="I368" s="4" t="s">
        <v>782</v>
      </c>
      <c r="J368" s="5" t="s">
        <v>7248</v>
      </c>
      <c r="K368" s="5" t="s">
        <v>1031</v>
      </c>
      <c r="L368" s="5" t="s">
        <v>2202</v>
      </c>
      <c r="M368" s="5" t="s">
        <v>7209</v>
      </c>
      <c r="N368" s="5" t="s">
        <v>2381</v>
      </c>
      <c r="O368" s="4" t="s">
        <v>11522</v>
      </c>
      <c r="P368" s="4" t="s">
        <v>8021</v>
      </c>
      <c r="R368" t="b">
        <v>1</v>
      </c>
    </row>
    <row r="369" spans="1:18">
      <c r="A369" t="s">
        <v>3010</v>
      </c>
      <c r="B369" t="s">
        <v>7165</v>
      </c>
      <c r="C369" s="5" t="s">
        <v>7971</v>
      </c>
      <c r="D369" s="1">
        <v>1</v>
      </c>
      <c r="E369" s="1" t="s">
        <v>1029</v>
      </c>
      <c r="F369" s="1">
        <v>387</v>
      </c>
      <c r="G369" s="1">
        <v>387</v>
      </c>
      <c r="H369" s="8" cm="1">
        <f t="array" ref="H369">_xlfn.LET(_xlpm.s,IFERROR(--F369,""),_xlpm.e,IFERROR(--G369,""),IF(OR(_xlpm.s="",_xlpm.e="",_xlpm.e&lt;_xlpm.s),"",_xlfn.LET(_xlpm.p,_xlfn.SEQUENCE(_xlpm.e-_xlpm.s+1,1,_xlpm.s,1),SUM(1/COUNTIFS($D:$D,D369,$E:$E,E369,$F:$F,"&lt;&gt;N/A",$G:$G,"&lt;&gt;N/A",$F:$F,"&lt;="&amp;_xlpm.p,$G:$G,"&gt;="&amp;_xlpm.p)))))</f>
        <v>0.33333333333333331</v>
      </c>
      <c r="I369" s="4" t="s">
        <v>782</v>
      </c>
      <c r="J369" s="5" t="s">
        <v>1032</v>
      </c>
      <c r="K369" s="5" t="s">
        <v>7</v>
      </c>
      <c r="L369" s="5" t="s">
        <v>2203</v>
      </c>
      <c r="M369" t="s">
        <v>7208</v>
      </c>
      <c r="N369" s="5" t="s">
        <v>7279</v>
      </c>
      <c r="O369" s="4" t="s">
        <v>5072</v>
      </c>
      <c r="P369" s="4" t="s">
        <v>8021</v>
      </c>
      <c r="R369" t="b">
        <v>1</v>
      </c>
    </row>
    <row r="370" spans="1:18">
      <c r="A370" t="s">
        <v>3010</v>
      </c>
      <c r="B370" t="s">
        <v>10581</v>
      </c>
      <c r="C370" s="5" t="s">
        <v>7971</v>
      </c>
      <c r="D370" s="1">
        <v>1</v>
      </c>
      <c r="E370" s="1" t="s">
        <v>1029</v>
      </c>
      <c r="F370" s="1">
        <v>387</v>
      </c>
      <c r="G370" s="1">
        <v>388</v>
      </c>
      <c r="H370" s="8" cm="1">
        <f t="array" ref="H370">_xlfn.LET(_xlpm.s,IFERROR(--F370,""),_xlpm.e,IFERROR(--G370,""),IF(OR(_xlpm.s="",_xlpm.e="",_xlpm.e&lt;_xlpm.s),"",_xlfn.LET(_xlpm.p,_xlfn.SEQUENCE(_xlpm.e-_xlpm.s+1,1,_xlpm.s,1),SUM(1/COUNTIFS($D:$D,D370,$E:$E,E370,$F:$F,"&lt;&gt;N/A",$G:$G,"&lt;&gt;N/A",$F:$F,"&lt;="&amp;_xlpm.p,$G:$G,"&gt;="&amp;_xlpm.p)))))</f>
        <v>0.83333333333333326</v>
      </c>
      <c r="I370" s="4" t="s">
        <v>782</v>
      </c>
      <c r="J370" s="5" t="s">
        <v>1033</v>
      </c>
      <c r="K370" s="5" t="s">
        <v>7</v>
      </c>
      <c r="L370" s="5" t="s">
        <v>2203</v>
      </c>
      <c r="M370" t="s">
        <v>7208</v>
      </c>
      <c r="N370" s="5" t="s">
        <v>7278</v>
      </c>
      <c r="O370" s="4" t="s">
        <v>5072</v>
      </c>
      <c r="P370" s="4" t="s">
        <v>8021</v>
      </c>
      <c r="R370" t="b">
        <v>1</v>
      </c>
    </row>
    <row r="371" spans="1:18">
      <c r="A371" t="s">
        <v>3010</v>
      </c>
      <c r="B371" t="s">
        <v>11424</v>
      </c>
      <c r="C371" s="5" t="s">
        <v>7971</v>
      </c>
      <c r="D371" s="1">
        <v>1</v>
      </c>
      <c r="E371" s="1" t="s">
        <v>1029</v>
      </c>
      <c r="F371" s="1">
        <v>388</v>
      </c>
      <c r="G371" s="1">
        <v>388</v>
      </c>
      <c r="H371" s="8" cm="1">
        <f t="array" ref="H371">_xlfn.LET(_xlpm.s,IFERROR(--F371,""),_xlpm.e,IFERROR(--G371,""),IF(OR(_xlpm.s="",_xlpm.e="",_xlpm.e&lt;_xlpm.s),"",_xlfn.LET(_xlpm.p,_xlfn.SEQUENCE(_xlpm.e-_xlpm.s+1,1,_xlpm.s,1),SUM(1/COUNTIFS($D:$D,D371,$E:$E,E371,$F:$F,"&lt;&gt;N/A",$G:$G,"&lt;&gt;N/A",$F:$F,"&lt;="&amp;_xlpm.p,$G:$G,"&gt;="&amp;_xlpm.p)))))</f>
        <v>0.5</v>
      </c>
      <c r="I371" s="4" t="s">
        <v>782</v>
      </c>
      <c r="J371" s="5" t="s">
        <v>1034</v>
      </c>
      <c r="K371" s="5" t="s">
        <v>7</v>
      </c>
      <c r="L371" s="5" t="s">
        <v>7</v>
      </c>
      <c r="M371" t="s">
        <v>7208</v>
      </c>
      <c r="N371" s="5" t="s">
        <v>2347</v>
      </c>
      <c r="O371" s="4" t="s">
        <v>11522</v>
      </c>
      <c r="P371" s="4" t="s">
        <v>8021</v>
      </c>
      <c r="R371" t="b">
        <v>1</v>
      </c>
    </row>
    <row r="372" spans="1:18">
      <c r="A372" t="s">
        <v>3010</v>
      </c>
      <c r="B372" t="s">
        <v>7166</v>
      </c>
      <c r="C372" s="5" t="s">
        <v>7972</v>
      </c>
      <c r="D372" s="1">
        <v>1</v>
      </c>
      <c r="E372" s="1" t="s">
        <v>1035</v>
      </c>
      <c r="F372" s="1">
        <v>389</v>
      </c>
      <c r="G372" s="1">
        <v>389</v>
      </c>
      <c r="H372" s="8" cm="1">
        <f t="array" ref="H372">_xlfn.LET(_xlpm.s,IFERROR(--F372,""),_xlpm.e,IFERROR(--G372,""),IF(OR(_xlpm.s="",_xlpm.e="",_xlpm.e&lt;_xlpm.s),"",_xlfn.LET(_xlpm.p,_xlfn.SEQUENCE(_xlpm.e-_xlpm.s+1,1,_xlpm.s,1),SUM(1/COUNTIFS($D:$D,D372,$E:$E,E372,$F:$F,"&lt;&gt;N/A",$G:$G,"&lt;&gt;N/A",$F:$F,"&lt;="&amp;_xlpm.p,$G:$G,"&gt;="&amp;_xlpm.p)))))</f>
        <v>0.5</v>
      </c>
      <c r="I372" s="4" t="s">
        <v>774</v>
      </c>
      <c r="J372" s="5" t="s">
        <v>1030</v>
      </c>
      <c r="K372" s="5" t="s">
        <v>7</v>
      </c>
      <c r="L372" s="5" t="s">
        <v>7</v>
      </c>
      <c r="M372" s="5" t="s">
        <v>7</v>
      </c>
      <c r="N372" s="5" t="s">
        <v>7</v>
      </c>
      <c r="O372" s="4" t="s">
        <v>778</v>
      </c>
      <c r="P372" s="4" t="s">
        <v>7834</v>
      </c>
      <c r="R372" t="b">
        <v>1</v>
      </c>
    </row>
    <row r="373" spans="1:18">
      <c r="A373" t="s">
        <v>3010</v>
      </c>
      <c r="B373" t="s">
        <v>10582</v>
      </c>
      <c r="C373" s="5" t="s">
        <v>7972</v>
      </c>
      <c r="D373" s="1">
        <v>1</v>
      </c>
      <c r="E373" s="1" t="s">
        <v>1035</v>
      </c>
      <c r="F373" s="1">
        <v>389</v>
      </c>
      <c r="G373" s="1">
        <v>395</v>
      </c>
      <c r="H373" s="8" cm="1">
        <f t="array" ref="H373">_xlfn.LET(_xlpm.s,IFERROR(--F373,""),_xlpm.e,IFERROR(--G373,""),IF(OR(_xlpm.s="",_xlpm.e="",_xlpm.e&lt;_xlpm.s),"",_xlfn.LET(_xlpm.p,_xlfn.SEQUENCE(_xlpm.e-_xlpm.s+1,1,_xlpm.s,1),SUM(1/COUNTIFS($D:$D,D373,$E:$E,E373,$F:$F,"&lt;&gt;N/A",$G:$G,"&lt;&gt;N/A",$F:$F,"&lt;="&amp;_xlpm.p,$G:$G,"&gt;="&amp;_xlpm.p)))))</f>
        <v>6</v>
      </c>
      <c r="I373" s="4" t="s">
        <v>774</v>
      </c>
      <c r="J373" s="5" t="s">
        <v>3261</v>
      </c>
      <c r="K373" s="5" t="s">
        <v>11508</v>
      </c>
      <c r="L373" s="5" t="s">
        <v>7</v>
      </c>
      <c r="M373" s="5" t="s">
        <v>7</v>
      </c>
      <c r="N373" s="5" t="s">
        <v>7</v>
      </c>
      <c r="O373" s="4" t="s">
        <v>778</v>
      </c>
      <c r="P373" s="4" t="s">
        <v>7834</v>
      </c>
      <c r="R373" t="b">
        <v>1</v>
      </c>
    </row>
    <row r="374" spans="1:18">
      <c r="A374" t="s">
        <v>3010</v>
      </c>
      <c r="B374" t="s">
        <v>11425</v>
      </c>
      <c r="C374" s="5" t="s">
        <v>7972</v>
      </c>
      <c r="D374" s="1">
        <v>1</v>
      </c>
      <c r="E374" s="1" t="s">
        <v>1035</v>
      </c>
      <c r="F374" s="1">
        <v>395</v>
      </c>
      <c r="G374" s="1">
        <v>396</v>
      </c>
      <c r="H374" s="8" cm="1">
        <f t="array" ref="H374">_xlfn.LET(_xlpm.s,IFERROR(--F374,""),_xlpm.e,IFERROR(--G374,""),IF(OR(_xlpm.s="",_xlpm.e="",_xlpm.e&lt;_xlpm.s),"",_xlfn.LET(_xlpm.p,_xlfn.SEQUENCE(_xlpm.e-_xlpm.s+1,1,_xlpm.s,1),SUM(1/COUNTIFS($D:$D,D374,$E:$E,E374,$F:$F,"&lt;&gt;N/A",$G:$G,"&lt;&gt;N/A",$F:$F,"&lt;="&amp;_xlpm.p,$G:$G,"&gt;="&amp;_xlpm.p)))))</f>
        <v>1.5</v>
      </c>
      <c r="I374" s="4" t="s">
        <v>782</v>
      </c>
      <c r="J374" s="5" t="s">
        <v>1036</v>
      </c>
      <c r="K374" s="5" t="s">
        <v>7</v>
      </c>
      <c r="L374" s="5" t="s">
        <v>2193</v>
      </c>
      <c r="M374" t="s">
        <v>7208</v>
      </c>
      <c r="N374" s="5" t="s">
        <v>2345</v>
      </c>
      <c r="O374" s="4" t="s">
        <v>5072</v>
      </c>
      <c r="P374" s="4" t="s">
        <v>8021</v>
      </c>
      <c r="R374" t="b">
        <v>1</v>
      </c>
    </row>
    <row r="375" spans="1:18">
      <c r="A375" t="s">
        <v>3010</v>
      </c>
      <c r="B375" t="s">
        <v>10583</v>
      </c>
      <c r="C375" s="5" t="s">
        <v>7973</v>
      </c>
      <c r="D375" s="1">
        <v>1</v>
      </c>
      <c r="E375" s="1" t="s">
        <v>1037</v>
      </c>
      <c r="F375" s="1">
        <v>397</v>
      </c>
      <c r="G375" s="1">
        <v>399</v>
      </c>
      <c r="H375" s="8" cm="1">
        <f t="array" ref="H375">_xlfn.LET(_xlpm.s,IFERROR(--F375,""),_xlpm.e,IFERROR(--G375,""),IF(OR(_xlpm.s="",_xlpm.e="",_xlpm.e&lt;_xlpm.s),"",_xlfn.LET(_xlpm.p,_xlfn.SEQUENCE(_xlpm.e-_xlpm.s+1,1,_xlpm.s,1),SUM(1/COUNTIFS($D:$D,D375,$E:$E,E375,$F:$F,"&lt;&gt;N/A",$G:$G,"&lt;&gt;N/A",$F:$F,"&lt;="&amp;_xlpm.p,$G:$G,"&gt;="&amp;_xlpm.p)))))</f>
        <v>2.5</v>
      </c>
      <c r="I375" s="4" t="s">
        <v>782</v>
      </c>
      <c r="J375" s="5" t="s">
        <v>1038</v>
      </c>
      <c r="K375" t="s">
        <v>847</v>
      </c>
      <c r="L375" s="5" t="s">
        <v>7</v>
      </c>
      <c r="M375" s="5" t="s">
        <v>7</v>
      </c>
      <c r="N375" s="5" t="s">
        <v>7</v>
      </c>
      <c r="O375" s="4" t="s">
        <v>778</v>
      </c>
      <c r="P375" s="4" t="s">
        <v>7834</v>
      </c>
      <c r="R375" t="b">
        <v>1</v>
      </c>
    </row>
    <row r="376" spans="1:18">
      <c r="A376" t="s">
        <v>3010</v>
      </c>
      <c r="B376" t="s">
        <v>11426</v>
      </c>
      <c r="C376" s="5" t="s">
        <v>7973</v>
      </c>
      <c r="D376" s="1">
        <v>1</v>
      </c>
      <c r="E376" s="1" t="s">
        <v>1037</v>
      </c>
      <c r="F376" s="1">
        <v>399</v>
      </c>
      <c r="G376" s="1">
        <v>400</v>
      </c>
      <c r="H376" s="8" cm="1">
        <f t="array" ref="H376">_xlfn.LET(_xlpm.s,IFERROR(--F376,""),_xlpm.e,IFERROR(--G376,""),IF(OR(_xlpm.s="",_xlpm.e="",_xlpm.e&lt;_xlpm.s),"",_xlfn.LET(_xlpm.p,_xlfn.SEQUENCE(_xlpm.e-_xlpm.s+1,1,_xlpm.s,1),SUM(1/COUNTIFS($D:$D,D376,$E:$E,E376,$F:$F,"&lt;&gt;N/A",$G:$G,"&lt;&gt;N/A",$F:$F,"&lt;="&amp;_xlpm.p,$G:$G,"&gt;="&amp;_xlpm.p)))))</f>
        <v>1.5</v>
      </c>
      <c r="I376" s="4" t="s">
        <v>782</v>
      </c>
      <c r="J376" s="5" t="s">
        <v>11459</v>
      </c>
      <c r="K376" s="5" t="s">
        <v>7</v>
      </c>
      <c r="L376" s="5" t="s">
        <v>7</v>
      </c>
      <c r="M376" s="5" t="s">
        <v>7</v>
      </c>
      <c r="N376" s="5" t="s">
        <v>7</v>
      </c>
      <c r="O376" s="4" t="s">
        <v>778</v>
      </c>
      <c r="P376" s="4" t="s">
        <v>7834</v>
      </c>
      <c r="R376" t="b">
        <v>1</v>
      </c>
    </row>
    <row r="377" spans="1:18">
      <c r="A377" t="s">
        <v>3010</v>
      </c>
      <c r="B377" t="s">
        <v>11427</v>
      </c>
      <c r="C377" s="5" t="s">
        <v>10274</v>
      </c>
      <c r="D377" s="1">
        <v>1</v>
      </c>
      <c r="E377" s="1" t="s">
        <v>1039</v>
      </c>
      <c r="F377" s="1">
        <v>401</v>
      </c>
      <c r="G377" s="1">
        <v>404</v>
      </c>
      <c r="H377" s="8" cm="1">
        <f t="array" ref="H377">_xlfn.LET(_xlpm.s,IFERROR(--F377,""),_xlpm.e,IFERROR(--G377,""),IF(OR(_xlpm.s="",_xlpm.e="",_xlpm.e&lt;_xlpm.s),"",_xlfn.LET(_xlpm.p,_xlfn.SEQUENCE(_xlpm.e-_xlpm.s+1,1,_xlpm.s,1),SUM(1/COUNTIFS($D:$D,D377,$E:$E,E377,$F:$F,"&lt;&gt;N/A",$G:$G,"&lt;&gt;N/A",$F:$F,"&lt;="&amp;_xlpm.p,$G:$G,"&gt;="&amp;_xlpm.p)))))</f>
        <v>4</v>
      </c>
      <c r="I377" s="4" t="s">
        <v>782</v>
      </c>
      <c r="J377" s="5" t="s">
        <v>1040</v>
      </c>
      <c r="K377" s="5" t="s">
        <v>11509</v>
      </c>
      <c r="L377" s="5" t="s">
        <v>7</v>
      </c>
      <c r="M377" s="5" t="s">
        <v>7</v>
      </c>
      <c r="N377" s="5" t="s">
        <v>7</v>
      </c>
      <c r="O377" s="4" t="s">
        <v>778</v>
      </c>
      <c r="P377" s="4" t="s">
        <v>7834</v>
      </c>
      <c r="R377" t="b">
        <v>1</v>
      </c>
    </row>
    <row r="378" spans="1:18">
      <c r="A378" t="s">
        <v>3010</v>
      </c>
      <c r="B378" t="s">
        <v>7167</v>
      </c>
      <c r="C378" s="5" t="s">
        <v>10275</v>
      </c>
      <c r="D378" s="1">
        <v>1</v>
      </c>
      <c r="E378" s="1" t="s">
        <v>1041</v>
      </c>
      <c r="F378" s="1">
        <v>405</v>
      </c>
      <c r="G378" s="1">
        <v>406</v>
      </c>
      <c r="H378" s="8" cm="1">
        <f t="array" ref="H378">_xlfn.LET(_xlpm.s,IFERROR(--F378,""),_xlpm.e,IFERROR(--G378,""),IF(OR(_xlpm.s="",_xlpm.e="",_xlpm.e&lt;_xlpm.s),"",_xlfn.LET(_xlpm.p,_xlfn.SEQUENCE(_xlpm.e-_xlpm.s+1,1,_xlpm.s,1),SUM(1/COUNTIFS($D:$D,D378,$E:$E,E378,$F:$F,"&lt;&gt;N/A",$G:$G,"&lt;&gt;N/A",$F:$F,"&lt;="&amp;_xlpm.p,$G:$G,"&gt;="&amp;_xlpm.p)))))</f>
        <v>1.5</v>
      </c>
      <c r="I378" s="4" t="s">
        <v>774</v>
      </c>
      <c r="J378" s="5" t="s">
        <v>839</v>
      </c>
      <c r="K378" s="5" t="s">
        <v>7</v>
      </c>
      <c r="L378" s="5" t="s">
        <v>7</v>
      </c>
      <c r="M378" s="5" t="s">
        <v>7</v>
      </c>
      <c r="N378" s="5" t="s">
        <v>7</v>
      </c>
      <c r="O378" s="4" t="s">
        <v>778</v>
      </c>
      <c r="P378" s="4" t="s">
        <v>7834</v>
      </c>
      <c r="R378" t="b">
        <v>0</v>
      </c>
    </row>
    <row r="379" spans="1:18">
      <c r="A379" t="s">
        <v>3010</v>
      </c>
      <c r="B379" t="s">
        <v>10584</v>
      </c>
      <c r="C379" s="5" t="s">
        <v>10275</v>
      </c>
      <c r="D379" s="1">
        <v>1</v>
      </c>
      <c r="E379" s="1" t="s">
        <v>1041</v>
      </c>
      <c r="F379" s="1">
        <v>406</v>
      </c>
      <c r="G379" s="1">
        <v>407</v>
      </c>
      <c r="H379" s="8" cm="1">
        <f t="array" ref="H379">_xlfn.LET(_xlpm.s,IFERROR(--F379,""),_xlpm.e,IFERROR(--G379,""),IF(OR(_xlpm.s="",_xlpm.e="",_xlpm.e&lt;_xlpm.s),"",_xlfn.LET(_xlpm.p,_xlfn.SEQUENCE(_xlpm.e-_xlpm.s+1,1,_xlpm.s,1),SUM(1/COUNTIFS($D:$D,D379,$E:$E,E379,$F:$F,"&lt;&gt;N/A",$G:$G,"&lt;&gt;N/A",$F:$F,"&lt;="&amp;_xlpm.p,$G:$G,"&gt;="&amp;_xlpm.p)))))</f>
        <v>1</v>
      </c>
      <c r="I379" s="4" t="s">
        <v>774</v>
      </c>
      <c r="J379" s="5" t="s">
        <v>1042</v>
      </c>
      <c r="K379" s="5" t="s">
        <v>7</v>
      </c>
      <c r="L379" s="5" t="s">
        <v>7</v>
      </c>
      <c r="M379" s="5" t="s">
        <v>7</v>
      </c>
      <c r="N379" s="5" t="s">
        <v>7</v>
      </c>
      <c r="O379" s="4" t="s">
        <v>778</v>
      </c>
      <c r="P379" s="4" t="s">
        <v>7834</v>
      </c>
      <c r="R379" t="b">
        <v>1</v>
      </c>
    </row>
    <row r="380" spans="1:18">
      <c r="A380" t="s">
        <v>3010</v>
      </c>
      <c r="B380" t="s">
        <v>11428</v>
      </c>
      <c r="C380" s="5" t="s">
        <v>10275</v>
      </c>
      <c r="D380" s="1">
        <v>1</v>
      </c>
      <c r="E380" s="1" t="s">
        <v>1041</v>
      </c>
      <c r="F380" s="1">
        <v>407</v>
      </c>
      <c r="G380" s="1">
        <v>408</v>
      </c>
      <c r="H380" s="8" cm="1">
        <f t="array" ref="H380">_xlfn.LET(_xlpm.s,IFERROR(--F380,""),_xlpm.e,IFERROR(--G380,""),IF(OR(_xlpm.s="",_xlpm.e="",_xlpm.e&lt;_xlpm.s),"",_xlfn.LET(_xlpm.p,_xlfn.SEQUENCE(_xlpm.e-_xlpm.s+1,1,_xlpm.s,1),SUM(1/COUNTIFS($D:$D,D380,$E:$E,E380,$F:$F,"&lt;&gt;N/A",$G:$G,"&lt;&gt;N/A",$F:$F,"&lt;="&amp;_xlpm.p,$G:$G,"&gt;="&amp;_xlpm.p)))))</f>
        <v>1.5</v>
      </c>
      <c r="I380" s="4" t="s">
        <v>782</v>
      </c>
      <c r="J380" s="5" t="s">
        <v>1043</v>
      </c>
      <c r="K380" s="5" t="s">
        <v>11509</v>
      </c>
      <c r="L380" s="5" t="s">
        <v>7</v>
      </c>
      <c r="M380" s="5" t="s">
        <v>7</v>
      </c>
      <c r="N380" s="5" t="s">
        <v>7</v>
      </c>
      <c r="O380" s="4" t="s">
        <v>778</v>
      </c>
      <c r="P380" s="4" t="s">
        <v>7834</v>
      </c>
      <c r="R380" t="b">
        <v>1</v>
      </c>
    </row>
    <row r="381" spans="1:18">
      <c r="A381" t="s">
        <v>3010</v>
      </c>
      <c r="B381" t="s">
        <v>7168</v>
      </c>
      <c r="C381" s="5" t="s">
        <v>7977</v>
      </c>
      <c r="D381" s="1">
        <v>1</v>
      </c>
      <c r="E381" s="1" t="s">
        <v>1044</v>
      </c>
      <c r="F381" s="1">
        <v>409</v>
      </c>
      <c r="G381" s="1">
        <v>410</v>
      </c>
      <c r="H381" s="8" cm="1">
        <f t="array" ref="H381">_xlfn.LET(_xlpm.s,IFERROR(--F381,""),_xlpm.e,IFERROR(--G381,""),IF(OR(_xlpm.s="",_xlpm.e="",_xlpm.e&lt;_xlpm.s),"",_xlfn.LET(_xlpm.p,_xlfn.SEQUENCE(_xlpm.e-_xlpm.s+1,1,_xlpm.s,1),SUM(1/COUNTIFS($D:$D,D381,$E:$E,E381,$F:$F,"&lt;&gt;N/A",$G:$G,"&lt;&gt;N/A",$F:$F,"&lt;="&amp;_xlpm.p,$G:$G,"&gt;="&amp;_xlpm.p)))))</f>
        <v>1.5</v>
      </c>
      <c r="I381" s="4" t="s">
        <v>774</v>
      </c>
      <c r="J381" s="5" t="s">
        <v>1045</v>
      </c>
      <c r="K381" s="5" t="s">
        <v>7</v>
      </c>
      <c r="L381" s="5" t="s">
        <v>7</v>
      </c>
      <c r="M381" s="5" t="s">
        <v>7</v>
      </c>
      <c r="N381" s="5" t="s">
        <v>7</v>
      </c>
      <c r="O381" s="4" t="s">
        <v>778</v>
      </c>
      <c r="P381" s="4" t="s">
        <v>7834</v>
      </c>
      <c r="R381" t="b">
        <v>1</v>
      </c>
    </row>
    <row r="382" spans="1:18">
      <c r="A382" t="s">
        <v>3010</v>
      </c>
      <c r="B382" t="s">
        <v>10585</v>
      </c>
      <c r="C382" s="5" t="s">
        <v>7977</v>
      </c>
      <c r="D382" s="1">
        <v>1</v>
      </c>
      <c r="E382" s="1" t="s">
        <v>1044</v>
      </c>
      <c r="F382" s="1">
        <v>410</v>
      </c>
      <c r="G382" s="1">
        <v>412</v>
      </c>
      <c r="H382" s="8" cm="1">
        <f t="array" ref="H382">_xlfn.LET(_xlpm.s,IFERROR(--F382,""),_xlpm.e,IFERROR(--G382,""),IF(OR(_xlpm.s="",_xlpm.e="",_xlpm.e&lt;_xlpm.s),"",_xlfn.LET(_xlpm.p,_xlfn.SEQUENCE(_xlpm.e-_xlpm.s+1,1,_xlpm.s,1),SUM(1/COUNTIFS($D:$D,D382,$E:$E,E382,$F:$F,"&lt;&gt;N/A",$G:$G,"&lt;&gt;N/A",$F:$F,"&lt;="&amp;_xlpm.p,$G:$G,"&gt;="&amp;_xlpm.p)))))</f>
        <v>2</v>
      </c>
      <c r="I382" s="4" t="s">
        <v>782</v>
      </c>
      <c r="J382" s="5" t="s">
        <v>1046</v>
      </c>
      <c r="K382" s="5" t="s">
        <v>7</v>
      </c>
      <c r="L382" s="5" t="s">
        <v>7</v>
      </c>
      <c r="M382" s="5" t="s">
        <v>7</v>
      </c>
      <c r="N382" s="5" t="s">
        <v>7</v>
      </c>
      <c r="O382" s="4" t="s">
        <v>778</v>
      </c>
      <c r="P382" s="4" t="s">
        <v>7834</v>
      </c>
      <c r="R382" t="b">
        <v>1</v>
      </c>
    </row>
    <row r="383" spans="1:18">
      <c r="A383" t="s">
        <v>3010</v>
      </c>
      <c r="B383" t="s">
        <v>11429</v>
      </c>
      <c r="C383" s="5" t="s">
        <v>7977</v>
      </c>
      <c r="D383" s="1">
        <v>1</v>
      </c>
      <c r="E383" s="1" t="s">
        <v>1044</v>
      </c>
      <c r="F383" s="1">
        <v>412</v>
      </c>
      <c r="G383" s="1">
        <v>412</v>
      </c>
      <c r="H383" s="8" cm="1">
        <f t="array" ref="H383">_xlfn.LET(_xlpm.s,IFERROR(--F383,""),_xlpm.e,IFERROR(--G383,""),IF(OR(_xlpm.s="",_xlpm.e="",_xlpm.e&lt;_xlpm.s),"",_xlfn.LET(_xlpm.p,_xlfn.SEQUENCE(_xlpm.e-_xlpm.s+1,1,_xlpm.s,1),SUM(1/COUNTIFS($D:$D,D383,$E:$E,E383,$F:$F,"&lt;&gt;N/A",$G:$G,"&lt;&gt;N/A",$F:$F,"&lt;="&amp;_xlpm.p,$G:$G,"&gt;="&amp;_xlpm.p)))))</f>
        <v>0.5</v>
      </c>
      <c r="I383" s="4" t="s">
        <v>782</v>
      </c>
      <c r="J383" s="5" t="s">
        <v>4470</v>
      </c>
      <c r="K383" s="5" t="s">
        <v>7</v>
      </c>
      <c r="L383" s="5" t="s">
        <v>7</v>
      </c>
      <c r="M383" s="5" t="s">
        <v>7</v>
      </c>
      <c r="N383" s="5" t="s">
        <v>7</v>
      </c>
      <c r="O383" s="4" t="s">
        <v>778</v>
      </c>
      <c r="P383" s="4" t="s">
        <v>7834</v>
      </c>
      <c r="R383" t="b">
        <v>1</v>
      </c>
    </row>
    <row r="384" spans="1:18">
      <c r="A384" t="s">
        <v>3010</v>
      </c>
      <c r="B384" t="s">
        <v>10586</v>
      </c>
      <c r="C384" s="5" t="s">
        <v>7977</v>
      </c>
      <c r="D384" s="1">
        <v>1</v>
      </c>
      <c r="E384" s="1" t="s">
        <v>1047</v>
      </c>
      <c r="F384" s="1">
        <v>413</v>
      </c>
      <c r="G384" s="1">
        <v>416</v>
      </c>
      <c r="H384" s="8" cm="1">
        <f t="array" ref="H384">_xlfn.LET(_xlpm.s,IFERROR(--F384,""),_xlpm.e,IFERROR(--G384,""),IF(OR(_xlpm.s="",_xlpm.e="",_xlpm.e&lt;_xlpm.s),"",_xlfn.LET(_xlpm.p,_xlfn.SEQUENCE(_xlpm.e-_xlpm.s+1,1,_xlpm.s,1),SUM(1/COUNTIFS($D:$D,D384,$E:$E,E384,$F:$F,"&lt;&gt;N/A",$G:$G,"&lt;&gt;N/A",$F:$F,"&lt;="&amp;_xlpm.p,$G:$G,"&gt;="&amp;_xlpm.p)))))</f>
        <v>3.5</v>
      </c>
      <c r="I384" s="4" t="s">
        <v>774</v>
      </c>
      <c r="J384" s="5" t="s">
        <v>2836</v>
      </c>
      <c r="K384" s="5" t="s">
        <v>11509</v>
      </c>
      <c r="L384" s="5" t="s">
        <v>7</v>
      </c>
      <c r="M384" s="5" t="s">
        <v>7</v>
      </c>
      <c r="N384" s="5" t="s">
        <v>7</v>
      </c>
      <c r="O384" s="4" t="s">
        <v>778</v>
      </c>
      <c r="P384" s="4" t="s">
        <v>7834</v>
      </c>
      <c r="R384" t="b">
        <v>1</v>
      </c>
    </row>
    <row r="385" spans="1:18">
      <c r="A385" t="s">
        <v>3010</v>
      </c>
      <c r="B385" t="s">
        <v>11430</v>
      </c>
      <c r="C385" s="5" t="s">
        <v>7977</v>
      </c>
      <c r="D385" s="1">
        <v>1</v>
      </c>
      <c r="E385" s="1" t="s">
        <v>1047</v>
      </c>
      <c r="F385" s="1">
        <v>416</v>
      </c>
      <c r="G385" s="1">
        <v>416</v>
      </c>
      <c r="H385" s="8" cm="1">
        <f t="array" ref="H385">_xlfn.LET(_xlpm.s,IFERROR(--F385,""),_xlpm.e,IFERROR(--G385,""),IF(OR(_xlpm.s="",_xlpm.e="",_xlpm.e&lt;_xlpm.s),"",_xlfn.LET(_xlpm.p,_xlfn.SEQUENCE(_xlpm.e-_xlpm.s+1,1,_xlpm.s,1),SUM(1/COUNTIFS($D:$D,D385,$E:$E,E385,$F:$F,"&lt;&gt;N/A",$G:$G,"&lt;&gt;N/A",$F:$F,"&lt;="&amp;_xlpm.p,$G:$G,"&gt;="&amp;_xlpm.p)))))</f>
        <v>0.5</v>
      </c>
      <c r="I385" s="4" t="s">
        <v>774</v>
      </c>
      <c r="J385" s="5" t="s">
        <v>4471</v>
      </c>
      <c r="K385" s="5" t="s">
        <v>7</v>
      </c>
      <c r="L385" s="5" t="s">
        <v>7</v>
      </c>
      <c r="M385" s="5" t="s">
        <v>7</v>
      </c>
      <c r="N385" s="5" t="s">
        <v>7</v>
      </c>
      <c r="O385" s="4" t="s">
        <v>778</v>
      </c>
      <c r="P385" s="4" t="s">
        <v>7834</v>
      </c>
      <c r="R385" t="b">
        <v>1</v>
      </c>
    </row>
    <row r="386" spans="1:18">
      <c r="A386" t="s">
        <v>3010</v>
      </c>
      <c r="B386" t="s">
        <v>7083</v>
      </c>
      <c r="C386" s="5" t="s">
        <v>7978</v>
      </c>
      <c r="D386" s="1">
        <v>1</v>
      </c>
      <c r="E386" s="1" t="s">
        <v>1048</v>
      </c>
      <c r="F386" s="1">
        <v>417</v>
      </c>
      <c r="G386" s="1">
        <v>417</v>
      </c>
      <c r="H386" s="8" cm="1">
        <f t="array" ref="H386">_xlfn.LET(_xlpm.s,IFERROR(--F386,""),_xlpm.e,IFERROR(--G386,""),IF(OR(_xlpm.s="",_xlpm.e="",_xlpm.e&lt;_xlpm.s),"",_xlfn.LET(_xlpm.p,_xlfn.SEQUENCE(_xlpm.e-_xlpm.s+1,1,_xlpm.s,1),SUM(1/COUNTIFS($D:$D,D386,$E:$E,E386,$F:$F,"&lt;&gt;N/A",$G:$G,"&lt;&gt;N/A",$F:$F,"&lt;="&amp;_xlpm.p,$G:$G,"&gt;="&amp;_xlpm.p)))))</f>
        <v>0.5</v>
      </c>
      <c r="I386" s="4" t="s">
        <v>774</v>
      </c>
      <c r="J386" s="5" t="s">
        <v>839</v>
      </c>
      <c r="K386" s="5" t="s">
        <v>7</v>
      </c>
      <c r="L386" s="5" t="s">
        <v>7</v>
      </c>
      <c r="M386" s="5" t="s">
        <v>7</v>
      </c>
      <c r="N386" s="5" t="s">
        <v>7</v>
      </c>
      <c r="O386" s="4" t="s">
        <v>778</v>
      </c>
      <c r="P386" s="4" t="s">
        <v>7834</v>
      </c>
      <c r="R386" t="b">
        <v>0</v>
      </c>
    </row>
    <row r="387" spans="1:18">
      <c r="A387" t="s">
        <v>3010</v>
      </c>
      <c r="B387" t="s">
        <v>7084</v>
      </c>
      <c r="C387" s="5" t="s">
        <v>7978</v>
      </c>
      <c r="D387" s="1">
        <v>1</v>
      </c>
      <c r="E387" s="1" t="s">
        <v>1048</v>
      </c>
      <c r="F387" s="1">
        <v>417</v>
      </c>
      <c r="G387" s="1">
        <v>418</v>
      </c>
      <c r="H387" s="8" cm="1">
        <f t="array" ref="H387">_xlfn.LET(_xlpm.s,IFERROR(--F387,""),_xlpm.e,IFERROR(--G387,""),IF(OR(_xlpm.s="",_xlpm.e="",_xlpm.e&lt;_xlpm.s),"",_xlfn.LET(_xlpm.p,_xlfn.SEQUENCE(_xlpm.e-_xlpm.s+1,1,_xlpm.s,1),SUM(1/COUNTIFS($D:$D,D387,$E:$E,E387,$F:$F,"&lt;&gt;N/A",$G:$G,"&lt;&gt;N/A",$F:$F,"&lt;="&amp;_xlpm.p,$G:$G,"&gt;="&amp;_xlpm.p)))))</f>
        <v>1</v>
      </c>
      <c r="I387" s="4" t="s">
        <v>774</v>
      </c>
      <c r="J387" s="5" t="s">
        <v>1049</v>
      </c>
      <c r="K387" s="5" t="s">
        <v>1050</v>
      </c>
      <c r="L387" s="5" t="s">
        <v>7</v>
      </c>
      <c r="M387" s="5" t="s">
        <v>7</v>
      </c>
      <c r="N387" s="5" t="s">
        <v>7</v>
      </c>
      <c r="O387" s="4" t="s">
        <v>778</v>
      </c>
      <c r="P387" s="4" t="s">
        <v>7834</v>
      </c>
      <c r="R387" t="b">
        <v>1</v>
      </c>
    </row>
    <row r="388" spans="1:18">
      <c r="A388" t="s">
        <v>3010</v>
      </c>
      <c r="B388" t="s">
        <v>7085</v>
      </c>
      <c r="C388" s="5" t="s">
        <v>7978</v>
      </c>
      <c r="D388" s="1">
        <v>1</v>
      </c>
      <c r="E388" s="1" t="s">
        <v>1048</v>
      </c>
      <c r="F388" s="1">
        <v>418</v>
      </c>
      <c r="G388" s="1">
        <v>418</v>
      </c>
      <c r="H388" s="8" cm="1">
        <f t="array" ref="H388">_xlfn.LET(_xlpm.s,IFERROR(--F388,""),_xlpm.e,IFERROR(--G388,""),IF(OR(_xlpm.s="",_xlpm.e="",_xlpm.e&lt;_xlpm.s),"",_xlfn.LET(_xlpm.p,_xlfn.SEQUENCE(_xlpm.e-_xlpm.s+1,1,_xlpm.s,1),SUM(1/COUNTIFS($D:$D,D388,$E:$E,E388,$F:$F,"&lt;&gt;N/A",$G:$G,"&lt;&gt;N/A",$F:$F,"&lt;="&amp;_xlpm.p,$G:$G,"&gt;="&amp;_xlpm.p)))))</f>
        <v>0.5</v>
      </c>
      <c r="I388" s="4" t="s">
        <v>782</v>
      </c>
      <c r="J388" s="5" t="s">
        <v>1051</v>
      </c>
      <c r="K388" s="5" t="s">
        <v>2205</v>
      </c>
      <c r="L388" s="5" t="s">
        <v>2206</v>
      </c>
      <c r="M388" s="5" t="s">
        <v>7</v>
      </c>
      <c r="N388" s="5" t="s">
        <v>2337</v>
      </c>
      <c r="O388" s="4" t="s">
        <v>5072</v>
      </c>
      <c r="P388" s="4" t="s">
        <v>8027</v>
      </c>
      <c r="R388" t="b">
        <v>1</v>
      </c>
    </row>
    <row r="389" spans="1:18">
      <c r="A389" t="s">
        <v>3010</v>
      </c>
      <c r="B389" t="s">
        <v>7169</v>
      </c>
      <c r="C389" s="5" t="s">
        <v>7978</v>
      </c>
      <c r="D389" s="1">
        <v>1</v>
      </c>
      <c r="E389" s="1" t="s">
        <v>1048</v>
      </c>
      <c r="F389" s="1">
        <v>419</v>
      </c>
      <c r="G389" s="1">
        <v>420</v>
      </c>
      <c r="H389" s="8" cm="1">
        <f t="array" ref="H389">_xlfn.LET(_xlpm.s,IFERROR(--F389,""),_xlpm.e,IFERROR(--G389,""),IF(OR(_xlpm.s="",_xlpm.e="",_xlpm.e&lt;_xlpm.s),"",_xlfn.LET(_xlpm.p,_xlfn.SEQUENCE(_xlpm.e-_xlpm.s+1,1,_xlpm.s,1),SUM(1/COUNTIFS($D:$D,D389,$E:$E,E389,$F:$F,"&lt;&gt;N/A",$G:$G,"&lt;&gt;N/A",$F:$F,"&lt;="&amp;_xlpm.p,$G:$G,"&gt;="&amp;_xlpm.p)))))</f>
        <v>1.3333333333333333</v>
      </c>
      <c r="I389" s="4" t="s">
        <v>782</v>
      </c>
      <c r="J389" s="5" t="s">
        <v>7184</v>
      </c>
      <c r="K389" s="5" t="s">
        <v>2207</v>
      </c>
      <c r="L389" s="5" t="s">
        <v>2208</v>
      </c>
      <c r="M389" t="s">
        <v>6965</v>
      </c>
      <c r="N389" s="5" t="s">
        <v>2348</v>
      </c>
      <c r="O389" s="4" t="s">
        <v>5072</v>
      </c>
      <c r="P389" s="4" t="s">
        <v>8021</v>
      </c>
      <c r="R389" t="b">
        <v>1</v>
      </c>
    </row>
    <row r="390" spans="1:18">
      <c r="A390" t="s">
        <v>3010</v>
      </c>
      <c r="B390" t="s">
        <v>10587</v>
      </c>
      <c r="C390" s="5" t="s">
        <v>7978</v>
      </c>
      <c r="D390" s="1">
        <v>1</v>
      </c>
      <c r="E390" s="1" t="s">
        <v>1048</v>
      </c>
      <c r="F390" s="1">
        <v>420</v>
      </c>
      <c r="G390" s="1">
        <v>420</v>
      </c>
      <c r="H390" s="8" cm="1">
        <f t="array" ref="H390">_xlfn.LET(_xlpm.s,IFERROR(--F390,""),_xlpm.e,IFERROR(--G390,""),IF(OR(_xlpm.s="",_xlpm.e="",_xlpm.e&lt;_xlpm.s),"",_xlfn.LET(_xlpm.p,_xlfn.SEQUENCE(_xlpm.e-_xlpm.s+1,1,_xlpm.s,1),SUM(1/COUNTIFS($D:$D,D390,$E:$E,E390,$F:$F,"&lt;&gt;N/A",$G:$G,"&lt;&gt;N/A",$F:$F,"&lt;="&amp;_xlpm.p,$G:$G,"&gt;="&amp;_xlpm.p)))))</f>
        <v>0.33333333333333331</v>
      </c>
      <c r="I390" s="4" t="s">
        <v>782</v>
      </c>
      <c r="J390" s="5" t="s">
        <v>1052</v>
      </c>
      <c r="K390" s="5" t="s">
        <v>7</v>
      </c>
      <c r="L390" s="5" t="s">
        <v>2208</v>
      </c>
      <c r="M390" t="s">
        <v>6965</v>
      </c>
      <c r="N390" s="5" t="s">
        <v>2338</v>
      </c>
      <c r="O390" s="4" t="s">
        <v>5072</v>
      </c>
      <c r="P390" s="4" t="s">
        <v>8021</v>
      </c>
      <c r="R390" t="b">
        <v>1</v>
      </c>
    </row>
    <row r="391" spans="1:18">
      <c r="A391" t="s">
        <v>3010</v>
      </c>
      <c r="B391" t="s">
        <v>11431</v>
      </c>
      <c r="C391" s="5" t="s">
        <v>7978</v>
      </c>
      <c r="D391" s="1">
        <v>1</v>
      </c>
      <c r="E391" s="1" t="s">
        <v>1048</v>
      </c>
      <c r="F391" s="1">
        <v>420</v>
      </c>
      <c r="G391" s="1">
        <v>420</v>
      </c>
      <c r="H391" s="8" cm="1">
        <f t="array" ref="H391">_xlfn.LET(_xlpm.s,IFERROR(--F391,""),_xlpm.e,IFERROR(--G391,""),IF(OR(_xlpm.s="",_xlpm.e="",_xlpm.e&lt;_xlpm.s),"",_xlfn.LET(_xlpm.p,_xlfn.SEQUENCE(_xlpm.e-_xlpm.s+1,1,_xlpm.s,1),SUM(1/COUNTIFS($D:$D,D391,$E:$E,E391,$F:$F,"&lt;&gt;N/A",$G:$G,"&lt;&gt;N/A",$F:$F,"&lt;="&amp;_xlpm.p,$G:$G,"&gt;="&amp;_xlpm.p)))))</f>
        <v>0.33333333333333331</v>
      </c>
      <c r="I391" s="4" t="s">
        <v>782</v>
      </c>
      <c r="J391" s="5" t="s">
        <v>1053</v>
      </c>
      <c r="K391" s="5" t="s">
        <v>7</v>
      </c>
      <c r="L391" s="5" t="s">
        <v>2208</v>
      </c>
      <c r="M391" t="s">
        <v>6965</v>
      </c>
      <c r="N391" s="5" t="s">
        <v>10297</v>
      </c>
      <c r="O391" s="4" t="s">
        <v>11522</v>
      </c>
      <c r="P391" s="4" t="s">
        <v>8021</v>
      </c>
      <c r="R391" t="b">
        <v>1</v>
      </c>
    </row>
    <row r="392" spans="1:18">
      <c r="A392" t="s">
        <v>3010</v>
      </c>
      <c r="B392" t="s">
        <v>7192</v>
      </c>
      <c r="C392" s="5" t="s">
        <v>10147</v>
      </c>
      <c r="D392" s="1">
        <v>1</v>
      </c>
      <c r="E392" s="1" t="s">
        <v>1054</v>
      </c>
      <c r="F392" s="1">
        <v>421</v>
      </c>
      <c r="G392" s="1">
        <v>422</v>
      </c>
      <c r="H392" s="8" cm="1">
        <f t="array" ref="H392">_xlfn.LET(_xlpm.s,IFERROR(--F392,""),_xlpm.e,IFERROR(--G392,""),IF(OR(_xlpm.s="",_xlpm.e="",_xlpm.e&lt;_xlpm.s),"",_xlfn.LET(_xlpm.p,_xlfn.SEQUENCE(_xlpm.e-_xlpm.s+1,1,_xlpm.s,1),SUM(1/COUNTIFS($D:$D,D392,$E:$E,E392,$F:$F,"&lt;&gt;N/A",$G:$G,"&lt;&gt;N/A",$F:$F,"&lt;="&amp;_xlpm.p,$G:$G,"&gt;="&amp;_xlpm.p)))))</f>
        <v>1.5</v>
      </c>
      <c r="I392" s="4" t="s">
        <v>782</v>
      </c>
      <c r="J392" s="5" t="s">
        <v>1055</v>
      </c>
      <c r="K392" s="5" t="s">
        <v>7</v>
      </c>
      <c r="L392" s="5" t="s">
        <v>7</v>
      </c>
      <c r="M392" t="s">
        <v>9480</v>
      </c>
      <c r="N392" s="5" t="s">
        <v>10429</v>
      </c>
      <c r="O392" s="4" t="s">
        <v>11522</v>
      </c>
      <c r="P392" s="4" t="s">
        <v>8019</v>
      </c>
      <c r="R392" t="b">
        <v>1</v>
      </c>
    </row>
    <row r="393" spans="1:18">
      <c r="A393" t="s">
        <v>3010</v>
      </c>
      <c r="B393" t="s">
        <v>10588</v>
      </c>
      <c r="C393" s="5" t="s">
        <v>10147</v>
      </c>
      <c r="D393" s="1">
        <v>1</v>
      </c>
      <c r="E393" s="1" t="s">
        <v>1054</v>
      </c>
      <c r="F393" s="1">
        <v>422</v>
      </c>
      <c r="G393" s="1">
        <v>423</v>
      </c>
      <c r="H393" s="8" cm="1">
        <f t="array" ref="H393">_xlfn.LET(_xlpm.s,IFERROR(--F393,""),_xlpm.e,IFERROR(--G393,""),IF(OR(_xlpm.s="",_xlpm.e="",_xlpm.e&lt;_xlpm.s),"",_xlfn.LET(_xlpm.p,_xlfn.SEQUENCE(_xlpm.e-_xlpm.s+1,1,_xlpm.s,1),SUM(1/COUNTIFS($D:$D,D393,$E:$E,E393,$F:$F,"&lt;&gt;N/A",$G:$G,"&lt;&gt;N/A",$F:$F,"&lt;="&amp;_xlpm.p,$G:$G,"&gt;="&amp;_xlpm.p)))))</f>
        <v>1</v>
      </c>
      <c r="I393" s="4" t="s">
        <v>782</v>
      </c>
      <c r="J393" s="5" t="s">
        <v>6953</v>
      </c>
      <c r="K393" s="5" t="s">
        <v>7</v>
      </c>
      <c r="L393" s="5" t="s">
        <v>7</v>
      </c>
      <c r="M393" s="5" t="s">
        <v>7</v>
      </c>
      <c r="N393" s="5" t="s">
        <v>7</v>
      </c>
      <c r="O393" s="4" t="s">
        <v>778</v>
      </c>
      <c r="P393" s="4" t="s">
        <v>7834</v>
      </c>
      <c r="R393" t="b">
        <v>1</v>
      </c>
    </row>
    <row r="394" spans="1:18">
      <c r="A394" t="s">
        <v>3010</v>
      </c>
      <c r="B394" t="s">
        <v>11432</v>
      </c>
      <c r="C394" s="5" t="s">
        <v>10147</v>
      </c>
      <c r="D394" s="1">
        <v>1</v>
      </c>
      <c r="E394" s="1" t="s">
        <v>1054</v>
      </c>
      <c r="F394" s="1">
        <v>423</v>
      </c>
      <c r="G394" s="1">
        <v>424</v>
      </c>
      <c r="H394" s="8" cm="1">
        <f t="array" ref="H394">_xlfn.LET(_xlpm.s,IFERROR(--F394,""),_xlpm.e,IFERROR(--G394,""),IF(OR(_xlpm.s="",_xlpm.e="",_xlpm.e&lt;_xlpm.s),"",_xlfn.LET(_xlpm.p,_xlfn.SEQUENCE(_xlpm.e-_xlpm.s+1,1,_xlpm.s,1),SUM(1/COUNTIFS($D:$D,D394,$E:$E,E394,$F:$F,"&lt;&gt;N/A",$G:$G,"&lt;&gt;N/A",$F:$F,"&lt;="&amp;_xlpm.p,$G:$G,"&gt;="&amp;_xlpm.p)))))</f>
        <v>1.5</v>
      </c>
      <c r="I394" s="4" t="s">
        <v>782</v>
      </c>
      <c r="J394" s="5" t="s">
        <v>7190</v>
      </c>
      <c r="K394" s="5" t="s">
        <v>7</v>
      </c>
      <c r="L394" s="5" t="s">
        <v>7191</v>
      </c>
      <c r="M394" t="s">
        <v>6965</v>
      </c>
      <c r="N394" s="5" t="s">
        <v>2339</v>
      </c>
      <c r="O394" s="4" t="s">
        <v>5072</v>
      </c>
      <c r="P394" s="4" t="s">
        <v>8021</v>
      </c>
      <c r="R394" t="b">
        <v>1</v>
      </c>
    </row>
    <row r="395" spans="1:18">
      <c r="A395" t="s">
        <v>3010</v>
      </c>
      <c r="B395" t="s">
        <v>10589</v>
      </c>
      <c r="C395" s="5" t="s">
        <v>7897</v>
      </c>
      <c r="D395" s="1">
        <v>1</v>
      </c>
      <c r="E395" s="1" t="s">
        <v>1056</v>
      </c>
      <c r="F395" s="1">
        <v>425</v>
      </c>
      <c r="G395" s="1">
        <v>426</v>
      </c>
      <c r="H395" s="8" cm="1">
        <f t="array" ref="H395">_xlfn.LET(_xlpm.s,IFERROR(--F395,""),_xlpm.e,IFERROR(--G395,""),IF(OR(_xlpm.s="",_xlpm.e="",_xlpm.e&lt;_xlpm.s),"",_xlfn.LET(_xlpm.p,_xlfn.SEQUENCE(_xlpm.e-_xlpm.s+1,1,_xlpm.s,1),SUM(1/COUNTIFS($D:$D,D395,$E:$E,E395,$F:$F,"&lt;&gt;N/A",$G:$G,"&lt;&gt;N/A",$F:$F,"&lt;="&amp;_xlpm.p,$G:$G,"&gt;="&amp;_xlpm.p)))))</f>
        <v>1.5</v>
      </c>
      <c r="I395" s="4" t="s">
        <v>774</v>
      </c>
      <c r="J395" s="5" t="s">
        <v>839</v>
      </c>
      <c r="K395" s="5" t="s">
        <v>7</v>
      </c>
      <c r="L395" s="5" t="s">
        <v>7</v>
      </c>
      <c r="M395" s="5" t="s">
        <v>7</v>
      </c>
      <c r="N395" s="5" t="s">
        <v>7</v>
      </c>
      <c r="O395" s="4" t="s">
        <v>778</v>
      </c>
      <c r="P395" s="4" t="s">
        <v>7834</v>
      </c>
      <c r="R395" t="b">
        <v>0</v>
      </c>
    </row>
    <row r="396" spans="1:18">
      <c r="A396" t="s">
        <v>3010</v>
      </c>
      <c r="B396" t="s">
        <v>11433</v>
      </c>
      <c r="C396" s="5" t="s">
        <v>7897</v>
      </c>
      <c r="D396" s="1">
        <v>1</v>
      </c>
      <c r="E396" s="1" t="s">
        <v>1056</v>
      </c>
      <c r="F396" s="1">
        <v>426</v>
      </c>
      <c r="G396" s="1">
        <v>428</v>
      </c>
      <c r="H396" s="8" cm="1">
        <f t="array" ref="H396">_xlfn.LET(_xlpm.s,IFERROR(--F396,""),_xlpm.e,IFERROR(--G396,""),IF(OR(_xlpm.s="",_xlpm.e="",_xlpm.e&lt;_xlpm.s),"",_xlfn.LET(_xlpm.p,_xlfn.SEQUENCE(_xlpm.e-_xlpm.s+1,1,_xlpm.s,1),SUM(1/COUNTIFS($D:$D,D396,$E:$E,E396,$F:$F,"&lt;&gt;N/A",$G:$G,"&lt;&gt;N/A",$F:$F,"&lt;="&amp;_xlpm.p,$G:$G,"&gt;="&amp;_xlpm.p)))))</f>
        <v>2.5</v>
      </c>
      <c r="I396" s="4" t="s">
        <v>782</v>
      </c>
      <c r="J396" s="5" t="s">
        <v>1057</v>
      </c>
      <c r="K396" s="5" t="s">
        <v>2340</v>
      </c>
      <c r="L396" s="5" t="s">
        <v>7</v>
      </c>
      <c r="M396" t="s">
        <v>7209</v>
      </c>
      <c r="N396" s="5" t="s">
        <v>2341</v>
      </c>
      <c r="O396" s="4" t="s">
        <v>5072</v>
      </c>
      <c r="P396" s="4" t="s">
        <v>8021</v>
      </c>
      <c r="R396" t="b">
        <v>1</v>
      </c>
    </row>
    <row r="397" spans="1:18">
      <c r="A397" t="s">
        <v>3010</v>
      </c>
      <c r="B397" t="s">
        <v>7193</v>
      </c>
      <c r="C397" s="5" t="s">
        <v>7982</v>
      </c>
      <c r="D397" s="1">
        <v>1</v>
      </c>
      <c r="E397" s="1" t="s">
        <v>1058</v>
      </c>
      <c r="F397" s="1">
        <v>429</v>
      </c>
      <c r="G397" s="1">
        <v>430</v>
      </c>
      <c r="H397" s="8" cm="1">
        <f t="array" ref="H397">_xlfn.LET(_xlpm.s,IFERROR(--F397,""),_xlpm.e,IFERROR(--G397,""),IF(OR(_xlpm.s="",_xlpm.e="",_xlpm.e&lt;_xlpm.s),"",_xlfn.LET(_xlpm.p,_xlfn.SEQUENCE(_xlpm.e-_xlpm.s+1,1,_xlpm.s,1),SUM(1/COUNTIFS($D:$D,D397,$E:$E,E397,$F:$F,"&lt;&gt;N/A",$G:$G,"&lt;&gt;N/A",$F:$F,"&lt;="&amp;_xlpm.p,$G:$G,"&gt;="&amp;_xlpm.p)))))</f>
        <v>2</v>
      </c>
      <c r="I397" s="4" t="s">
        <v>782</v>
      </c>
      <c r="J397" s="5" t="s">
        <v>1059</v>
      </c>
      <c r="K397" s="5" t="s">
        <v>2344</v>
      </c>
      <c r="L397" s="5" t="s">
        <v>7</v>
      </c>
      <c r="M397" s="5" t="s">
        <v>7</v>
      </c>
      <c r="N397" t="s">
        <v>8039</v>
      </c>
      <c r="O397" s="4" t="s">
        <v>5072</v>
      </c>
      <c r="P397" s="4" t="s">
        <v>8036</v>
      </c>
      <c r="R397" t="b">
        <v>1</v>
      </c>
    </row>
    <row r="398" spans="1:18">
      <c r="A398" t="s">
        <v>3010</v>
      </c>
      <c r="B398" t="s">
        <v>10590</v>
      </c>
      <c r="C398" s="5" t="s">
        <v>7982</v>
      </c>
      <c r="D398" s="1">
        <v>1</v>
      </c>
      <c r="E398" s="1" t="s">
        <v>1058</v>
      </c>
      <c r="F398" s="1">
        <v>431</v>
      </c>
      <c r="G398" s="1">
        <v>432</v>
      </c>
      <c r="H398" s="8" cm="1">
        <f t="array" ref="H398">_xlfn.LET(_xlpm.s,IFERROR(--F398,""),_xlpm.e,IFERROR(--G398,""),IF(OR(_xlpm.s="",_xlpm.e="",_xlpm.e&lt;_xlpm.s),"",_xlfn.LET(_xlpm.p,_xlfn.SEQUENCE(_xlpm.e-_xlpm.s+1,1,_xlpm.s,1),SUM(1/COUNTIFS($D:$D,D398,$E:$E,E398,$F:$F,"&lt;&gt;N/A",$G:$G,"&lt;&gt;N/A",$F:$F,"&lt;="&amp;_xlpm.p,$G:$G,"&gt;="&amp;_xlpm.p)))))</f>
        <v>1.5</v>
      </c>
      <c r="I398" s="4" t="s">
        <v>782</v>
      </c>
      <c r="J398" s="5" t="s">
        <v>1060</v>
      </c>
      <c r="K398" s="5" t="s">
        <v>2209</v>
      </c>
      <c r="L398" s="5" t="s">
        <v>2210</v>
      </c>
      <c r="M398" t="s">
        <v>6965</v>
      </c>
      <c r="N398" s="5" t="s">
        <v>2343</v>
      </c>
      <c r="O398" s="4" t="s">
        <v>5072</v>
      </c>
      <c r="P398" s="4" t="s">
        <v>8021</v>
      </c>
      <c r="R398" t="b">
        <v>1</v>
      </c>
    </row>
    <row r="399" spans="1:18">
      <c r="A399" t="s">
        <v>3010</v>
      </c>
      <c r="B399" t="s">
        <v>11434</v>
      </c>
      <c r="C399" s="5" t="s">
        <v>7982</v>
      </c>
      <c r="D399" s="1">
        <v>1</v>
      </c>
      <c r="E399" s="1" t="s">
        <v>1058</v>
      </c>
      <c r="F399" s="1">
        <v>432</v>
      </c>
      <c r="G399" s="1">
        <v>432</v>
      </c>
      <c r="H399" s="8" cm="1">
        <f t="array" ref="H399">_xlfn.LET(_xlpm.s,IFERROR(--F399,""),_xlpm.e,IFERROR(--G399,""),IF(OR(_xlpm.s="",_xlpm.e="",_xlpm.e&lt;_xlpm.s),"",_xlfn.LET(_xlpm.p,_xlfn.SEQUENCE(_xlpm.e-_xlpm.s+1,1,_xlpm.s,1),SUM(1/COUNTIFS($D:$D,D399,$E:$E,E399,$F:$F,"&lt;&gt;N/A",$G:$G,"&lt;&gt;N/A",$F:$F,"&lt;="&amp;_xlpm.p,$G:$G,"&gt;="&amp;_xlpm.p)))))</f>
        <v>0.5</v>
      </c>
      <c r="I399" s="4" t="s">
        <v>782</v>
      </c>
      <c r="J399" s="5" t="s">
        <v>1061</v>
      </c>
      <c r="K399" t="s">
        <v>1010</v>
      </c>
      <c r="L399" s="5" t="s">
        <v>7</v>
      </c>
      <c r="M399" t="s">
        <v>6965</v>
      </c>
      <c r="N399" s="5" t="s">
        <v>2342</v>
      </c>
      <c r="O399" s="4" t="s">
        <v>5072</v>
      </c>
      <c r="P399" s="4" t="s">
        <v>8021</v>
      </c>
      <c r="R399" t="b">
        <v>1</v>
      </c>
    </row>
    <row r="400" spans="1:18">
      <c r="A400" t="s">
        <v>3010</v>
      </c>
      <c r="B400" t="s">
        <v>7194</v>
      </c>
      <c r="C400" s="5" t="s">
        <v>7983</v>
      </c>
      <c r="D400" s="1">
        <v>1</v>
      </c>
      <c r="E400" s="1" t="s">
        <v>1062</v>
      </c>
      <c r="F400" s="1">
        <v>433</v>
      </c>
      <c r="G400" s="1">
        <v>436</v>
      </c>
      <c r="H400" s="8" cm="1">
        <f t="array" ref="H400">_xlfn.LET(_xlpm.s,IFERROR(--F400,""),_xlpm.e,IFERROR(--G400,""),IF(OR(_xlpm.s="",_xlpm.e="",_xlpm.e&lt;_xlpm.s),"",_xlfn.LET(_xlpm.p,_xlfn.SEQUENCE(_xlpm.e-_xlpm.s+1,1,_xlpm.s,1),SUM(1/COUNTIFS($D:$D,D400,$E:$E,E400,$F:$F,"&lt;&gt;N/A",$G:$G,"&lt;&gt;N/A",$F:$F,"&lt;="&amp;_xlpm.p,$G:$G,"&gt;="&amp;_xlpm.p)))))</f>
        <v>3.3333333333333335</v>
      </c>
      <c r="I400" s="4" t="s">
        <v>782</v>
      </c>
      <c r="J400" s="5" t="s">
        <v>1063</v>
      </c>
      <c r="K400" s="5" t="s">
        <v>2211</v>
      </c>
      <c r="L400" s="5" t="s">
        <v>2212</v>
      </c>
      <c r="M400" s="5" t="s">
        <v>7</v>
      </c>
      <c r="N400" s="5" t="s">
        <v>7</v>
      </c>
      <c r="O400" s="4" t="s">
        <v>5072</v>
      </c>
      <c r="P400" s="4" t="s">
        <v>8021</v>
      </c>
      <c r="R400" t="b">
        <v>1</v>
      </c>
    </row>
    <row r="401" spans="1:18">
      <c r="A401" t="s">
        <v>3010</v>
      </c>
      <c r="B401" t="s">
        <v>10591</v>
      </c>
      <c r="C401" s="5" t="s">
        <v>7983</v>
      </c>
      <c r="D401" s="1">
        <v>1</v>
      </c>
      <c r="E401" s="1" t="s">
        <v>1062</v>
      </c>
      <c r="F401" s="1">
        <v>436</v>
      </c>
      <c r="G401" s="1">
        <v>436</v>
      </c>
      <c r="H401" s="8" cm="1">
        <f t="array" ref="H401">_xlfn.LET(_xlpm.s,IFERROR(--F401,""),_xlpm.e,IFERROR(--G401,""),IF(OR(_xlpm.s="",_xlpm.e="",_xlpm.e&lt;_xlpm.s),"",_xlfn.LET(_xlpm.p,_xlfn.SEQUENCE(_xlpm.e-_xlpm.s+1,1,_xlpm.s,1),SUM(1/COUNTIFS($D:$D,D401,$E:$E,E401,$F:$F,"&lt;&gt;N/A",$G:$G,"&lt;&gt;N/A",$F:$F,"&lt;="&amp;_xlpm.p,$G:$G,"&gt;="&amp;_xlpm.p)))))</f>
        <v>0.33333333333333331</v>
      </c>
      <c r="I401" s="4" t="s">
        <v>782</v>
      </c>
      <c r="J401" s="5" t="s">
        <v>1064</v>
      </c>
      <c r="K401" s="5" t="s">
        <v>7</v>
      </c>
      <c r="L401" s="5" t="s">
        <v>2212</v>
      </c>
      <c r="M401" t="s">
        <v>6964</v>
      </c>
      <c r="N401" s="4" t="s">
        <v>2273</v>
      </c>
      <c r="O401" s="4" t="s">
        <v>5072</v>
      </c>
      <c r="P401" s="4" t="s">
        <v>8021</v>
      </c>
      <c r="R401" t="b">
        <v>1</v>
      </c>
    </row>
    <row r="402" spans="1:18">
      <c r="A402" t="s">
        <v>3010</v>
      </c>
      <c r="B402" t="s">
        <v>11435</v>
      </c>
      <c r="C402" s="5" t="s">
        <v>7983</v>
      </c>
      <c r="D402" s="1">
        <v>1</v>
      </c>
      <c r="E402" s="1" t="s">
        <v>1062</v>
      </c>
      <c r="F402" s="1">
        <v>436</v>
      </c>
      <c r="G402" s="1">
        <v>436</v>
      </c>
      <c r="H402" s="8" cm="1">
        <f t="array" ref="H402">_xlfn.LET(_xlpm.s,IFERROR(--F402,""),_xlpm.e,IFERROR(--G402,""),IF(OR(_xlpm.s="",_xlpm.e="",_xlpm.e&lt;_xlpm.s),"",_xlfn.LET(_xlpm.p,_xlfn.SEQUENCE(_xlpm.e-_xlpm.s+1,1,_xlpm.s,1),SUM(1/COUNTIFS($D:$D,D402,$E:$E,E402,$F:$F,"&lt;&gt;N/A",$G:$G,"&lt;&gt;N/A",$F:$F,"&lt;="&amp;_xlpm.p,$G:$G,"&gt;="&amp;_xlpm.p)))))</f>
        <v>0.33333333333333331</v>
      </c>
      <c r="I402" s="4" t="s">
        <v>782</v>
      </c>
      <c r="J402" s="5" t="s">
        <v>7093</v>
      </c>
      <c r="K402" s="5" t="s">
        <v>7</v>
      </c>
      <c r="L402" s="5" t="s">
        <v>2213</v>
      </c>
      <c r="M402" t="s">
        <v>6964</v>
      </c>
      <c r="N402" s="5" t="s">
        <v>7298</v>
      </c>
      <c r="O402" s="4" t="s">
        <v>11522</v>
      </c>
      <c r="P402" s="4" t="s">
        <v>8021</v>
      </c>
      <c r="R402" t="b">
        <v>1</v>
      </c>
    </row>
    <row r="403" spans="1:18">
      <c r="A403" t="s">
        <v>3010</v>
      </c>
      <c r="B403" t="s">
        <v>7195</v>
      </c>
      <c r="C403" s="5" t="s">
        <v>10148</v>
      </c>
      <c r="D403" s="1">
        <v>1</v>
      </c>
      <c r="E403" s="1" t="s">
        <v>1065</v>
      </c>
      <c r="F403" s="1">
        <v>437</v>
      </c>
      <c r="G403" s="1">
        <v>437</v>
      </c>
      <c r="H403" s="8" cm="1">
        <f t="array" ref="H403">_xlfn.LET(_xlpm.s,IFERROR(--F403,""),_xlpm.e,IFERROR(--G403,""),IF(OR(_xlpm.s="",_xlpm.e="",_xlpm.e&lt;_xlpm.s),"",_xlfn.LET(_xlpm.p,_xlfn.SEQUENCE(_xlpm.e-_xlpm.s+1,1,_xlpm.s,1),SUM(1/COUNTIFS($D:$D,D403,$E:$E,E403,$F:$F,"&lt;&gt;N/A",$G:$G,"&lt;&gt;N/A",$F:$F,"&lt;="&amp;_xlpm.p,$G:$G,"&gt;="&amp;_xlpm.p)))))</f>
        <v>0.5</v>
      </c>
      <c r="I403" s="4" t="s">
        <v>774</v>
      </c>
      <c r="J403" s="5" t="s">
        <v>839</v>
      </c>
      <c r="K403" s="5" t="s">
        <v>7</v>
      </c>
      <c r="L403" s="5" t="s">
        <v>7</v>
      </c>
      <c r="M403" s="5" t="s">
        <v>7</v>
      </c>
      <c r="N403" s="5" t="s">
        <v>7</v>
      </c>
      <c r="O403" s="4" t="s">
        <v>778</v>
      </c>
      <c r="P403" s="4" t="s">
        <v>7834</v>
      </c>
      <c r="R403" t="b">
        <v>0</v>
      </c>
    </row>
    <row r="404" spans="1:18">
      <c r="A404" t="s">
        <v>3010</v>
      </c>
      <c r="B404" t="s">
        <v>10592</v>
      </c>
      <c r="C404" s="5" t="s">
        <v>10148</v>
      </c>
      <c r="D404" s="1">
        <v>1</v>
      </c>
      <c r="E404" s="1" t="s">
        <v>1065</v>
      </c>
      <c r="F404" s="1">
        <v>437</v>
      </c>
      <c r="G404" s="1">
        <v>439</v>
      </c>
      <c r="H404" s="8" cm="1">
        <f t="array" ref="H404">_xlfn.LET(_xlpm.s,IFERROR(--F404,""),_xlpm.e,IFERROR(--G404,""),IF(OR(_xlpm.s="",_xlpm.e="",_xlpm.e&lt;_xlpm.s),"",_xlfn.LET(_xlpm.p,_xlfn.SEQUENCE(_xlpm.e-_xlpm.s+1,1,_xlpm.s,1),SUM(1/COUNTIFS($D:$D,D404,$E:$E,E404,$F:$F,"&lt;&gt;N/A",$G:$G,"&lt;&gt;N/A",$F:$F,"&lt;="&amp;_xlpm.p,$G:$G,"&gt;="&amp;_xlpm.p)))))</f>
        <v>2</v>
      </c>
      <c r="I404" s="4" t="s">
        <v>774</v>
      </c>
      <c r="J404" s="5" t="s">
        <v>848</v>
      </c>
      <c r="K404" s="5" t="s">
        <v>7</v>
      </c>
      <c r="L404" s="5" t="s">
        <v>7</v>
      </c>
      <c r="M404" s="5" t="s">
        <v>7</v>
      </c>
      <c r="N404" s="5" t="s">
        <v>7</v>
      </c>
      <c r="O404" s="4" t="s">
        <v>778</v>
      </c>
      <c r="P404" s="4" t="s">
        <v>7834</v>
      </c>
      <c r="R404" t="b">
        <v>1</v>
      </c>
    </row>
    <row r="405" spans="1:18">
      <c r="A405" t="s">
        <v>3010</v>
      </c>
      <c r="B405" t="s">
        <v>11436</v>
      </c>
      <c r="C405" s="5" t="s">
        <v>10148</v>
      </c>
      <c r="D405" s="1">
        <v>1</v>
      </c>
      <c r="E405" s="1" t="s">
        <v>1065</v>
      </c>
      <c r="F405" s="1">
        <v>439</v>
      </c>
      <c r="G405" s="1">
        <v>440</v>
      </c>
      <c r="H405" s="8" cm="1">
        <f t="array" ref="H405">_xlfn.LET(_xlpm.s,IFERROR(--F405,""),_xlpm.e,IFERROR(--G405,""),IF(OR(_xlpm.s="",_xlpm.e="",_xlpm.e&lt;_xlpm.s),"",_xlfn.LET(_xlpm.p,_xlfn.SEQUENCE(_xlpm.e-_xlpm.s+1,1,_xlpm.s,1),SUM(1/COUNTIFS($D:$D,D405,$E:$E,E405,$F:$F,"&lt;&gt;N/A",$G:$G,"&lt;&gt;N/A",$F:$F,"&lt;="&amp;_xlpm.p,$G:$G,"&gt;="&amp;_xlpm.p)))))</f>
        <v>1.5</v>
      </c>
      <c r="I405" s="4" t="s">
        <v>782</v>
      </c>
      <c r="J405" s="5" t="s">
        <v>1066</v>
      </c>
      <c r="K405" t="s">
        <v>1067</v>
      </c>
      <c r="L405" s="5" t="s">
        <v>7</v>
      </c>
      <c r="M405" s="5" t="s">
        <v>7</v>
      </c>
      <c r="N405" s="5" t="s">
        <v>7</v>
      </c>
      <c r="O405" s="4" t="s">
        <v>778</v>
      </c>
      <c r="P405" s="4" t="s">
        <v>7834</v>
      </c>
      <c r="R405" t="b">
        <v>1</v>
      </c>
    </row>
    <row r="406" spans="1:18">
      <c r="A406" t="s">
        <v>3010</v>
      </c>
      <c r="B406" t="s">
        <v>10593</v>
      </c>
      <c r="C406" s="5" t="s">
        <v>7917</v>
      </c>
      <c r="D406" s="1">
        <v>1</v>
      </c>
      <c r="E406" s="1" t="s">
        <v>1068</v>
      </c>
      <c r="F406" s="1">
        <v>441</v>
      </c>
      <c r="G406" s="1">
        <v>448</v>
      </c>
      <c r="H406" s="8" cm="1">
        <f t="array" ref="H406">_xlfn.LET(_xlpm.s,IFERROR(--F406,""),_xlpm.e,IFERROR(--G406,""),IF(OR(_xlpm.s="",_xlpm.e="",_xlpm.e&lt;_xlpm.s),"",_xlfn.LET(_xlpm.p,_xlfn.SEQUENCE(_xlpm.e-_xlpm.s+1,1,_xlpm.s,1),SUM(1/COUNTIFS($D:$D,D406,$E:$E,E406,$F:$F,"&lt;&gt;N/A",$G:$G,"&lt;&gt;N/A",$F:$F,"&lt;="&amp;_xlpm.p,$G:$G,"&gt;="&amp;_xlpm.p)))))</f>
        <v>7.5</v>
      </c>
      <c r="I406" s="4" t="s">
        <v>774</v>
      </c>
      <c r="J406" s="5" t="s">
        <v>4389</v>
      </c>
      <c r="K406" s="5" t="s">
        <v>2214</v>
      </c>
      <c r="L406" s="5" t="s">
        <v>7</v>
      </c>
      <c r="M406" s="5" t="s">
        <v>7</v>
      </c>
      <c r="N406" s="5" t="s">
        <v>7</v>
      </c>
      <c r="O406" s="4" t="s">
        <v>778</v>
      </c>
      <c r="P406" s="4" t="s">
        <v>7834</v>
      </c>
      <c r="R406" t="b">
        <v>1</v>
      </c>
    </row>
    <row r="407" spans="1:18">
      <c r="A407" t="s">
        <v>3010</v>
      </c>
      <c r="B407" t="s">
        <v>11437</v>
      </c>
      <c r="C407" s="5" t="s">
        <v>7917</v>
      </c>
      <c r="D407" s="1">
        <v>1</v>
      </c>
      <c r="E407" s="1" t="s">
        <v>1068</v>
      </c>
      <c r="F407" s="1">
        <v>448</v>
      </c>
      <c r="G407" s="1">
        <v>448</v>
      </c>
      <c r="H407" s="8" cm="1">
        <f t="array" ref="H407">_xlfn.LET(_xlpm.s,IFERROR(--F407,""),_xlpm.e,IFERROR(--G407,""),IF(OR(_xlpm.s="",_xlpm.e="",_xlpm.e&lt;_xlpm.s),"",_xlfn.LET(_xlpm.p,_xlfn.SEQUENCE(_xlpm.e-_xlpm.s+1,1,_xlpm.s,1),SUM(1/COUNTIFS($D:$D,D407,$E:$E,E407,$F:$F,"&lt;&gt;N/A",$G:$G,"&lt;&gt;N/A",$F:$F,"&lt;="&amp;_xlpm.p,$G:$G,"&gt;="&amp;_xlpm.p)))))</f>
        <v>0.5</v>
      </c>
      <c r="I407" s="4" t="s">
        <v>782</v>
      </c>
      <c r="J407" s="5" t="s">
        <v>1069</v>
      </c>
      <c r="K407" s="5" t="s">
        <v>2215</v>
      </c>
      <c r="L407" s="5" t="s">
        <v>2127</v>
      </c>
      <c r="M407" t="s">
        <v>5055</v>
      </c>
      <c r="N407" s="5" t="s">
        <v>6963</v>
      </c>
      <c r="O407" s="4" t="s">
        <v>5072</v>
      </c>
      <c r="P407" s="4" t="s">
        <v>8034</v>
      </c>
      <c r="R407" t="b">
        <v>1</v>
      </c>
    </row>
    <row r="408" spans="1:18">
      <c r="A408" t="s">
        <v>3010</v>
      </c>
      <c r="B408" t="s">
        <v>10594</v>
      </c>
      <c r="C408" s="5" t="s">
        <v>7918</v>
      </c>
      <c r="D408" s="1">
        <v>1</v>
      </c>
      <c r="E408" s="1" t="s">
        <v>1070</v>
      </c>
      <c r="F408" s="1">
        <v>449</v>
      </c>
      <c r="G408" s="1">
        <v>449</v>
      </c>
      <c r="H408" s="8" cm="1">
        <f t="array" ref="H408">_xlfn.LET(_xlpm.s,IFERROR(--F408,""),_xlpm.e,IFERROR(--G408,""),IF(OR(_xlpm.s="",_xlpm.e="",_xlpm.e&lt;_xlpm.s),"",_xlfn.LET(_xlpm.p,_xlfn.SEQUENCE(_xlpm.e-_xlpm.s+1,1,_xlpm.s,1),SUM(1/COUNTIFS($D:$D,D408,$E:$E,E408,$F:$F,"&lt;&gt;N/A",$G:$G,"&lt;&gt;N/A",$F:$F,"&lt;="&amp;_xlpm.p,$G:$G,"&gt;="&amp;_xlpm.p)))))</f>
        <v>0.5</v>
      </c>
      <c r="I408" s="4" t="s">
        <v>774</v>
      </c>
      <c r="J408" s="5" t="s">
        <v>839</v>
      </c>
      <c r="K408" s="5" t="s">
        <v>7</v>
      </c>
      <c r="L408" s="5" t="s">
        <v>7</v>
      </c>
      <c r="M408" s="5" t="s">
        <v>7</v>
      </c>
      <c r="N408" s="5" t="s">
        <v>7</v>
      </c>
      <c r="O408" s="4" t="s">
        <v>778</v>
      </c>
      <c r="P408" s="4" t="s">
        <v>7834</v>
      </c>
      <c r="R408" t="b">
        <v>0</v>
      </c>
    </row>
    <row r="409" spans="1:18">
      <c r="A409" t="s">
        <v>3010</v>
      </c>
      <c r="B409" t="s">
        <v>11438</v>
      </c>
      <c r="C409" s="5" t="s">
        <v>7918</v>
      </c>
      <c r="D409" s="1">
        <v>1</v>
      </c>
      <c r="E409" s="1" t="s">
        <v>1070</v>
      </c>
      <c r="F409" s="1">
        <v>449</v>
      </c>
      <c r="G409" s="1">
        <v>452</v>
      </c>
      <c r="H409" s="8" cm="1">
        <f t="array" ref="H409">_xlfn.LET(_xlpm.s,IFERROR(--F409,""),_xlpm.e,IFERROR(--G409,""),IF(OR(_xlpm.s="",_xlpm.e="",_xlpm.e&lt;_xlpm.s),"",_xlfn.LET(_xlpm.p,_xlfn.SEQUENCE(_xlpm.e-_xlpm.s+1,1,_xlpm.s,1),SUM(1/COUNTIFS($D:$D,D409,$E:$E,E409,$F:$F,"&lt;&gt;N/A",$G:$G,"&lt;&gt;N/A",$F:$F,"&lt;="&amp;_xlpm.p,$G:$G,"&gt;="&amp;_xlpm.p)))))</f>
        <v>3.5</v>
      </c>
      <c r="I409" s="4" t="s">
        <v>782</v>
      </c>
      <c r="J409" s="5" t="s">
        <v>1071</v>
      </c>
      <c r="K409" s="5" t="s">
        <v>2274</v>
      </c>
      <c r="L409" s="5" t="s">
        <v>7</v>
      </c>
      <c r="M409" s="5" t="s">
        <v>7</v>
      </c>
      <c r="N409" t="s">
        <v>7097</v>
      </c>
      <c r="O409" s="4" t="s">
        <v>5072</v>
      </c>
      <c r="P409" s="4" t="s">
        <v>8021</v>
      </c>
      <c r="R409" t="b">
        <v>1</v>
      </c>
    </row>
    <row r="410" spans="1:18">
      <c r="A410" t="s">
        <v>3010</v>
      </c>
      <c r="B410" t="s">
        <v>7086</v>
      </c>
      <c r="C410" s="5" t="s">
        <v>10278</v>
      </c>
      <c r="D410" s="1">
        <v>1</v>
      </c>
      <c r="E410" s="1" t="s">
        <v>1072</v>
      </c>
      <c r="F410" s="1">
        <v>453</v>
      </c>
      <c r="G410" s="1">
        <v>454</v>
      </c>
      <c r="H410" s="8" cm="1">
        <f t="array" ref="H410">_xlfn.LET(_xlpm.s,IFERROR(--F410,""),_xlpm.e,IFERROR(--G410,""),IF(OR(_xlpm.s="",_xlpm.e="",_xlpm.e&lt;_xlpm.s),"",_xlfn.LET(_xlpm.p,_xlfn.SEQUENCE(_xlpm.e-_xlpm.s+1,1,_xlpm.s,1),SUM(1/COUNTIFS($D:$D,D410,$E:$E,E410,$F:$F,"&lt;&gt;N/A",$G:$G,"&lt;&gt;N/A",$F:$F,"&lt;="&amp;_xlpm.p,$G:$G,"&gt;="&amp;_xlpm.p)))))</f>
        <v>1.25</v>
      </c>
      <c r="I410" s="4" t="s">
        <v>774</v>
      </c>
      <c r="J410" s="5" t="s">
        <v>848</v>
      </c>
      <c r="K410" s="5" t="s">
        <v>7</v>
      </c>
      <c r="L410" s="5" t="s">
        <v>7</v>
      </c>
      <c r="M410" s="5" t="s">
        <v>7</v>
      </c>
      <c r="N410" s="5" t="s">
        <v>7</v>
      </c>
      <c r="O410" s="4" t="s">
        <v>778</v>
      </c>
      <c r="P410" s="4" t="s">
        <v>7834</v>
      </c>
      <c r="R410" t="b">
        <v>1</v>
      </c>
    </row>
    <row r="411" spans="1:18">
      <c r="A411" t="s">
        <v>3010</v>
      </c>
      <c r="B411" t="s">
        <v>7087</v>
      </c>
      <c r="C411" s="5" t="s">
        <v>10278</v>
      </c>
      <c r="D411" s="1">
        <v>1</v>
      </c>
      <c r="E411" s="1" t="s">
        <v>1072</v>
      </c>
      <c r="F411" s="1">
        <v>454</v>
      </c>
      <c r="G411" s="1">
        <v>454</v>
      </c>
      <c r="H411" s="8" cm="1">
        <f t="array" ref="H411">_xlfn.LET(_xlpm.s,IFERROR(--F411,""),_xlpm.e,IFERROR(--G411,""),IF(OR(_xlpm.s="",_xlpm.e="",_xlpm.e&lt;_xlpm.s),"",_xlfn.LET(_xlpm.p,_xlfn.SEQUENCE(_xlpm.e-_xlpm.s+1,1,_xlpm.s,1),SUM(1/COUNTIFS($D:$D,D411,$E:$E,E411,$F:$F,"&lt;&gt;N/A",$G:$G,"&lt;&gt;N/A",$F:$F,"&lt;="&amp;_xlpm.p,$G:$G,"&gt;="&amp;_xlpm.p)))))</f>
        <v>0.25</v>
      </c>
      <c r="I411" s="4" t="s">
        <v>782</v>
      </c>
      <c r="J411" s="5" t="s">
        <v>7092</v>
      </c>
      <c r="K411" s="5" t="s">
        <v>7</v>
      </c>
      <c r="L411" s="5" t="s">
        <v>7</v>
      </c>
      <c r="M411" t="s">
        <v>5055</v>
      </c>
      <c r="N411" s="5" t="s">
        <v>6962</v>
      </c>
      <c r="O411" s="4" t="s">
        <v>11522</v>
      </c>
      <c r="P411" s="4" t="s">
        <v>8034</v>
      </c>
      <c r="R411" t="b">
        <v>1</v>
      </c>
    </row>
    <row r="412" spans="1:18">
      <c r="A412" t="s">
        <v>3010</v>
      </c>
      <c r="B412" t="s">
        <v>7088</v>
      </c>
      <c r="C412" s="5" t="s">
        <v>10278</v>
      </c>
      <c r="D412" s="1">
        <v>1</v>
      </c>
      <c r="E412" s="1" t="s">
        <v>1072</v>
      </c>
      <c r="F412" s="1">
        <v>454</v>
      </c>
      <c r="G412" s="1">
        <v>454</v>
      </c>
      <c r="H412" s="8" cm="1">
        <f t="array" ref="H412">_xlfn.LET(_xlpm.s,IFERROR(--F412,""),_xlpm.e,IFERROR(--G412,""),IF(OR(_xlpm.s="",_xlpm.e="",_xlpm.e&lt;_xlpm.s),"",_xlfn.LET(_xlpm.p,_xlfn.SEQUENCE(_xlpm.e-_xlpm.s+1,1,_xlpm.s,1),SUM(1/COUNTIFS($D:$D,D412,$E:$E,E412,$F:$F,"&lt;&gt;N/A",$G:$G,"&lt;&gt;N/A",$F:$F,"&lt;="&amp;_xlpm.p,$G:$G,"&gt;="&amp;_xlpm.p)))))</f>
        <v>0.25</v>
      </c>
      <c r="I412" s="4" t="s">
        <v>782</v>
      </c>
      <c r="J412" s="5" t="s">
        <v>1073</v>
      </c>
      <c r="K412" s="5" t="s">
        <v>7</v>
      </c>
      <c r="L412" s="5" t="s">
        <v>2216</v>
      </c>
      <c r="M412" t="s">
        <v>5030</v>
      </c>
      <c r="N412" s="5" t="s">
        <v>2248</v>
      </c>
      <c r="O412" s="4" t="s">
        <v>5072</v>
      </c>
      <c r="P412" s="4" t="s">
        <v>8034</v>
      </c>
      <c r="R412" t="b">
        <v>1</v>
      </c>
    </row>
    <row r="413" spans="1:18">
      <c r="A413" t="s">
        <v>3010</v>
      </c>
      <c r="B413" t="s">
        <v>7089</v>
      </c>
      <c r="C413" s="5" t="s">
        <v>10278</v>
      </c>
      <c r="D413" s="1">
        <v>1</v>
      </c>
      <c r="E413" s="1" t="s">
        <v>1072</v>
      </c>
      <c r="F413" s="1">
        <v>454</v>
      </c>
      <c r="G413" s="1">
        <v>455</v>
      </c>
      <c r="H413" s="8" cm="1">
        <f t="array" ref="H413">_xlfn.LET(_xlpm.s,IFERROR(--F413,""),_xlpm.e,IFERROR(--G413,""),IF(OR(_xlpm.s="",_xlpm.e="",_xlpm.e&lt;_xlpm.s),"",_xlfn.LET(_xlpm.p,_xlfn.SEQUENCE(_xlpm.e-_xlpm.s+1,1,_xlpm.s,1),SUM(1/COUNTIFS($D:$D,D413,$E:$E,E413,$F:$F,"&lt;&gt;N/A",$G:$G,"&lt;&gt;N/A",$F:$F,"&lt;="&amp;_xlpm.p,$G:$G,"&gt;="&amp;_xlpm.p)))))</f>
        <v>0.5</v>
      </c>
      <c r="I413" s="4" t="s">
        <v>782</v>
      </c>
      <c r="J413" s="5" t="s">
        <v>1074</v>
      </c>
      <c r="K413" s="5" t="s">
        <v>7</v>
      </c>
      <c r="L413" s="5" t="s">
        <v>2217</v>
      </c>
      <c r="M413" t="s">
        <v>5030</v>
      </c>
      <c r="N413" s="5" t="s">
        <v>2247</v>
      </c>
      <c r="O413" s="4" t="s">
        <v>5072</v>
      </c>
      <c r="P413" s="4" t="s">
        <v>8034</v>
      </c>
      <c r="R413" t="b">
        <v>1</v>
      </c>
    </row>
    <row r="414" spans="1:18">
      <c r="A414" t="s">
        <v>3010</v>
      </c>
      <c r="B414" t="s">
        <v>7170</v>
      </c>
      <c r="C414" s="5" t="s">
        <v>10278</v>
      </c>
      <c r="D414" s="1">
        <v>1</v>
      </c>
      <c r="E414" s="1" t="s">
        <v>1072</v>
      </c>
      <c r="F414" s="1">
        <v>455</v>
      </c>
      <c r="G414" s="1">
        <v>455</v>
      </c>
      <c r="H414" s="8" cm="1">
        <f t="array" ref="H414">_xlfn.LET(_xlpm.s,IFERROR(--F414,""),_xlpm.e,IFERROR(--G414,""),IF(OR(_xlpm.s="",_xlpm.e="",_xlpm.e&lt;_xlpm.s),"",_xlfn.LET(_xlpm.p,_xlfn.SEQUENCE(_xlpm.e-_xlpm.s+1,1,_xlpm.s,1),SUM(1/COUNTIFS($D:$D,D414,$E:$E,E414,$F:$F,"&lt;&gt;N/A",$G:$G,"&lt;&gt;N/A",$F:$F,"&lt;="&amp;_xlpm.p,$G:$G,"&gt;="&amp;_xlpm.p)))))</f>
        <v>0.25</v>
      </c>
      <c r="I414" s="4" t="s">
        <v>782</v>
      </c>
      <c r="J414" s="5" t="s">
        <v>1075</v>
      </c>
      <c r="K414" s="5" t="s">
        <v>7</v>
      </c>
      <c r="L414" s="5" t="s">
        <v>2218</v>
      </c>
      <c r="M414" t="s">
        <v>5030</v>
      </c>
      <c r="N414" s="5" t="s">
        <v>2246</v>
      </c>
      <c r="O414" s="4" t="s">
        <v>5072</v>
      </c>
      <c r="P414" s="4" t="s">
        <v>8034</v>
      </c>
      <c r="R414" t="b">
        <v>1</v>
      </c>
    </row>
    <row r="415" spans="1:18">
      <c r="A415" t="s">
        <v>3010</v>
      </c>
      <c r="B415" t="s">
        <v>7196</v>
      </c>
      <c r="C415" s="5" t="s">
        <v>10278</v>
      </c>
      <c r="D415" s="1">
        <v>1</v>
      </c>
      <c r="E415" s="1" t="s">
        <v>1072</v>
      </c>
      <c r="F415" s="1">
        <v>455</v>
      </c>
      <c r="G415" s="1">
        <v>455</v>
      </c>
      <c r="H415" s="8" cm="1">
        <f t="array" ref="H415">_xlfn.LET(_xlpm.s,IFERROR(--F415,""),_xlpm.e,IFERROR(--G415,""),IF(OR(_xlpm.s="",_xlpm.e="",_xlpm.e&lt;_xlpm.s),"",_xlfn.LET(_xlpm.p,_xlfn.SEQUENCE(_xlpm.e-_xlpm.s+1,1,_xlpm.s,1),SUM(1/COUNTIFS($D:$D,D415,$E:$E,E415,$F:$F,"&lt;&gt;N/A",$G:$G,"&lt;&gt;N/A",$F:$F,"&lt;="&amp;_xlpm.p,$G:$G,"&gt;="&amp;_xlpm.p)))))</f>
        <v>0.25</v>
      </c>
      <c r="I415" s="4" t="s">
        <v>782</v>
      </c>
      <c r="J415" s="5" t="s">
        <v>1076</v>
      </c>
      <c r="K415" s="5" t="s">
        <v>7</v>
      </c>
      <c r="L415" s="5" t="s">
        <v>2218</v>
      </c>
      <c r="M415" t="s">
        <v>5030</v>
      </c>
      <c r="N415" s="5" t="s">
        <v>2245</v>
      </c>
      <c r="O415" s="4" t="s">
        <v>5072</v>
      </c>
      <c r="P415" s="4" t="s">
        <v>8034</v>
      </c>
      <c r="R415" t="b">
        <v>1</v>
      </c>
    </row>
    <row r="416" spans="1:18">
      <c r="A416" t="s">
        <v>3010</v>
      </c>
      <c r="B416" t="s">
        <v>7197</v>
      </c>
      <c r="C416" s="5" t="s">
        <v>10278</v>
      </c>
      <c r="D416" s="1">
        <v>1</v>
      </c>
      <c r="E416" s="1" t="s">
        <v>1072</v>
      </c>
      <c r="F416" s="1">
        <v>455</v>
      </c>
      <c r="G416" s="1">
        <v>456</v>
      </c>
      <c r="H416" s="8" cm="1">
        <f t="array" ref="H416">_xlfn.LET(_xlpm.s,IFERROR(--F416,""),_xlpm.e,IFERROR(--G416,""),IF(OR(_xlpm.s="",_xlpm.e="",_xlpm.e&lt;_xlpm.s),"",_xlfn.LET(_xlpm.p,_xlfn.SEQUENCE(_xlpm.e-_xlpm.s+1,1,_xlpm.s,1),SUM(1/COUNTIFS($D:$D,D416,$E:$E,E416,$F:$F,"&lt;&gt;N/A",$G:$G,"&lt;&gt;N/A",$F:$F,"&lt;="&amp;_xlpm.p,$G:$G,"&gt;="&amp;_xlpm.p)))))</f>
        <v>0.58333333333333326</v>
      </c>
      <c r="I416" s="4" t="s">
        <v>782</v>
      </c>
      <c r="J416" s="5" t="s">
        <v>1077</v>
      </c>
      <c r="K416" s="5" t="s">
        <v>7</v>
      </c>
      <c r="L416" s="5" t="s">
        <v>2219</v>
      </c>
      <c r="M416" t="s">
        <v>5030</v>
      </c>
      <c r="N416" s="5" t="s">
        <v>2243</v>
      </c>
      <c r="O416" s="4" t="s">
        <v>5072</v>
      </c>
      <c r="P416" s="4" t="s">
        <v>8034</v>
      </c>
      <c r="R416" t="b">
        <v>1</v>
      </c>
    </row>
    <row r="417" spans="1:18">
      <c r="A417" t="s">
        <v>3010</v>
      </c>
      <c r="B417" t="s">
        <v>10595</v>
      </c>
      <c r="C417" s="5" t="s">
        <v>10278</v>
      </c>
      <c r="D417" s="1">
        <v>1</v>
      </c>
      <c r="E417" s="1" t="s">
        <v>1072</v>
      </c>
      <c r="F417" s="1">
        <v>456</v>
      </c>
      <c r="G417" s="1">
        <v>456</v>
      </c>
      <c r="H417" s="8" cm="1">
        <f t="array" ref="H417">_xlfn.LET(_xlpm.s,IFERROR(--F417,""),_xlpm.e,IFERROR(--G417,""),IF(OR(_xlpm.s="",_xlpm.e="",_xlpm.e&lt;_xlpm.s),"",_xlfn.LET(_xlpm.p,_xlfn.SEQUENCE(_xlpm.e-_xlpm.s+1,1,_xlpm.s,1),SUM(1/COUNTIFS($D:$D,D417,$E:$E,E417,$F:$F,"&lt;&gt;N/A",$G:$G,"&lt;&gt;N/A",$F:$F,"&lt;="&amp;_xlpm.p,$G:$G,"&gt;="&amp;_xlpm.p)))))</f>
        <v>0.33333333333333331</v>
      </c>
      <c r="I417" s="4" t="s">
        <v>782</v>
      </c>
      <c r="J417" s="5" t="s">
        <v>1078</v>
      </c>
      <c r="K417" s="5" t="s">
        <v>7</v>
      </c>
      <c r="L417" s="5" t="s">
        <v>2220</v>
      </c>
      <c r="M417" t="s">
        <v>5030</v>
      </c>
      <c r="N417" s="5" t="s">
        <v>2244</v>
      </c>
      <c r="O417" s="4" t="s">
        <v>5072</v>
      </c>
      <c r="P417" s="4" t="s">
        <v>8034</v>
      </c>
      <c r="R417" t="b">
        <v>1</v>
      </c>
    </row>
    <row r="418" spans="1:18">
      <c r="A418" t="s">
        <v>3010</v>
      </c>
      <c r="B418" t="s">
        <v>11439</v>
      </c>
      <c r="C418" s="5" t="s">
        <v>10278</v>
      </c>
      <c r="D418" s="1">
        <v>1</v>
      </c>
      <c r="E418" s="1" t="s">
        <v>1072</v>
      </c>
      <c r="F418" s="1">
        <v>456</v>
      </c>
      <c r="G418" s="1">
        <v>456</v>
      </c>
      <c r="H418" s="8" cm="1">
        <f t="array" ref="H418">_xlfn.LET(_xlpm.s,IFERROR(--F418,""),_xlpm.e,IFERROR(--G418,""),IF(OR(_xlpm.s="",_xlpm.e="",_xlpm.e&lt;_xlpm.s),"",_xlfn.LET(_xlpm.p,_xlfn.SEQUENCE(_xlpm.e-_xlpm.s+1,1,_xlpm.s,1),SUM(1/COUNTIFS($D:$D,D418,$E:$E,E418,$F:$F,"&lt;&gt;N/A",$G:$G,"&lt;&gt;N/A",$F:$F,"&lt;="&amp;_xlpm.p,$G:$G,"&gt;="&amp;_xlpm.p)))))</f>
        <v>0.33333333333333331</v>
      </c>
      <c r="I418" s="4" t="s">
        <v>782</v>
      </c>
      <c r="J418" s="5" t="s">
        <v>1079</v>
      </c>
      <c r="K418" s="5" t="s">
        <v>7</v>
      </c>
      <c r="L418" s="5" t="s">
        <v>2220</v>
      </c>
      <c r="M418" t="s">
        <v>5030</v>
      </c>
      <c r="N418" s="5" t="s">
        <v>2249</v>
      </c>
      <c r="O418" s="4" t="s">
        <v>5072</v>
      </c>
      <c r="P418" s="4" t="s">
        <v>8034</v>
      </c>
      <c r="R418" t="b">
        <v>1</v>
      </c>
    </row>
    <row r="419" spans="1:18">
      <c r="A419" t="s">
        <v>3010</v>
      </c>
      <c r="B419" t="s">
        <v>7171</v>
      </c>
      <c r="C419" s="5" t="s">
        <v>10279</v>
      </c>
      <c r="D419" s="1">
        <v>1</v>
      </c>
      <c r="E419" s="1" t="s">
        <v>1080</v>
      </c>
      <c r="F419" s="1">
        <v>457</v>
      </c>
      <c r="G419" s="1">
        <v>458</v>
      </c>
      <c r="H419" s="8" cm="1">
        <f t="array" ref="H419">_xlfn.LET(_xlpm.s,IFERROR(--F419,""),_xlpm.e,IFERROR(--G419,""),IF(OR(_xlpm.s="",_xlpm.e="",_xlpm.e&lt;_xlpm.s),"",_xlfn.LET(_xlpm.p,_xlfn.SEQUENCE(_xlpm.e-_xlpm.s+1,1,_xlpm.s,1),SUM(1/COUNTIFS($D:$D,D419,$E:$E,E419,$F:$F,"&lt;&gt;N/A",$G:$G,"&lt;&gt;N/A",$F:$F,"&lt;="&amp;_xlpm.p,$G:$G,"&gt;="&amp;_xlpm.p)))))</f>
        <v>1.5</v>
      </c>
      <c r="I419" s="4" t="s">
        <v>774</v>
      </c>
      <c r="J419" s="5" t="s">
        <v>839</v>
      </c>
      <c r="K419" s="5" t="s">
        <v>7</v>
      </c>
      <c r="L419" s="5" t="s">
        <v>7</v>
      </c>
      <c r="M419" s="5" t="s">
        <v>7</v>
      </c>
      <c r="N419" s="5" t="s">
        <v>7</v>
      </c>
      <c r="O419" s="4" t="s">
        <v>778</v>
      </c>
      <c r="P419" s="4" t="s">
        <v>7834</v>
      </c>
      <c r="R419" t="b">
        <v>0</v>
      </c>
    </row>
    <row r="420" spans="1:18">
      <c r="A420" t="s">
        <v>3010</v>
      </c>
      <c r="B420" t="s">
        <v>7198</v>
      </c>
      <c r="C420" s="5" t="s">
        <v>10279</v>
      </c>
      <c r="D420" s="1">
        <v>1</v>
      </c>
      <c r="E420" s="1" t="s">
        <v>1080</v>
      </c>
      <c r="F420" s="1">
        <v>458</v>
      </c>
      <c r="G420" s="1">
        <v>459</v>
      </c>
      <c r="H420" s="8" cm="1">
        <f t="array" ref="H420">_xlfn.LET(_xlpm.s,IFERROR(--F420,""),_xlpm.e,IFERROR(--G420,""),IF(OR(_xlpm.s="",_xlpm.e="",_xlpm.e&lt;_xlpm.s),"",_xlfn.LET(_xlpm.p,_xlfn.SEQUENCE(_xlpm.e-_xlpm.s+1,1,_xlpm.s,1),SUM(1/COUNTIFS($D:$D,D420,$E:$E,E420,$F:$F,"&lt;&gt;N/A",$G:$G,"&lt;&gt;N/A",$F:$F,"&lt;="&amp;_xlpm.p,$G:$G,"&gt;="&amp;_xlpm.p)))))</f>
        <v>0.83333333333333326</v>
      </c>
      <c r="I420" s="4" t="s">
        <v>782</v>
      </c>
      <c r="J420" s="5" t="s">
        <v>1081</v>
      </c>
      <c r="K420" s="5" t="s">
        <v>7</v>
      </c>
      <c r="L420" s="5" t="s">
        <v>2221</v>
      </c>
      <c r="M420" t="s">
        <v>5030</v>
      </c>
      <c r="N420" s="5" t="s">
        <v>2250</v>
      </c>
      <c r="O420" s="4" t="s">
        <v>5072</v>
      </c>
      <c r="P420" s="4" t="s">
        <v>8034</v>
      </c>
      <c r="R420" t="b">
        <v>1</v>
      </c>
    </row>
    <row r="421" spans="1:18">
      <c r="A421" t="s">
        <v>3010</v>
      </c>
      <c r="B421" t="s">
        <v>7199</v>
      </c>
      <c r="C421" s="5" t="s">
        <v>10279</v>
      </c>
      <c r="D421" s="1">
        <v>1</v>
      </c>
      <c r="E421" s="1" t="s">
        <v>1080</v>
      </c>
      <c r="F421" s="1">
        <v>459</v>
      </c>
      <c r="G421" s="1">
        <v>459</v>
      </c>
      <c r="H421" s="8" cm="1">
        <f t="array" ref="H421">_xlfn.LET(_xlpm.s,IFERROR(--F421,""),_xlpm.e,IFERROR(--G421,""),IF(OR(_xlpm.s="",_xlpm.e="",_xlpm.e&lt;_xlpm.s),"",_xlfn.LET(_xlpm.p,_xlfn.SEQUENCE(_xlpm.e-_xlpm.s+1,1,_xlpm.s,1),SUM(1/COUNTIFS($D:$D,D421,$E:$E,E421,$F:$F,"&lt;&gt;N/A",$G:$G,"&lt;&gt;N/A",$F:$F,"&lt;="&amp;_xlpm.p,$G:$G,"&gt;="&amp;_xlpm.p)))))</f>
        <v>0.33333333333333331</v>
      </c>
      <c r="I421" s="4" t="s">
        <v>782</v>
      </c>
      <c r="J421" s="5" t="s">
        <v>1083</v>
      </c>
      <c r="K421" s="5" t="s">
        <v>7</v>
      </c>
      <c r="L421" s="5" t="s">
        <v>2221</v>
      </c>
      <c r="M421" t="s">
        <v>5030</v>
      </c>
      <c r="N421" s="5" t="s">
        <v>2251</v>
      </c>
      <c r="O421" s="4" t="s">
        <v>5072</v>
      </c>
      <c r="P421" s="4" t="s">
        <v>8034</v>
      </c>
      <c r="R421" t="b">
        <v>1</v>
      </c>
    </row>
    <row r="422" spans="1:18">
      <c r="A422" t="s">
        <v>3010</v>
      </c>
      <c r="B422" t="s">
        <v>10596</v>
      </c>
      <c r="C422" s="5" t="s">
        <v>10279</v>
      </c>
      <c r="D422" s="1">
        <v>1</v>
      </c>
      <c r="E422" s="1" t="s">
        <v>1080</v>
      </c>
      <c r="F422" s="1">
        <v>459</v>
      </c>
      <c r="G422" s="1">
        <v>460</v>
      </c>
      <c r="H422" s="8" cm="1">
        <f t="array" ref="H422">_xlfn.LET(_xlpm.s,IFERROR(--F422,""),_xlpm.e,IFERROR(--G422,""),IF(OR(_xlpm.s="",_xlpm.e="",_xlpm.e&lt;_xlpm.s),"",_xlfn.LET(_xlpm.p,_xlfn.SEQUENCE(_xlpm.e-_xlpm.s+1,1,_xlpm.s,1),SUM(1/COUNTIFS($D:$D,D422,$E:$E,E422,$F:$F,"&lt;&gt;N/A",$G:$G,"&lt;&gt;N/A",$F:$F,"&lt;="&amp;_xlpm.p,$G:$G,"&gt;="&amp;_xlpm.p)))))</f>
        <v>0.83333333333333326</v>
      </c>
      <c r="I422" s="4" t="s">
        <v>782</v>
      </c>
      <c r="J422" s="5" t="s">
        <v>1082</v>
      </c>
      <c r="K422" s="5" t="s">
        <v>7</v>
      </c>
      <c r="L422" s="5" t="s">
        <v>2222</v>
      </c>
      <c r="M422" t="s">
        <v>5030</v>
      </c>
      <c r="N422" s="5" t="s">
        <v>2252</v>
      </c>
      <c r="O422" s="4" t="s">
        <v>5072</v>
      </c>
      <c r="P422" s="4" t="s">
        <v>8034</v>
      </c>
      <c r="R422" t="b">
        <v>1</v>
      </c>
    </row>
    <row r="423" spans="1:18">
      <c r="A423" t="s">
        <v>3010</v>
      </c>
      <c r="B423" t="s">
        <v>11440</v>
      </c>
      <c r="C423" s="5" t="s">
        <v>10279</v>
      </c>
      <c r="D423" s="1">
        <v>1</v>
      </c>
      <c r="E423" s="1" t="s">
        <v>1080</v>
      </c>
      <c r="F423" s="1">
        <v>460</v>
      </c>
      <c r="G423" s="1">
        <v>460</v>
      </c>
      <c r="H423" s="8" cm="1">
        <f t="array" ref="H423">_xlfn.LET(_xlpm.s,IFERROR(--F423,""),_xlpm.e,IFERROR(--G423,""),IF(OR(_xlpm.s="",_xlpm.e="",_xlpm.e&lt;_xlpm.s),"",_xlfn.LET(_xlpm.p,_xlfn.SEQUENCE(_xlpm.e-_xlpm.s+1,1,_xlpm.s,1),SUM(1/COUNTIFS($D:$D,D423,$E:$E,E423,$F:$F,"&lt;&gt;N/A",$G:$G,"&lt;&gt;N/A",$F:$F,"&lt;="&amp;_xlpm.p,$G:$G,"&gt;="&amp;_xlpm.p)))))</f>
        <v>0.5</v>
      </c>
      <c r="I423" s="4" t="s">
        <v>782</v>
      </c>
      <c r="J423" s="5" t="s">
        <v>6953</v>
      </c>
      <c r="K423" s="5" t="s">
        <v>2223</v>
      </c>
      <c r="L423" s="5" t="s">
        <v>7</v>
      </c>
      <c r="M423" s="5" t="s">
        <v>7</v>
      </c>
      <c r="N423" s="5" t="s">
        <v>7</v>
      </c>
      <c r="O423" s="4" t="s">
        <v>778</v>
      </c>
      <c r="P423" s="4" t="s">
        <v>7834</v>
      </c>
      <c r="R423" t="b">
        <v>1</v>
      </c>
    </row>
    <row r="424" spans="1:18">
      <c r="A424" t="s">
        <v>3010</v>
      </c>
      <c r="B424" t="s">
        <v>7090</v>
      </c>
      <c r="C424" s="5" t="s">
        <v>7896</v>
      </c>
      <c r="D424" s="1">
        <v>1</v>
      </c>
      <c r="E424" s="1" t="s">
        <v>1084</v>
      </c>
      <c r="F424" s="1">
        <v>461</v>
      </c>
      <c r="G424" s="1">
        <v>462</v>
      </c>
      <c r="H424" s="8" cm="1">
        <f t="array" ref="H424">_xlfn.LET(_xlpm.s,IFERROR(--F424,""),_xlpm.e,IFERROR(--G424,""),IF(OR(_xlpm.s="",_xlpm.e="",_xlpm.e&lt;_xlpm.s),"",_xlfn.LET(_xlpm.p,_xlfn.SEQUENCE(_xlpm.e-_xlpm.s+1,1,_xlpm.s,1),SUM(1/COUNTIFS($D:$D,D424,$E:$E,E424,$F:$F,"&lt;&gt;N/A",$G:$G,"&lt;&gt;N/A",$F:$F,"&lt;="&amp;_xlpm.p,$G:$G,"&gt;="&amp;_xlpm.p)))))</f>
        <v>1.5</v>
      </c>
      <c r="I424" s="4" t="s">
        <v>774</v>
      </c>
      <c r="J424" s="5" t="s">
        <v>11460</v>
      </c>
      <c r="K424" s="5" t="s">
        <v>7</v>
      </c>
      <c r="L424" s="5" t="s">
        <v>7</v>
      </c>
      <c r="M424" s="5" t="s">
        <v>7</v>
      </c>
      <c r="N424" s="5" t="s">
        <v>7</v>
      </c>
      <c r="O424" s="4" t="s">
        <v>778</v>
      </c>
      <c r="P424" s="4" t="s">
        <v>7834</v>
      </c>
      <c r="R424" t="b">
        <v>0</v>
      </c>
    </row>
    <row r="425" spans="1:18">
      <c r="A425" t="s">
        <v>3010</v>
      </c>
      <c r="B425" t="s">
        <v>7172</v>
      </c>
      <c r="C425" s="5" t="s">
        <v>7896</v>
      </c>
      <c r="D425" s="1">
        <v>1</v>
      </c>
      <c r="E425" s="1" t="s">
        <v>1084</v>
      </c>
      <c r="F425" s="1">
        <v>462</v>
      </c>
      <c r="G425" s="1">
        <v>463</v>
      </c>
      <c r="H425" s="8" cm="1">
        <f t="array" ref="H425">_xlfn.LET(_xlpm.s,IFERROR(--F425,""),_xlpm.e,IFERROR(--G425,""),IF(OR(_xlpm.s="",_xlpm.e="",_xlpm.e&lt;_xlpm.s),"",_xlfn.LET(_xlpm.p,_xlfn.SEQUENCE(_xlpm.e-_xlpm.s+1,1,_xlpm.s,1),SUM(1/COUNTIFS($D:$D,D425,$E:$E,E425,$F:$F,"&lt;&gt;N/A",$G:$G,"&lt;&gt;N/A",$F:$F,"&lt;="&amp;_xlpm.p,$G:$G,"&gt;="&amp;_xlpm.p)))))</f>
        <v>0.83333333333333326</v>
      </c>
      <c r="I425" s="4" t="s">
        <v>782</v>
      </c>
      <c r="J425" s="5" t="s">
        <v>1085</v>
      </c>
      <c r="K425" s="5" t="s">
        <v>7</v>
      </c>
      <c r="L425" s="5" t="s">
        <v>2224</v>
      </c>
      <c r="M425" t="s">
        <v>5030</v>
      </c>
      <c r="N425" s="5" t="s">
        <v>2253</v>
      </c>
      <c r="O425" s="4" t="s">
        <v>5072</v>
      </c>
      <c r="P425" s="4" t="s">
        <v>8034</v>
      </c>
      <c r="R425" t="b">
        <v>1</v>
      </c>
    </row>
    <row r="426" spans="1:18">
      <c r="A426" t="s">
        <v>3010</v>
      </c>
      <c r="B426" t="s">
        <v>7200</v>
      </c>
      <c r="C426" s="5" t="s">
        <v>7896</v>
      </c>
      <c r="D426" s="1">
        <v>1</v>
      </c>
      <c r="E426" s="1" t="s">
        <v>1084</v>
      </c>
      <c r="F426" s="1">
        <v>463</v>
      </c>
      <c r="G426" s="1">
        <v>463</v>
      </c>
      <c r="H426" s="8" cm="1">
        <f t="array" ref="H426">_xlfn.LET(_xlpm.s,IFERROR(--F426,""),_xlpm.e,IFERROR(--G426,""),IF(OR(_xlpm.s="",_xlpm.e="",_xlpm.e&lt;_xlpm.s),"",_xlfn.LET(_xlpm.p,_xlfn.SEQUENCE(_xlpm.e-_xlpm.s+1,1,_xlpm.s,1),SUM(1/COUNTIFS($D:$D,D426,$E:$E,E426,$F:$F,"&lt;&gt;N/A",$G:$G,"&lt;&gt;N/A",$F:$F,"&lt;="&amp;_xlpm.p,$G:$G,"&gt;="&amp;_xlpm.p)))))</f>
        <v>0.33333333333333331</v>
      </c>
      <c r="I426" s="4" t="s">
        <v>782</v>
      </c>
      <c r="J426" s="5" t="s">
        <v>1086</v>
      </c>
      <c r="K426" s="5" t="s">
        <v>7</v>
      </c>
      <c r="L426" s="5" t="s">
        <v>2225</v>
      </c>
      <c r="M426" t="s">
        <v>5030</v>
      </c>
      <c r="N426" s="5" t="s">
        <v>2254</v>
      </c>
      <c r="O426" s="4" t="s">
        <v>5072</v>
      </c>
      <c r="P426" s="4" t="s">
        <v>8034</v>
      </c>
      <c r="R426" t="b">
        <v>1</v>
      </c>
    </row>
    <row r="427" spans="1:18">
      <c r="A427" t="s">
        <v>3010</v>
      </c>
      <c r="B427" t="s">
        <v>7201</v>
      </c>
      <c r="C427" s="5" t="s">
        <v>7896</v>
      </c>
      <c r="D427" s="1">
        <v>1</v>
      </c>
      <c r="E427" s="1" t="s">
        <v>1084</v>
      </c>
      <c r="F427" s="1">
        <v>463</v>
      </c>
      <c r="G427" s="1">
        <v>464</v>
      </c>
      <c r="H427" s="8" cm="1">
        <f t="array" ref="H427">_xlfn.LET(_xlpm.s,IFERROR(--F427,""),_xlpm.e,IFERROR(--G427,""),IF(OR(_xlpm.s="",_xlpm.e="",_xlpm.e&lt;_xlpm.s),"",_xlfn.LET(_xlpm.p,_xlfn.SEQUENCE(_xlpm.e-_xlpm.s+1,1,_xlpm.s,1),SUM(1/COUNTIFS($D:$D,D427,$E:$E,E427,$F:$F,"&lt;&gt;N/A",$G:$G,"&lt;&gt;N/A",$F:$F,"&lt;="&amp;_xlpm.p,$G:$G,"&gt;="&amp;_xlpm.p)))))</f>
        <v>0.66666666666666663</v>
      </c>
      <c r="I427" s="4" t="s">
        <v>782</v>
      </c>
      <c r="J427" s="5" t="s">
        <v>1087</v>
      </c>
      <c r="K427" s="5" t="s">
        <v>7</v>
      </c>
      <c r="L427" s="5" t="s">
        <v>2225</v>
      </c>
      <c r="M427" t="s">
        <v>5030</v>
      </c>
      <c r="N427" s="5" t="s">
        <v>2255</v>
      </c>
      <c r="O427" s="4" t="s">
        <v>5072</v>
      </c>
      <c r="P427" s="4" t="s">
        <v>8034</v>
      </c>
      <c r="R427" t="b">
        <v>1</v>
      </c>
    </row>
    <row r="428" spans="1:18">
      <c r="A428" t="s">
        <v>3010</v>
      </c>
      <c r="B428" t="s">
        <v>10597</v>
      </c>
      <c r="C428" s="5" t="s">
        <v>7896</v>
      </c>
      <c r="D428" s="1">
        <v>1</v>
      </c>
      <c r="E428" s="1" t="s">
        <v>1084</v>
      </c>
      <c r="F428" s="1">
        <v>464</v>
      </c>
      <c r="G428" s="1">
        <v>464</v>
      </c>
      <c r="H428" s="8" cm="1">
        <f t="array" ref="H428">_xlfn.LET(_xlpm.s,IFERROR(--F428,""),_xlpm.e,IFERROR(--G428,""),IF(OR(_xlpm.s="",_xlpm.e="",_xlpm.e&lt;_xlpm.s),"",_xlfn.LET(_xlpm.p,_xlfn.SEQUENCE(_xlpm.e-_xlpm.s+1,1,_xlpm.s,1),SUM(1/COUNTIFS($D:$D,D428,$E:$E,E428,$F:$F,"&lt;&gt;N/A",$G:$G,"&lt;&gt;N/A",$F:$F,"&lt;="&amp;_xlpm.p,$G:$G,"&gt;="&amp;_xlpm.p)))))</f>
        <v>0.33333333333333331</v>
      </c>
      <c r="I428" s="4" t="s">
        <v>782</v>
      </c>
      <c r="J428" s="5" t="s">
        <v>2226</v>
      </c>
      <c r="K428" s="5" t="s">
        <v>7</v>
      </c>
      <c r="L428" s="5" t="s">
        <v>2225</v>
      </c>
      <c r="M428" t="s">
        <v>5030</v>
      </c>
      <c r="N428" s="5" t="s">
        <v>2256</v>
      </c>
      <c r="O428" s="4" t="s">
        <v>5072</v>
      </c>
      <c r="P428" s="4" t="s">
        <v>8034</v>
      </c>
      <c r="R428" t="b">
        <v>1</v>
      </c>
    </row>
    <row r="429" spans="1:18">
      <c r="A429" t="s">
        <v>3010</v>
      </c>
      <c r="B429" t="s">
        <v>11441</v>
      </c>
      <c r="C429" s="5" t="s">
        <v>7896</v>
      </c>
      <c r="D429" s="1">
        <v>1</v>
      </c>
      <c r="E429" s="1" t="s">
        <v>1084</v>
      </c>
      <c r="F429" s="1">
        <v>464</v>
      </c>
      <c r="G429" s="1">
        <v>464</v>
      </c>
      <c r="H429" s="8" cm="1">
        <f t="array" ref="H429">_xlfn.LET(_xlpm.s,IFERROR(--F429,""),_xlpm.e,IFERROR(--G429,""),IF(OR(_xlpm.s="",_xlpm.e="",_xlpm.e&lt;_xlpm.s),"",_xlfn.LET(_xlpm.p,_xlfn.SEQUENCE(_xlpm.e-_xlpm.s+1,1,_xlpm.s,1),SUM(1/COUNTIFS($D:$D,D429,$E:$E,E429,$F:$F,"&lt;&gt;N/A",$G:$G,"&lt;&gt;N/A",$F:$F,"&lt;="&amp;_xlpm.p,$G:$G,"&gt;="&amp;_xlpm.p)))))</f>
        <v>0.33333333333333331</v>
      </c>
      <c r="I429" s="4" t="s">
        <v>782</v>
      </c>
      <c r="J429" s="5" t="s">
        <v>1088</v>
      </c>
      <c r="K429" s="5" t="s">
        <v>7</v>
      </c>
      <c r="L429" s="5" t="s">
        <v>2225</v>
      </c>
      <c r="M429" t="s">
        <v>5030</v>
      </c>
      <c r="N429" s="5" t="s">
        <v>2257</v>
      </c>
      <c r="O429" s="4" t="s">
        <v>5072</v>
      </c>
      <c r="P429" s="4" t="s">
        <v>8034</v>
      </c>
      <c r="R429" t="b">
        <v>1</v>
      </c>
    </row>
    <row r="430" spans="1:18">
      <c r="A430" t="s">
        <v>3010</v>
      </c>
      <c r="B430" t="s">
        <v>7202</v>
      </c>
      <c r="C430" s="5" t="s">
        <v>7923</v>
      </c>
      <c r="D430" s="1">
        <v>1</v>
      </c>
      <c r="E430" s="1" t="s">
        <v>1089</v>
      </c>
      <c r="F430" s="1">
        <v>465</v>
      </c>
      <c r="G430" s="1">
        <v>466</v>
      </c>
      <c r="H430" s="8" cm="1">
        <f t="array" ref="H430">_xlfn.LET(_xlpm.s,IFERROR(--F430,""),_xlpm.e,IFERROR(--G430,""),IF(OR(_xlpm.s="",_xlpm.e="",_xlpm.e&lt;_xlpm.s),"",_xlfn.LET(_xlpm.p,_xlfn.SEQUENCE(_xlpm.e-_xlpm.s+1,1,_xlpm.s,1),SUM(1/COUNTIFS($D:$D,D430,$E:$E,E430,$F:$F,"&lt;&gt;N/A",$G:$G,"&lt;&gt;N/A",$F:$F,"&lt;="&amp;_xlpm.p,$G:$G,"&gt;="&amp;_xlpm.p)))))</f>
        <v>1.5</v>
      </c>
      <c r="I430" s="4" t="s">
        <v>774</v>
      </c>
      <c r="J430" s="5" t="s">
        <v>839</v>
      </c>
      <c r="K430" s="5" t="s">
        <v>7</v>
      </c>
      <c r="L430" s="5" t="s">
        <v>7</v>
      </c>
      <c r="M430" s="5" t="s">
        <v>7</v>
      </c>
      <c r="N430" s="5" t="s">
        <v>7</v>
      </c>
      <c r="O430" s="4" t="s">
        <v>778</v>
      </c>
      <c r="P430" s="4" t="s">
        <v>7834</v>
      </c>
      <c r="Q430" s="5"/>
      <c r="R430" t="b">
        <v>0</v>
      </c>
    </row>
    <row r="431" spans="1:18">
      <c r="A431" t="s">
        <v>3010</v>
      </c>
      <c r="B431" t="s">
        <v>10598</v>
      </c>
      <c r="C431" s="5" t="s">
        <v>7923</v>
      </c>
      <c r="D431" s="1">
        <v>1</v>
      </c>
      <c r="E431" s="1" t="s">
        <v>1089</v>
      </c>
      <c r="F431" s="1">
        <v>466</v>
      </c>
      <c r="G431" s="1">
        <v>468</v>
      </c>
      <c r="H431" s="8" cm="1">
        <f t="array" ref="H431">_xlfn.LET(_xlpm.s,IFERROR(--F431,""),_xlpm.e,IFERROR(--G431,""),IF(OR(_xlpm.s="",_xlpm.e="",_xlpm.e&lt;_xlpm.s),"",_xlfn.LET(_xlpm.p,_xlfn.SEQUENCE(_xlpm.e-_xlpm.s+1,1,_xlpm.s,1),SUM(1/COUNTIFS($D:$D,D431,$E:$E,E431,$F:$F,"&lt;&gt;N/A",$G:$G,"&lt;&gt;N/A",$F:$F,"&lt;="&amp;_xlpm.p,$G:$G,"&gt;="&amp;_xlpm.p)))))</f>
        <v>2</v>
      </c>
      <c r="I431" s="4" t="s">
        <v>782</v>
      </c>
      <c r="J431" s="5" t="s">
        <v>1090</v>
      </c>
      <c r="K431" s="5" t="s">
        <v>1091</v>
      </c>
      <c r="L431" s="5" t="s">
        <v>7</v>
      </c>
      <c r="M431" s="5" t="s">
        <v>7</v>
      </c>
      <c r="N431" s="5" t="s">
        <v>7</v>
      </c>
      <c r="O431" s="4" t="s">
        <v>11522</v>
      </c>
      <c r="P431" s="4" t="s">
        <v>8020</v>
      </c>
      <c r="Q431" t="s">
        <v>6950</v>
      </c>
      <c r="R431" t="b">
        <v>1</v>
      </c>
    </row>
    <row r="432" spans="1:18">
      <c r="A432" t="s">
        <v>3010</v>
      </c>
      <c r="B432" t="s">
        <v>11442</v>
      </c>
      <c r="C432" s="5" t="s">
        <v>7923</v>
      </c>
      <c r="D432" s="1">
        <v>1</v>
      </c>
      <c r="E432" s="1" t="s">
        <v>1089</v>
      </c>
      <c r="F432" s="1">
        <v>468</v>
      </c>
      <c r="G432" s="1">
        <v>468</v>
      </c>
      <c r="H432" s="8" cm="1">
        <f t="array" ref="H432">_xlfn.LET(_xlpm.s,IFERROR(--F432,""),_xlpm.e,IFERROR(--G432,""),IF(OR(_xlpm.s="",_xlpm.e="",_xlpm.e&lt;_xlpm.s),"",_xlfn.LET(_xlpm.p,_xlfn.SEQUENCE(_xlpm.e-_xlpm.s+1,1,_xlpm.s,1),SUM(1/COUNTIFS($D:$D,D432,$E:$E,E432,$F:$F,"&lt;&gt;N/A",$G:$G,"&lt;&gt;N/A",$F:$F,"&lt;="&amp;_xlpm.p,$G:$G,"&gt;="&amp;_xlpm.p)))))</f>
        <v>0.5</v>
      </c>
      <c r="I432" s="4" t="s">
        <v>782</v>
      </c>
      <c r="J432" s="5" t="s">
        <v>4479</v>
      </c>
      <c r="K432" t="s">
        <v>2227</v>
      </c>
      <c r="L432" s="5" t="s">
        <v>7</v>
      </c>
      <c r="M432" s="5" t="s">
        <v>7</v>
      </c>
      <c r="N432" s="5" t="s">
        <v>7</v>
      </c>
      <c r="O432" s="4" t="s">
        <v>778</v>
      </c>
      <c r="P432" s="4" t="s">
        <v>7834</v>
      </c>
      <c r="R432" t="b">
        <v>1</v>
      </c>
    </row>
    <row r="433" spans="1:18">
      <c r="A433" t="s">
        <v>3010</v>
      </c>
      <c r="B433" t="s">
        <v>7203</v>
      </c>
      <c r="C433" s="5" t="s">
        <v>7924</v>
      </c>
      <c r="D433" s="1">
        <v>1</v>
      </c>
      <c r="E433" s="1" t="s">
        <v>1092</v>
      </c>
      <c r="F433" s="1">
        <v>469</v>
      </c>
      <c r="G433" s="1">
        <v>471</v>
      </c>
      <c r="H433" s="8" cm="1">
        <f t="array" ref="H433">_xlfn.LET(_xlpm.s,IFERROR(--F433,""),_xlpm.e,IFERROR(--G433,""),IF(OR(_xlpm.s="",_xlpm.e="",_xlpm.e&lt;_xlpm.s),"",_xlfn.LET(_xlpm.p,_xlfn.SEQUENCE(_xlpm.e-_xlpm.s+1,1,_xlpm.s,1),SUM(1/COUNTIFS($D:$D,D433,$E:$E,E433,$F:$F,"&lt;&gt;N/A",$G:$G,"&lt;&gt;N/A",$F:$F,"&lt;="&amp;_xlpm.p,$G:$G,"&gt;="&amp;_xlpm.p)))))</f>
        <v>2.5</v>
      </c>
      <c r="I433" s="4" t="s">
        <v>774</v>
      </c>
      <c r="J433" s="5" t="s">
        <v>4388</v>
      </c>
      <c r="K433" s="5" t="s">
        <v>644</v>
      </c>
      <c r="L433" s="5" t="s">
        <v>7</v>
      </c>
      <c r="M433" s="5" t="s">
        <v>7</v>
      </c>
      <c r="N433" s="5" t="s">
        <v>7</v>
      </c>
      <c r="O433" s="4" t="s">
        <v>778</v>
      </c>
      <c r="P433" s="4" t="s">
        <v>7834</v>
      </c>
      <c r="R433" t="b">
        <v>1</v>
      </c>
    </row>
    <row r="434" spans="1:18">
      <c r="A434" t="s">
        <v>3010</v>
      </c>
      <c r="B434" t="s">
        <v>7204</v>
      </c>
      <c r="C434" s="5" t="s">
        <v>7924</v>
      </c>
      <c r="D434" s="1">
        <v>1</v>
      </c>
      <c r="E434" s="1" t="s">
        <v>1092</v>
      </c>
      <c r="F434" s="1">
        <v>471</v>
      </c>
      <c r="G434" s="1">
        <v>472</v>
      </c>
      <c r="H434" s="8" cm="1">
        <f t="array" ref="H434">_xlfn.LET(_xlpm.s,IFERROR(--F434,""),_xlpm.e,IFERROR(--G434,""),IF(OR(_xlpm.s="",_xlpm.e="",_xlpm.e&lt;_xlpm.s),"",_xlfn.LET(_xlpm.p,_xlfn.SEQUENCE(_xlpm.e-_xlpm.s+1,1,_xlpm.s,1),SUM(1/COUNTIFS($D:$D,D434,$E:$E,E434,$F:$F,"&lt;&gt;N/A",$G:$G,"&lt;&gt;N/A",$F:$F,"&lt;="&amp;_xlpm.p,$G:$G,"&gt;="&amp;_xlpm.p)))))</f>
        <v>0.83333333333333326</v>
      </c>
      <c r="I434" s="4" t="s">
        <v>782</v>
      </c>
      <c r="J434" s="5" t="s">
        <v>1093</v>
      </c>
      <c r="K434" s="5" t="s">
        <v>2228</v>
      </c>
      <c r="L434" s="5" t="s">
        <v>2229</v>
      </c>
      <c r="M434" t="s">
        <v>5031</v>
      </c>
      <c r="N434" s="5" t="s">
        <v>2374</v>
      </c>
      <c r="O434" s="4" t="s">
        <v>5072</v>
      </c>
      <c r="P434" s="4" t="s">
        <v>8021</v>
      </c>
      <c r="R434" t="b">
        <v>1</v>
      </c>
    </row>
    <row r="435" spans="1:18">
      <c r="A435" t="s">
        <v>3010</v>
      </c>
      <c r="B435" t="s">
        <v>10599</v>
      </c>
      <c r="C435" s="5" t="s">
        <v>7924</v>
      </c>
      <c r="D435" s="1">
        <v>1</v>
      </c>
      <c r="E435" s="1" t="s">
        <v>1092</v>
      </c>
      <c r="F435" s="1">
        <v>472</v>
      </c>
      <c r="G435" s="1">
        <v>472</v>
      </c>
      <c r="H435" s="8" cm="1">
        <f t="array" ref="H435">_xlfn.LET(_xlpm.s,IFERROR(--F435,""),_xlpm.e,IFERROR(--G435,""),IF(OR(_xlpm.s="",_xlpm.e="",_xlpm.e&lt;_xlpm.s),"",_xlfn.LET(_xlpm.p,_xlfn.SEQUENCE(_xlpm.e-_xlpm.s+1,1,_xlpm.s,1),SUM(1/COUNTIFS($D:$D,D435,$E:$E,E435,$F:$F,"&lt;&gt;N/A",$G:$G,"&lt;&gt;N/A",$F:$F,"&lt;="&amp;_xlpm.p,$G:$G,"&gt;="&amp;_xlpm.p)))))</f>
        <v>0.33333333333333331</v>
      </c>
      <c r="I435" s="4" t="s">
        <v>782</v>
      </c>
      <c r="J435" s="5" t="s">
        <v>7091</v>
      </c>
      <c r="K435" s="5" t="s">
        <v>7</v>
      </c>
      <c r="L435" s="5" t="s">
        <v>2373</v>
      </c>
      <c r="M435" s="5" t="s">
        <v>7</v>
      </c>
      <c r="N435" s="5" t="s">
        <v>7</v>
      </c>
      <c r="O435" s="4" t="s">
        <v>11522</v>
      </c>
      <c r="P435" s="4" t="s">
        <v>8021</v>
      </c>
      <c r="R435" t="b">
        <v>1</v>
      </c>
    </row>
    <row r="436" spans="1:18">
      <c r="A436" t="s">
        <v>3010</v>
      </c>
      <c r="B436" t="s">
        <v>11443</v>
      </c>
      <c r="C436" s="5" t="s">
        <v>7924</v>
      </c>
      <c r="D436" s="1">
        <v>1</v>
      </c>
      <c r="E436" s="1" t="s">
        <v>1092</v>
      </c>
      <c r="F436" s="1">
        <v>472</v>
      </c>
      <c r="G436" s="1">
        <v>472</v>
      </c>
      <c r="H436" s="8" cm="1">
        <f t="array" ref="H436">_xlfn.LET(_xlpm.s,IFERROR(--F436,""),_xlpm.e,IFERROR(--G436,""),IF(OR(_xlpm.s="",_xlpm.e="",_xlpm.e&lt;_xlpm.s),"",_xlfn.LET(_xlpm.p,_xlfn.SEQUENCE(_xlpm.e-_xlpm.s+1,1,_xlpm.s,1),SUM(1/COUNTIFS($D:$D,D436,$E:$E,E436,$F:$F,"&lt;&gt;N/A",$G:$G,"&lt;&gt;N/A",$F:$F,"&lt;="&amp;_xlpm.p,$G:$G,"&gt;="&amp;_xlpm.p)))))</f>
        <v>0.33333333333333331</v>
      </c>
      <c r="I436" s="4" t="s">
        <v>7</v>
      </c>
      <c r="J436" s="5" t="s">
        <v>6719</v>
      </c>
      <c r="K436" s="5" t="s">
        <v>7</v>
      </c>
      <c r="L436" s="5" t="s">
        <v>7</v>
      </c>
      <c r="M436" s="5" t="s">
        <v>7</v>
      </c>
      <c r="N436" s="5" t="s">
        <v>7</v>
      </c>
      <c r="O436" s="4" t="s">
        <v>778</v>
      </c>
      <c r="P436" s="4" t="s">
        <v>7834</v>
      </c>
      <c r="R436" t="b">
        <v>0</v>
      </c>
    </row>
    <row r="437" spans="1:18">
      <c r="A437" t="s">
        <v>3011</v>
      </c>
      <c r="B437" t="s">
        <v>11444</v>
      </c>
      <c r="C437" s="5" t="s">
        <v>7991</v>
      </c>
      <c r="D437" s="1">
        <v>1</v>
      </c>
      <c r="E437" s="1" t="s">
        <v>1095</v>
      </c>
      <c r="F437" s="1">
        <v>473</v>
      </c>
      <c r="G437" s="1">
        <v>476</v>
      </c>
      <c r="H437" s="8" cm="1">
        <f t="array" ref="H437">_xlfn.LET(_xlpm.s,IFERROR(--F437,""),_xlpm.e,IFERROR(--G437,""),IF(OR(_xlpm.s="",_xlpm.e="",_xlpm.e&lt;_xlpm.s),"",_xlfn.LET(_xlpm.p,_xlfn.SEQUENCE(_xlpm.e-_xlpm.s+1,1,_xlpm.s,1),SUM(1/COUNTIFS($D:$D,D437,$E:$E,E437,$F:$F,"&lt;&gt;N/A",$G:$G,"&lt;&gt;N/A",$F:$F,"&lt;="&amp;_xlpm.p,$G:$G,"&gt;="&amp;_xlpm.p)))))</f>
        <v>4</v>
      </c>
      <c r="I437" s="4" t="s">
        <v>782</v>
      </c>
      <c r="J437" s="5" t="s">
        <v>1094</v>
      </c>
      <c r="K437" s="5" t="s">
        <v>2230</v>
      </c>
      <c r="L437" s="5" t="s">
        <v>7</v>
      </c>
      <c r="M437" s="5" t="s">
        <v>7</v>
      </c>
      <c r="N437" s="5" t="s">
        <v>2084</v>
      </c>
      <c r="O437" s="4" t="s">
        <v>5072</v>
      </c>
      <c r="P437" s="4" t="s">
        <v>8021</v>
      </c>
      <c r="R437" t="b">
        <v>1</v>
      </c>
    </row>
    <row r="438" spans="1:18">
      <c r="A438" t="s">
        <v>3011</v>
      </c>
      <c r="B438" t="s">
        <v>11445</v>
      </c>
      <c r="C438" s="5" t="s">
        <v>7912</v>
      </c>
      <c r="D438" s="1">
        <v>1</v>
      </c>
      <c r="E438" s="1" t="s">
        <v>1096</v>
      </c>
      <c r="F438" s="1">
        <v>477</v>
      </c>
      <c r="G438" s="1">
        <v>480</v>
      </c>
      <c r="H438" s="8" cm="1">
        <f t="array" ref="H438">_xlfn.LET(_xlpm.s,IFERROR(--F438,""),_xlpm.e,IFERROR(--G438,""),IF(OR(_xlpm.s="",_xlpm.e="",_xlpm.e&lt;_xlpm.s),"",_xlfn.LET(_xlpm.p,_xlfn.SEQUENCE(_xlpm.e-_xlpm.s+1,1,_xlpm.s,1),SUM(1/COUNTIFS($D:$D,D438,$E:$E,E438,$F:$F,"&lt;&gt;N/A",$G:$G,"&lt;&gt;N/A",$F:$F,"&lt;="&amp;_xlpm.p,$G:$G,"&gt;="&amp;_xlpm.p)))))</f>
        <v>4</v>
      </c>
      <c r="I438" s="4" t="s">
        <v>782</v>
      </c>
      <c r="J438" s="5" t="s">
        <v>1097</v>
      </c>
      <c r="K438" s="5" t="s">
        <v>2230</v>
      </c>
      <c r="L438" s="5" t="s">
        <v>7</v>
      </c>
      <c r="M438" s="5" t="s">
        <v>7</v>
      </c>
      <c r="N438" s="5" t="s">
        <v>2084</v>
      </c>
      <c r="O438" s="4" t="s">
        <v>5072</v>
      </c>
      <c r="P438" s="4" t="s">
        <v>8021</v>
      </c>
      <c r="R438" t="b">
        <v>1</v>
      </c>
    </row>
    <row r="439" spans="1:18">
      <c r="A439" t="s">
        <v>3011</v>
      </c>
      <c r="B439" t="s">
        <v>11446</v>
      </c>
      <c r="C439" s="5" t="s">
        <v>7913</v>
      </c>
      <c r="D439" s="1">
        <v>1</v>
      </c>
      <c r="E439" s="1" t="s">
        <v>1098</v>
      </c>
      <c r="F439" s="1">
        <v>481</v>
      </c>
      <c r="G439" s="1">
        <v>484</v>
      </c>
      <c r="H439" s="8" cm="1">
        <f t="array" ref="H439">_xlfn.LET(_xlpm.s,IFERROR(--F439,""),_xlpm.e,IFERROR(--G439,""),IF(OR(_xlpm.s="",_xlpm.e="",_xlpm.e&lt;_xlpm.s),"",_xlfn.LET(_xlpm.p,_xlfn.SEQUENCE(_xlpm.e-_xlpm.s+1,1,_xlpm.s,1),SUM(1/COUNTIFS($D:$D,D439,$E:$E,E439,$F:$F,"&lt;&gt;N/A",$G:$G,"&lt;&gt;N/A",$F:$F,"&lt;="&amp;_xlpm.p,$G:$G,"&gt;="&amp;_xlpm.p)))))</f>
        <v>4</v>
      </c>
      <c r="I439" s="4" t="s">
        <v>782</v>
      </c>
      <c r="J439" s="5" t="s">
        <v>1097</v>
      </c>
      <c r="K439" s="5" t="s">
        <v>2230</v>
      </c>
      <c r="L439" s="5" t="s">
        <v>7</v>
      </c>
      <c r="M439" s="5" t="s">
        <v>7</v>
      </c>
      <c r="N439" s="5" t="s">
        <v>2084</v>
      </c>
      <c r="O439" s="4" t="s">
        <v>5072</v>
      </c>
      <c r="P439" s="4" t="s">
        <v>8021</v>
      </c>
      <c r="R439" t="b">
        <v>1</v>
      </c>
    </row>
    <row r="440" spans="1:18">
      <c r="A440" t="s">
        <v>3011</v>
      </c>
      <c r="B440" t="s">
        <v>11447</v>
      </c>
      <c r="C440" s="5" t="s">
        <v>7895</v>
      </c>
      <c r="D440" s="1">
        <v>1</v>
      </c>
      <c r="E440" s="1" t="s">
        <v>1099</v>
      </c>
      <c r="F440" s="1">
        <v>485</v>
      </c>
      <c r="G440" s="1">
        <v>488</v>
      </c>
      <c r="H440" s="8" cm="1">
        <f t="array" ref="H440">_xlfn.LET(_xlpm.s,IFERROR(--F440,""),_xlpm.e,IFERROR(--G440,""),IF(OR(_xlpm.s="",_xlpm.e="",_xlpm.e&lt;_xlpm.s),"",_xlfn.LET(_xlpm.p,_xlfn.SEQUENCE(_xlpm.e-_xlpm.s+1,1,_xlpm.s,1),SUM(1/COUNTIFS($D:$D,D440,$E:$E,E440,$F:$F,"&lt;&gt;N/A",$G:$G,"&lt;&gt;N/A",$F:$F,"&lt;="&amp;_xlpm.p,$G:$G,"&gt;="&amp;_xlpm.p)))))</f>
        <v>4</v>
      </c>
      <c r="I440" s="4" t="s">
        <v>782</v>
      </c>
      <c r="J440" s="5" t="s">
        <v>1100</v>
      </c>
      <c r="K440" s="5" t="s">
        <v>2230</v>
      </c>
      <c r="L440" s="5" t="s">
        <v>7</v>
      </c>
      <c r="M440" s="5" t="s">
        <v>7</v>
      </c>
      <c r="N440" s="5" t="s">
        <v>2084</v>
      </c>
      <c r="O440" s="4" t="s">
        <v>5072</v>
      </c>
      <c r="P440" s="4" t="s">
        <v>8021</v>
      </c>
      <c r="R440" t="b">
        <v>1</v>
      </c>
    </row>
    <row r="441" spans="1:18">
      <c r="A441" t="s">
        <v>3011</v>
      </c>
      <c r="B441" t="s">
        <v>11448</v>
      </c>
      <c r="C441" s="5" t="s">
        <v>7989</v>
      </c>
      <c r="D441" s="1">
        <v>1</v>
      </c>
      <c r="E441" s="1" t="s">
        <v>1101</v>
      </c>
      <c r="F441" s="1">
        <v>489</v>
      </c>
      <c r="G441" s="1">
        <v>492</v>
      </c>
      <c r="H441" s="8" cm="1">
        <f t="array" ref="H441">_xlfn.LET(_xlpm.s,IFERROR(--F441,""),_xlpm.e,IFERROR(--G441,""),IF(OR(_xlpm.s="",_xlpm.e="",_xlpm.e&lt;_xlpm.s),"",_xlfn.LET(_xlpm.p,_xlfn.SEQUENCE(_xlpm.e-_xlpm.s+1,1,_xlpm.s,1),SUM(1/COUNTIFS($D:$D,D441,$E:$E,E441,$F:$F,"&lt;&gt;N/A",$G:$G,"&lt;&gt;N/A",$F:$F,"&lt;="&amp;_xlpm.p,$G:$G,"&gt;="&amp;_xlpm.p)))))</f>
        <v>3.5</v>
      </c>
      <c r="I441" s="4" t="s">
        <v>782</v>
      </c>
      <c r="J441" s="5" t="s">
        <v>1100</v>
      </c>
      <c r="K441" s="5" t="s">
        <v>2230</v>
      </c>
      <c r="L441" s="5" t="s">
        <v>7</v>
      </c>
      <c r="M441" s="5" t="s">
        <v>7</v>
      </c>
      <c r="N441" s="5" t="s">
        <v>2084</v>
      </c>
      <c r="O441" s="4" t="s">
        <v>5072</v>
      </c>
      <c r="P441" s="4" t="s">
        <v>8021</v>
      </c>
      <c r="R441" t="b">
        <v>1</v>
      </c>
    </row>
    <row r="442" spans="1:18">
      <c r="A442" t="s">
        <v>3011</v>
      </c>
      <c r="B442" t="s">
        <v>11461</v>
      </c>
      <c r="C442" s="5" t="s">
        <v>7895</v>
      </c>
      <c r="D442" s="1">
        <v>1</v>
      </c>
      <c r="E442" s="1" t="s">
        <v>1101</v>
      </c>
      <c r="F442" s="1">
        <v>492</v>
      </c>
      <c r="G442" s="1">
        <v>492</v>
      </c>
      <c r="H442" s="8" cm="1">
        <f t="array" ref="H442">_xlfn.LET(_xlpm.s,IFERROR(--F442,""),_xlpm.e,IFERROR(--G442,""),IF(OR(_xlpm.s="",_xlpm.e="",_xlpm.e&lt;_xlpm.s),"",_xlfn.LET(_xlpm.p,_xlfn.SEQUENCE(_xlpm.e-_xlpm.s+1,1,_xlpm.s,1),SUM(1/COUNTIFS($D:$D,D442,$E:$E,E442,$F:$F,"&lt;&gt;N/A",$G:$G,"&lt;&gt;N/A",$F:$F,"&lt;="&amp;_xlpm.p,$G:$G,"&gt;="&amp;_xlpm.p)))))</f>
        <v>0.5</v>
      </c>
      <c r="I442" s="4" t="s">
        <v>782</v>
      </c>
      <c r="J442" s="5" t="s">
        <v>11477</v>
      </c>
      <c r="K442" s="5" t="s">
        <v>7</v>
      </c>
      <c r="L442" s="5" t="s">
        <v>2099</v>
      </c>
      <c r="M442" t="s">
        <v>5055</v>
      </c>
      <c r="N442" s="5" t="s">
        <v>11478</v>
      </c>
      <c r="O442" s="4" t="s">
        <v>5072</v>
      </c>
      <c r="P442" s="4" t="s">
        <v>8034</v>
      </c>
      <c r="R442" t="b">
        <v>1</v>
      </c>
    </row>
    <row r="443" spans="1:18">
      <c r="A443" t="s">
        <v>3011</v>
      </c>
      <c r="B443" t="s">
        <v>11449</v>
      </c>
      <c r="C443" s="5" t="s">
        <v>7990</v>
      </c>
      <c r="D443" s="1">
        <v>1</v>
      </c>
      <c r="E443" s="1" t="s">
        <v>1102</v>
      </c>
      <c r="F443" s="1">
        <v>493</v>
      </c>
      <c r="G443" s="1">
        <v>494</v>
      </c>
      <c r="H443" s="8" cm="1">
        <f t="array" ref="H443">_xlfn.LET(_xlpm.s,IFERROR(--F443,""),_xlpm.e,IFERROR(--G443,""),IF(OR(_xlpm.s="",_xlpm.e="",_xlpm.e&lt;_xlpm.s),"",_xlfn.LET(_xlpm.p,_xlfn.SEQUENCE(_xlpm.e-_xlpm.s+1,1,_xlpm.s,1),SUM(1/COUNTIFS($D:$D,D443,$E:$E,E443,$F:$F,"&lt;&gt;N/A",$G:$G,"&lt;&gt;N/A",$F:$F,"&lt;="&amp;_xlpm.p,$G:$G,"&gt;="&amp;_xlpm.p)))))</f>
        <v>1.5</v>
      </c>
      <c r="I443" s="4" t="s">
        <v>774</v>
      </c>
      <c r="J443" s="5" t="s">
        <v>839</v>
      </c>
      <c r="K443" s="5" t="s">
        <v>7</v>
      </c>
      <c r="L443" s="5" t="s">
        <v>7</v>
      </c>
      <c r="M443" s="5" t="s">
        <v>7</v>
      </c>
      <c r="N443" s="5" t="s">
        <v>7</v>
      </c>
      <c r="O443" s="4" t="s">
        <v>778</v>
      </c>
      <c r="P443" s="4" t="s">
        <v>7834</v>
      </c>
      <c r="R443" t="b">
        <v>0</v>
      </c>
    </row>
    <row r="444" spans="1:18">
      <c r="A444" t="s">
        <v>3011</v>
      </c>
      <c r="B444" t="s">
        <v>11462</v>
      </c>
      <c r="C444" s="5" t="s">
        <v>7990</v>
      </c>
      <c r="D444" s="1">
        <v>1</v>
      </c>
      <c r="E444" s="1" t="s">
        <v>1102</v>
      </c>
      <c r="F444" s="1">
        <v>494</v>
      </c>
      <c r="G444" s="1">
        <v>496</v>
      </c>
      <c r="H444" s="8" cm="1">
        <f t="array" ref="H444">_xlfn.LET(_xlpm.s,IFERROR(--F444,""),_xlpm.e,IFERROR(--G444,""),IF(OR(_xlpm.s="",_xlpm.e="",_xlpm.e&lt;_xlpm.s),"",_xlfn.LET(_xlpm.p,_xlfn.SEQUENCE(_xlpm.e-_xlpm.s+1,1,_xlpm.s,1),SUM(1/COUNTIFS($D:$D,D444,$E:$E,E444,$F:$F,"&lt;&gt;N/A",$G:$G,"&lt;&gt;N/A",$F:$F,"&lt;="&amp;_xlpm.p,$G:$G,"&gt;="&amp;_xlpm.p)))))</f>
        <v>2</v>
      </c>
      <c r="I444" s="4" t="s">
        <v>782</v>
      </c>
      <c r="J444" s="5" t="s">
        <v>1103</v>
      </c>
      <c r="K444" s="5" t="s">
        <v>2231</v>
      </c>
      <c r="L444" s="5" t="s">
        <v>7</v>
      </c>
      <c r="M444" s="5" t="s">
        <v>7</v>
      </c>
      <c r="N444" s="5" t="s">
        <v>7</v>
      </c>
      <c r="O444" s="4" t="s">
        <v>778</v>
      </c>
      <c r="P444" s="4" t="s">
        <v>7834</v>
      </c>
      <c r="R444" t="b">
        <v>1</v>
      </c>
    </row>
    <row r="445" spans="1:18">
      <c r="A445" t="s">
        <v>3011</v>
      </c>
      <c r="B445" t="s">
        <v>11479</v>
      </c>
      <c r="C445" s="5" t="s">
        <v>7990</v>
      </c>
      <c r="D445" s="1">
        <v>1</v>
      </c>
      <c r="E445" s="1" t="s">
        <v>1102</v>
      </c>
      <c r="F445" s="1">
        <v>496</v>
      </c>
      <c r="G445" s="1">
        <v>496</v>
      </c>
      <c r="H445" s="8" cm="1">
        <f t="array" ref="H445">_xlfn.LET(_xlpm.s,IFERROR(--F445,""),_xlpm.e,IFERROR(--G445,""),IF(OR(_xlpm.s="",_xlpm.e="",_xlpm.e&lt;_xlpm.s),"",_xlfn.LET(_xlpm.p,_xlfn.SEQUENCE(_xlpm.e-_xlpm.s+1,1,_xlpm.s,1),SUM(1/COUNTIFS($D:$D,D445,$E:$E,E445,$F:$F,"&lt;&gt;N/A",$G:$G,"&lt;&gt;N/A",$F:$F,"&lt;="&amp;_xlpm.p,$G:$G,"&gt;="&amp;_xlpm.p)))))</f>
        <v>0.5</v>
      </c>
      <c r="I445" s="4" t="s">
        <v>7</v>
      </c>
      <c r="J445" s="5" t="s">
        <v>6719</v>
      </c>
      <c r="K445" s="5" t="s">
        <v>7</v>
      </c>
      <c r="L445" s="5" t="s">
        <v>7</v>
      </c>
      <c r="M445" s="5" t="s">
        <v>7</v>
      </c>
      <c r="N445" s="5" t="s">
        <v>7</v>
      </c>
      <c r="O445" s="4" t="s">
        <v>778</v>
      </c>
      <c r="P445" s="4" t="s">
        <v>7834</v>
      </c>
      <c r="R445" t="b">
        <v>0</v>
      </c>
    </row>
    <row r="446" spans="1:18">
      <c r="A446" t="s">
        <v>3011</v>
      </c>
      <c r="B446" t="s">
        <v>11463</v>
      </c>
      <c r="C446" s="5" t="s">
        <v>7904</v>
      </c>
      <c r="D446" s="1">
        <v>1</v>
      </c>
      <c r="E446" s="1" t="s">
        <v>1104</v>
      </c>
      <c r="F446" s="1">
        <v>497</v>
      </c>
      <c r="G446" s="1">
        <v>497</v>
      </c>
      <c r="H446" s="8" cm="1">
        <f t="array" ref="H446">_xlfn.LET(_xlpm.s,IFERROR(--F446,""),_xlpm.e,IFERROR(--G446,""),IF(OR(_xlpm.s="",_xlpm.e="",_xlpm.e&lt;_xlpm.s),"",_xlfn.LET(_xlpm.p,_xlfn.SEQUENCE(_xlpm.e-_xlpm.s+1,1,_xlpm.s,1),SUM(1/COUNTIFS($D:$D,D446,$E:$E,E446,$F:$F,"&lt;&gt;N/A",$G:$G,"&lt;&gt;N/A",$F:$F,"&lt;="&amp;_xlpm.p,$G:$G,"&gt;="&amp;_xlpm.p)))))</f>
        <v>1</v>
      </c>
      <c r="I446" s="4" t="s">
        <v>782</v>
      </c>
      <c r="J446" s="5" t="s">
        <v>1097</v>
      </c>
      <c r="K446" s="5" t="s">
        <v>2231</v>
      </c>
      <c r="L446" s="5" t="s">
        <v>7</v>
      </c>
      <c r="M446" s="5" t="s">
        <v>7</v>
      </c>
      <c r="N446" s="5" t="s">
        <v>7</v>
      </c>
      <c r="O446" s="4" t="s">
        <v>778</v>
      </c>
      <c r="P446" s="4" t="s">
        <v>7834</v>
      </c>
      <c r="R446" t="b">
        <v>1</v>
      </c>
    </row>
    <row r="447" spans="1:18">
      <c r="A447" t="s">
        <v>3011</v>
      </c>
      <c r="B447" t="s">
        <v>11480</v>
      </c>
      <c r="C447" s="5" t="s">
        <v>7904</v>
      </c>
      <c r="D447" s="1">
        <v>1</v>
      </c>
      <c r="E447" s="1" t="s">
        <v>1104</v>
      </c>
      <c r="F447" s="1">
        <v>498</v>
      </c>
      <c r="G447" s="1">
        <v>500</v>
      </c>
      <c r="H447" s="8" cm="1">
        <f t="array" ref="H447">_xlfn.LET(_xlpm.s,IFERROR(--F447,""),_xlpm.e,IFERROR(--G447,""),IF(OR(_xlpm.s="",_xlpm.e="",_xlpm.e&lt;_xlpm.s),"",_xlfn.LET(_xlpm.p,_xlfn.SEQUENCE(_xlpm.e-_xlpm.s+1,1,_xlpm.s,1),SUM(1/COUNTIFS($D:$D,D447,$E:$E,E447,$F:$F,"&lt;&gt;N/A",$G:$G,"&lt;&gt;N/A",$F:$F,"&lt;="&amp;_xlpm.p,$G:$G,"&gt;="&amp;_xlpm.p)))))</f>
        <v>3</v>
      </c>
      <c r="I447" s="4" t="s">
        <v>782</v>
      </c>
      <c r="J447" s="5" t="s">
        <v>1105</v>
      </c>
      <c r="K447" s="5" t="s">
        <v>2232</v>
      </c>
      <c r="L447" s="5" t="s">
        <v>7</v>
      </c>
      <c r="M447" s="5" t="s">
        <v>7</v>
      </c>
      <c r="N447" s="5" t="s">
        <v>7</v>
      </c>
      <c r="O447" s="4" t="s">
        <v>778</v>
      </c>
      <c r="P447" s="4" t="s">
        <v>7834</v>
      </c>
      <c r="R447" t="b">
        <v>1</v>
      </c>
    </row>
    <row r="448" spans="1:18">
      <c r="A448" t="s">
        <v>3011</v>
      </c>
      <c r="B448" t="s">
        <v>10600</v>
      </c>
      <c r="C448" s="5" t="s">
        <v>7905</v>
      </c>
      <c r="D448" s="1">
        <v>1</v>
      </c>
      <c r="E448" s="1" t="s">
        <v>1106</v>
      </c>
      <c r="F448" s="1">
        <v>501</v>
      </c>
      <c r="G448" s="1">
        <v>501</v>
      </c>
      <c r="H448" s="8" cm="1">
        <f t="array" ref="H448">_xlfn.LET(_xlpm.s,IFERROR(--F448,""),_xlpm.e,IFERROR(--G448,""),IF(OR(_xlpm.s="",_xlpm.e="",_xlpm.e&lt;_xlpm.s),"",_xlfn.LET(_xlpm.p,_xlfn.SEQUENCE(_xlpm.e-_xlpm.s+1,1,_xlpm.s,1),SUM(1/COUNTIFS($D:$D,D448,$E:$E,E448,$F:$F,"&lt;&gt;N/A",$G:$G,"&lt;&gt;N/A",$F:$F,"&lt;="&amp;_xlpm.p,$G:$G,"&gt;="&amp;_xlpm.p)))))</f>
        <v>0.5</v>
      </c>
      <c r="I448" s="4" t="s">
        <v>774</v>
      </c>
      <c r="J448" s="5" t="s">
        <v>839</v>
      </c>
      <c r="K448" s="5" t="s">
        <v>7</v>
      </c>
      <c r="L448" s="5" t="s">
        <v>7</v>
      </c>
      <c r="M448" s="5" t="s">
        <v>7</v>
      </c>
      <c r="N448" s="5" t="s">
        <v>7</v>
      </c>
      <c r="O448" s="4" t="s">
        <v>778</v>
      </c>
      <c r="P448" s="4" t="s">
        <v>7834</v>
      </c>
      <c r="R448" t="b">
        <v>0</v>
      </c>
    </row>
    <row r="449" spans="1:18">
      <c r="A449" t="s">
        <v>3011</v>
      </c>
      <c r="B449" t="s">
        <v>11450</v>
      </c>
      <c r="C449" s="5" t="s">
        <v>7905</v>
      </c>
      <c r="D449" s="1">
        <v>1</v>
      </c>
      <c r="E449" s="1" t="s">
        <v>1106</v>
      </c>
      <c r="F449" s="1">
        <v>501</v>
      </c>
      <c r="G449" s="1">
        <v>502</v>
      </c>
      <c r="H449" s="8" cm="1">
        <f t="array" ref="H449">_xlfn.LET(_xlpm.s,IFERROR(--F449,""),_xlpm.e,IFERROR(--G449,""),IF(OR(_xlpm.s="",_xlpm.e="",_xlpm.e&lt;_xlpm.s),"",_xlfn.LET(_xlpm.p,_xlfn.SEQUENCE(_xlpm.e-_xlpm.s+1,1,_xlpm.s,1),SUM(1/COUNTIFS($D:$D,D449,$E:$E,E449,$F:$F,"&lt;&gt;N/A",$G:$G,"&lt;&gt;N/A",$F:$F,"&lt;="&amp;_xlpm.p,$G:$G,"&gt;="&amp;_xlpm.p)))))</f>
        <v>1.5</v>
      </c>
      <c r="I449" s="4" t="s">
        <v>774</v>
      </c>
      <c r="J449" s="5" t="s">
        <v>848</v>
      </c>
      <c r="K449" s="5" t="s">
        <v>7</v>
      </c>
      <c r="L449" s="5" t="s">
        <v>7</v>
      </c>
      <c r="M449" s="5" t="s">
        <v>7</v>
      </c>
      <c r="N449" s="5" t="s">
        <v>7</v>
      </c>
      <c r="O449" s="4" t="s">
        <v>778</v>
      </c>
      <c r="P449" s="4" t="s">
        <v>7834</v>
      </c>
      <c r="R449" t="b">
        <v>1</v>
      </c>
    </row>
    <row r="450" spans="1:18">
      <c r="A450" t="s">
        <v>3011</v>
      </c>
      <c r="B450" t="s">
        <v>11464</v>
      </c>
      <c r="C450" s="5" t="s">
        <v>7905</v>
      </c>
      <c r="D450" s="1">
        <v>1</v>
      </c>
      <c r="E450" s="1" t="s">
        <v>1106</v>
      </c>
      <c r="F450" s="1">
        <v>503</v>
      </c>
      <c r="G450" s="1">
        <v>504</v>
      </c>
      <c r="H450" s="8" cm="1">
        <f t="array" ref="H450">_xlfn.LET(_xlpm.s,IFERROR(--F450,""),_xlpm.e,IFERROR(--G450,""),IF(OR(_xlpm.s="",_xlpm.e="",_xlpm.e&lt;_xlpm.s),"",_xlfn.LET(_xlpm.p,_xlfn.SEQUENCE(_xlpm.e-_xlpm.s+1,1,_xlpm.s,1),SUM(1/COUNTIFS($D:$D,D450,$E:$E,E450,$F:$F,"&lt;&gt;N/A",$G:$G,"&lt;&gt;N/A",$F:$F,"&lt;="&amp;_xlpm.p,$G:$G,"&gt;="&amp;_xlpm.p)))))</f>
        <v>1.5</v>
      </c>
      <c r="I450" s="4" t="s">
        <v>782</v>
      </c>
      <c r="J450" s="5" t="s">
        <v>8101</v>
      </c>
      <c r="K450" s="5" t="s">
        <v>7</v>
      </c>
      <c r="L450" s="5" t="s">
        <v>7285</v>
      </c>
      <c r="M450" t="s">
        <v>5058</v>
      </c>
      <c r="N450" s="5" t="s">
        <v>7286</v>
      </c>
      <c r="O450" s="4" t="s">
        <v>5072</v>
      </c>
      <c r="P450" s="4" t="s">
        <v>8021</v>
      </c>
      <c r="R450" t="b">
        <v>1</v>
      </c>
    </row>
    <row r="451" spans="1:18">
      <c r="A451" t="s">
        <v>3011</v>
      </c>
      <c r="B451" t="s">
        <v>11481</v>
      </c>
      <c r="C451" s="5" t="s">
        <v>7905</v>
      </c>
      <c r="D451" s="1">
        <v>1</v>
      </c>
      <c r="E451" s="1" t="s">
        <v>1106</v>
      </c>
      <c r="F451" s="1">
        <v>504</v>
      </c>
      <c r="G451" s="1">
        <v>504</v>
      </c>
      <c r="H451" s="8" cm="1">
        <f t="array" ref="H451">_xlfn.LET(_xlpm.s,IFERROR(--F451,""),_xlpm.e,IFERROR(--G451,""),IF(OR(_xlpm.s="",_xlpm.e="",_xlpm.e&lt;_xlpm.s),"",_xlfn.LET(_xlpm.p,_xlfn.SEQUENCE(_xlpm.e-_xlpm.s+1,1,_xlpm.s,1),SUM(1/COUNTIFS($D:$D,D451,$E:$E,E451,$F:$F,"&lt;&gt;N/A",$G:$G,"&lt;&gt;N/A",$F:$F,"&lt;="&amp;_xlpm.p,$G:$G,"&gt;="&amp;_xlpm.p)))))</f>
        <v>0.5</v>
      </c>
      <c r="I451" s="4" t="s">
        <v>782</v>
      </c>
      <c r="J451" s="5" t="s">
        <v>11497</v>
      </c>
      <c r="K451" s="5" t="s">
        <v>7</v>
      </c>
      <c r="L451" s="5" t="s">
        <v>2225</v>
      </c>
      <c r="M451" t="s">
        <v>5055</v>
      </c>
      <c r="N451" s="5" t="s">
        <v>2271</v>
      </c>
      <c r="O451" s="4" t="s">
        <v>11522</v>
      </c>
      <c r="P451" s="4" t="s">
        <v>8034</v>
      </c>
      <c r="Q451" s="5"/>
      <c r="R451" t="b">
        <v>1</v>
      </c>
    </row>
    <row r="452" spans="1:18">
      <c r="A452" t="s">
        <v>3011</v>
      </c>
      <c r="B452" t="s">
        <v>11465</v>
      </c>
      <c r="C452" s="5" t="s">
        <v>7987</v>
      </c>
      <c r="D452" s="1">
        <v>1</v>
      </c>
      <c r="E452" s="1" t="s">
        <v>1107</v>
      </c>
      <c r="F452" s="1">
        <v>505</v>
      </c>
      <c r="G452" s="1">
        <v>508</v>
      </c>
      <c r="H452" s="8" cm="1">
        <f t="array" ref="H452">_xlfn.LET(_xlpm.s,IFERROR(--F452,""),_xlpm.e,IFERROR(--G452,""),IF(OR(_xlpm.s="",_xlpm.e="",_xlpm.e&lt;_xlpm.s),"",_xlfn.LET(_xlpm.p,_xlfn.SEQUENCE(_xlpm.e-_xlpm.s+1,1,_xlpm.s,1),SUM(1/COUNTIFS($D:$D,D452,$E:$E,E452,$F:$F,"&lt;&gt;N/A",$G:$G,"&lt;&gt;N/A",$F:$F,"&lt;="&amp;_xlpm.p,$G:$G,"&gt;="&amp;_xlpm.p)))))</f>
        <v>3.5</v>
      </c>
      <c r="I452" s="4" t="s">
        <v>782</v>
      </c>
      <c r="J452" s="5" t="s">
        <v>5060</v>
      </c>
      <c r="K452" s="5" t="s">
        <v>2233</v>
      </c>
      <c r="L452" s="5" t="s">
        <v>7</v>
      </c>
      <c r="M452" s="5" t="s">
        <v>7</v>
      </c>
      <c r="N452" s="5" t="s">
        <v>5061</v>
      </c>
      <c r="O452" s="4" t="s">
        <v>10264</v>
      </c>
      <c r="P452" s="4" t="s">
        <v>8036</v>
      </c>
      <c r="Q452" t="s">
        <v>2083</v>
      </c>
      <c r="R452" t="b">
        <v>1</v>
      </c>
    </row>
    <row r="453" spans="1:18">
      <c r="A453" t="s">
        <v>3011</v>
      </c>
      <c r="B453" t="s">
        <v>11482</v>
      </c>
      <c r="C453" s="5" t="s">
        <v>7987</v>
      </c>
      <c r="D453" s="1">
        <v>1</v>
      </c>
      <c r="E453" s="1" t="s">
        <v>1107</v>
      </c>
      <c r="F453" s="1">
        <v>508</v>
      </c>
      <c r="G453" s="1">
        <v>508</v>
      </c>
      <c r="H453" s="8" cm="1">
        <f t="array" ref="H453">_xlfn.LET(_xlpm.s,IFERROR(--F453,""),_xlpm.e,IFERROR(--G453,""),IF(OR(_xlpm.s="",_xlpm.e="",_xlpm.e&lt;_xlpm.s),"",_xlfn.LET(_xlpm.p,_xlfn.SEQUENCE(_xlpm.e-_xlpm.s+1,1,_xlpm.s,1),SUM(1/COUNTIFS($D:$D,D453,$E:$E,E453,$F:$F,"&lt;&gt;N/A",$G:$G,"&lt;&gt;N/A",$F:$F,"&lt;="&amp;_xlpm.p,$G:$G,"&gt;="&amp;_xlpm.p)))))</f>
        <v>0.5</v>
      </c>
      <c r="I453" s="4" t="s">
        <v>782</v>
      </c>
      <c r="J453" s="5" t="s">
        <v>1108</v>
      </c>
      <c r="K453" s="5" t="s">
        <v>7</v>
      </c>
      <c r="L453" s="5" t="s">
        <v>7285</v>
      </c>
      <c r="M453" t="s">
        <v>5054</v>
      </c>
      <c r="N453" s="5" t="s">
        <v>2693</v>
      </c>
      <c r="O453" s="4" t="s">
        <v>11522</v>
      </c>
      <c r="P453" s="4" t="s">
        <v>8021</v>
      </c>
      <c r="R453" t="b">
        <v>1</v>
      </c>
    </row>
    <row r="454" spans="1:18">
      <c r="A454" t="s">
        <v>3011</v>
      </c>
      <c r="B454" t="s">
        <v>10601</v>
      </c>
      <c r="C454" s="5" t="s">
        <v>7988</v>
      </c>
      <c r="D454" s="1">
        <v>1</v>
      </c>
      <c r="E454" s="1" t="s">
        <v>1109</v>
      </c>
      <c r="F454" s="1">
        <v>509</v>
      </c>
      <c r="G454" s="1">
        <v>510</v>
      </c>
      <c r="H454" s="8" cm="1">
        <f t="array" ref="H454">_xlfn.LET(_xlpm.s,IFERROR(--F454,""),_xlpm.e,IFERROR(--G454,""),IF(OR(_xlpm.s="",_xlpm.e="",_xlpm.e&lt;_xlpm.s),"",_xlfn.LET(_xlpm.p,_xlfn.SEQUENCE(_xlpm.e-_xlpm.s+1,1,_xlpm.s,1),SUM(1/COUNTIFS($D:$D,D454,$E:$E,E454,$F:$F,"&lt;&gt;N/A",$G:$G,"&lt;&gt;N/A",$F:$F,"&lt;="&amp;_xlpm.p,$G:$G,"&gt;="&amp;_xlpm.p)))))</f>
        <v>1.5</v>
      </c>
      <c r="I454" s="4" t="s">
        <v>774</v>
      </c>
      <c r="J454" s="5" t="s">
        <v>839</v>
      </c>
      <c r="K454" s="5" t="s">
        <v>7</v>
      </c>
      <c r="L454" s="5" t="s">
        <v>7</v>
      </c>
      <c r="M454" s="5" t="s">
        <v>7</v>
      </c>
      <c r="N454" s="5" t="s">
        <v>7</v>
      </c>
      <c r="O454" s="4" t="s">
        <v>778</v>
      </c>
      <c r="P454" s="4" t="s">
        <v>7834</v>
      </c>
      <c r="R454" t="b">
        <v>0</v>
      </c>
    </row>
    <row r="455" spans="1:18">
      <c r="A455" t="s">
        <v>3011</v>
      </c>
      <c r="B455" t="s">
        <v>11451</v>
      </c>
      <c r="C455" s="5" t="s">
        <v>7988</v>
      </c>
      <c r="D455" s="1">
        <v>1</v>
      </c>
      <c r="E455" s="1" t="s">
        <v>1109</v>
      </c>
      <c r="F455" s="1">
        <v>510</v>
      </c>
      <c r="G455" s="1">
        <v>511</v>
      </c>
      <c r="H455" s="8" cm="1">
        <f t="array" ref="H455">_xlfn.LET(_xlpm.s,IFERROR(--F455,""),_xlpm.e,IFERROR(--G455,""),IF(OR(_xlpm.s="",_xlpm.e="",_xlpm.e&lt;_xlpm.s),"",_xlfn.LET(_xlpm.p,_xlfn.SEQUENCE(_xlpm.e-_xlpm.s+1,1,_xlpm.s,1),SUM(1/COUNTIFS($D:$D,D455,$E:$E,E455,$F:$F,"&lt;&gt;N/A",$G:$G,"&lt;&gt;N/A",$F:$F,"&lt;="&amp;_xlpm.p,$G:$G,"&gt;="&amp;_xlpm.p)))))</f>
        <v>1</v>
      </c>
      <c r="I455" s="4" t="s">
        <v>774</v>
      </c>
      <c r="J455" s="5" t="s">
        <v>4478</v>
      </c>
      <c r="K455" t="s">
        <v>2234</v>
      </c>
      <c r="L455" s="5" t="s">
        <v>7</v>
      </c>
      <c r="M455" s="5" t="s">
        <v>7</v>
      </c>
      <c r="N455" s="5" t="s">
        <v>7</v>
      </c>
      <c r="O455" s="4" t="s">
        <v>778</v>
      </c>
      <c r="P455" s="4" t="s">
        <v>7834</v>
      </c>
      <c r="R455" t="b">
        <v>1</v>
      </c>
    </row>
    <row r="456" spans="1:18">
      <c r="A456" t="s">
        <v>3011</v>
      </c>
      <c r="B456" t="s">
        <v>11466</v>
      </c>
      <c r="C456" s="5" t="s">
        <v>7988</v>
      </c>
      <c r="D456" s="1">
        <v>1</v>
      </c>
      <c r="E456" s="1" t="s">
        <v>1109</v>
      </c>
      <c r="F456" s="1">
        <v>511</v>
      </c>
      <c r="G456" s="1">
        <v>512</v>
      </c>
      <c r="H456" s="8" cm="1">
        <f t="array" ref="H456">_xlfn.LET(_xlpm.s,IFERROR(--F456,""),_xlpm.e,IFERROR(--G456,""),IF(OR(_xlpm.s="",_xlpm.e="",_xlpm.e&lt;_xlpm.s),"",_xlfn.LET(_xlpm.p,_xlfn.SEQUENCE(_xlpm.e-_xlpm.s+1,1,_xlpm.s,1),SUM(1/COUNTIFS($D:$D,D456,$E:$E,E456,$F:$F,"&lt;&gt;N/A",$G:$G,"&lt;&gt;N/A",$F:$F,"&lt;="&amp;_xlpm.p,$G:$G,"&gt;="&amp;_xlpm.p)))))</f>
        <v>1</v>
      </c>
      <c r="I456" s="4" t="s">
        <v>782</v>
      </c>
      <c r="J456" s="5" t="s">
        <v>1110</v>
      </c>
      <c r="K456" s="5" t="s">
        <v>810</v>
      </c>
      <c r="L456" s="5" t="s">
        <v>7</v>
      </c>
      <c r="M456" s="5" t="s">
        <v>7</v>
      </c>
      <c r="N456" s="5" t="s">
        <v>7</v>
      </c>
      <c r="O456" s="4" t="s">
        <v>778</v>
      </c>
      <c r="P456" s="4" t="s">
        <v>7834</v>
      </c>
      <c r="R456" t="b">
        <v>1</v>
      </c>
    </row>
    <row r="457" spans="1:18">
      <c r="A457" t="s">
        <v>3011</v>
      </c>
      <c r="B457" t="s">
        <v>11483</v>
      </c>
      <c r="C457" s="5" t="s">
        <v>7988</v>
      </c>
      <c r="D457" s="1">
        <v>1</v>
      </c>
      <c r="E457" s="1" t="s">
        <v>1109</v>
      </c>
      <c r="F457" s="1">
        <v>512</v>
      </c>
      <c r="G457" s="1">
        <v>512</v>
      </c>
      <c r="H457" s="8" cm="1">
        <f t="array" ref="H457">_xlfn.LET(_xlpm.s,IFERROR(--F457,""),_xlpm.e,IFERROR(--G457,""),IF(OR(_xlpm.s="",_xlpm.e="",_xlpm.e&lt;_xlpm.s),"",_xlfn.LET(_xlpm.p,_xlfn.SEQUENCE(_xlpm.e-_xlpm.s+1,1,_xlpm.s,1),SUM(1/COUNTIFS($D:$D,D457,$E:$E,E457,$F:$F,"&lt;&gt;N/A",$G:$G,"&lt;&gt;N/A",$F:$F,"&lt;="&amp;_xlpm.p,$G:$G,"&gt;="&amp;_xlpm.p)))))</f>
        <v>0.5</v>
      </c>
      <c r="I457" s="4" t="s">
        <v>782</v>
      </c>
      <c r="J457" s="5" t="s">
        <v>1111</v>
      </c>
      <c r="K457" s="5" t="s">
        <v>7</v>
      </c>
      <c r="L457" s="5" t="s">
        <v>7</v>
      </c>
      <c r="M457" t="s">
        <v>5058</v>
      </c>
      <c r="N457" s="5" t="s">
        <v>2082</v>
      </c>
      <c r="O457" s="4" t="s">
        <v>5072</v>
      </c>
      <c r="P457" s="4" t="s">
        <v>8021</v>
      </c>
      <c r="R457" t="b">
        <v>1</v>
      </c>
    </row>
    <row r="458" spans="1:18">
      <c r="A458" t="s">
        <v>3011</v>
      </c>
      <c r="B458" t="s">
        <v>11467</v>
      </c>
      <c r="C458" s="5" t="s">
        <v>7935</v>
      </c>
      <c r="D458" s="1">
        <v>1</v>
      </c>
      <c r="E458" s="1" t="s">
        <v>1112</v>
      </c>
      <c r="F458" s="1">
        <v>513</v>
      </c>
      <c r="G458" s="1">
        <v>516</v>
      </c>
      <c r="H458" s="8" cm="1">
        <f t="array" ref="H458">_xlfn.LET(_xlpm.s,IFERROR(--F458,""),_xlpm.e,IFERROR(--G458,""),IF(OR(_xlpm.s="",_xlpm.e="",_xlpm.e&lt;_xlpm.s),"",_xlfn.LET(_xlpm.p,_xlfn.SEQUENCE(_xlpm.e-_xlpm.s+1,1,_xlpm.s,1),SUM(1/COUNTIFS($D:$D,D458,$E:$E,E458,$F:$F,"&lt;&gt;N/A",$G:$G,"&lt;&gt;N/A",$F:$F,"&lt;="&amp;_xlpm.p,$G:$G,"&gt;="&amp;_xlpm.p)))))</f>
        <v>3.5</v>
      </c>
      <c r="I458" s="4" t="s">
        <v>782</v>
      </c>
      <c r="J458" s="5" t="s">
        <v>4477</v>
      </c>
      <c r="K458" s="5" t="s">
        <v>7</v>
      </c>
      <c r="L458" s="5" t="s">
        <v>7</v>
      </c>
      <c r="M458" s="5" t="s">
        <v>7</v>
      </c>
      <c r="N458" s="5" t="s">
        <v>7</v>
      </c>
      <c r="O458" s="4" t="s">
        <v>778</v>
      </c>
      <c r="P458" s="4" t="s">
        <v>7834</v>
      </c>
      <c r="R458" t="b">
        <v>1</v>
      </c>
    </row>
    <row r="459" spans="1:18">
      <c r="A459" t="s">
        <v>3011</v>
      </c>
      <c r="B459" t="s">
        <v>11484</v>
      </c>
      <c r="C459" s="5" t="s">
        <v>7935</v>
      </c>
      <c r="D459" s="1">
        <v>1</v>
      </c>
      <c r="E459" s="1" t="s">
        <v>1112</v>
      </c>
      <c r="F459" s="1">
        <v>516</v>
      </c>
      <c r="G459" s="1">
        <v>516</v>
      </c>
      <c r="H459" s="8" cm="1">
        <f t="array" ref="H459">_xlfn.LET(_xlpm.s,IFERROR(--F459,""),_xlpm.e,IFERROR(--G459,""),IF(OR(_xlpm.s="",_xlpm.e="",_xlpm.e&lt;_xlpm.s),"",_xlfn.LET(_xlpm.p,_xlfn.SEQUENCE(_xlpm.e-_xlpm.s+1,1,_xlpm.s,1),SUM(1/COUNTIFS($D:$D,D459,$E:$E,E459,$F:$F,"&lt;&gt;N/A",$G:$G,"&lt;&gt;N/A",$F:$F,"&lt;="&amp;_xlpm.p,$G:$G,"&gt;="&amp;_xlpm.p)))))</f>
        <v>0.5</v>
      </c>
      <c r="I459" s="4" t="s">
        <v>782</v>
      </c>
      <c r="J459" s="5" t="s">
        <v>1113</v>
      </c>
      <c r="K459" s="5" t="s">
        <v>7</v>
      </c>
      <c r="L459" s="5" t="s">
        <v>7285</v>
      </c>
      <c r="M459" t="s">
        <v>5056</v>
      </c>
      <c r="N459" s="5" t="s">
        <v>2269</v>
      </c>
      <c r="O459" s="4" t="s">
        <v>5072</v>
      </c>
      <c r="P459" s="4" t="s">
        <v>8019</v>
      </c>
      <c r="R459" t="b">
        <v>1</v>
      </c>
    </row>
    <row r="460" spans="1:18">
      <c r="A460" t="s">
        <v>3011</v>
      </c>
      <c r="B460" t="s">
        <v>11452</v>
      </c>
      <c r="C460" s="5" t="s">
        <v>7936</v>
      </c>
      <c r="D460" s="1">
        <v>1</v>
      </c>
      <c r="E460" s="1" t="s">
        <v>1116</v>
      </c>
      <c r="F460" s="1">
        <v>517</v>
      </c>
      <c r="G460" s="1">
        <v>517</v>
      </c>
      <c r="H460" s="8" cm="1">
        <f t="array" ref="H460">_xlfn.LET(_xlpm.s,IFERROR(--F460,""),_xlpm.e,IFERROR(--G460,""),IF(OR(_xlpm.s="",_xlpm.e="",_xlpm.e&lt;_xlpm.s),"",_xlfn.LET(_xlpm.p,_xlfn.SEQUENCE(_xlpm.e-_xlpm.s+1,1,_xlpm.s,1),SUM(1/COUNTIFS($D:$D,D460,$E:$E,E460,$F:$F,"&lt;&gt;N/A",$G:$G,"&lt;&gt;N/A",$F:$F,"&lt;="&amp;_xlpm.p,$G:$G,"&gt;="&amp;_xlpm.p)))))</f>
        <v>0.5</v>
      </c>
      <c r="I460" s="4" t="s">
        <v>774</v>
      </c>
      <c r="J460" s="5" t="s">
        <v>839</v>
      </c>
      <c r="K460" s="5" t="s">
        <v>7</v>
      </c>
      <c r="L460" s="5" t="s">
        <v>7</v>
      </c>
      <c r="M460" s="5" t="s">
        <v>7</v>
      </c>
      <c r="N460" s="5" t="s">
        <v>7</v>
      </c>
      <c r="O460" s="4" t="s">
        <v>778</v>
      </c>
      <c r="P460" s="4" t="s">
        <v>7834</v>
      </c>
      <c r="R460" t="b">
        <v>0</v>
      </c>
    </row>
    <row r="461" spans="1:18">
      <c r="A461" t="s">
        <v>3011</v>
      </c>
      <c r="B461" t="s">
        <v>11468</v>
      </c>
      <c r="C461" s="5" t="s">
        <v>7936</v>
      </c>
      <c r="D461" s="1">
        <v>1</v>
      </c>
      <c r="E461" s="1" t="s">
        <v>1116</v>
      </c>
      <c r="F461" s="1">
        <v>517</v>
      </c>
      <c r="G461" s="1">
        <v>520</v>
      </c>
      <c r="H461" s="8" cm="1">
        <f t="array" ref="H461">_xlfn.LET(_xlpm.s,IFERROR(--F461,""),_xlpm.e,IFERROR(--G461,""),IF(OR(_xlpm.s="",_xlpm.e="",_xlpm.e&lt;_xlpm.s),"",_xlfn.LET(_xlpm.p,_xlfn.SEQUENCE(_xlpm.e-_xlpm.s+1,1,_xlpm.s,1),SUM(1/COUNTIFS($D:$D,D461,$E:$E,E461,$F:$F,"&lt;&gt;N/A",$G:$G,"&lt;&gt;N/A",$F:$F,"&lt;="&amp;_xlpm.p,$G:$G,"&gt;="&amp;_xlpm.p)))))</f>
        <v>3</v>
      </c>
      <c r="I461" s="4" t="s">
        <v>774</v>
      </c>
      <c r="J461" s="5" t="s">
        <v>1114</v>
      </c>
      <c r="K461" s="5" t="s">
        <v>533</v>
      </c>
      <c r="L461" s="5" t="s">
        <v>7</v>
      </c>
      <c r="M461" s="5" t="s">
        <v>7</v>
      </c>
      <c r="N461" s="5" t="s">
        <v>7</v>
      </c>
      <c r="O461" s="4" t="s">
        <v>778</v>
      </c>
      <c r="P461" s="4" t="s">
        <v>7834</v>
      </c>
      <c r="R461" t="b">
        <v>1</v>
      </c>
    </row>
    <row r="462" spans="1:18">
      <c r="A462" t="s">
        <v>3011</v>
      </c>
      <c r="B462" t="s">
        <v>11485</v>
      </c>
      <c r="C462" s="5" t="s">
        <v>7936</v>
      </c>
      <c r="D462" s="1">
        <v>1</v>
      </c>
      <c r="E462" s="1" t="s">
        <v>1116</v>
      </c>
      <c r="F462" s="1">
        <v>520</v>
      </c>
      <c r="G462" s="1">
        <v>520</v>
      </c>
      <c r="H462" s="8" cm="1">
        <f t="array" ref="H462">_xlfn.LET(_xlpm.s,IFERROR(--F462,""),_xlpm.e,IFERROR(--G462,""),IF(OR(_xlpm.s="",_xlpm.e="",_xlpm.e&lt;_xlpm.s),"",_xlfn.LET(_xlpm.p,_xlfn.SEQUENCE(_xlpm.e-_xlpm.s+1,1,_xlpm.s,1),SUM(1/COUNTIFS($D:$D,D462,$E:$E,E462,$F:$F,"&lt;&gt;N/A",$G:$G,"&lt;&gt;N/A",$F:$F,"&lt;="&amp;_xlpm.p,$G:$G,"&gt;="&amp;_xlpm.p)))))</f>
        <v>0.5</v>
      </c>
      <c r="I462" s="4" t="s">
        <v>782</v>
      </c>
      <c r="J462" s="5" t="s">
        <v>1115</v>
      </c>
      <c r="K462" t="s">
        <v>7</v>
      </c>
      <c r="L462" s="5" t="s">
        <v>2201</v>
      </c>
      <c r="M462" t="s">
        <v>5059</v>
      </c>
      <c r="N462" s="5" t="s">
        <v>2387</v>
      </c>
      <c r="O462" s="4" t="s">
        <v>5072</v>
      </c>
      <c r="P462" s="4" t="s">
        <v>8034</v>
      </c>
      <c r="R462" t="b">
        <v>1</v>
      </c>
    </row>
    <row r="463" spans="1:18">
      <c r="A463" t="s">
        <v>3011</v>
      </c>
      <c r="B463" t="s">
        <v>7205</v>
      </c>
      <c r="C463" s="5" t="s">
        <v>7937</v>
      </c>
      <c r="D463" s="1">
        <v>1</v>
      </c>
      <c r="E463" s="1" t="s">
        <v>1117</v>
      </c>
      <c r="F463" s="1">
        <v>521</v>
      </c>
      <c r="G463" s="1">
        <v>523</v>
      </c>
      <c r="H463" s="8" cm="1">
        <f t="array" ref="H463">_xlfn.LET(_xlpm.s,IFERROR(--F463,""),_xlpm.e,IFERROR(--G463,""),IF(OR(_xlpm.s="",_xlpm.e="",_xlpm.e&lt;_xlpm.s),"",_xlfn.LET(_xlpm.p,_xlfn.SEQUENCE(_xlpm.e-_xlpm.s+1,1,_xlpm.s,1),SUM(1/COUNTIFS($D:$D,D463,$E:$E,E463,$F:$F,"&lt;&gt;N/A",$G:$G,"&lt;&gt;N/A",$F:$F,"&lt;="&amp;_xlpm.p,$G:$G,"&gt;="&amp;_xlpm.p)))))</f>
        <v>2.5</v>
      </c>
      <c r="I463" s="4" t="s">
        <v>782</v>
      </c>
      <c r="J463" s="5" t="s">
        <v>1118</v>
      </c>
      <c r="K463" s="5" t="s">
        <v>639</v>
      </c>
      <c r="L463" s="5" t="s">
        <v>7</v>
      </c>
      <c r="M463" s="5" t="s">
        <v>7</v>
      </c>
      <c r="N463" s="5" t="s">
        <v>7</v>
      </c>
      <c r="O463" s="4" t="s">
        <v>778</v>
      </c>
      <c r="P463" s="4" t="s">
        <v>7834</v>
      </c>
      <c r="R463" t="b">
        <v>1</v>
      </c>
    </row>
    <row r="464" spans="1:18">
      <c r="A464" t="s">
        <v>3011</v>
      </c>
      <c r="B464" t="s">
        <v>10602</v>
      </c>
      <c r="C464" s="5" t="s">
        <v>7937</v>
      </c>
      <c r="D464" s="1">
        <v>1</v>
      </c>
      <c r="E464" s="1" t="s">
        <v>1117</v>
      </c>
      <c r="F464" s="1">
        <v>523</v>
      </c>
      <c r="G464" s="1">
        <v>526</v>
      </c>
      <c r="H464" s="8" cm="1">
        <f t="array" ref="H464">_xlfn.LET(_xlpm.s,IFERROR(--F464,""),_xlpm.e,IFERROR(--G464,""),IF(OR(_xlpm.s="",_xlpm.e="",_xlpm.e&lt;_xlpm.s),"",_xlfn.LET(_xlpm.p,_xlfn.SEQUENCE(_xlpm.e-_xlpm.s+1,1,_xlpm.s,1),SUM(1/COUNTIFS($D:$D,D464,$E:$E,E464,$F:$F,"&lt;&gt;N/A",$G:$G,"&lt;&gt;N/A",$F:$F,"&lt;="&amp;_xlpm.p,$G:$G,"&gt;="&amp;_xlpm.p)))))</f>
        <v>3</v>
      </c>
      <c r="I464" s="4" t="s">
        <v>782</v>
      </c>
      <c r="J464" s="5" t="s">
        <v>2235</v>
      </c>
      <c r="K464" s="5" t="s">
        <v>7</v>
      </c>
      <c r="L464" s="5" t="s">
        <v>7</v>
      </c>
      <c r="M464" s="5" t="s">
        <v>7</v>
      </c>
      <c r="N464" s="5" t="s">
        <v>7</v>
      </c>
      <c r="O464" s="4" t="s">
        <v>778</v>
      </c>
      <c r="P464" s="4" t="s">
        <v>7834</v>
      </c>
      <c r="R464" t="b">
        <v>1</v>
      </c>
    </row>
    <row r="465" spans="1:18">
      <c r="A465" t="s">
        <v>3011</v>
      </c>
      <c r="B465" t="s">
        <v>11453</v>
      </c>
      <c r="C465" s="5" t="s">
        <v>7937</v>
      </c>
      <c r="D465" s="1">
        <v>1</v>
      </c>
      <c r="E465" s="1" t="s">
        <v>1117</v>
      </c>
      <c r="F465" s="1">
        <v>526</v>
      </c>
      <c r="G465" s="1">
        <v>528</v>
      </c>
      <c r="H465" s="8" cm="1">
        <f t="array" ref="H465">_xlfn.LET(_xlpm.s,IFERROR(--F465,""),_xlpm.e,IFERROR(--G465,""),IF(OR(_xlpm.s="",_xlpm.e="",_xlpm.e&lt;_xlpm.s),"",_xlfn.LET(_xlpm.p,_xlfn.SEQUENCE(_xlpm.e-_xlpm.s+1,1,_xlpm.s,1),SUM(1/COUNTIFS($D:$D,D465,$E:$E,E465,$F:$F,"&lt;&gt;N/A",$G:$G,"&lt;&gt;N/A",$F:$F,"&lt;="&amp;_xlpm.p,$G:$G,"&gt;="&amp;_xlpm.p)))))</f>
        <v>1.8333333333333333</v>
      </c>
      <c r="I465" s="4" t="s">
        <v>782</v>
      </c>
      <c r="J465" s="5" t="s">
        <v>1119</v>
      </c>
      <c r="K465" s="5" t="s">
        <v>7</v>
      </c>
      <c r="L465" s="5" t="s">
        <v>7285</v>
      </c>
      <c r="M465" t="s">
        <v>5058</v>
      </c>
      <c r="N465" s="5" t="s">
        <v>2270</v>
      </c>
      <c r="O465" s="4" t="s">
        <v>5072</v>
      </c>
      <c r="P465" s="4" t="s">
        <v>8021</v>
      </c>
      <c r="Q465" s="5"/>
      <c r="R465" t="b">
        <v>1</v>
      </c>
    </row>
    <row r="466" spans="1:18">
      <c r="A466" t="s">
        <v>3011</v>
      </c>
      <c r="B466" t="s">
        <v>11469</v>
      </c>
      <c r="C466" s="5" t="s">
        <v>7937</v>
      </c>
      <c r="D466" s="1">
        <v>1</v>
      </c>
      <c r="E466" s="1" t="s">
        <v>1117</v>
      </c>
      <c r="F466" s="1">
        <v>528</v>
      </c>
      <c r="G466" s="1">
        <v>528</v>
      </c>
      <c r="H466" s="8" cm="1">
        <f t="array" ref="H466">_xlfn.LET(_xlpm.s,IFERROR(--F466,""),_xlpm.e,IFERROR(--G466,""),IF(OR(_xlpm.s="",_xlpm.e="",_xlpm.e&lt;_xlpm.s),"",_xlfn.LET(_xlpm.p,_xlfn.SEQUENCE(_xlpm.e-_xlpm.s+1,1,_xlpm.s,1),SUM(1/COUNTIFS($D:$D,D466,$E:$E,E466,$F:$F,"&lt;&gt;N/A",$G:$G,"&lt;&gt;N/A",$F:$F,"&lt;="&amp;_xlpm.p,$G:$G,"&gt;="&amp;_xlpm.p)))))</f>
        <v>0.33333333333333331</v>
      </c>
      <c r="I466" s="4" t="s">
        <v>782</v>
      </c>
      <c r="J466" s="5" t="s">
        <v>1120</v>
      </c>
      <c r="K466" s="5" t="s">
        <v>7</v>
      </c>
      <c r="L466" s="5" t="s">
        <v>7</v>
      </c>
      <c r="M466" t="s">
        <v>5057</v>
      </c>
      <c r="N466" s="5" t="s">
        <v>2267</v>
      </c>
      <c r="O466" s="4" t="s">
        <v>5072</v>
      </c>
      <c r="P466" s="4" t="s">
        <v>8034</v>
      </c>
      <c r="R466" t="b">
        <v>1</v>
      </c>
    </row>
    <row r="467" spans="1:18">
      <c r="A467" t="s">
        <v>3011</v>
      </c>
      <c r="B467" t="s">
        <v>11486</v>
      </c>
      <c r="C467" s="5" t="s">
        <v>7937</v>
      </c>
      <c r="D467" s="1">
        <v>1</v>
      </c>
      <c r="E467" s="1" t="s">
        <v>1117</v>
      </c>
      <c r="F467" s="1">
        <v>528</v>
      </c>
      <c r="G467" s="1">
        <v>528</v>
      </c>
      <c r="H467" s="8" cm="1">
        <f t="array" ref="H467">_xlfn.LET(_xlpm.s,IFERROR(--F467,""),_xlpm.e,IFERROR(--G467,""),IF(OR(_xlpm.s="",_xlpm.e="",_xlpm.e&lt;_xlpm.s),"",_xlfn.LET(_xlpm.p,_xlfn.SEQUENCE(_xlpm.e-_xlpm.s+1,1,_xlpm.s,1),SUM(1/COUNTIFS($D:$D,D467,$E:$E,E467,$F:$F,"&lt;&gt;N/A",$G:$G,"&lt;&gt;N/A",$F:$F,"&lt;="&amp;_xlpm.p,$G:$G,"&gt;="&amp;_xlpm.p)))))</f>
        <v>0.33333333333333331</v>
      </c>
      <c r="I467" s="4" t="s">
        <v>782</v>
      </c>
      <c r="J467" s="5" t="s">
        <v>1121</v>
      </c>
      <c r="K467" s="5" t="s">
        <v>7</v>
      </c>
      <c r="L467" s="5" t="s">
        <v>7</v>
      </c>
      <c r="M467" t="s">
        <v>5056</v>
      </c>
      <c r="N467" s="5" t="s">
        <v>2385</v>
      </c>
      <c r="O467" s="4" t="s">
        <v>5072</v>
      </c>
      <c r="P467" s="4" t="s">
        <v>8021</v>
      </c>
      <c r="R467" t="b">
        <v>1</v>
      </c>
    </row>
    <row r="468" spans="1:18">
      <c r="A468" t="s">
        <v>3011</v>
      </c>
      <c r="B468" t="s">
        <v>10603</v>
      </c>
      <c r="C468" s="5" t="s">
        <v>7943</v>
      </c>
      <c r="D468" s="1">
        <v>1</v>
      </c>
      <c r="E468" s="1" t="s">
        <v>1122</v>
      </c>
      <c r="F468" s="1">
        <v>529</v>
      </c>
      <c r="G468" s="1">
        <v>529</v>
      </c>
      <c r="H468" s="8" cm="1">
        <f t="array" ref="H468">_xlfn.LET(_xlpm.s,IFERROR(--F468,""),_xlpm.e,IFERROR(--G468,""),IF(OR(_xlpm.s="",_xlpm.e="",_xlpm.e&lt;_xlpm.s),"",_xlfn.LET(_xlpm.p,_xlfn.SEQUENCE(_xlpm.e-_xlpm.s+1,1,_xlpm.s,1),SUM(1/COUNTIFS($D:$D,D468,$E:$E,E468,$F:$F,"&lt;&gt;N/A",$G:$G,"&lt;&gt;N/A",$F:$F,"&lt;="&amp;_xlpm.p,$G:$G,"&gt;="&amp;_xlpm.p)))))</f>
        <v>0.5</v>
      </c>
      <c r="I468" s="4" t="s">
        <v>774</v>
      </c>
      <c r="J468" s="5" t="s">
        <v>839</v>
      </c>
      <c r="K468" s="5" t="s">
        <v>7</v>
      </c>
      <c r="L468" s="5" t="s">
        <v>7</v>
      </c>
      <c r="M468" s="5" t="s">
        <v>7</v>
      </c>
      <c r="N468" s="5" t="s">
        <v>7</v>
      </c>
      <c r="O468" s="4" t="s">
        <v>778</v>
      </c>
      <c r="P468" s="4" t="s">
        <v>7834</v>
      </c>
      <c r="R468" t="b">
        <v>0</v>
      </c>
    </row>
    <row r="469" spans="1:18">
      <c r="A469" t="s">
        <v>3011</v>
      </c>
      <c r="B469" t="s">
        <v>11454</v>
      </c>
      <c r="C469" s="5" t="s">
        <v>7943</v>
      </c>
      <c r="D469" s="1">
        <v>1</v>
      </c>
      <c r="E469" s="1" t="s">
        <v>1122</v>
      </c>
      <c r="F469" s="1">
        <v>529</v>
      </c>
      <c r="G469" s="1">
        <v>530</v>
      </c>
      <c r="H469" s="8" cm="1">
        <f t="array" ref="H469">_xlfn.LET(_xlpm.s,IFERROR(--F469,""),_xlpm.e,IFERROR(--G469,""),IF(OR(_xlpm.s="",_xlpm.e="",_xlpm.e&lt;_xlpm.s),"",_xlfn.LET(_xlpm.p,_xlfn.SEQUENCE(_xlpm.e-_xlpm.s+1,1,_xlpm.s,1),SUM(1/COUNTIFS($D:$D,D469,$E:$E,E469,$F:$F,"&lt;&gt;N/A",$G:$G,"&lt;&gt;N/A",$F:$F,"&lt;="&amp;_xlpm.p,$G:$G,"&gt;="&amp;_xlpm.p)))))</f>
        <v>1</v>
      </c>
      <c r="I469" s="4" t="s">
        <v>774</v>
      </c>
      <c r="J469" s="5" t="s">
        <v>1123</v>
      </c>
      <c r="K469" s="5" t="s">
        <v>2236</v>
      </c>
      <c r="L469" s="5" t="s">
        <v>7</v>
      </c>
      <c r="M469" s="5" t="s">
        <v>7</v>
      </c>
      <c r="N469" s="5" t="s">
        <v>7</v>
      </c>
      <c r="O469" s="4" t="s">
        <v>778</v>
      </c>
      <c r="P469" s="4" t="s">
        <v>7834</v>
      </c>
      <c r="R469" t="b">
        <v>1</v>
      </c>
    </row>
    <row r="470" spans="1:18">
      <c r="A470" t="s">
        <v>3011</v>
      </c>
      <c r="B470" t="s">
        <v>11470</v>
      </c>
      <c r="C470" s="5" t="s">
        <v>7943</v>
      </c>
      <c r="D470" s="1">
        <v>1</v>
      </c>
      <c r="E470" s="1" t="s">
        <v>1122</v>
      </c>
      <c r="F470" s="1">
        <v>530</v>
      </c>
      <c r="G470" s="1">
        <v>532</v>
      </c>
      <c r="H470" s="8" cm="1">
        <f t="array" ref="H470">_xlfn.LET(_xlpm.s,IFERROR(--F470,""),_xlpm.e,IFERROR(--G470,""),IF(OR(_xlpm.s="",_xlpm.e="",_xlpm.e&lt;_xlpm.s),"",_xlfn.LET(_xlpm.p,_xlfn.SEQUENCE(_xlpm.e-_xlpm.s+1,1,_xlpm.s,1),SUM(1/COUNTIFS($D:$D,D470,$E:$E,E470,$F:$F,"&lt;&gt;N/A",$G:$G,"&lt;&gt;N/A",$F:$F,"&lt;="&amp;_xlpm.p,$G:$G,"&gt;="&amp;_xlpm.p)))))</f>
        <v>2</v>
      </c>
      <c r="I470" s="4" t="s">
        <v>782</v>
      </c>
      <c r="J470" s="5" t="s">
        <v>1124</v>
      </c>
      <c r="K470" s="5" t="s">
        <v>2237</v>
      </c>
      <c r="L470" s="5" t="s">
        <v>7285</v>
      </c>
      <c r="M470" t="s">
        <v>5056</v>
      </c>
      <c r="N470" s="5" t="s">
        <v>2258</v>
      </c>
      <c r="O470" s="4" t="s">
        <v>5072</v>
      </c>
      <c r="P470" s="4" t="s">
        <v>8021</v>
      </c>
      <c r="R470" t="b">
        <v>1</v>
      </c>
    </row>
    <row r="471" spans="1:18">
      <c r="A471" t="s">
        <v>3011</v>
      </c>
      <c r="B471" t="s">
        <v>11487</v>
      </c>
      <c r="C471" s="5" t="s">
        <v>7943</v>
      </c>
      <c r="D471" s="1">
        <v>1</v>
      </c>
      <c r="E471" s="1" t="s">
        <v>1122</v>
      </c>
      <c r="F471" s="1">
        <v>532</v>
      </c>
      <c r="G471" s="1">
        <v>532</v>
      </c>
      <c r="H471" s="8" cm="1">
        <f t="array" ref="H471">_xlfn.LET(_xlpm.s,IFERROR(--F471,""),_xlpm.e,IFERROR(--G471,""),IF(OR(_xlpm.s="",_xlpm.e="",_xlpm.e&lt;_xlpm.s),"",_xlfn.LET(_xlpm.p,_xlfn.SEQUENCE(_xlpm.e-_xlpm.s+1,1,_xlpm.s,1),SUM(1/COUNTIFS($D:$D,D471,$E:$E,E471,$F:$F,"&lt;&gt;N/A",$G:$G,"&lt;&gt;N/A",$F:$F,"&lt;="&amp;_xlpm.p,$G:$G,"&gt;="&amp;_xlpm.p)))))</f>
        <v>0.5</v>
      </c>
      <c r="I471" s="4" t="s">
        <v>782</v>
      </c>
      <c r="J471" s="5" t="s">
        <v>1125</v>
      </c>
      <c r="K471" s="5" t="s">
        <v>1050</v>
      </c>
      <c r="L471" s="5" t="s">
        <v>7</v>
      </c>
      <c r="M471" s="5" t="s">
        <v>7</v>
      </c>
      <c r="N471" s="5" t="s">
        <v>7</v>
      </c>
      <c r="O471" s="4" t="s">
        <v>778</v>
      </c>
      <c r="P471" s="4" t="s">
        <v>7834</v>
      </c>
      <c r="R471" t="b">
        <v>1</v>
      </c>
    </row>
    <row r="472" spans="1:18">
      <c r="A472" t="s">
        <v>3011</v>
      </c>
      <c r="B472" t="s">
        <v>7206</v>
      </c>
      <c r="C472" s="5" t="s">
        <v>7944</v>
      </c>
      <c r="D472" s="1">
        <v>1</v>
      </c>
      <c r="E472" s="1" t="s">
        <v>1126</v>
      </c>
      <c r="F472" s="1">
        <v>533</v>
      </c>
      <c r="G472" s="1">
        <v>533</v>
      </c>
      <c r="H472" s="8" cm="1">
        <f t="array" ref="H472">_xlfn.LET(_xlpm.s,IFERROR(--F472,""),_xlpm.e,IFERROR(--G472,""),IF(OR(_xlpm.s="",_xlpm.e="",_xlpm.e&lt;_xlpm.s),"",_xlfn.LET(_xlpm.p,_xlfn.SEQUENCE(_xlpm.e-_xlpm.s+1,1,_xlpm.s,1),SUM(1/COUNTIFS($D:$D,D472,$E:$E,E472,$F:$F,"&lt;&gt;N/A",$G:$G,"&lt;&gt;N/A",$F:$F,"&lt;="&amp;_xlpm.p,$G:$G,"&gt;="&amp;_xlpm.p)))))</f>
        <v>0.5</v>
      </c>
      <c r="I472" s="4" t="s">
        <v>774</v>
      </c>
      <c r="J472" s="5" t="s">
        <v>839</v>
      </c>
      <c r="K472" t="s">
        <v>7</v>
      </c>
      <c r="L472" s="5" t="s">
        <v>7</v>
      </c>
      <c r="M472" s="5" t="s">
        <v>7</v>
      </c>
      <c r="N472" s="5" t="s">
        <v>7</v>
      </c>
      <c r="O472" s="4" t="s">
        <v>778</v>
      </c>
      <c r="P472" s="4" t="s">
        <v>7834</v>
      </c>
      <c r="R472" t="b">
        <v>0</v>
      </c>
    </row>
    <row r="473" spans="1:18">
      <c r="A473" t="s">
        <v>3011</v>
      </c>
      <c r="B473" t="s">
        <v>7207</v>
      </c>
      <c r="C473" s="5" t="s">
        <v>7944</v>
      </c>
      <c r="D473" s="1">
        <v>1</v>
      </c>
      <c r="E473" s="1" t="s">
        <v>1126</v>
      </c>
      <c r="F473" s="1">
        <v>533</v>
      </c>
      <c r="G473" s="1">
        <v>535</v>
      </c>
      <c r="H473" s="8" cm="1">
        <f t="array" ref="H473">_xlfn.LET(_xlpm.s,IFERROR(--F473,""),_xlpm.e,IFERROR(--G473,""),IF(OR(_xlpm.s="",_xlpm.e="",_xlpm.e&lt;_xlpm.s),"",_xlfn.LET(_xlpm.p,_xlfn.SEQUENCE(_xlpm.e-_xlpm.s+1,1,_xlpm.s,1),SUM(1/COUNTIFS($D:$D,D473,$E:$E,E473,$F:$F,"&lt;&gt;N/A",$G:$G,"&lt;&gt;N/A",$F:$F,"&lt;="&amp;_xlpm.p,$G:$G,"&gt;="&amp;_xlpm.p)))))</f>
        <v>2</v>
      </c>
      <c r="I473" s="4" t="s">
        <v>774</v>
      </c>
      <c r="J473" s="5" t="s">
        <v>6446</v>
      </c>
      <c r="K473" s="5" t="s">
        <v>1128</v>
      </c>
      <c r="L473" s="5" t="s">
        <v>7</v>
      </c>
      <c r="M473" s="5" t="s">
        <v>7</v>
      </c>
      <c r="N473" s="5" t="s">
        <v>7</v>
      </c>
      <c r="O473" s="4" t="s">
        <v>778</v>
      </c>
      <c r="P473" s="4" t="s">
        <v>7834</v>
      </c>
      <c r="R473" t="b">
        <v>1</v>
      </c>
    </row>
    <row r="474" spans="1:18">
      <c r="A474" t="s">
        <v>3011</v>
      </c>
      <c r="B474" t="s">
        <v>10604</v>
      </c>
      <c r="C474" s="5" t="s">
        <v>7944</v>
      </c>
      <c r="D474" s="1">
        <v>1</v>
      </c>
      <c r="E474" s="1" t="s">
        <v>1126</v>
      </c>
      <c r="F474" s="1">
        <v>535</v>
      </c>
      <c r="G474" s="1">
        <v>535</v>
      </c>
      <c r="H474" s="8" cm="1">
        <f t="array" ref="H474">_xlfn.LET(_xlpm.s,IFERROR(--F474,""),_xlpm.e,IFERROR(--G474,""),IF(OR(_xlpm.s="",_xlpm.e="",_xlpm.e&lt;_xlpm.s),"",_xlfn.LET(_xlpm.p,_xlfn.SEQUENCE(_xlpm.e-_xlpm.s+1,1,_xlpm.s,1),SUM(1/COUNTIFS($D:$D,D474,$E:$E,E474,$F:$F,"&lt;&gt;N/A",$G:$G,"&lt;&gt;N/A",$F:$F,"&lt;="&amp;_xlpm.p,$G:$G,"&gt;="&amp;_xlpm.p)))))</f>
        <v>0.5</v>
      </c>
      <c r="I474" s="4" t="s">
        <v>782</v>
      </c>
      <c r="J474" s="5" t="s">
        <v>1129</v>
      </c>
      <c r="K474" s="5" t="s">
        <v>7</v>
      </c>
      <c r="L474" s="5" t="s">
        <v>7285</v>
      </c>
      <c r="M474" t="s">
        <v>5054</v>
      </c>
      <c r="N474" s="5" t="s">
        <v>3028</v>
      </c>
      <c r="O474" s="4" t="s">
        <v>5072</v>
      </c>
      <c r="P474" s="4" t="s">
        <v>8021</v>
      </c>
      <c r="R474" t="b">
        <v>1</v>
      </c>
    </row>
    <row r="475" spans="1:18">
      <c r="A475" t="s">
        <v>3011</v>
      </c>
      <c r="B475" t="s">
        <v>11455</v>
      </c>
      <c r="C475" s="5" t="s">
        <v>7944</v>
      </c>
      <c r="D475" s="1">
        <v>1</v>
      </c>
      <c r="E475" s="1" t="s">
        <v>1126</v>
      </c>
      <c r="F475" s="1">
        <v>536</v>
      </c>
      <c r="G475" s="1">
        <v>536</v>
      </c>
      <c r="H475" s="8" cm="1">
        <f t="array" ref="H475">_xlfn.LET(_xlpm.s,IFERROR(--F475,""),_xlpm.e,IFERROR(--G475,""),IF(OR(_xlpm.s="",_xlpm.e="",_xlpm.e&lt;_xlpm.s),"",_xlfn.LET(_xlpm.p,_xlfn.SEQUENCE(_xlpm.e-_xlpm.s+1,1,_xlpm.s,1),SUM(1/COUNTIFS($D:$D,D475,$E:$E,E475,$F:$F,"&lt;&gt;N/A",$G:$G,"&lt;&gt;N/A",$F:$F,"&lt;="&amp;_xlpm.p,$G:$G,"&gt;="&amp;_xlpm.p)))))</f>
        <v>0.33333333333333331</v>
      </c>
      <c r="I475" s="4" t="s">
        <v>782</v>
      </c>
      <c r="J475" s="5" t="s">
        <v>1130</v>
      </c>
      <c r="K475" s="5" t="s">
        <v>7</v>
      </c>
      <c r="L475" s="5" t="s">
        <v>2225</v>
      </c>
      <c r="M475" t="s">
        <v>5055</v>
      </c>
      <c r="N475" s="5" t="s">
        <v>2266</v>
      </c>
      <c r="O475" s="4" t="s">
        <v>5072</v>
      </c>
      <c r="P475" s="4" t="s">
        <v>8034</v>
      </c>
      <c r="R475" t="b">
        <v>1</v>
      </c>
    </row>
    <row r="476" spans="1:18">
      <c r="A476" t="s">
        <v>3011</v>
      </c>
      <c r="B476" t="s">
        <v>11471</v>
      </c>
      <c r="C476" s="5" t="s">
        <v>7944</v>
      </c>
      <c r="D476" s="1">
        <v>1</v>
      </c>
      <c r="E476" s="1" t="s">
        <v>1126</v>
      </c>
      <c r="F476" s="1">
        <v>536</v>
      </c>
      <c r="G476" s="1">
        <v>536</v>
      </c>
      <c r="H476" s="8" cm="1">
        <f t="array" ref="H476">_xlfn.LET(_xlpm.s,IFERROR(--F476,""),_xlpm.e,IFERROR(--G476,""),IF(OR(_xlpm.s="",_xlpm.e="",_xlpm.e&lt;_xlpm.s),"",_xlfn.LET(_xlpm.p,_xlfn.SEQUENCE(_xlpm.e-_xlpm.s+1,1,_xlpm.s,1),SUM(1/COUNTIFS($D:$D,D476,$E:$E,E476,$F:$F,"&lt;&gt;N/A",$G:$G,"&lt;&gt;N/A",$F:$F,"&lt;="&amp;_xlpm.p,$G:$G,"&gt;="&amp;_xlpm.p)))))</f>
        <v>0.33333333333333331</v>
      </c>
      <c r="I476" s="4" t="s">
        <v>782</v>
      </c>
      <c r="J476" s="5" t="s">
        <v>1131</v>
      </c>
      <c r="K476" s="5" t="s">
        <v>7</v>
      </c>
      <c r="L476" s="5" t="s">
        <v>2238</v>
      </c>
      <c r="M476" t="s">
        <v>5055</v>
      </c>
      <c r="N476" s="5" t="s">
        <v>2268</v>
      </c>
      <c r="O476" s="4" t="s">
        <v>5072</v>
      </c>
      <c r="P476" s="4" t="s">
        <v>8034</v>
      </c>
      <c r="R476" t="b">
        <v>1</v>
      </c>
    </row>
    <row r="477" spans="1:18">
      <c r="A477" t="s">
        <v>3011</v>
      </c>
      <c r="B477" t="s">
        <v>11488</v>
      </c>
      <c r="C477" s="5" t="s">
        <v>7944</v>
      </c>
      <c r="D477" s="1">
        <v>1</v>
      </c>
      <c r="E477" s="1" t="s">
        <v>1126</v>
      </c>
      <c r="F477" s="1">
        <v>536</v>
      </c>
      <c r="G477" s="1">
        <v>536</v>
      </c>
      <c r="H477" s="8" cm="1">
        <f t="array" ref="H477">_xlfn.LET(_xlpm.s,IFERROR(--F477,""),_xlpm.e,IFERROR(--G477,""),IF(OR(_xlpm.s="",_xlpm.e="",_xlpm.e&lt;_xlpm.s),"",_xlfn.LET(_xlpm.p,_xlfn.SEQUENCE(_xlpm.e-_xlpm.s+1,1,_xlpm.s,1),SUM(1/COUNTIFS($D:$D,D477,$E:$E,E477,$F:$F,"&lt;&gt;N/A",$G:$G,"&lt;&gt;N/A",$F:$F,"&lt;="&amp;_xlpm.p,$G:$G,"&gt;="&amp;_xlpm.p)))))</f>
        <v>0.33333333333333331</v>
      </c>
      <c r="I477" s="4" t="s">
        <v>782</v>
      </c>
      <c r="J477" s="5" t="s">
        <v>1132</v>
      </c>
      <c r="K477" s="5" t="s">
        <v>7</v>
      </c>
      <c r="L477" s="5" t="s">
        <v>2238</v>
      </c>
      <c r="M477" t="s">
        <v>5055</v>
      </c>
      <c r="N477" s="5" t="s">
        <v>2265</v>
      </c>
      <c r="O477" s="4" t="s">
        <v>5072</v>
      </c>
      <c r="P477" s="4" t="s">
        <v>8034</v>
      </c>
      <c r="R477" t="b">
        <v>1</v>
      </c>
    </row>
    <row r="478" spans="1:18">
      <c r="A478" t="s">
        <v>3011</v>
      </c>
      <c r="B478" t="s">
        <v>11472</v>
      </c>
      <c r="C478" s="5" t="s">
        <v>7945</v>
      </c>
      <c r="D478" s="1">
        <v>1</v>
      </c>
      <c r="E478" s="1" t="s">
        <v>1133</v>
      </c>
      <c r="F478" s="1">
        <v>537</v>
      </c>
      <c r="G478" s="1">
        <v>537</v>
      </c>
      <c r="H478" s="8" cm="1">
        <f t="array" ref="H478">_xlfn.LET(_xlpm.s,IFERROR(--F478,""),_xlpm.e,IFERROR(--G478,""),IF(OR(_xlpm.s="",_xlpm.e="",_xlpm.e&lt;_xlpm.s),"",_xlfn.LET(_xlpm.p,_xlfn.SEQUENCE(_xlpm.e-_xlpm.s+1,1,_xlpm.s,1),SUM(1/COUNTIFS($D:$D,D478,$E:$E,E478,$F:$F,"&lt;&gt;N/A",$G:$G,"&lt;&gt;N/A",$F:$F,"&lt;="&amp;_xlpm.p,$G:$G,"&gt;="&amp;_xlpm.p)))))</f>
        <v>1</v>
      </c>
      <c r="I478" s="4" t="s">
        <v>774</v>
      </c>
      <c r="J478" s="5" t="s">
        <v>839</v>
      </c>
      <c r="K478" t="s">
        <v>7</v>
      </c>
      <c r="L478" s="5" t="s">
        <v>7</v>
      </c>
      <c r="M478" s="5" t="s">
        <v>7</v>
      </c>
      <c r="N478" s="5" t="s">
        <v>7</v>
      </c>
      <c r="O478" s="4" t="s">
        <v>778</v>
      </c>
      <c r="P478" s="4" t="s">
        <v>7834</v>
      </c>
      <c r="R478" t="b">
        <v>0</v>
      </c>
    </row>
    <row r="479" spans="1:18">
      <c r="A479" t="s">
        <v>3011</v>
      </c>
      <c r="B479" t="s">
        <v>11489</v>
      </c>
      <c r="C479" s="5" t="s">
        <v>7945</v>
      </c>
      <c r="D479" s="1">
        <v>1</v>
      </c>
      <c r="E479" s="1" t="s">
        <v>1133</v>
      </c>
      <c r="F479" s="1">
        <v>538</v>
      </c>
      <c r="G479" s="1">
        <v>540</v>
      </c>
      <c r="H479" s="8" cm="1">
        <f t="array" ref="H479">_xlfn.LET(_xlpm.s,IFERROR(--F479,""),_xlpm.e,IFERROR(--G479,""),IF(OR(_xlpm.s="",_xlpm.e="",_xlpm.e&lt;_xlpm.s),"",_xlfn.LET(_xlpm.p,_xlfn.SEQUENCE(_xlpm.e-_xlpm.s+1,1,_xlpm.s,1),SUM(1/COUNTIFS($D:$D,D479,$E:$E,E479,$F:$F,"&lt;&gt;N/A",$G:$G,"&lt;&gt;N/A",$F:$F,"&lt;="&amp;_xlpm.p,$G:$G,"&gt;="&amp;_xlpm.p)))))</f>
        <v>3</v>
      </c>
      <c r="I479" s="4" t="s">
        <v>774</v>
      </c>
      <c r="J479" s="5" t="s">
        <v>1134</v>
      </c>
      <c r="K479" t="s">
        <v>1022</v>
      </c>
      <c r="L479" s="5" t="s">
        <v>7</v>
      </c>
      <c r="M479" s="5" t="s">
        <v>7</v>
      </c>
      <c r="N479" s="5" t="s">
        <v>7</v>
      </c>
      <c r="O479" s="4" t="s">
        <v>778</v>
      </c>
      <c r="P479" s="4" t="s">
        <v>7834</v>
      </c>
      <c r="R479" t="b">
        <v>1</v>
      </c>
    </row>
    <row r="480" spans="1:18">
      <c r="A480" t="s">
        <v>3011</v>
      </c>
      <c r="B480" t="s">
        <v>10605</v>
      </c>
      <c r="C480" s="5" t="s">
        <v>7984</v>
      </c>
      <c r="D480" s="1">
        <v>1</v>
      </c>
      <c r="E480" s="1" t="s">
        <v>1135</v>
      </c>
      <c r="F480" s="1">
        <v>541</v>
      </c>
      <c r="G480" s="1">
        <v>542</v>
      </c>
      <c r="H480" s="8" cm="1">
        <f t="array" ref="H480">_xlfn.LET(_xlpm.s,IFERROR(--F480,""),_xlpm.e,IFERROR(--G480,""),IF(OR(_xlpm.s="",_xlpm.e="",_xlpm.e&lt;_xlpm.s),"",_xlfn.LET(_xlpm.p,_xlfn.SEQUENCE(_xlpm.e-_xlpm.s+1,1,_xlpm.s,1),SUM(1/COUNTIFS($D:$D,D480,$E:$E,E480,$F:$F,"&lt;&gt;N/A",$G:$G,"&lt;&gt;N/A",$F:$F,"&lt;="&amp;_xlpm.p,$G:$G,"&gt;="&amp;_xlpm.p)))))</f>
        <v>1.5</v>
      </c>
      <c r="I480" s="4" t="s">
        <v>782</v>
      </c>
      <c r="J480" s="5" t="s">
        <v>1136</v>
      </c>
      <c r="K480" s="5" t="s">
        <v>639</v>
      </c>
      <c r="L480" s="5" t="s">
        <v>7</v>
      </c>
      <c r="M480" s="5" t="s">
        <v>7</v>
      </c>
      <c r="N480" s="5" t="s">
        <v>7</v>
      </c>
      <c r="O480" s="4" t="s">
        <v>778</v>
      </c>
      <c r="P480" s="4" t="s">
        <v>7834</v>
      </c>
      <c r="R480" t="b">
        <v>1</v>
      </c>
    </row>
    <row r="481" spans="1:18">
      <c r="A481" t="s">
        <v>3011</v>
      </c>
      <c r="B481" t="s">
        <v>11456</v>
      </c>
      <c r="C481" s="5" t="s">
        <v>7984</v>
      </c>
      <c r="D481" s="1">
        <v>1</v>
      </c>
      <c r="E481" s="1" t="s">
        <v>1135</v>
      </c>
      <c r="F481" s="1">
        <v>542</v>
      </c>
      <c r="G481" s="1">
        <v>543</v>
      </c>
      <c r="H481" s="8" cm="1">
        <f t="array" ref="H481">_xlfn.LET(_xlpm.s,IFERROR(--F481,""),_xlpm.e,IFERROR(--G481,""),IF(OR(_xlpm.s="",_xlpm.e="",_xlpm.e&lt;_xlpm.s),"",_xlfn.LET(_xlpm.p,_xlfn.SEQUENCE(_xlpm.e-_xlpm.s+1,1,_xlpm.s,1),SUM(1/COUNTIFS($D:$D,D481,$E:$E,E481,$F:$F,"&lt;&gt;N/A",$G:$G,"&lt;&gt;N/A",$F:$F,"&lt;="&amp;_xlpm.p,$G:$G,"&gt;="&amp;_xlpm.p)))))</f>
        <v>1</v>
      </c>
      <c r="I481" s="4" t="s">
        <v>782</v>
      </c>
      <c r="J481" s="5" t="s">
        <v>1137</v>
      </c>
      <c r="K481" s="5" t="s">
        <v>2239</v>
      </c>
      <c r="L481" s="5" t="s">
        <v>2240</v>
      </c>
      <c r="M481" t="s">
        <v>5030</v>
      </c>
      <c r="N481" s="5" t="s">
        <v>2264</v>
      </c>
      <c r="O481" s="4" t="s">
        <v>5072</v>
      </c>
      <c r="P481" s="4" t="s">
        <v>8034</v>
      </c>
      <c r="R481" t="b">
        <v>1</v>
      </c>
    </row>
    <row r="482" spans="1:18">
      <c r="A482" t="s">
        <v>3011</v>
      </c>
      <c r="B482" t="s">
        <v>11473</v>
      </c>
      <c r="C482" s="5" t="s">
        <v>7984</v>
      </c>
      <c r="D482" s="1">
        <v>1</v>
      </c>
      <c r="E482" s="1" t="s">
        <v>1135</v>
      </c>
      <c r="F482" s="1">
        <v>543</v>
      </c>
      <c r="G482" s="1">
        <v>544</v>
      </c>
      <c r="H482" s="8" cm="1">
        <f t="array" ref="H482">_xlfn.LET(_xlpm.s,IFERROR(--F482,""),_xlpm.e,IFERROR(--G482,""),IF(OR(_xlpm.s="",_xlpm.e="",_xlpm.e&lt;_xlpm.s),"",_xlfn.LET(_xlpm.p,_xlfn.SEQUENCE(_xlpm.e-_xlpm.s+1,1,_xlpm.s,1),SUM(1/COUNTIFS($D:$D,D482,$E:$E,E482,$F:$F,"&lt;&gt;N/A",$G:$G,"&lt;&gt;N/A",$F:$F,"&lt;="&amp;_xlpm.p,$G:$G,"&gt;="&amp;_xlpm.p)))))</f>
        <v>1</v>
      </c>
      <c r="I482" s="4" t="s">
        <v>782</v>
      </c>
      <c r="J482" t="s">
        <v>1138</v>
      </c>
      <c r="K482" s="5" t="s">
        <v>7</v>
      </c>
      <c r="L482" s="5" t="s">
        <v>2241</v>
      </c>
      <c r="M482" t="s">
        <v>5030</v>
      </c>
      <c r="N482" s="5" t="s">
        <v>2263</v>
      </c>
      <c r="O482" s="4" t="s">
        <v>5072</v>
      </c>
      <c r="P482" s="4" t="s">
        <v>8034</v>
      </c>
      <c r="R482" t="b">
        <v>1</v>
      </c>
    </row>
    <row r="483" spans="1:18">
      <c r="A483" t="s">
        <v>3011</v>
      </c>
      <c r="B483" t="s">
        <v>11490</v>
      </c>
      <c r="C483" s="5" t="s">
        <v>7984</v>
      </c>
      <c r="D483" s="1">
        <v>1</v>
      </c>
      <c r="E483" s="1" t="s">
        <v>1135</v>
      </c>
      <c r="F483" s="1">
        <v>544</v>
      </c>
      <c r="G483" s="1">
        <v>544</v>
      </c>
      <c r="H483" s="8" cm="1">
        <f t="array" ref="H483">_xlfn.LET(_xlpm.s,IFERROR(--F483,""),_xlpm.e,IFERROR(--G483,""),IF(OR(_xlpm.s="",_xlpm.e="",_xlpm.e&lt;_xlpm.s),"",_xlfn.LET(_xlpm.p,_xlfn.SEQUENCE(_xlpm.e-_xlpm.s+1,1,_xlpm.s,1),SUM(1/COUNTIFS($D:$D,D483,$E:$E,E483,$F:$F,"&lt;&gt;N/A",$G:$G,"&lt;&gt;N/A",$F:$F,"&lt;="&amp;_xlpm.p,$G:$G,"&gt;="&amp;_xlpm.p)))))</f>
        <v>0.5</v>
      </c>
      <c r="I483" s="4" t="s">
        <v>782</v>
      </c>
      <c r="J483" s="5" t="s">
        <v>1139</v>
      </c>
      <c r="K483" s="5" t="s">
        <v>7</v>
      </c>
      <c r="L483" s="5" t="s">
        <v>2242</v>
      </c>
      <c r="M483" t="s">
        <v>5030</v>
      </c>
      <c r="N483" s="5" t="s">
        <v>2262</v>
      </c>
      <c r="O483" s="4" t="s">
        <v>11522</v>
      </c>
      <c r="P483" s="4" t="s">
        <v>8034</v>
      </c>
      <c r="R483" t="b">
        <v>1</v>
      </c>
    </row>
    <row r="484" spans="1:18">
      <c r="A484" t="s">
        <v>3011</v>
      </c>
      <c r="B484" t="s">
        <v>11457</v>
      </c>
      <c r="C484" s="5" t="s">
        <v>7952</v>
      </c>
      <c r="D484" s="1">
        <v>1</v>
      </c>
      <c r="E484" s="1" t="s">
        <v>1140</v>
      </c>
      <c r="F484" s="1">
        <v>545</v>
      </c>
      <c r="G484" s="1">
        <v>546</v>
      </c>
      <c r="H484" s="8" cm="1">
        <f t="array" ref="H484">_xlfn.LET(_xlpm.s,IFERROR(--F484,""),_xlpm.e,IFERROR(--G484,""),IF(OR(_xlpm.s="",_xlpm.e="",_xlpm.e&lt;_xlpm.s),"",_xlfn.LET(_xlpm.p,_xlfn.SEQUENCE(_xlpm.e-_xlpm.s+1,1,_xlpm.s,1),SUM(1/COUNTIFS($D:$D,D484,$E:$E,E484,$F:$F,"&lt;&gt;N/A",$G:$G,"&lt;&gt;N/A",$F:$F,"&lt;="&amp;_xlpm.p,$G:$G,"&gt;="&amp;_xlpm.p)))))</f>
        <v>1.5</v>
      </c>
      <c r="I484" s="4" t="s">
        <v>782</v>
      </c>
      <c r="J484" s="5" t="s">
        <v>1141</v>
      </c>
      <c r="K484" s="5" t="s">
        <v>7</v>
      </c>
      <c r="L484" s="5" t="s">
        <v>2225</v>
      </c>
      <c r="M484" t="s">
        <v>5030</v>
      </c>
      <c r="N484" s="5" t="s">
        <v>2261</v>
      </c>
      <c r="O484" s="4" t="s">
        <v>5072</v>
      </c>
      <c r="P484" s="4" t="s">
        <v>8034</v>
      </c>
      <c r="R484" t="b">
        <v>1</v>
      </c>
    </row>
    <row r="485" spans="1:18">
      <c r="A485" t="s">
        <v>3011</v>
      </c>
      <c r="B485" t="s">
        <v>11474</v>
      </c>
      <c r="C485" s="5" t="s">
        <v>7952</v>
      </c>
      <c r="D485" s="1">
        <v>1</v>
      </c>
      <c r="E485" s="1" t="s">
        <v>1140</v>
      </c>
      <c r="F485" s="1">
        <v>546</v>
      </c>
      <c r="G485" s="1">
        <v>548</v>
      </c>
      <c r="H485" s="8" cm="1">
        <f t="array" ref="H485">_xlfn.LET(_xlpm.s,IFERROR(--F485,""),_xlpm.e,IFERROR(--G485,""),IF(OR(_xlpm.s="",_xlpm.e="",_xlpm.e&lt;_xlpm.s),"",_xlfn.LET(_xlpm.p,_xlfn.SEQUENCE(_xlpm.e-_xlpm.s+1,1,_xlpm.s,1),SUM(1/COUNTIFS($D:$D,D485,$E:$E,E485,$F:$F,"&lt;&gt;N/A",$G:$G,"&lt;&gt;N/A",$F:$F,"&lt;="&amp;_xlpm.p,$G:$G,"&gt;="&amp;_xlpm.p)))))</f>
        <v>2</v>
      </c>
      <c r="I485" s="4" t="s">
        <v>782</v>
      </c>
      <c r="J485" s="5" t="s">
        <v>3203</v>
      </c>
      <c r="K485" s="5" t="s">
        <v>7</v>
      </c>
      <c r="L485" s="5" t="s">
        <v>2238</v>
      </c>
      <c r="M485" t="s">
        <v>5030</v>
      </c>
      <c r="N485" s="5" t="s">
        <v>2260</v>
      </c>
      <c r="O485" s="4" t="s">
        <v>5072</v>
      </c>
      <c r="P485" s="4" t="s">
        <v>8034</v>
      </c>
      <c r="R485" t="b">
        <v>1</v>
      </c>
    </row>
    <row r="486" spans="1:18">
      <c r="A486" t="s">
        <v>3011</v>
      </c>
      <c r="B486" t="s">
        <v>11491</v>
      </c>
      <c r="C486" s="5" t="s">
        <v>7952</v>
      </c>
      <c r="D486" s="1">
        <v>1</v>
      </c>
      <c r="E486" s="1" t="s">
        <v>1140</v>
      </c>
      <c r="F486" s="1">
        <v>548</v>
      </c>
      <c r="G486" s="1">
        <v>548</v>
      </c>
      <c r="H486" s="8" cm="1">
        <f t="array" ref="H486">_xlfn.LET(_xlpm.s,IFERROR(--F486,""),_xlpm.e,IFERROR(--G486,""),IF(OR(_xlpm.s="",_xlpm.e="",_xlpm.e&lt;_xlpm.s),"",_xlfn.LET(_xlpm.p,_xlfn.SEQUENCE(_xlpm.e-_xlpm.s+1,1,_xlpm.s,1),SUM(1/COUNTIFS($D:$D,D486,$E:$E,E486,$F:$F,"&lt;&gt;N/A",$G:$G,"&lt;&gt;N/A",$F:$F,"&lt;="&amp;_xlpm.p,$G:$G,"&gt;="&amp;_xlpm.p)))))</f>
        <v>0.5</v>
      </c>
      <c r="I486" s="4" t="s">
        <v>782</v>
      </c>
      <c r="J486" s="5" t="s">
        <v>1142</v>
      </c>
      <c r="K486" s="5" t="s">
        <v>7</v>
      </c>
      <c r="L486" s="5" t="s">
        <v>2208</v>
      </c>
      <c r="M486" t="s">
        <v>5030</v>
      </c>
      <c r="N486" s="4" t="s">
        <v>2259</v>
      </c>
      <c r="O486" s="4" t="s">
        <v>5072</v>
      </c>
      <c r="P486" s="4" t="s">
        <v>8034</v>
      </c>
      <c r="R486" t="b">
        <v>1</v>
      </c>
    </row>
    <row r="487" spans="1:18">
      <c r="A487" t="s">
        <v>3011</v>
      </c>
      <c r="B487" t="s">
        <v>10606</v>
      </c>
      <c r="C487" s="5" t="s">
        <v>7953</v>
      </c>
      <c r="D487" s="1">
        <v>1</v>
      </c>
      <c r="E487" s="1" t="s">
        <v>1143</v>
      </c>
      <c r="F487" s="1">
        <v>549</v>
      </c>
      <c r="G487" s="1">
        <v>550</v>
      </c>
      <c r="H487" s="8" cm="1">
        <f t="array" ref="H487">_xlfn.LET(_xlpm.s,IFERROR(--F487,""),_xlpm.e,IFERROR(--G487,""),IF(OR(_xlpm.s="",_xlpm.e="",_xlpm.e&lt;_xlpm.s),"",_xlfn.LET(_xlpm.p,_xlfn.SEQUENCE(_xlpm.e-_xlpm.s+1,1,_xlpm.s,1),SUM(1/COUNTIFS($D:$D,D487,$E:$E,E487,$F:$F,"&lt;&gt;N/A",$G:$G,"&lt;&gt;N/A",$F:$F,"&lt;="&amp;_xlpm.p,$G:$G,"&gt;="&amp;_xlpm.p)))))</f>
        <v>1.3333333333333333</v>
      </c>
      <c r="I487" s="4" t="s">
        <v>774</v>
      </c>
      <c r="J487" s="5" t="s">
        <v>839</v>
      </c>
      <c r="K487" s="5" t="s">
        <v>7</v>
      </c>
      <c r="L487" s="5" t="s">
        <v>7</v>
      </c>
      <c r="M487" s="5" t="s">
        <v>7</v>
      </c>
      <c r="N487" s="5" t="s">
        <v>7</v>
      </c>
      <c r="O487" s="4" t="s">
        <v>778</v>
      </c>
      <c r="P487" s="4" t="s">
        <v>7834</v>
      </c>
      <c r="R487" t="b">
        <v>0</v>
      </c>
    </row>
    <row r="488" spans="1:18">
      <c r="A488" t="s">
        <v>3011</v>
      </c>
      <c r="B488" t="s">
        <v>11458</v>
      </c>
      <c r="C488" s="5" t="s">
        <v>7953</v>
      </c>
      <c r="D488" s="1">
        <v>1</v>
      </c>
      <c r="E488" s="1" t="s">
        <v>1143</v>
      </c>
      <c r="F488" s="1">
        <v>550</v>
      </c>
      <c r="G488" s="1">
        <v>550</v>
      </c>
      <c r="H488" s="8" cm="1">
        <f t="array" ref="H488">_xlfn.LET(_xlpm.s,IFERROR(--F488,""),_xlpm.e,IFERROR(--G488,""),IF(OR(_xlpm.s="",_xlpm.e="",_xlpm.e&lt;_xlpm.s),"",_xlfn.LET(_xlpm.p,_xlfn.SEQUENCE(_xlpm.e-_xlpm.s+1,1,_xlpm.s,1),SUM(1/COUNTIFS($D:$D,D488,$E:$E,E488,$F:$F,"&lt;&gt;N/A",$G:$G,"&lt;&gt;N/A",$F:$F,"&lt;="&amp;_xlpm.p,$G:$G,"&gt;="&amp;_xlpm.p)))))</f>
        <v>0.33333333333333331</v>
      </c>
      <c r="I488" s="4" t="s">
        <v>774</v>
      </c>
      <c r="J488" s="5" t="s">
        <v>848</v>
      </c>
      <c r="K488" t="s">
        <v>1144</v>
      </c>
      <c r="L488" s="5" t="s">
        <v>7</v>
      </c>
      <c r="M488" s="5" t="s">
        <v>7</v>
      </c>
      <c r="N488" s="5" t="s">
        <v>7</v>
      </c>
      <c r="O488" s="4" t="s">
        <v>778</v>
      </c>
      <c r="P488" s="4" t="s">
        <v>7834</v>
      </c>
      <c r="R488" t="b">
        <v>1</v>
      </c>
    </row>
    <row r="489" spans="1:18">
      <c r="A489" t="s">
        <v>3011</v>
      </c>
      <c r="B489" t="s">
        <v>11475</v>
      </c>
      <c r="C489" s="5" t="s">
        <v>7953</v>
      </c>
      <c r="D489" s="1">
        <v>1</v>
      </c>
      <c r="E489" s="1" t="s">
        <v>1143</v>
      </c>
      <c r="F489" s="1">
        <v>550</v>
      </c>
      <c r="G489" s="1">
        <v>552</v>
      </c>
      <c r="H489" s="8" cm="1">
        <f t="array" ref="H489">_xlfn.LET(_xlpm.s,IFERROR(--F489,""),_xlpm.e,IFERROR(--G489,""),IF(OR(_xlpm.s="",_xlpm.e="",_xlpm.e&lt;_xlpm.s),"",_xlfn.LET(_xlpm.p,_xlfn.SEQUENCE(_xlpm.e-_xlpm.s+1,1,_xlpm.s,1),SUM(1/COUNTIFS($D:$D,D489,$E:$E,E489,$F:$F,"&lt;&gt;N/A",$G:$G,"&lt;&gt;N/A",$F:$F,"&lt;="&amp;_xlpm.p,$G:$G,"&gt;="&amp;_xlpm.p)))))</f>
        <v>1.8333333333333333</v>
      </c>
      <c r="I489" s="4" t="s">
        <v>774</v>
      </c>
      <c r="J489" s="5" t="s">
        <v>1145</v>
      </c>
      <c r="K489" s="5" t="s">
        <v>644</v>
      </c>
      <c r="L489" s="5" t="s">
        <v>7</v>
      </c>
      <c r="M489" s="5" t="s">
        <v>7</v>
      </c>
      <c r="N489" s="5" t="s">
        <v>7</v>
      </c>
      <c r="O489" s="4" t="s">
        <v>778</v>
      </c>
      <c r="P489" s="4" t="s">
        <v>7834</v>
      </c>
      <c r="R489" t="b">
        <v>1</v>
      </c>
    </row>
    <row r="490" spans="1:18">
      <c r="A490" t="s">
        <v>3011</v>
      </c>
      <c r="B490" t="s">
        <v>11492</v>
      </c>
      <c r="C490" s="5" t="s">
        <v>7953</v>
      </c>
      <c r="D490" s="1">
        <v>1</v>
      </c>
      <c r="E490" s="1" t="s">
        <v>1143</v>
      </c>
      <c r="F490" s="1">
        <v>552</v>
      </c>
      <c r="G490" s="1">
        <v>552</v>
      </c>
      <c r="H490" s="8" cm="1">
        <f t="array" ref="H490">_xlfn.LET(_xlpm.s,IFERROR(--F490,""),_xlpm.e,IFERROR(--G490,""),IF(OR(_xlpm.s="",_xlpm.e="",_xlpm.e&lt;_xlpm.s),"",_xlfn.LET(_xlpm.p,_xlfn.SEQUENCE(_xlpm.e-_xlpm.s+1,1,_xlpm.s,1),SUM(1/COUNTIFS($D:$D,D490,$E:$E,E490,$F:$F,"&lt;&gt;N/A",$G:$G,"&lt;&gt;N/A",$F:$F,"&lt;="&amp;_xlpm.p,$G:$G,"&gt;="&amp;_xlpm.p)))))</f>
        <v>0.5</v>
      </c>
      <c r="I490" s="4" t="s">
        <v>774</v>
      </c>
      <c r="J490" s="5" t="s">
        <v>1146</v>
      </c>
      <c r="K490" s="5" t="s">
        <v>11507</v>
      </c>
      <c r="L490" s="5" t="s">
        <v>7</v>
      </c>
      <c r="M490" s="5" t="s">
        <v>7</v>
      </c>
      <c r="N490" s="5" t="s">
        <v>7</v>
      </c>
      <c r="O490" s="4" t="s">
        <v>778</v>
      </c>
      <c r="P490" s="4" t="s">
        <v>7834</v>
      </c>
      <c r="R490" t="b">
        <v>1</v>
      </c>
    </row>
    <row r="491" spans="1:18">
      <c r="A491" t="s">
        <v>3011</v>
      </c>
      <c r="B491" t="s">
        <v>11493</v>
      </c>
      <c r="C491" s="5" t="s">
        <v>7954</v>
      </c>
      <c r="D491" s="1">
        <v>1</v>
      </c>
      <c r="E491" s="1" t="s">
        <v>1147</v>
      </c>
      <c r="F491" s="1">
        <v>553</v>
      </c>
      <c r="G491" s="1">
        <v>556</v>
      </c>
      <c r="H491" s="8" cm="1">
        <f t="array" ref="H491">_xlfn.LET(_xlpm.s,IFERROR(--F491,""),_xlpm.e,IFERROR(--G491,""),IF(OR(_xlpm.s="",_xlpm.e="",_xlpm.e&lt;_xlpm.s),"",_xlfn.LET(_xlpm.p,_xlfn.SEQUENCE(_xlpm.e-_xlpm.s+1,1,_xlpm.s,1),SUM(1/COUNTIFS($D:$D,D491,$E:$E,E491,$F:$F,"&lt;&gt;N/A",$G:$G,"&lt;&gt;N/A",$F:$F,"&lt;="&amp;_xlpm.p,$G:$G,"&gt;="&amp;_xlpm.p)))))</f>
        <v>4</v>
      </c>
      <c r="I491" s="4" t="s">
        <v>774</v>
      </c>
      <c r="J491" s="5" t="s">
        <v>1148</v>
      </c>
      <c r="K491" s="5" t="s">
        <v>7</v>
      </c>
      <c r="L491" s="5" t="s">
        <v>7</v>
      </c>
      <c r="M491" s="5" t="s">
        <v>7</v>
      </c>
      <c r="N491" s="5" t="s">
        <v>7</v>
      </c>
      <c r="O491" s="4" t="s">
        <v>778</v>
      </c>
      <c r="P491" s="4" t="s">
        <v>7834</v>
      </c>
      <c r="R491" t="b">
        <v>1</v>
      </c>
    </row>
    <row r="492" spans="1:18">
      <c r="A492" t="s">
        <v>3011</v>
      </c>
      <c r="B492" t="s">
        <v>11494</v>
      </c>
      <c r="C492" s="5" t="s">
        <v>7985</v>
      </c>
      <c r="D492" s="1">
        <v>1</v>
      </c>
      <c r="E492" s="1" t="s">
        <v>1149</v>
      </c>
      <c r="F492" s="1">
        <v>557</v>
      </c>
      <c r="G492" s="1">
        <v>560</v>
      </c>
      <c r="H492" s="8" cm="1">
        <f t="array" ref="H492">_xlfn.LET(_xlpm.s,IFERROR(--F492,""),_xlpm.e,IFERROR(--G492,""),IF(OR(_xlpm.s="",_xlpm.e="",_xlpm.e&lt;_xlpm.s),"",_xlfn.LET(_xlpm.p,_xlfn.SEQUENCE(_xlpm.e-_xlpm.s+1,1,_xlpm.s,1),SUM(1/COUNTIFS($D:$D,D492,$E:$E,E492,$F:$F,"&lt;&gt;N/A",$G:$G,"&lt;&gt;N/A",$F:$F,"&lt;="&amp;_xlpm.p,$G:$G,"&gt;="&amp;_xlpm.p)))))</f>
        <v>4</v>
      </c>
      <c r="I492" s="4" t="s">
        <v>774</v>
      </c>
      <c r="J492" s="5" t="s">
        <v>1150</v>
      </c>
      <c r="K492" s="5" t="s">
        <v>7</v>
      </c>
      <c r="L492" s="5" t="s">
        <v>7</v>
      </c>
      <c r="M492" s="5" t="s">
        <v>7</v>
      </c>
      <c r="N492" s="5" t="s">
        <v>7</v>
      </c>
      <c r="O492" s="4" t="s">
        <v>778</v>
      </c>
      <c r="P492" s="4" t="s">
        <v>7834</v>
      </c>
      <c r="R492" t="b">
        <v>1</v>
      </c>
    </row>
    <row r="493" spans="1:18">
      <c r="A493" t="s">
        <v>3011</v>
      </c>
      <c r="B493" t="s">
        <v>11495</v>
      </c>
      <c r="C493" s="5" t="s">
        <v>7986</v>
      </c>
      <c r="D493" s="1">
        <v>1</v>
      </c>
      <c r="E493" s="1" t="s">
        <v>1151</v>
      </c>
      <c r="F493" s="1">
        <v>561</v>
      </c>
      <c r="G493" s="1">
        <v>564</v>
      </c>
      <c r="H493" s="8" cm="1">
        <f t="array" ref="H493">_xlfn.LET(_xlpm.s,IFERROR(--F493,""),_xlpm.e,IFERROR(--G493,""),IF(OR(_xlpm.s="",_xlpm.e="",_xlpm.e&lt;_xlpm.s),"",_xlfn.LET(_xlpm.p,_xlfn.SEQUENCE(_xlpm.e-_xlpm.s+1,1,_xlpm.s,1),SUM(1/COUNTIFS($D:$D,D493,$E:$E,E493,$F:$F,"&lt;&gt;N/A",$G:$G,"&lt;&gt;N/A",$F:$F,"&lt;="&amp;_xlpm.p,$G:$G,"&gt;="&amp;_xlpm.p)))))</f>
        <v>4</v>
      </c>
      <c r="I493" s="4" t="s">
        <v>774</v>
      </c>
      <c r="J493" s="5" t="s">
        <v>1150</v>
      </c>
      <c r="K493" s="5" t="s">
        <v>7</v>
      </c>
      <c r="L493" s="5" t="s">
        <v>7</v>
      </c>
      <c r="M493" s="5" t="s">
        <v>7</v>
      </c>
      <c r="N493" s="5" t="s">
        <v>7</v>
      </c>
      <c r="O493" s="4" t="s">
        <v>778</v>
      </c>
      <c r="P493" s="4" t="s">
        <v>7834</v>
      </c>
      <c r="R493" t="b">
        <v>1</v>
      </c>
    </row>
    <row r="494" spans="1:18">
      <c r="A494" t="s">
        <v>3011</v>
      </c>
      <c r="B494" t="s">
        <v>11476</v>
      </c>
      <c r="C494" s="5" t="s">
        <v>7961</v>
      </c>
      <c r="D494" s="1">
        <v>1</v>
      </c>
      <c r="E494" s="1" t="s">
        <v>1152</v>
      </c>
      <c r="F494" s="1">
        <v>565</v>
      </c>
      <c r="G494" s="1">
        <v>567</v>
      </c>
      <c r="H494" s="8" cm="1">
        <f t="array" ref="H494">_xlfn.LET(_xlpm.s,IFERROR(--F494,""),_xlpm.e,IFERROR(--G494,""),IF(OR(_xlpm.s="",_xlpm.e="",_xlpm.e&lt;_xlpm.s),"",_xlfn.LET(_xlpm.p,_xlfn.SEQUENCE(_xlpm.e-_xlpm.s+1,1,_xlpm.s,1),SUM(1/COUNTIFS($D:$D,D494,$E:$E,E494,$F:$F,"&lt;&gt;N/A",$G:$G,"&lt;&gt;N/A",$F:$F,"&lt;="&amp;_xlpm.p,$G:$G,"&gt;="&amp;_xlpm.p)))))</f>
        <v>3</v>
      </c>
      <c r="I494" s="4" t="s">
        <v>774</v>
      </c>
      <c r="J494" s="5" t="s">
        <v>1150</v>
      </c>
      <c r="K494" t="s">
        <v>7</v>
      </c>
      <c r="L494" s="5" t="s">
        <v>7</v>
      </c>
      <c r="M494" s="5" t="s">
        <v>7</v>
      </c>
      <c r="N494" s="5" t="s">
        <v>7</v>
      </c>
      <c r="O494" s="4" t="s">
        <v>778</v>
      </c>
      <c r="P494" s="4" t="s">
        <v>7834</v>
      </c>
      <c r="R494" t="b">
        <v>1</v>
      </c>
    </row>
    <row r="495" spans="1:18">
      <c r="A495" t="s">
        <v>3011</v>
      </c>
      <c r="B495" t="s">
        <v>11496</v>
      </c>
      <c r="C495" s="5" t="s">
        <v>7961</v>
      </c>
      <c r="D495" s="1">
        <v>1</v>
      </c>
      <c r="E495" s="1" t="s">
        <v>1152</v>
      </c>
      <c r="F495" s="1">
        <v>568</v>
      </c>
      <c r="G495" s="1">
        <v>568</v>
      </c>
      <c r="H495" s="8" cm="1">
        <f t="array" ref="H495">_xlfn.LET(_xlpm.s,IFERROR(--F495,""),_xlpm.e,IFERROR(--G495,""),IF(OR(_xlpm.s="",_xlpm.e="",_xlpm.e&lt;_xlpm.s),"",_xlfn.LET(_xlpm.p,_xlfn.SEQUENCE(_xlpm.e-_xlpm.s+1,1,_xlpm.s,1),SUM(1/COUNTIFS($D:$D,D495,$E:$E,E495,$F:$F,"&lt;&gt;N/A",$G:$G,"&lt;&gt;N/A",$F:$F,"&lt;="&amp;_xlpm.p,$G:$G,"&gt;="&amp;_xlpm.p)))))</f>
        <v>1</v>
      </c>
      <c r="I495" s="4" t="s">
        <v>774</v>
      </c>
      <c r="J495" s="5" t="s">
        <v>3266</v>
      </c>
      <c r="K495" t="s">
        <v>3267</v>
      </c>
      <c r="L495" s="5" t="s">
        <v>7</v>
      </c>
      <c r="M495" s="5" t="s">
        <v>7</v>
      </c>
      <c r="N495" s="5" t="s">
        <v>7</v>
      </c>
      <c r="O495" s="4" t="s">
        <v>778</v>
      </c>
      <c r="P495" s="4" t="s">
        <v>7834</v>
      </c>
      <c r="R495" t="b">
        <v>0</v>
      </c>
    </row>
  </sheetData>
  <phoneticPr fontId="1" type="noConversion"/>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8452-4185-4597-A8FB-C3F78CB6CCD3}">
  <sheetPr codeName="Sheet4"/>
  <dimension ref="A1:R46"/>
  <sheetViews>
    <sheetView workbookViewId="0">
      <selection activeCell="G21" sqref="G21"/>
    </sheetView>
  </sheetViews>
  <sheetFormatPr defaultColWidth="8.77734375" defaultRowHeight="14.4"/>
  <cols>
    <col min="1" max="2" width="5.77734375" customWidth="1"/>
    <col min="3" max="7" width="5.77734375" style="1" customWidth="1"/>
    <col min="8" max="8" width="5.77734375" style="10" customWidth="1"/>
    <col min="9" max="9" width="5.77734375" customWidth="1"/>
    <col min="10" max="10" width="5.77734375" style="5" customWidth="1"/>
    <col min="11" max="14" width="5.77734375" customWidth="1"/>
    <col min="15" max="16" width="5.77734375" style="5" customWidth="1"/>
    <col min="17" max="18" width="5.77734375" customWidth="1"/>
    <col min="19" max="19" width="8.77734375" customWidth="1"/>
  </cols>
  <sheetData>
    <row r="1" spans="1:18">
      <c r="A1" t="s">
        <v>3032</v>
      </c>
      <c r="B1" t="s">
        <v>3281</v>
      </c>
      <c r="C1" s="4" t="s">
        <v>41</v>
      </c>
      <c r="D1" s="2" t="s">
        <v>3282</v>
      </c>
      <c r="E1" s="2" t="s">
        <v>34</v>
      </c>
      <c r="F1" s="2" t="s">
        <v>8031</v>
      </c>
      <c r="G1" s="2" t="s">
        <v>8032</v>
      </c>
      <c r="H1" s="8" t="s">
        <v>2530</v>
      </c>
      <c r="I1" s="2" t="s">
        <v>5</v>
      </c>
      <c r="J1" s="2" t="s">
        <v>4</v>
      </c>
      <c r="K1" s="4" t="s">
        <v>11402</v>
      </c>
      <c r="L1" s="5" t="s">
        <v>11401</v>
      </c>
      <c r="M1" s="4" t="s">
        <v>11400</v>
      </c>
      <c r="N1" s="4" t="s">
        <v>5006</v>
      </c>
      <c r="O1" s="4" t="s">
        <v>11506</v>
      </c>
      <c r="P1" s="4" t="s">
        <v>11403</v>
      </c>
      <c r="Q1" t="s">
        <v>1948</v>
      </c>
      <c r="R1" t="s">
        <v>2062</v>
      </c>
    </row>
    <row r="2" spans="1:18" ht="14.55" customHeight="1">
      <c r="A2" t="s">
        <v>3268</v>
      </c>
      <c r="B2" t="s">
        <v>3595</v>
      </c>
      <c r="C2" s="5" t="s">
        <v>7897</v>
      </c>
      <c r="D2" s="1">
        <v>1</v>
      </c>
      <c r="E2" s="1">
        <v>4</v>
      </c>
      <c r="F2" s="2">
        <v>21</v>
      </c>
      <c r="G2" s="2">
        <v>21</v>
      </c>
      <c r="H2" s="8" cm="1">
        <f t="array" ref="H2">_xlfn.LET(_xlpm.s,IFERROR(--F2,""),_xlpm.e,IFERROR(--G2,""),IF(OR(_xlpm.s="",_xlpm.e="",_xlpm.e&lt;_xlpm.s),"",_xlfn.LET(_xlpm.p,_xlfn.SEQUENCE(_xlpm.e-_xlpm.s+1,1,_xlpm.s,1),SUM(1/COUNTIFS($D:$D,D2,$E:$E,E2,$F:$F,"&lt;&gt;N/A",$G:$G,"&lt;&gt;N/A",$F:$F,"&lt;="&amp;_xlpm.p,$G:$G,"&gt;="&amp;_xlpm.p)))))</f>
        <v>0.5</v>
      </c>
      <c r="I2" s="4" t="s">
        <v>7</v>
      </c>
      <c r="J2" s="4" t="s">
        <v>6448</v>
      </c>
      <c r="K2" s="4" t="s">
        <v>1156</v>
      </c>
      <c r="L2" s="5" t="s">
        <v>7</v>
      </c>
      <c r="M2" s="5" t="s">
        <v>7</v>
      </c>
      <c r="N2" s="5" t="s">
        <v>7</v>
      </c>
      <c r="O2" s="4" t="s">
        <v>778</v>
      </c>
      <c r="P2" s="4" t="s">
        <v>7834</v>
      </c>
      <c r="R2" t="b">
        <v>0</v>
      </c>
    </row>
    <row r="3" spans="1:18" ht="14.55" customHeight="1">
      <c r="A3" t="s">
        <v>3268</v>
      </c>
      <c r="B3" t="s">
        <v>3596</v>
      </c>
      <c r="C3" s="5" t="s">
        <v>7897</v>
      </c>
      <c r="D3" s="1">
        <v>1</v>
      </c>
      <c r="E3" s="1">
        <v>4</v>
      </c>
      <c r="F3" s="2">
        <v>21</v>
      </c>
      <c r="G3" s="2">
        <v>22</v>
      </c>
      <c r="H3" s="8" cm="1">
        <f t="array" ref="H3">_xlfn.LET(_xlpm.s,IFERROR(--F3,""),_xlpm.e,IFERROR(--G3,""),IF(OR(_xlpm.s="",_xlpm.e="",_xlpm.e&lt;_xlpm.s),"",_xlfn.LET(_xlpm.p,_xlfn.SEQUENCE(_xlpm.e-_xlpm.s+1,1,_xlpm.s,1),SUM(1/COUNTIFS($D:$D,D3,$E:$E,E3,$F:$F,"&lt;&gt;N/A",$G:$G,"&lt;&gt;N/A",$F:$F,"&lt;="&amp;_xlpm.p,$G:$G,"&gt;="&amp;_xlpm.p)))))</f>
        <v>1.5</v>
      </c>
      <c r="I3" s="4" t="s">
        <v>7</v>
      </c>
      <c r="J3" s="4" t="s">
        <v>6449</v>
      </c>
      <c r="K3" s="4" t="s">
        <v>7</v>
      </c>
      <c r="L3" s="5" t="s">
        <v>7</v>
      </c>
      <c r="M3" s="5" t="s">
        <v>7</v>
      </c>
      <c r="N3" s="5" t="s">
        <v>7</v>
      </c>
      <c r="O3" s="4" t="s">
        <v>778</v>
      </c>
      <c r="P3" s="4" t="s">
        <v>7834</v>
      </c>
      <c r="R3" t="b">
        <v>0</v>
      </c>
    </row>
    <row r="4" spans="1:18" ht="14.55" customHeight="1">
      <c r="A4" t="s">
        <v>3268</v>
      </c>
      <c r="B4" t="s">
        <v>6739</v>
      </c>
      <c r="C4" s="5" t="s">
        <v>7897</v>
      </c>
      <c r="D4" s="1">
        <v>1</v>
      </c>
      <c r="E4" s="1">
        <v>4</v>
      </c>
      <c r="F4" s="2">
        <v>27</v>
      </c>
      <c r="G4" s="2">
        <v>28</v>
      </c>
      <c r="H4" s="8" cm="1">
        <f t="array" ref="H4">_xlfn.LET(_xlpm.s,IFERROR(--F4,""),_xlpm.e,IFERROR(--G4,""),IF(OR(_xlpm.s="",_xlpm.e="",_xlpm.e&lt;_xlpm.s),"",_xlfn.LET(_xlpm.p,_xlfn.SEQUENCE(_xlpm.e-_xlpm.s+1,1,_xlpm.s,1),SUM(1/COUNTIFS($D:$D,D4,$E:$E,E4,$F:$F,"&lt;&gt;N/A",$G:$G,"&lt;&gt;N/A",$F:$F,"&lt;="&amp;_xlpm.p,$G:$G,"&gt;="&amp;_xlpm.p)))))</f>
        <v>2</v>
      </c>
      <c r="I4" s="4" t="s">
        <v>7</v>
      </c>
      <c r="J4" s="4" t="s">
        <v>6733</v>
      </c>
      <c r="K4" s="4" t="s">
        <v>7</v>
      </c>
      <c r="L4" s="5" t="s">
        <v>7</v>
      </c>
      <c r="M4" s="5" t="s">
        <v>7</v>
      </c>
      <c r="N4" s="5" t="s">
        <v>7</v>
      </c>
      <c r="O4" s="4" t="s">
        <v>778</v>
      </c>
      <c r="P4" s="4" t="s">
        <v>7834</v>
      </c>
      <c r="R4" t="b">
        <v>0</v>
      </c>
    </row>
    <row r="5" spans="1:18" ht="14.55" customHeight="1">
      <c r="A5" t="s">
        <v>3268</v>
      </c>
      <c r="B5" t="s">
        <v>6740</v>
      </c>
      <c r="C5" s="5" t="s">
        <v>7896</v>
      </c>
      <c r="D5" s="1">
        <v>1</v>
      </c>
      <c r="E5" s="1">
        <v>13</v>
      </c>
      <c r="F5" s="1">
        <v>92</v>
      </c>
      <c r="G5" s="1">
        <v>93</v>
      </c>
      <c r="H5" s="8" cm="1">
        <f t="array" ref="H5">_xlfn.LET(_xlpm.s,IFERROR(--F5,""),_xlpm.e,IFERROR(--G5,""),IF(OR(_xlpm.s="",_xlpm.e="",_xlpm.e&lt;_xlpm.s),"",_xlfn.LET(_xlpm.p,_xlfn.SEQUENCE(_xlpm.e-_xlpm.s+1,1,_xlpm.s,1),SUM(1/COUNTIFS($D:$D,D5,$E:$E,E5,$F:$F,"&lt;&gt;N/A",$G:$G,"&lt;&gt;N/A",$F:$F,"&lt;="&amp;_xlpm.p,$G:$G,"&gt;="&amp;_xlpm.p)))))</f>
        <v>2</v>
      </c>
      <c r="I5" s="4" t="s">
        <v>7</v>
      </c>
      <c r="J5" s="5" t="s">
        <v>6450</v>
      </c>
      <c r="K5" s="4" t="s">
        <v>7</v>
      </c>
      <c r="L5" s="5" t="s">
        <v>7</v>
      </c>
      <c r="M5" s="5" t="s">
        <v>7</v>
      </c>
      <c r="N5" s="5" t="s">
        <v>7</v>
      </c>
      <c r="O5" s="4" t="s">
        <v>778</v>
      </c>
      <c r="P5" s="4" t="s">
        <v>7834</v>
      </c>
      <c r="R5" t="b">
        <v>0</v>
      </c>
    </row>
    <row r="6" spans="1:18" ht="14.55" customHeight="1">
      <c r="A6" t="s">
        <v>3268</v>
      </c>
      <c r="B6" t="s">
        <v>3597</v>
      </c>
      <c r="C6" s="5" t="s">
        <v>7895</v>
      </c>
      <c r="D6" s="1">
        <v>2</v>
      </c>
      <c r="E6" s="1">
        <v>18</v>
      </c>
      <c r="F6" s="1">
        <v>124</v>
      </c>
      <c r="G6" s="1">
        <v>126</v>
      </c>
      <c r="H6" s="8" cm="1">
        <f t="array" ref="H6">_xlfn.LET(_xlpm.s,IFERROR(--F6,""),_xlpm.e,IFERROR(--G6,""),IF(OR(_xlpm.s="",_xlpm.e="",_xlpm.e&lt;_xlpm.s),"",_xlfn.LET(_xlpm.p,_xlfn.SEQUENCE(_xlpm.e-_xlpm.s+1,1,_xlpm.s,1),SUM(1/COUNTIFS($D:$D,D6,$E:$E,E6,$F:$F,"&lt;&gt;N/A",$G:$G,"&lt;&gt;N/A",$F:$F,"&lt;="&amp;_xlpm.p,$G:$G,"&gt;="&amp;_xlpm.p)))))</f>
        <v>2.5</v>
      </c>
      <c r="I6" s="4" t="s">
        <v>7</v>
      </c>
      <c r="J6" s="5" t="s">
        <v>6451</v>
      </c>
      <c r="K6" s="4" t="s">
        <v>7</v>
      </c>
      <c r="L6" s="5" t="s">
        <v>4564</v>
      </c>
      <c r="M6" s="5" t="s">
        <v>7</v>
      </c>
      <c r="N6" s="5" t="s">
        <v>10151</v>
      </c>
      <c r="O6" t="s">
        <v>11522</v>
      </c>
      <c r="P6" t="s">
        <v>8021</v>
      </c>
      <c r="R6" t="b">
        <v>1</v>
      </c>
    </row>
    <row r="7" spans="1:18" ht="14.55" customHeight="1">
      <c r="A7" t="s">
        <v>3268</v>
      </c>
      <c r="B7" t="s">
        <v>3598</v>
      </c>
      <c r="C7" s="5" t="s">
        <v>7895</v>
      </c>
      <c r="D7" s="1">
        <v>2</v>
      </c>
      <c r="E7" s="1">
        <v>18</v>
      </c>
      <c r="F7" s="1">
        <v>126</v>
      </c>
      <c r="G7" s="1">
        <v>127</v>
      </c>
      <c r="H7" s="8" cm="1">
        <f t="array" ref="H7">_xlfn.LET(_xlpm.s,IFERROR(--F7,""),_xlpm.e,IFERROR(--G7,""),IF(OR(_xlpm.s="",_xlpm.e="",_xlpm.e&lt;_xlpm.s),"",_xlfn.LET(_xlpm.p,_xlfn.SEQUENCE(_xlpm.e-_xlpm.s+1,1,_xlpm.s,1),SUM(1/COUNTIFS($D:$D,D7,$E:$E,E7,$F:$F,"&lt;&gt;N/A",$G:$G,"&lt;&gt;N/A",$F:$F,"&lt;="&amp;_xlpm.p,$G:$G,"&gt;="&amp;_xlpm.p)))))</f>
        <v>1</v>
      </c>
      <c r="I7" s="4" t="s">
        <v>8</v>
      </c>
      <c r="J7" s="5" t="s">
        <v>1157</v>
      </c>
      <c r="K7" s="4" t="s">
        <v>7</v>
      </c>
      <c r="L7" s="5" t="s">
        <v>4565</v>
      </c>
      <c r="M7" t="s">
        <v>5131</v>
      </c>
      <c r="N7" s="5" t="s">
        <v>6895</v>
      </c>
      <c r="O7" s="4" t="s">
        <v>11522</v>
      </c>
      <c r="P7" s="4" t="s">
        <v>8021</v>
      </c>
      <c r="R7" t="b">
        <v>1</v>
      </c>
    </row>
    <row r="8" spans="1:18" ht="14.55" customHeight="1">
      <c r="A8" t="s">
        <v>3268</v>
      </c>
      <c r="B8" t="s">
        <v>6741</v>
      </c>
      <c r="C8" s="5" t="s">
        <v>7895</v>
      </c>
      <c r="D8" s="1">
        <v>2</v>
      </c>
      <c r="E8" s="1">
        <v>18</v>
      </c>
      <c r="F8" s="1">
        <v>127</v>
      </c>
      <c r="G8" s="1">
        <v>131</v>
      </c>
      <c r="H8" s="8" cm="1">
        <f t="array" ref="H8">_xlfn.LET(_xlpm.s,IFERROR(--F8,""),_xlpm.e,IFERROR(--G8,""),IF(OR(_xlpm.s="",_xlpm.e="",_xlpm.e&lt;_xlpm.s),"",_xlfn.LET(_xlpm.p,_xlfn.SEQUENCE(_xlpm.e-_xlpm.s+1,1,_xlpm.s,1),SUM(1/COUNTIFS($D:$D,D8,$E:$E,E8,$F:$F,"&lt;&gt;N/A",$G:$G,"&lt;&gt;N/A",$F:$F,"&lt;="&amp;_xlpm.p,$G:$G,"&gt;="&amp;_xlpm.p)))))</f>
        <v>4</v>
      </c>
      <c r="I8" s="4" t="s">
        <v>7</v>
      </c>
      <c r="J8" s="5" t="s">
        <v>6735</v>
      </c>
      <c r="K8" s="4" t="s">
        <v>7</v>
      </c>
      <c r="L8" s="5" t="s">
        <v>7</v>
      </c>
      <c r="M8" s="5" t="s">
        <v>7</v>
      </c>
      <c r="N8" t="s">
        <v>10150</v>
      </c>
      <c r="O8" s="4" t="s">
        <v>5072</v>
      </c>
      <c r="P8" s="4" t="s">
        <v>10179</v>
      </c>
      <c r="R8" t="b">
        <v>0</v>
      </c>
    </row>
    <row r="9" spans="1:18" ht="14.55" customHeight="1">
      <c r="A9" t="s">
        <v>3268</v>
      </c>
      <c r="B9" t="s">
        <v>6742</v>
      </c>
      <c r="C9" s="5" t="s">
        <v>7895</v>
      </c>
      <c r="D9" s="1">
        <v>2</v>
      </c>
      <c r="E9" s="1">
        <v>18</v>
      </c>
      <c r="F9" s="1">
        <v>131</v>
      </c>
      <c r="G9" s="1">
        <v>131</v>
      </c>
      <c r="H9" s="8" cm="1">
        <f t="array" ref="H9">_xlfn.LET(_xlpm.s,IFERROR(--F9,""),_xlpm.e,IFERROR(--G9,""),IF(OR(_xlpm.s="",_xlpm.e="",_xlpm.e&lt;_xlpm.s),"",_xlfn.LET(_xlpm.p,_xlfn.SEQUENCE(_xlpm.e-_xlpm.s+1,1,_xlpm.s,1),SUM(1/COUNTIFS($D:$D,D9,$E:$E,E9,$F:$F,"&lt;&gt;N/A",$G:$G,"&lt;&gt;N/A",$F:$F,"&lt;="&amp;_xlpm.p,$G:$G,"&gt;="&amp;_xlpm.p)))))</f>
        <v>0.5</v>
      </c>
      <c r="I9" s="4" t="s">
        <v>7</v>
      </c>
      <c r="J9" s="5" t="s">
        <v>6734</v>
      </c>
      <c r="K9" s="4" t="s">
        <v>7</v>
      </c>
      <c r="L9" s="5" t="s">
        <v>7</v>
      </c>
      <c r="M9" s="5" t="s">
        <v>7</v>
      </c>
      <c r="N9" s="5" t="s">
        <v>7</v>
      </c>
      <c r="O9" s="4" t="s">
        <v>778</v>
      </c>
      <c r="P9" s="4" t="s">
        <v>7834</v>
      </c>
      <c r="R9" t="b">
        <v>0</v>
      </c>
    </row>
    <row r="10" spans="1:18" ht="14.55" customHeight="1">
      <c r="A10" t="s">
        <v>3269</v>
      </c>
      <c r="B10" t="s">
        <v>3599</v>
      </c>
      <c r="C10" s="5" t="s">
        <v>7894</v>
      </c>
      <c r="D10" s="1">
        <v>3</v>
      </c>
      <c r="E10" s="1">
        <v>3</v>
      </c>
      <c r="F10" s="1">
        <v>65</v>
      </c>
      <c r="G10" s="1">
        <v>67</v>
      </c>
      <c r="H10" s="8" cm="1">
        <f t="array" ref="H10">_xlfn.LET(_xlpm.s,IFERROR(--F10,""),_xlpm.e,IFERROR(--G10,""),IF(OR(_xlpm.s="",_xlpm.e="",_xlpm.e&lt;_xlpm.s),"",_xlfn.LET(_xlpm.p,_xlfn.SEQUENCE(_xlpm.e-_xlpm.s+1,1,_xlpm.s,1),SUM(1/COUNTIFS($D:$D,D10,$E:$E,E10,$F:$F,"&lt;&gt;N/A",$G:$G,"&lt;&gt;N/A",$F:$F,"&lt;="&amp;_xlpm.p,$G:$G,"&gt;="&amp;_xlpm.p)))))</f>
        <v>2.5</v>
      </c>
      <c r="I10" s="4" t="s">
        <v>7</v>
      </c>
      <c r="J10" s="5" t="s">
        <v>1158</v>
      </c>
      <c r="K10" s="4" t="s">
        <v>7</v>
      </c>
      <c r="L10" s="5" t="s">
        <v>7</v>
      </c>
      <c r="M10" s="5" t="s">
        <v>7</v>
      </c>
      <c r="N10" s="5" t="s">
        <v>7</v>
      </c>
      <c r="O10" s="4" t="s">
        <v>778</v>
      </c>
      <c r="P10" s="4" t="s">
        <v>7834</v>
      </c>
      <c r="R10" t="b">
        <v>0</v>
      </c>
    </row>
    <row r="11" spans="1:18" ht="14.55" customHeight="1">
      <c r="A11" t="s">
        <v>3269</v>
      </c>
      <c r="B11" t="s">
        <v>3600</v>
      </c>
      <c r="C11" s="5" t="s">
        <v>7894</v>
      </c>
      <c r="D11" s="1">
        <v>3</v>
      </c>
      <c r="E11" s="1">
        <v>3</v>
      </c>
      <c r="F11" s="1">
        <v>67</v>
      </c>
      <c r="G11" s="1">
        <v>79</v>
      </c>
      <c r="H11" s="8" cm="1">
        <f t="array" ref="H11">_xlfn.LET(_xlpm.s,IFERROR(--F11,""),_xlpm.e,IFERROR(--G11,""),IF(OR(_xlpm.s="",_xlpm.e="",_xlpm.e&lt;_xlpm.s),"",_xlfn.LET(_xlpm.p,_xlfn.SEQUENCE(_xlpm.e-_xlpm.s+1,1,_xlpm.s,1),SUM(1/COUNTIFS($D:$D,D11,$E:$E,E11,$F:$F,"&lt;&gt;N/A",$G:$G,"&lt;&gt;N/A",$F:$F,"&lt;="&amp;_xlpm.p,$G:$G,"&gt;="&amp;_xlpm.p)))))</f>
        <v>12.5</v>
      </c>
      <c r="I11" s="4" t="s">
        <v>7</v>
      </c>
      <c r="J11" s="5" t="s">
        <v>1159</v>
      </c>
      <c r="K11" s="4" t="s">
        <v>7</v>
      </c>
      <c r="L11" s="5" t="s">
        <v>7</v>
      </c>
      <c r="M11" s="5" t="s">
        <v>7</v>
      </c>
      <c r="N11" s="5" t="s">
        <v>7</v>
      </c>
      <c r="O11" s="4" t="s">
        <v>778</v>
      </c>
      <c r="P11" s="4" t="s">
        <v>7834</v>
      </c>
      <c r="R11" t="b">
        <v>0</v>
      </c>
    </row>
    <row r="12" spans="1:18" ht="14.55" customHeight="1">
      <c r="A12" t="s">
        <v>3269</v>
      </c>
      <c r="B12" t="s">
        <v>3601</v>
      </c>
      <c r="C12" s="5" t="s">
        <v>7894</v>
      </c>
      <c r="D12" s="1">
        <v>3</v>
      </c>
      <c r="E12" s="1">
        <v>3</v>
      </c>
      <c r="F12" s="1">
        <v>80</v>
      </c>
      <c r="G12" s="1">
        <v>86</v>
      </c>
      <c r="H12" s="8" cm="1">
        <f t="array" ref="H12">_xlfn.LET(_xlpm.s,IFERROR(--F12,""),_xlpm.e,IFERROR(--G12,""),IF(OR(_xlpm.s="",_xlpm.e="",_xlpm.e&lt;_xlpm.s),"",_xlfn.LET(_xlpm.p,_xlfn.SEQUENCE(_xlpm.e-_xlpm.s+1,1,_xlpm.s,1),SUM(1/COUNTIFS($D:$D,D12,$E:$E,E12,$F:$F,"&lt;&gt;N/A",$G:$G,"&lt;&gt;N/A",$F:$F,"&lt;="&amp;_xlpm.p,$G:$G,"&gt;="&amp;_xlpm.p)))))</f>
        <v>6.5</v>
      </c>
      <c r="I12" s="4" t="s">
        <v>7</v>
      </c>
      <c r="J12" s="5" t="s">
        <v>1160</v>
      </c>
      <c r="K12" s="4" t="s">
        <v>7</v>
      </c>
      <c r="L12" t="s">
        <v>4566</v>
      </c>
      <c r="M12" s="5" t="s">
        <v>7</v>
      </c>
      <c r="N12" s="5" t="s">
        <v>7</v>
      </c>
      <c r="O12" s="4" t="s">
        <v>778</v>
      </c>
      <c r="P12" s="4" t="s">
        <v>7834</v>
      </c>
      <c r="R12" t="b">
        <v>1</v>
      </c>
    </row>
    <row r="13" spans="1:18" ht="14.55" customHeight="1">
      <c r="A13" t="s">
        <v>3269</v>
      </c>
      <c r="B13" t="s">
        <v>3602</v>
      </c>
      <c r="C13" s="5" t="s">
        <v>7894</v>
      </c>
      <c r="D13" s="1">
        <v>3</v>
      </c>
      <c r="E13" s="1">
        <v>3</v>
      </c>
      <c r="F13" s="1">
        <v>86</v>
      </c>
      <c r="G13" s="1">
        <v>88</v>
      </c>
      <c r="H13" s="8" cm="1">
        <f t="array" ref="H13">_xlfn.LET(_xlpm.s,IFERROR(--F13,""),_xlpm.e,IFERROR(--G13,""),IF(OR(_xlpm.s="",_xlpm.e="",_xlpm.e&lt;_xlpm.s),"",_xlfn.LET(_xlpm.p,_xlfn.SEQUENCE(_xlpm.e-_xlpm.s+1,1,_xlpm.s,1),SUM(1/COUNTIFS($D:$D,D13,$E:$E,E13,$F:$F,"&lt;&gt;N/A",$G:$G,"&lt;&gt;N/A",$F:$F,"&lt;="&amp;_xlpm.p,$G:$G,"&gt;="&amp;_xlpm.p)))))</f>
        <v>2</v>
      </c>
      <c r="I13" s="4" t="s">
        <v>7</v>
      </c>
      <c r="J13" s="5" t="s">
        <v>6755</v>
      </c>
      <c r="K13" s="5" t="s">
        <v>1161</v>
      </c>
      <c r="L13" s="5" t="s">
        <v>2213</v>
      </c>
      <c r="M13" s="5" t="s">
        <v>7</v>
      </c>
      <c r="N13" s="5" t="s">
        <v>7</v>
      </c>
      <c r="O13" s="4" t="s">
        <v>778</v>
      </c>
      <c r="P13" s="4" t="s">
        <v>7834</v>
      </c>
      <c r="R13" t="b">
        <v>1</v>
      </c>
    </row>
    <row r="14" spans="1:18" ht="14.55" customHeight="1">
      <c r="A14" t="s">
        <v>3269</v>
      </c>
      <c r="B14" t="s">
        <v>6743</v>
      </c>
      <c r="C14" s="5" t="s">
        <v>7894</v>
      </c>
      <c r="D14" s="1">
        <v>3</v>
      </c>
      <c r="E14" s="1">
        <v>3</v>
      </c>
      <c r="F14" s="1">
        <v>88</v>
      </c>
      <c r="G14" s="1">
        <v>91</v>
      </c>
      <c r="H14" s="8" cm="1">
        <f t="array" ref="H14">_xlfn.LET(_xlpm.s,IFERROR(--F14,""),_xlpm.e,IFERROR(--G14,""),IF(OR(_xlpm.s="",_xlpm.e="",_xlpm.e&lt;_xlpm.s),"",_xlfn.LET(_xlpm.p,_xlfn.SEQUENCE(_xlpm.e-_xlpm.s+1,1,_xlpm.s,1),SUM(1/COUNTIFS($D:$D,D14,$E:$E,E14,$F:$F,"&lt;&gt;N/A",$G:$G,"&lt;&gt;N/A",$F:$F,"&lt;="&amp;_xlpm.p,$G:$G,"&gt;="&amp;_xlpm.p)))))</f>
        <v>3</v>
      </c>
      <c r="I14" s="4" t="s">
        <v>7</v>
      </c>
      <c r="J14" s="5" t="s">
        <v>6447</v>
      </c>
      <c r="K14" s="4" t="s">
        <v>4567</v>
      </c>
      <c r="L14" s="5" t="s">
        <v>7</v>
      </c>
      <c r="M14" s="5" t="s">
        <v>7</v>
      </c>
      <c r="N14" s="5" t="s">
        <v>7</v>
      </c>
      <c r="O14" s="4" t="s">
        <v>778</v>
      </c>
      <c r="P14" s="4" t="s">
        <v>7834</v>
      </c>
      <c r="R14" t="b">
        <v>1</v>
      </c>
    </row>
    <row r="15" spans="1:18" ht="14.55" customHeight="1">
      <c r="A15" t="s">
        <v>3269</v>
      </c>
      <c r="B15" t="s">
        <v>6744</v>
      </c>
      <c r="C15" s="5" t="s">
        <v>7894</v>
      </c>
      <c r="D15" s="1">
        <v>3</v>
      </c>
      <c r="E15" s="1">
        <v>3</v>
      </c>
      <c r="F15" s="1">
        <v>91</v>
      </c>
      <c r="G15" s="1">
        <v>96</v>
      </c>
      <c r="H15" s="8" cm="1">
        <f t="array" ref="H15">_xlfn.LET(_xlpm.s,IFERROR(--F15,""),_xlpm.e,IFERROR(--G15,""),IF(OR(_xlpm.s="",_xlpm.e="",_xlpm.e&lt;_xlpm.s),"",_xlfn.LET(_xlpm.p,_xlfn.SEQUENCE(_xlpm.e-_xlpm.s+1,1,_xlpm.s,1),SUM(1/COUNTIFS($D:$D,D15,$E:$E,E15,$F:$F,"&lt;&gt;N/A",$G:$G,"&lt;&gt;N/A",$F:$F,"&lt;="&amp;_xlpm.p,$G:$G,"&gt;="&amp;_xlpm.p)))))</f>
        <v>5.5</v>
      </c>
      <c r="I15" s="4" t="s">
        <v>7</v>
      </c>
      <c r="J15" s="5" t="s">
        <v>2540</v>
      </c>
      <c r="K15" s="4" t="s">
        <v>4568</v>
      </c>
      <c r="L15" s="5" t="s">
        <v>4569</v>
      </c>
      <c r="M15" s="5" t="s">
        <v>7</v>
      </c>
      <c r="N15" s="5" t="s">
        <v>7</v>
      </c>
      <c r="O15" s="4" t="s">
        <v>778</v>
      </c>
      <c r="P15" s="4" t="s">
        <v>7834</v>
      </c>
      <c r="R15" t="b">
        <v>1</v>
      </c>
    </row>
    <row r="16" spans="1:18" ht="14.55" customHeight="1">
      <c r="A16" t="s">
        <v>3269</v>
      </c>
      <c r="B16" t="s">
        <v>3603</v>
      </c>
      <c r="C16" s="5" t="s">
        <v>7893</v>
      </c>
      <c r="D16" s="1">
        <v>3</v>
      </c>
      <c r="E16" s="1">
        <v>16</v>
      </c>
      <c r="F16" s="1">
        <v>417</v>
      </c>
      <c r="G16" s="1">
        <v>425</v>
      </c>
      <c r="H16" s="8" cm="1">
        <f t="array" ref="H16">_xlfn.LET(_xlpm.s,IFERROR(--F16,""),_xlpm.e,IFERROR(--G16,""),IF(OR(_xlpm.s="",_xlpm.e="",_xlpm.e&lt;_xlpm.s),"",_xlfn.LET(_xlpm.p,_xlfn.SEQUENCE(_xlpm.e-_xlpm.s+1,1,_xlpm.s,1),SUM(1/COUNTIFS($D:$D,D16,$E:$E,E16,$F:$F,"&lt;&gt;N/A",$G:$G,"&lt;&gt;N/A",$F:$F,"&lt;="&amp;_xlpm.p,$G:$G,"&gt;="&amp;_xlpm.p)))))</f>
        <v>9</v>
      </c>
      <c r="I16" s="4" t="s">
        <v>7</v>
      </c>
      <c r="J16" s="5" t="s">
        <v>1162</v>
      </c>
      <c r="K16" s="5" t="s">
        <v>4570</v>
      </c>
      <c r="L16" s="5" t="s">
        <v>4571</v>
      </c>
      <c r="M16" s="5" t="s">
        <v>7</v>
      </c>
      <c r="N16" s="5" t="s">
        <v>7</v>
      </c>
      <c r="O16" s="4" t="s">
        <v>11522</v>
      </c>
      <c r="P16" s="4" t="s">
        <v>8019</v>
      </c>
      <c r="Q16" s="5" t="s">
        <v>10149</v>
      </c>
      <c r="R16" t="b">
        <v>1</v>
      </c>
    </row>
    <row r="17" spans="1:18" ht="14.55" customHeight="1">
      <c r="A17" t="s">
        <v>3269</v>
      </c>
      <c r="B17" t="s">
        <v>3604</v>
      </c>
      <c r="C17" s="5" t="s">
        <v>7893</v>
      </c>
      <c r="D17" s="1">
        <v>3</v>
      </c>
      <c r="E17" s="1">
        <v>16</v>
      </c>
      <c r="F17" s="1">
        <v>426</v>
      </c>
      <c r="G17" s="1">
        <v>433</v>
      </c>
      <c r="H17" s="8" cm="1">
        <f t="array" ref="H17">_xlfn.LET(_xlpm.s,IFERROR(--F17,""),_xlpm.e,IFERROR(--G17,""),IF(OR(_xlpm.s="",_xlpm.e="",_xlpm.e&lt;_xlpm.s),"",_xlfn.LET(_xlpm.p,_xlfn.SEQUENCE(_xlpm.e-_xlpm.s+1,1,_xlpm.s,1),SUM(1/COUNTIFS($D:$D,D17,$E:$E,E17,$F:$F,"&lt;&gt;N/A",$G:$G,"&lt;&gt;N/A",$F:$F,"&lt;="&amp;_xlpm.p,$G:$G,"&gt;="&amp;_xlpm.p)))))</f>
        <v>8</v>
      </c>
      <c r="I17" s="4" t="s">
        <v>7</v>
      </c>
      <c r="J17" s="5" t="s">
        <v>1163</v>
      </c>
      <c r="K17" s="4" t="s">
        <v>7</v>
      </c>
      <c r="L17" s="5" t="s">
        <v>4572</v>
      </c>
      <c r="M17" s="5" t="s">
        <v>7</v>
      </c>
      <c r="N17" s="5" t="s">
        <v>7605</v>
      </c>
      <c r="O17" s="4" t="s">
        <v>11522</v>
      </c>
      <c r="P17" s="4" t="s">
        <v>8021</v>
      </c>
      <c r="R17" t="b">
        <v>1</v>
      </c>
    </row>
    <row r="18" spans="1:18" ht="14.55" customHeight="1">
      <c r="A18" t="s">
        <v>3269</v>
      </c>
      <c r="B18" t="s">
        <v>3605</v>
      </c>
      <c r="C18" s="5" t="s">
        <v>7893</v>
      </c>
      <c r="D18" s="1">
        <v>3</v>
      </c>
      <c r="E18" s="1">
        <v>16</v>
      </c>
      <c r="F18" s="1">
        <v>434</v>
      </c>
      <c r="G18" s="1">
        <v>438</v>
      </c>
      <c r="H18" s="8" cm="1">
        <f t="array" ref="H18">_xlfn.LET(_xlpm.s,IFERROR(--F18,""),_xlpm.e,IFERROR(--G18,""),IF(OR(_xlpm.s="",_xlpm.e="",_xlpm.e&lt;_xlpm.s),"",_xlfn.LET(_xlpm.p,_xlfn.SEQUENCE(_xlpm.e-_xlpm.s+1,1,_xlpm.s,1),SUM(1/COUNTIFS($D:$D,D18,$E:$E,E18,$F:$F,"&lt;&gt;N/A",$G:$G,"&lt;&gt;N/A",$F:$F,"&lt;="&amp;_xlpm.p,$G:$G,"&gt;="&amp;_xlpm.p)))))</f>
        <v>4.5</v>
      </c>
      <c r="I18" s="4" t="s">
        <v>7</v>
      </c>
      <c r="J18" s="5" t="s">
        <v>1164</v>
      </c>
      <c r="K18" s="4" t="s">
        <v>7</v>
      </c>
      <c r="L18" s="5" t="s">
        <v>4573</v>
      </c>
      <c r="M18" s="5" t="s">
        <v>7</v>
      </c>
      <c r="N18" s="5" t="s">
        <v>7</v>
      </c>
      <c r="O18" s="4" t="s">
        <v>778</v>
      </c>
      <c r="P18" s="4" t="s">
        <v>7834</v>
      </c>
      <c r="R18" t="b">
        <v>1</v>
      </c>
    </row>
    <row r="19" spans="1:18" ht="14.55" customHeight="1">
      <c r="A19" t="s">
        <v>3269</v>
      </c>
      <c r="B19" t="s">
        <v>3606</v>
      </c>
      <c r="C19" s="5" t="s">
        <v>7893</v>
      </c>
      <c r="D19" s="1">
        <v>3</v>
      </c>
      <c r="E19" s="1">
        <v>16</v>
      </c>
      <c r="F19" s="1">
        <v>438</v>
      </c>
      <c r="G19" s="1">
        <v>439</v>
      </c>
      <c r="H19" s="8" cm="1">
        <f t="array" ref="H19">_xlfn.LET(_xlpm.s,IFERROR(--F19,""),_xlpm.e,IFERROR(--G19,""),IF(OR(_xlpm.s="",_xlpm.e="",_xlpm.e&lt;_xlpm.s),"",_xlfn.LET(_xlpm.p,_xlfn.SEQUENCE(_xlpm.e-_xlpm.s+1,1,_xlpm.s,1),SUM(1/COUNTIFS($D:$D,D19,$E:$E,E19,$F:$F,"&lt;&gt;N/A",$G:$G,"&lt;&gt;N/A",$F:$F,"&lt;="&amp;_xlpm.p,$G:$G,"&gt;="&amp;_xlpm.p)))))</f>
        <v>1</v>
      </c>
      <c r="I19" s="4" t="s">
        <v>7</v>
      </c>
      <c r="J19" s="5" t="s">
        <v>1165</v>
      </c>
      <c r="K19" s="4" t="s">
        <v>7</v>
      </c>
      <c r="L19" s="5" t="s">
        <v>7</v>
      </c>
      <c r="M19" s="5" t="s">
        <v>7</v>
      </c>
      <c r="N19" s="5" t="s">
        <v>7</v>
      </c>
      <c r="O19" s="4" t="s">
        <v>778</v>
      </c>
      <c r="P19" s="4" t="s">
        <v>7834</v>
      </c>
      <c r="R19" t="b">
        <v>0</v>
      </c>
    </row>
    <row r="20" spans="1:18" ht="14.55" customHeight="1">
      <c r="A20" t="s">
        <v>3269</v>
      </c>
      <c r="B20" t="s">
        <v>3607</v>
      </c>
      <c r="C20" s="5" t="s">
        <v>7893</v>
      </c>
      <c r="D20" s="1">
        <v>3</v>
      </c>
      <c r="E20" s="1">
        <v>16</v>
      </c>
      <c r="F20" s="1">
        <v>439</v>
      </c>
      <c r="G20" s="1">
        <v>441</v>
      </c>
      <c r="H20" s="8" cm="1">
        <f t="array" ref="H20">_xlfn.LET(_xlpm.s,IFERROR(--F20,""),_xlpm.e,IFERROR(--G20,""),IF(OR(_xlpm.s="",_xlpm.e="",_xlpm.e&lt;_xlpm.s),"",_xlfn.LET(_xlpm.p,_xlfn.SEQUENCE(_xlpm.e-_xlpm.s+1,1,_xlpm.s,1),SUM(1/COUNTIFS($D:$D,D20,$E:$E,E20,$F:$F,"&lt;&gt;N/A",$G:$G,"&lt;&gt;N/A",$F:$F,"&lt;="&amp;_xlpm.p,$G:$G,"&gt;="&amp;_xlpm.p)))))</f>
        <v>2</v>
      </c>
      <c r="I20" s="4" t="s">
        <v>7</v>
      </c>
      <c r="J20" s="5" t="s">
        <v>1166</v>
      </c>
      <c r="K20" s="4" t="s">
        <v>1167</v>
      </c>
      <c r="L20" s="5" t="s">
        <v>7</v>
      </c>
      <c r="M20" s="5" t="s">
        <v>7</v>
      </c>
      <c r="N20" s="5" t="s">
        <v>7</v>
      </c>
      <c r="O20" s="4" t="s">
        <v>778</v>
      </c>
      <c r="P20" s="4" t="s">
        <v>7834</v>
      </c>
      <c r="R20" t="b">
        <v>1</v>
      </c>
    </row>
    <row r="21" spans="1:18" ht="14.55" customHeight="1">
      <c r="A21" t="s">
        <v>3269</v>
      </c>
      <c r="B21" t="s">
        <v>3608</v>
      </c>
      <c r="C21" s="5" t="s">
        <v>7893</v>
      </c>
      <c r="D21" s="1">
        <v>3</v>
      </c>
      <c r="E21" s="1">
        <v>16</v>
      </c>
      <c r="F21" s="1">
        <v>441</v>
      </c>
      <c r="G21" s="1">
        <v>443</v>
      </c>
      <c r="H21" s="8" cm="1">
        <f t="array" ref="H21">_xlfn.LET(_xlpm.s,IFERROR(--F21,""),_xlpm.e,IFERROR(--G21,""),IF(OR(_xlpm.s="",_xlpm.e="",_xlpm.e&lt;_xlpm.s),"",_xlfn.LET(_xlpm.p,_xlfn.SEQUENCE(_xlpm.e-_xlpm.s+1,1,_xlpm.s,1),SUM(1/COUNTIFS($D:$D,D21,$E:$E,E21,$F:$F,"&lt;&gt;N/A",$G:$G,"&lt;&gt;N/A",$F:$F,"&lt;="&amp;_xlpm.p,$G:$G,"&gt;="&amp;_xlpm.p)))))</f>
        <v>2</v>
      </c>
      <c r="I21" s="4" t="s">
        <v>7</v>
      </c>
      <c r="J21" s="5" t="s">
        <v>1168</v>
      </c>
      <c r="K21" s="4" t="s">
        <v>7</v>
      </c>
      <c r="L21" s="5" t="s">
        <v>4574</v>
      </c>
      <c r="M21" s="5" t="s">
        <v>7</v>
      </c>
      <c r="N21" s="5" t="s">
        <v>7</v>
      </c>
      <c r="O21" s="4" t="s">
        <v>778</v>
      </c>
      <c r="P21" s="4" t="s">
        <v>7834</v>
      </c>
      <c r="R21" t="b">
        <v>1</v>
      </c>
    </row>
    <row r="22" spans="1:18" ht="14.55" customHeight="1">
      <c r="A22" t="s">
        <v>3269</v>
      </c>
      <c r="B22" t="s">
        <v>3609</v>
      </c>
      <c r="C22" s="5" t="s">
        <v>7893</v>
      </c>
      <c r="D22" s="1">
        <v>3</v>
      </c>
      <c r="E22" s="1">
        <v>16</v>
      </c>
      <c r="F22" s="1">
        <v>443</v>
      </c>
      <c r="G22" s="1">
        <v>445</v>
      </c>
      <c r="H22" s="8" cm="1">
        <f t="array" ref="H22">_xlfn.LET(_xlpm.s,IFERROR(--F22,""),_xlpm.e,IFERROR(--G22,""),IF(OR(_xlpm.s="",_xlpm.e="",_xlpm.e&lt;_xlpm.s),"",_xlfn.LET(_xlpm.p,_xlfn.SEQUENCE(_xlpm.e-_xlpm.s+1,1,_xlpm.s,1),SUM(1/COUNTIFS($D:$D,D22,$E:$E,E22,$F:$F,"&lt;&gt;N/A",$G:$G,"&lt;&gt;N/A",$F:$F,"&lt;="&amp;_xlpm.p,$G:$G,"&gt;="&amp;_xlpm.p)))))</f>
        <v>2.5</v>
      </c>
      <c r="I22" s="4" t="s">
        <v>7</v>
      </c>
      <c r="J22" s="5" t="s">
        <v>1169</v>
      </c>
      <c r="K22" s="4" t="s">
        <v>7</v>
      </c>
      <c r="L22" s="5" t="s">
        <v>7</v>
      </c>
      <c r="M22" s="5" t="s">
        <v>7</v>
      </c>
      <c r="N22" s="5" t="s">
        <v>7</v>
      </c>
      <c r="O22" s="4" t="s">
        <v>778</v>
      </c>
      <c r="P22" s="4" t="s">
        <v>7834</v>
      </c>
      <c r="R22" t="b">
        <v>0</v>
      </c>
    </row>
    <row r="23" spans="1:18" ht="14.55" customHeight="1">
      <c r="A23" t="s">
        <v>3269</v>
      </c>
      <c r="B23" t="s">
        <v>6745</v>
      </c>
      <c r="C23" s="5" t="s">
        <v>7893</v>
      </c>
      <c r="D23" s="1">
        <v>3</v>
      </c>
      <c r="E23" s="1">
        <v>16</v>
      </c>
      <c r="F23" s="1">
        <v>446</v>
      </c>
      <c r="G23" s="1">
        <v>447</v>
      </c>
      <c r="H23" s="8" cm="1">
        <f t="array" ref="H23">_xlfn.LET(_xlpm.s,IFERROR(--F23,""),_xlpm.e,IFERROR(--G23,""),IF(OR(_xlpm.s="",_xlpm.e="",_xlpm.e&lt;_xlpm.s),"",_xlfn.LET(_xlpm.p,_xlfn.SEQUENCE(_xlpm.e-_xlpm.s+1,1,_xlpm.s,1),SUM(1/COUNTIFS($D:$D,D23,$E:$E,E23,$F:$F,"&lt;&gt;N/A",$G:$G,"&lt;&gt;N/A",$F:$F,"&lt;="&amp;_xlpm.p,$G:$G,"&gt;="&amp;_xlpm.p)))))</f>
        <v>2</v>
      </c>
      <c r="I23" s="4" t="s">
        <v>7</v>
      </c>
      <c r="J23" s="5" t="s">
        <v>1170</v>
      </c>
      <c r="K23" s="4" t="s">
        <v>7</v>
      </c>
      <c r="L23" s="5" t="s">
        <v>4575</v>
      </c>
      <c r="M23" t="s">
        <v>5135</v>
      </c>
      <c r="N23" s="5" t="s">
        <v>2678</v>
      </c>
      <c r="O23" s="4" t="s">
        <v>5072</v>
      </c>
      <c r="P23" s="4" t="s">
        <v>8021</v>
      </c>
      <c r="R23" t="b">
        <v>1</v>
      </c>
    </row>
    <row r="24" spans="1:18" ht="14.55" customHeight="1">
      <c r="A24" t="s">
        <v>3269</v>
      </c>
      <c r="B24" t="s">
        <v>6746</v>
      </c>
      <c r="C24" s="5" t="s">
        <v>7893</v>
      </c>
      <c r="D24" s="1">
        <v>3</v>
      </c>
      <c r="E24" s="1">
        <v>16</v>
      </c>
      <c r="F24" s="1">
        <v>448</v>
      </c>
      <c r="G24" s="1">
        <v>448</v>
      </c>
      <c r="H24" s="8" cm="1">
        <f t="array" ref="H24">_xlfn.LET(_xlpm.s,IFERROR(--F24,""),_xlpm.e,IFERROR(--G24,""),IF(OR(_xlpm.s="",_xlpm.e="",_xlpm.e&lt;_xlpm.s),"",_xlfn.LET(_xlpm.p,_xlfn.SEQUENCE(_xlpm.e-_xlpm.s+1,1,_xlpm.s,1),SUM(1/COUNTIFS($D:$D,D24,$E:$E,E24,$F:$F,"&lt;&gt;N/A",$G:$G,"&lt;&gt;N/A",$F:$F,"&lt;="&amp;_xlpm.p,$G:$G,"&gt;="&amp;_xlpm.p)))))</f>
        <v>1</v>
      </c>
      <c r="I24" s="4" t="s">
        <v>7</v>
      </c>
      <c r="J24" s="5" t="s">
        <v>1171</v>
      </c>
      <c r="K24" s="4" t="s">
        <v>7</v>
      </c>
      <c r="L24" s="5" t="s">
        <v>4576</v>
      </c>
      <c r="M24" s="5" t="s">
        <v>7</v>
      </c>
      <c r="N24" s="5" t="s">
        <v>2677</v>
      </c>
      <c r="O24" s="4" t="s">
        <v>11522</v>
      </c>
      <c r="P24" s="4" t="s">
        <v>8021</v>
      </c>
      <c r="R24" t="b">
        <v>1</v>
      </c>
    </row>
    <row r="25" spans="1:18" ht="14.55" customHeight="1">
      <c r="A25" t="s">
        <v>3270</v>
      </c>
      <c r="B25" t="s">
        <v>3610</v>
      </c>
      <c r="C25" s="5" t="s">
        <v>7791</v>
      </c>
      <c r="D25" s="1">
        <v>5</v>
      </c>
      <c r="E25" s="1">
        <v>35</v>
      </c>
      <c r="F25" s="1">
        <v>736</v>
      </c>
      <c r="G25" s="1">
        <v>762</v>
      </c>
      <c r="H25" s="8" cm="1">
        <f t="array" ref="H25">_xlfn.LET(_xlpm.s,IFERROR(--F25,""),_xlpm.e,IFERROR(--G25,""),IF(OR(_xlpm.s="",_xlpm.e="",_xlpm.e&lt;_xlpm.s),"",_xlfn.LET(_xlpm.p,_xlfn.SEQUENCE(_xlpm.e-_xlpm.s+1,1,_xlpm.s,1),SUM(1/COUNTIFS($D:$D,D25,$E:$E,E25,$F:$F,"&lt;&gt;N/A",$G:$G,"&lt;&gt;N/A",$F:$F,"&lt;="&amp;_xlpm.p,$G:$G,"&gt;="&amp;_xlpm.p)))))</f>
        <v>26.5</v>
      </c>
      <c r="I25" s="4" t="s">
        <v>7</v>
      </c>
      <c r="J25" s="5" t="s">
        <v>1172</v>
      </c>
      <c r="K25" s="4" t="s">
        <v>4577</v>
      </c>
      <c r="L25" s="5" t="s">
        <v>7</v>
      </c>
      <c r="M25" s="5" t="s">
        <v>7</v>
      </c>
      <c r="N25" s="5" t="s">
        <v>7</v>
      </c>
      <c r="O25" s="4" t="s">
        <v>778</v>
      </c>
      <c r="P25" s="4" t="s">
        <v>7834</v>
      </c>
      <c r="R25" t="b">
        <v>1</v>
      </c>
    </row>
    <row r="26" spans="1:18" ht="14.55" customHeight="1">
      <c r="A26" t="s">
        <v>3270</v>
      </c>
      <c r="B26" t="s">
        <v>6747</v>
      </c>
      <c r="C26" s="5" t="s">
        <v>7791</v>
      </c>
      <c r="D26" s="1">
        <v>5</v>
      </c>
      <c r="E26" s="1">
        <v>35</v>
      </c>
      <c r="F26" s="1">
        <v>762</v>
      </c>
      <c r="G26" s="1">
        <v>763</v>
      </c>
      <c r="H26" s="8" cm="1">
        <f t="array" ref="H26">_xlfn.LET(_xlpm.s,IFERROR(--F26,""),_xlpm.e,IFERROR(--G26,""),IF(OR(_xlpm.s="",_xlpm.e="",_xlpm.e&lt;_xlpm.s),"",_xlfn.LET(_xlpm.p,_xlfn.SEQUENCE(_xlpm.e-_xlpm.s+1,1,_xlpm.s,1),SUM(1/COUNTIFS($D:$D,D26,$E:$E,E26,$F:$F,"&lt;&gt;N/A",$G:$G,"&lt;&gt;N/A",$F:$F,"&lt;="&amp;_xlpm.p,$G:$G,"&gt;="&amp;_xlpm.p)))))</f>
        <v>1.5</v>
      </c>
      <c r="I26" s="4" t="s">
        <v>7</v>
      </c>
      <c r="J26" s="5" t="s">
        <v>1173</v>
      </c>
      <c r="K26" s="4" t="s">
        <v>1174</v>
      </c>
      <c r="L26" s="5" t="s">
        <v>3035</v>
      </c>
      <c r="M26" s="5" t="s">
        <v>7</v>
      </c>
      <c r="N26" s="5" t="s">
        <v>7</v>
      </c>
      <c r="O26" s="4" t="s">
        <v>7</v>
      </c>
      <c r="P26" s="4" t="s">
        <v>8036</v>
      </c>
      <c r="Q26" s="5" t="s">
        <v>6950</v>
      </c>
      <c r="R26" t="b">
        <v>1</v>
      </c>
    </row>
    <row r="27" spans="1:18" ht="14.55" customHeight="1">
      <c r="A27" t="s">
        <v>3270</v>
      </c>
      <c r="B27" t="s">
        <v>6748</v>
      </c>
      <c r="C27" s="5" t="s">
        <v>7791</v>
      </c>
      <c r="D27" s="1">
        <v>5</v>
      </c>
      <c r="E27" s="1">
        <v>35</v>
      </c>
      <c r="F27" s="1">
        <v>764</v>
      </c>
      <c r="G27" s="1">
        <v>764</v>
      </c>
      <c r="H27" s="8" cm="1">
        <f t="array" ref="H27">_xlfn.LET(_xlpm.s,IFERROR(--F27,""),_xlpm.e,IFERROR(--G27,""),IF(OR(_xlpm.s="",_xlpm.e="",_xlpm.e&lt;_xlpm.s),"",_xlfn.LET(_xlpm.p,_xlfn.SEQUENCE(_xlpm.e-_xlpm.s+1,1,_xlpm.s,1),SUM(1/COUNTIFS($D:$D,D27,$E:$E,E27,$F:$F,"&lt;&gt;N/A",$G:$G,"&lt;&gt;N/A",$F:$F,"&lt;="&amp;_xlpm.p,$G:$G,"&gt;="&amp;_xlpm.p)))))</f>
        <v>1</v>
      </c>
      <c r="I27" s="4" t="s">
        <v>7</v>
      </c>
      <c r="J27" s="5" t="s">
        <v>1175</v>
      </c>
      <c r="K27" s="4" t="s">
        <v>7</v>
      </c>
      <c r="L27" s="5" t="s">
        <v>7</v>
      </c>
      <c r="M27" s="5" t="s">
        <v>7</v>
      </c>
      <c r="N27" s="5" t="s">
        <v>7</v>
      </c>
      <c r="O27" s="4" t="s">
        <v>778</v>
      </c>
      <c r="P27" s="4" t="s">
        <v>7834</v>
      </c>
      <c r="R27" t="b">
        <v>1</v>
      </c>
    </row>
    <row r="28" spans="1:18" ht="14.55" customHeight="1">
      <c r="A28" t="s">
        <v>3270</v>
      </c>
      <c r="B28" t="s">
        <v>3611</v>
      </c>
      <c r="C28" s="5" t="s">
        <v>7892</v>
      </c>
      <c r="D28" s="2">
        <v>10</v>
      </c>
      <c r="E28" s="1">
        <v>36</v>
      </c>
      <c r="F28" s="1">
        <v>765</v>
      </c>
      <c r="G28" s="1">
        <v>766</v>
      </c>
      <c r="H28" s="8" cm="1">
        <f t="array" ref="H28">_xlfn.LET(_xlpm.s,IFERROR(--F28,""),_xlpm.e,IFERROR(--G28,""),IF(OR(_xlpm.s="",_xlpm.e="",_xlpm.e&lt;_xlpm.s),"",_xlfn.LET(_xlpm.p,_xlfn.SEQUENCE(_xlpm.e-_xlpm.s+1,1,_xlpm.s,1),SUM(1/COUNTIFS($D:$D,D28,$E:$E,E28,$F:$F,"&lt;&gt;N/A",$G:$G,"&lt;&gt;N/A",$F:$F,"&lt;="&amp;_xlpm.p,$G:$G,"&gt;="&amp;_xlpm.p)))))</f>
        <v>2</v>
      </c>
      <c r="I28" s="4" t="s">
        <v>7</v>
      </c>
      <c r="J28" s="5" t="s">
        <v>1176</v>
      </c>
      <c r="K28" s="4" t="s">
        <v>7</v>
      </c>
      <c r="L28" s="5" t="s">
        <v>7</v>
      </c>
      <c r="M28" s="5" t="s">
        <v>7</v>
      </c>
      <c r="N28" s="5" t="s">
        <v>7</v>
      </c>
      <c r="O28" s="4" t="s">
        <v>778</v>
      </c>
      <c r="P28" s="4" t="s">
        <v>7834</v>
      </c>
      <c r="R28" t="b">
        <v>0</v>
      </c>
    </row>
    <row r="29" spans="1:18" ht="14.55" customHeight="1">
      <c r="A29" t="s">
        <v>3270</v>
      </c>
      <c r="B29" t="s">
        <v>3612</v>
      </c>
      <c r="C29" s="5" t="s">
        <v>7892</v>
      </c>
      <c r="D29" s="2">
        <v>10</v>
      </c>
      <c r="E29" s="1">
        <v>36</v>
      </c>
      <c r="F29" s="1">
        <v>767</v>
      </c>
      <c r="G29" s="1">
        <v>786</v>
      </c>
      <c r="H29" s="8" cm="1">
        <f t="array" ref="H29">_xlfn.LET(_xlpm.s,IFERROR(--F29,""),_xlpm.e,IFERROR(--G29,""),IF(OR(_xlpm.s="",_xlpm.e="",_xlpm.e&lt;_xlpm.s),"",_xlfn.LET(_xlpm.p,_xlfn.SEQUENCE(_xlpm.e-_xlpm.s+1,1,_xlpm.s,1),SUM(1/COUNTIFS($D:$D,D29,$E:$E,E29,$F:$F,"&lt;&gt;N/A",$G:$G,"&lt;&gt;N/A",$F:$F,"&lt;="&amp;_xlpm.p,$G:$G,"&gt;="&amp;_xlpm.p)))))</f>
        <v>20</v>
      </c>
      <c r="I29" s="4" t="s">
        <v>7</v>
      </c>
      <c r="J29" s="5" t="s">
        <v>1177</v>
      </c>
      <c r="K29" s="4" t="s">
        <v>1178</v>
      </c>
      <c r="L29" s="5" t="s">
        <v>7</v>
      </c>
      <c r="M29" s="5" t="s">
        <v>7</v>
      </c>
      <c r="N29" s="5" t="s">
        <v>7</v>
      </c>
      <c r="O29" s="4" t="s">
        <v>778</v>
      </c>
      <c r="P29" s="4" t="s">
        <v>7834</v>
      </c>
      <c r="R29" t="b">
        <v>1</v>
      </c>
    </row>
    <row r="30" spans="1:18" ht="14.55" customHeight="1">
      <c r="A30" t="s">
        <v>3270</v>
      </c>
      <c r="B30" t="s">
        <v>3613</v>
      </c>
      <c r="C30" s="5" t="s">
        <v>7892</v>
      </c>
      <c r="D30" s="2">
        <v>10</v>
      </c>
      <c r="E30" s="1">
        <v>36</v>
      </c>
      <c r="F30" s="1">
        <v>787</v>
      </c>
      <c r="G30" s="1">
        <v>788</v>
      </c>
      <c r="H30" s="8" cm="1">
        <f t="array" ref="H30">_xlfn.LET(_xlpm.s,IFERROR(--F30,""),_xlpm.e,IFERROR(--G30,""),IF(OR(_xlpm.s="",_xlpm.e="",_xlpm.e&lt;_xlpm.s),"",_xlfn.LET(_xlpm.p,_xlfn.SEQUENCE(_xlpm.e-_xlpm.s+1,1,_xlpm.s,1),SUM(1/COUNTIFS($D:$D,D30,$E:$E,E30,$F:$F,"&lt;&gt;N/A",$G:$G,"&lt;&gt;N/A",$F:$F,"&lt;="&amp;_xlpm.p,$G:$G,"&gt;="&amp;_xlpm.p)))))</f>
        <v>2</v>
      </c>
      <c r="I30" s="4" t="s">
        <v>7</v>
      </c>
      <c r="J30" s="5" t="s">
        <v>1179</v>
      </c>
      <c r="K30" s="4" t="s">
        <v>7</v>
      </c>
      <c r="L30" s="5" t="s">
        <v>7</v>
      </c>
      <c r="M30" s="5" t="s">
        <v>7</v>
      </c>
      <c r="N30" s="5" t="s">
        <v>7</v>
      </c>
      <c r="O30" s="4" t="s">
        <v>778</v>
      </c>
      <c r="P30" s="4" t="s">
        <v>7834</v>
      </c>
      <c r="R30" t="b">
        <v>0</v>
      </c>
    </row>
    <row r="31" spans="1:18" ht="14.55" customHeight="1">
      <c r="A31" t="s">
        <v>3270</v>
      </c>
      <c r="B31" t="s">
        <v>3614</v>
      </c>
      <c r="C31" s="5" t="s">
        <v>7892</v>
      </c>
      <c r="D31" s="2">
        <v>10</v>
      </c>
      <c r="E31" s="1">
        <v>36</v>
      </c>
      <c r="F31" s="1">
        <v>789</v>
      </c>
      <c r="G31" s="1">
        <v>794</v>
      </c>
      <c r="H31" s="8" cm="1">
        <f t="array" ref="H31">_xlfn.LET(_xlpm.s,IFERROR(--F31,""),_xlpm.e,IFERROR(--G31,""),IF(OR(_xlpm.s="",_xlpm.e="",_xlpm.e&lt;_xlpm.s),"",_xlfn.LET(_xlpm.p,_xlfn.SEQUENCE(_xlpm.e-_xlpm.s+1,1,_xlpm.s,1),SUM(1/COUNTIFS($D:$D,D31,$E:$E,E31,$F:$F,"&lt;&gt;N/A",$G:$G,"&lt;&gt;N/A",$F:$F,"&lt;="&amp;_xlpm.p,$G:$G,"&gt;="&amp;_xlpm.p)))))</f>
        <v>6</v>
      </c>
      <c r="I31" s="4" t="s">
        <v>7</v>
      </c>
      <c r="J31" s="5" t="s">
        <v>2676</v>
      </c>
      <c r="K31" s="5" t="s">
        <v>4578</v>
      </c>
      <c r="L31" s="5" t="s">
        <v>4579</v>
      </c>
      <c r="M31" s="5" t="s">
        <v>6760</v>
      </c>
      <c r="N31" s="5" t="s">
        <v>10137</v>
      </c>
      <c r="O31" s="4" t="s">
        <v>10264</v>
      </c>
      <c r="P31" s="4" t="s">
        <v>8021</v>
      </c>
      <c r="R31" t="b">
        <v>1</v>
      </c>
    </row>
    <row r="32" spans="1:18" ht="14.55" customHeight="1">
      <c r="A32" t="s">
        <v>3270</v>
      </c>
      <c r="B32" t="s">
        <v>6749</v>
      </c>
      <c r="C32" s="5" t="s">
        <v>7892</v>
      </c>
      <c r="D32" s="2">
        <v>10</v>
      </c>
      <c r="E32" s="1">
        <v>36</v>
      </c>
      <c r="F32" s="1">
        <v>795</v>
      </c>
      <c r="G32" s="1">
        <v>809</v>
      </c>
      <c r="H32" s="8" cm="1">
        <f t="array" ref="H32">_xlfn.LET(_xlpm.s,IFERROR(--F32,""),_xlpm.e,IFERROR(--G32,""),IF(OR(_xlpm.s="",_xlpm.e="",_xlpm.e&lt;_xlpm.s),"",_xlfn.LET(_xlpm.p,_xlfn.SEQUENCE(_xlpm.e-_xlpm.s+1,1,_xlpm.s,1),SUM(1/COUNTIFS($D:$D,D32,$E:$E,E32,$F:$F,"&lt;&gt;N/A",$G:$G,"&lt;&gt;N/A",$F:$F,"&lt;="&amp;_xlpm.p,$G:$G,"&gt;="&amp;_xlpm.p)))))</f>
        <v>14.5</v>
      </c>
      <c r="I32" s="4" t="s">
        <v>7</v>
      </c>
      <c r="J32" s="5" t="s">
        <v>2673</v>
      </c>
      <c r="K32" s="4" t="s">
        <v>4580</v>
      </c>
      <c r="L32" t="s">
        <v>4581</v>
      </c>
      <c r="M32" s="5" t="s">
        <v>7</v>
      </c>
      <c r="N32" s="5" t="s">
        <v>2675</v>
      </c>
      <c r="O32" s="4" t="s">
        <v>5072</v>
      </c>
      <c r="P32" s="4" t="s">
        <v>8021</v>
      </c>
      <c r="R32" t="b">
        <v>1</v>
      </c>
    </row>
    <row r="33" spans="1:18" ht="14.55" customHeight="1">
      <c r="A33" t="s">
        <v>3270</v>
      </c>
      <c r="B33" t="s">
        <v>6750</v>
      </c>
      <c r="C33" s="5" t="s">
        <v>7892</v>
      </c>
      <c r="D33" s="2">
        <v>10</v>
      </c>
      <c r="E33" s="1">
        <v>36</v>
      </c>
      <c r="F33" s="1">
        <v>809</v>
      </c>
      <c r="G33" s="1">
        <v>812</v>
      </c>
      <c r="H33" s="8" cm="1">
        <f t="array" ref="H33">_xlfn.LET(_xlpm.s,IFERROR(--F33,""),_xlpm.e,IFERROR(--G33,""),IF(OR(_xlpm.s="",_xlpm.e="",_xlpm.e&lt;_xlpm.s),"",_xlfn.LET(_xlpm.p,_xlfn.SEQUENCE(_xlpm.e-_xlpm.s+1,1,_xlpm.s,1),SUM(1/COUNTIFS($D:$D,D33,$E:$E,E33,$F:$F,"&lt;&gt;N/A",$G:$G,"&lt;&gt;N/A",$F:$F,"&lt;="&amp;_xlpm.p,$G:$G,"&gt;="&amp;_xlpm.p)))))</f>
        <v>3.5</v>
      </c>
      <c r="I33" s="4" t="s">
        <v>7</v>
      </c>
      <c r="J33" s="5" t="s">
        <v>6761</v>
      </c>
      <c r="K33" s="4" t="s">
        <v>1178</v>
      </c>
      <c r="L33" s="5" t="s">
        <v>7</v>
      </c>
      <c r="M33" s="5" t="s">
        <v>7</v>
      </c>
      <c r="N33" s="5" t="s">
        <v>7</v>
      </c>
      <c r="O33" s="4" t="s">
        <v>778</v>
      </c>
      <c r="P33" s="4" t="s">
        <v>7834</v>
      </c>
      <c r="R33" t="b">
        <v>0</v>
      </c>
    </row>
    <row r="34" spans="1:18" ht="14.55" customHeight="1">
      <c r="A34" t="s">
        <v>3270</v>
      </c>
      <c r="B34" t="s">
        <v>3615</v>
      </c>
      <c r="C34" s="5" t="s">
        <v>7891</v>
      </c>
      <c r="D34" s="1">
        <v>11</v>
      </c>
      <c r="E34" s="1">
        <v>38</v>
      </c>
      <c r="F34" s="1">
        <v>853</v>
      </c>
      <c r="G34" s="1">
        <v>854</v>
      </c>
      <c r="H34" s="8" cm="1">
        <f t="array" ref="H34">_xlfn.LET(_xlpm.s,IFERROR(--F34,""),_xlpm.e,IFERROR(--G34,""),IF(OR(_xlpm.s="",_xlpm.e="",_xlpm.e&lt;_xlpm.s),"",_xlfn.LET(_xlpm.p,_xlfn.SEQUENCE(_xlpm.e-_xlpm.s+1,1,_xlpm.s,1),SUM(1/COUNTIFS($D:$D,D34,$E:$E,E34,$F:$F,"&lt;&gt;N/A",$G:$G,"&lt;&gt;N/A",$F:$F,"&lt;="&amp;_xlpm.p,$G:$G,"&gt;="&amp;_xlpm.p)))))</f>
        <v>1.5</v>
      </c>
      <c r="I34" s="4" t="s">
        <v>7</v>
      </c>
      <c r="J34" s="5" t="s">
        <v>1180</v>
      </c>
      <c r="K34" s="4" t="s">
        <v>7</v>
      </c>
      <c r="L34" s="5" t="s">
        <v>7</v>
      </c>
      <c r="M34" s="5" t="s">
        <v>7</v>
      </c>
      <c r="N34" s="5" t="s">
        <v>7</v>
      </c>
      <c r="O34" s="4" t="s">
        <v>778</v>
      </c>
      <c r="P34" s="4" t="s">
        <v>7834</v>
      </c>
      <c r="R34" t="b">
        <v>0</v>
      </c>
    </row>
    <row r="35" spans="1:18" ht="14.55" customHeight="1">
      <c r="A35" t="s">
        <v>3270</v>
      </c>
      <c r="B35" t="s">
        <v>3616</v>
      </c>
      <c r="C35" s="5" t="s">
        <v>7891</v>
      </c>
      <c r="D35" s="1">
        <v>11</v>
      </c>
      <c r="E35" s="1">
        <v>38</v>
      </c>
      <c r="F35" s="1">
        <v>854</v>
      </c>
      <c r="G35" s="1">
        <v>856</v>
      </c>
      <c r="H35" s="8" cm="1">
        <f t="array" ref="H35">_xlfn.LET(_xlpm.s,IFERROR(--F35,""),_xlpm.e,IFERROR(--G35,""),IF(OR(_xlpm.s="",_xlpm.e="",_xlpm.e&lt;_xlpm.s),"",_xlfn.LET(_xlpm.p,_xlfn.SEQUENCE(_xlpm.e-_xlpm.s+1,1,_xlpm.s,1),SUM(1/COUNTIFS($D:$D,D35,$E:$E,E35,$F:$F,"&lt;&gt;N/A",$G:$G,"&lt;&gt;N/A",$F:$F,"&lt;="&amp;_xlpm.p,$G:$G,"&gt;="&amp;_xlpm.p)))))</f>
        <v>2.5</v>
      </c>
      <c r="I35" s="4" t="s">
        <v>7</v>
      </c>
      <c r="J35" s="5" t="s">
        <v>6762</v>
      </c>
      <c r="K35" s="4" t="s">
        <v>7</v>
      </c>
      <c r="L35" s="5" t="s">
        <v>7</v>
      </c>
      <c r="M35" s="5" t="s">
        <v>7</v>
      </c>
      <c r="N35" s="5" t="s">
        <v>7</v>
      </c>
      <c r="O35" s="4" t="s">
        <v>778</v>
      </c>
      <c r="P35" s="4" t="s">
        <v>7834</v>
      </c>
      <c r="R35" t="b">
        <v>1</v>
      </c>
    </row>
    <row r="36" spans="1:18" ht="14.55" customHeight="1">
      <c r="A36" t="s">
        <v>3270</v>
      </c>
      <c r="B36" t="s">
        <v>3617</v>
      </c>
      <c r="C36" s="5" t="s">
        <v>7891</v>
      </c>
      <c r="D36" s="1">
        <v>11</v>
      </c>
      <c r="E36" s="1">
        <v>38</v>
      </c>
      <c r="F36" s="1">
        <v>857</v>
      </c>
      <c r="G36" s="1">
        <v>871</v>
      </c>
      <c r="H36" s="8" cm="1">
        <f t="array" ref="H36">_xlfn.LET(_xlpm.s,IFERROR(--F36,""),_xlpm.e,IFERROR(--G36,""),IF(OR(_xlpm.s="",_xlpm.e="",_xlpm.e&lt;_xlpm.s),"",_xlfn.LET(_xlpm.p,_xlfn.SEQUENCE(_xlpm.e-_xlpm.s+1,1,_xlpm.s,1),SUM(1/COUNTIFS($D:$D,D36,$E:$E,E36,$F:$F,"&lt;&gt;N/A",$G:$G,"&lt;&gt;N/A",$F:$F,"&lt;="&amp;_xlpm.p,$G:$G,"&gt;="&amp;_xlpm.p)))))</f>
        <v>14.5</v>
      </c>
      <c r="I36" s="4" t="s">
        <v>7</v>
      </c>
      <c r="J36" s="5" t="s">
        <v>1181</v>
      </c>
      <c r="K36" s="4" t="s">
        <v>1178</v>
      </c>
      <c r="L36" s="5" t="s">
        <v>7</v>
      </c>
      <c r="M36" s="5" t="s">
        <v>7</v>
      </c>
      <c r="N36" s="5" t="s">
        <v>7</v>
      </c>
      <c r="O36" s="4" t="s">
        <v>778</v>
      </c>
      <c r="P36" s="4" t="s">
        <v>7834</v>
      </c>
      <c r="R36" t="b">
        <v>1</v>
      </c>
    </row>
    <row r="37" spans="1:18" ht="14.55" customHeight="1">
      <c r="A37" t="s">
        <v>3270</v>
      </c>
      <c r="B37" t="s">
        <v>3618</v>
      </c>
      <c r="C37" s="5" t="s">
        <v>7891</v>
      </c>
      <c r="D37" s="1">
        <v>11</v>
      </c>
      <c r="E37" s="1">
        <v>38</v>
      </c>
      <c r="F37" s="1">
        <v>871</v>
      </c>
      <c r="G37" s="1">
        <v>877</v>
      </c>
      <c r="H37" s="8" cm="1">
        <f t="array" ref="H37">_xlfn.LET(_xlpm.s,IFERROR(--F37,""),_xlpm.e,IFERROR(--G37,""),IF(OR(_xlpm.s="",_xlpm.e="",_xlpm.e&lt;_xlpm.s),"",_xlfn.LET(_xlpm.p,_xlfn.SEQUENCE(_xlpm.e-_xlpm.s+1,1,_xlpm.s,1),SUM(1/COUNTIFS($D:$D,D37,$E:$E,E37,$F:$F,"&lt;&gt;N/A",$G:$G,"&lt;&gt;N/A",$F:$F,"&lt;="&amp;_xlpm.p,$G:$G,"&gt;="&amp;_xlpm.p)))))</f>
        <v>6</v>
      </c>
      <c r="I37" s="4" t="s">
        <v>7</v>
      </c>
      <c r="J37" s="5" t="s">
        <v>1182</v>
      </c>
      <c r="K37" s="4" t="s">
        <v>7</v>
      </c>
      <c r="L37" t="s">
        <v>4582</v>
      </c>
      <c r="M37" s="5" t="s">
        <v>7</v>
      </c>
      <c r="N37" s="5" t="s">
        <v>2674</v>
      </c>
      <c r="O37" s="4" t="s">
        <v>5072</v>
      </c>
      <c r="P37" s="4" t="s">
        <v>8021</v>
      </c>
      <c r="R37" t="b">
        <v>1</v>
      </c>
    </row>
    <row r="38" spans="1:18" ht="14.55" customHeight="1">
      <c r="A38" t="s">
        <v>3270</v>
      </c>
      <c r="B38" t="s">
        <v>3619</v>
      </c>
      <c r="C38" s="5" t="s">
        <v>7891</v>
      </c>
      <c r="D38" s="1">
        <v>11</v>
      </c>
      <c r="E38" s="1">
        <v>38</v>
      </c>
      <c r="F38" s="1">
        <v>877</v>
      </c>
      <c r="G38" s="1">
        <v>882</v>
      </c>
      <c r="H38" s="8" cm="1">
        <f t="array" ref="H38">_xlfn.LET(_xlpm.s,IFERROR(--F38,""),_xlpm.e,IFERROR(--G38,""),IF(OR(_xlpm.s="",_xlpm.e="",_xlpm.e&lt;_xlpm.s),"",_xlfn.LET(_xlpm.p,_xlfn.SEQUENCE(_xlpm.e-_xlpm.s+1,1,_xlpm.s,1),SUM(1/COUNTIFS($D:$D,D38,$E:$E,E38,$F:$F,"&lt;&gt;N/A",$G:$G,"&lt;&gt;N/A",$F:$F,"&lt;="&amp;_xlpm.p,$G:$G,"&gt;="&amp;_xlpm.p)))))</f>
        <v>5</v>
      </c>
      <c r="I38" s="4" t="s">
        <v>7</v>
      </c>
      <c r="J38" s="5" t="s">
        <v>6446</v>
      </c>
      <c r="K38" s="4" t="s">
        <v>1183</v>
      </c>
      <c r="L38" s="5" t="s">
        <v>7</v>
      </c>
      <c r="M38" s="5" t="s">
        <v>7</v>
      </c>
      <c r="N38" s="5" t="s">
        <v>7</v>
      </c>
      <c r="O38" s="4" t="s">
        <v>778</v>
      </c>
      <c r="P38" s="4" t="s">
        <v>7834</v>
      </c>
      <c r="R38" t="b">
        <v>1</v>
      </c>
    </row>
    <row r="39" spans="1:18" ht="14.55" customHeight="1">
      <c r="A39" t="s">
        <v>3270</v>
      </c>
      <c r="B39" t="s">
        <v>6751</v>
      </c>
      <c r="C39" s="5" t="s">
        <v>7891</v>
      </c>
      <c r="D39" s="1">
        <v>11</v>
      </c>
      <c r="E39" s="1">
        <v>38</v>
      </c>
      <c r="F39" s="1">
        <v>882</v>
      </c>
      <c r="G39" s="1">
        <v>888</v>
      </c>
      <c r="H39" s="8" cm="1">
        <f t="array" ref="H39">_xlfn.LET(_xlpm.s,IFERROR(--F39,""),_xlpm.e,IFERROR(--G39,""),IF(OR(_xlpm.s="",_xlpm.e="",_xlpm.e&lt;_xlpm.s),"",_xlfn.LET(_xlpm.p,_xlfn.SEQUENCE(_xlpm.e-_xlpm.s+1,1,_xlpm.s,1),SUM(1/COUNTIFS($D:$D,D39,$E:$E,E39,$F:$F,"&lt;&gt;N/A",$G:$G,"&lt;&gt;N/A",$F:$F,"&lt;="&amp;_xlpm.p,$G:$G,"&gt;="&amp;_xlpm.p)))))</f>
        <v>6.5</v>
      </c>
      <c r="I39" s="4" t="s">
        <v>7</v>
      </c>
      <c r="J39" s="5" t="s">
        <v>1184</v>
      </c>
      <c r="K39" t="s">
        <v>1185</v>
      </c>
      <c r="L39" s="5" t="s">
        <v>7</v>
      </c>
      <c r="M39" s="5" t="s">
        <v>7</v>
      </c>
      <c r="N39" s="5" t="s">
        <v>7</v>
      </c>
      <c r="O39" s="4" t="s">
        <v>778</v>
      </c>
      <c r="P39" s="4" t="s">
        <v>7834</v>
      </c>
      <c r="R39" t="b">
        <v>1</v>
      </c>
    </row>
    <row r="40" spans="1:18" ht="14.55" customHeight="1">
      <c r="A40" t="s">
        <v>3270</v>
      </c>
      <c r="B40" t="s">
        <v>6752</v>
      </c>
      <c r="C40" s="5" t="s">
        <v>7891</v>
      </c>
      <c r="D40" s="1">
        <v>11</v>
      </c>
      <c r="E40" s="1">
        <v>38</v>
      </c>
      <c r="F40" s="1">
        <v>889</v>
      </c>
      <c r="G40" s="1">
        <v>892</v>
      </c>
      <c r="H40" s="8" cm="1">
        <f t="array" ref="H40">_xlfn.LET(_xlpm.s,IFERROR(--F40,""),_xlpm.e,IFERROR(--G40,""),IF(OR(_xlpm.s="",_xlpm.e="",_xlpm.e&lt;_xlpm.s),"",_xlfn.LET(_xlpm.p,_xlfn.SEQUENCE(_xlpm.e-_xlpm.s+1,1,_xlpm.s,1),SUM(1/COUNTIFS($D:$D,D40,$E:$E,E40,$F:$F,"&lt;&gt;N/A",$G:$G,"&lt;&gt;N/A",$F:$F,"&lt;="&amp;_xlpm.p,$G:$G,"&gt;="&amp;_xlpm.p)))))</f>
        <v>4</v>
      </c>
      <c r="I40" s="4" t="s">
        <v>7</v>
      </c>
      <c r="J40" s="5" t="s">
        <v>6445</v>
      </c>
      <c r="K40" s="4" t="s">
        <v>1186</v>
      </c>
      <c r="L40" s="5" t="s">
        <v>7</v>
      </c>
      <c r="M40" s="5" t="s">
        <v>7</v>
      </c>
      <c r="N40" s="5" t="s">
        <v>7</v>
      </c>
      <c r="O40" s="4" t="s">
        <v>778</v>
      </c>
      <c r="P40" s="4" t="s">
        <v>7834</v>
      </c>
      <c r="R40" t="b">
        <v>1</v>
      </c>
    </row>
    <row r="41" spans="1:18">
      <c r="A41" t="s">
        <v>3271</v>
      </c>
      <c r="B41" t="s">
        <v>3622</v>
      </c>
      <c r="C41" s="5" t="s">
        <v>7890</v>
      </c>
      <c r="D41" s="1" t="s">
        <v>7</v>
      </c>
      <c r="E41" s="1">
        <v>2</v>
      </c>
      <c r="F41" s="1">
        <v>1</v>
      </c>
      <c r="G41" s="1">
        <v>3</v>
      </c>
      <c r="H41" s="8" cm="1">
        <f t="array" ref="H41">_xlfn.LET(_xlpm.s,IFERROR(--F41,""),_xlpm.e,IFERROR(--G41,""),IF(OR(_xlpm.s="",_xlpm.e="",_xlpm.e&lt;_xlpm.s),"",_xlfn.LET(_xlpm.p,_xlfn.SEQUENCE(_xlpm.e-_xlpm.s+1,1,_xlpm.s,1),SUM(1/COUNTIFS($D:$D,D41,$E:$E,E41,$F:$F,"&lt;&gt;N/A",$G:$G,"&lt;&gt;N/A",$F:$F,"&lt;="&amp;_xlpm.p,$G:$G,"&gt;="&amp;_xlpm.p)))))</f>
        <v>2.5</v>
      </c>
      <c r="I41" t="s">
        <v>7</v>
      </c>
      <c r="J41" s="5" t="s">
        <v>1926</v>
      </c>
      <c r="K41" s="5" t="s">
        <v>7</v>
      </c>
      <c r="L41" s="5" t="s">
        <v>7</v>
      </c>
      <c r="M41" s="5" t="s">
        <v>7</v>
      </c>
      <c r="N41" s="5" t="s">
        <v>7</v>
      </c>
      <c r="O41" s="4" t="s">
        <v>778</v>
      </c>
      <c r="P41" s="4" t="s">
        <v>7834</v>
      </c>
      <c r="R41" t="b">
        <v>0</v>
      </c>
    </row>
    <row r="42" spans="1:18">
      <c r="A42" t="s">
        <v>3271</v>
      </c>
      <c r="B42" t="s">
        <v>3621</v>
      </c>
      <c r="C42" s="5" t="s">
        <v>7890</v>
      </c>
      <c r="D42" s="1" t="s">
        <v>7</v>
      </c>
      <c r="E42" s="1">
        <v>2</v>
      </c>
      <c r="F42" s="1">
        <v>3</v>
      </c>
      <c r="G42" s="1">
        <v>35</v>
      </c>
      <c r="H42" s="8" cm="1">
        <f t="array" ref="H42">_xlfn.LET(_xlpm.s,IFERROR(--F42,""),_xlpm.e,IFERROR(--G42,""),IF(OR(_xlpm.s="",_xlpm.e="",_xlpm.e&lt;_xlpm.s),"",_xlfn.LET(_xlpm.p,_xlfn.SEQUENCE(_xlpm.e-_xlpm.s+1,1,_xlpm.s,1),SUM(1/COUNTIFS($D:$D,D42,$E:$E,E42,$F:$F,"&lt;&gt;N/A",$G:$G,"&lt;&gt;N/A",$F:$F,"&lt;="&amp;_xlpm.p,$G:$G,"&gt;="&amp;_xlpm.p)))))</f>
        <v>31.833333333333332</v>
      </c>
      <c r="I42" t="s">
        <v>7</v>
      </c>
      <c r="J42" s="5" t="s">
        <v>1927</v>
      </c>
      <c r="K42" s="5" t="s">
        <v>7</v>
      </c>
      <c r="L42" s="5" t="s">
        <v>7</v>
      </c>
      <c r="M42" s="5" t="s">
        <v>7</v>
      </c>
      <c r="N42" s="5" t="s">
        <v>7</v>
      </c>
      <c r="O42" s="4" t="s">
        <v>778</v>
      </c>
      <c r="P42" s="4" t="s">
        <v>7834</v>
      </c>
      <c r="R42" t="b">
        <v>0</v>
      </c>
    </row>
    <row r="43" spans="1:18">
      <c r="A43" t="s">
        <v>3271</v>
      </c>
      <c r="B43" t="s">
        <v>3620</v>
      </c>
      <c r="C43" s="5" t="s">
        <v>7890</v>
      </c>
      <c r="D43" s="1" t="s">
        <v>7</v>
      </c>
      <c r="E43" s="1">
        <v>2</v>
      </c>
      <c r="F43" s="1">
        <v>35</v>
      </c>
      <c r="G43" s="1">
        <v>35</v>
      </c>
      <c r="H43" s="8" cm="1">
        <f t="array" ref="H43">_xlfn.LET(_xlpm.s,IFERROR(--F43,""),_xlpm.e,IFERROR(--G43,""),IF(OR(_xlpm.s="",_xlpm.e="",_xlpm.e&lt;_xlpm.s),"",_xlfn.LET(_xlpm.p,_xlfn.SEQUENCE(_xlpm.e-_xlpm.s+1,1,_xlpm.s,1),SUM(1/COUNTIFS($D:$D,D43,$E:$E,E43,$F:$F,"&lt;&gt;N/A",$G:$G,"&lt;&gt;N/A",$F:$F,"&lt;="&amp;_xlpm.p,$G:$G,"&gt;="&amp;_xlpm.p)))))</f>
        <v>0.33333333333333331</v>
      </c>
      <c r="I43" t="s">
        <v>7</v>
      </c>
      <c r="J43" s="5" t="s">
        <v>4365</v>
      </c>
      <c r="K43" s="5" t="s">
        <v>7</v>
      </c>
      <c r="L43" s="5" t="s">
        <v>7</v>
      </c>
      <c r="M43" s="5" t="s">
        <v>7</v>
      </c>
      <c r="N43" s="5" t="s">
        <v>7</v>
      </c>
      <c r="O43" s="4" t="s">
        <v>778</v>
      </c>
      <c r="P43" s="4" t="s">
        <v>7834</v>
      </c>
      <c r="R43" t="b">
        <v>0</v>
      </c>
    </row>
    <row r="44" spans="1:18">
      <c r="A44" t="s">
        <v>3271</v>
      </c>
      <c r="B44" t="s">
        <v>6732</v>
      </c>
      <c r="C44" s="5" t="s">
        <v>7890</v>
      </c>
      <c r="D44" s="1" t="s">
        <v>7</v>
      </c>
      <c r="E44" s="1">
        <v>2</v>
      </c>
      <c r="F44" s="1">
        <v>35</v>
      </c>
      <c r="G44" s="1">
        <v>37</v>
      </c>
      <c r="H44" s="8" cm="1">
        <f t="array" ref="H44">_xlfn.LET(_xlpm.s,IFERROR(--F44,""),_xlpm.e,IFERROR(--G44,""),IF(OR(_xlpm.s="",_xlpm.e="",_xlpm.e&lt;_xlpm.s),"",_xlfn.LET(_xlpm.p,_xlfn.SEQUENCE(_xlpm.e-_xlpm.s+1,1,_xlpm.s,1),SUM(1/COUNTIFS($D:$D,D44,$E:$E,E44,$F:$F,"&lt;&gt;N/A",$G:$G,"&lt;&gt;N/A",$F:$F,"&lt;="&amp;_xlpm.p,$G:$G,"&gt;="&amp;_xlpm.p)))))</f>
        <v>1.8333333333333333</v>
      </c>
      <c r="I44" t="s">
        <v>523</v>
      </c>
      <c r="J44" t="s">
        <v>1928</v>
      </c>
      <c r="K44" s="5" t="s">
        <v>7</v>
      </c>
      <c r="L44" s="5" t="s">
        <v>7</v>
      </c>
      <c r="M44" t="s">
        <v>6546</v>
      </c>
      <c r="N44" t="s">
        <v>6893</v>
      </c>
      <c r="O44" s="4" t="s">
        <v>5072</v>
      </c>
      <c r="P44" s="4" t="s">
        <v>8021</v>
      </c>
      <c r="R44" t="b">
        <v>1</v>
      </c>
    </row>
    <row r="45" spans="1:18">
      <c r="A45" t="s">
        <v>3271</v>
      </c>
      <c r="B45" t="s">
        <v>6753</v>
      </c>
      <c r="C45" s="5" t="s">
        <v>7890</v>
      </c>
      <c r="D45" s="1" t="s">
        <v>7</v>
      </c>
      <c r="E45" s="1">
        <v>2</v>
      </c>
      <c r="F45" s="1">
        <v>37</v>
      </c>
      <c r="G45" s="1">
        <v>38</v>
      </c>
      <c r="H45" s="8" cm="1">
        <f t="array" ref="H45">_xlfn.LET(_xlpm.s,IFERROR(--F45,""),_xlpm.e,IFERROR(--G45,""),IF(OR(_xlpm.s="",_xlpm.e="",_xlpm.e&lt;_xlpm.s),"",_xlfn.LET(_xlpm.p,_xlfn.SEQUENCE(_xlpm.e-_xlpm.s+1,1,_xlpm.s,1),SUM(1/COUNTIFS($D:$D,D45,$E:$E,E45,$F:$F,"&lt;&gt;N/A",$G:$G,"&lt;&gt;N/A",$F:$F,"&lt;="&amp;_xlpm.p,$G:$G,"&gt;="&amp;_xlpm.p)))))</f>
        <v>1.5</v>
      </c>
      <c r="I45" t="s">
        <v>1930</v>
      </c>
      <c r="J45" t="s">
        <v>1929</v>
      </c>
      <c r="K45" s="5" t="s">
        <v>7</v>
      </c>
      <c r="L45" s="5" t="s">
        <v>4583</v>
      </c>
      <c r="M45" t="s">
        <v>5135</v>
      </c>
      <c r="N45" t="s">
        <v>6894</v>
      </c>
      <c r="O45" s="4" t="s">
        <v>5072</v>
      </c>
      <c r="P45" s="4" t="s">
        <v>8021</v>
      </c>
      <c r="R45" t="b">
        <v>1</v>
      </c>
    </row>
    <row r="46" spans="1:18">
      <c r="A46" t="s">
        <v>3271</v>
      </c>
      <c r="B46" t="s">
        <v>6754</v>
      </c>
      <c r="C46" s="5" t="s">
        <v>7890</v>
      </c>
      <c r="D46" s="1" t="s">
        <v>7</v>
      </c>
      <c r="E46" s="1">
        <v>2</v>
      </c>
      <c r="F46" s="1">
        <v>39</v>
      </c>
      <c r="G46" s="1">
        <v>40</v>
      </c>
      <c r="H46" s="8" cm="1">
        <f t="array" ref="H46">_xlfn.LET(_xlpm.s,IFERROR(--F46,""),_xlpm.e,IFERROR(--G46,""),IF(OR(_xlpm.s="",_xlpm.e="",_xlpm.e&lt;_xlpm.s),"",_xlfn.LET(_xlpm.p,_xlfn.SEQUENCE(_xlpm.e-_xlpm.s+1,1,_xlpm.s,1),SUM(1/COUNTIFS($D:$D,D46,$E:$E,E46,$F:$F,"&lt;&gt;N/A",$G:$G,"&lt;&gt;N/A",$F:$F,"&lt;="&amp;_xlpm.p,$G:$G,"&gt;="&amp;_xlpm.p)))))</f>
        <v>2</v>
      </c>
      <c r="I46" t="s">
        <v>1930</v>
      </c>
      <c r="J46" s="5" t="s">
        <v>1931</v>
      </c>
      <c r="K46" s="5" t="s">
        <v>7</v>
      </c>
      <c r="L46" t="s">
        <v>4584</v>
      </c>
      <c r="M46" s="5" t="s">
        <v>7</v>
      </c>
      <c r="N46" s="5" t="s">
        <v>2672</v>
      </c>
      <c r="O46" s="4" t="s">
        <v>11522</v>
      </c>
      <c r="P46" s="4" t="s">
        <v>8019</v>
      </c>
      <c r="R46" t="b">
        <v>1</v>
      </c>
    </row>
  </sheetData>
  <phoneticPr fontId="1"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D99D-BF1F-419B-AD38-0BA8BCE932CE}">
  <sheetPr codeName="Sheet8"/>
  <dimension ref="A1:R858"/>
  <sheetViews>
    <sheetView zoomScaleNormal="100" workbookViewId="0">
      <selection activeCell="G21" sqref="G21"/>
    </sheetView>
  </sheetViews>
  <sheetFormatPr defaultColWidth="8.77734375" defaultRowHeight="14.4"/>
  <cols>
    <col min="1" max="2" width="5.77734375" customWidth="1"/>
    <col min="3" max="3" width="5.77734375" style="5" customWidth="1"/>
    <col min="4" max="7" width="5.77734375" style="1" customWidth="1"/>
    <col min="8" max="8" width="5.77734375" style="17" customWidth="1"/>
    <col min="9" max="11" width="5.77734375" customWidth="1"/>
    <col min="12" max="13" width="5.77734375" style="5" customWidth="1"/>
    <col min="14" max="14" width="5.77734375" customWidth="1"/>
    <col min="15" max="16" width="5.77734375" style="5" customWidth="1"/>
    <col min="17" max="18" width="5.77734375" customWidth="1"/>
    <col min="19" max="19" width="8.77734375" customWidth="1"/>
  </cols>
  <sheetData>
    <row r="1" spans="1:18">
      <c r="A1" t="s">
        <v>3032</v>
      </c>
      <c r="B1" t="s">
        <v>3281</v>
      </c>
      <c r="C1" s="4" t="s">
        <v>41</v>
      </c>
      <c r="D1" s="2" t="s">
        <v>3282</v>
      </c>
      <c r="E1" s="2" t="s">
        <v>34</v>
      </c>
      <c r="F1" s="2" t="s">
        <v>8031</v>
      </c>
      <c r="G1" s="2" t="s">
        <v>8032</v>
      </c>
      <c r="H1" s="13" t="s">
        <v>2530</v>
      </c>
      <c r="I1" s="2" t="s">
        <v>5</v>
      </c>
      <c r="J1" s="2" t="s">
        <v>4</v>
      </c>
      <c r="K1" s="4" t="s">
        <v>11402</v>
      </c>
      <c r="L1" s="5" t="s">
        <v>11401</v>
      </c>
      <c r="M1" s="4" t="s">
        <v>11400</v>
      </c>
      <c r="N1" s="4" t="s">
        <v>5006</v>
      </c>
      <c r="O1" s="4" t="s">
        <v>11506</v>
      </c>
      <c r="P1" s="4" t="s">
        <v>11403</v>
      </c>
      <c r="Q1" t="s">
        <v>1948</v>
      </c>
      <c r="R1" t="s">
        <v>2062</v>
      </c>
    </row>
    <row r="2" spans="1:18">
      <c r="A2" t="s">
        <v>3012</v>
      </c>
      <c r="B2" t="s">
        <v>4406</v>
      </c>
      <c r="C2" t="s">
        <v>7741</v>
      </c>
      <c r="D2" s="1">
        <v>1</v>
      </c>
      <c r="E2" s="1">
        <v>1</v>
      </c>
      <c r="F2" s="1">
        <v>3</v>
      </c>
      <c r="G2" s="1">
        <v>10</v>
      </c>
      <c r="H2" s="17" cm="1">
        <f t="array" ref="H2">_xlfn.LET(_xlpm.s,IFERROR(--F2,""),_xlpm.e,IFERROR(--G2,""),IF(OR(_xlpm.s="",_xlpm.e="",_xlpm.e&lt;_xlpm.s),"",_xlfn.LET(_xlpm.p,_xlfn.SEQUENCE(_xlpm.e-_xlpm.s+1,1,_xlpm.s,1),SUM(1/COUNTIFS($D:$D,D2,$E:$E,E2,$F:$F,"&lt;&gt;N/A",$G:$G,"&lt;&gt;N/A",$F:$F,"&lt;="&amp;_xlpm.p,$G:$G,"&gt;="&amp;_xlpm.p)))))</f>
        <v>7.5</v>
      </c>
      <c r="I2" t="s">
        <v>7</v>
      </c>
      <c r="J2" t="s">
        <v>124</v>
      </c>
      <c r="K2" t="s">
        <v>2440</v>
      </c>
      <c r="L2" s="5" t="s">
        <v>7</v>
      </c>
      <c r="M2" t="s">
        <v>7</v>
      </c>
      <c r="N2" t="s">
        <v>7</v>
      </c>
      <c r="O2" s="5" t="s">
        <v>778</v>
      </c>
      <c r="P2" s="5" t="s">
        <v>7834</v>
      </c>
      <c r="R2" t="b">
        <v>1</v>
      </c>
    </row>
    <row r="3" spans="1:18">
      <c r="A3" t="s">
        <v>3012</v>
      </c>
      <c r="B3" t="s">
        <v>5584</v>
      </c>
      <c r="C3" t="s">
        <v>7741</v>
      </c>
      <c r="D3" s="1">
        <v>1</v>
      </c>
      <c r="E3" s="1">
        <v>1</v>
      </c>
      <c r="F3" s="1">
        <v>10</v>
      </c>
      <c r="G3" s="1">
        <v>11</v>
      </c>
      <c r="H3" s="17" cm="1">
        <f t="array" ref="H3">_xlfn.LET(_xlpm.s,IFERROR(--F3,""),_xlpm.e,IFERROR(--G3,""),IF(OR(_xlpm.s="",_xlpm.e="",_xlpm.e&lt;_xlpm.s),"",_xlfn.LET(_xlpm.p,_xlfn.SEQUENCE(_xlpm.e-_xlpm.s+1,1,_xlpm.s,1),SUM(1/COUNTIFS($D:$D,D3,$E:$E,E3,$F:$F,"&lt;&gt;N/A",$G:$G,"&lt;&gt;N/A",$F:$F,"&lt;="&amp;_xlpm.p,$G:$G,"&gt;="&amp;_xlpm.p)))))</f>
        <v>1</v>
      </c>
      <c r="I3" t="s">
        <v>7</v>
      </c>
      <c r="J3" t="s">
        <v>4408</v>
      </c>
      <c r="K3" t="s">
        <v>7</v>
      </c>
      <c r="L3" s="5" t="s">
        <v>7</v>
      </c>
      <c r="M3" t="s">
        <v>7</v>
      </c>
      <c r="N3" t="s">
        <v>7</v>
      </c>
      <c r="O3" s="5" t="s">
        <v>778</v>
      </c>
      <c r="P3" s="5" t="s">
        <v>7834</v>
      </c>
      <c r="R3" t="b">
        <v>0</v>
      </c>
    </row>
    <row r="4" spans="1:18">
      <c r="A4" t="s">
        <v>3012</v>
      </c>
      <c r="B4" t="s">
        <v>5585</v>
      </c>
      <c r="C4" t="s">
        <v>7741</v>
      </c>
      <c r="D4" s="1">
        <v>1</v>
      </c>
      <c r="E4" s="1">
        <v>1</v>
      </c>
      <c r="F4" s="1">
        <v>11</v>
      </c>
      <c r="G4" s="1">
        <v>13</v>
      </c>
      <c r="H4" s="17" cm="1">
        <f t="array" ref="H4">_xlfn.LET(_xlpm.s,IFERROR(--F4,""),_xlpm.e,IFERROR(--G4,""),IF(OR(_xlpm.s="",_xlpm.e="",_xlpm.e&lt;_xlpm.s),"",_xlfn.LET(_xlpm.p,_xlfn.SEQUENCE(_xlpm.e-_xlpm.s+1,1,_xlpm.s,1),SUM(1/COUNTIFS($D:$D,D4,$E:$E,E4,$F:$F,"&lt;&gt;N/A",$G:$G,"&lt;&gt;N/A",$F:$F,"&lt;="&amp;_xlpm.p,$G:$G,"&gt;="&amp;_xlpm.p)))))</f>
        <v>2</v>
      </c>
      <c r="I4" t="s">
        <v>7</v>
      </c>
      <c r="J4" t="s">
        <v>1782</v>
      </c>
      <c r="K4" t="s">
        <v>2496</v>
      </c>
      <c r="L4" s="5" t="s">
        <v>7</v>
      </c>
      <c r="M4" t="s">
        <v>7</v>
      </c>
      <c r="N4" t="s">
        <v>7</v>
      </c>
      <c r="O4" s="5" t="s">
        <v>778</v>
      </c>
      <c r="P4" s="5" t="s">
        <v>7834</v>
      </c>
      <c r="R4" t="b">
        <v>0</v>
      </c>
    </row>
    <row r="5" spans="1:18">
      <c r="A5" t="s">
        <v>3012</v>
      </c>
      <c r="B5" t="s">
        <v>5586</v>
      </c>
      <c r="C5" t="s">
        <v>7741</v>
      </c>
      <c r="D5" s="1">
        <v>1</v>
      </c>
      <c r="E5" s="1">
        <v>1</v>
      </c>
      <c r="F5" s="1">
        <v>13</v>
      </c>
      <c r="G5" s="1">
        <v>19</v>
      </c>
      <c r="H5" s="17" cm="1">
        <f t="array" ref="H5">_xlfn.LET(_xlpm.s,IFERROR(--F5,""),_xlpm.e,IFERROR(--G5,""),IF(OR(_xlpm.s="",_xlpm.e="",_xlpm.e&lt;_xlpm.s),"",_xlfn.LET(_xlpm.p,_xlfn.SEQUENCE(_xlpm.e-_xlpm.s+1,1,_xlpm.s,1),SUM(1/COUNTIFS($D:$D,D5,$E:$E,E5,$F:$F,"&lt;&gt;N/A",$G:$G,"&lt;&gt;N/A",$F:$F,"&lt;="&amp;_xlpm.p,$G:$G,"&gt;="&amp;_xlpm.p)))))</f>
        <v>6</v>
      </c>
      <c r="I5" t="s">
        <v>7</v>
      </c>
      <c r="J5" t="s">
        <v>224</v>
      </c>
      <c r="K5" t="s">
        <v>55</v>
      </c>
      <c r="L5" s="5" t="s">
        <v>5256</v>
      </c>
      <c r="M5" t="s">
        <v>5032</v>
      </c>
      <c r="N5" t="s">
        <v>2397</v>
      </c>
      <c r="O5" s="5" t="s">
        <v>10264</v>
      </c>
      <c r="P5" s="5" t="s">
        <v>8020</v>
      </c>
      <c r="R5" t="b">
        <v>1</v>
      </c>
    </row>
    <row r="6" spans="1:18">
      <c r="A6" t="s">
        <v>3012</v>
      </c>
      <c r="B6" t="s">
        <v>5587</v>
      </c>
      <c r="C6" t="s">
        <v>7741</v>
      </c>
      <c r="D6" s="1">
        <v>1</v>
      </c>
      <c r="E6" s="1">
        <v>1</v>
      </c>
      <c r="F6" s="1">
        <v>19</v>
      </c>
      <c r="G6" s="1">
        <v>25</v>
      </c>
      <c r="H6" s="17" cm="1">
        <f t="array" ref="H6">_xlfn.LET(_xlpm.s,IFERROR(--F6,""),_xlpm.e,IFERROR(--G6,""),IF(OR(_xlpm.s="",_xlpm.e="",_xlpm.e&lt;_xlpm.s),"",_xlfn.LET(_xlpm.p,_xlfn.SEQUENCE(_xlpm.e-_xlpm.s+1,1,_xlpm.s,1),SUM(1/COUNTIFS($D:$D,D6,$E:$E,E6,$F:$F,"&lt;&gt;N/A",$G:$G,"&lt;&gt;N/A",$F:$F,"&lt;="&amp;_xlpm.p,$G:$G,"&gt;="&amp;_xlpm.p)))))</f>
        <v>6</v>
      </c>
      <c r="I6" t="s">
        <v>7</v>
      </c>
      <c r="J6" t="s">
        <v>225</v>
      </c>
      <c r="K6" t="s">
        <v>2542</v>
      </c>
      <c r="L6" s="5" t="s">
        <v>5257</v>
      </c>
      <c r="M6" t="s">
        <v>5033</v>
      </c>
      <c r="N6" t="s">
        <v>2398</v>
      </c>
      <c r="O6" s="5" t="s">
        <v>11522</v>
      </c>
      <c r="P6" s="5" t="s">
        <v>8020</v>
      </c>
      <c r="R6" t="b">
        <v>1</v>
      </c>
    </row>
    <row r="7" spans="1:18">
      <c r="A7" t="s">
        <v>3012</v>
      </c>
      <c r="B7" t="s">
        <v>5588</v>
      </c>
      <c r="C7" t="s">
        <v>7741</v>
      </c>
      <c r="D7" s="1">
        <v>1</v>
      </c>
      <c r="E7" s="1">
        <v>1</v>
      </c>
      <c r="F7" s="1">
        <v>25</v>
      </c>
      <c r="G7" s="1">
        <v>30</v>
      </c>
      <c r="H7" s="17" cm="1">
        <f t="array" ref="H7">_xlfn.LET(_xlpm.s,IFERROR(--F7,""),_xlpm.e,IFERROR(--G7,""),IF(OR(_xlpm.s="",_xlpm.e="",_xlpm.e&lt;_xlpm.s),"",_xlfn.LET(_xlpm.p,_xlfn.SEQUENCE(_xlpm.e-_xlpm.s+1,1,_xlpm.s,1),SUM(1/COUNTIFS($D:$D,D7,$E:$E,E7,$F:$F,"&lt;&gt;N/A",$G:$G,"&lt;&gt;N/A",$F:$F,"&lt;="&amp;_xlpm.p,$G:$G,"&gt;="&amp;_xlpm.p)))))</f>
        <v>5</v>
      </c>
      <c r="I7" t="s">
        <v>7</v>
      </c>
      <c r="J7" t="s">
        <v>7389</v>
      </c>
      <c r="K7" t="s">
        <v>2541</v>
      </c>
      <c r="L7" s="5" t="s">
        <v>7</v>
      </c>
      <c r="M7" s="5" t="s">
        <v>5372</v>
      </c>
      <c r="N7" t="s">
        <v>5373</v>
      </c>
      <c r="O7" s="5" t="s">
        <v>5072</v>
      </c>
      <c r="P7" s="5" t="s">
        <v>8019</v>
      </c>
      <c r="R7" t="b">
        <v>1</v>
      </c>
    </row>
    <row r="8" spans="1:18">
      <c r="A8" t="s">
        <v>3012</v>
      </c>
      <c r="B8" t="s">
        <v>5589</v>
      </c>
      <c r="C8" t="s">
        <v>7741</v>
      </c>
      <c r="D8" s="1">
        <v>1</v>
      </c>
      <c r="E8" s="1">
        <v>1</v>
      </c>
      <c r="F8" s="1">
        <v>30</v>
      </c>
      <c r="G8" s="1">
        <v>32</v>
      </c>
      <c r="H8" s="17" cm="1">
        <f t="array" ref="H8">_xlfn.LET(_xlpm.s,IFERROR(--F8,""),_xlpm.e,IFERROR(--G8,""),IF(OR(_xlpm.s="",_xlpm.e="",_xlpm.e&lt;_xlpm.s),"",_xlfn.LET(_xlpm.p,_xlfn.SEQUENCE(_xlpm.e-_xlpm.s+1,1,_xlpm.s,1),SUM(1/COUNTIFS($D:$D,D8,$E:$E,E8,$F:$F,"&lt;&gt;N/A",$G:$G,"&lt;&gt;N/A",$F:$F,"&lt;="&amp;_xlpm.p,$G:$G,"&gt;="&amp;_xlpm.p)))))</f>
        <v>2.5</v>
      </c>
      <c r="I8" t="s">
        <v>7</v>
      </c>
      <c r="J8" t="s">
        <v>226</v>
      </c>
      <c r="K8" t="s">
        <v>4585</v>
      </c>
      <c r="L8" s="5" t="s">
        <v>5258</v>
      </c>
      <c r="M8" s="5" t="s">
        <v>5045</v>
      </c>
      <c r="N8" t="s">
        <v>5259</v>
      </c>
      <c r="O8" s="5" t="s">
        <v>5072</v>
      </c>
      <c r="P8" s="5" t="s">
        <v>8021</v>
      </c>
      <c r="Q8" s="5" t="s">
        <v>2509</v>
      </c>
      <c r="R8" t="b">
        <v>1</v>
      </c>
    </row>
    <row r="9" spans="1:18">
      <c r="A9" t="s">
        <v>3012</v>
      </c>
      <c r="B9" t="s">
        <v>5590</v>
      </c>
      <c r="C9" t="s">
        <v>7749</v>
      </c>
      <c r="D9" s="1">
        <v>1</v>
      </c>
      <c r="E9" s="1">
        <v>2</v>
      </c>
      <c r="F9" s="1">
        <v>1</v>
      </c>
      <c r="G9" s="1">
        <v>12</v>
      </c>
      <c r="H9" s="17" cm="1">
        <f t="array" ref="H9">_xlfn.LET(_xlpm.s,IFERROR(--F9,""),_xlpm.e,IFERROR(--G9,""),IF(OR(_xlpm.s="",_xlpm.e="",_xlpm.e&lt;_xlpm.s),"",_xlfn.LET(_xlpm.p,_xlfn.SEQUENCE(_xlpm.e-_xlpm.s+1,1,_xlpm.s,1),SUM(1/COUNTIFS($D:$D,D9,$E:$E,E9,$F:$F,"&lt;&gt;N/A",$G:$G,"&lt;&gt;N/A",$F:$F,"&lt;="&amp;_xlpm.p,$G:$G,"&gt;="&amp;_xlpm.p)))))</f>
        <v>11.333333333333334</v>
      </c>
      <c r="I9" t="s">
        <v>7</v>
      </c>
      <c r="J9" t="s">
        <v>6507</v>
      </c>
      <c r="K9" t="s">
        <v>2465</v>
      </c>
      <c r="L9" s="5" t="s">
        <v>7</v>
      </c>
      <c r="M9" s="5" t="s">
        <v>7</v>
      </c>
      <c r="N9" s="5" t="s">
        <v>7</v>
      </c>
      <c r="O9" s="5" t="s">
        <v>778</v>
      </c>
      <c r="P9" s="5" t="s">
        <v>7834</v>
      </c>
      <c r="R9" t="b">
        <v>1</v>
      </c>
    </row>
    <row r="10" spans="1:18">
      <c r="A10" t="s">
        <v>3012</v>
      </c>
      <c r="B10" t="s">
        <v>5591</v>
      </c>
      <c r="C10" t="s">
        <v>7749</v>
      </c>
      <c r="D10" s="1">
        <v>1</v>
      </c>
      <c r="E10" s="1">
        <v>2</v>
      </c>
      <c r="F10" s="1">
        <v>12</v>
      </c>
      <c r="G10" s="1">
        <v>12</v>
      </c>
      <c r="H10" s="17" cm="1">
        <f t="array" ref="H10">_xlfn.LET(_xlpm.s,IFERROR(--F10,""),_xlpm.e,IFERROR(--G10,""),IF(OR(_xlpm.s="",_xlpm.e="",_xlpm.e&lt;_xlpm.s),"",_xlfn.LET(_xlpm.p,_xlfn.SEQUENCE(_xlpm.e-_xlpm.s+1,1,_xlpm.s,1),SUM(1/COUNTIFS($D:$D,D10,$E:$E,E10,$F:$F,"&lt;&gt;N/A",$G:$G,"&lt;&gt;N/A",$F:$F,"&lt;="&amp;_xlpm.p,$G:$G,"&gt;="&amp;_xlpm.p)))))</f>
        <v>0.33333333333333331</v>
      </c>
      <c r="I10" t="s">
        <v>7</v>
      </c>
      <c r="J10" t="s">
        <v>227</v>
      </c>
      <c r="K10" t="s">
        <v>7</v>
      </c>
      <c r="L10" s="5" t="s">
        <v>5260</v>
      </c>
      <c r="M10" t="s">
        <v>7415</v>
      </c>
      <c r="N10" t="s">
        <v>7416</v>
      </c>
      <c r="O10" s="5" t="s">
        <v>11522</v>
      </c>
      <c r="P10" s="5" t="s">
        <v>8019</v>
      </c>
      <c r="Q10" s="5" t="s">
        <v>2509</v>
      </c>
      <c r="R10" t="b">
        <v>1</v>
      </c>
    </row>
    <row r="11" spans="1:18">
      <c r="A11" t="s">
        <v>3012</v>
      </c>
      <c r="B11" t="s">
        <v>5592</v>
      </c>
      <c r="C11" t="s">
        <v>7749</v>
      </c>
      <c r="D11" s="1">
        <v>1</v>
      </c>
      <c r="E11" s="1">
        <v>2</v>
      </c>
      <c r="F11" s="1">
        <v>12</v>
      </c>
      <c r="G11" s="1">
        <v>13</v>
      </c>
      <c r="H11" s="17" cm="1">
        <f t="array" ref="H11">_xlfn.LET(_xlpm.s,IFERROR(--F11,""),_xlpm.e,IFERROR(--G11,""),IF(OR(_xlpm.s="",_xlpm.e="",_xlpm.e&lt;_xlpm.s),"",_xlfn.LET(_xlpm.p,_xlfn.SEQUENCE(_xlpm.e-_xlpm.s+1,1,_xlpm.s,1),SUM(1/COUNTIFS($D:$D,D11,$E:$E,E11,$F:$F,"&lt;&gt;N/A",$G:$G,"&lt;&gt;N/A",$F:$F,"&lt;="&amp;_xlpm.p,$G:$G,"&gt;="&amp;_xlpm.p)))))</f>
        <v>0.83333333333333326</v>
      </c>
      <c r="I11" t="s">
        <v>7</v>
      </c>
      <c r="J11" t="s">
        <v>5261</v>
      </c>
      <c r="K11" t="s">
        <v>7</v>
      </c>
      <c r="L11" s="5" t="s">
        <v>5482</v>
      </c>
      <c r="M11" t="s">
        <v>5131</v>
      </c>
      <c r="N11" t="s">
        <v>5483</v>
      </c>
      <c r="O11" s="5" t="s">
        <v>5072</v>
      </c>
      <c r="P11" s="5" t="s">
        <v>8021</v>
      </c>
      <c r="Q11" s="5" t="s">
        <v>2509</v>
      </c>
      <c r="R11" t="b">
        <v>1</v>
      </c>
    </row>
    <row r="12" spans="1:18">
      <c r="A12" t="s">
        <v>3012</v>
      </c>
      <c r="B12" t="s">
        <v>5593</v>
      </c>
      <c r="C12" t="s">
        <v>7749</v>
      </c>
      <c r="D12" s="1">
        <v>1</v>
      </c>
      <c r="E12" s="1">
        <v>2</v>
      </c>
      <c r="F12" s="1">
        <v>13</v>
      </c>
      <c r="G12" s="1">
        <v>14</v>
      </c>
      <c r="H12" s="17" cm="1">
        <f t="array" ref="H12">_xlfn.LET(_xlpm.s,IFERROR(--F12,""),_xlpm.e,IFERROR(--G12,""),IF(OR(_xlpm.s="",_xlpm.e="",_xlpm.e&lt;_xlpm.s),"",_xlfn.LET(_xlpm.p,_xlfn.SEQUENCE(_xlpm.e-_xlpm.s+1,1,_xlpm.s,1),SUM(1/COUNTIFS($D:$D,D12,$E:$E,E12,$F:$F,"&lt;&gt;N/A",$G:$G,"&lt;&gt;N/A",$F:$F,"&lt;="&amp;_xlpm.p,$G:$G,"&gt;="&amp;_xlpm.p)))))</f>
        <v>1</v>
      </c>
      <c r="I12" t="s">
        <v>7</v>
      </c>
      <c r="J12" t="s">
        <v>228</v>
      </c>
      <c r="K12" t="s">
        <v>7</v>
      </c>
      <c r="L12" s="5" t="s">
        <v>4586</v>
      </c>
      <c r="M12" t="s">
        <v>5131</v>
      </c>
      <c r="N12" t="s">
        <v>4482</v>
      </c>
      <c r="O12" s="5" t="s">
        <v>5072</v>
      </c>
      <c r="P12" s="5" t="s">
        <v>8021</v>
      </c>
      <c r="Q12" s="5" t="s">
        <v>2509</v>
      </c>
      <c r="R12" t="b">
        <v>1</v>
      </c>
    </row>
    <row r="13" spans="1:18">
      <c r="A13" t="s">
        <v>3012</v>
      </c>
      <c r="B13" t="s">
        <v>5594</v>
      </c>
      <c r="C13" t="s">
        <v>7749</v>
      </c>
      <c r="D13" s="1">
        <v>1</v>
      </c>
      <c r="E13" s="1">
        <v>2</v>
      </c>
      <c r="F13" s="1">
        <v>14</v>
      </c>
      <c r="G13" s="1">
        <v>15</v>
      </c>
      <c r="H13" s="17" cm="1">
        <f t="array" ref="H13">_xlfn.LET(_xlpm.s,IFERROR(--F13,""),_xlpm.e,IFERROR(--G13,""),IF(OR(_xlpm.s="",_xlpm.e="",_xlpm.e&lt;_xlpm.s),"",_xlfn.LET(_xlpm.p,_xlfn.SEQUENCE(_xlpm.e-_xlpm.s+1,1,_xlpm.s,1),SUM(1/COUNTIFS($D:$D,D13,$E:$E,E13,$F:$F,"&lt;&gt;N/A",$G:$G,"&lt;&gt;N/A",$F:$F,"&lt;="&amp;_xlpm.p,$G:$G,"&gt;="&amp;_xlpm.p)))))</f>
        <v>1</v>
      </c>
      <c r="I13" t="s">
        <v>7</v>
      </c>
      <c r="J13" t="s">
        <v>229</v>
      </c>
      <c r="K13" t="s">
        <v>2465</v>
      </c>
      <c r="L13" s="5" t="s">
        <v>7</v>
      </c>
      <c r="M13" t="s">
        <v>7</v>
      </c>
      <c r="N13" t="s">
        <v>7</v>
      </c>
      <c r="O13" s="5" t="s">
        <v>778</v>
      </c>
      <c r="P13" s="5" t="s">
        <v>7834</v>
      </c>
      <c r="R13" t="b">
        <v>1</v>
      </c>
    </row>
    <row r="14" spans="1:18">
      <c r="A14" t="s">
        <v>3012</v>
      </c>
      <c r="B14" t="s">
        <v>5595</v>
      </c>
      <c r="C14" t="s">
        <v>7749</v>
      </c>
      <c r="D14" s="1">
        <v>1</v>
      </c>
      <c r="E14" s="1">
        <v>2</v>
      </c>
      <c r="F14" s="1">
        <v>15</v>
      </c>
      <c r="G14" s="1">
        <v>19</v>
      </c>
      <c r="H14" s="17" cm="1">
        <f t="array" ref="H14">_xlfn.LET(_xlpm.s,IFERROR(--F14,""),_xlpm.e,IFERROR(--G14,""),IF(OR(_xlpm.s="",_xlpm.e="",_xlpm.e&lt;_xlpm.s),"",_xlfn.LET(_xlpm.p,_xlfn.SEQUENCE(_xlpm.e-_xlpm.s+1,1,_xlpm.s,1),SUM(1/COUNTIFS($D:$D,D14,$E:$E,E14,$F:$F,"&lt;&gt;N/A",$G:$G,"&lt;&gt;N/A",$F:$F,"&lt;="&amp;_xlpm.p,$G:$G,"&gt;="&amp;_xlpm.p)))))</f>
        <v>4</v>
      </c>
      <c r="I14" t="s">
        <v>7</v>
      </c>
      <c r="J14" t="s">
        <v>230</v>
      </c>
      <c r="K14" t="s">
        <v>4587</v>
      </c>
      <c r="L14" s="5" t="s">
        <v>7</v>
      </c>
      <c r="M14" t="s">
        <v>7</v>
      </c>
      <c r="N14" t="s">
        <v>2569</v>
      </c>
      <c r="O14" s="5" t="s">
        <v>778</v>
      </c>
      <c r="P14" s="5" t="s">
        <v>7834</v>
      </c>
      <c r="R14" t="b">
        <v>1</v>
      </c>
    </row>
    <row r="15" spans="1:18">
      <c r="A15" t="s">
        <v>3012</v>
      </c>
      <c r="B15" t="s">
        <v>5596</v>
      </c>
      <c r="C15" t="s">
        <v>7749</v>
      </c>
      <c r="D15" s="1">
        <v>1</v>
      </c>
      <c r="E15" s="1">
        <v>2</v>
      </c>
      <c r="F15" s="1">
        <v>19</v>
      </c>
      <c r="G15" s="1">
        <v>22</v>
      </c>
      <c r="H15" s="17" cm="1">
        <f t="array" ref="H15">_xlfn.LET(_xlpm.s,IFERROR(--F15,""),_xlpm.e,IFERROR(--G15,""),IF(OR(_xlpm.s="",_xlpm.e="",_xlpm.e&lt;_xlpm.s),"",_xlfn.LET(_xlpm.p,_xlfn.SEQUENCE(_xlpm.e-_xlpm.s+1,1,_xlpm.s,1),SUM(1/COUNTIFS($D:$D,D15,$E:$E,E15,$F:$F,"&lt;&gt;N/A",$G:$G,"&lt;&gt;N/A",$F:$F,"&lt;="&amp;_xlpm.p,$G:$G,"&gt;="&amp;_xlpm.p)))))</f>
        <v>3</v>
      </c>
      <c r="I15" t="s">
        <v>7</v>
      </c>
      <c r="J15" t="s">
        <v>231</v>
      </c>
      <c r="K15" t="s">
        <v>2069</v>
      </c>
      <c r="L15" s="5" t="s">
        <v>5262</v>
      </c>
      <c r="M15" t="s">
        <v>7</v>
      </c>
      <c r="N15" t="s">
        <v>2544</v>
      </c>
      <c r="O15" s="5" t="s">
        <v>11522</v>
      </c>
      <c r="P15" s="5" t="s">
        <v>8021</v>
      </c>
      <c r="R15" t="b">
        <v>1</v>
      </c>
    </row>
    <row r="16" spans="1:18">
      <c r="A16" t="s">
        <v>3012</v>
      </c>
      <c r="B16" t="s">
        <v>5597</v>
      </c>
      <c r="C16" t="s">
        <v>7749</v>
      </c>
      <c r="D16" s="1">
        <v>1</v>
      </c>
      <c r="E16" s="1">
        <v>2</v>
      </c>
      <c r="F16" s="1">
        <v>22</v>
      </c>
      <c r="G16" s="1">
        <v>34</v>
      </c>
      <c r="H16" s="17" cm="1">
        <f t="array" ref="H16">_xlfn.LET(_xlpm.s,IFERROR(--F16,""),_xlpm.e,IFERROR(--G16,""),IF(OR(_xlpm.s="",_xlpm.e="",_xlpm.e&lt;_xlpm.s),"",_xlfn.LET(_xlpm.p,_xlfn.SEQUENCE(_xlpm.e-_xlpm.s+1,1,_xlpm.s,1),SUM(1/COUNTIFS($D:$D,D16,$E:$E,E16,$F:$F,"&lt;&gt;N/A",$G:$G,"&lt;&gt;N/A",$F:$F,"&lt;="&amp;_xlpm.p,$G:$G,"&gt;="&amp;_xlpm.p)))))</f>
        <v>12</v>
      </c>
      <c r="I16" t="s">
        <v>7</v>
      </c>
      <c r="J16" t="s">
        <v>6511</v>
      </c>
      <c r="K16" t="s">
        <v>2543</v>
      </c>
      <c r="L16" s="5" t="s">
        <v>5265</v>
      </c>
      <c r="M16" t="s">
        <v>6516</v>
      </c>
      <c r="N16" t="s">
        <v>6592</v>
      </c>
      <c r="O16" s="5" t="s">
        <v>11522</v>
      </c>
      <c r="P16" s="5" t="s">
        <v>8019</v>
      </c>
      <c r="R16" t="b">
        <v>1</v>
      </c>
    </row>
    <row r="17" spans="1:18">
      <c r="A17" t="s">
        <v>3012</v>
      </c>
      <c r="B17" t="s">
        <v>5598</v>
      </c>
      <c r="C17" t="s">
        <v>7749</v>
      </c>
      <c r="D17" s="1">
        <v>1</v>
      </c>
      <c r="E17" s="1">
        <v>2</v>
      </c>
      <c r="F17" s="1">
        <v>34</v>
      </c>
      <c r="G17" s="1">
        <v>35</v>
      </c>
      <c r="H17" s="17" cm="1">
        <f t="array" ref="H17">_xlfn.LET(_xlpm.s,IFERROR(--F17,""),_xlpm.e,IFERROR(--G17,""),IF(OR(_xlpm.s="",_xlpm.e="",_xlpm.e&lt;_xlpm.s),"",_xlfn.LET(_xlpm.p,_xlfn.SEQUENCE(_xlpm.e-_xlpm.s+1,1,_xlpm.s,1),SUM(1/COUNTIFS($D:$D,D17,$E:$E,E17,$F:$F,"&lt;&gt;N/A",$G:$G,"&lt;&gt;N/A",$F:$F,"&lt;="&amp;_xlpm.p,$G:$G,"&gt;="&amp;_xlpm.p)))))</f>
        <v>1.5</v>
      </c>
      <c r="I17" t="s">
        <v>7</v>
      </c>
      <c r="J17" t="s">
        <v>5263</v>
      </c>
      <c r="K17" t="s">
        <v>7</v>
      </c>
      <c r="L17" s="5" t="s">
        <v>5264</v>
      </c>
      <c r="M17" s="5" t="s">
        <v>5131</v>
      </c>
      <c r="N17" t="s">
        <v>5367</v>
      </c>
      <c r="O17" s="5" t="s">
        <v>5072</v>
      </c>
      <c r="P17" s="5" t="s">
        <v>8021</v>
      </c>
      <c r="Q17" s="5" t="s">
        <v>2509</v>
      </c>
      <c r="R17" t="b">
        <v>1</v>
      </c>
    </row>
    <row r="18" spans="1:18">
      <c r="A18" t="s">
        <v>3012</v>
      </c>
      <c r="B18" t="s">
        <v>5599</v>
      </c>
      <c r="C18" t="s">
        <v>7757</v>
      </c>
      <c r="D18" s="1">
        <v>1</v>
      </c>
      <c r="E18" s="1">
        <v>3</v>
      </c>
      <c r="F18" s="1">
        <v>1</v>
      </c>
      <c r="G18" s="1">
        <v>15</v>
      </c>
      <c r="H18" s="17" cm="1">
        <f t="array" ref="H18">_xlfn.LET(_xlpm.s,IFERROR(--F18,""),_xlpm.e,IFERROR(--G18,""),IF(OR(_xlpm.s="",_xlpm.e="",_xlpm.e&lt;_xlpm.s),"",_xlfn.LET(_xlpm.p,_xlfn.SEQUENCE(_xlpm.e-_xlpm.s+1,1,_xlpm.s,1),SUM(1/COUNTIFS($D:$D,D18,$E:$E,E18,$F:$F,"&lt;&gt;N/A",$G:$G,"&lt;&gt;N/A",$F:$F,"&lt;="&amp;_xlpm.p,$G:$G,"&gt;="&amp;_xlpm.p)))))</f>
        <v>14.5</v>
      </c>
      <c r="I18" t="s">
        <v>7</v>
      </c>
      <c r="J18" t="s">
        <v>232</v>
      </c>
      <c r="K18" t="s">
        <v>2465</v>
      </c>
      <c r="L18" s="5" t="s">
        <v>7</v>
      </c>
      <c r="M18" t="s">
        <v>7</v>
      </c>
      <c r="N18" t="s">
        <v>7</v>
      </c>
      <c r="O18" s="5" t="s">
        <v>778</v>
      </c>
      <c r="P18" s="5" t="s">
        <v>7834</v>
      </c>
      <c r="R18" t="b">
        <v>1</v>
      </c>
    </row>
    <row r="19" spans="1:18">
      <c r="A19" t="s">
        <v>3012</v>
      </c>
      <c r="B19" t="s">
        <v>5600</v>
      </c>
      <c r="C19" t="s">
        <v>7757</v>
      </c>
      <c r="D19" s="1">
        <v>1</v>
      </c>
      <c r="E19" s="1">
        <v>3</v>
      </c>
      <c r="F19" s="1">
        <v>15</v>
      </c>
      <c r="G19" s="1">
        <v>18</v>
      </c>
      <c r="H19" s="17" cm="1">
        <f t="array" ref="H19">_xlfn.LET(_xlpm.s,IFERROR(--F19,""),_xlpm.e,IFERROR(--G19,""),IF(OR(_xlpm.s="",_xlpm.e="",_xlpm.e&lt;_xlpm.s),"",_xlfn.LET(_xlpm.p,_xlfn.SEQUENCE(_xlpm.e-_xlpm.s+1,1,_xlpm.s,1),SUM(1/COUNTIFS($D:$D,D19,$E:$E,E19,$F:$F,"&lt;&gt;N/A",$G:$G,"&lt;&gt;N/A",$F:$F,"&lt;="&amp;_xlpm.p,$G:$G,"&gt;="&amp;_xlpm.p)))))</f>
        <v>3</v>
      </c>
      <c r="I19" t="s">
        <v>7</v>
      </c>
      <c r="J19" t="s">
        <v>233</v>
      </c>
      <c r="K19" t="s">
        <v>7</v>
      </c>
      <c r="L19" s="5" t="s">
        <v>4588</v>
      </c>
      <c r="M19" t="s">
        <v>6517</v>
      </c>
      <c r="N19" t="s">
        <v>6518</v>
      </c>
      <c r="O19" s="5" t="s">
        <v>11522</v>
      </c>
      <c r="P19" s="5" t="s">
        <v>8021</v>
      </c>
      <c r="R19" t="b">
        <v>1</v>
      </c>
    </row>
    <row r="20" spans="1:18">
      <c r="A20" t="s">
        <v>3012</v>
      </c>
      <c r="B20" t="s">
        <v>5601</v>
      </c>
      <c r="C20" t="s">
        <v>7757</v>
      </c>
      <c r="D20" s="1">
        <v>1</v>
      </c>
      <c r="E20" s="1">
        <v>3</v>
      </c>
      <c r="F20" s="1">
        <v>18</v>
      </c>
      <c r="G20" s="1">
        <v>19</v>
      </c>
      <c r="H20" s="17" cm="1">
        <f t="array" ref="H20">_xlfn.LET(_xlpm.s,IFERROR(--F20,""),_xlpm.e,IFERROR(--G20,""),IF(OR(_xlpm.s="",_xlpm.e="",_xlpm.e&lt;_xlpm.s),"",_xlfn.LET(_xlpm.p,_xlfn.SEQUENCE(_xlpm.e-_xlpm.s+1,1,_xlpm.s,1),SUM(1/COUNTIFS($D:$D,D20,$E:$E,E20,$F:$F,"&lt;&gt;N/A",$G:$G,"&lt;&gt;N/A",$F:$F,"&lt;="&amp;_xlpm.p,$G:$G,"&gt;="&amp;_xlpm.p)))))</f>
        <v>0.83333333333333326</v>
      </c>
      <c r="I20" t="s">
        <v>7</v>
      </c>
      <c r="J20" t="s">
        <v>6508</v>
      </c>
      <c r="K20" t="s">
        <v>7</v>
      </c>
      <c r="L20" s="5" t="s">
        <v>5266</v>
      </c>
      <c r="M20" t="s">
        <v>7</v>
      </c>
      <c r="N20" t="s">
        <v>4424</v>
      </c>
      <c r="O20" s="5" t="s">
        <v>11522</v>
      </c>
      <c r="P20" s="5" t="s">
        <v>8021</v>
      </c>
      <c r="Q20" t="s">
        <v>2509</v>
      </c>
      <c r="R20" t="b">
        <v>1</v>
      </c>
    </row>
    <row r="21" spans="1:18">
      <c r="A21" t="s">
        <v>3012</v>
      </c>
      <c r="B21" t="s">
        <v>5602</v>
      </c>
      <c r="C21" t="s">
        <v>7757</v>
      </c>
      <c r="D21" s="1">
        <v>1</v>
      </c>
      <c r="E21" s="1">
        <v>3</v>
      </c>
      <c r="F21" s="1">
        <v>19</v>
      </c>
      <c r="G21" s="1">
        <v>19</v>
      </c>
      <c r="H21" s="17" cm="1">
        <f t="array" ref="H21">_xlfn.LET(_xlpm.s,IFERROR(--F21,""),_xlpm.e,IFERROR(--G21,""),IF(OR(_xlpm.s="",_xlpm.e="",_xlpm.e&lt;_xlpm.s),"",_xlfn.LET(_xlpm.p,_xlfn.SEQUENCE(_xlpm.e-_xlpm.s+1,1,_xlpm.s,1),SUM(1/COUNTIFS($D:$D,D21,$E:$E,E21,$F:$F,"&lt;&gt;N/A",$G:$G,"&lt;&gt;N/A",$F:$F,"&lt;="&amp;_xlpm.p,$G:$G,"&gt;="&amp;_xlpm.p)))))</f>
        <v>0.33333333333333331</v>
      </c>
      <c r="I21" t="s">
        <v>7</v>
      </c>
      <c r="J21" t="s">
        <v>5267</v>
      </c>
      <c r="K21" t="s">
        <v>7</v>
      </c>
      <c r="L21" s="5" t="s">
        <v>7</v>
      </c>
      <c r="M21" s="5" t="s">
        <v>7</v>
      </c>
      <c r="N21" t="s">
        <v>6519</v>
      </c>
      <c r="O21" s="5" t="s">
        <v>11522</v>
      </c>
      <c r="P21" s="5" t="s">
        <v>8021</v>
      </c>
      <c r="R21" t="b">
        <v>1</v>
      </c>
    </row>
    <row r="22" spans="1:18">
      <c r="A22" t="s">
        <v>3012</v>
      </c>
      <c r="B22" t="s">
        <v>5603</v>
      </c>
      <c r="C22" t="s">
        <v>7757</v>
      </c>
      <c r="D22" s="1">
        <v>1</v>
      </c>
      <c r="E22" s="1">
        <v>3</v>
      </c>
      <c r="F22" s="1">
        <v>19</v>
      </c>
      <c r="G22" s="1">
        <v>21</v>
      </c>
      <c r="H22" s="17" cm="1">
        <f t="array" ref="H22">_xlfn.LET(_xlpm.s,IFERROR(--F22,""),_xlpm.e,IFERROR(--G22,""),IF(OR(_xlpm.s="",_xlpm.e="",_xlpm.e&lt;_xlpm.s),"",_xlfn.LET(_xlpm.p,_xlfn.SEQUENCE(_xlpm.e-_xlpm.s+1,1,_xlpm.s,1),SUM(1/COUNTIFS($D:$D,D22,$E:$E,E22,$F:$F,"&lt;&gt;N/A",$G:$G,"&lt;&gt;N/A",$F:$F,"&lt;="&amp;_xlpm.p,$G:$G,"&gt;="&amp;_xlpm.p)))))</f>
        <v>1.8333333333333333</v>
      </c>
      <c r="I22" t="s">
        <v>7</v>
      </c>
      <c r="J22" t="s">
        <v>5268</v>
      </c>
      <c r="K22" s="5" t="s">
        <v>7</v>
      </c>
      <c r="L22" s="5" t="s">
        <v>7</v>
      </c>
      <c r="M22" s="5" t="s">
        <v>7</v>
      </c>
      <c r="N22" t="s">
        <v>8053</v>
      </c>
      <c r="O22" s="5" t="s">
        <v>11522</v>
      </c>
      <c r="P22" s="5" t="s">
        <v>8021</v>
      </c>
      <c r="R22" t="b">
        <v>1</v>
      </c>
    </row>
    <row r="23" spans="1:18">
      <c r="A23" t="s">
        <v>3012</v>
      </c>
      <c r="B23" t="s">
        <v>5604</v>
      </c>
      <c r="C23" t="s">
        <v>7757</v>
      </c>
      <c r="D23" s="1">
        <v>1</v>
      </c>
      <c r="E23" s="1">
        <v>3</v>
      </c>
      <c r="F23" s="1">
        <v>21</v>
      </c>
      <c r="G23" s="1">
        <v>25</v>
      </c>
      <c r="H23" s="17" cm="1">
        <f t="array" ref="H23">_xlfn.LET(_xlpm.s,IFERROR(--F23,""),_xlpm.e,IFERROR(--G23,""),IF(OR(_xlpm.s="",_xlpm.e="",_xlpm.e&lt;_xlpm.s),"",_xlfn.LET(_xlpm.p,_xlfn.SEQUENCE(_xlpm.e-_xlpm.s+1,1,_xlpm.s,1),SUM(1/COUNTIFS($D:$D,D23,$E:$E,E23,$F:$F,"&lt;&gt;N/A",$G:$G,"&lt;&gt;N/A",$F:$F,"&lt;="&amp;_xlpm.p,$G:$G,"&gt;="&amp;_xlpm.p)))))</f>
        <v>4</v>
      </c>
      <c r="I23" t="s">
        <v>7</v>
      </c>
      <c r="J23" t="s">
        <v>234</v>
      </c>
      <c r="K23" t="s">
        <v>7</v>
      </c>
      <c r="L23" s="5" t="s">
        <v>5269</v>
      </c>
      <c r="M23" s="5" t="s">
        <v>5131</v>
      </c>
      <c r="N23" t="s">
        <v>2545</v>
      </c>
      <c r="O23" s="5" t="s">
        <v>5072</v>
      </c>
      <c r="P23" s="5" t="s">
        <v>8021</v>
      </c>
      <c r="R23" t="b">
        <v>1</v>
      </c>
    </row>
    <row r="24" spans="1:18">
      <c r="A24" t="s">
        <v>3012</v>
      </c>
      <c r="B24" t="s">
        <v>5605</v>
      </c>
      <c r="C24" t="s">
        <v>7757</v>
      </c>
      <c r="D24" s="1">
        <v>1</v>
      </c>
      <c r="E24" s="1">
        <v>3</v>
      </c>
      <c r="F24" s="1">
        <v>25</v>
      </c>
      <c r="G24" s="1">
        <v>31</v>
      </c>
      <c r="H24" s="17" cm="1">
        <f t="array" ref="H24">_xlfn.LET(_xlpm.s,IFERROR(--F24,""),_xlpm.e,IFERROR(--G24,""),IF(OR(_xlpm.s="",_xlpm.e="",_xlpm.e&lt;_xlpm.s),"",_xlfn.LET(_xlpm.p,_xlfn.SEQUENCE(_xlpm.e-_xlpm.s+1,1,_xlpm.s,1),SUM(1/COUNTIFS($D:$D,D24,$E:$E,E24,$F:$F,"&lt;&gt;N/A",$G:$G,"&lt;&gt;N/A",$F:$F,"&lt;="&amp;_xlpm.p,$G:$G,"&gt;="&amp;_xlpm.p)))))</f>
        <v>6</v>
      </c>
      <c r="I24" t="s">
        <v>7</v>
      </c>
      <c r="J24" t="s">
        <v>235</v>
      </c>
      <c r="K24" t="s">
        <v>2522</v>
      </c>
      <c r="L24" s="5" t="s">
        <v>7</v>
      </c>
      <c r="M24" s="5" t="s">
        <v>5133</v>
      </c>
      <c r="N24" t="s">
        <v>5132</v>
      </c>
      <c r="O24" s="5" t="s">
        <v>10264</v>
      </c>
      <c r="P24" s="5" t="s">
        <v>8020</v>
      </c>
      <c r="R24" t="b">
        <v>1</v>
      </c>
    </row>
    <row r="25" spans="1:18">
      <c r="A25" t="s">
        <v>3012</v>
      </c>
      <c r="B25" t="s">
        <v>5606</v>
      </c>
      <c r="C25" t="s">
        <v>7757</v>
      </c>
      <c r="D25" s="1">
        <v>1</v>
      </c>
      <c r="E25" s="1">
        <v>3</v>
      </c>
      <c r="F25" s="1">
        <v>31</v>
      </c>
      <c r="G25" s="1">
        <v>32</v>
      </c>
      <c r="H25" s="17" cm="1">
        <f t="array" ref="H25">_xlfn.LET(_xlpm.s,IFERROR(--F25,""),_xlpm.e,IFERROR(--G25,""),IF(OR(_xlpm.s="",_xlpm.e="",_xlpm.e&lt;_xlpm.s),"",_xlfn.LET(_xlpm.p,_xlfn.SEQUENCE(_xlpm.e-_xlpm.s+1,1,_xlpm.s,1),SUM(1/COUNTIFS($D:$D,D25,$E:$E,E25,$F:$F,"&lt;&gt;N/A",$G:$G,"&lt;&gt;N/A",$F:$F,"&lt;="&amp;_xlpm.p,$G:$G,"&gt;="&amp;_xlpm.p)))))</f>
        <v>1</v>
      </c>
      <c r="I25" t="s">
        <v>7</v>
      </c>
      <c r="J25" t="s">
        <v>236</v>
      </c>
      <c r="K25" t="s">
        <v>7</v>
      </c>
      <c r="L25" s="5" t="s">
        <v>7</v>
      </c>
      <c r="M25" t="s">
        <v>5046</v>
      </c>
      <c r="N25" t="s">
        <v>2546</v>
      </c>
      <c r="O25" s="5" t="s">
        <v>5072</v>
      </c>
      <c r="P25" s="5" t="s">
        <v>8092</v>
      </c>
      <c r="R25" t="b">
        <v>1</v>
      </c>
    </row>
    <row r="26" spans="1:18">
      <c r="A26" t="s">
        <v>3012</v>
      </c>
      <c r="B26" t="s">
        <v>5607</v>
      </c>
      <c r="C26" t="s">
        <v>7757</v>
      </c>
      <c r="D26" s="1">
        <v>1</v>
      </c>
      <c r="E26" s="1">
        <v>3</v>
      </c>
      <c r="F26" s="1">
        <v>32</v>
      </c>
      <c r="G26" s="1">
        <v>32</v>
      </c>
      <c r="H26" s="17" cm="1">
        <f t="array" ref="H26">_xlfn.LET(_xlpm.s,IFERROR(--F26,""),_xlpm.e,IFERROR(--G26,""),IF(OR(_xlpm.s="",_xlpm.e="",_xlpm.e&lt;_xlpm.s),"",_xlfn.LET(_xlpm.p,_xlfn.SEQUENCE(_xlpm.e-_xlpm.s+1,1,_xlpm.s,1),SUM(1/COUNTIFS($D:$D,D26,$E:$E,E26,$F:$F,"&lt;&gt;N/A",$G:$G,"&lt;&gt;N/A",$F:$F,"&lt;="&amp;_xlpm.p,$G:$G,"&gt;="&amp;_xlpm.p)))))</f>
        <v>0.5</v>
      </c>
      <c r="I26" t="s">
        <v>7</v>
      </c>
      <c r="J26" t="s">
        <v>5270</v>
      </c>
      <c r="K26" t="s">
        <v>7</v>
      </c>
      <c r="L26" s="5" t="s">
        <v>4596</v>
      </c>
      <c r="M26" t="s">
        <v>5046</v>
      </c>
      <c r="N26" t="s">
        <v>2547</v>
      </c>
      <c r="O26" s="5" t="s">
        <v>5072</v>
      </c>
      <c r="P26" s="5" t="s">
        <v>8092</v>
      </c>
      <c r="Q26" t="s">
        <v>2509</v>
      </c>
      <c r="R26" t="b">
        <v>1</v>
      </c>
    </row>
    <row r="27" spans="1:18">
      <c r="A27" t="s">
        <v>3012</v>
      </c>
      <c r="B27" t="s">
        <v>5608</v>
      </c>
      <c r="C27" t="s">
        <v>7765</v>
      </c>
      <c r="D27" s="1">
        <v>1</v>
      </c>
      <c r="E27" s="1">
        <v>4</v>
      </c>
      <c r="F27" s="1">
        <v>1</v>
      </c>
      <c r="G27" s="1">
        <v>7</v>
      </c>
      <c r="H27" s="17" cm="1">
        <f t="array" ref="H27">_xlfn.LET(_xlpm.s,IFERROR(--F27,""),_xlpm.e,IFERROR(--G27,""),IF(OR(_xlpm.s="",_xlpm.e="",_xlpm.e&lt;_xlpm.s),"",_xlfn.LET(_xlpm.p,_xlfn.SEQUENCE(_xlpm.e-_xlpm.s+1,1,_xlpm.s,1),SUM(1/COUNTIFS($D:$D,D27,$E:$E,E27,$F:$F,"&lt;&gt;N/A",$G:$G,"&lt;&gt;N/A",$F:$F,"&lt;="&amp;_xlpm.p,$G:$G,"&gt;="&amp;_xlpm.p)))))</f>
        <v>6.5</v>
      </c>
      <c r="I27" t="s">
        <v>7</v>
      </c>
      <c r="J27" t="s">
        <v>7444</v>
      </c>
      <c r="K27" t="s">
        <v>7</v>
      </c>
      <c r="L27" s="5" t="s">
        <v>4589</v>
      </c>
      <c r="M27" s="5" t="s">
        <v>5230</v>
      </c>
      <c r="N27" t="s">
        <v>2548</v>
      </c>
      <c r="O27" s="5" t="s">
        <v>10264</v>
      </c>
      <c r="P27" s="5" t="s">
        <v>8019</v>
      </c>
      <c r="R27" t="b">
        <v>1</v>
      </c>
    </row>
    <row r="28" spans="1:18">
      <c r="A28" t="s">
        <v>3012</v>
      </c>
      <c r="B28" t="s">
        <v>5609</v>
      </c>
      <c r="C28" t="s">
        <v>7765</v>
      </c>
      <c r="D28" s="1">
        <v>1</v>
      </c>
      <c r="E28" s="1">
        <v>4</v>
      </c>
      <c r="F28" s="1">
        <v>7</v>
      </c>
      <c r="G28" s="1">
        <v>18</v>
      </c>
      <c r="H28" s="17" cm="1">
        <f t="array" ref="H28">_xlfn.LET(_xlpm.s,IFERROR(--F28,""),_xlpm.e,IFERROR(--G28,""),IF(OR(_xlpm.s="",_xlpm.e="",_xlpm.e&lt;_xlpm.s),"",_xlfn.LET(_xlpm.p,_xlfn.SEQUENCE(_xlpm.e-_xlpm.s+1,1,_xlpm.s,1),SUM(1/COUNTIFS($D:$D,D28,$E:$E,E28,$F:$F,"&lt;&gt;N/A",$G:$G,"&lt;&gt;N/A",$F:$F,"&lt;="&amp;_xlpm.p,$G:$G,"&gt;="&amp;_xlpm.p)))))</f>
        <v>11</v>
      </c>
      <c r="I28" t="s">
        <v>7</v>
      </c>
      <c r="J28" t="s">
        <v>10620</v>
      </c>
      <c r="K28" t="s">
        <v>2549</v>
      </c>
      <c r="L28" s="5" t="s">
        <v>7</v>
      </c>
      <c r="M28" t="s">
        <v>7</v>
      </c>
      <c r="N28" t="s">
        <v>7</v>
      </c>
      <c r="O28" s="5" t="s">
        <v>5072</v>
      </c>
      <c r="P28" s="5" t="s">
        <v>8019</v>
      </c>
      <c r="Q28" t="s">
        <v>6520</v>
      </c>
      <c r="R28" t="b">
        <v>1</v>
      </c>
    </row>
    <row r="29" spans="1:18">
      <c r="A29" t="s">
        <v>3012</v>
      </c>
      <c r="B29" t="s">
        <v>5610</v>
      </c>
      <c r="C29" t="s">
        <v>7765</v>
      </c>
      <c r="D29" s="1">
        <v>1</v>
      </c>
      <c r="E29" s="1">
        <v>4</v>
      </c>
      <c r="F29" s="1">
        <v>18</v>
      </c>
      <c r="G29" s="1">
        <v>19</v>
      </c>
      <c r="H29" s="17" cm="1">
        <f t="array" ref="H29">_xlfn.LET(_xlpm.s,IFERROR(--F29,""),_xlpm.e,IFERROR(--G29,""),IF(OR(_xlpm.s="",_xlpm.e="",_xlpm.e&lt;_xlpm.s),"",_xlfn.LET(_xlpm.p,_xlfn.SEQUENCE(_xlpm.e-_xlpm.s+1,1,_xlpm.s,1),SUM(1/COUNTIFS($D:$D,D29,$E:$E,E29,$F:$F,"&lt;&gt;N/A",$G:$G,"&lt;&gt;N/A",$F:$F,"&lt;="&amp;_xlpm.p,$G:$G,"&gt;="&amp;_xlpm.p)))))</f>
        <v>0.83333333333333326</v>
      </c>
      <c r="I29" t="s">
        <v>7</v>
      </c>
      <c r="J29" t="s">
        <v>237</v>
      </c>
      <c r="K29" t="s">
        <v>7</v>
      </c>
      <c r="L29" s="5" t="s">
        <v>7</v>
      </c>
      <c r="M29" t="s">
        <v>5046</v>
      </c>
      <c r="N29" t="s">
        <v>2551</v>
      </c>
      <c r="O29" s="5" t="s">
        <v>5072</v>
      </c>
      <c r="P29" s="5" t="s">
        <v>8092</v>
      </c>
      <c r="R29" t="b">
        <v>1</v>
      </c>
    </row>
    <row r="30" spans="1:18">
      <c r="A30" t="s">
        <v>3012</v>
      </c>
      <c r="B30" t="s">
        <v>5611</v>
      </c>
      <c r="C30" t="s">
        <v>7765</v>
      </c>
      <c r="D30" s="1">
        <v>1</v>
      </c>
      <c r="E30" s="1">
        <v>4</v>
      </c>
      <c r="F30" s="1">
        <v>19</v>
      </c>
      <c r="G30" s="1">
        <v>19</v>
      </c>
      <c r="H30" s="17" cm="1">
        <f t="array" ref="H30">_xlfn.LET(_xlpm.s,IFERROR(--F30,""),_xlpm.e,IFERROR(--G30,""),IF(OR(_xlpm.s="",_xlpm.e="",_xlpm.e&lt;_xlpm.s),"",_xlfn.LET(_xlpm.p,_xlfn.SEQUENCE(_xlpm.e-_xlpm.s+1,1,_xlpm.s,1),SUM(1/COUNTIFS($D:$D,D30,$E:$E,E30,$F:$F,"&lt;&gt;N/A",$G:$G,"&lt;&gt;N/A",$F:$F,"&lt;="&amp;_xlpm.p,$G:$G,"&gt;="&amp;_xlpm.p)))))</f>
        <v>0.33333333333333331</v>
      </c>
      <c r="I30" t="s">
        <v>7</v>
      </c>
      <c r="J30" t="s">
        <v>238</v>
      </c>
      <c r="K30" t="s">
        <v>7</v>
      </c>
      <c r="L30" s="5" t="s">
        <v>7</v>
      </c>
      <c r="M30" t="s">
        <v>5046</v>
      </c>
      <c r="N30" t="s">
        <v>2550</v>
      </c>
      <c r="O30" s="5" t="s">
        <v>5072</v>
      </c>
      <c r="P30" s="5" t="s">
        <v>8092</v>
      </c>
      <c r="R30" t="b">
        <v>1</v>
      </c>
    </row>
    <row r="31" spans="1:18">
      <c r="A31" t="s">
        <v>3012</v>
      </c>
      <c r="B31" t="s">
        <v>5612</v>
      </c>
      <c r="C31" t="s">
        <v>7765</v>
      </c>
      <c r="D31" s="1">
        <v>1</v>
      </c>
      <c r="E31" s="1">
        <v>4</v>
      </c>
      <c r="F31" s="1">
        <v>19</v>
      </c>
      <c r="G31" s="1">
        <v>20</v>
      </c>
      <c r="H31" s="17" cm="1">
        <f t="array" ref="H31">_xlfn.LET(_xlpm.s,IFERROR(--F31,""),_xlpm.e,IFERROR(--G31,""),IF(OR(_xlpm.s="",_xlpm.e="",_xlpm.e&lt;_xlpm.s),"",_xlfn.LET(_xlpm.p,_xlfn.SEQUENCE(_xlpm.e-_xlpm.s+1,1,_xlpm.s,1),SUM(1/COUNTIFS($D:$D,D31,$E:$E,E31,$F:$F,"&lt;&gt;N/A",$G:$G,"&lt;&gt;N/A",$F:$F,"&lt;="&amp;_xlpm.p,$G:$G,"&gt;="&amp;_xlpm.p)))))</f>
        <v>0.83333333333333326</v>
      </c>
      <c r="I31" t="s">
        <v>7</v>
      </c>
      <c r="J31" t="s">
        <v>239</v>
      </c>
      <c r="K31" t="s">
        <v>7</v>
      </c>
      <c r="L31" s="5" t="s">
        <v>4596</v>
      </c>
      <c r="M31" t="s">
        <v>5046</v>
      </c>
      <c r="N31" t="s">
        <v>2552</v>
      </c>
      <c r="O31" s="5" t="s">
        <v>5072</v>
      </c>
      <c r="P31" s="5" t="s">
        <v>8092</v>
      </c>
      <c r="Q31" t="s">
        <v>2509</v>
      </c>
      <c r="R31" t="b">
        <v>1</v>
      </c>
    </row>
    <row r="32" spans="1:18">
      <c r="A32" t="s">
        <v>3012</v>
      </c>
      <c r="B32" t="s">
        <v>5613</v>
      </c>
      <c r="C32" t="s">
        <v>7765</v>
      </c>
      <c r="D32" s="1">
        <v>1</v>
      </c>
      <c r="E32" s="1">
        <v>4</v>
      </c>
      <c r="F32" s="1">
        <v>20</v>
      </c>
      <c r="G32" s="1">
        <v>21</v>
      </c>
      <c r="H32" s="17" cm="1">
        <f t="array" ref="H32">_xlfn.LET(_xlpm.s,IFERROR(--F32,""),_xlpm.e,IFERROR(--G32,""),IF(OR(_xlpm.s="",_xlpm.e="",_xlpm.e&lt;_xlpm.s),"",_xlfn.LET(_xlpm.p,_xlfn.SEQUENCE(_xlpm.e-_xlpm.s+1,1,_xlpm.s,1),SUM(1/COUNTIFS($D:$D,D32,$E:$E,E32,$F:$F,"&lt;&gt;N/A",$G:$G,"&lt;&gt;N/A",$F:$F,"&lt;="&amp;_xlpm.p,$G:$G,"&gt;="&amp;_xlpm.p)))))</f>
        <v>1</v>
      </c>
      <c r="I32" t="s">
        <v>7</v>
      </c>
      <c r="J32" t="s">
        <v>240</v>
      </c>
      <c r="K32" t="s">
        <v>7</v>
      </c>
      <c r="L32" s="5" t="s">
        <v>4596</v>
      </c>
      <c r="M32" t="s">
        <v>5046</v>
      </c>
      <c r="N32" t="s">
        <v>2553</v>
      </c>
      <c r="O32" s="5" t="s">
        <v>5072</v>
      </c>
      <c r="P32" s="5" t="s">
        <v>8092</v>
      </c>
      <c r="Q32" t="s">
        <v>2509</v>
      </c>
      <c r="R32" t="b">
        <v>1</v>
      </c>
    </row>
    <row r="33" spans="1:18">
      <c r="A33" t="s">
        <v>3012</v>
      </c>
      <c r="B33" t="s">
        <v>5614</v>
      </c>
      <c r="C33" t="s">
        <v>7765</v>
      </c>
      <c r="D33" s="1">
        <v>1</v>
      </c>
      <c r="E33" s="1">
        <v>4</v>
      </c>
      <c r="F33" s="1">
        <v>21</v>
      </c>
      <c r="G33" s="1">
        <v>27</v>
      </c>
      <c r="H33" s="17" cm="1">
        <f t="array" ref="H33">_xlfn.LET(_xlpm.s,IFERROR(--F33,""),_xlpm.e,IFERROR(--G33,""),IF(OR(_xlpm.s="",_xlpm.e="",_xlpm.e&lt;_xlpm.s),"",_xlfn.LET(_xlpm.p,_xlfn.SEQUENCE(_xlpm.e-_xlpm.s+1,1,_xlpm.s,1),SUM(1/COUNTIFS($D:$D,D33,$E:$E,E33,$F:$F,"&lt;&gt;N/A",$G:$G,"&lt;&gt;N/A",$F:$F,"&lt;="&amp;_xlpm.p,$G:$G,"&gt;="&amp;_xlpm.p)))))</f>
        <v>6</v>
      </c>
      <c r="I33" t="s">
        <v>7</v>
      </c>
      <c r="J33" t="s">
        <v>241</v>
      </c>
      <c r="K33" t="s">
        <v>7</v>
      </c>
      <c r="L33" s="5" t="s">
        <v>5271</v>
      </c>
      <c r="M33" t="s">
        <v>7</v>
      </c>
      <c r="N33" t="s">
        <v>7</v>
      </c>
      <c r="O33" s="5" t="s">
        <v>778</v>
      </c>
      <c r="P33" s="5" t="s">
        <v>7834</v>
      </c>
      <c r="R33" t="b">
        <v>1</v>
      </c>
    </row>
    <row r="34" spans="1:18">
      <c r="A34" t="s">
        <v>3012</v>
      </c>
      <c r="B34" t="s">
        <v>5615</v>
      </c>
      <c r="C34" t="s">
        <v>7765</v>
      </c>
      <c r="D34" s="1">
        <v>1</v>
      </c>
      <c r="E34" s="1">
        <v>4</v>
      </c>
      <c r="F34" s="1">
        <v>27</v>
      </c>
      <c r="G34" s="1">
        <v>28</v>
      </c>
      <c r="H34" s="17" cm="1">
        <f t="array" ref="H34">_xlfn.LET(_xlpm.s,IFERROR(--F34,""),_xlpm.e,IFERROR(--G34,""),IF(OR(_xlpm.s="",_xlpm.e="",_xlpm.e&lt;_xlpm.s),"",_xlfn.LET(_xlpm.p,_xlfn.SEQUENCE(_xlpm.e-_xlpm.s+1,1,_xlpm.s,1),SUM(1/COUNTIFS($D:$D,D34,$E:$E,E34,$F:$F,"&lt;&gt;N/A",$G:$G,"&lt;&gt;N/A",$F:$F,"&lt;="&amp;_xlpm.p,$G:$G,"&gt;="&amp;_xlpm.p)))))</f>
        <v>1</v>
      </c>
      <c r="I34" t="s">
        <v>7</v>
      </c>
      <c r="J34" t="s">
        <v>4412</v>
      </c>
      <c r="K34" t="s">
        <v>7</v>
      </c>
      <c r="L34" s="5" t="s">
        <v>5272</v>
      </c>
      <c r="M34" t="s">
        <v>5147</v>
      </c>
      <c r="N34" t="s">
        <v>4429</v>
      </c>
      <c r="O34" s="5" t="s">
        <v>11522</v>
      </c>
      <c r="P34" s="5" t="s">
        <v>8021</v>
      </c>
      <c r="Q34" t="s">
        <v>2509</v>
      </c>
      <c r="R34" t="b">
        <v>1</v>
      </c>
    </row>
    <row r="35" spans="1:18">
      <c r="A35" t="s">
        <v>3012</v>
      </c>
      <c r="B35" t="s">
        <v>5616</v>
      </c>
      <c r="C35" t="s">
        <v>7765</v>
      </c>
      <c r="D35" s="1">
        <v>1</v>
      </c>
      <c r="E35" s="1">
        <v>4</v>
      </c>
      <c r="F35" s="1">
        <v>28</v>
      </c>
      <c r="G35" s="1">
        <v>29</v>
      </c>
      <c r="H35" s="17" cm="1">
        <f t="array" ref="H35">_xlfn.LET(_xlpm.s,IFERROR(--F35,""),_xlpm.e,IFERROR(--G35,""),IF(OR(_xlpm.s="",_xlpm.e="",_xlpm.e&lt;_xlpm.s),"",_xlfn.LET(_xlpm.p,_xlfn.SEQUENCE(_xlpm.e-_xlpm.s+1,1,_xlpm.s,1),SUM(1/COUNTIFS($D:$D,D35,$E:$E,E35,$F:$F,"&lt;&gt;N/A",$G:$G,"&lt;&gt;N/A",$F:$F,"&lt;="&amp;_xlpm.p,$G:$G,"&gt;="&amp;_xlpm.p)))))</f>
        <v>0.83333333333333326</v>
      </c>
      <c r="I35" t="s">
        <v>7</v>
      </c>
      <c r="J35" t="s">
        <v>242</v>
      </c>
      <c r="K35" t="s">
        <v>7</v>
      </c>
      <c r="L35" s="5" t="s">
        <v>5272</v>
      </c>
      <c r="M35" t="s">
        <v>5147</v>
      </c>
      <c r="N35" t="s">
        <v>4426</v>
      </c>
      <c r="O35" s="5" t="s">
        <v>5072</v>
      </c>
      <c r="P35" s="5" t="s">
        <v>8021</v>
      </c>
      <c r="Q35" t="s">
        <v>2509</v>
      </c>
      <c r="R35" t="b">
        <v>1</v>
      </c>
    </row>
    <row r="36" spans="1:18">
      <c r="A36" t="s">
        <v>3012</v>
      </c>
      <c r="B36" t="s">
        <v>5617</v>
      </c>
      <c r="C36" t="s">
        <v>7765</v>
      </c>
      <c r="D36" s="1">
        <v>1</v>
      </c>
      <c r="E36" s="1">
        <v>4</v>
      </c>
      <c r="F36" s="1">
        <v>29</v>
      </c>
      <c r="G36" s="1">
        <v>29</v>
      </c>
      <c r="H36" s="17" cm="1">
        <f t="array" ref="H36">_xlfn.LET(_xlpm.s,IFERROR(--F36,""),_xlpm.e,IFERROR(--G36,""),IF(OR(_xlpm.s="",_xlpm.e="",_xlpm.e&lt;_xlpm.s),"",_xlfn.LET(_xlpm.p,_xlfn.SEQUENCE(_xlpm.e-_xlpm.s+1,1,_xlpm.s,1),SUM(1/COUNTIFS($D:$D,D36,$E:$E,E36,$F:$F,"&lt;&gt;N/A",$G:$G,"&lt;&gt;N/A",$F:$F,"&lt;="&amp;_xlpm.p,$G:$G,"&gt;="&amp;_xlpm.p)))))</f>
        <v>0.33333333333333331</v>
      </c>
      <c r="I36" t="s">
        <v>7</v>
      </c>
      <c r="J36" t="s">
        <v>243</v>
      </c>
      <c r="K36" t="s">
        <v>7</v>
      </c>
      <c r="L36" s="5" t="s">
        <v>5272</v>
      </c>
      <c r="M36" t="s">
        <v>5147</v>
      </c>
      <c r="N36" t="s">
        <v>4425</v>
      </c>
      <c r="O36" s="5" t="s">
        <v>11522</v>
      </c>
      <c r="P36" s="5" t="s">
        <v>8021</v>
      </c>
      <c r="R36" t="b">
        <v>1</v>
      </c>
    </row>
    <row r="37" spans="1:18">
      <c r="A37" t="s">
        <v>3012</v>
      </c>
      <c r="B37" t="s">
        <v>5618</v>
      </c>
      <c r="C37" t="s">
        <v>7765</v>
      </c>
      <c r="D37" s="1">
        <v>1</v>
      </c>
      <c r="E37" s="1">
        <v>4</v>
      </c>
      <c r="F37" s="1">
        <v>29</v>
      </c>
      <c r="G37" s="1">
        <v>30</v>
      </c>
      <c r="H37" s="17" cm="1">
        <f t="array" ref="H37">_xlfn.LET(_xlpm.s,IFERROR(--F37,""),_xlpm.e,IFERROR(--G37,""),IF(OR(_xlpm.s="",_xlpm.e="",_xlpm.e&lt;_xlpm.s),"",_xlfn.LET(_xlpm.p,_xlfn.SEQUENCE(_xlpm.e-_xlpm.s+1,1,_xlpm.s,1),SUM(1/COUNTIFS($D:$D,D37,$E:$E,E37,$F:$F,"&lt;&gt;N/A",$G:$G,"&lt;&gt;N/A",$F:$F,"&lt;="&amp;_xlpm.p,$G:$G,"&gt;="&amp;_xlpm.p)))))</f>
        <v>0.58333333333333326</v>
      </c>
      <c r="I37" t="s">
        <v>7</v>
      </c>
      <c r="J37" t="s">
        <v>244</v>
      </c>
      <c r="K37" t="s">
        <v>7</v>
      </c>
      <c r="L37" s="5" t="s">
        <v>7</v>
      </c>
      <c r="M37" t="s">
        <v>5147</v>
      </c>
      <c r="N37" t="s">
        <v>2595</v>
      </c>
      <c r="O37" s="5" t="s">
        <v>5072</v>
      </c>
      <c r="P37" s="5" t="s">
        <v>8021</v>
      </c>
      <c r="R37" t="b">
        <v>1</v>
      </c>
    </row>
    <row r="38" spans="1:18">
      <c r="A38" t="s">
        <v>3012</v>
      </c>
      <c r="B38" t="s">
        <v>5619</v>
      </c>
      <c r="C38" t="s">
        <v>7765</v>
      </c>
      <c r="D38" s="1">
        <v>1</v>
      </c>
      <c r="E38" s="1">
        <v>4</v>
      </c>
      <c r="F38" s="1">
        <v>30</v>
      </c>
      <c r="G38" s="1">
        <v>30</v>
      </c>
      <c r="H38" s="17" cm="1">
        <f t="array" ref="H38">_xlfn.LET(_xlpm.s,IFERROR(--F38,""),_xlpm.e,IFERROR(--G38,""),IF(OR(_xlpm.s="",_xlpm.e="",_xlpm.e&lt;_xlpm.s),"",_xlfn.LET(_xlpm.p,_xlfn.SEQUENCE(_xlpm.e-_xlpm.s+1,1,_xlpm.s,1),SUM(1/COUNTIFS($D:$D,D38,$E:$E,E38,$F:$F,"&lt;&gt;N/A",$G:$G,"&lt;&gt;N/A",$F:$F,"&lt;="&amp;_xlpm.p,$G:$G,"&gt;="&amp;_xlpm.p)))))</f>
        <v>0.25</v>
      </c>
      <c r="I38" t="s">
        <v>7</v>
      </c>
      <c r="J38" t="s">
        <v>245</v>
      </c>
      <c r="K38" t="s">
        <v>7</v>
      </c>
      <c r="L38" s="5" t="s">
        <v>7</v>
      </c>
      <c r="M38" t="s">
        <v>5147</v>
      </c>
      <c r="N38" t="s">
        <v>2594</v>
      </c>
      <c r="O38" s="5" t="s">
        <v>5072</v>
      </c>
      <c r="P38" s="5" t="s">
        <v>8021</v>
      </c>
      <c r="R38" t="b">
        <v>1</v>
      </c>
    </row>
    <row r="39" spans="1:18">
      <c r="A39" t="s">
        <v>3012</v>
      </c>
      <c r="B39" t="s">
        <v>5620</v>
      </c>
      <c r="C39" t="s">
        <v>7765</v>
      </c>
      <c r="D39" s="1">
        <v>1</v>
      </c>
      <c r="E39" s="1">
        <v>4</v>
      </c>
      <c r="F39" s="1">
        <v>30</v>
      </c>
      <c r="G39" s="1">
        <v>30</v>
      </c>
      <c r="H39" s="17" cm="1">
        <f t="array" ref="H39">_xlfn.LET(_xlpm.s,IFERROR(--F39,""),_xlpm.e,IFERROR(--G39,""),IF(OR(_xlpm.s="",_xlpm.e="",_xlpm.e&lt;_xlpm.s),"",_xlfn.LET(_xlpm.p,_xlfn.SEQUENCE(_xlpm.e-_xlpm.s+1,1,_xlpm.s,1),SUM(1/COUNTIFS($D:$D,D39,$E:$E,E39,$F:$F,"&lt;&gt;N/A",$G:$G,"&lt;&gt;N/A",$F:$F,"&lt;="&amp;_xlpm.p,$G:$G,"&gt;="&amp;_xlpm.p)))))</f>
        <v>0.25</v>
      </c>
      <c r="I39" t="s">
        <v>7</v>
      </c>
      <c r="J39" t="s">
        <v>246</v>
      </c>
      <c r="K39" t="s">
        <v>7</v>
      </c>
      <c r="L39" s="5" t="s">
        <v>7</v>
      </c>
      <c r="M39" t="s">
        <v>5046</v>
      </c>
      <c r="N39" t="s">
        <v>2554</v>
      </c>
      <c r="O39" s="5" t="s">
        <v>5072</v>
      </c>
      <c r="P39" s="5" t="s">
        <v>8092</v>
      </c>
      <c r="R39" t="b">
        <v>1</v>
      </c>
    </row>
    <row r="40" spans="1:18">
      <c r="A40" t="s">
        <v>3012</v>
      </c>
      <c r="B40" t="s">
        <v>5621</v>
      </c>
      <c r="C40" t="s">
        <v>7765</v>
      </c>
      <c r="D40" s="1">
        <v>1</v>
      </c>
      <c r="E40" s="1">
        <v>4</v>
      </c>
      <c r="F40" s="1">
        <v>30</v>
      </c>
      <c r="G40" s="1">
        <v>32</v>
      </c>
      <c r="H40" s="17" cm="1">
        <f t="array" ref="H40">_xlfn.LET(_xlpm.s,IFERROR(--F40,""),_xlpm.e,IFERROR(--G40,""),IF(OR(_xlpm.s="",_xlpm.e="",_xlpm.e&lt;_xlpm.s),"",_xlfn.LET(_xlpm.p,_xlfn.SEQUENCE(_xlpm.e-_xlpm.s+1,1,_xlpm.s,1),SUM(1/COUNTIFS($D:$D,D40,$E:$E,E40,$F:$F,"&lt;&gt;N/A",$G:$G,"&lt;&gt;N/A",$F:$F,"&lt;="&amp;_xlpm.p,$G:$G,"&gt;="&amp;_xlpm.p)))))</f>
        <v>2.25</v>
      </c>
      <c r="I40" t="s">
        <v>7</v>
      </c>
      <c r="J40" t="s">
        <v>4427</v>
      </c>
      <c r="K40" t="s">
        <v>7</v>
      </c>
      <c r="L40" s="5" t="s">
        <v>5273</v>
      </c>
      <c r="M40" t="s">
        <v>5046</v>
      </c>
      <c r="N40" t="s">
        <v>4428</v>
      </c>
      <c r="O40" s="5" t="s">
        <v>5072</v>
      </c>
      <c r="P40" s="5" t="s">
        <v>8092</v>
      </c>
      <c r="Q40" t="s">
        <v>2509</v>
      </c>
      <c r="R40" t="b">
        <v>1</v>
      </c>
    </row>
    <row r="41" spans="1:18">
      <c r="A41" t="s">
        <v>3012</v>
      </c>
      <c r="B41" t="s">
        <v>5622</v>
      </c>
      <c r="C41" t="s">
        <v>7773</v>
      </c>
      <c r="D41" s="1">
        <v>1</v>
      </c>
      <c r="E41" s="1">
        <v>5</v>
      </c>
      <c r="F41" s="1">
        <v>1</v>
      </c>
      <c r="G41" s="1">
        <v>19</v>
      </c>
      <c r="H41" s="17" cm="1">
        <f t="array" ref="H41">_xlfn.LET(_xlpm.s,IFERROR(--F41,""),_xlpm.e,IFERROR(--G41,""),IF(OR(_xlpm.s="",_xlpm.e="",_xlpm.e&lt;_xlpm.s),"",_xlfn.LET(_xlpm.p,_xlfn.SEQUENCE(_xlpm.e-_xlpm.s+1,1,_xlpm.s,1),SUM(1/COUNTIFS($D:$D,D41,$E:$E,E41,$F:$F,"&lt;&gt;N/A",$G:$G,"&lt;&gt;N/A",$F:$F,"&lt;="&amp;_xlpm.p,$G:$G,"&gt;="&amp;_xlpm.p)))))</f>
        <v>18.5</v>
      </c>
      <c r="I41" t="s">
        <v>7</v>
      </c>
      <c r="J41" t="s">
        <v>1783</v>
      </c>
      <c r="K41" t="s">
        <v>2465</v>
      </c>
      <c r="L41" s="5" t="s">
        <v>7</v>
      </c>
      <c r="M41" s="5" t="s">
        <v>7</v>
      </c>
      <c r="N41" t="s">
        <v>7</v>
      </c>
      <c r="O41" s="5" t="s">
        <v>778</v>
      </c>
      <c r="P41" s="5" t="s">
        <v>7834</v>
      </c>
      <c r="R41" t="b">
        <v>1</v>
      </c>
    </row>
    <row r="42" spans="1:18">
      <c r="A42" t="s">
        <v>3012</v>
      </c>
      <c r="B42" t="s">
        <v>5623</v>
      </c>
      <c r="C42" t="s">
        <v>7773</v>
      </c>
      <c r="D42" s="1">
        <v>1</v>
      </c>
      <c r="E42" s="1">
        <v>5</v>
      </c>
      <c r="F42" s="1">
        <v>19</v>
      </c>
      <c r="G42" s="1">
        <v>20</v>
      </c>
      <c r="H42" s="17" cm="1">
        <f t="array" ref="H42">_xlfn.LET(_xlpm.s,IFERROR(--F42,""),_xlpm.e,IFERROR(--G42,""),IF(OR(_xlpm.s="",_xlpm.e="",_xlpm.e&lt;_xlpm.s),"",_xlfn.LET(_xlpm.p,_xlfn.SEQUENCE(_xlpm.e-_xlpm.s+1,1,_xlpm.s,1),SUM(1/COUNTIFS($D:$D,D42,$E:$E,E42,$F:$F,"&lt;&gt;N/A",$G:$G,"&lt;&gt;N/A",$F:$F,"&lt;="&amp;_xlpm.p,$G:$G,"&gt;="&amp;_xlpm.p)))))</f>
        <v>1</v>
      </c>
      <c r="I42" t="s">
        <v>7</v>
      </c>
      <c r="J42" t="s">
        <v>2064</v>
      </c>
      <c r="K42" t="s">
        <v>7</v>
      </c>
      <c r="L42" s="5" t="s">
        <v>5274</v>
      </c>
      <c r="M42" t="s">
        <v>5047</v>
      </c>
      <c r="N42" t="s">
        <v>4430</v>
      </c>
      <c r="O42" s="5" t="s">
        <v>5072</v>
      </c>
      <c r="P42" s="5" t="s">
        <v>8021</v>
      </c>
      <c r="Q42" t="s">
        <v>2509</v>
      </c>
      <c r="R42" t="b">
        <v>1</v>
      </c>
    </row>
    <row r="43" spans="1:18">
      <c r="A43" t="s">
        <v>3012</v>
      </c>
      <c r="B43" t="s">
        <v>5624</v>
      </c>
      <c r="C43" t="s">
        <v>7773</v>
      </c>
      <c r="D43" s="1">
        <v>1</v>
      </c>
      <c r="E43" s="1">
        <v>5</v>
      </c>
      <c r="F43" s="1">
        <v>20</v>
      </c>
      <c r="G43" s="1">
        <v>23</v>
      </c>
      <c r="H43" s="17" cm="1">
        <f t="array" ref="H43">_xlfn.LET(_xlpm.s,IFERROR(--F43,""),_xlpm.e,IFERROR(--G43,""),IF(OR(_xlpm.s="",_xlpm.e="",_xlpm.e&lt;_xlpm.s),"",_xlfn.LET(_xlpm.p,_xlfn.SEQUENCE(_xlpm.e-_xlpm.s+1,1,_xlpm.s,1),SUM(1/COUNTIFS($D:$D,D43,$E:$E,E43,$F:$F,"&lt;&gt;N/A",$G:$G,"&lt;&gt;N/A",$F:$F,"&lt;="&amp;_xlpm.p,$G:$G,"&gt;="&amp;_xlpm.p)))))</f>
        <v>3</v>
      </c>
      <c r="I43" t="s">
        <v>7</v>
      </c>
      <c r="J43" t="s">
        <v>2065</v>
      </c>
      <c r="K43" t="s">
        <v>7</v>
      </c>
      <c r="L43" s="5" t="s">
        <v>5371</v>
      </c>
      <c r="M43" t="s">
        <v>5131</v>
      </c>
      <c r="N43" t="s">
        <v>4431</v>
      </c>
      <c r="O43" s="5" t="s">
        <v>5072</v>
      </c>
      <c r="P43" s="5" t="s">
        <v>8021</v>
      </c>
      <c r="Q43" t="s">
        <v>2509</v>
      </c>
      <c r="R43" t="b">
        <v>1</v>
      </c>
    </row>
    <row r="44" spans="1:18">
      <c r="A44" t="s">
        <v>3012</v>
      </c>
      <c r="B44" t="s">
        <v>5625</v>
      </c>
      <c r="C44" t="s">
        <v>7773</v>
      </c>
      <c r="D44" s="1">
        <v>1</v>
      </c>
      <c r="E44" s="1">
        <v>5</v>
      </c>
      <c r="F44" s="1">
        <v>23</v>
      </c>
      <c r="G44" s="1">
        <v>25</v>
      </c>
      <c r="H44" s="17" cm="1">
        <f t="array" ref="H44">_xlfn.LET(_xlpm.s,IFERROR(--F44,""),_xlpm.e,IFERROR(--G44,""),IF(OR(_xlpm.s="",_xlpm.e="",_xlpm.e&lt;_xlpm.s),"",_xlfn.LET(_xlpm.p,_xlfn.SEQUENCE(_xlpm.e-_xlpm.s+1,1,_xlpm.s,1),SUM(1/COUNTIFS($D:$D,D44,$E:$E,E44,$F:$F,"&lt;&gt;N/A",$G:$G,"&lt;&gt;N/A",$F:$F,"&lt;="&amp;_xlpm.p,$G:$G,"&gt;="&amp;_xlpm.p)))))</f>
        <v>2</v>
      </c>
      <c r="I44" t="s">
        <v>7</v>
      </c>
      <c r="J44" t="s">
        <v>2066</v>
      </c>
      <c r="K44" t="s">
        <v>4590</v>
      </c>
      <c r="L44" s="5" t="s">
        <v>4591</v>
      </c>
      <c r="M44" s="5" t="s">
        <v>7</v>
      </c>
      <c r="N44" t="s">
        <v>7</v>
      </c>
      <c r="O44" s="5" t="s">
        <v>778</v>
      </c>
      <c r="P44" s="5" t="s">
        <v>7834</v>
      </c>
      <c r="R44" t="b">
        <v>1</v>
      </c>
    </row>
    <row r="45" spans="1:18">
      <c r="A45" t="s">
        <v>3012</v>
      </c>
      <c r="B45" t="s">
        <v>5626</v>
      </c>
      <c r="C45" t="s">
        <v>7773</v>
      </c>
      <c r="D45" s="1">
        <v>1</v>
      </c>
      <c r="E45" s="1">
        <v>5</v>
      </c>
      <c r="F45" s="1">
        <v>25</v>
      </c>
      <c r="G45" s="1">
        <v>27</v>
      </c>
      <c r="H45" s="17" cm="1">
        <f t="array" ref="H45">_xlfn.LET(_xlpm.s,IFERROR(--F45,""),_xlpm.e,IFERROR(--G45,""),IF(OR(_xlpm.s="",_xlpm.e="",_xlpm.e&lt;_xlpm.s),"",_xlfn.LET(_xlpm.p,_xlfn.SEQUENCE(_xlpm.e-_xlpm.s+1,1,_xlpm.s,1),SUM(1/COUNTIFS($D:$D,D45,$E:$E,E45,$F:$F,"&lt;&gt;N/A",$G:$G,"&lt;&gt;N/A",$F:$F,"&lt;="&amp;_xlpm.p,$G:$G,"&gt;="&amp;_xlpm.p)))))</f>
        <v>2</v>
      </c>
      <c r="I45" t="s">
        <v>7</v>
      </c>
      <c r="J45" t="s">
        <v>247</v>
      </c>
      <c r="K45" t="s">
        <v>7</v>
      </c>
      <c r="L45" s="5" t="s">
        <v>5275</v>
      </c>
      <c r="M45" t="s">
        <v>5046</v>
      </c>
      <c r="N45" t="s">
        <v>4432</v>
      </c>
      <c r="O45" s="5" t="s">
        <v>11522</v>
      </c>
      <c r="P45" s="5" t="s">
        <v>8092</v>
      </c>
      <c r="Q45" t="s">
        <v>2509</v>
      </c>
      <c r="R45" t="b">
        <v>1</v>
      </c>
    </row>
    <row r="46" spans="1:18">
      <c r="A46" t="s">
        <v>3012</v>
      </c>
      <c r="B46" t="s">
        <v>5627</v>
      </c>
      <c r="C46" t="s">
        <v>7773</v>
      </c>
      <c r="D46" s="1">
        <v>1</v>
      </c>
      <c r="E46" s="1">
        <v>5</v>
      </c>
      <c r="F46" s="1">
        <v>27</v>
      </c>
      <c r="G46" s="1">
        <v>28</v>
      </c>
      <c r="H46" s="17" cm="1">
        <f t="array" ref="H46">_xlfn.LET(_xlpm.s,IFERROR(--F46,""),_xlpm.e,IFERROR(--G46,""),IF(OR(_xlpm.s="",_xlpm.e="",_xlpm.e&lt;_xlpm.s),"",_xlfn.LET(_xlpm.p,_xlfn.SEQUENCE(_xlpm.e-_xlpm.s+1,1,_xlpm.s,1),SUM(1/COUNTIFS($D:$D,D46,$E:$E,E46,$F:$F,"&lt;&gt;N/A",$G:$G,"&lt;&gt;N/A",$F:$F,"&lt;="&amp;_xlpm.p,$G:$G,"&gt;="&amp;_xlpm.p)))))</f>
        <v>0.83333333333333326</v>
      </c>
      <c r="I46" t="s">
        <v>7</v>
      </c>
      <c r="J46" t="s">
        <v>248</v>
      </c>
      <c r="K46" t="s">
        <v>7</v>
      </c>
      <c r="L46" s="5" t="s">
        <v>5275</v>
      </c>
      <c r="M46" t="s">
        <v>5047</v>
      </c>
      <c r="N46" t="s">
        <v>6594</v>
      </c>
      <c r="O46" s="5" t="s">
        <v>5072</v>
      </c>
      <c r="P46" s="5" t="s">
        <v>8021</v>
      </c>
      <c r="Q46" t="s">
        <v>2509</v>
      </c>
      <c r="R46" t="b">
        <v>1</v>
      </c>
    </row>
    <row r="47" spans="1:18">
      <c r="A47" t="s">
        <v>3012</v>
      </c>
      <c r="B47" t="s">
        <v>5628</v>
      </c>
      <c r="C47" t="s">
        <v>7773</v>
      </c>
      <c r="D47" s="1">
        <v>1</v>
      </c>
      <c r="E47" s="1">
        <v>5</v>
      </c>
      <c r="F47" s="1">
        <v>28</v>
      </c>
      <c r="G47" s="1">
        <v>28</v>
      </c>
      <c r="H47" s="17" cm="1">
        <f t="array" ref="H47">_xlfn.LET(_xlpm.s,IFERROR(--F47,""),_xlpm.e,IFERROR(--G47,""),IF(OR(_xlpm.s="",_xlpm.e="",_xlpm.e&lt;_xlpm.s),"",_xlfn.LET(_xlpm.p,_xlfn.SEQUENCE(_xlpm.e-_xlpm.s+1,1,_xlpm.s,1),SUM(1/COUNTIFS($D:$D,D47,$E:$E,E47,$F:$F,"&lt;&gt;N/A",$G:$G,"&lt;&gt;N/A",$F:$F,"&lt;="&amp;_xlpm.p,$G:$G,"&gt;="&amp;_xlpm.p)))))</f>
        <v>0.33333333333333331</v>
      </c>
      <c r="I47" t="s">
        <v>7</v>
      </c>
      <c r="J47" t="s">
        <v>249</v>
      </c>
      <c r="K47" t="s">
        <v>7</v>
      </c>
      <c r="L47" s="5" t="s">
        <v>5275</v>
      </c>
      <c r="M47" t="s">
        <v>5047</v>
      </c>
      <c r="N47" t="s">
        <v>6595</v>
      </c>
      <c r="O47" s="5" t="s">
        <v>5072</v>
      </c>
      <c r="P47" s="5" t="s">
        <v>8021</v>
      </c>
      <c r="R47" t="b">
        <v>1</v>
      </c>
    </row>
    <row r="48" spans="1:18">
      <c r="A48" t="s">
        <v>3012</v>
      </c>
      <c r="B48" t="s">
        <v>5629</v>
      </c>
      <c r="C48" t="s">
        <v>7773</v>
      </c>
      <c r="D48" s="1">
        <v>1</v>
      </c>
      <c r="E48" s="1">
        <v>5</v>
      </c>
      <c r="F48" s="1">
        <v>28</v>
      </c>
      <c r="G48" s="1">
        <v>29</v>
      </c>
      <c r="H48" s="17" cm="1">
        <f t="array" ref="H48">_xlfn.LET(_xlpm.s,IFERROR(--F48,""),_xlpm.e,IFERROR(--G48,""),IF(OR(_xlpm.s="",_xlpm.e="",_xlpm.e&lt;_xlpm.s),"",_xlfn.LET(_xlpm.p,_xlfn.SEQUENCE(_xlpm.e-_xlpm.s+1,1,_xlpm.s,1),SUM(1/COUNTIFS($D:$D,D48,$E:$E,E48,$F:$F,"&lt;&gt;N/A",$G:$G,"&lt;&gt;N/A",$F:$F,"&lt;="&amp;_xlpm.p,$G:$G,"&gt;="&amp;_xlpm.p)))))</f>
        <v>0.83333333333333326</v>
      </c>
      <c r="I48" t="s">
        <v>7</v>
      </c>
      <c r="J48" t="s">
        <v>4441</v>
      </c>
      <c r="K48" t="s">
        <v>7</v>
      </c>
      <c r="L48" t="s">
        <v>7</v>
      </c>
      <c r="M48" t="s">
        <v>5047</v>
      </c>
      <c r="N48" t="s">
        <v>6593</v>
      </c>
      <c r="O48" s="5" t="s">
        <v>5072</v>
      </c>
      <c r="P48" s="5" t="s">
        <v>8021</v>
      </c>
      <c r="R48" t="b">
        <v>1</v>
      </c>
    </row>
    <row r="49" spans="1:18">
      <c r="A49" t="s">
        <v>3012</v>
      </c>
      <c r="B49" t="s">
        <v>5630</v>
      </c>
      <c r="C49" t="s">
        <v>7773</v>
      </c>
      <c r="D49" s="1">
        <v>1</v>
      </c>
      <c r="E49" s="1">
        <v>5</v>
      </c>
      <c r="F49" s="1">
        <v>29</v>
      </c>
      <c r="G49" s="1">
        <v>31</v>
      </c>
      <c r="H49" s="17" cm="1">
        <f t="array" ref="H49">_xlfn.LET(_xlpm.s,IFERROR(--F49,""),_xlpm.e,IFERROR(--G49,""),IF(OR(_xlpm.s="",_xlpm.e="",_xlpm.e&lt;_xlpm.s),"",_xlfn.LET(_xlpm.p,_xlfn.SEQUENCE(_xlpm.e-_xlpm.s+1,1,_xlpm.s,1),SUM(1/COUNTIFS($D:$D,D49,$E:$E,E49,$F:$F,"&lt;&gt;N/A",$G:$G,"&lt;&gt;N/A",$F:$F,"&lt;="&amp;_xlpm.p,$G:$G,"&gt;="&amp;_xlpm.p)))))</f>
        <v>2.5</v>
      </c>
      <c r="I49" t="s">
        <v>7</v>
      </c>
      <c r="J49" t="s">
        <v>6509</v>
      </c>
      <c r="K49" t="s">
        <v>2465</v>
      </c>
      <c r="L49" s="5" t="s">
        <v>7</v>
      </c>
      <c r="M49" t="s">
        <v>7</v>
      </c>
      <c r="N49" t="s">
        <v>7</v>
      </c>
      <c r="O49" s="5" t="s">
        <v>778</v>
      </c>
      <c r="P49" s="5" t="s">
        <v>7834</v>
      </c>
      <c r="R49" t="b">
        <v>1</v>
      </c>
    </row>
    <row r="50" spans="1:18">
      <c r="A50" t="s">
        <v>3012</v>
      </c>
      <c r="B50" t="s">
        <v>5631</v>
      </c>
      <c r="C50" t="s">
        <v>7781</v>
      </c>
      <c r="D50" s="1">
        <v>1</v>
      </c>
      <c r="E50" s="1">
        <v>6</v>
      </c>
      <c r="F50" s="1">
        <v>1</v>
      </c>
      <c r="G50" s="1">
        <v>18</v>
      </c>
      <c r="H50" s="17" cm="1">
        <f t="array" ref="H50">_xlfn.LET(_xlpm.s,IFERROR(--F50,""),_xlpm.e,IFERROR(--G50,""),IF(OR(_xlpm.s="",_xlpm.e="",_xlpm.e&lt;_xlpm.s),"",_xlfn.LET(_xlpm.p,_xlfn.SEQUENCE(_xlpm.e-_xlpm.s+1,1,_xlpm.s,1),SUM(1/COUNTIFS($D:$D,D50,$E:$E,E50,$F:$F,"&lt;&gt;N/A",$G:$G,"&lt;&gt;N/A",$F:$F,"&lt;="&amp;_xlpm.p,$G:$G,"&gt;="&amp;_xlpm.p)))))</f>
        <v>17.5</v>
      </c>
      <c r="I50" t="s">
        <v>7</v>
      </c>
      <c r="J50" t="s">
        <v>10146</v>
      </c>
      <c r="K50" t="s">
        <v>7</v>
      </c>
      <c r="L50" s="5" t="s">
        <v>4592</v>
      </c>
      <c r="M50" t="s">
        <v>7</v>
      </c>
      <c r="N50" t="s">
        <v>7</v>
      </c>
      <c r="O50" s="5" t="s">
        <v>778</v>
      </c>
      <c r="P50" s="5" t="s">
        <v>7834</v>
      </c>
      <c r="R50" t="b">
        <v>1</v>
      </c>
    </row>
    <row r="51" spans="1:18">
      <c r="A51" t="s">
        <v>3012</v>
      </c>
      <c r="B51" t="s">
        <v>5632</v>
      </c>
      <c r="C51" t="s">
        <v>7781</v>
      </c>
      <c r="D51" s="1">
        <v>1</v>
      </c>
      <c r="E51" s="1">
        <v>6</v>
      </c>
      <c r="F51" s="1">
        <v>18</v>
      </c>
      <c r="G51" s="1">
        <v>23</v>
      </c>
      <c r="H51" s="17" cm="1">
        <f t="array" ref="H51">_xlfn.LET(_xlpm.s,IFERROR(--F51,""),_xlpm.e,IFERROR(--G51,""),IF(OR(_xlpm.s="",_xlpm.e="",_xlpm.e&lt;_xlpm.s),"",_xlfn.LET(_xlpm.p,_xlfn.SEQUENCE(_xlpm.e-_xlpm.s+1,1,_xlpm.s,1),SUM(1/COUNTIFS($D:$D,D51,$E:$E,E51,$F:$F,"&lt;&gt;N/A",$G:$G,"&lt;&gt;N/A",$F:$F,"&lt;="&amp;_xlpm.p,$G:$G,"&gt;="&amp;_xlpm.p)))))</f>
        <v>5.5</v>
      </c>
      <c r="I51" t="s">
        <v>7</v>
      </c>
      <c r="J51" t="s">
        <v>250</v>
      </c>
      <c r="K51" t="s">
        <v>2462</v>
      </c>
      <c r="L51" s="5" t="s">
        <v>7</v>
      </c>
      <c r="M51" s="5" t="s">
        <v>5047</v>
      </c>
      <c r="N51" t="s">
        <v>2555</v>
      </c>
      <c r="O51" s="5" t="s">
        <v>5072</v>
      </c>
      <c r="P51" s="5" t="s">
        <v>8021</v>
      </c>
      <c r="Q51" s="5" t="s">
        <v>2509</v>
      </c>
      <c r="R51" t="b">
        <v>1</v>
      </c>
    </row>
    <row r="52" spans="1:18">
      <c r="A52" t="s">
        <v>3012</v>
      </c>
      <c r="B52" t="s">
        <v>5633</v>
      </c>
      <c r="C52" t="s">
        <v>7781</v>
      </c>
      <c r="D52" s="1">
        <v>1</v>
      </c>
      <c r="E52" s="1">
        <v>6</v>
      </c>
      <c r="F52" s="1">
        <v>24</v>
      </c>
      <c r="G52" s="1">
        <v>26</v>
      </c>
      <c r="H52" s="17" cm="1">
        <f t="array" ref="H52">_xlfn.LET(_xlpm.s,IFERROR(--F52,""),_xlpm.e,IFERROR(--G52,""),IF(OR(_xlpm.s="",_xlpm.e="",_xlpm.e&lt;_xlpm.s),"",_xlfn.LET(_xlpm.p,_xlfn.SEQUENCE(_xlpm.e-_xlpm.s+1,1,_xlpm.s,1),SUM(1/COUNTIFS($D:$D,D52,$E:$E,E52,$F:$F,"&lt;&gt;N/A",$G:$G,"&lt;&gt;N/A",$F:$F,"&lt;="&amp;_xlpm.p,$G:$G,"&gt;="&amp;_xlpm.p)))))</f>
        <v>3</v>
      </c>
      <c r="I52" t="s">
        <v>7</v>
      </c>
      <c r="J52" t="s">
        <v>251</v>
      </c>
      <c r="K52" t="s">
        <v>7</v>
      </c>
      <c r="L52" s="5" t="s">
        <v>5276</v>
      </c>
      <c r="M52" t="s">
        <v>7</v>
      </c>
      <c r="N52" t="s">
        <v>10439</v>
      </c>
      <c r="O52" s="5" t="s">
        <v>11522</v>
      </c>
      <c r="P52" s="5" t="s">
        <v>8021</v>
      </c>
      <c r="R52" t="b">
        <v>1</v>
      </c>
    </row>
    <row r="53" spans="1:18">
      <c r="A53" t="s">
        <v>3012</v>
      </c>
      <c r="B53" t="s">
        <v>5634</v>
      </c>
      <c r="C53" t="s">
        <v>7781</v>
      </c>
      <c r="D53" s="1">
        <v>1</v>
      </c>
      <c r="E53" s="1">
        <v>6</v>
      </c>
      <c r="F53" s="1">
        <v>27</v>
      </c>
      <c r="G53" s="1">
        <v>30</v>
      </c>
      <c r="H53" s="17" cm="1">
        <f t="array" ref="H53">_xlfn.LET(_xlpm.s,IFERROR(--F53,""),_xlpm.e,IFERROR(--G53,""),IF(OR(_xlpm.s="",_xlpm.e="",_xlpm.e&lt;_xlpm.s),"",_xlfn.LET(_xlpm.p,_xlfn.SEQUENCE(_xlpm.e-_xlpm.s+1,1,_xlpm.s,1),SUM(1/COUNTIFS($D:$D,D53,$E:$E,E53,$F:$F,"&lt;&gt;N/A",$G:$G,"&lt;&gt;N/A",$F:$F,"&lt;="&amp;_xlpm.p,$G:$G,"&gt;="&amp;_xlpm.p)))))</f>
        <v>3.5</v>
      </c>
      <c r="I53" t="s">
        <v>7</v>
      </c>
      <c r="J53" t="s">
        <v>252</v>
      </c>
      <c r="K53" t="s">
        <v>7</v>
      </c>
      <c r="L53" s="5" t="s">
        <v>5277</v>
      </c>
      <c r="M53" t="s">
        <v>7</v>
      </c>
      <c r="N53" t="s">
        <v>2556</v>
      </c>
      <c r="O53" s="5" t="s">
        <v>11522</v>
      </c>
      <c r="P53" s="5" t="s">
        <v>8021</v>
      </c>
      <c r="R53" t="b">
        <v>1</v>
      </c>
    </row>
    <row r="54" spans="1:18">
      <c r="A54" t="s">
        <v>3012</v>
      </c>
      <c r="B54" t="s">
        <v>5635</v>
      </c>
      <c r="C54" t="s">
        <v>7781</v>
      </c>
      <c r="D54" s="1">
        <v>1</v>
      </c>
      <c r="E54" s="1">
        <v>6</v>
      </c>
      <c r="F54" s="1">
        <v>30</v>
      </c>
      <c r="G54" s="1">
        <v>32</v>
      </c>
      <c r="H54" s="17" cm="1">
        <f t="array" ref="H54">_xlfn.LET(_xlpm.s,IFERROR(--F54,""),_xlpm.e,IFERROR(--G54,""),IF(OR(_xlpm.s="",_xlpm.e="",_xlpm.e&lt;_xlpm.s),"",_xlfn.LET(_xlpm.p,_xlfn.SEQUENCE(_xlpm.e-_xlpm.s+1,1,_xlpm.s,1),SUM(1/COUNTIFS($D:$D,D54,$E:$E,E54,$F:$F,"&lt;&gt;N/A",$G:$G,"&lt;&gt;N/A",$F:$F,"&lt;="&amp;_xlpm.p,$G:$G,"&gt;="&amp;_xlpm.p)))))</f>
        <v>2.5</v>
      </c>
      <c r="I54" t="s">
        <v>7</v>
      </c>
      <c r="J54" t="s">
        <v>27</v>
      </c>
      <c r="K54" t="s">
        <v>2465</v>
      </c>
      <c r="L54" s="5" t="s">
        <v>7</v>
      </c>
      <c r="M54" t="s">
        <v>7</v>
      </c>
      <c r="N54" t="s">
        <v>7</v>
      </c>
      <c r="O54" s="5" t="s">
        <v>778</v>
      </c>
      <c r="P54" s="5" t="s">
        <v>7834</v>
      </c>
      <c r="R54" t="b">
        <v>1</v>
      </c>
    </row>
    <row r="55" spans="1:18">
      <c r="A55" t="s">
        <v>3012</v>
      </c>
      <c r="B55" t="s">
        <v>5636</v>
      </c>
      <c r="C55" t="s">
        <v>7789</v>
      </c>
      <c r="D55" s="1">
        <v>1</v>
      </c>
      <c r="E55" s="1">
        <v>7</v>
      </c>
      <c r="F55" s="1">
        <v>1</v>
      </c>
      <c r="G55" s="1">
        <v>9</v>
      </c>
      <c r="H55" s="17" cm="1">
        <f t="array" ref="H55">_xlfn.LET(_xlpm.s,IFERROR(--F55,""),_xlpm.e,IFERROR(--G55,""),IF(OR(_xlpm.s="",_xlpm.e="",_xlpm.e&lt;_xlpm.s),"",_xlfn.LET(_xlpm.p,_xlfn.SEQUENCE(_xlpm.e-_xlpm.s+1,1,_xlpm.s,1),SUM(1/COUNTIFS($D:$D,D55,$E:$E,E55,$F:$F,"&lt;&gt;N/A",$G:$G,"&lt;&gt;N/A",$F:$F,"&lt;="&amp;_xlpm.p,$G:$G,"&gt;="&amp;_xlpm.p)))))</f>
        <v>8.5</v>
      </c>
      <c r="I55" t="s">
        <v>7</v>
      </c>
      <c r="J55" t="s">
        <v>253</v>
      </c>
      <c r="K55" t="s">
        <v>7</v>
      </c>
      <c r="L55" s="5" t="s">
        <v>6535</v>
      </c>
      <c r="M55" t="s">
        <v>7</v>
      </c>
      <c r="N55" t="s">
        <v>5278</v>
      </c>
      <c r="O55" s="5" t="s">
        <v>10264</v>
      </c>
      <c r="P55" s="5" t="s">
        <v>8020</v>
      </c>
      <c r="R55" t="b">
        <v>1</v>
      </c>
    </row>
    <row r="56" spans="1:18">
      <c r="A56" t="s">
        <v>3012</v>
      </c>
      <c r="B56" t="s">
        <v>5637</v>
      </c>
      <c r="C56" t="s">
        <v>7789</v>
      </c>
      <c r="D56" s="1">
        <v>1</v>
      </c>
      <c r="E56" s="1">
        <v>7</v>
      </c>
      <c r="F56" s="1">
        <v>9</v>
      </c>
      <c r="G56" s="1">
        <v>20</v>
      </c>
      <c r="H56" s="17" cm="1">
        <f t="array" ref="H56">_xlfn.LET(_xlpm.s,IFERROR(--F56,""),_xlpm.e,IFERROR(--G56,""),IF(OR(_xlpm.s="",_xlpm.e="",_xlpm.e&lt;_xlpm.s),"",_xlfn.LET(_xlpm.p,_xlfn.SEQUENCE(_xlpm.e-_xlpm.s+1,1,_xlpm.s,1),SUM(1/COUNTIFS($D:$D,D56,$E:$E,E56,$F:$F,"&lt;&gt;N/A",$G:$G,"&lt;&gt;N/A",$F:$F,"&lt;="&amp;_xlpm.p,$G:$G,"&gt;="&amp;_xlpm.p)))))</f>
        <v>11</v>
      </c>
      <c r="I56" t="s">
        <v>7</v>
      </c>
      <c r="J56" t="s">
        <v>254</v>
      </c>
      <c r="K56" t="s">
        <v>12</v>
      </c>
      <c r="L56" s="5" t="s">
        <v>5279</v>
      </c>
      <c r="M56" t="s">
        <v>7</v>
      </c>
      <c r="N56" t="s">
        <v>7</v>
      </c>
      <c r="O56" s="5" t="s">
        <v>778</v>
      </c>
      <c r="P56" s="5" t="s">
        <v>7834</v>
      </c>
      <c r="R56" t="b">
        <v>1</v>
      </c>
    </row>
    <row r="57" spans="1:18">
      <c r="A57" t="s">
        <v>3012</v>
      </c>
      <c r="B57" t="s">
        <v>5638</v>
      </c>
      <c r="C57" t="s">
        <v>7789</v>
      </c>
      <c r="D57" s="1">
        <v>1</v>
      </c>
      <c r="E57" s="1">
        <v>7</v>
      </c>
      <c r="F57" s="1">
        <v>20</v>
      </c>
      <c r="G57" s="1">
        <v>28</v>
      </c>
      <c r="H57" s="17" cm="1">
        <f t="array" ref="H57">_xlfn.LET(_xlpm.s,IFERROR(--F57,""),_xlpm.e,IFERROR(--G57,""),IF(OR(_xlpm.s="",_xlpm.e="",_xlpm.e&lt;_xlpm.s),"",_xlfn.LET(_xlpm.p,_xlfn.SEQUENCE(_xlpm.e-_xlpm.s+1,1,_xlpm.s,1),SUM(1/COUNTIFS($D:$D,D57,$E:$E,E57,$F:$F,"&lt;&gt;N/A",$G:$G,"&lt;&gt;N/A",$F:$F,"&lt;="&amp;_xlpm.p,$G:$G,"&gt;="&amp;_xlpm.p)))))</f>
        <v>8</v>
      </c>
      <c r="I57" t="s">
        <v>7</v>
      </c>
      <c r="J57" t="s">
        <v>255</v>
      </c>
      <c r="K57" t="s">
        <v>7</v>
      </c>
      <c r="L57" s="5" t="s">
        <v>5280</v>
      </c>
      <c r="M57" t="s">
        <v>7</v>
      </c>
      <c r="N57" t="s">
        <v>8054</v>
      </c>
      <c r="O57" s="5" t="s">
        <v>11522</v>
      </c>
      <c r="P57" s="5" t="s">
        <v>8021</v>
      </c>
      <c r="R57" t="b">
        <v>1</v>
      </c>
    </row>
    <row r="58" spans="1:18">
      <c r="A58" t="s">
        <v>3012</v>
      </c>
      <c r="B58" t="s">
        <v>5639</v>
      </c>
      <c r="C58" t="s">
        <v>7789</v>
      </c>
      <c r="D58" s="1">
        <v>1</v>
      </c>
      <c r="E58" s="1">
        <v>7</v>
      </c>
      <c r="F58" s="1">
        <v>28</v>
      </c>
      <c r="G58" s="1">
        <v>31</v>
      </c>
      <c r="H58" s="17" cm="1">
        <f t="array" ref="H58">_xlfn.LET(_xlpm.s,IFERROR(--F58,""),_xlpm.e,IFERROR(--G58,""),IF(OR(_xlpm.s="",_xlpm.e="",_xlpm.e&lt;_xlpm.s),"",_xlfn.LET(_xlpm.p,_xlfn.SEQUENCE(_xlpm.e-_xlpm.s+1,1,_xlpm.s,1),SUM(1/COUNTIFS($D:$D,D58,$E:$E,E58,$F:$F,"&lt;&gt;N/A",$G:$G,"&lt;&gt;N/A",$F:$F,"&lt;="&amp;_xlpm.p,$G:$G,"&gt;="&amp;_xlpm.p)))))</f>
        <v>3</v>
      </c>
      <c r="I58" t="s">
        <v>7</v>
      </c>
      <c r="J58" t="s">
        <v>5289</v>
      </c>
      <c r="K58" t="s">
        <v>7</v>
      </c>
      <c r="L58" s="5" t="s">
        <v>7</v>
      </c>
      <c r="M58" t="s">
        <v>7</v>
      </c>
      <c r="N58" t="s">
        <v>7</v>
      </c>
      <c r="O58" s="5" t="s">
        <v>778</v>
      </c>
      <c r="P58" s="5" t="s">
        <v>7834</v>
      </c>
      <c r="R58" t="b">
        <v>1</v>
      </c>
    </row>
    <row r="59" spans="1:18">
      <c r="A59" t="s">
        <v>3012</v>
      </c>
      <c r="B59" t="s">
        <v>5640</v>
      </c>
      <c r="C59" t="s">
        <v>7789</v>
      </c>
      <c r="D59" s="1">
        <v>1</v>
      </c>
      <c r="E59" s="1">
        <v>7</v>
      </c>
      <c r="F59" s="1">
        <v>31</v>
      </c>
      <c r="G59" s="1">
        <v>32</v>
      </c>
      <c r="H59" s="17" cm="1">
        <f t="array" ref="H59">_xlfn.LET(_xlpm.s,IFERROR(--F59,""),_xlpm.e,IFERROR(--G59,""),IF(OR(_xlpm.s="",_xlpm.e="",_xlpm.e&lt;_xlpm.s),"",_xlfn.LET(_xlpm.p,_xlfn.SEQUENCE(_xlpm.e-_xlpm.s+1,1,_xlpm.s,1),SUM(1/COUNTIFS($D:$D,D59,$E:$E,E59,$F:$F,"&lt;&gt;N/A",$G:$G,"&lt;&gt;N/A",$F:$F,"&lt;="&amp;_xlpm.p,$G:$G,"&gt;="&amp;_xlpm.p)))))</f>
        <v>1.5</v>
      </c>
      <c r="I59" t="s">
        <v>7</v>
      </c>
      <c r="J59" t="s">
        <v>4337</v>
      </c>
      <c r="K59" t="s">
        <v>2465</v>
      </c>
      <c r="L59" s="5" t="s">
        <v>7</v>
      </c>
      <c r="M59" t="s">
        <v>7</v>
      </c>
      <c r="N59" t="s">
        <v>7</v>
      </c>
      <c r="O59" s="5" t="s">
        <v>778</v>
      </c>
      <c r="P59" s="5" t="s">
        <v>7834</v>
      </c>
      <c r="R59" t="b">
        <v>1</v>
      </c>
    </row>
    <row r="60" spans="1:18">
      <c r="A60" t="s">
        <v>3012</v>
      </c>
      <c r="B60" t="s">
        <v>5641</v>
      </c>
      <c r="C60" t="s">
        <v>7796</v>
      </c>
      <c r="D60" s="1">
        <v>1</v>
      </c>
      <c r="E60" s="1">
        <v>8</v>
      </c>
      <c r="F60" s="1">
        <v>1</v>
      </c>
      <c r="G60" s="1">
        <v>4</v>
      </c>
      <c r="H60" s="17" cm="1">
        <f t="array" ref="H60">_xlfn.LET(_xlpm.s,IFERROR(--F60,""),_xlpm.e,IFERROR(--G60,""),IF(OR(_xlpm.s="",_xlpm.e="",_xlpm.e&lt;_xlpm.s),"",_xlfn.LET(_xlpm.p,_xlfn.SEQUENCE(_xlpm.e-_xlpm.s+1,1,_xlpm.s,1),SUM(1/COUNTIFS($D:$D,D60,$E:$E,E60,$F:$F,"&lt;&gt;N/A",$G:$G,"&lt;&gt;N/A",$F:$F,"&lt;="&amp;_xlpm.p,$G:$G,"&gt;="&amp;_xlpm.p)))))</f>
        <v>4</v>
      </c>
      <c r="I60" t="s">
        <v>7</v>
      </c>
      <c r="J60" t="s">
        <v>5281</v>
      </c>
      <c r="K60" t="s">
        <v>7</v>
      </c>
      <c r="L60" s="5" t="s">
        <v>7</v>
      </c>
      <c r="M60" t="s">
        <v>7</v>
      </c>
      <c r="N60" t="s">
        <v>7</v>
      </c>
      <c r="O60" s="5" t="s">
        <v>778</v>
      </c>
      <c r="P60" s="5" t="s">
        <v>7834</v>
      </c>
      <c r="R60" t="b">
        <v>0</v>
      </c>
    </row>
    <row r="61" spans="1:18">
      <c r="A61" t="s">
        <v>3012</v>
      </c>
      <c r="B61" t="s">
        <v>5642</v>
      </c>
      <c r="C61" t="s">
        <v>7796</v>
      </c>
      <c r="D61" s="1">
        <v>1</v>
      </c>
      <c r="E61" s="1">
        <v>8</v>
      </c>
      <c r="F61" s="1">
        <v>5</v>
      </c>
      <c r="G61" s="1">
        <v>8</v>
      </c>
      <c r="H61" s="17" cm="1">
        <f t="array" ref="H61">_xlfn.LET(_xlpm.s,IFERROR(--F61,""),_xlpm.e,IFERROR(--G61,""),IF(OR(_xlpm.s="",_xlpm.e="",_xlpm.e&lt;_xlpm.s),"",_xlfn.LET(_xlpm.p,_xlfn.SEQUENCE(_xlpm.e-_xlpm.s+1,1,_xlpm.s,1),SUM(1/COUNTIFS($D:$D,D61,$E:$E,E61,$F:$F,"&lt;&gt;N/A",$G:$G,"&lt;&gt;N/A",$F:$F,"&lt;="&amp;_xlpm.p,$G:$G,"&gt;="&amp;_xlpm.p)))))</f>
        <v>3.5</v>
      </c>
      <c r="I61" t="s">
        <v>7</v>
      </c>
      <c r="J61" t="s">
        <v>5282</v>
      </c>
      <c r="K61" t="s">
        <v>4593</v>
      </c>
      <c r="L61" s="5" t="s">
        <v>4594</v>
      </c>
      <c r="M61" s="5" t="s">
        <v>5131</v>
      </c>
      <c r="N61" t="s">
        <v>10440</v>
      </c>
      <c r="O61" s="5" t="s">
        <v>11522</v>
      </c>
      <c r="P61" s="5" t="s">
        <v>8021</v>
      </c>
      <c r="R61" t="b">
        <v>1</v>
      </c>
    </row>
    <row r="62" spans="1:18">
      <c r="A62" t="s">
        <v>3012</v>
      </c>
      <c r="B62" t="s">
        <v>5643</v>
      </c>
      <c r="C62" t="s">
        <v>7796</v>
      </c>
      <c r="D62" s="1">
        <v>1</v>
      </c>
      <c r="E62" s="1">
        <v>8</v>
      </c>
      <c r="F62" s="1">
        <v>8</v>
      </c>
      <c r="G62" s="1">
        <v>18</v>
      </c>
      <c r="H62" s="17" cm="1">
        <f t="array" ref="H62">_xlfn.LET(_xlpm.s,IFERROR(--F62,""),_xlpm.e,IFERROR(--G62,""),IF(OR(_xlpm.s="",_xlpm.e="",_xlpm.e&lt;_xlpm.s),"",_xlfn.LET(_xlpm.p,_xlfn.SEQUENCE(_xlpm.e-_xlpm.s+1,1,_xlpm.s,1),SUM(1/COUNTIFS($D:$D,D62,$E:$E,E62,$F:$F,"&lt;&gt;N/A",$G:$G,"&lt;&gt;N/A",$F:$F,"&lt;="&amp;_xlpm.p,$G:$G,"&gt;="&amp;_xlpm.p)))))</f>
        <v>10</v>
      </c>
      <c r="I62" t="s">
        <v>7</v>
      </c>
      <c r="J62" t="s">
        <v>27</v>
      </c>
      <c r="K62" t="s">
        <v>2465</v>
      </c>
      <c r="L62" s="5" t="s">
        <v>7</v>
      </c>
      <c r="M62" s="5" t="s">
        <v>7</v>
      </c>
      <c r="N62" t="s">
        <v>7</v>
      </c>
      <c r="O62" s="5" t="s">
        <v>778</v>
      </c>
      <c r="P62" s="5" t="s">
        <v>7834</v>
      </c>
      <c r="R62" t="b">
        <v>1</v>
      </c>
    </row>
    <row r="63" spans="1:18">
      <c r="A63" t="s">
        <v>3012</v>
      </c>
      <c r="B63" t="s">
        <v>5644</v>
      </c>
      <c r="C63" t="s">
        <v>7796</v>
      </c>
      <c r="D63" s="1">
        <v>1</v>
      </c>
      <c r="E63" s="1">
        <v>8</v>
      </c>
      <c r="F63" s="1">
        <v>18</v>
      </c>
      <c r="G63" s="1">
        <v>19</v>
      </c>
      <c r="H63" s="17" cm="1">
        <f t="array" ref="H63">_xlfn.LET(_xlpm.s,IFERROR(--F63,""),_xlpm.e,IFERROR(--G63,""),IF(OR(_xlpm.s="",_xlpm.e="",_xlpm.e&lt;_xlpm.s),"",_xlfn.LET(_xlpm.p,_xlfn.SEQUENCE(_xlpm.e-_xlpm.s+1,1,_xlpm.s,1),SUM(1/COUNTIFS($D:$D,D63,$E:$E,E63,$F:$F,"&lt;&gt;N/A",$G:$G,"&lt;&gt;N/A",$F:$F,"&lt;="&amp;_xlpm.p,$G:$G,"&gt;="&amp;_xlpm.p)))))</f>
        <v>1.5</v>
      </c>
      <c r="I63" t="s">
        <v>7</v>
      </c>
      <c r="J63" t="s">
        <v>5283</v>
      </c>
      <c r="K63" t="s">
        <v>7</v>
      </c>
      <c r="L63" s="5" t="s">
        <v>7</v>
      </c>
      <c r="M63" s="5" t="s">
        <v>7</v>
      </c>
      <c r="N63" t="s">
        <v>7</v>
      </c>
      <c r="O63" s="5" t="s">
        <v>778</v>
      </c>
      <c r="P63" s="5" t="s">
        <v>7834</v>
      </c>
      <c r="R63" t="b">
        <v>0</v>
      </c>
    </row>
    <row r="64" spans="1:18">
      <c r="A64" t="s">
        <v>3012</v>
      </c>
      <c r="B64" t="s">
        <v>5645</v>
      </c>
      <c r="C64" t="s">
        <v>7796</v>
      </c>
      <c r="D64" s="1">
        <v>1</v>
      </c>
      <c r="E64" s="1">
        <v>8</v>
      </c>
      <c r="F64" s="1">
        <v>20</v>
      </c>
      <c r="G64" s="1">
        <v>26</v>
      </c>
      <c r="H64" s="17" cm="1">
        <f t="array" ref="H64">_xlfn.LET(_xlpm.s,IFERROR(--F64,""),_xlpm.e,IFERROR(--G64,""),IF(OR(_xlpm.s="",_xlpm.e="",_xlpm.e&lt;_xlpm.s),"",_xlfn.LET(_xlpm.p,_xlfn.SEQUENCE(_xlpm.e-_xlpm.s+1,1,_xlpm.s,1),SUM(1/COUNTIFS($D:$D,D64,$E:$E,E64,$F:$F,"&lt;&gt;N/A",$G:$G,"&lt;&gt;N/A",$F:$F,"&lt;="&amp;_xlpm.p,$G:$G,"&gt;="&amp;_xlpm.p)))))</f>
        <v>6.5</v>
      </c>
      <c r="I64" t="s">
        <v>7</v>
      </c>
      <c r="J64" t="s">
        <v>6521</v>
      </c>
      <c r="K64" t="s">
        <v>7</v>
      </c>
      <c r="L64" s="5" t="s">
        <v>5284</v>
      </c>
      <c r="M64" t="s">
        <v>6400</v>
      </c>
      <c r="N64" t="s">
        <v>6596</v>
      </c>
      <c r="O64" s="5" t="s">
        <v>5072</v>
      </c>
      <c r="P64" s="5" t="s">
        <v>8092</v>
      </c>
      <c r="Q64" t="s">
        <v>2509</v>
      </c>
      <c r="R64" t="b">
        <v>1</v>
      </c>
    </row>
    <row r="65" spans="1:18">
      <c r="A65" t="s">
        <v>3012</v>
      </c>
      <c r="B65" t="s">
        <v>5646</v>
      </c>
      <c r="C65" t="s">
        <v>7796</v>
      </c>
      <c r="D65" s="1">
        <v>1</v>
      </c>
      <c r="E65" s="1">
        <v>8</v>
      </c>
      <c r="F65" s="1">
        <v>26</v>
      </c>
      <c r="G65" s="1">
        <v>28</v>
      </c>
      <c r="H65" s="17" cm="1">
        <f t="array" ref="H65">_xlfn.LET(_xlpm.s,IFERROR(--F65,""),_xlpm.e,IFERROR(--G65,""),IF(OR(_xlpm.s="",_xlpm.e="",_xlpm.e&lt;_xlpm.s),"",_xlfn.LET(_xlpm.p,_xlfn.SEQUENCE(_xlpm.e-_xlpm.s+1,1,_xlpm.s,1),SUM(1/COUNTIFS($D:$D,D65,$E:$E,E65,$F:$F,"&lt;&gt;N/A",$G:$G,"&lt;&gt;N/A",$F:$F,"&lt;="&amp;_xlpm.p,$G:$G,"&gt;="&amp;_xlpm.p)))))</f>
        <v>2.5</v>
      </c>
      <c r="I65" t="s">
        <v>7</v>
      </c>
      <c r="J65" t="s">
        <v>256</v>
      </c>
      <c r="K65" t="s">
        <v>2521</v>
      </c>
      <c r="L65" s="5" t="s">
        <v>5285</v>
      </c>
      <c r="M65" s="5" t="s">
        <v>5231</v>
      </c>
      <c r="N65" t="s">
        <v>6597</v>
      </c>
      <c r="O65" s="5" t="s">
        <v>10264</v>
      </c>
      <c r="P65" s="5" t="s">
        <v>8020</v>
      </c>
      <c r="R65" t="b">
        <v>1</v>
      </c>
    </row>
    <row r="66" spans="1:18">
      <c r="A66" t="s">
        <v>3012</v>
      </c>
      <c r="B66" t="s">
        <v>5647</v>
      </c>
      <c r="C66" t="s">
        <v>7803</v>
      </c>
      <c r="D66" s="1">
        <v>1</v>
      </c>
      <c r="E66" s="1">
        <v>9</v>
      </c>
      <c r="F66" s="1">
        <v>1</v>
      </c>
      <c r="G66" s="1">
        <v>5</v>
      </c>
      <c r="H66" s="17" cm="1">
        <f t="array" ref="H66">_xlfn.LET(_xlpm.s,IFERROR(--F66,""),_xlpm.e,IFERROR(--G66,""),IF(OR(_xlpm.s="",_xlpm.e="",_xlpm.e&lt;_xlpm.s),"",_xlfn.LET(_xlpm.p,_xlfn.SEQUENCE(_xlpm.e-_xlpm.s+1,1,_xlpm.s,1),SUM(1/COUNTIFS($D:$D,D66,$E:$E,E66,$F:$F,"&lt;&gt;N/A",$G:$G,"&lt;&gt;N/A",$F:$F,"&lt;="&amp;_xlpm.p,$G:$G,"&gt;="&amp;_xlpm.p)))))</f>
        <v>4.5</v>
      </c>
      <c r="I66" t="s">
        <v>7</v>
      </c>
      <c r="J66" t="s">
        <v>7835</v>
      </c>
      <c r="K66" t="s">
        <v>4595</v>
      </c>
      <c r="L66" s="5" t="s">
        <v>5286</v>
      </c>
      <c r="M66" t="s">
        <v>5147</v>
      </c>
      <c r="N66" t="s">
        <v>6604</v>
      </c>
      <c r="O66" s="5" t="s">
        <v>5072</v>
      </c>
      <c r="P66" s="5" t="s">
        <v>8021</v>
      </c>
      <c r="Q66" s="5" t="s">
        <v>2509</v>
      </c>
      <c r="R66" t="b">
        <v>1</v>
      </c>
    </row>
    <row r="67" spans="1:18">
      <c r="A67" t="s">
        <v>3012</v>
      </c>
      <c r="B67" t="s">
        <v>5648</v>
      </c>
      <c r="C67" t="s">
        <v>7803</v>
      </c>
      <c r="D67" s="1">
        <v>1</v>
      </c>
      <c r="E67" s="1">
        <v>9</v>
      </c>
      <c r="F67" s="1">
        <v>5</v>
      </c>
      <c r="G67" s="1">
        <v>6</v>
      </c>
      <c r="H67" s="17" cm="1">
        <f t="array" ref="H67">_xlfn.LET(_xlpm.s,IFERROR(--F67,""),_xlpm.e,IFERROR(--G67,""),IF(OR(_xlpm.s="",_xlpm.e="",_xlpm.e&lt;_xlpm.s),"",_xlfn.LET(_xlpm.p,_xlfn.SEQUENCE(_xlpm.e-_xlpm.s+1,1,_xlpm.s,1),SUM(1/COUNTIFS($D:$D,D67,$E:$E,E67,$F:$F,"&lt;&gt;N/A",$G:$G,"&lt;&gt;N/A",$F:$F,"&lt;="&amp;_xlpm.p,$G:$G,"&gt;="&amp;_xlpm.p)))))</f>
        <v>1</v>
      </c>
      <c r="I67" t="s">
        <v>7</v>
      </c>
      <c r="J67" t="s">
        <v>6522</v>
      </c>
      <c r="K67" t="s">
        <v>7</v>
      </c>
      <c r="L67" t="s">
        <v>7</v>
      </c>
      <c r="M67" t="s">
        <v>5147</v>
      </c>
      <c r="N67" t="s">
        <v>6605</v>
      </c>
      <c r="O67" s="5" t="s">
        <v>5072</v>
      </c>
      <c r="P67" s="5" t="s">
        <v>8021</v>
      </c>
      <c r="Q67" s="5"/>
      <c r="R67" t="b">
        <v>1</v>
      </c>
    </row>
    <row r="68" spans="1:18">
      <c r="A68" t="s">
        <v>3012</v>
      </c>
      <c r="B68" t="s">
        <v>5649</v>
      </c>
      <c r="C68" t="s">
        <v>7803</v>
      </c>
      <c r="D68" s="1">
        <v>1</v>
      </c>
      <c r="E68" s="1">
        <v>9</v>
      </c>
      <c r="F68" s="1">
        <v>6</v>
      </c>
      <c r="G68" s="1">
        <v>9</v>
      </c>
      <c r="H68" s="17" cm="1">
        <f t="array" ref="H68">_xlfn.LET(_xlpm.s,IFERROR(--F68,""),_xlpm.e,IFERROR(--G68,""),IF(OR(_xlpm.s="",_xlpm.e="",_xlpm.e&lt;_xlpm.s),"",_xlfn.LET(_xlpm.p,_xlfn.SEQUENCE(_xlpm.e-_xlpm.s+1,1,_xlpm.s,1),SUM(1/COUNTIFS($D:$D,D68,$E:$E,E68,$F:$F,"&lt;&gt;N/A",$G:$G,"&lt;&gt;N/A",$F:$F,"&lt;="&amp;_xlpm.p,$G:$G,"&gt;="&amp;_xlpm.p)))))</f>
        <v>2.8333333333333335</v>
      </c>
      <c r="I68" t="s">
        <v>7</v>
      </c>
      <c r="J68" t="s">
        <v>257</v>
      </c>
      <c r="K68" t="s">
        <v>7</v>
      </c>
      <c r="L68" s="5" t="s">
        <v>6529</v>
      </c>
      <c r="M68" t="s">
        <v>6524</v>
      </c>
      <c r="N68" t="s">
        <v>6598</v>
      </c>
      <c r="O68" s="5" t="s">
        <v>5072</v>
      </c>
      <c r="P68" s="5" t="s">
        <v>8021</v>
      </c>
      <c r="Q68" s="5" t="s">
        <v>2509</v>
      </c>
      <c r="R68" t="b">
        <v>1</v>
      </c>
    </row>
    <row r="69" spans="1:18">
      <c r="A69" t="s">
        <v>3012</v>
      </c>
      <c r="B69" t="s">
        <v>5650</v>
      </c>
      <c r="C69" t="s">
        <v>7803</v>
      </c>
      <c r="D69" s="1">
        <v>1</v>
      </c>
      <c r="E69" s="1">
        <v>9</v>
      </c>
      <c r="F69" s="1">
        <v>9</v>
      </c>
      <c r="G69" s="1">
        <v>9</v>
      </c>
      <c r="H69" s="17" cm="1">
        <f t="array" ref="H69">_xlfn.LET(_xlpm.s,IFERROR(--F69,""),_xlpm.e,IFERROR(--G69,""),IF(OR(_xlpm.s="",_xlpm.e="",_xlpm.e&lt;_xlpm.s),"",_xlfn.LET(_xlpm.p,_xlfn.SEQUENCE(_xlpm.e-_xlpm.s+1,1,_xlpm.s,1),SUM(1/COUNTIFS($D:$D,D69,$E:$E,E69,$F:$F,"&lt;&gt;N/A",$G:$G,"&lt;&gt;N/A",$F:$F,"&lt;="&amp;_xlpm.p,$G:$G,"&gt;="&amp;_xlpm.p)))))</f>
        <v>0.33333333333333331</v>
      </c>
      <c r="I69" t="s">
        <v>7</v>
      </c>
      <c r="J69" t="s">
        <v>258</v>
      </c>
      <c r="K69" t="s">
        <v>7</v>
      </c>
      <c r="L69" s="5" t="s">
        <v>5287</v>
      </c>
      <c r="M69" t="s">
        <v>5147</v>
      </c>
      <c r="N69" t="s">
        <v>6603</v>
      </c>
      <c r="O69" s="5" t="s">
        <v>5072</v>
      </c>
      <c r="P69" s="5" t="s">
        <v>8021</v>
      </c>
      <c r="Q69" s="5" t="s">
        <v>2509</v>
      </c>
      <c r="R69" t="b">
        <v>1</v>
      </c>
    </row>
    <row r="70" spans="1:18">
      <c r="A70" t="s">
        <v>3012</v>
      </c>
      <c r="B70" t="s">
        <v>5651</v>
      </c>
      <c r="C70" t="s">
        <v>7803</v>
      </c>
      <c r="D70" s="1">
        <v>1</v>
      </c>
      <c r="E70" s="1">
        <v>9</v>
      </c>
      <c r="F70" s="1">
        <v>9</v>
      </c>
      <c r="G70" s="1">
        <v>10</v>
      </c>
      <c r="H70" s="17" cm="1">
        <f t="array" ref="H70">_xlfn.LET(_xlpm.s,IFERROR(--F70,""),_xlpm.e,IFERROR(--G70,""),IF(OR(_xlpm.s="",_xlpm.e="",_xlpm.e&lt;_xlpm.s),"",_xlfn.LET(_xlpm.p,_xlfn.SEQUENCE(_xlpm.e-_xlpm.s+1,1,_xlpm.s,1),SUM(1/COUNTIFS($D:$D,D70,$E:$E,E70,$F:$F,"&lt;&gt;N/A",$G:$G,"&lt;&gt;N/A",$F:$F,"&lt;="&amp;_xlpm.p,$G:$G,"&gt;="&amp;_xlpm.p)))))</f>
        <v>1.3333333333333333</v>
      </c>
      <c r="I70" t="s">
        <v>7</v>
      </c>
      <c r="J70" t="s">
        <v>259</v>
      </c>
      <c r="K70" t="s">
        <v>7</v>
      </c>
      <c r="L70" s="5" t="s">
        <v>7</v>
      </c>
      <c r="M70" s="5" t="s">
        <v>5047</v>
      </c>
      <c r="N70" t="s">
        <v>2558</v>
      </c>
      <c r="O70" s="5" t="s">
        <v>5072</v>
      </c>
      <c r="P70" s="5" t="s">
        <v>8021</v>
      </c>
      <c r="R70" t="b">
        <v>1</v>
      </c>
    </row>
    <row r="71" spans="1:18">
      <c r="A71" t="s">
        <v>3012</v>
      </c>
      <c r="B71" t="s">
        <v>5652</v>
      </c>
      <c r="C71" t="s">
        <v>7803</v>
      </c>
      <c r="D71" s="1">
        <v>1</v>
      </c>
      <c r="E71" s="1">
        <v>9</v>
      </c>
      <c r="F71" s="1">
        <v>11</v>
      </c>
      <c r="G71" s="1">
        <v>11</v>
      </c>
      <c r="H71" s="17" cm="1">
        <f t="array" ref="H71">_xlfn.LET(_xlpm.s,IFERROR(--F71,""),_xlpm.e,IFERROR(--G71,""),IF(OR(_xlpm.s="",_xlpm.e="",_xlpm.e&lt;_xlpm.s),"",_xlfn.LET(_xlpm.p,_xlfn.SEQUENCE(_xlpm.e-_xlpm.s+1,1,_xlpm.s,1),SUM(1/COUNTIFS($D:$D,D71,$E:$E,E71,$F:$F,"&lt;&gt;N/A",$G:$G,"&lt;&gt;N/A",$F:$F,"&lt;="&amp;_xlpm.p,$G:$G,"&gt;="&amp;_xlpm.p)))))</f>
        <v>0.5</v>
      </c>
      <c r="I71" t="s">
        <v>7</v>
      </c>
      <c r="J71" t="s">
        <v>260</v>
      </c>
      <c r="K71" t="s">
        <v>7</v>
      </c>
      <c r="L71" s="5" t="s">
        <v>7</v>
      </c>
      <c r="M71" s="5" t="s">
        <v>5047</v>
      </c>
      <c r="N71" t="s">
        <v>2557</v>
      </c>
      <c r="O71" s="5" t="s">
        <v>5072</v>
      </c>
      <c r="P71" s="5" t="s">
        <v>8021</v>
      </c>
      <c r="R71" t="b">
        <v>1</v>
      </c>
    </row>
    <row r="72" spans="1:18">
      <c r="A72" t="s">
        <v>3012</v>
      </c>
      <c r="B72" t="s">
        <v>5653</v>
      </c>
      <c r="C72" t="s">
        <v>7803</v>
      </c>
      <c r="D72" s="1">
        <v>1</v>
      </c>
      <c r="E72" s="1">
        <v>9</v>
      </c>
      <c r="F72" s="1">
        <v>11</v>
      </c>
      <c r="G72" s="1">
        <v>14</v>
      </c>
      <c r="H72" s="17" cm="1">
        <f t="array" ref="H72">_xlfn.LET(_xlpm.s,IFERROR(--F72,""),_xlpm.e,IFERROR(--G72,""),IF(OR(_xlpm.s="",_xlpm.e="",_xlpm.e&lt;_xlpm.s),"",_xlfn.LET(_xlpm.p,_xlfn.SEQUENCE(_xlpm.e-_xlpm.s+1,1,_xlpm.s,1),SUM(1/COUNTIFS($D:$D,D72,$E:$E,E72,$F:$F,"&lt;&gt;N/A",$G:$G,"&lt;&gt;N/A",$F:$F,"&lt;="&amp;_xlpm.p,$G:$G,"&gt;="&amp;_xlpm.p)))))</f>
        <v>3</v>
      </c>
      <c r="I72" t="s">
        <v>7</v>
      </c>
      <c r="J72" t="s">
        <v>261</v>
      </c>
      <c r="K72" t="s">
        <v>7</v>
      </c>
      <c r="L72" s="5" t="s">
        <v>4596</v>
      </c>
      <c r="M72" s="5" t="s">
        <v>5047</v>
      </c>
      <c r="N72" t="s">
        <v>2597</v>
      </c>
      <c r="O72" s="5" t="s">
        <v>5072</v>
      </c>
      <c r="P72" s="5" t="s">
        <v>8021</v>
      </c>
      <c r="Q72" s="5" t="s">
        <v>2509</v>
      </c>
      <c r="R72" t="b">
        <v>1</v>
      </c>
    </row>
    <row r="73" spans="1:18">
      <c r="A73" t="s">
        <v>3012</v>
      </c>
      <c r="B73" t="s">
        <v>5654</v>
      </c>
      <c r="C73" t="s">
        <v>7803</v>
      </c>
      <c r="D73" s="1">
        <v>1</v>
      </c>
      <c r="E73" s="1">
        <v>9</v>
      </c>
      <c r="F73" s="1">
        <v>14</v>
      </c>
      <c r="G73" s="1">
        <v>28</v>
      </c>
      <c r="H73" s="17" cm="1">
        <f t="array" ref="H73">_xlfn.LET(_xlpm.s,IFERROR(--F73,""),_xlpm.e,IFERROR(--G73,""),IF(OR(_xlpm.s="",_xlpm.e="",_xlpm.e&lt;_xlpm.s),"",_xlfn.LET(_xlpm.p,_xlfn.SEQUENCE(_xlpm.e-_xlpm.s+1,1,_xlpm.s,1),SUM(1/COUNTIFS($D:$D,D73,$E:$E,E73,$F:$F,"&lt;&gt;N/A",$G:$G,"&lt;&gt;N/A",$F:$F,"&lt;="&amp;_xlpm.p,$G:$G,"&gt;="&amp;_xlpm.p)))))</f>
        <v>14</v>
      </c>
      <c r="I73" t="s">
        <v>7</v>
      </c>
      <c r="J73" t="s">
        <v>5288</v>
      </c>
      <c r="K73" t="s">
        <v>4597</v>
      </c>
      <c r="L73" s="5" t="s">
        <v>7</v>
      </c>
      <c r="M73" s="5" t="s">
        <v>7</v>
      </c>
      <c r="N73" t="s">
        <v>7</v>
      </c>
      <c r="O73" s="5" t="s">
        <v>778</v>
      </c>
      <c r="P73" s="5" t="s">
        <v>7834</v>
      </c>
      <c r="R73" t="b">
        <v>1</v>
      </c>
    </row>
    <row r="74" spans="1:18">
      <c r="A74" t="s">
        <v>3012</v>
      </c>
      <c r="B74" t="s">
        <v>5655</v>
      </c>
      <c r="C74" t="s">
        <v>7803</v>
      </c>
      <c r="D74" s="1">
        <v>1</v>
      </c>
      <c r="E74" s="1">
        <v>9</v>
      </c>
      <c r="F74" s="1">
        <v>28</v>
      </c>
      <c r="G74" s="1">
        <v>30</v>
      </c>
      <c r="H74" s="17" cm="1">
        <f t="array" ref="H74">_xlfn.LET(_xlpm.s,IFERROR(--F74,""),_xlpm.e,IFERROR(--G74,""),IF(OR(_xlpm.s="",_xlpm.e="",_xlpm.e&lt;_xlpm.s),"",_xlfn.LET(_xlpm.p,_xlfn.SEQUENCE(_xlpm.e-_xlpm.s+1,1,_xlpm.s,1),SUM(1/COUNTIFS($D:$D,D74,$E:$E,E74,$F:$F,"&lt;&gt;N/A",$G:$G,"&lt;&gt;N/A",$F:$F,"&lt;="&amp;_xlpm.p,$G:$G,"&gt;="&amp;_xlpm.p)))))</f>
        <v>2</v>
      </c>
      <c r="I74" t="s">
        <v>7</v>
      </c>
      <c r="J74" t="s">
        <v>5289</v>
      </c>
      <c r="K74" t="s">
        <v>7</v>
      </c>
      <c r="L74" s="5" t="s">
        <v>7</v>
      </c>
      <c r="M74" s="5" t="s">
        <v>7</v>
      </c>
      <c r="N74" t="s">
        <v>7</v>
      </c>
      <c r="O74" s="5" t="s">
        <v>778</v>
      </c>
      <c r="P74" s="5" t="s">
        <v>7834</v>
      </c>
      <c r="R74" t="b">
        <v>1</v>
      </c>
    </row>
    <row r="75" spans="1:18">
      <c r="A75" t="s">
        <v>3012</v>
      </c>
      <c r="B75" t="s">
        <v>5656</v>
      </c>
      <c r="C75" t="s">
        <v>7803</v>
      </c>
      <c r="D75" s="1">
        <v>1</v>
      </c>
      <c r="E75" s="1">
        <v>9</v>
      </c>
      <c r="F75" s="1">
        <v>30</v>
      </c>
      <c r="G75" s="1">
        <v>32</v>
      </c>
      <c r="H75" s="17" cm="1">
        <f t="array" ref="H75">_xlfn.LET(_xlpm.s,IFERROR(--F75,""),_xlpm.e,IFERROR(--G75,""),IF(OR(_xlpm.s="",_xlpm.e="",_xlpm.e&lt;_xlpm.s),"",_xlfn.LET(_xlpm.p,_xlfn.SEQUENCE(_xlpm.e-_xlpm.s+1,1,_xlpm.s,1),SUM(1/COUNTIFS($D:$D,D75,$E:$E,E75,$F:$F,"&lt;&gt;N/A",$G:$G,"&lt;&gt;N/A",$F:$F,"&lt;="&amp;_xlpm.p,$G:$G,"&gt;="&amp;_xlpm.p)))))</f>
        <v>2</v>
      </c>
      <c r="I75" t="s">
        <v>7</v>
      </c>
      <c r="J75" t="s">
        <v>5575</v>
      </c>
      <c r="K75" t="s">
        <v>4593</v>
      </c>
      <c r="L75" s="5" t="s">
        <v>7</v>
      </c>
      <c r="M75" s="5" t="s">
        <v>7</v>
      </c>
      <c r="N75" t="s">
        <v>7</v>
      </c>
      <c r="O75" s="5" t="s">
        <v>778</v>
      </c>
      <c r="P75" s="5" t="s">
        <v>7834</v>
      </c>
      <c r="R75" t="b">
        <v>1</v>
      </c>
    </row>
    <row r="76" spans="1:18">
      <c r="A76" t="s">
        <v>3012</v>
      </c>
      <c r="B76" t="s">
        <v>6764</v>
      </c>
      <c r="C76" t="s">
        <v>7803</v>
      </c>
      <c r="D76" s="1">
        <v>1</v>
      </c>
      <c r="E76" s="1">
        <v>9</v>
      </c>
      <c r="F76" s="1">
        <v>32</v>
      </c>
      <c r="G76" s="1">
        <v>32</v>
      </c>
      <c r="H76" s="17" cm="1">
        <f t="array" ref="H76">_xlfn.LET(_xlpm.s,IFERROR(--F76,""),_xlpm.e,IFERROR(--G76,""),IF(OR(_xlpm.s="",_xlpm.e="",_xlpm.e&lt;_xlpm.s),"",_xlfn.LET(_xlpm.p,_xlfn.SEQUENCE(_xlpm.e-_xlpm.s+1,1,_xlpm.s,1),SUM(1/COUNTIFS($D:$D,D76,$E:$E,E76,$F:$F,"&lt;&gt;N/A",$G:$G,"&lt;&gt;N/A",$F:$F,"&lt;="&amp;_xlpm.p,$G:$G,"&gt;="&amp;_xlpm.p)))))</f>
        <v>0.5</v>
      </c>
      <c r="I76" t="s">
        <v>7</v>
      </c>
      <c r="J76" t="s">
        <v>262</v>
      </c>
      <c r="K76" t="s">
        <v>7</v>
      </c>
      <c r="L76" s="5" t="s">
        <v>5234</v>
      </c>
      <c r="M76" t="s">
        <v>5147</v>
      </c>
      <c r="N76" t="s">
        <v>6599</v>
      </c>
      <c r="O76" s="5" t="s">
        <v>5072</v>
      </c>
      <c r="P76" s="5" t="s">
        <v>8021</v>
      </c>
      <c r="Q76" s="5" t="s">
        <v>2509</v>
      </c>
      <c r="R76" t="b">
        <v>1</v>
      </c>
    </row>
    <row r="77" spans="1:18">
      <c r="A77" t="s">
        <v>3012</v>
      </c>
      <c r="B77" t="s">
        <v>5657</v>
      </c>
      <c r="C77" t="s">
        <v>7720</v>
      </c>
      <c r="D77" s="1">
        <v>1</v>
      </c>
      <c r="E77" s="1">
        <v>10</v>
      </c>
      <c r="F77" s="1">
        <v>1</v>
      </c>
      <c r="G77" s="1">
        <v>6</v>
      </c>
      <c r="H77" s="17" cm="1">
        <f t="array" ref="H77">_xlfn.LET(_xlpm.s,IFERROR(--F77,""),_xlpm.e,IFERROR(--G77,""),IF(OR(_xlpm.s="",_xlpm.e="",_xlpm.e&lt;_xlpm.s),"",_xlfn.LET(_xlpm.p,_xlfn.SEQUENCE(_xlpm.e-_xlpm.s+1,1,_xlpm.s,1),SUM(1/COUNTIFS($D:$D,D77,$E:$E,E77,$F:$F,"&lt;&gt;N/A",$G:$G,"&lt;&gt;N/A",$F:$F,"&lt;="&amp;_xlpm.p,$G:$G,"&gt;="&amp;_xlpm.p)))))</f>
        <v>6</v>
      </c>
      <c r="I77" t="s">
        <v>7</v>
      </c>
      <c r="J77" t="s">
        <v>263</v>
      </c>
      <c r="K77" t="s">
        <v>2520</v>
      </c>
      <c r="L77" s="5" t="s">
        <v>7</v>
      </c>
      <c r="M77" s="5" t="s">
        <v>7</v>
      </c>
      <c r="N77" t="s">
        <v>6579</v>
      </c>
      <c r="O77" s="5" t="s">
        <v>10264</v>
      </c>
      <c r="P77" s="5" t="s">
        <v>8020</v>
      </c>
      <c r="R77" t="b">
        <v>1</v>
      </c>
    </row>
    <row r="78" spans="1:18">
      <c r="A78" t="s">
        <v>3012</v>
      </c>
      <c r="B78" t="s">
        <v>5658</v>
      </c>
      <c r="C78" t="s">
        <v>7720</v>
      </c>
      <c r="D78" s="1">
        <v>1</v>
      </c>
      <c r="E78" s="1">
        <v>10</v>
      </c>
      <c r="F78" s="1">
        <v>7</v>
      </c>
      <c r="G78" s="1">
        <v>16</v>
      </c>
      <c r="H78" s="17" cm="1">
        <f t="array" ref="H78">_xlfn.LET(_xlpm.s,IFERROR(--F78,""),_xlpm.e,IFERROR(--G78,""),IF(OR(_xlpm.s="",_xlpm.e="",_xlpm.e&lt;_xlpm.s),"",_xlfn.LET(_xlpm.p,_xlfn.SEQUENCE(_xlpm.e-_xlpm.s+1,1,_xlpm.s,1),SUM(1/COUNTIFS($D:$D,D78,$E:$E,E78,$F:$F,"&lt;&gt;N/A",$G:$G,"&lt;&gt;N/A",$F:$F,"&lt;="&amp;_xlpm.p,$G:$G,"&gt;="&amp;_xlpm.p)))))</f>
        <v>10</v>
      </c>
      <c r="I78" t="s">
        <v>7</v>
      </c>
      <c r="J78" t="s">
        <v>264</v>
      </c>
      <c r="K78" t="s">
        <v>2477</v>
      </c>
      <c r="L78" s="5" t="s">
        <v>4598</v>
      </c>
      <c r="M78" s="5" t="s">
        <v>5148</v>
      </c>
      <c r="N78" t="s">
        <v>10140</v>
      </c>
      <c r="O78" s="5" t="s">
        <v>10264</v>
      </c>
      <c r="P78" s="5" t="s">
        <v>8021</v>
      </c>
      <c r="R78" t="b">
        <v>1</v>
      </c>
    </row>
    <row r="79" spans="1:18">
      <c r="A79" t="s">
        <v>3012</v>
      </c>
      <c r="B79" t="s">
        <v>5659</v>
      </c>
      <c r="C79" t="s">
        <v>7720</v>
      </c>
      <c r="D79" s="1">
        <v>1</v>
      </c>
      <c r="E79" s="1">
        <v>10</v>
      </c>
      <c r="F79" s="1">
        <v>17</v>
      </c>
      <c r="G79" s="1">
        <v>24</v>
      </c>
      <c r="H79" s="17" cm="1">
        <f t="array" ref="H79">_xlfn.LET(_xlpm.s,IFERROR(--F79,""),_xlpm.e,IFERROR(--G79,""),IF(OR(_xlpm.s="",_xlpm.e="",_xlpm.e&lt;_xlpm.s),"",_xlfn.LET(_xlpm.p,_xlfn.SEQUENCE(_xlpm.e-_xlpm.s+1,1,_xlpm.s,1),SUM(1/COUNTIFS($D:$D,D79,$E:$E,E79,$F:$F,"&lt;&gt;N/A",$G:$G,"&lt;&gt;N/A",$F:$F,"&lt;="&amp;_xlpm.p,$G:$G,"&gt;="&amp;_xlpm.p)))))</f>
        <v>8</v>
      </c>
      <c r="I79" t="s">
        <v>7</v>
      </c>
      <c r="J79" t="s">
        <v>1784</v>
      </c>
      <c r="K79" t="s">
        <v>2470</v>
      </c>
      <c r="L79" s="5" t="s">
        <v>7</v>
      </c>
      <c r="M79" t="s">
        <v>7</v>
      </c>
      <c r="N79" t="s">
        <v>7</v>
      </c>
      <c r="O79" s="5" t="s">
        <v>778</v>
      </c>
      <c r="P79" s="5" t="s">
        <v>7834</v>
      </c>
      <c r="R79" t="b">
        <v>1</v>
      </c>
    </row>
    <row r="80" spans="1:18">
      <c r="A80" t="s">
        <v>3012</v>
      </c>
      <c r="B80" t="s">
        <v>5660</v>
      </c>
      <c r="C80" t="s">
        <v>7720</v>
      </c>
      <c r="D80" s="1">
        <v>1</v>
      </c>
      <c r="E80" s="1">
        <v>10</v>
      </c>
      <c r="F80" s="1">
        <v>25</v>
      </c>
      <c r="G80" s="1">
        <v>31</v>
      </c>
      <c r="H80" s="17" cm="1">
        <f t="array" ref="H80">_xlfn.LET(_xlpm.s,IFERROR(--F80,""),_xlpm.e,IFERROR(--G80,""),IF(OR(_xlpm.s="",_xlpm.e="",_xlpm.e&lt;_xlpm.s),"",_xlfn.LET(_xlpm.p,_xlfn.SEQUENCE(_xlpm.e-_xlpm.s+1,1,_xlpm.s,1),SUM(1/COUNTIFS($D:$D,D80,$E:$E,E80,$F:$F,"&lt;&gt;N/A",$G:$G,"&lt;&gt;N/A",$F:$F,"&lt;="&amp;_xlpm.p,$G:$G,"&gt;="&amp;_xlpm.p)))))</f>
        <v>7</v>
      </c>
      <c r="I80" t="s">
        <v>7</v>
      </c>
      <c r="J80" t="s">
        <v>4338</v>
      </c>
      <c r="K80" t="s">
        <v>2465</v>
      </c>
      <c r="L80" s="5" t="s">
        <v>7</v>
      </c>
      <c r="M80" t="s">
        <v>7</v>
      </c>
      <c r="N80" t="s">
        <v>7</v>
      </c>
      <c r="O80" s="5" t="s">
        <v>778</v>
      </c>
      <c r="P80" s="5" t="s">
        <v>7834</v>
      </c>
      <c r="R80" t="b">
        <v>1</v>
      </c>
    </row>
    <row r="81" spans="1:18">
      <c r="A81" t="s">
        <v>3012</v>
      </c>
      <c r="B81" t="s">
        <v>6765</v>
      </c>
      <c r="C81" t="s">
        <v>7720</v>
      </c>
      <c r="D81" s="1">
        <v>1</v>
      </c>
      <c r="E81" s="1">
        <v>10</v>
      </c>
      <c r="F81" s="1">
        <v>32</v>
      </c>
      <c r="G81" s="1">
        <v>32</v>
      </c>
      <c r="H81" s="17" cm="1">
        <f t="array" ref="H81">_xlfn.LET(_xlpm.s,IFERROR(--F81,""),_xlpm.e,IFERROR(--G81,""),IF(OR(_xlpm.s="",_xlpm.e="",_xlpm.e&lt;_xlpm.s),"",_xlfn.LET(_xlpm.p,_xlfn.SEQUENCE(_xlpm.e-_xlpm.s+1,1,_xlpm.s,1),SUM(1/COUNTIFS($D:$D,D81,$E:$E,E81,$F:$F,"&lt;&gt;N/A",$G:$G,"&lt;&gt;N/A",$F:$F,"&lt;="&amp;_xlpm.p,$G:$G,"&gt;="&amp;_xlpm.p)))))</f>
        <v>1</v>
      </c>
      <c r="I81" t="s">
        <v>7</v>
      </c>
      <c r="J81" t="s">
        <v>265</v>
      </c>
      <c r="K81" t="s">
        <v>7</v>
      </c>
      <c r="L81" s="5" t="s">
        <v>5234</v>
      </c>
      <c r="M81" t="s">
        <v>5147</v>
      </c>
      <c r="N81" t="s">
        <v>6600</v>
      </c>
      <c r="O81" s="5" t="s">
        <v>5072</v>
      </c>
      <c r="P81" s="5" t="s">
        <v>8021</v>
      </c>
      <c r="Q81" s="5" t="s">
        <v>2509</v>
      </c>
      <c r="R81" t="b">
        <v>1</v>
      </c>
    </row>
    <row r="82" spans="1:18">
      <c r="A82" t="s">
        <v>3012</v>
      </c>
      <c r="B82" t="s">
        <v>5661</v>
      </c>
      <c r="C82" t="s">
        <v>7721</v>
      </c>
      <c r="D82" s="1">
        <v>1</v>
      </c>
      <c r="E82" s="1">
        <v>11</v>
      </c>
      <c r="F82" s="1">
        <v>1</v>
      </c>
      <c r="G82" s="1">
        <v>1</v>
      </c>
      <c r="H82" s="17" cm="1">
        <f t="array" ref="H82">_xlfn.LET(_xlpm.s,IFERROR(--F82,""),_xlpm.e,IFERROR(--G82,""),IF(OR(_xlpm.s="",_xlpm.e="",_xlpm.e&lt;_xlpm.s),"",_xlfn.LET(_xlpm.p,_xlfn.SEQUENCE(_xlpm.e-_xlpm.s+1,1,_xlpm.s,1),SUM(1/COUNTIFS($D:$D,D82,$E:$E,E82,$F:$F,"&lt;&gt;N/A",$G:$G,"&lt;&gt;N/A",$F:$F,"&lt;="&amp;_xlpm.p,$G:$G,"&gt;="&amp;_xlpm.p)))))</f>
        <v>0.5</v>
      </c>
      <c r="I82" t="s">
        <v>7</v>
      </c>
      <c r="J82" t="s">
        <v>4339</v>
      </c>
      <c r="K82" t="s">
        <v>2470</v>
      </c>
      <c r="L82" s="5" t="s">
        <v>7</v>
      </c>
      <c r="M82" t="s">
        <v>7</v>
      </c>
      <c r="N82" t="s">
        <v>7</v>
      </c>
      <c r="O82" s="5" t="s">
        <v>778</v>
      </c>
      <c r="P82" s="5" t="s">
        <v>7834</v>
      </c>
      <c r="R82" t="b">
        <v>0</v>
      </c>
    </row>
    <row r="83" spans="1:18">
      <c r="A83" t="s">
        <v>3012</v>
      </c>
      <c r="B83" t="s">
        <v>5662</v>
      </c>
      <c r="C83" t="s">
        <v>7721</v>
      </c>
      <c r="D83" s="1">
        <v>1</v>
      </c>
      <c r="E83" s="1">
        <v>11</v>
      </c>
      <c r="F83" s="1">
        <v>1</v>
      </c>
      <c r="G83" s="1">
        <v>2</v>
      </c>
      <c r="H83" s="17" cm="1">
        <f t="array" ref="H83">_xlfn.LET(_xlpm.s,IFERROR(--F83,""),_xlpm.e,IFERROR(--G83,""),IF(OR(_xlpm.s="",_xlpm.e="",_xlpm.e&lt;_xlpm.s),"",_xlfn.LET(_xlpm.p,_xlfn.SEQUENCE(_xlpm.e-_xlpm.s+1,1,_xlpm.s,1),SUM(1/COUNTIFS($D:$D,D83,$E:$E,E83,$F:$F,"&lt;&gt;N/A",$G:$G,"&lt;&gt;N/A",$F:$F,"&lt;="&amp;_xlpm.p,$G:$G,"&gt;="&amp;_xlpm.p)))))</f>
        <v>1</v>
      </c>
      <c r="I83" t="s">
        <v>7</v>
      </c>
      <c r="J83" t="s">
        <v>4340</v>
      </c>
      <c r="K83" t="s">
        <v>2465</v>
      </c>
      <c r="L83" s="5" t="s">
        <v>7</v>
      </c>
      <c r="M83" t="s">
        <v>7</v>
      </c>
      <c r="N83" t="s">
        <v>7</v>
      </c>
      <c r="O83" s="5" t="s">
        <v>778</v>
      </c>
      <c r="P83" s="5" t="s">
        <v>7834</v>
      </c>
      <c r="R83" t="b">
        <v>0</v>
      </c>
    </row>
    <row r="84" spans="1:18">
      <c r="A84" t="s">
        <v>3012</v>
      </c>
      <c r="B84" t="s">
        <v>5663</v>
      </c>
      <c r="C84" t="s">
        <v>7721</v>
      </c>
      <c r="D84" s="1">
        <v>1</v>
      </c>
      <c r="E84" s="1">
        <v>11</v>
      </c>
      <c r="F84" s="1">
        <v>2</v>
      </c>
      <c r="G84" s="1">
        <v>16</v>
      </c>
      <c r="H84" s="17" cm="1">
        <f t="array" ref="H84">_xlfn.LET(_xlpm.s,IFERROR(--F84,""),_xlpm.e,IFERROR(--G84,""),IF(OR(_xlpm.s="",_xlpm.e="",_xlpm.e&lt;_xlpm.s),"",_xlfn.LET(_xlpm.p,_xlfn.SEQUENCE(_xlpm.e-_xlpm.s+1,1,_xlpm.s,1),SUM(1/COUNTIFS($D:$D,D84,$E:$E,E84,$F:$F,"&lt;&gt;N/A",$G:$G,"&lt;&gt;N/A",$F:$F,"&lt;="&amp;_xlpm.p,$G:$G,"&gt;="&amp;_xlpm.p)))))</f>
        <v>14.5</v>
      </c>
      <c r="I84" t="s">
        <v>7</v>
      </c>
      <c r="J84" t="s">
        <v>1785</v>
      </c>
      <c r="K84" t="s">
        <v>2465</v>
      </c>
      <c r="L84" s="5" t="s">
        <v>7</v>
      </c>
      <c r="M84" t="s">
        <v>7</v>
      </c>
      <c r="N84" t="s">
        <v>7</v>
      </c>
      <c r="O84" s="5" t="s">
        <v>778</v>
      </c>
      <c r="P84" s="5" t="s">
        <v>7834</v>
      </c>
      <c r="R84" t="b">
        <v>0</v>
      </c>
    </row>
    <row r="85" spans="1:18">
      <c r="A85" t="s">
        <v>3012</v>
      </c>
      <c r="B85" t="s">
        <v>5664</v>
      </c>
      <c r="C85" t="s">
        <v>7721</v>
      </c>
      <c r="D85" s="1">
        <v>1</v>
      </c>
      <c r="E85" s="1">
        <v>11</v>
      </c>
      <c r="F85" s="1">
        <v>17</v>
      </c>
      <c r="G85" s="1">
        <v>26</v>
      </c>
      <c r="H85" s="17" cm="1">
        <f t="array" ref="H85">_xlfn.LET(_xlpm.s,IFERROR(--F85,""),_xlpm.e,IFERROR(--G85,""),IF(OR(_xlpm.s="",_xlpm.e="",_xlpm.e&lt;_xlpm.s),"",_xlfn.LET(_xlpm.p,_xlfn.SEQUENCE(_xlpm.e-_xlpm.s+1,1,_xlpm.s,1),SUM(1/COUNTIFS($D:$D,D85,$E:$E,E85,$F:$F,"&lt;&gt;N/A",$G:$G,"&lt;&gt;N/A",$F:$F,"&lt;="&amp;_xlpm.p,$G:$G,"&gt;="&amp;_xlpm.p)))))</f>
        <v>9.5</v>
      </c>
      <c r="I85" t="s">
        <v>7</v>
      </c>
      <c r="J85" t="s">
        <v>266</v>
      </c>
      <c r="K85" t="s">
        <v>4599</v>
      </c>
      <c r="L85" s="5" t="s">
        <v>7</v>
      </c>
      <c r="M85" t="s">
        <v>7</v>
      </c>
      <c r="N85" t="s">
        <v>7</v>
      </c>
      <c r="O85" s="5" t="s">
        <v>778</v>
      </c>
      <c r="P85" s="5" t="s">
        <v>7834</v>
      </c>
      <c r="R85" t="b">
        <v>1</v>
      </c>
    </row>
    <row r="86" spans="1:18">
      <c r="A86" t="s">
        <v>3012</v>
      </c>
      <c r="B86" t="s">
        <v>5665</v>
      </c>
      <c r="C86" t="s">
        <v>7721</v>
      </c>
      <c r="D86" s="1">
        <v>1</v>
      </c>
      <c r="E86" s="1">
        <v>11</v>
      </c>
      <c r="F86" s="1">
        <v>26</v>
      </c>
      <c r="G86" s="1">
        <v>29</v>
      </c>
      <c r="H86" s="17" cm="1">
        <f t="array" ref="H86">_xlfn.LET(_xlpm.s,IFERROR(--F86,""),_xlpm.e,IFERROR(--G86,""),IF(OR(_xlpm.s="",_xlpm.e="",_xlpm.e&lt;_xlpm.s),"",_xlfn.LET(_xlpm.p,_xlfn.SEQUENCE(_xlpm.e-_xlpm.s+1,1,_xlpm.s,1),SUM(1/COUNTIFS($D:$D,D86,$E:$E,E86,$F:$F,"&lt;&gt;N/A",$G:$G,"&lt;&gt;N/A",$F:$F,"&lt;="&amp;_xlpm.p,$G:$G,"&gt;="&amp;_xlpm.p)))))</f>
        <v>3</v>
      </c>
      <c r="I86" t="s">
        <v>7</v>
      </c>
      <c r="J86" t="s">
        <v>5295</v>
      </c>
      <c r="K86" s="5" t="s">
        <v>7</v>
      </c>
      <c r="L86" s="5" t="s">
        <v>4600</v>
      </c>
      <c r="M86" t="s">
        <v>7</v>
      </c>
      <c r="N86" t="s">
        <v>7</v>
      </c>
      <c r="O86" s="5" t="s">
        <v>5072</v>
      </c>
      <c r="P86" s="5" t="s">
        <v>8021</v>
      </c>
      <c r="Q86" s="5" t="s">
        <v>2509</v>
      </c>
      <c r="R86" t="b">
        <v>1</v>
      </c>
    </row>
    <row r="87" spans="1:18">
      <c r="A87" t="s">
        <v>3012</v>
      </c>
      <c r="B87" t="s">
        <v>5666</v>
      </c>
      <c r="C87" t="s">
        <v>7721</v>
      </c>
      <c r="D87" s="1">
        <v>1</v>
      </c>
      <c r="E87" s="1">
        <v>11</v>
      </c>
      <c r="F87" s="1">
        <v>29</v>
      </c>
      <c r="G87" s="1">
        <v>31</v>
      </c>
      <c r="H87" s="17" cm="1">
        <f t="array" ref="H87">_xlfn.LET(_xlpm.s,IFERROR(--F87,""),_xlpm.e,IFERROR(--G87,""),IF(OR(_xlpm.s="",_xlpm.e="",_xlpm.e&lt;_xlpm.s),"",_xlfn.LET(_xlpm.p,_xlfn.SEQUENCE(_xlpm.e-_xlpm.s+1,1,_xlpm.s,1),SUM(1/COUNTIFS($D:$D,D87,$E:$E,E87,$F:$F,"&lt;&gt;N/A",$G:$G,"&lt;&gt;N/A",$F:$F,"&lt;="&amp;_xlpm.p,$G:$G,"&gt;="&amp;_xlpm.p)))))</f>
        <v>2.5</v>
      </c>
      <c r="I87" t="s">
        <v>7</v>
      </c>
      <c r="J87" t="s">
        <v>5294</v>
      </c>
      <c r="K87" t="s">
        <v>4601</v>
      </c>
      <c r="L87" s="5" t="s">
        <v>7</v>
      </c>
      <c r="M87" s="5" t="s">
        <v>7</v>
      </c>
      <c r="N87" t="s">
        <v>7</v>
      </c>
      <c r="O87" s="5" t="s">
        <v>778</v>
      </c>
      <c r="P87" s="5" t="s">
        <v>7834</v>
      </c>
      <c r="R87" t="b">
        <v>1</v>
      </c>
    </row>
    <row r="88" spans="1:18">
      <c r="A88" t="s">
        <v>3012</v>
      </c>
      <c r="B88" t="s">
        <v>6766</v>
      </c>
      <c r="C88" t="s">
        <v>7721</v>
      </c>
      <c r="D88" s="1">
        <v>1</v>
      </c>
      <c r="E88" s="1">
        <v>11</v>
      </c>
      <c r="F88" s="1">
        <v>32</v>
      </c>
      <c r="G88" s="1">
        <v>32</v>
      </c>
      <c r="H88" s="17" cm="1">
        <f t="array" ref="H88">_xlfn.LET(_xlpm.s,IFERROR(--F88,""),_xlpm.e,IFERROR(--G88,""),IF(OR(_xlpm.s="",_xlpm.e="",_xlpm.e&lt;_xlpm.s),"",_xlfn.LET(_xlpm.p,_xlfn.SEQUENCE(_xlpm.e-_xlpm.s+1,1,_xlpm.s,1),SUM(1/COUNTIFS($D:$D,D88,$E:$E,E88,$F:$F,"&lt;&gt;N/A",$G:$G,"&lt;&gt;N/A",$F:$F,"&lt;="&amp;_xlpm.p,$G:$G,"&gt;="&amp;_xlpm.p)))))</f>
        <v>1</v>
      </c>
      <c r="I88" t="s">
        <v>7</v>
      </c>
      <c r="J88" t="s">
        <v>267</v>
      </c>
      <c r="K88" t="s">
        <v>7</v>
      </c>
      <c r="L88" s="5" t="s">
        <v>4584</v>
      </c>
      <c r="M88" s="5" t="s">
        <v>7</v>
      </c>
      <c r="N88" t="s">
        <v>7</v>
      </c>
      <c r="O88" s="5" t="s">
        <v>11522</v>
      </c>
      <c r="P88" s="5" t="s">
        <v>8019</v>
      </c>
      <c r="R88" t="b">
        <v>1</v>
      </c>
    </row>
    <row r="89" spans="1:18">
      <c r="A89" t="s">
        <v>3012</v>
      </c>
      <c r="B89" t="s">
        <v>5667</v>
      </c>
      <c r="C89" t="s">
        <v>7722</v>
      </c>
      <c r="D89" s="1">
        <v>1</v>
      </c>
      <c r="E89" s="1">
        <v>12</v>
      </c>
      <c r="F89" s="1">
        <v>1</v>
      </c>
      <c r="G89" s="1">
        <v>3</v>
      </c>
      <c r="H89" s="17" cm="1">
        <f t="array" ref="H89">_xlfn.LET(_xlpm.s,IFERROR(--F89,""),_xlpm.e,IFERROR(--G89,""),IF(OR(_xlpm.s="",_xlpm.e="",_xlpm.e&lt;_xlpm.s),"",_xlfn.LET(_xlpm.p,_xlfn.SEQUENCE(_xlpm.e-_xlpm.s+1,1,_xlpm.s,1),SUM(1/COUNTIFS($D:$D,D89,$E:$E,E89,$F:$F,"&lt;&gt;N/A",$G:$G,"&lt;&gt;N/A",$F:$F,"&lt;="&amp;_xlpm.p,$G:$G,"&gt;="&amp;_xlpm.p)))))</f>
        <v>2.5</v>
      </c>
      <c r="I89" t="s">
        <v>7</v>
      </c>
      <c r="J89" t="s">
        <v>5293</v>
      </c>
      <c r="K89" t="s">
        <v>7</v>
      </c>
      <c r="L89" s="5" t="s">
        <v>5292</v>
      </c>
      <c r="M89" s="5" t="s">
        <v>7</v>
      </c>
      <c r="N89" s="5" t="s">
        <v>7</v>
      </c>
      <c r="O89" s="5" t="s">
        <v>5072</v>
      </c>
      <c r="P89" s="5" t="s">
        <v>8021</v>
      </c>
      <c r="Q89" t="s">
        <v>2509</v>
      </c>
      <c r="R89" t="b">
        <v>1</v>
      </c>
    </row>
    <row r="90" spans="1:18">
      <c r="A90" t="s">
        <v>3012</v>
      </c>
      <c r="B90" t="s">
        <v>5668</v>
      </c>
      <c r="C90" t="s">
        <v>7722</v>
      </c>
      <c r="D90" s="1">
        <v>1</v>
      </c>
      <c r="E90" s="1">
        <v>12</v>
      </c>
      <c r="F90" s="1">
        <v>3</v>
      </c>
      <c r="G90" s="1">
        <v>5</v>
      </c>
      <c r="H90" s="17" cm="1">
        <f t="array" ref="H90">_xlfn.LET(_xlpm.s,IFERROR(--F90,""),_xlpm.e,IFERROR(--G90,""),IF(OR(_xlpm.s="",_xlpm.e="",_xlpm.e&lt;_xlpm.s),"",_xlfn.LET(_xlpm.p,_xlfn.SEQUENCE(_xlpm.e-_xlpm.s+1,1,_xlpm.s,1),SUM(1/COUNTIFS($D:$D,D90,$E:$E,E90,$F:$F,"&lt;&gt;N/A",$G:$G,"&lt;&gt;N/A",$F:$F,"&lt;="&amp;_xlpm.p,$G:$G,"&gt;="&amp;_xlpm.p)))))</f>
        <v>2</v>
      </c>
      <c r="I90" t="s">
        <v>7</v>
      </c>
      <c r="J90" t="s">
        <v>10731</v>
      </c>
      <c r="K90" t="s">
        <v>7</v>
      </c>
      <c r="L90" s="5" t="s">
        <v>5291</v>
      </c>
      <c r="M90" t="s">
        <v>7</v>
      </c>
      <c r="N90" t="s">
        <v>7</v>
      </c>
      <c r="O90" s="5" t="s">
        <v>5072</v>
      </c>
      <c r="P90" s="5" t="s">
        <v>8021</v>
      </c>
      <c r="R90" t="b">
        <v>1</v>
      </c>
    </row>
    <row r="91" spans="1:18">
      <c r="A91" t="s">
        <v>3012</v>
      </c>
      <c r="B91" t="s">
        <v>5669</v>
      </c>
      <c r="C91" t="s">
        <v>7722</v>
      </c>
      <c r="D91" s="1">
        <v>1</v>
      </c>
      <c r="E91" s="1">
        <v>12</v>
      </c>
      <c r="F91" s="1">
        <v>5</v>
      </c>
      <c r="G91" s="1">
        <v>6</v>
      </c>
      <c r="H91" s="17" cm="1">
        <f t="array" ref="H91">_xlfn.LET(_xlpm.s,IFERROR(--F91,""),_xlpm.e,IFERROR(--G91,""),IF(OR(_xlpm.s="",_xlpm.e="",_xlpm.e&lt;_xlpm.s),"",_xlfn.LET(_xlpm.p,_xlfn.SEQUENCE(_xlpm.e-_xlpm.s+1,1,_xlpm.s,1),SUM(1/COUNTIFS($D:$D,D91,$E:$E,E91,$F:$F,"&lt;&gt;N/A",$G:$G,"&lt;&gt;N/A",$F:$F,"&lt;="&amp;_xlpm.p,$G:$G,"&gt;="&amp;_xlpm.p)))))</f>
        <v>1.5</v>
      </c>
      <c r="I91" t="s">
        <v>7</v>
      </c>
      <c r="J91" t="s">
        <v>268</v>
      </c>
      <c r="K91" t="s">
        <v>7</v>
      </c>
      <c r="L91" s="5" t="s">
        <v>7</v>
      </c>
      <c r="M91" t="s">
        <v>7</v>
      </c>
      <c r="N91" t="s">
        <v>7</v>
      </c>
      <c r="O91" s="5" t="s">
        <v>778</v>
      </c>
      <c r="P91" s="5" t="s">
        <v>7834</v>
      </c>
      <c r="R91" t="b">
        <v>1</v>
      </c>
    </row>
    <row r="92" spans="1:18">
      <c r="A92" t="s">
        <v>3012</v>
      </c>
      <c r="B92" t="s">
        <v>5670</v>
      </c>
      <c r="C92" t="s">
        <v>7722</v>
      </c>
      <c r="D92" s="1">
        <v>1</v>
      </c>
      <c r="E92" s="1">
        <v>12</v>
      </c>
      <c r="F92" s="1">
        <v>7</v>
      </c>
      <c r="G92" s="1">
        <v>15</v>
      </c>
      <c r="H92" s="17" cm="1">
        <f t="array" ref="H92">_xlfn.LET(_xlpm.s,IFERROR(--F92,""),_xlpm.e,IFERROR(--G92,""),IF(OR(_xlpm.s="",_xlpm.e="",_xlpm.e&lt;_xlpm.s),"",_xlfn.LET(_xlpm.p,_xlfn.SEQUENCE(_xlpm.e-_xlpm.s+1,1,_xlpm.s,1),SUM(1/COUNTIFS($D:$D,D92,$E:$E,E92,$F:$F,"&lt;&gt;N/A",$G:$G,"&lt;&gt;N/A",$F:$F,"&lt;="&amp;_xlpm.p,$G:$G,"&gt;="&amp;_xlpm.p)))))</f>
        <v>8.5</v>
      </c>
      <c r="I92" t="s">
        <v>7</v>
      </c>
      <c r="J92" t="s">
        <v>269</v>
      </c>
      <c r="K92" t="s">
        <v>2465</v>
      </c>
      <c r="L92" s="5" t="s">
        <v>7</v>
      </c>
      <c r="M92" t="s">
        <v>7</v>
      </c>
      <c r="N92" t="s">
        <v>7</v>
      </c>
      <c r="O92" s="5" t="s">
        <v>778</v>
      </c>
      <c r="P92" s="5" t="s">
        <v>7834</v>
      </c>
      <c r="R92" t="b">
        <v>1</v>
      </c>
    </row>
    <row r="93" spans="1:18">
      <c r="A93" t="s">
        <v>3012</v>
      </c>
      <c r="B93" t="s">
        <v>5671</v>
      </c>
      <c r="C93" t="s">
        <v>7722</v>
      </c>
      <c r="D93" s="1">
        <v>1</v>
      </c>
      <c r="E93" s="1">
        <v>12</v>
      </c>
      <c r="F93" s="1">
        <v>15</v>
      </c>
      <c r="G93" s="1">
        <v>25</v>
      </c>
      <c r="H93" s="17" cm="1">
        <f t="array" ref="H93">_xlfn.LET(_xlpm.s,IFERROR(--F93,""),_xlpm.e,IFERROR(--G93,""),IF(OR(_xlpm.s="",_xlpm.e="",_xlpm.e&lt;_xlpm.s),"",_xlfn.LET(_xlpm.p,_xlfn.SEQUENCE(_xlpm.e-_xlpm.s+1,1,_xlpm.s,1),SUM(1/COUNTIFS($D:$D,D93,$E:$E,E93,$F:$F,"&lt;&gt;N/A",$G:$G,"&lt;&gt;N/A",$F:$F,"&lt;="&amp;_xlpm.p,$G:$G,"&gt;="&amp;_xlpm.p)))))</f>
        <v>10.5</v>
      </c>
      <c r="I93" t="s">
        <v>7</v>
      </c>
      <c r="J93" t="s">
        <v>5304</v>
      </c>
      <c r="K93" t="s">
        <v>7</v>
      </c>
      <c r="L93" s="5" t="s">
        <v>4602</v>
      </c>
      <c r="M93" s="5" t="s">
        <v>5134</v>
      </c>
      <c r="N93" t="s">
        <v>2560</v>
      </c>
      <c r="O93" s="5" t="s">
        <v>5072</v>
      </c>
      <c r="P93" s="5" t="s">
        <v>8021</v>
      </c>
      <c r="R93" t="b">
        <v>1</v>
      </c>
    </row>
    <row r="94" spans="1:18">
      <c r="A94" t="s">
        <v>3012</v>
      </c>
      <c r="B94" t="s">
        <v>5672</v>
      </c>
      <c r="C94" t="s">
        <v>7722</v>
      </c>
      <c r="D94" s="1">
        <v>1</v>
      </c>
      <c r="E94" s="1">
        <v>12</v>
      </c>
      <c r="F94" s="1">
        <v>26</v>
      </c>
      <c r="G94" s="1">
        <v>26</v>
      </c>
      <c r="H94" s="17" cm="1">
        <f t="array" ref="H94">_xlfn.LET(_xlpm.s,IFERROR(--F94,""),_xlpm.e,IFERROR(--G94,""),IF(OR(_xlpm.s="",_xlpm.e="",_xlpm.e&lt;_xlpm.s),"",_xlfn.LET(_xlpm.p,_xlfn.SEQUENCE(_xlpm.e-_xlpm.s+1,1,_xlpm.s,1),SUM(1/COUNTIFS($D:$D,D94,$E:$E,E94,$F:$F,"&lt;&gt;N/A",$G:$G,"&lt;&gt;N/A",$F:$F,"&lt;="&amp;_xlpm.p,$G:$G,"&gt;="&amp;_xlpm.p)))))</f>
        <v>0.5</v>
      </c>
      <c r="I94" t="s">
        <v>7</v>
      </c>
      <c r="J94" t="s">
        <v>270</v>
      </c>
      <c r="K94" t="s">
        <v>7</v>
      </c>
      <c r="L94" s="5" t="s">
        <v>7</v>
      </c>
      <c r="M94" s="5" t="s">
        <v>5046</v>
      </c>
      <c r="N94" t="s">
        <v>2559</v>
      </c>
      <c r="O94" s="5" t="s">
        <v>5072</v>
      </c>
      <c r="P94" s="5" t="s">
        <v>8092</v>
      </c>
      <c r="R94" t="b">
        <v>1</v>
      </c>
    </row>
    <row r="95" spans="1:18">
      <c r="A95" t="s">
        <v>3012</v>
      </c>
      <c r="B95" t="s">
        <v>5673</v>
      </c>
      <c r="C95" t="s">
        <v>7722</v>
      </c>
      <c r="D95" s="1">
        <v>1</v>
      </c>
      <c r="E95" s="1">
        <v>12</v>
      </c>
      <c r="F95" s="1">
        <v>26</v>
      </c>
      <c r="G95" s="1">
        <v>26</v>
      </c>
      <c r="H95" s="17" cm="1">
        <f t="array" ref="H95">_xlfn.LET(_xlpm.s,IFERROR(--F95,""),_xlpm.e,IFERROR(--G95,""),IF(OR(_xlpm.s="",_xlpm.e="",_xlpm.e&lt;_xlpm.s),"",_xlfn.LET(_xlpm.p,_xlfn.SEQUENCE(_xlpm.e-_xlpm.s+1,1,_xlpm.s,1),SUM(1/COUNTIFS($D:$D,D95,$E:$E,E95,$F:$F,"&lt;&gt;N/A",$G:$G,"&lt;&gt;N/A",$F:$F,"&lt;="&amp;_xlpm.p,$G:$G,"&gt;="&amp;_xlpm.p)))))</f>
        <v>0.5</v>
      </c>
      <c r="I95" t="s">
        <v>7</v>
      </c>
      <c r="J95" t="s">
        <v>271</v>
      </c>
      <c r="K95" t="s">
        <v>7</v>
      </c>
      <c r="L95" s="5" t="s">
        <v>4603</v>
      </c>
      <c r="M95" s="5" t="s">
        <v>5046</v>
      </c>
      <c r="N95" t="s">
        <v>2596</v>
      </c>
      <c r="O95" s="5" t="s">
        <v>5072</v>
      </c>
      <c r="P95" s="5" t="s">
        <v>8092</v>
      </c>
      <c r="R95" t="b">
        <v>1</v>
      </c>
    </row>
    <row r="96" spans="1:18">
      <c r="A96" t="s">
        <v>3012</v>
      </c>
      <c r="B96" t="s">
        <v>5674</v>
      </c>
      <c r="C96" t="s">
        <v>7722</v>
      </c>
      <c r="D96" s="1">
        <v>1</v>
      </c>
      <c r="E96" s="1">
        <v>12</v>
      </c>
      <c r="F96" s="1">
        <v>27</v>
      </c>
      <c r="G96" s="1">
        <v>29</v>
      </c>
      <c r="H96" s="17" cm="1">
        <f t="array" ref="H96">_xlfn.LET(_xlpm.s,IFERROR(--F96,""),_xlpm.e,IFERROR(--G96,""),IF(OR(_xlpm.s="",_xlpm.e="",_xlpm.e&lt;_xlpm.s),"",_xlfn.LET(_xlpm.p,_xlfn.SEQUENCE(_xlpm.e-_xlpm.s+1,1,_xlpm.s,1),SUM(1/COUNTIFS($D:$D,D96,$E:$E,E96,$F:$F,"&lt;&gt;N/A",$G:$G,"&lt;&gt;N/A",$F:$F,"&lt;="&amp;_xlpm.p,$G:$G,"&gt;="&amp;_xlpm.p)))))</f>
        <v>2.3333333333333335</v>
      </c>
      <c r="I96" t="s">
        <v>7</v>
      </c>
      <c r="J96" t="s">
        <v>272</v>
      </c>
      <c r="K96" t="s">
        <v>7</v>
      </c>
      <c r="L96" s="5" t="s">
        <v>7</v>
      </c>
      <c r="M96" s="5" t="s">
        <v>7</v>
      </c>
      <c r="N96" s="5" t="s">
        <v>7</v>
      </c>
      <c r="O96" s="5" t="s">
        <v>778</v>
      </c>
      <c r="P96" s="5" t="s">
        <v>7834</v>
      </c>
      <c r="R96" t="b">
        <v>1</v>
      </c>
    </row>
    <row r="97" spans="1:18">
      <c r="A97" t="s">
        <v>3012</v>
      </c>
      <c r="B97" t="s">
        <v>5675</v>
      </c>
      <c r="C97" t="s">
        <v>7722</v>
      </c>
      <c r="D97" s="1">
        <v>1</v>
      </c>
      <c r="E97" s="1">
        <v>12</v>
      </c>
      <c r="F97" s="1">
        <v>29</v>
      </c>
      <c r="G97" s="1">
        <v>29</v>
      </c>
      <c r="H97" s="17" cm="1">
        <f t="array" ref="H97">_xlfn.LET(_xlpm.s,IFERROR(--F97,""),_xlpm.e,IFERROR(--G97,""),IF(OR(_xlpm.s="",_xlpm.e="",_xlpm.e&lt;_xlpm.s),"",_xlfn.LET(_xlpm.p,_xlfn.SEQUENCE(_xlpm.e-_xlpm.s+1,1,_xlpm.s,1),SUM(1/COUNTIFS($D:$D,D97,$E:$E,E97,$F:$F,"&lt;&gt;N/A",$G:$G,"&lt;&gt;N/A",$F:$F,"&lt;="&amp;_xlpm.p,$G:$G,"&gt;="&amp;_xlpm.p)))))</f>
        <v>0.33333333333333331</v>
      </c>
      <c r="I97" t="s">
        <v>7</v>
      </c>
      <c r="J97" t="s">
        <v>4407</v>
      </c>
      <c r="K97" t="s">
        <v>7</v>
      </c>
      <c r="L97" s="5" t="s">
        <v>7</v>
      </c>
      <c r="M97" s="5" t="s">
        <v>5147</v>
      </c>
      <c r="N97" t="s">
        <v>2561</v>
      </c>
      <c r="O97" s="5" t="s">
        <v>5072</v>
      </c>
      <c r="P97" s="5" t="s">
        <v>8021</v>
      </c>
      <c r="R97" t="b">
        <v>1</v>
      </c>
    </row>
    <row r="98" spans="1:18">
      <c r="A98" t="s">
        <v>3012</v>
      </c>
      <c r="B98" t="s">
        <v>5676</v>
      </c>
      <c r="C98" t="s">
        <v>7722</v>
      </c>
      <c r="D98" s="1">
        <v>1</v>
      </c>
      <c r="E98" s="1">
        <v>12</v>
      </c>
      <c r="F98" s="1">
        <v>29</v>
      </c>
      <c r="G98" s="1">
        <v>30</v>
      </c>
      <c r="H98" s="17" cm="1">
        <f t="array" ref="H98">_xlfn.LET(_xlpm.s,IFERROR(--F98,""),_xlpm.e,IFERROR(--G98,""),IF(OR(_xlpm.s="",_xlpm.e="",_xlpm.e&lt;_xlpm.s),"",_xlfn.LET(_xlpm.p,_xlfn.SEQUENCE(_xlpm.e-_xlpm.s+1,1,_xlpm.s,1),SUM(1/COUNTIFS($D:$D,D98,$E:$E,E98,$F:$F,"&lt;&gt;N/A",$G:$G,"&lt;&gt;N/A",$F:$F,"&lt;="&amp;_xlpm.p,$G:$G,"&gt;="&amp;_xlpm.p)))))</f>
        <v>0.83333333333333326</v>
      </c>
      <c r="I98" t="s">
        <v>7</v>
      </c>
      <c r="J98" t="s">
        <v>273</v>
      </c>
      <c r="K98" t="s">
        <v>7</v>
      </c>
      <c r="L98" s="5" t="s">
        <v>4603</v>
      </c>
      <c r="M98" s="5" t="s">
        <v>5135</v>
      </c>
      <c r="N98" t="s">
        <v>4442</v>
      </c>
      <c r="O98" s="5" t="s">
        <v>5072</v>
      </c>
      <c r="P98" s="5" t="s">
        <v>8021</v>
      </c>
      <c r="Q98" t="s">
        <v>2509</v>
      </c>
      <c r="R98" t="b">
        <v>1</v>
      </c>
    </row>
    <row r="99" spans="1:18">
      <c r="A99" t="s">
        <v>3012</v>
      </c>
      <c r="B99" t="s">
        <v>6767</v>
      </c>
      <c r="C99" t="s">
        <v>7722</v>
      </c>
      <c r="D99" s="1">
        <v>1</v>
      </c>
      <c r="E99" s="1">
        <v>12</v>
      </c>
      <c r="F99" s="1">
        <v>30</v>
      </c>
      <c r="G99" s="1">
        <v>32</v>
      </c>
      <c r="H99" s="17" cm="1">
        <f t="array" ref="H99">_xlfn.LET(_xlpm.s,IFERROR(--F99,""),_xlpm.e,IFERROR(--G99,""),IF(OR(_xlpm.s="",_xlpm.e="",_xlpm.e&lt;_xlpm.s),"",_xlfn.LET(_xlpm.p,_xlfn.SEQUENCE(_xlpm.e-_xlpm.s+1,1,_xlpm.s,1),SUM(1/COUNTIFS($D:$D,D99,$E:$E,E99,$F:$F,"&lt;&gt;N/A",$G:$G,"&lt;&gt;N/A",$F:$F,"&lt;="&amp;_xlpm.p,$G:$G,"&gt;="&amp;_xlpm.p)))))</f>
        <v>2.5</v>
      </c>
      <c r="I99" t="s">
        <v>7</v>
      </c>
      <c r="J99" t="s">
        <v>5290</v>
      </c>
      <c r="K99" t="s">
        <v>4604</v>
      </c>
      <c r="L99" s="5" t="s">
        <v>7</v>
      </c>
      <c r="M99" t="s">
        <v>7</v>
      </c>
      <c r="N99" t="s">
        <v>7</v>
      </c>
      <c r="O99" s="5" t="s">
        <v>778</v>
      </c>
      <c r="P99" s="5" t="s">
        <v>7834</v>
      </c>
      <c r="R99" t="b">
        <v>1</v>
      </c>
    </row>
    <row r="100" spans="1:18">
      <c r="A100" t="s">
        <v>3013</v>
      </c>
      <c r="B100" t="s">
        <v>5677</v>
      </c>
      <c r="C100" t="s">
        <v>7742</v>
      </c>
      <c r="D100" s="1">
        <v>2</v>
      </c>
      <c r="E100" s="1">
        <v>1</v>
      </c>
      <c r="F100" s="1">
        <v>1</v>
      </c>
      <c r="G100" s="1">
        <v>12</v>
      </c>
      <c r="H100" s="17" cm="1">
        <f t="array" ref="H100">_xlfn.LET(_xlpm.s,IFERROR(--F100,""),_xlpm.e,IFERROR(--G100,""),IF(OR(_xlpm.s="",_xlpm.e="",_xlpm.e&lt;_xlpm.s),"",_xlfn.LET(_xlpm.p,_xlfn.SEQUENCE(_xlpm.e-_xlpm.s+1,1,_xlpm.s,1),SUM(1/COUNTIFS($D:$D,D100,$E:$E,E100,$F:$F,"&lt;&gt;N/A",$G:$G,"&lt;&gt;N/A",$F:$F,"&lt;="&amp;_xlpm.p,$G:$G,"&gt;="&amp;_xlpm.p)))))</f>
        <v>12</v>
      </c>
      <c r="I100" t="s">
        <v>7</v>
      </c>
      <c r="J100" t="s">
        <v>276</v>
      </c>
      <c r="K100" t="s">
        <v>2465</v>
      </c>
      <c r="L100" s="5" t="s">
        <v>7</v>
      </c>
      <c r="M100" s="5" t="s">
        <v>7</v>
      </c>
      <c r="N100" t="s">
        <v>7</v>
      </c>
      <c r="O100" s="5" t="s">
        <v>778</v>
      </c>
      <c r="P100" s="5" t="s">
        <v>7834</v>
      </c>
      <c r="R100" t="b">
        <v>1</v>
      </c>
    </row>
    <row r="101" spans="1:18">
      <c r="A101" t="s">
        <v>3013</v>
      </c>
      <c r="B101" t="s">
        <v>5678</v>
      </c>
      <c r="C101" t="s">
        <v>7742</v>
      </c>
      <c r="D101" s="1">
        <v>2</v>
      </c>
      <c r="E101" s="1">
        <v>1</v>
      </c>
      <c r="F101" s="1">
        <v>13</v>
      </c>
      <c r="G101" s="1">
        <v>13</v>
      </c>
      <c r="H101" s="17" cm="1">
        <f t="array" ref="H101">_xlfn.LET(_xlpm.s,IFERROR(--F101,""),_xlpm.e,IFERROR(--G101,""),IF(OR(_xlpm.s="",_xlpm.e="",_xlpm.e&lt;_xlpm.s),"",_xlfn.LET(_xlpm.p,_xlfn.SEQUENCE(_xlpm.e-_xlpm.s+1,1,_xlpm.s,1),SUM(1/COUNTIFS($D:$D,D101,$E:$E,E101,$F:$F,"&lt;&gt;N/A",$G:$G,"&lt;&gt;N/A",$F:$F,"&lt;="&amp;_xlpm.p,$G:$G,"&gt;="&amp;_xlpm.p)))))</f>
        <v>0.5</v>
      </c>
      <c r="I101" t="s">
        <v>7</v>
      </c>
      <c r="J101" t="s">
        <v>277</v>
      </c>
      <c r="K101" t="s">
        <v>7</v>
      </c>
      <c r="L101" s="5" t="s">
        <v>5296</v>
      </c>
      <c r="M101" s="5" t="s">
        <v>7</v>
      </c>
      <c r="N101" t="s">
        <v>7</v>
      </c>
      <c r="O101" s="5" t="s">
        <v>5072</v>
      </c>
      <c r="P101" s="5" t="s">
        <v>10179</v>
      </c>
      <c r="Q101" s="5" t="s">
        <v>2509</v>
      </c>
      <c r="R101" t="b">
        <v>1</v>
      </c>
    </row>
    <row r="102" spans="1:18">
      <c r="A102" t="s">
        <v>3013</v>
      </c>
      <c r="B102" t="s">
        <v>5679</v>
      </c>
      <c r="C102" t="s">
        <v>7742</v>
      </c>
      <c r="D102" s="1">
        <v>2</v>
      </c>
      <c r="E102" s="1">
        <v>1</v>
      </c>
      <c r="F102" s="1">
        <v>13</v>
      </c>
      <c r="G102" s="1">
        <v>14</v>
      </c>
      <c r="H102" s="17" cm="1">
        <f t="array" ref="H102">_xlfn.LET(_xlpm.s,IFERROR(--F102,""),_xlpm.e,IFERROR(--G102,""),IF(OR(_xlpm.s="",_xlpm.e="",_xlpm.e&lt;_xlpm.s),"",_xlfn.LET(_xlpm.p,_xlfn.SEQUENCE(_xlpm.e-_xlpm.s+1,1,_xlpm.s,1),SUM(1/COUNTIFS($D:$D,D102,$E:$E,E102,$F:$F,"&lt;&gt;N/A",$G:$G,"&lt;&gt;N/A",$F:$F,"&lt;="&amp;_xlpm.p,$G:$G,"&gt;="&amp;_xlpm.p)))))</f>
        <v>0.83333333333333326</v>
      </c>
      <c r="I102" t="s">
        <v>7</v>
      </c>
      <c r="J102" t="s">
        <v>5297</v>
      </c>
      <c r="K102" t="s">
        <v>7</v>
      </c>
      <c r="L102" s="5" t="s">
        <v>5298</v>
      </c>
      <c r="M102" s="5" t="s">
        <v>7</v>
      </c>
      <c r="N102" t="s">
        <v>7</v>
      </c>
      <c r="O102" s="5" t="s">
        <v>5072</v>
      </c>
      <c r="P102" s="5" t="s">
        <v>10179</v>
      </c>
      <c r="Q102" s="5" t="s">
        <v>2509</v>
      </c>
      <c r="R102" t="b">
        <v>1</v>
      </c>
    </row>
    <row r="103" spans="1:18">
      <c r="A103" t="s">
        <v>3013</v>
      </c>
      <c r="B103" t="s">
        <v>5680</v>
      </c>
      <c r="C103" t="s">
        <v>7742</v>
      </c>
      <c r="D103" s="1">
        <v>2</v>
      </c>
      <c r="E103" s="1">
        <v>1</v>
      </c>
      <c r="F103" s="1">
        <v>14</v>
      </c>
      <c r="G103" s="1">
        <v>14</v>
      </c>
      <c r="H103" s="17" cm="1">
        <f t="array" ref="H103">_xlfn.LET(_xlpm.s,IFERROR(--F103,""),_xlpm.e,IFERROR(--G103,""),IF(OR(_xlpm.s="",_xlpm.e="",_xlpm.e&lt;_xlpm.s),"",_xlfn.LET(_xlpm.p,_xlfn.SEQUENCE(_xlpm.e-_xlpm.s+1,1,_xlpm.s,1),SUM(1/COUNTIFS($D:$D,D103,$E:$E,E103,$F:$F,"&lt;&gt;N/A",$G:$G,"&lt;&gt;N/A",$F:$F,"&lt;="&amp;_xlpm.p,$G:$G,"&gt;="&amp;_xlpm.p)))))</f>
        <v>0.33333333333333331</v>
      </c>
      <c r="I103" t="s">
        <v>7</v>
      </c>
      <c r="J103" t="s">
        <v>278</v>
      </c>
      <c r="K103" t="s">
        <v>4606</v>
      </c>
      <c r="L103" s="5" t="s">
        <v>7</v>
      </c>
      <c r="M103" s="5" t="s">
        <v>7</v>
      </c>
      <c r="N103" t="s">
        <v>7</v>
      </c>
      <c r="O103" s="5" t="s">
        <v>778</v>
      </c>
      <c r="P103" s="5" t="s">
        <v>7834</v>
      </c>
      <c r="R103" t="b">
        <v>1</v>
      </c>
    </row>
    <row r="104" spans="1:18">
      <c r="A104" t="s">
        <v>3013</v>
      </c>
      <c r="B104" t="s">
        <v>5681</v>
      </c>
      <c r="C104" t="s">
        <v>7742</v>
      </c>
      <c r="D104" s="1">
        <v>2</v>
      </c>
      <c r="E104" s="1">
        <v>1</v>
      </c>
      <c r="F104" s="1">
        <v>14</v>
      </c>
      <c r="G104" s="1">
        <v>26</v>
      </c>
      <c r="H104" s="17" cm="1">
        <f t="array" ref="H104">_xlfn.LET(_xlpm.s,IFERROR(--F104,""),_xlpm.e,IFERROR(--G104,""),IF(OR(_xlpm.s="",_xlpm.e="",_xlpm.e&lt;_xlpm.s),"",_xlfn.LET(_xlpm.p,_xlfn.SEQUENCE(_xlpm.e-_xlpm.s+1,1,_xlpm.s,1),SUM(1/COUNTIFS($D:$D,D104,$E:$E,E104,$F:$F,"&lt;&gt;N/A",$G:$G,"&lt;&gt;N/A",$F:$F,"&lt;="&amp;_xlpm.p,$G:$G,"&gt;="&amp;_xlpm.p)))))</f>
        <v>11.833333333333332</v>
      </c>
      <c r="I104" t="s">
        <v>7</v>
      </c>
      <c r="J104" t="s">
        <v>279</v>
      </c>
      <c r="K104" t="s">
        <v>7</v>
      </c>
      <c r="L104" s="5" t="s">
        <v>5299</v>
      </c>
      <c r="M104" s="5" t="s">
        <v>7</v>
      </c>
      <c r="N104" t="s">
        <v>2417</v>
      </c>
      <c r="O104" s="5" t="s">
        <v>5072</v>
      </c>
      <c r="P104" s="5" t="s">
        <v>8019</v>
      </c>
      <c r="Q104" s="5" t="s">
        <v>2509</v>
      </c>
      <c r="R104" t="b">
        <v>1</v>
      </c>
    </row>
    <row r="105" spans="1:18">
      <c r="A105" t="s">
        <v>3013</v>
      </c>
      <c r="B105" t="s">
        <v>5682</v>
      </c>
      <c r="C105" t="s">
        <v>7742</v>
      </c>
      <c r="D105" s="1">
        <v>2</v>
      </c>
      <c r="E105" s="1">
        <v>1</v>
      </c>
      <c r="F105" s="1">
        <v>26</v>
      </c>
      <c r="G105" s="1">
        <v>28</v>
      </c>
      <c r="H105" s="17" cm="1">
        <f t="array" ref="H105">_xlfn.LET(_xlpm.s,IFERROR(--F105,""),_xlpm.e,IFERROR(--G105,""),IF(OR(_xlpm.s="",_xlpm.e="",_xlpm.e&lt;_xlpm.s),"",_xlfn.LET(_xlpm.p,_xlfn.SEQUENCE(_xlpm.e-_xlpm.s+1,1,_xlpm.s,1),SUM(1/COUNTIFS($D:$D,D105,$E:$E,E105,$F:$F,"&lt;&gt;N/A",$G:$G,"&lt;&gt;N/A",$F:$F,"&lt;="&amp;_xlpm.p,$G:$G,"&gt;="&amp;_xlpm.p)))))</f>
        <v>1.8333333333333333</v>
      </c>
      <c r="I105" t="s">
        <v>7</v>
      </c>
      <c r="J105" t="s">
        <v>280</v>
      </c>
      <c r="K105" t="s">
        <v>7</v>
      </c>
      <c r="L105" s="5" t="s">
        <v>5300</v>
      </c>
      <c r="M105" s="5" t="s">
        <v>5135</v>
      </c>
      <c r="N105" t="s">
        <v>2418</v>
      </c>
      <c r="O105" s="5" t="s">
        <v>5072</v>
      </c>
      <c r="P105" s="5" t="s">
        <v>8021</v>
      </c>
      <c r="R105" t="b">
        <v>1</v>
      </c>
    </row>
    <row r="106" spans="1:18">
      <c r="A106" t="s">
        <v>3013</v>
      </c>
      <c r="B106" t="s">
        <v>5683</v>
      </c>
      <c r="C106" t="s">
        <v>7742</v>
      </c>
      <c r="D106" s="1">
        <v>2</v>
      </c>
      <c r="E106" s="1">
        <v>1</v>
      </c>
      <c r="F106" s="1">
        <v>28</v>
      </c>
      <c r="G106" s="1">
        <v>28</v>
      </c>
      <c r="H106" s="17" cm="1">
        <f t="array" ref="H106">_xlfn.LET(_xlpm.s,IFERROR(--F106,""),_xlpm.e,IFERROR(--G106,""),IF(OR(_xlpm.s="",_xlpm.e="",_xlpm.e&lt;_xlpm.s),"",_xlfn.LET(_xlpm.p,_xlfn.SEQUENCE(_xlpm.e-_xlpm.s+1,1,_xlpm.s,1),SUM(1/COUNTIFS($D:$D,D106,$E:$E,E106,$F:$F,"&lt;&gt;N/A",$G:$G,"&lt;&gt;N/A",$F:$F,"&lt;="&amp;_xlpm.p,$G:$G,"&gt;="&amp;_xlpm.p)))))</f>
        <v>0.33333333333333331</v>
      </c>
      <c r="I106" t="s">
        <v>7</v>
      </c>
      <c r="J106" t="s">
        <v>281</v>
      </c>
      <c r="K106" t="s">
        <v>7</v>
      </c>
      <c r="L106" s="5" t="s">
        <v>5300</v>
      </c>
      <c r="M106" s="5" t="s">
        <v>5135</v>
      </c>
      <c r="N106" t="s">
        <v>2419</v>
      </c>
      <c r="O106" s="5" t="s">
        <v>5072</v>
      </c>
      <c r="P106" s="5" t="s">
        <v>8021</v>
      </c>
      <c r="R106" t="b">
        <v>1</v>
      </c>
    </row>
    <row r="107" spans="1:18">
      <c r="A107" t="s">
        <v>3013</v>
      </c>
      <c r="B107" t="s">
        <v>5684</v>
      </c>
      <c r="C107" t="s">
        <v>7742</v>
      </c>
      <c r="D107" s="1">
        <v>2</v>
      </c>
      <c r="E107" s="1">
        <v>1</v>
      </c>
      <c r="F107" s="1">
        <v>28</v>
      </c>
      <c r="G107" s="1">
        <v>31</v>
      </c>
      <c r="H107" s="17" cm="1">
        <f t="array" ref="H107">_xlfn.LET(_xlpm.s,IFERROR(--F107,""),_xlpm.e,IFERROR(--G107,""),IF(OR(_xlpm.s="",_xlpm.e="",_xlpm.e&lt;_xlpm.s),"",_xlfn.LET(_xlpm.p,_xlfn.SEQUENCE(_xlpm.e-_xlpm.s+1,1,_xlpm.s,1),SUM(1/COUNTIFS($D:$D,D107,$E:$E,E107,$F:$F,"&lt;&gt;N/A",$G:$G,"&lt;&gt;N/A",$F:$F,"&lt;="&amp;_xlpm.p,$G:$G,"&gt;="&amp;_xlpm.p)))))</f>
        <v>2.833333333333333</v>
      </c>
      <c r="I107" t="s">
        <v>7</v>
      </c>
      <c r="J107" t="s">
        <v>282</v>
      </c>
      <c r="K107" t="s">
        <v>7</v>
      </c>
      <c r="L107" s="5" t="s">
        <v>5300</v>
      </c>
      <c r="M107" s="5" t="s">
        <v>5135</v>
      </c>
      <c r="N107" t="s">
        <v>10434</v>
      </c>
      <c r="O107" s="5" t="s">
        <v>5072</v>
      </c>
      <c r="P107" s="5" t="s">
        <v>8021</v>
      </c>
      <c r="R107" t="b">
        <v>1</v>
      </c>
    </row>
    <row r="108" spans="1:18">
      <c r="A108" t="s">
        <v>3013</v>
      </c>
      <c r="B108" t="s">
        <v>6768</v>
      </c>
      <c r="C108" t="s">
        <v>7742</v>
      </c>
      <c r="D108" s="1">
        <v>2</v>
      </c>
      <c r="E108" s="1">
        <v>1</v>
      </c>
      <c r="F108" s="1">
        <v>31</v>
      </c>
      <c r="G108" s="1">
        <v>32</v>
      </c>
      <c r="H108" s="17" cm="1">
        <f t="array" ref="H108">_xlfn.LET(_xlpm.s,IFERROR(--F108,""),_xlpm.e,IFERROR(--G108,""),IF(OR(_xlpm.s="",_xlpm.e="",_xlpm.e&lt;_xlpm.s),"",_xlfn.LET(_xlpm.p,_xlfn.SEQUENCE(_xlpm.e-_xlpm.s+1,1,_xlpm.s,1),SUM(1/COUNTIFS($D:$D,D108,$E:$E,E108,$F:$F,"&lt;&gt;N/A",$G:$G,"&lt;&gt;N/A",$F:$F,"&lt;="&amp;_xlpm.p,$G:$G,"&gt;="&amp;_xlpm.p)))))</f>
        <v>1.5</v>
      </c>
      <c r="I108" t="s">
        <v>7</v>
      </c>
      <c r="J108" t="s">
        <v>27</v>
      </c>
      <c r="K108" t="s">
        <v>7</v>
      </c>
      <c r="L108" s="5" t="s">
        <v>7</v>
      </c>
      <c r="M108" s="5" t="s">
        <v>7</v>
      </c>
      <c r="N108" t="s">
        <v>7</v>
      </c>
      <c r="O108" s="5" t="s">
        <v>778</v>
      </c>
      <c r="P108" s="5" t="s">
        <v>7834</v>
      </c>
      <c r="R108" t="b">
        <v>1</v>
      </c>
    </row>
    <row r="109" spans="1:18">
      <c r="A109" t="s">
        <v>3013</v>
      </c>
      <c r="B109" t="s">
        <v>5685</v>
      </c>
      <c r="C109" t="s">
        <v>7750</v>
      </c>
      <c r="D109" s="1">
        <v>2</v>
      </c>
      <c r="E109" s="1">
        <v>2</v>
      </c>
      <c r="F109" s="1">
        <v>33</v>
      </c>
      <c r="G109" s="1">
        <v>44</v>
      </c>
      <c r="H109" s="17" cm="1">
        <f t="array" ref="H109">_xlfn.LET(_xlpm.s,IFERROR(--F109,""),_xlpm.e,IFERROR(--G109,""),IF(OR(_xlpm.s="",_xlpm.e="",_xlpm.e&lt;_xlpm.s),"",_xlfn.LET(_xlpm.p,_xlfn.SEQUENCE(_xlpm.e-_xlpm.s+1,1,_xlpm.s,1),SUM(1/COUNTIFS($D:$D,D109,$E:$E,E109,$F:$F,"&lt;&gt;N/A",$G:$G,"&lt;&gt;N/A",$F:$F,"&lt;="&amp;_xlpm.p,$G:$G,"&gt;="&amp;_xlpm.p)))))</f>
        <v>11.5</v>
      </c>
      <c r="I109" t="s">
        <v>7</v>
      </c>
      <c r="J109" t="s">
        <v>283</v>
      </c>
      <c r="K109" t="s">
        <v>2465</v>
      </c>
      <c r="L109" s="5" t="s">
        <v>7</v>
      </c>
      <c r="M109" s="5" t="s">
        <v>7</v>
      </c>
      <c r="N109" t="s">
        <v>7</v>
      </c>
      <c r="O109" s="5" t="s">
        <v>778</v>
      </c>
      <c r="P109" s="5" t="s">
        <v>7834</v>
      </c>
      <c r="R109" t="b">
        <v>1</v>
      </c>
    </row>
    <row r="110" spans="1:18">
      <c r="A110" t="s">
        <v>3013</v>
      </c>
      <c r="B110" t="s">
        <v>5686</v>
      </c>
      <c r="C110" t="s">
        <v>7750</v>
      </c>
      <c r="D110" s="1">
        <v>2</v>
      </c>
      <c r="E110" s="1">
        <v>2</v>
      </c>
      <c r="F110" s="1">
        <v>44</v>
      </c>
      <c r="G110" s="1">
        <v>48</v>
      </c>
      <c r="H110" s="17" cm="1">
        <f t="array" ref="H110">_xlfn.LET(_xlpm.s,IFERROR(--F110,""),_xlpm.e,IFERROR(--G110,""),IF(OR(_xlpm.s="",_xlpm.e="",_xlpm.e&lt;_xlpm.s),"",_xlfn.LET(_xlpm.p,_xlfn.SEQUENCE(_xlpm.e-_xlpm.s+1,1,_xlpm.s,1),SUM(1/COUNTIFS($D:$D,D110,$E:$E,E110,$F:$F,"&lt;&gt;N/A",$G:$G,"&lt;&gt;N/A",$F:$F,"&lt;="&amp;_xlpm.p,$G:$G,"&gt;="&amp;_xlpm.p)))))</f>
        <v>4</v>
      </c>
      <c r="I110" t="s">
        <v>7</v>
      </c>
      <c r="J110" t="s">
        <v>284</v>
      </c>
      <c r="K110" t="s">
        <v>2465</v>
      </c>
      <c r="L110" s="5" t="s">
        <v>7</v>
      </c>
      <c r="M110" s="5" t="s">
        <v>7</v>
      </c>
      <c r="N110" t="s">
        <v>7</v>
      </c>
      <c r="O110" s="5" t="s">
        <v>778</v>
      </c>
      <c r="P110" s="5" t="s">
        <v>7834</v>
      </c>
      <c r="R110" t="b">
        <v>1</v>
      </c>
    </row>
    <row r="111" spans="1:18">
      <c r="A111" t="s">
        <v>3013</v>
      </c>
      <c r="B111" t="s">
        <v>5687</v>
      </c>
      <c r="C111" t="s">
        <v>7750</v>
      </c>
      <c r="D111" s="1">
        <v>2</v>
      </c>
      <c r="E111" s="1">
        <v>2</v>
      </c>
      <c r="F111" s="1">
        <v>48</v>
      </c>
      <c r="G111" s="1">
        <v>49</v>
      </c>
      <c r="H111" s="17" cm="1">
        <f t="array" ref="H111">_xlfn.LET(_xlpm.s,IFERROR(--F111,""),_xlpm.e,IFERROR(--G111,""),IF(OR(_xlpm.s="",_xlpm.e="",_xlpm.e&lt;_xlpm.s),"",_xlfn.LET(_xlpm.p,_xlfn.SEQUENCE(_xlpm.e-_xlpm.s+1,1,_xlpm.s,1),SUM(1/COUNTIFS($D:$D,D111,$E:$E,E111,$F:$F,"&lt;&gt;N/A",$G:$G,"&lt;&gt;N/A",$F:$F,"&lt;="&amp;_xlpm.p,$G:$G,"&gt;="&amp;_xlpm.p)))))</f>
        <v>1</v>
      </c>
      <c r="I111" t="s">
        <v>7</v>
      </c>
      <c r="J111" t="s">
        <v>285</v>
      </c>
      <c r="K111" t="s">
        <v>7</v>
      </c>
      <c r="L111" s="5" t="s">
        <v>7</v>
      </c>
      <c r="M111" s="5" t="s">
        <v>5135</v>
      </c>
      <c r="N111" t="s">
        <v>2421</v>
      </c>
      <c r="O111" s="5" t="s">
        <v>5072</v>
      </c>
      <c r="P111" s="5" t="s">
        <v>8021</v>
      </c>
      <c r="R111" t="b">
        <v>1</v>
      </c>
    </row>
    <row r="112" spans="1:18">
      <c r="A112" t="s">
        <v>3013</v>
      </c>
      <c r="B112" t="s">
        <v>5688</v>
      </c>
      <c r="C112" t="s">
        <v>7750</v>
      </c>
      <c r="D112" s="1">
        <v>2</v>
      </c>
      <c r="E112" s="1">
        <v>2</v>
      </c>
      <c r="F112" s="1">
        <v>49</v>
      </c>
      <c r="G112" s="1">
        <v>52</v>
      </c>
      <c r="H112" s="17" cm="1">
        <f t="array" ref="H112">_xlfn.LET(_xlpm.s,IFERROR(--F112,""),_xlpm.e,IFERROR(--G112,""),IF(OR(_xlpm.s="",_xlpm.e="",_xlpm.e&lt;_xlpm.s),"",_xlfn.LET(_xlpm.p,_xlfn.SEQUENCE(_xlpm.e-_xlpm.s+1,1,_xlpm.s,1),SUM(1/COUNTIFS($D:$D,D112,$E:$E,E112,$F:$F,"&lt;&gt;N/A",$G:$G,"&lt;&gt;N/A",$F:$F,"&lt;="&amp;_xlpm.p,$G:$G,"&gt;="&amp;_xlpm.p)))))</f>
        <v>3</v>
      </c>
      <c r="I112" t="s">
        <v>7</v>
      </c>
      <c r="J112" t="s">
        <v>286</v>
      </c>
      <c r="K112" t="s">
        <v>7</v>
      </c>
      <c r="L112" s="5" t="s">
        <v>4607</v>
      </c>
      <c r="M112" s="5" t="s">
        <v>5135</v>
      </c>
      <c r="N112" t="s">
        <v>2422</v>
      </c>
      <c r="O112" s="5" t="s">
        <v>11522</v>
      </c>
      <c r="P112" s="5" t="s">
        <v>8021</v>
      </c>
      <c r="R112" t="b">
        <v>1</v>
      </c>
    </row>
    <row r="113" spans="1:18">
      <c r="A113" t="s">
        <v>3013</v>
      </c>
      <c r="B113" t="s">
        <v>5689</v>
      </c>
      <c r="C113" t="s">
        <v>7750</v>
      </c>
      <c r="D113" s="1">
        <v>2</v>
      </c>
      <c r="E113" s="1">
        <v>2</v>
      </c>
      <c r="F113" s="1">
        <v>52</v>
      </c>
      <c r="G113" s="1">
        <v>53</v>
      </c>
      <c r="H113" s="17" cm="1">
        <f t="array" ref="H113">_xlfn.LET(_xlpm.s,IFERROR(--F113,""),_xlpm.e,IFERROR(--G113,""),IF(OR(_xlpm.s="",_xlpm.e="",_xlpm.e&lt;_xlpm.s),"",_xlfn.LET(_xlpm.p,_xlfn.SEQUENCE(_xlpm.e-_xlpm.s+1,1,_xlpm.s,1),SUM(1/COUNTIFS($D:$D,D113,$E:$E,E113,$F:$F,"&lt;&gt;N/A",$G:$G,"&lt;&gt;N/A",$F:$F,"&lt;="&amp;_xlpm.p,$G:$G,"&gt;="&amp;_xlpm.p)))))</f>
        <v>1</v>
      </c>
      <c r="I113" t="s">
        <v>7</v>
      </c>
      <c r="J113" t="s">
        <v>2420</v>
      </c>
      <c r="K113" t="s">
        <v>7</v>
      </c>
      <c r="L113" s="5" t="s">
        <v>7</v>
      </c>
      <c r="M113" s="5" t="s">
        <v>5135</v>
      </c>
      <c r="N113" t="s">
        <v>2423</v>
      </c>
      <c r="O113" s="5" t="s">
        <v>5072</v>
      </c>
      <c r="P113" s="5" t="s">
        <v>8021</v>
      </c>
      <c r="R113" t="b">
        <v>1</v>
      </c>
    </row>
    <row r="114" spans="1:18">
      <c r="A114" t="s">
        <v>3013</v>
      </c>
      <c r="B114" t="s">
        <v>5690</v>
      </c>
      <c r="C114" t="s">
        <v>7750</v>
      </c>
      <c r="D114" s="1">
        <v>2</v>
      </c>
      <c r="E114" s="1">
        <v>2</v>
      </c>
      <c r="F114" s="1">
        <v>53</v>
      </c>
      <c r="G114" s="1">
        <v>61</v>
      </c>
      <c r="H114" s="17" cm="1">
        <f t="array" ref="H114">_xlfn.LET(_xlpm.s,IFERROR(--F114,""),_xlpm.e,IFERROR(--G114,""),IF(OR(_xlpm.s="",_xlpm.e="",_xlpm.e&lt;_xlpm.s),"",_xlfn.LET(_xlpm.p,_xlfn.SEQUENCE(_xlpm.e-_xlpm.s+1,1,_xlpm.s,1),SUM(1/COUNTIFS($D:$D,D114,$E:$E,E114,$F:$F,"&lt;&gt;N/A",$G:$G,"&lt;&gt;N/A",$F:$F,"&lt;="&amp;_xlpm.p,$G:$G,"&gt;="&amp;_xlpm.p)))))</f>
        <v>8</v>
      </c>
      <c r="I114" t="s">
        <v>7</v>
      </c>
      <c r="J114" t="s">
        <v>287</v>
      </c>
      <c r="K114" t="s">
        <v>4608</v>
      </c>
      <c r="L114" s="5" t="s">
        <v>7</v>
      </c>
      <c r="M114" s="5" t="s">
        <v>7</v>
      </c>
      <c r="N114" s="5" t="s">
        <v>7</v>
      </c>
      <c r="O114" s="5" t="s">
        <v>778</v>
      </c>
      <c r="P114" s="5" t="s">
        <v>7834</v>
      </c>
      <c r="R114" t="b">
        <v>1</v>
      </c>
    </row>
    <row r="115" spans="1:18">
      <c r="A115" t="s">
        <v>3013</v>
      </c>
      <c r="B115" t="s">
        <v>5691</v>
      </c>
      <c r="C115" t="s">
        <v>7750</v>
      </c>
      <c r="D115" s="1">
        <v>2</v>
      </c>
      <c r="E115" s="1">
        <v>2</v>
      </c>
      <c r="F115" s="1">
        <v>61</v>
      </c>
      <c r="G115" s="1">
        <v>62</v>
      </c>
      <c r="H115" s="17" cm="1">
        <f t="array" ref="H115">_xlfn.LET(_xlpm.s,IFERROR(--F115,""),_xlpm.e,IFERROR(--G115,""),IF(OR(_xlpm.s="",_xlpm.e="",_xlpm.e&lt;_xlpm.s),"",_xlfn.LET(_xlpm.p,_xlfn.SEQUENCE(_xlpm.e-_xlpm.s+1,1,_xlpm.s,1),SUM(1/COUNTIFS($D:$D,D115,$E:$E,E115,$F:$F,"&lt;&gt;N/A",$G:$G,"&lt;&gt;N/A",$F:$F,"&lt;="&amp;_xlpm.p,$G:$G,"&gt;="&amp;_xlpm.p)))))</f>
        <v>1</v>
      </c>
      <c r="I115" t="s">
        <v>7</v>
      </c>
      <c r="J115" t="s">
        <v>288</v>
      </c>
      <c r="K115" t="s">
        <v>7</v>
      </c>
      <c r="L115" s="5" t="s">
        <v>5301</v>
      </c>
      <c r="M115" t="s">
        <v>7</v>
      </c>
      <c r="N115" t="s">
        <v>7</v>
      </c>
      <c r="O115" s="5" t="s">
        <v>5072</v>
      </c>
      <c r="P115" s="5" t="s">
        <v>8021</v>
      </c>
      <c r="R115" t="b">
        <v>1</v>
      </c>
    </row>
    <row r="116" spans="1:18">
      <c r="A116" t="s">
        <v>3013</v>
      </c>
      <c r="B116" t="s">
        <v>5692</v>
      </c>
      <c r="C116" t="s">
        <v>7750</v>
      </c>
      <c r="D116" s="1">
        <v>2</v>
      </c>
      <c r="E116" s="1">
        <v>2</v>
      </c>
      <c r="F116" s="1">
        <v>62</v>
      </c>
      <c r="G116" s="1">
        <v>63</v>
      </c>
      <c r="H116" s="17" cm="1">
        <f t="array" ref="H116">_xlfn.LET(_xlpm.s,IFERROR(--F116,""),_xlpm.e,IFERROR(--G116,""),IF(OR(_xlpm.s="",_xlpm.e="",_xlpm.e&lt;_xlpm.s),"",_xlfn.LET(_xlpm.p,_xlfn.SEQUENCE(_xlpm.e-_xlpm.s+1,1,_xlpm.s,1),SUM(1/COUNTIFS($D:$D,D116,$E:$E,E116,$F:$F,"&lt;&gt;N/A",$G:$G,"&lt;&gt;N/A",$F:$F,"&lt;="&amp;_xlpm.p,$G:$G,"&gt;="&amp;_xlpm.p)))))</f>
        <v>1</v>
      </c>
      <c r="I116" t="s">
        <v>7</v>
      </c>
      <c r="J116" t="s">
        <v>289</v>
      </c>
      <c r="K116" t="s">
        <v>7</v>
      </c>
      <c r="L116" s="5" t="s">
        <v>5301</v>
      </c>
      <c r="M116" t="s">
        <v>7</v>
      </c>
      <c r="N116" t="s">
        <v>7</v>
      </c>
      <c r="O116" s="5" t="s">
        <v>5072</v>
      </c>
      <c r="P116" s="5" t="s">
        <v>8021</v>
      </c>
      <c r="R116" t="b">
        <v>1</v>
      </c>
    </row>
    <row r="117" spans="1:18">
      <c r="A117" t="s">
        <v>3013</v>
      </c>
      <c r="B117" t="s">
        <v>6769</v>
      </c>
      <c r="C117" t="s">
        <v>7750</v>
      </c>
      <c r="D117" s="1">
        <v>2</v>
      </c>
      <c r="E117" s="1">
        <v>2</v>
      </c>
      <c r="F117" s="1">
        <v>63</v>
      </c>
      <c r="G117" s="1">
        <v>64</v>
      </c>
      <c r="H117" s="17" cm="1">
        <f t="array" ref="H117">_xlfn.LET(_xlpm.s,IFERROR(--F117,""),_xlpm.e,IFERROR(--G117,""),IF(OR(_xlpm.s="",_xlpm.e="",_xlpm.e&lt;_xlpm.s),"",_xlfn.LET(_xlpm.p,_xlfn.SEQUENCE(_xlpm.e-_xlpm.s+1,1,_xlpm.s,1),SUM(1/COUNTIFS($D:$D,D117,$E:$E,E117,$F:$F,"&lt;&gt;N/A",$G:$G,"&lt;&gt;N/A",$F:$F,"&lt;="&amp;_xlpm.p,$G:$G,"&gt;="&amp;_xlpm.p)))))</f>
        <v>1.5</v>
      </c>
      <c r="I117" t="s">
        <v>7</v>
      </c>
      <c r="J117" t="s">
        <v>290</v>
      </c>
      <c r="K117" t="s">
        <v>7</v>
      </c>
      <c r="L117" s="5" t="s">
        <v>5302</v>
      </c>
      <c r="M117" s="5" t="s">
        <v>5135</v>
      </c>
      <c r="N117" t="s">
        <v>2424</v>
      </c>
      <c r="O117" s="5" t="s">
        <v>5072</v>
      </c>
      <c r="P117" s="5" t="s">
        <v>8021</v>
      </c>
      <c r="R117" t="b">
        <v>1</v>
      </c>
    </row>
    <row r="118" spans="1:18">
      <c r="A118" t="s">
        <v>3013</v>
      </c>
      <c r="B118" t="s">
        <v>5693</v>
      </c>
      <c r="C118" t="s">
        <v>7758</v>
      </c>
      <c r="D118" s="1">
        <v>2</v>
      </c>
      <c r="E118" s="1">
        <v>3</v>
      </c>
      <c r="F118" s="1">
        <v>65</v>
      </c>
      <c r="G118" s="1">
        <v>71</v>
      </c>
      <c r="H118" s="17" cm="1">
        <f t="array" ref="H118">_xlfn.LET(_xlpm.s,IFERROR(--F118,""),_xlpm.e,IFERROR(--G118,""),IF(OR(_xlpm.s="",_xlpm.e="",_xlpm.e&lt;_xlpm.s),"",_xlfn.LET(_xlpm.p,_xlfn.SEQUENCE(_xlpm.e-_xlpm.s+1,1,_xlpm.s,1),SUM(1/COUNTIFS($D:$D,D118,$E:$E,E118,$F:$F,"&lt;&gt;N/A",$G:$G,"&lt;&gt;N/A",$F:$F,"&lt;="&amp;_xlpm.p,$G:$G,"&gt;="&amp;_xlpm.p)))))</f>
        <v>6.5</v>
      </c>
      <c r="I118" t="s">
        <v>7</v>
      </c>
      <c r="J118" t="s">
        <v>5303</v>
      </c>
      <c r="K118" t="s">
        <v>2519</v>
      </c>
      <c r="L118" s="5" t="s">
        <v>7</v>
      </c>
      <c r="M118" s="5" t="s">
        <v>7</v>
      </c>
      <c r="N118" t="s">
        <v>7</v>
      </c>
      <c r="O118" s="5" t="s">
        <v>778</v>
      </c>
      <c r="P118" s="5" t="s">
        <v>7834</v>
      </c>
      <c r="R118" t="b">
        <v>1</v>
      </c>
    </row>
    <row r="119" spans="1:18">
      <c r="A119" t="s">
        <v>3013</v>
      </c>
      <c r="B119" t="s">
        <v>6770</v>
      </c>
      <c r="C119" t="s">
        <v>7758</v>
      </c>
      <c r="D119" s="1">
        <v>2</v>
      </c>
      <c r="E119" s="1">
        <v>3</v>
      </c>
      <c r="F119" s="1">
        <v>71</v>
      </c>
      <c r="G119" s="1">
        <v>82</v>
      </c>
      <c r="H119" s="17" cm="1">
        <f t="array" ref="H119">_xlfn.LET(_xlpm.s,IFERROR(--F119,""),_xlpm.e,IFERROR(--G119,""),IF(OR(_xlpm.s="",_xlpm.e="",_xlpm.e&lt;_xlpm.s),"",_xlfn.LET(_xlpm.p,_xlfn.SEQUENCE(_xlpm.e-_xlpm.s+1,1,_xlpm.s,1),SUM(1/COUNTIFS($D:$D,D119,$E:$E,E119,$F:$F,"&lt;&gt;N/A",$G:$G,"&lt;&gt;N/A",$F:$F,"&lt;="&amp;_xlpm.p,$G:$G,"&gt;="&amp;_xlpm.p)))))</f>
        <v>11</v>
      </c>
      <c r="I119" t="s">
        <v>7</v>
      </c>
      <c r="J119" t="s">
        <v>6526</v>
      </c>
      <c r="K119" t="s">
        <v>7</v>
      </c>
      <c r="L119" s="5" t="s">
        <v>7</v>
      </c>
      <c r="M119" s="5" t="s">
        <v>7</v>
      </c>
      <c r="N119" t="s">
        <v>7</v>
      </c>
      <c r="O119" s="5" t="s">
        <v>778</v>
      </c>
      <c r="P119" s="5" t="s">
        <v>7834</v>
      </c>
      <c r="R119" t="b">
        <v>1</v>
      </c>
    </row>
    <row r="120" spans="1:18">
      <c r="A120" t="s">
        <v>3013</v>
      </c>
      <c r="B120" t="s">
        <v>5694</v>
      </c>
      <c r="C120" t="s">
        <v>7758</v>
      </c>
      <c r="D120" s="1">
        <v>2</v>
      </c>
      <c r="E120" s="1">
        <v>3</v>
      </c>
      <c r="F120" s="1">
        <v>82</v>
      </c>
      <c r="G120" s="1">
        <v>87</v>
      </c>
      <c r="H120" s="17" cm="1">
        <f t="array" ref="H120">_xlfn.LET(_xlpm.s,IFERROR(--F120,""),_xlpm.e,IFERROR(--G120,""),IF(OR(_xlpm.s="",_xlpm.e="",_xlpm.e&lt;_xlpm.s),"",_xlfn.LET(_xlpm.p,_xlfn.SEQUENCE(_xlpm.e-_xlpm.s+1,1,_xlpm.s,1),SUM(1/COUNTIFS($D:$D,D120,$E:$E,E120,$F:$F,"&lt;&gt;N/A",$G:$G,"&lt;&gt;N/A",$F:$F,"&lt;="&amp;_xlpm.p,$G:$G,"&gt;="&amp;_xlpm.p)))))</f>
        <v>4.833333333333333</v>
      </c>
      <c r="I120" t="s">
        <v>7</v>
      </c>
      <c r="J120" t="s">
        <v>10769</v>
      </c>
      <c r="K120" t="s">
        <v>2465</v>
      </c>
      <c r="L120" s="5" t="s">
        <v>7</v>
      </c>
      <c r="M120" s="5" t="s">
        <v>7</v>
      </c>
      <c r="N120" t="s">
        <v>7</v>
      </c>
      <c r="O120" s="5" t="s">
        <v>778</v>
      </c>
      <c r="P120" s="5" t="s">
        <v>7834</v>
      </c>
      <c r="R120" t="b">
        <v>1</v>
      </c>
    </row>
    <row r="121" spans="1:18">
      <c r="A121" t="s">
        <v>3013</v>
      </c>
      <c r="B121" t="s">
        <v>5695</v>
      </c>
      <c r="C121" t="s">
        <v>7758</v>
      </c>
      <c r="D121" s="1">
        <v>2</v>
      </c>
      <c r="E121" s="1">
        <v>3</v>
      </c>
      <c r="F121" s="1">
        <v>87</v>
      </c>
      <c r="G121" s="1">
        <v>87</v>
      </c>
      <c r="H121" s="17" cm="1">
        <f t="array" ref="H121">_xlfn.LET(_xlpm.s,IFERROR(--F121,""),_xlpm.e,IFERROR(--G121,""),IF(OR(_xlpm.s="",_xlpm.e="",_xlpm.e&lt;_xlpm.s),"",_xlfn.LET(_xlpm.p,_xlfn.SEQUENCE(_xlpm.e-_xlpm.s+1,1,_xlpm.s,1),SUM(1/COUNTIFS($D:$D,D121,$E:$E,E121,$F:$F,"&lt;&gt;N/A",$G:$G,"&lt;&gt;N/A",$F:$F,"&lt;="&amp;_xlpm.p,$G:$G,"&gt;="&amp;_xlpm.p)))))</f>
        <v>0.33333333333333331</v>
      </c>
      <c r="I121" t="s">
        <v>7</v>
      </c>
      <c r="J121" t="s">
        <v>270</v>
      </c>
      <c r="K121" t="s">
        <v>7</v>
      </c>
      <c r="L121" s="5" t="s">
        <v>4609</v>
      </c>
      <c r="M121" s="5" t="s">
        <v>7</v>
      </c>
      <c r="N121" t="s">
        <v>7</v>
      </c>
      <c r="O121" s="5" t="s">
        <v>5072</v>
      </c>
      <c r="P121" s="5" t="s">
        <v>8021</v>
      </c>
      <c r="R121" t="b">
        <v>1</v>
      </c>
    </row>
    <row r="122" spans="1:18">
      <c r="A122" t="s">
        <v>3013</v>
      </c>
      <c r="B122" t="s">
        <v>5696</v>
      </c>
      <c r="C122" t="s">
        <v>7758</v>
      </c>
      <c r="D122" s="1">
        <v>2</v>
      </c>
      <c r="E122" s="1">
        <v>3</v>
      </c>
      <c r="F122" s="1">
        <v>87</v>
      </c>
      <c r="G122" s="1">
        <v>87</v>
      </c>
      <c r="H122" s="17" cm="1">
        <f t="array" ref="H122">_xlfn.LET(_xlpm.s,IFERROR(--F122,""),_xlpm.e,IFERROR(--G122,""),IF(OR(_xlpm.s="",_xlpm.e="",_xlpm.e&lt;_xlpm.s),"",_xlfn.LET(_xlpm.p,_xlfn.SEQUENCE(_xlpm.e-_xlpm.s+1,1,_xlpm.s,1),SUM(1/COUNTIFS($D:$D,D122,$E:$E,E122,$F:$F,"&lt;&gt;N/A",$G:$G,"&lt;&gt;N/A",$F:$F,"&lt;="&amp;_xlpm.p,$G:$G,"&gt;="&amp;_xlpm.p)))))</f>
        <v>0.33333333333333331</v>
      </c>
      <c r="I122" t="s">
        <v>7</v>
      </c>
      <c r="J122" t="s">
        <v>291</v>
      </c>
      <c r="K122" t="s">
        <v>7</v>
      </c>
      <c r="L122" s="5" t="s">
        <v>7</v>
      </c>
      <c r="M122" t="s">
        <v>5137</v>
      </c>
      <c r="N122" t="s">
        <v>6564</v>
      </c>
      <c r="O122" s="5" t="s">
        <v>5072</v>
      </c>
      <c r="P122" s="5" t="s">
        <v>8021</v>
      </c>
      <c r="R122" t="b">
        <v>1</v>
      </c>
    </row>
    <row r="123" spans="1:18">
      <c r="A123" t="s">
        <v>3013</v>
      </c>
      <c r="B123" t="s">
        <v>5697</v>
      </c>
      <c r="C123" t="s">
        <v>7758</v>
      </c>
      <c r="D123" s="1">
        <v>2</v>
      </c>
      <c r="E123" s="1">
        <v>3</v>
      </c>
      <c r="F123" s="1">
        <v>88</v>
      </c>
      <c r="G123" s="1">
        <v>95</v>
      </c>
      <c r="H123" s="17" cm="1">
        <f t="array" ref="H123">_xlfn.LET(_xlpm.s,IFERROR(--F123,""),_xlpm.e,IFERROR(--G123,""),IF(OR(_xlpm.s="",_xlpm.e="",_xlpm.e&lt;_xlpm.s),"",_xlfn.LET(_xlpm.p,_xlfn.SEQUENCE(_xlpm.e-_xlpm.s+1,1,_xlpm.s,1),SUM(1/COUNTIFS($D:$D,D123,$E:$E,E123,$F:$F,"&lt;&gt;N/A",$G:$G,"&lt;&gt;N/A",$F:$F,"&lt;="&amp;_xlpm.p,$G:$G,"&gt;="&amp;_xlpm.p)))))</f>
        <v>7.5</v>
      </c>
      <c r="I123" t="s">
        <v>7</v>
      </c>
      <c r="J123" t="s">
        <v>292</v>
      </c>
      <c r="K123" t="s">
        <v>7</v>
      </c>
      <c r="L123" s="5" t="s">
        <v>4610</v>
      </c>
      <c r="M123" t="s">
        <v>6505</v>
      </c>
      <c r="N123" t="s">
        <v>6565</v>
      </c>
      <c r="O123" s="5" t="s">
        <v>5072</v>
      </c>
      <c r="P123" s="5" t="s">
        <v>8019</v>
      </c>
      <c r="R123" t="b">
        <v>1</v>
      </c>
    </row>
    <row r="124" spans="1:18">
      <c r="A124" t="s">
        <v>3013</v>
      </c>
      <c r="B124" t="s">
        <v>5698</v>
      </c>
      <c r="C124" t="s">
        <v>7758</v>
      </c>
      <c r="D124" s="1">
        <v>2</v>
      </c>
      <c r="E124" s="1">
        <v>3</v>
      </c>
      <c r="F124" s="1">
        <v>95</v>
      </c>
      <c r="G124" s="1">
        <v>96</v>
      </c>
      <c r="H124" s="17" cm="1">
        <f t="array" ref="H124">_xlfn.LET(_xlpm.s,IFERROR(--F124,""),_xlpm.e,IFERROR(--G124,""),IF(OR(_xlpm.s="",_xlpm.e="",_xlpm.e&lt;_xlpm.s),"",_xlfn.LET(_xlpm.p,_xlfn.SEQUENCE(_xlpm.e-_xlpm.s+1,1,_xlpm.s,1),SUM(1/COUNTIFS($D:$D,D124,$E:$E,E124,$F:$F,"&lt;&gt;N/A",$G:$G,"&lt;&gt;N/A",$F:$F,"&lt;="&amp;_xlpm.p,$G:$G,"&gt;="&amp;_xlpm.p)))))</f>
        <v>1.5</v>
      </c>
      <c r="I124" t="s">
        <v>7</v>
      </c>
      <c r="J124" t="s">
        <v>293</v>
      </c>
      <c r="K124" t="s">
        <v>7</v>
      </c>
      <c r="L124" s="5" t="s">
        <v>4611</v>
      </c>
      <c r="M124" t="s">
        <v>6527</v>
      </c>
      <c r="N124" t="s">
        <v>6566</v>
      </c>
      <c r="O124" s="5" t="s">
        <v>10264</v>
      </c>
      <c r="P124" s="5" t="s">
        <v>8020</v>
      </c>
      <c r="R124" t="b">
        <v>1</v>
      </c>
    </row>
    <row r="125" spans="1:18">
      <c r="A125" t="s">
        <v>3013</v>
      </c>
      <c r="B125" t="s">
        <v>5699</v>
      </c>
      <c r="C125" t="s">
        <v>7766</v>
      </c>
      <c r="D125" s="1">
        <v>2</v>
      </c>
      <c r="E125" s="1">
        <v>4</v>
      </c>
      <c r="F125" s="1">
        <v>97</v>
      </c>
      <c r="G125" s="1">
        <v>118</v>
      </c>
      <c r="H125" s="17" cm="1">
        <f t="array" ref="H125">_xlfn.LET(_xlpm.s,IFERROR(--F125,""),_xlpm.e,IFERROR(--G125,""),IF(OR(_xlpm.s="",_xlpm.e="",_xlpm.e&lt;_xlpm.s),"",_xlfn.LET(_xlpm.p,_xlfn.SEQUENCE(_xlpm.e-_xlpm.s+1,1,_xlpm.s,1),SUM(1/COUNTIFS($D:$D,D125,$E:$E,E125,$F:$F,"&lt;&gt;N/A",$G:$G,"&lt;&gt;N/A",$F:$F,"&lt;="&amp;_xlpm.p,$G:$G,"&gt;="&amp;_xlpm.p)))))</f>
        <v>21.5</v>
      </c>
      <c r="I125" t="s">
        <v>472</v>
      </c>
      <c r="J125" t="s">
        <v>2655</v>
      </c>
      <c r="K125" t="s">
        <v>2465</v>
      </c>
      <c r="L125" s="5" t="s">
        <v>7</v>
      </c>
      <c r="M125" s="5" t="s">
        <v>7</v>
      </c>
      <c r="N125" t="s">
        <v>7</v>
      </c>
      <c r="O125" s="5" t="s">
        <v>778</v>
      </c>
      <c r="P125" s="5" t="s">
        <v>7834</v>
      </c>
      <c r="R125" t="b">
        <v>1</v>
      </c>
    </row>
    <row r="126" spans="1:18">
      <c r="A126" t="s">
        <v>3013</v>
      </c>
      <c r="B126" t="s">
        <v>5700</v>
      </c>
      <c r="C126" t="s">
        <v>7766</v>
      </c>
      <c r="D126" s="1">
        <v>2</v>
      </c>
      <c r="E126" s="1">
        <v>4</v>
      </c>
      <c r="F126" s="1">
        <v>118</v>
      </c>
      <c r="G126" s="1">
        <v>120</v>
      </c>
      <c r="H126" s="17" cm="1">
        <f t="array" ref="H126">_xlfn.LET(_xlpm.s,IFERROR(--F126,""),_xlpm.e,IFERROR(--G126,""),IF(OR(_xlpm.s="",_xlpm.e="",_xlpm.e&lt;_xlpm.s),"",_xlfn.LET(_xlpm.p,_xlfn.SEQUENCE(_xlpm.e-_xlpm.s+1,1,_xlpm.s,1),SUM(1/COUNTIFS($D:$D,D126,$E:$E,E126,$F:$F,"&lt;&gt;N/A",$G:$G,"&lt;&gt;N/A",$F:$F,"&lt;="&amp;_xlpm.p,$G:$G,"&gt;="&amp;_xlpm.p)))))</f>
        <v>2</v>
      </c>
      <c r="I126" t="s">
        <v>8</v>
      </c>
      <c r="J126" t="s">
        <v>2649</v>
      </c>
      <c r="K126" t="s">
        <v>7</v>
      </c>
      <c r="L126" s="5" t="s">
        <v>4609</v>
      </c>
      <c r="M126" t="s">
        <v>7</v>
      </c>
      <c r="N126" t="s">
        <v>7</v>
      </c>
      <c r="O126" s="5" t="s">
        <v>5072</v>
      </c>
      <c r="P126" s="5" t="s">
        <v>8021</v>
      </c>
      <c r="R126" t="b">
        <v>1</v>
      </c>
    </row>
    <row r="127" spans="1:18">
      <c r="A127" t="s">
        <v>3013</v>
      </c>
      <c r="B127" t="s">
        <v>5701</v>
      </c>
      <c r="C127" t="s">
        <v>7766</v>
      </c>
      <c r="D127" s="1">
        <v>2</v>
      </c>
      <c r="E127" s="1">
        <v>4</v>
      </c>
      <c r="F127" s="1">
        <v>120</v>
      </c>
      <c r="G127" s="1">
        <v>121</v>
      </c>
      <c r="H127" s="17" cm="1">
        <f t="array" ref="H127">_xlfn.LET(_xlpm.s,IFERROR(--F127,""),_xlpm.e,IFERROR(--G127,""),IF(OR(_xlpm.s="",_xlpm.e="",_xlpm.e&lt;_xlpm.s),"",_xlfn.LET(_xlpm.p,_xlfn.SEQUENCE(_xlpm.e-_xlpm.s+1,1,_xlpm.s,1),SUM(1/COUNTIFS($D:$D,D127,$E:$E,E127,$F:$F,"&lt;&gt;N/A",$G:$G,"&lt;&gt;N/A",$F:$F,"&lt;="&amp;_xlpm.p,$G:$G,"&gt;="&amp;_xlpm.p)))))</f>
        <v>1</v>
      </c>
      <c r="I127" t="s">
        <v>625</v>
      </c>
      <c r="J127" t="s">
        <v>2650</v>
      </c>
      <c r="K127" t="s">
        <v>7</v>
      </c>
      <c r="L127" s="5" t="s">
        <v>7</v>
      </c>
      <c r="M127" s="5" t="s">
        <v>7</v>
      </c>
      <c r="N127" t="s">
        <v>10437</v>
      </c>
      <c r="O127" s="5" t="s">
        <v>5072</v>
      </c>
      <c r="P127" s="5" t="s">
        <v>8021</v>
      </c>
      <c r="R127" t="b">
        <v>1</v>
      </c>
    </row>
    <row r="128" spans="1:18">
      <c r="A128" t="s">
        <v>3013</v>
      </c>
      <c r="B128" t="s">
        <v>5702</v>
      </c>
      <c r="C128" t="s">
        <v>7766</v>
      </c>
      <c r="D128" s="1">
        <v>2</v>
      </c>
      <c r="E128" s="1">
        <v>4</v>
      </c>
      <c r="F128" s="1">
        <v>121</v>
      </c>
      <c r="G128" s="1">
        <v>122</v>
      </c>
      <c r="H128" s="17" cm="1">
        <f t="array" ref="H128">_xlfn.LET(_xlpm.s,IFERROR(--F128,""),_xlpm.e,IFERROR(--G128,""),IF(OR(_xlpm.s="",_xlpm.e="",_xlpm.e&lt;_xlpm.s),"",_xlfn.LET(_xlpm.p,_xlfn.SEQUENCE(_xlpm.e-_xlpm.s+1,1,_xlpm.s,1),SUM(1/COUNTIFS($D:$D,D128,$E:$E,E128,$F:$F,"&lt;&gt;N/A",$G:$G,"&lt;&gt;N/A",$F:$F,"&lt;="&amp;_xlpm.p,$G:$G,"&gt;="&amp;_xlpm.p)))))</f>
        <v>0.83333333333333326</v>
      </c>
      <c r="I128" t="s">
        <v>625</v>
      </c>
      <c r="J128" t="s">
        <v>294</v>
      </c>
      <c r="K128" t="s">
        <v>7</v>
      </c>
      <c r="L128" t="s">
        <v>7</v>
      </c>
      <c r="M128" t="s">
        <v>7</v>
      </c>
      <c r="N128" t="s">
        <v>7</v>
      </c>
      <c r="O128" s="5" t="s">
        <v>778</v>
      </c>
      <c r="P128" s="5" t="s">
        <v>7834</v>
      </c>
      <c r="R128" t="b">
        <v>1</v>
      </c>
    </row>
    <row r="129" spans="1:18">
      <c r="A129" t="s">
        <v>3013</v>
      </c>
      <c r="B129" t="s">
        <v>5703</v>
      </c>
      <c r="C129" t="s">
        <v>7766</v>
      </c>
      <c r="D129" s="1">
        <v>2</v>
      </c>
      <c r="E129" s="1">
        <v>4</v>
      </c>
      <c r="F129" s="1">
        <v>122</v>
      </c>
      <c r="G129" s="1">
        <v>122</v>
      </c>
      <c r="H129" s="17" cm="1">
        <f t="array" ref="H129">_xlfn.LET(_xlpm.s,IFERROR(--F129,""),_xlpm.e,IFERROR(--G129,""),IF(OR(_xlpm.s="",_xlpm.e="",_xlpm.e&lt;_xlpm.s),"",_xlfn.LET(_xlpm.p,_xlfn.SEQUENCE(_xlpm.e-_xlpm.s+1,1,_xlpm.s,1),SUM(1/COUNTIFS($D:$D,D129,$E:$E,E129,$F:$F,"&lt;&gt;N/A",$G:$G,"&lt;&gt;N/A",$F:$F,"&lt;="&amp;_xlpm.p,$G:$G,"&gt;="&amp;_xlpm.p)))))</f>
        <v>0.33333333333333331</v>
      </c>
      <c r="I129" t="s">
        <v>625</v>
      </c>
      <c r="J129" t="s">
        <v>295</v>
      </c>
      <c r="K129" t="s">
        <v>7</v>
      </c>
      <c r="L129" s="5" t="s">
        <v>7</v>
      </c>
      <c r="M129" t="s">
        <v>5046</v>
      </c>
      <c r="N129" t="s">
        <v>2563</v>
      </c>
      <c r="O129" s="5" t="s">
        <v>5072</v>
      </c>
      <c r="P129" s="5" t="s">
        <v>8092</v>
      </c>
      <c r="R129" t="b">
        <v>1</v>
      </c>
    </row>
    <row r="130" spans="1:18">
      <c r="A130" t="s">
        <v>3013</v>
      </c>
      <c r="B130" t="s">
        <v>5704</v>
      </c>
      <c r="C130" t="s">
        <v>7766</v>
      </c>
      <c r="D130" s="1">
        <v>2</v>
      </c>
      <c r="E130" s="1">
        <v>4</v>
      </c>
      <c r="F130" s="1">
        <v>122</v>
      </c>
      <c r="G130" s="1">
        <v>124</v>
      </c>
      <c r="H130" s="17" cm="1">
        <f t="array" ref="H130">_xlfn.LET(_xlpm.s,IFERROR(--F130,""),_xlpm.e,IFERROR(--G130,""),IF(OR(_xlpm.s="",_xlpm.e="",_xlpm.e&lt;_xlpm.s),"",_xlfn.LET(_xlpm.p,_xlfn.SEQUENCE(_xlpm.e-_xlpm.s+1,1,_xlpm.s,1),SUM(1/COUNTIFS($D:$D,D130,$E:$E,E130,$F:$F,"&lt;&gt;N/A",$G:$G,"&lt;&gt;N/A",$F:$F,"&lt;="&amp;_xlpm.p,$G:$G,"&gt;="&amp;_xlpm.p)))))</f>
        <v>1.8333333333333333</v>
      </c>
      <c r="I130" t="s">
        <v>625</v>
      </c>
      <c r="J130" t="s">
        <v>6514</v>
      </c>
      <c r="K130" t="s">
        <v>7</v>
      </c>
      <c r="L130" s="5" t="s">
        <v>4609</v>
      </c>
      <c r="M130" t="s">
        <v>7</v>
      </c>
      <c r="N130" t="s">
        <v>7</v>
      </c>
      <c r="O130" s="5" t="s">
        <v>11522</v>
      </c>
      <c r="P130" s="5" t="s">
        <v>8021</v>
      </c>
      <c r="R130" t="b">
        <v>1</v>
      </c>
    </row>
    <row r="131" spans="1:18">
      <c r="A131" t="s">
        <v>3013</v>
      </c>
      <c r="B131" t="s">
        <v>5705</v>
      </c>
      <c r="C131" t="s">
        <v>7766</v>
      </c>
      <c r="D131" s="1">
        <v>2</v>
      </c>
      <c r="E131" s="1">
        <v>4</v>
      </c>
      <c r="F131" s="1">
        <v>124</v>
      </c>
      <c r="G131" s="1">
        <v>124</v>
      </c>
      <c r="H131" s="17" cm="1">
        <f t="array" ref="H131">_xlfn.LET(_xlpm.s,IFERROR(--F131,""),_xlpm.e,IFERROR(--G131,""),IF(OR(_xlpm.s="",_xlpm.e="",_xlpm.e&lt;_xlpm.s),"",_xlfn.LET(_xlpm.p,_xlfn.SEQUENCE(_xlpm.e-_xlpm.s+1,1,_xlpm.s,1),SUM(1/COUNTIFS($D:$D,D131,$E:$E,E131,$F:$F,"&lt;&gt;N/A",$G:$G,"&lt;&gt;N/A",$F:$F,"&lt;="&amp;_xlpm.p,$G:$G,"&gt;="&amp;_xlpm.p)))))</f>
        <v>0.5</v>
      </c>
      <c r="I131" t="s">
        <v>624</v>
      </c>
      <c r="J131" t="s">
        <v>6515</v>
      </c>
      <c r="K131" t="s">
        <v>7</v>
      </c>
      <c r="L131" s="5" t="s">
        <v>4609</v>
      </c>
      <c r="M131" t="s">
        <v>7</v>
      </c>
      <c r="N131" s="5" t="s">
        <v>7</v>
      </c>
      <c r="O131" s="5" t="s">
        <v>11522</v>
      </c>
      <c r="P131" s="5" t="s">
        <v>8021</v>
      </c>
      <c r="R131" t="b">
        <v>1</v>
      </c>
    </row>
    <row r="132" spans="1:18">
      <c r="A132" t="s">
        <v>3013</v>
      </c>
      <c r="B132" t="s">
        <v>5706</v>
      </c>
      <c r="C132" t="s">
        <v>7766</v>
      </c>
      <c r="D132" s="1">
        <v>2</v>
      </c>
      <c r="E132" s="1">
        <v>4</v>
      </c>
      <c r="F132" s="1">
        <v>125</v>
      </c>
      <c r="G132" s="1">
        <v>125</v>
      </c>
      <c r="H132" s="17" cm="1">
        <f t="array" ref="H132">_xlfn.LET(_xlpm.s,IFERROR(--F132,""),_xlpm.e,IFERROR(--G132,""),IF(OR(_xlpm.s="",_xlpm.e="",_xlpm.e&lt;_xlpm.s),"",_xlfn.LET(_xlpm.p,_xlfn.SEQUENCE(_xlpm.e-_xlpm.s+1,1,_xlpm.s,1),SUM(1/COUNTIFS($D:$D,D132,$E:$E,E132,$F:$F,"&lt;&gt;N/A",$G:$G,"&lt;&gt;N/A",$F:$F,"&lt;="&amp;_xlpm.p,$G:$G,"&gt;="&amp;_xlpm.p)))))</f>
        <v>0.25</v>
      </c>
      <c r="I132" t="s">
        <v>624</v>
      </c>
      <c r="J132" t="s">
        <v>296</v>
      </c>
      <c r="K132" t="s">
        <v>7</v>
      </c>
      <c r="L132" s="5" t="s">
        <v>7</v>
      </c>
      <c r="M132" t="s">
        <v>5046</v>
      </c>
      <c r="N132" t="s">
        <v>6601</v>
      </c>
      <c r="O132" s="5" t="s">
        <v>5072</v>
      </c>
      <c r="P132" s="5" t="s">
        <v>8092</v>
      </c>
      <c r="R132" t="b">
        <v>1</v>
      </c>
    </row>
    <row r="133" spans="1:18">
      <c r="A133" t="s">
        <v>3013</v>
      </c>
      <c r="B133" t="s">
        <v>5707</v>
      </c>
      <c r="C133" t="s">
        <v>7766</v>
      </c>
      <c r="D133" s="1">
        <v>2</v>
      </c>
      <c r="E133" s="1">
        <v>4</v>
      </c>
      <c r="F133" s="1">
        <v>125</v>
      </c>
      <c r="G133" s="1">
        <v>125</v>
      </c>
      <c r="H133" s="17" cm="1">
        <f t="array" ref="H133">_xlfn.LET(_xlpm.s,IFERROR(--F133,""),_xlpm.e,IFERROR(--G133,""),IF(OR(_xlpm.s="",_xlpm.e="",_xlpm.e&lt;_xlpm.s),"",_xlfn.LET(_xlpm.p,_xlfn.SEQUENCE(_xlpm.e-_xlpm.s+1,1,_xlpm.s,1),SUM(1/COUNTIFS($D:$D,D133,$E:$E,E133,$F:$F,"&lt;&gt;N/A",$G:$G,"&lt;&gt;N/A",$F:$F,"&lt;="&amp;_xlpm.p,$G:$G,"&gt;="&amp;_xlpm.p)))))</f>
        <v>0.25</v>
      </c>
      <c r="I133" t="s">
        <v>624</v>
      </c>
      <c r="J133" t="s">
        <v>297</v>
      </c>
      <c r="K133" t="s">
        <v>7</v>
      </c>
      <c r="L133" s="5" t="s">
        <v>7</v>
      </c>
      <c r="M133" t="s">
        <v>7</v>
      </c>
      <c r="N133" t="s">
        <v>8055</v>
      </c>
      <c r="O133" s="5" t="s">
        <v>5072</v>
      </c>
      <c r="P133" s="5" t="s">
        <v>8019</v>
      </c>
      <c r="R133" t="b">
        <v>1</v>
      </c>
    </row>
    <row r="134" spans="1:18">
      <c r="A134" t="s">
        <v>3013</v>
      </c>
      <c r="B134" t="s">
        <v>5708</v>
      </c>
      <c r="C134" t="s">
        <v>7766</v>
      </c>
      <c r="D134" s="1">
        <v>2</v>
      </c>
      <c r="E134" s="1">
        <v>4</v>
      </c>
      <c r="F134" s="1">
        <v>125</v>
      </c>
      <c r="G134" s="1">
        <v>125</v>
      </c>
      <c r="H134" s="17" cm="1">
        <f t="array" ref="H134">_xlfn.LET(_xlpm.s,IFERROR(--F134,""),_xlpm.e,IFERROR(--G134,""),IF(OR(_xlpm.s="",_xlpm.e="",_xlpm.e&lt;_xlpm.s),"",_xlfn.LET(_xlpm.p,_xlfn.SEQUENCE(_xlpm.e-_xlpm.s+1,1,_xlpm.s,1),SUM(1/COUNTIFS($D:$D,D134,$E:$E,E134,$F:$F,"&lt;&gt;N/A",$G:$G,"&lt;&gt;N/A",$F:$F,"&lt;="&amp;_xlpm.p,$G:$G,"&gt;="&amp;_xlpm.p)))))</f>
        <v>0.25</v>
      </c>
      <c r="I134" t="s">
        <v>624</v>
      </c>
      <c r="J134" t="s">
        <v>298</v>
      </c>
      <c r="K134" t="s">
        <v>7</v>
      </c>
      <c r="L134" s="5" t="s">
        <v>7</v>
      </c>
      <c r="M134" t="s">
        <v>5135</v>
      </c>
      <c r="N134" t="s">
        <v>6602</v>
      </c>
      <c r="O134" s="5" t="s">
        <v>5072</v>
      </c>
      <c r="P134" s="5" t="s">
        <v>8021</v>
      </c>
      <c r="R134" t="b">
        <v>1</v>
      </c>
    </row>
    <row r="135" spans="1:18">
      <c r="A135" t="s">
        <v>3013</v>
      </c>
      <c r="B135" t="s">
        <v>5709</v>
      </c>
      <c r="C135" t="s">
        <v>7766</v>
      </c>
      <c r="D135" s="1">
        <v>2</v>
      </c>
      <c r="E135" s="1">
        <v>4</v>
      </c>
      <c r="F135" s="1">
        <v>125</v>
      </c>
      <c r="G135" s="1">
        <v>125</v>
      </c>
      <c r="H135" s="17" cm="1">
        <f t="array" ref="H135">_xlfn.LET(_xlpm.s,IFERROR(--F135,""),_xlpm.e,IFERROR(--G135,""),IF(OR(_xlpm.s="",_xlpm.e="",_xlpm.e&lt;_xlpm.s),"",_xlfn.LET(_xlpm.p,_xlfn.SEQUENCE(_xlpm.e-_xlpm.s+1,1,_xlpm.s,1),SUM(1/COUNTIFS($D:$D,D135,$E:$E,E135,$F:$F,"&lt;&gt;N/A",$G:$G,"&lt;&gt;N/A",$F:$F,"&lt;="&amp;_xlpm.p,$G:$G,"&gt;="&amp;_xlpm.p)))))</f>
        <v>0.25</v>
      </c>
      <c r="I135" t="s">
        <v>624</v>
      </c>
      <c r="J135" t="s">
        <v>299</v>
      </c>
      <c r="K135" t="s">
        <v>7</v>
      </c>
      <c r="L135" s="5" t="s">
        <v>7</v>
      </c>
      <c r="M135" t="s">
        <v>7</v>
      </c>
      <c r="N135" s="5" t="s">
        <v>6717</v>
      </c>
      <c r="O135" s="5" t="s">
        <v>5072</v>
      </c>
      <c r="P135" s="5" t="s">
        <v>8034</v>
      </c>
      <c r="R135" t="b">
        <v>1</v>
      </c>
    </row>
    <row r="136" spans="1:18">
      <c r="A136" t="s">
        <v>3013</v>
      </c>
      <c r="B136" t="s">
        <v>5710</v>
      </c>
      <c r="C136" t="s">
        <v>7766</v>
      </c>
      <c r="D136" s="1">
        <v>2</v>
      </c>
      <c r="E136" s="1">
        <v>4</v>
      </c>
      <c r="F136" s="1">
        <v>126</v>
      </c>
      <c r="G136" s="1">
        <v>126</v>
      </c>
      <c r="H136" s="17" cm="1">
        <f t="array" ref="H136">_xlfn.LET(_xlpm.s,IFERROR(--F136,""),_xlpm.e,IFERROR(--G136,""),IF(OR(_xlpm.s="",_xlpm.e="",_xlpm.e&lt;_xlpm.s),"",_xlfn.LET(_xlpm.p,_xlfn.SEQUENCE(_xlpm.e-_xlpm.s+1,1,_xlpm.s,1),SUM(1/COUNTIFS($D:$D,D136,$E:$E,E136,$F:$F,"&lt;&gt;N/A",$G:$G,"&lt;&gt;N/A",$F:$F,"&lt;="&amp;_xlpm.p,$G:$G,"&gt;="&amp;_xlpm.p)))))</f>
        <v>0.25</v>
      </c>
      <c r="I136" t="s">
        <v>624</v>
      </c>
      <c r="J136" t="s">
        <v>300</v>
      </c>
      <c r="K136" t="s">
        <v>7</v>
      </c>
      <c r="L136" s="5" t="s">
        <v>7</v>
      </c>
      <c r="M136" t="s">
        <v>7</v>
      </c>
      <c r="N136" t="s">
        <v>7</v>
      </c>
      <c r="O136" s="5" t="s">
        <v>11522</v>
      </c>
      <c r="P136" s="5" t="s">
        <v>7</v>
      </c>
      <c r="Q136" t="s">
        <v>10168</v>
      </c>
      <c r="R136" t="b">
        <v>1</v>
      </c>
    </row>
    <row r="137" spans="1:18">
      <c r="A137" t="s">
        <v>3013</v>
      </c>
      <c r="B137" t="s">
        <v>5711</v>
      </c>
      <c r="C137" t="s">
        <v>7766</v>
      </c>
      <c r="D137" s="1">
        <v>2</v>
      </c>
      <c r="E137" s="1">
        <v>4</v>
      </c>
      <c r="F137" s="1">
        <v>126</v>
      </c>
      <c r="G137" s="1">
        <v>126</v>
      </c>
      <c r="H137" s="17" cm="1">
        <f t="array" ref="H137">_xlfn.LET(_xlpm.s,IFERROR(--F137,""),_xlpm.e,IFERROR(--G137,""),IF(OR(_xlpm.s="",_xlpm.e="",_xlpm.e&lt;_xlpm.s),"",_xlfn.LET(_xlpm.p,_xlfn.SEQUENCE(_xlpm.e-_xlpm.s+1,1,_xlpm.s,1),SUM(1/COUNTIFS($D:$D,D137,$E:$E,E137,$F:$F,"&lt;&gt;N/A",$G:$G,"&lt;&gt;N/A",$F:$F,"&lt;="&amp;_xlpm.p,$G:$G,"&gt;="&amp;_xlpm.p)))))</f>
        <v>0.25</v>
      </c>
      <c r="I137" t="s">
        <v>624</v>
      </c>
      <c r="J137" t="s">
        <v>301</v>
      </c>
      <c r="K137" t="s">
        <v>7</v>
      </c>
      <c r="L137" s="5" t="s">
        <v>7</v>
      </c>
      <c r="M137" t="s">
        <v>7</v>
      </c>
      <c r="N137" t="s">
        <v>7</v>
      </c>
      <c r="O137" s="5" t="s">
        <v>11522</v>
      </c>
      <c r="P137" s="5" t="s">
        <v>7</v>
      </c>
      <c r="Q137" t="s">
        <v>10169</v>
      </c>
      <c r="R137" t="b">
        <v>1</v>
      </c>
    </row>
    <row r="138" spans="1:18">
      <c r="A138" t="s">
        <v>3013</v>
      </c>
      <c r="B138" t="s">
        <v>5712</v>
      </c>
      <c r="C138" t="s">
        <v>7766</v>
      </c>
      <c r="D138" s="1">
        <v>2</v>
      </c>
      <c r="E138" s="1">
        <v>4</v>
      </c>
      <c r="F138" s="1">
        <v>126</v>
      </c>
      <c r="G138" s="1">
        <v>126</v>
      </c>
      <c r="H138" s="17" cm="1">
        <f t="array" ref="H138">_xlfn.LET(_xlpm.s,IFERROR(--F138,""),_xlpm.e,IFERROR(--G138,""),IF(OR(_xlpm.s="",_xlpm.e="",_xlpm.e&lt;_xlpm.s),"",_xlfn.LET(_xlpm.p,_xlfn.SEQUENCE(_xlpm.e-_xlpm.s+1,1,_xlpm.s,1),SUM(1/COUNTIFS($D:$D,D138,$E:$E,E138,$F:$F,"&lt;&gt;N/A",$G:$G,"&lt;&gt;N/A",$F:$F,"&lt;="&amp;_xlpm.p,$G:$G,"&gt;="&amp;_xlpm.p)))))</f>
        <v>0.25</v>
      </c>
      <c r="I138" t="s">
        <v>624</v>
      </c>
      <c r="J138" t="s">
        <v>302</v>
      </c>
      <c r="K138" t="s">
        <v>7</v>
      </c>
      <c r="L138" s="5" t="s">
        <v>7</v>
      </c>
      <c r="M138" t="s">
        <v>7</v>
      </c>
      <c r="N138" t="s">
        <v>7</v>
      </c>
      <c r="O138" s="5" t="s">
        <v>11522</v>
      </c>
      <c r="P138" s="5" t="s">
        <v>7</v>
      </c>
      <c r="Q138" t="s">
        <v>10170</v>
      </c>
      <c r="R138" t="b">
        <v>1</v>
      </c>
    </row>
    <row r="139" spans="1:18">
      <c r="A139" t="s">
        <v>3013</v>
      </c>
      <c r="B139" t="s">
        <v>5713</v>
      </c>
      <c r="C139" t="s">
        <v>7766</v>
      </c>
      <c r="D139" s="1">
        <v>2</v>
      </c>
      <c r="E139" s="1">
        <v>4</v>
      </c>
      <c r="F139" s="1">
        <v>126</v>
      </c>
      <c r="G139" s="1">
        <v>127</v>
      </c>
      <c r="H139" s="17" cm="1">
        <f t="array" ref="H139">_xlfn.LET(_xlpm.s,IFERROR(--F139,""),_xlpm.e,IFERROR(--G139,""),IF(OR(_xlpm.s="",_xlpm.e="",_xlpm.e&lt;_xlpm.s),"",_xlfn.LET(_xlpm.p,_xlfn.SEQUENCE(_xlpm.e-_xlpm.s+1,1,_xlpm.s,1),SUM(1/COUNTIFS($D:$D,D139,$E:$E,E139,$F:$F,"&lt;&gt;N/A",$G:$G,"&lt;&gt;N/A",$F:$F,"&lt;="&amp;_xlpm.p,$G:$G,"&gt;="&amp;_xlpm.p)))))</f>
        <v>0.75</v>
      </c>
      <c r="I139" t="s">
        <v>624</v>
      </c>
      <c r="J139" t="s">
        <v>303</v>
      </c>
      <c r="K139" t="s">
        <v>7</v>
      </c>
      <c r="L139" s="5" t="s">
        <v>7</v>
      </c>
      <c r="M139" t="s">
        <v>7</v>
      </c>
      <c r="N139" t="s">
        <v>7</v>
      </c>
      <c r="O139" s="5" t="s">
        <v>11522</v>
      </c>
      <c r="P139" s="5" t="s">
        <v>7</v>
      </c>
      <c r="Q139" t="s">
        <v>10171</v>
      </c>
      <c r="R139" t="b">
        <v>1</v>
      </c>
    </row>
    <row r="140" spans="1:18">
      <c r="A140" t="s">
        <v>3013</v>
      </c>
      <c r="B140" t="s">
        <v>5714</v>
      </c>
      <c r="C140" t="s">
        <v>7766</v>
      </c>
      <c r="D140" s="1">
        <v>2</v>
      </c>
      <c r="E140" s="1">
        <v>4</v>
      </c>
      <c r="F140" s="1">
        <v>127</v>
      </c>
      <c r="G140" s="1">
        <v>128</v>
      </c>
      <c r="H140" s="17" cm="1">
        <f t="array" ref="H140">_xlfn.LET(_xlpm.s,IFERROR(--F140,""),_xlpm.e,IFERROR(--G140,""),IF(OR(_xlpm.s="",_xlpm.e="",_xlpm.e&lt;_xlpm.s),"",_xlfn.LET(_xlpm.p,_xlfn.SEQUENCE(_xlpm.e-_xlpm.s+1,1,_xlpm.s,1),SUM(1/COUNTIFS($D:$D,D140,$E:$E,E140,$F:$F,"&lt;&gt;N/A",$G:$G,"&lt;&gt;N/A",$F:$F,"&lt;="&amp;_xlpm.p,$G:$G,"&gt;="&amp;_xlpm.p)))))</f>
        <v>1.5</v>
      </c>
      <c r="I140" t="s">
        <v>2609</v>
      </c>
      <c r="J140" t="s">
        <v>2651</v>
      </c>
      <c r="K140" t="s">
        <v>7</v>
      </c>
      <c r="L140" s="5" t="s">
        <v>4610</v>
      </c>
      <c r="M140" t="s">
        <v>7</v>
      </c>
      <c r="N140" t="s">
        <v>7</v>
      </c>
      <c r="O140" s="5" t="s">
        <v>11522</v>
      </c>
      <c r="P140" s="5" t="s">
        <v>8019</v>
      </c>
      <c r="R140" t="b">
        <v>1</v>
      </c>
    </row>
    <row r="141" spans="1:18">
      <c r="A141" t="s">
        <v>3013</v>
      </c>
      <c r="B141" t="s">
        <v>5715</v>
      </c>
      <c r="C141" t="s">
        <v>7774</v>
      </c>
      <c r="D141" s="1">
        <v>2</v>
      </c>
      <c r="E141" s="1">
        <v>5</v>
      </c>
      <c r="F141" s="1">
        <v>129</v>
      </c>
      <c r="G141" s="1">
        <v>141</v>
      </c>
      <c r="H141" s="17" cm="1">
        <f t="array" ref="H141">_xlfn.LET(_xlpm.s,IFERROR(--F141,""),_xlpm.e,IFERROR(--G141,""),IF(OR(_xlpm.s="",_xlpm.e="",_xlpm.e&lt;_xlpm.s),"",_xlfn.LET(_xlpm.p,_xlfn.SEQUENCE(_xlpm.e-_xlpm.s+1,1,_xlpm.s,1),SUM(1/COUNTIFS($D:$D,D141,$E:$E,E141,$F:$F,"&lt;&gt;N/A",$G:$G,"&lt;&gt;N/A",$F:$F,"&lt;="&amp;_xlpm.p,$G:$G,"&gt;="&amp;_xlpm.p)))))</f>
        <v>12.5</v>
      </c>
      <c r="I141" t="s">
        <v>2609</v>
      </c>
      <c r="J141" t="s">
        <v>304</v>
      </c>
      <c r="K141" t="s">
        <v>2465</v>
      </c>
      <c r="L141" s="5" t="s">
        <v>7</v>
      </c>
      <c r="M141" s="5" t="s">
        <v>7</v>
      </c>
      <c r="N141" t="s">
        <v>7</v>
      </c>
      <c r="O141" s="5" t="s">
        <v>778</v>
      </c>
      <c r="P141" s="5" t="s">
        <v>7834</v>
      </c>
      <c r="R141" t="b">
        <v>1</v>
      </c>
    </row>
    <row r="142" spans="1:18">
      <c r="A142" t="s">
        <v>3013</v>
      </c>
      <c r="B142" t="s">
        <v>5716</v>
      </c>
      <c r="C142" t="s">
        <v>7774</v>
      </c>
      <c r="D142" s="1">
        <v>2</v>
      </c>
      <c r="E142" s="1">
        <v>5</v>
      </c>
      <c r="F142" s="1">
        <v>141</v>
      </c>
      <c r="G142" s="1">
        <v>144</v>
      </c>
      <c r="H142" s="17" cm="1">
        <f t="array" ref="H142">_xlfn.LET(_xlpm.s,IFERROR(--F142,""),_xlpm.e,IFERROR(--G142,""),IF(OR(_xlpm.s="",_xlpm.e="",_xlpm.e&lt;_xlpm.s),"",_xlfn.LET(_xlpm.p,_xlfn.SEQUENCE(_xlpm.e-_xlpm.s+1,1,_xlpm.s,1),SUM(1/COUNTIFS($D:$D,D142,$E:$E,E142,$F:$F,"&lt;&gt;N/A",$G:$G,"&lt;&gt;N/A",$F:$F,"&lt;="&amp;_xlpm.p,$G:$G,"&gt;="&amp;_xlpm.p)))))</f>
        <v>3</v>
      </c>
      <c r="I142" t="s">
        <v>8</v>
      </c>
      <c r="J142" t="s">
        <v>2652</v>
      </c>
      <c r="K142" t="s">
        <v>2518</v>
      </c>
      <c r="L142" s="5" t="s">
        <v>7</v>
      </c>
      <c r="M142" s="5" t="s">
        <v>7</v>
      </c>
      <c r="N142" t="s">
        <v>7</v>
      </c>
      <c r="O142" s="5" t="s">
        <v>778</v>
      </c>
      <c r="P142" s="5" t="s">
        <v>7834</v>
      </c>
      <c r="R142" t="b">
        <v>1</v>
      </c>
    </row>
    <row r="143" spans="1:18">
      <c r="A143" t="s">
        <v>3013</v>
      </c>
      <c r="B143" t="s">
        <v>5717</v>
      </c>
      <c r="C143" t="s">
        <v>7774</v>
      </c>
      <c r="D143" s="1">
        <v>2</v>
      </c>
      <c r="E143" s="1">
        <v>5</v>
      </c>
      <c r="F143" s="1">
        <v>144</v>
      </c>
      <c r="G143" s="1">
        <v>145</v>
      </c>
      <c r="H143" s="17" cm="1">
        <f t="array" ref="H143">_xlfn.LET(_xlpm.s,IFERROR(--F143,""),_xlpm.e,IFERROR(--G143,""),IF(OR(_xlpm.s="",_xlpm.e="",_xlpm.e&lt;_xlpm.s),"",_xlfn.LET(_xlpm.p,_xlfn.SEQUENCE(_xlpm.e-_xlpm.s+1,1,_xlpm.s,1),SUM(1/COUNTIFS($D:$D,D143,$E:$E,E143,$F:$F,"&lt;&gt;N/A",$G:$G,"&lt;&gt;N/A",$F:$F,"&lt;="&amp;_xlpm.p,$G:$G,"&gt;="&amp;_xlpm.p)))))</f>
        <v>1</v>
      </c>
      <c r="I143" t="s">
        <v>8</v>
      </c>
      <c r="J143" t="s">
        <v>305</v>
      </c>
      <c r="K143" t="s">
        <v>2497</v>
      </c>
      <c r="L143" s="5" t="s">
        <v>7</v>
      </c>
      <c r="M143" s="5" t="s">
        <v>7</v>
      </c>
      <c r="N143" t="s">
        <v>7</v>
      </c>
      <c r="O143" s="5" t="s">
        <v>778</v>
      </c>
      <c r="P143" s="5" t="s">
        <v>7834</v>
      </c>
      <c r="R143" t="b">
        <v>1</v>
      </c>
    </row>
    <row r="144" spans="1:18">
      <c r="A144" t="s">
        <v>3013</v>
      </c>
      <c r="B144" t="s">
        <v>5718</v>
      </c>
      <c r="C144" t="s">
        <v>7774</v>
      </c>
      <c r="D144" s="1">
        <v>2</v>
      </c>
      <c r="E144" s="1">
        <v>5</v>
      </c>
      <c r="F144" s="1">
        <v>145</v>
      </c>
      <c r="G144" s="1">
        <v>152</v>
      </c>
      <c r="H144" s="17" cm="1">
        <f t="array" ref="H144">_xlfn.LET(_xlpm.s,IFERROR(--F144,""),_xlpm.e,IFERROR(--G144,""),IF(OR(_xlpm.s="",_xlpm.e="",_xlpm.e&lt;_xlpm.s),"",_xlfn.LET(_xlpm.p,_xlfn.SEQUENCE(_xlpm.e-_xlpm.s+1,1,_xlpm.s,1),SUM(1/COUNTIFS($D:$D,D144,$E:$E,E144,$F:$F,"&lt;&gt;N/A",$G:$G,"&lt;&gt;N/A",$F:$F,"&lt;="&amp;_xlpm.p,$G:$G,"&gt;="&amp;_xlpm.p)))))</f>
        <v>7</v>
      </c>
      <c r="I144" t="s">
        <v>8</v>
      </c>
      <c r="J144" t="s">
        <v>306</v>
      </c>
      <c r="K144" t="s">
        <v>2517</v>
      </c>
      <c r="L144" s="5" t="s">
        <v>7</v>
      </c>
      <c r="M144" s="5" t="s">
        <v>7</v>
      </c>
      <c r="N144" t="s">
        <v>7</v>
      </c>
      <c r="O144" s="5" t="s">
        <v>778</v>
      </c>
      <c r="P144" s="5" t="s">
        <v>7834</v>
      </c>
      <c r="R144" t="b">
        <v>1</v>
      </c>
    </row>
    <row r="145" spans="1:18">
      <c r="A145" t="s">
        <v>3013</v>
      </c>
      <c r="B145" t="s">
        <v>5719</v>
      </c>
      <c r="C145" t="s">
        <v>7774</v>
      </c>
      <c r="D145" s="1">
        <v>2</v>
      </c>
      <c r="E145" s="1">
        <v>5</v>
      </c>
      <c r="F145" s="1">
        <v>152</v>
      </c>
      <c r="G145" s="1">
        <v>153</v>
      </c>
      <c r="H145" s="17" cm="1">
        <f t="array" ref="H145">_xlfn.LET(_xlpm.s,IFERROR(--F145,""),_xlpm.e,IFERROR(--G145,""),IF(OR(_xlpm.s="",_xlpm.e="",_xlpm.e&lt;_xlpm.s),"",_xlfn.LET(_xlpm.p,_xlfn.SEQUENCE(_xlpm.e-_xlpm.s+1,1,_xlpm.s,1),SUM(1/COUNTIFS($D:$D,D145,$E:$E,E145,$F:$F,"&lt;&gt;N/A",$G:$G,"&lt;&gt;N/A",$F:$F,"&lt;="&amp;_xlpm.p,$G:$G,"&gt;="&amp;_xlpm.p)))))</f>
        <v>1</v>
      </c>
      <c r="I145" t="s">
        <v>8</v>
      </c>
      <c r="J145" t="s">
        <v>2430</v>
      </c>
      <c r="K145" s="5" t="s">
        <v>7</v>
      </c>
      <c r="L145" s="5" t="s">
        <v>7</v>
      </c>
      <c r="M145" s="5" t="s">
        <v>7</v>
      </c>
      <c r="N145" t="s">
        <v>10441</v>
      </c>
      <c r="O145" s="5" t="s">
        <v>5072</v>
      </c>
      <c r="P145" s="5" t="s">
        <v>8021</v>
      </c>
      <c r="R145" t="b">
        <v>1</v>
      </c>
    </row>
    <row r="146" spans="1:18">
      <c r="A146" t="s">
        <v>3013</v>
      </c>
      <c r="B146" t="s">
        <v>5720</v>
      </c>
      <c r="C146" t="s">
        <v>7774</v>
      </c>
      <c r="D146" s="1">
        <v>2</v>
      </c>
      <c r="E146" s="1">
        <v>5</v>
      </c>
      <c r="F146" s="1">
        <v>153</v>
      </c>
      <c r="G146" s="1">
        <v>154</v>
      </c>
      <c r="H146" s="17" cm="1">
        <f t="array" ref="H146">_xlfn.LET(_xlpm.s,IFERROR(--F146,""),_xlpm.e,IFERROR(--G146,""),IF(OR(_xlpm.s="",_xlpm.e="",_xlpm.e&lt;_xlpm.s),"",_xlfn.LET(_xlpm.p,_xlfn.SEQUENCE(_xlpm.e-_xlpm.s+1,1,_xlpm.s,1),SUM(1/COUNTIFS($D:$D,D146,$E:$E,E146,$F:$F,"&lt;&gt;N/A",$G:$G,"&lt;&gt;N/A",$F:$F,"&lt;="&amp;_xlpm.p,$G:$G,"&gt;="&amp;_xlpm.p)))))</f>
        <v>1</v>
      </c>
      <c r="I146" t="s">
        <v>624</v>
      </c>
      <c r="J146" t="s">
        <v>2653</v>
      </c>
      <c r="K146" t="s">
        <v>7</v>
      </c>
      <c r="L146" s="5" t="s">
        <v>4612</v>
      </c>
      <c r="M146" t="s">
        <v>5047</v>
      </c>
      <c r="N146" t="s">
        <v>6606</v>
      </c>
      <c r="O146" s="5" t="s">
        <v>5072</v>
      </c>
      <c r="P146" s="5" t="s">
        <v>8021</v>
      </c>
      <c r="R146" t="b">
        <v>1</v>
      </c>
    </row>
    <row r="147" spans="1:18">
      <c r="A147" t="s">
        <v>3013</v>
      </c>
      <c r="B147" t="s">
        <v>5721</v>
      </c>
      <c r="C147" t="s">
        <v>7774</v>
      </c>
      <c r="D147" s="1">
        <v>2</v>
      </c>
      <c r="E147" s="1">
        <v>5</v>
      </c>
      <c r="F147" s="1">
        <v>154</v>
      </c>
      <c r="G147" s="1">
        <v>157</v>
      </c>
      <c r="H147" s="17" cm="1">
        <f t="array" ref="H147">_xlfn.LET(_xlpm.s,IFERROR(--F147,""),_xlpm.e,IFERROR(--G147,""),IF(OR(_xlpm.s="",_xlpm.e="",_xlpm.e&lt;_xlpm.s),"",_xlfn.LET(_xlpm.p,_xlfn.SEQUENCE(_xlpm.e-_xlpm.s+1,1,_xlpm.s,1),SUM(1/COUNTIFS($D:$D,D147,$E:$E,E147,$F:$F,"&lt;&gt;N/A",$G:$G,"&lt;&gt;N/A",$F:$F,"&lt;="&amp;_xlpm.p,$G:$G,"&gt;="&amp;_xlpm.p)))))</f>
        <v>2.75</v>
      </c>
      <c r="I147" t="s">
        <v>2609</v>
      </c>
      <c r="J147" t="s">
        <v>2654</v>
      </c>
      <c r="K147" t="s">
        <v>7</v>
      </c>
      <c r="L147" s="5" t="s">
        <v>4613</v>
      </c>
      <c r="M147" t="s">
        <v>7</v>
      </c>
      <c r="N147" t="s">
        <v>7</v>
      </c>
      <c r="O147" s="5" t="s">
        <v>5072</v>
      </c>
      <c r="P147" s="5" t="s">
        <v>8019</v>
      </c>
      <c r="R147" t="b">
        <v>1</v>
      </c>
    </row>
    <row r="148" spans="1:18">
      <c r="A148" t="s">
        <v>3013</v>
      </c>
      <c r="B148" t="s">
        <v>5722</v>
      </c>
      <c r="C148" t="s">
        <v>7774</v>
      </c>
      <c r="D148" s="1">
        <v>2</v>
      </c>
      <c r="E148" s="1">
        <v>5</v>
      </c>
      <c r="F148" s="1">
        <v>157</v>
      </c>
      <c r="G148" s="1">
        <v>157</v>
      </c>
      <c r="H148" s="17" cm="1">
        <f t="array" ref="H148">_xlfn.LET(_xlpm.s,IFERROR(--F148,""),_xlpm.e,IFERROR(--G148,""),IF(OR(_xlpm.s="",_xlpm.e="",_xlpm.e&lt;_xlpm.s),"",_xlfn.LET(_xlpm.p,_xlfn.SEQUENCE(_xlpm.e-_xlpm.s+1,1,_xlpm.s,1),SUM(1/COUNTIFS($D:$D,D148,$E:$E,E148,$F:$F,"&lt;&gt;N/A",$G:$G,"&lt;&gt;N/A",$F:$F,"&lt;="&amp;_xlpm.p,$G:$G,"&gt;="&amp;_xlpm.p)))))</f>
        <v>0.25</v>
      </c>
      <c r="I148" t="s">
        <v>2609</v>
      </c>
      <c r="J148" t="s">
        <v>6528</v>
      </c>
      <c r="K148" t="s">
        <v>7</v>
      </c>
      <c r="L148" s="5" t="s">
        <v>4609</v>
      </c>
      <c r="M148" t="s">
        <v>7</v>
      </c>
      <c r="N148" t="s">
        <v>7</v>
      </c>
      <c r="O148" s="5" t="s">
        <v>5072</v>
      </c>
      <c r="P148" s="5" t="s">
        <v>8021</v>
      </c>
      <c r="R148" t="b">
        <v>1</v>
      </c>
    </row>
    <row r="149" spans="1:18">
      <c r="A149" t="s">
        <v>3013</v>
      </c>
      <c r="B149" t="s">
        <v>5723</v>
      </c>
      <c r="C149" t="s">
        <v>7774</v>
      </c>
      <c r="D149" s="1">
        <v>2</v>
      </c>
      <c r="E149" s="1">
        <v>5</v>
      </c>
      <c r="F149" s="1">
        <v>157</v>
      </c>
      <c r="G149" s="1">
        <v>157</v>
      </c>
      <c r="H149" s="17" cm="1">
        <f t="array" ref="H149">_xlfn.LET(_xlpm.s,IFERROR(--F149,""),_xlpm.e,IFERROR(--G149,""),IF(OR(_xlpm.s="",_xlpm.e="",_xlpm.e&lt;_xlpm.s),"",_xlfn.LET(_xlpm.p,_xlfn.SEQUENCE(_xlpm.e-_xlpm.s+1,1,_xlpm.s,1),SUM(1/COUNTIFS($D:$D,D149,$E:$E,E149,$F:$F,"&lt;&gt;N/A",$G:$G,"&lt;&gt;N/A",$F:$F,"&lt;="&amp;_xlpm.p,$G:$G,"&gt;="&amp;_xlpm.p)))))</f>
        <v>0.25</v>
      </c>
      <c r="I149" t="s">
        <v>2609</v>
      </c>
      <c r="J149" t="s">
        <v>307</v>
      </c>
      <c r="K149" t="s">
        <v>7</v>
      </c>
      <c r="L149" s="5" t="s">
        <v>3039</v>
      </c>
      <c r="M149" t="s">
        <v>6534</v>
      </c>
      <c r="N149" t="s">
        <v>6672</v>
      </c>
      <c r="O149" s="5" t="s">
        <v>5072</v>
      </c>
      <c r="P149" s="5" t="s">
        <v>8019</v>
      </c>
      <c r="R149" t="b">
        <v>1</v>
      </c>
    </row>
    <row r="150" spans="1:18">
      <c r="A150" t="s">
        <v>3013</v>
      </c>
      <c r="B150" t="s">
        <v>5724</v>
      </c>
      <c r="C150" t="s">
        <v>7774</v>
      </c>
      <c r="D150" s="1">
        <v>2</v>
      </c>
      <c r="E150" s="1">
        <v>5</v>
      </c>
      <c r="F150" s="1">
        <v>157</v>
      </c>
      <c r="G150" s="1">
        <v>158</v>
      </c>
      <c r="H150" s="17" cm="1">
        <f t="array" ref="H150">_xlfn.LET(_xlpm.s,IFERROR(--F150,""),_xlpm.e,IFERROR(--G150,""),IF(OR(_xlpm.s="",_xlpm.e="",_xlpm.e&lt;_xlpm.s),"",_xlfn.LET(_xlpm.p,_xlfn.SEQUENCE(_xlpm.e-_xlpm.s+1,1,_xlpm.s,1),SUM(1/COUNTIFS($D:$D,D150,$E:$E,E150,$F:$F,"&lt;&gt;N/A",$G:$G,"&lt;&gt;N/A",$F:$F,"&lt;="&amp;_xlpm.p,$G:$G,"&gt;="&amp;_xlpm.p)))))</f>
        <v>0.75</v>
      </c>
      <c r="I150" t="s">
        <v>2609</v>
      </c>
      <c r="J150" t="s">
        <v>308</v>
      </c>
      <c r="K150" t="s">
        <v>7</v>
      </c>
      <c r="L150" s="5" t="s">
        <v>7</v>
      </c>
      <c r="M150" s="5" t="s">
        <v>7</v>
      </c>
      <c r="N150" t="s">
        <v>2564</v>
      </c>
      <c r="O150" s="5" t="s">
        <v>5072</v>
      </c>
      <c r="P150" s="5" t="s">
        <v>8021</v>
      </c>
      <c r="R150" t="b">
        <v>1</v>
      </c>
    </row>
    <row r="151" spans="1:18">
      <c r="A151" t="s">
        <v>3013</v>
      </c>
      <c r="B151" t="s">
        <v>5725</v>
      </c>
      <c r="C151" t="s">
        <v>7774</v>
      </c>
      <c r="D151" s="1">
        <v>2</v>
      </c>
      <c r="E151" s="1">
        <v>5</v>
      </c>
      <c r="F151" s="1">
        <v>158</v>
      </c>
      <c r="G151" s="1">
        <v>160</v>
      </c>
      <c r="H151" s="17" cm="1">
        <f t="array" ref="H151">_xlfn.LET(_xlpm.s,IFERROR(--F151,""),_xlpm.e,IFERROR(--G151,""),IF(OR(_xlpm.s="",_xlpm.e="",_xlpm.e&lt;_xlpm.s),"",_xlfn.LET(_xlpm.p,_xlfn.SEQUENCE(_xlpm.e-_xlpm.s+1,1,_xlpm.s,1),SUM(1/COUNTIFS($D:$D,D151,$E:$E,E151,$F:$F,"&lt;&gt;N/A",$G:$G,"&lt;&gt;N/A",$F:$F,"&lt;="&amp;_xlpm.p,$G:$G,"&gt;="&amp;_xlpm.p)))))</f>
        <v>2.5</v>
      </c>
      <c r="I151" t="s">
        <v>2609</v>
      </c>
      <c r="J151" t="s">
        <v>309</v>
      </c>
      <c r="K151" t="s">
        <v>7</v>
      </c>
      <c r="L151" s="5" t="s">
        <v>7</v>
      </c>
      <c r="M151" s="5" t="s">
        <v>7</v>
      </c>
      <c r="N151" t="s">
        <v>7</v>
      </c>
      <c r="O151" s="5" t="s">
        <v>778</v>
      </c>
      <c r="P151" s="5" t="s">
        <v>7834</v>
      </c>
      <c r="R151" t="b">
        <v>1</v>
      </c>
    </row>
    <row r="152" spans="1:18">
      <c r="A152" t="s">
        <v>3013</v>
      </c>
      <c r="B152" t="s">
        <v>5726</v>
      </c>
      <c r="C152" t="s">
        <v>7782</v>
      </c>
      <c r="D152" s="1">
        <v>2</v>
      </c>
      <c r="E152" s="1">
        <v>6</v>
      </c>
      <c r="F152" s="1">
        <v>161</v>
      </c>
      <c r="G152" s="1">
        <v>173</v>
      </c>
      <c r="H152" s="17" cm="1">
        <f t="array" ref="H152">_xlfn.LET(_xlpm.s,IFERROR(--F152,""),_xlpm.e,IFERROR(--G152,""),IF(OR(_xlpm.s="",_xlpm.e="",_xlpm.e&lt;_xlpm.s),"",_xlfn.LET(_xlpm.p,_xlfn.SEQUENCE(_xlpm.e-_xlpm.s+1,1,_xlpm.s,1),SUM(1/COUNTIFS($D:$D,D152,$E:$E,E152,$F:$F,"&lt;&gt;N/A",$G:$G,"&lt;&gt;N/A",$F:$F,"&lt;="&amp;_xlpm.p,$G:$G,"&gt;="&amp;_xlpm.p)))))</f>
        <v>13</v>
      </c>
      <c r="I152" t="s">
        <v>8</v>
      </c>
      <c r="J152" t="s">
        <v>2628</v>
      </c>
      <c r="K152" t="s">
        <v>2465</v>
      </c>
      <c r="L152" s="5" t="s">
        <v>7</v>
      </c>
      <c r="M152" s="5" t="s">
        <v>7</v>
      </c>
      <c r="N152" t="s">
        <v>7</v>
      </c>
      <c r="O152" s="5" t="s">
        <v>778</v>
      </c>
      <c r="P152" s="5" t="s">
        <v>7834</v>
      </c>
      <c r="R152" t="b">
        <v>1</v>
      </c>
    </row>
    <row r="153" spans="1:18">
      <c r="A153" t="s">
        <v>3013</v>
      </c>
      <c r="B153" t="s">
        <v>5727</v>
      </c>
      <c r="C153" t="s">
        <v>7782</v>
      </c>
      <c r="D153" s="1">
        <v>2</v>
      </c>
      <c r="E153" s="1">
        <v>6</v>
      </c>
      <c r="F153" s="1">
        <v>174</v>
      </c>
      <c r="G153" s="1">
        <v>174</v>
      </c>
      <c r="H153" s="17" cm="1">
        <f t="array" ref="H153">_xlfn.LET(_xlpm.s,IFERROR(--F153,""),_xlpm.e,IFERROR(--G153,""),IF(OR(_xlpm.s="",_xlpm.e="",_xlpm.e&lt;_xlpm.s),"",_xlfn.LET(_xlpm.p,_xlfn.SEQUENCE(_xlpm.e-_xlpm.s+1,1,_xlpm.s,1),SUM(1/COUNTIFS($D:$D,D153,$E:$E,E153,$F:$F,"&lt;&gt;N/A",$G:$G,"&lt;&gt;N/A",$F:$F,"&lt;="&amp;_xlpm.p,$G:$G,"&gt;="&amp;_xlpm.p)))))</f>
        <v>1</v>
      </c>
      <c r="I153" t="s">
        <v>8</v>
      </c>
      <c r="J153" t="s">
        <v>310</v>
      </c>
      <c r="K153" t="s">
        <v>7</v>
      </c>
      <c r="L153" s="5" t="s">
        <v>7</v>
      </c>
      <c r="M153" s="5" t="s">
        <v>6900</v>
      </c>
      <c r="N153" t="s">
        <v>2565</v>
      </c>
      <c r="O153" s="5" t="s">
        <v>5072</v>
      </c>
      <c r="P153" s="5" t="s">
        <v>8021</v>
      </c>
      <c r="R153" t="b">
        <v>1</v>
      </c>
    </row>
    <row r="154" spans="1:18">
      <c r="A154" t="s">
        <v>3013</v>
      </c>
      <c r="B154" t="s">
        <v>5728</v>
      </c>
      <c r="C154" t="s">
        <v>7782</v>
      </c>
      <c r="D154" s="1">
        <v>2</v>
      </c>
      <c r="E154" s="1">
        <v>6</v>
      </c>
      <c r="F154" s="1">
        <v>175</v>
      </c>
      <c r="G154" s="1">
        <v>176</v>
      </c>
      <c r="H154" s="17" cm="1">
        <f t="array" ref="H154">_xlfn.LET(_xlpm.s,IFERROR(--F154,""),_xlpm.e,IFERROR(--G154,""),IF(OR(_xlpm.s="",_xlpm.e="",_xlpm.e&lt;_xlpm.s),"",_xlfn.LET(_xlpm.p,_xlfn.SEQUENCE(_xlpm.e-_xlpm.s+1,1,_xlpm.s,1),SUM(1/COUNTIFS($D:$D,D154,$E:$E,E154,$F:$F,"&lt;&gt;N/A",$G:$G,"&lt;&gt;N/A",$F:$F,"&lt;="&amp;_xlpm.p,$G:$G,"&gt;="&amp;_xlpm.p)))))</f>
        <v>1.5</v>
      </c>
      <c r="I154" t="s">
        <v>8</v>
      </c>
      <c r="J154" t="s">
        <v>311</v>
      </c>
      <c r="K154" t="s">
        <v>7</v>
      </c>
      <c r="L154" s="5" t="s">
        <v>7</v>
      </c>
      <c r="M154" s="5" t="s">
        <v>6900</v>
      </c>
      <c r="N154" t="s">
        <v>2566</v>
      </c>
      <c r="O154" s="5" t="s">
        <v>5072</v>
      </c>
      <c r="P154" s="5" t="s">
        <v>8021</v>
      </c>
      <c r="R154" t="b">
        <v>1</v>
      </c>
    </row>
    <row r="155" spans="1:18">
      <c r="A155" t="s">
        <v>3013</v>
      </c>
      <c r="B155" t="s">
        <v>5729</v>
      </c>
      <c r="C155" t="s">
        <v>7782</v>
      </c>
      <c r="D155" s="1">
        <v>2</v>
      </c>
      <c r="E155" s="1">
        <v>6</v>
      </c>
      <c r="F155" s="1">
        <v>176</v>
      </c>
      <c r="G155" s="1">
        <v>177</v>
      </c>
      <c r="H155" s="17" cm="1">
        <f t="array" ref="H155">_xlfn.LET(_xlpm.s,IFERROR(--F155,""),_xlpm.e,IFERROR(--G155,""),IF(OR(_xlpm.s="",_xlpm.e="",_xlpm.e&lt;_xlpm.s),"",_xlfn.LET(_xlpm.p,_xlfn.SEQUENCE(_xlpm.e-_xlpm.s+1,1,_xlpm.s,1),SUM(1/COUNTIFS($D:$D,D155,$E:$E,E155,$F:$F,"&lt;&gt;N/A",$G:$G,"&lt;&gt;N/A",$F:$F,"&lt;="&amp;_xlpm.p,$G:$G,"&gt;="&amp;_xlpm.p)))))</f>
        <v>1.5</v>
      </c>
      <c r="I155" t="s">
        <v>8</v>
      </c>
      <c r="J155" t="s">
        <v>312</v>
      </c>
      <c r="K155" t="s">
        <v>7</v>
      </c>
      <c r="L155" s="5" t="s">
        <v>7</v>
      </c>
      <c r="M155" s="5" t="s">
        <v>7</v>
      </c>
      <c r="N155" s="5" t="s">
        <v>7</v>
      </c>
      <c r="O155" s="5" t="s">
        <v>778</v>
      </c>
      <c r="P155" s="5" t="s">
        <v>7834</v>
      </c>
      <c r="R155" t="b">
        <v>1</v>
      </c>
    </row>
    <row r="156" spans="1:18">
      <c r="A156" t="s">
        <v>3013</v>
      </c>
      <c r="B156" t="s">
        <v>5730</v>
      </c>
      <c r="C156" t="s">
        <v>7782</v>
      </c>
      <c r="D156" s="1">
        <v>2</v>
      </c>
      <c r="E156" s="1">
        <v>6</v>
      </c>
      <c r="F156" s="1">
        <v>178</v>
      </c>
      <c r="G156" s="1">
        <v>178</v>
      </c>
      <c r="H156" s="17" cm="1">
        <f t="array" ref="H156">_xlfn.LET(_xlpm.s,IFERROR(--F156,""),_xlpm.e,IFERROR(--G156,""),IF(OR(_xlpm.s="",_xlpm.e="",_xlpm.e&lt;_xlpm.s),"",_xlfn.LET(_xlpm.p,_xlfn.SEQUENCE(_xlpm.e-_xlpm.s+1,1,_xlpm.s,1),SUM(1/COUNTIFS($D:$D,D156,$E:$E,E156,$F:$F,"&lt;&gt;N/A",$G:$G,"&lt;&gt;N/A",$F:$F,"&lt;="&amp;_xlpm.p,$G:$G,"&gt;="&amp;_xlpm.p)))))</f>
        <v>1</v>
      </c>
      <c r="I156" t="s">
        <v>8</v>
      </c>
      <c r="J156" t="s">
        <v>313</v>
      </c>
      <c r="K156" t="s">
        <v>7</v>
      </c>
      <c r="L156" s="5" t="s">
        <v>7</v>
      </c>
      <c r="M156" s="5" t="s">
        <v>7</v>
      </c>
      <c r="N156" t="s">
        <v>8056</v>
      </c>
      <c r="O156" s="5" t="s">
        <v>11522</v>
      </c>
      <c r="P156" s="5" t="s">
        <v>8019</v>
      </c>
      <c r="R156" t="b">
        <v>1</v>
      </c>
    </row>
    <row r="157" spans="1:18">
      <c r="A157" t="s">
        <v>3013</v>
      </c>
      <c r="B157" t="s">
        <v>5731</v>
      </c>
      <c r="C157" t="s">
        <v>7782</v>
      </c>
      <c r="D157" s="1">
        <v>2</v>
      </c>
      <c r="E157" s="1">
        <v>6</v>
      </c>
      <c r="F157" s="1">
        <v>179</v>
      </c>
      <c r="G157" s="1">
        <v>185</v>
      </c>
      <c r="H157" s="17" cm="1">
        <f t="array" ref="H157">_xlfn.LET(_xlpm.s,IFERROR(--F157,""),_xlpm.e,IFERROR(--G157,""),IF(OR(_xlpm.s="",_xlpm.e="",_xlpm.e&lt;_xlpm.s),"",_xlfn.LET(_xlpm.p,_xlfn.SEQUENCE(_xlpm.e-_xlpm.s+1,1,_xlpm.s,1),SUM(1/COUNTIFS($D:$D,D157,$E:$E,E157,$F:$F,"&lt;&gt;N/A",$G:$G,"&lt;&gt;N/A",$F:$F,"&lt;="&amp;_xlpm.p,$G:$G,"&gt;="&amp;_xlpm.p)))))</f>
        <v>6.5</v>
      </c>
      <c r="I157" t="s">
        <v>8</v>
      </c>
      <c r="J157" t="s">
        <v>314</v>
      </c>
      <c r="K157" t="s">
        <v>2517</v>
      </c>
      <c r="L157" s="5" t="s">
        <v>7</v>
      </c>
      <c r="M157" s="5" t="s">
        <v>7</v>
      </c>
      <c r="N157" s="5" t="s">
        <v>7</v>
      </c>
      <c r="O157" s="5" t="s">
        <v>778</v>
      </c>
      <c r="P157" s="5" t="s">
        <v>7834</v>
      </c>
      <c r="R157" t="b">
        <v>1</v>
      </c>
    </row>
    <row r="158" spans="1:18">
      <c r="A158" t="s">
        <v>3013</v>
      </c>
      <c r="B158" t="s">
        <v>5732</v>
      </c>
      <c r="C158" t="s">
        <v>7782</v>
      </c>
      <c r="D158" s="1">
        <v>2</v>
      </c>
      <c r="E158" s="1">
        <v>6</v>
      </c>
      <c r="F158" s="1">
        <v>185</v>
      </c>
      <c r="G158" s="1">
        <v>190</v>
      </c>
      <c r="H158" s="17" cm="1">
        <f t="array" ref="H158">_xlfn.LET(_xlpm.s,IFERROR(--F158,""),_xlpm.e,IFERROR(--G158,""),IF(OR(_xlpm.s="",_xlpm.e="",_xlpm.e&lt;_xlpm.s),"",_xlfn.LET(_xlpm.p,_xlfn.SEQUENCE(_xlpm.e-_xlpm.s+1,1,_xlpm.s,1),SUM(1/COUNTIFS($D:$D,D158,$E:$E,E158,$F:$F,"&lt;&gt;N/A",$G:$G,"&lt;&gt;N/A",$F:$F,"&lt;="&amp;_xlpm.p,$G:$G,"&gt;="&amp;_xlpm.p)))))</f>
        <v>4.833333333333333</v>
      </c>
      <c r="I158" t="s">
        <v>2609</v>
      </c>
      <c r="J158" t="s">
        <v>2629</v>
      </c>
      <c r="K158" t="s">
        <v>4614</v>
      </c>
      <c r="L158" s="5" t="s">
        <v>4615</v>
      </c>
      <c r="M158" t="s">
        <v>7</v>
      </c>
      <c r="N158" t="s">
        <v>7</v>
      </c>
      <c r="O158" s="5" t="s">
        <v>778</v>
      </c>
      <c r="P158" s="5" t="s">
        <v>7834</v>
      </c>
      <c r="R158" t="b">
        <v>1</v>
      </c>
    </row>
    <row r="159" spans="1:18">
      <c r="A159" t="s">
        <v>3013</v>
      </c>
      <c r="B159" t="s">
        <v>5733</v>
      </c>
      <c r="C159" t="s">
        <v>7782</v>
      </c>
      <c r="D159" s="1">
        <v>2</v>
      </c>
      <c r="E159" s="1">
        <v>6</v>
      </c>
      <c r="F159" s="1">
        <v>190</v>
      </c>
      <c r="G159" s="1">
        <v>190</v>
      </c>
      <c r="H159" s="17" cm="1">
        <f t="array" ref="H159">_xlfn.LET(_xlpm.s,IFERROR(--F159,""),_xlpm.e,IFERROR(--G159,""),IF(OR(_xlpm.s="",_xlpm.e="",_xlpm.e&lt;_xlpm.s),"",_xlfn.LET(_xlpm.p,_xlfn.SEQUENCE(_xlpm.e-_xlpm.s+1,1,_xlpm.s,1),SUM(1/COUNTIFS($D:$D,D159,$E:$E,E159,$F:$F,"&lt;&gt;N/A",$G:$G,"&lt;&gt;N/A",$F:$F,"&lt;="&amp;_xlpm.p,$G:$G,"&gt;="&amp;_xlpm.p)))))</f>
        <v>0.33333333333333331</v>
      </c>
      <c r="I159" t="s">
        <v>2609</v>
      </c>
      <c r="J159" t="s">
        <v>315</v>
      </c>
      <c r="K159" t="s">
        <v>7</v>
      </c>
      <c r="L159" s="5" t="s">
        <v>4613</v>
      </c>
      <c r="M159" t="s">
        <v>7</v>
      </c>
      <c r="N159" t="s">
        <v>7</v>
      </c>
      <c r="O159" s="5" t="s">
        <v>5072</v>
      </c>
      <c r="P159" s="5" t="s">
        <v>8019</v>
      </c>
      <c r="R159" t="b">
        <v>1</v>
      </c>
    </row>
    <row r="160" spans="1:18">
      <c r="A160" t="s">
        <v>3013</v>
      </c>
      <c r="B160" t="s">
        <v>5734</v>
      </c>
      <c r="C160" t="s">
        <v>7782</v>
      </c>
      <c r="D160" s="1">
        <v>2</v>
      </c>
      <c r="E160" s="1">
        <v>6</v>
      </c>
      <c r="F160" s="1">
        <v>190</v>
      </c>
      <c r="G160" s="1">
        <v>191</v>
      </c>
      <c r="H160" s="17" cm="1">
        <f t="array" ref="H160">_xlfn.LET(_xlpm.s,IFERROR(--F160,""),_xlpm.e,IFERROR(--G160,""),IF(OR(_xlpm.s="",_xlpm.e="",_xlpm.e&lt;_xlpm.s),"",_xlfn.LET(_xlpm.p,_xlfn.SEQUENCE(_xlpm.e-_xlpm.s+1,1,_xlpm.s,1),SUM(1/COUNTIFS($D:$D,D160,$E:$E,E160,$F:$F,"&lt;&gt;N/A",$G:$G,"&lt;&gt;N/A",$F:$F,"&lt;="&amp;_xlpm.p,$G:$G,"&gt;="&amp;_xlpm.p)))))</f>
        <v>0.58333333333333326</v>
      </c>
      <c r="I160" t="s">
        <v>2609</v>
      </c>
      <c r="J160" t="s">
        <v>316</v>
      </c>
      <c r="K160" t="s">
        <v>7</v>
      </c>
      <c r="L160" s="5" t="s">
        <v>7</v>
      </c>
      <c r="M160" s="5" t="s">
        <v>5046</v>
      </c>
      <c r="N160" t="s">
        <v>2538</v>
      </c>
      <c r="O160" s="5" t="s">
        <v>5072</v>
      </c>
      <c r="P160" s="5" t="s">
        <v>8092</v>
      </c>
      <c r="R160" t="b">
        <v>1</v>
      </c>
    </row>
    <row r="161" spans="1:18">
      <c r="A161" t="s">
        <v>3013</v>
      </c>
      <c r="B161" t="s">
        <v>5735</v>
      </c>
      <c r="C161" t="s">
        <v>7782</v>
      </c>
      <c r="D161" s="1">
        <v>2</v>
      </c>
      <c r="E161" s="1">
        <v>6</v>
      </c>
      <c r="F161" s="1">
        <v>191</v>
      </c>
      <c r="G161" s="1">
        <v>191</v>
      </c>
      <c r="H161" s="17" cm="1">
        <f t="array" ref="H161">_xlfn.LET(_xlpm.s,IFERROR(--F161,""),_xlpm.e,IFERROR(--G161,""),IF(OR(_xlpm.s="",_xlpm.e="",_xlpm.e&lt;_xlpm.s),"",_xlfn.LET(_xlpm.p,_xlfn.SEQUENCE(_xlpm.e-_xlpm.s+1,1,_xlpm.s,1),SUM(1/COUNTIFS($D:$D,D161,$E:$E,E161,$F:$F,"&lt;&gt;N/A",$G:$G,"&lt;&gt;N/A",$F:$F,"&lt;="&amp;_xlpm.p,$G:$G,"&gt;="&amp;_xlpm.p)))))</f>
        <v>0.25</v>
      </c>
      <c r="I161" t="s">
        <v>2609</v>
      </c>
      <c r="J161" t="s">
        <v>6530</v>
      </c>
      <c r="K161" t="s">
        <v>7</v>
      </c>
      <c r="L161" s="5" t="s">
        <v>7</v>
      </c>
      <c r="M161" s="5" t="s">
        <v>7</v>
      </c>
      <c r="N161" s="5" t="s">
        <v>7</v>
      </c>
      <c r="O161" s="5" t="s">
        <v>778</v>
      </c>
      <c r="P161" s="5" t="s">
        <v>7834</v>
      </c>
      <c r="Q161" t="s">
        <v>6910</v>
      </c>
      <c r="R161" t="b">
        <v>1</v>
      </c>
    </row>
    <row r="162" spans="1:18">
      <c r="A162" t="s">
        <v>3013</v>
      </c>
      <c r="B162" t="s">
        <v>5736</v>
      </c>
      <c r="C162" t="s">
        <v>7782</v>
      </c>
      <c r="D162" s="1">
        <v>2</v>
      </c>
      <c r="E162" s="1">
        <v>6</v>
      </c>
      <c r="F162" s="1">
        <v>191</v>
      </c>
      <c r="G162" s="1">
        <v>191</v>
      </c>
      <c r="H162" s="17" cm="1">
        <f t="array" ref="H162">_xlfn.LET(_xlpm.s,IFERROR(--F162,""),_xlpm.e,IFERROR(--G162,""),IF(OR(_xlpm.s="",_xlpm.e="",_xlpm.e&lt;_xlpm.s),"",_xlfn.LET(_xlpm.p,_xlfn.SEQUENCE(_xlpm.e-_xlpm.s+1,1,_xlpm.s,1),SUM(1/COUNTIFS($D:$D,D162,$E:$E,E162,$F:$F,"&lt;&gt;N/A",$G:$G,"&lt;&gt;N/A",$F:$F,"&lt;="&amp;_xlpm.p,$G:$G,"&gt;="&amp;_xlpm.p)))))</f>
        <v>0.25</v>
      </c>
      <c r="I162" t="s">
        <v>2609</v>
      </c>
      <c r="J162" t="s">
        <v>6532</v>
      </c>
      <c r="K162" t="s">
        <v>7</v>
      </c>
      <c r="L162" s="5" t="s">
        <v>7</v>
      </c>
      <c r="M162" s="5" t="s">
        <v>7</v>
      </c>
      <c r="N162" t="s">
        <v>10442</v>
      </c>
      <c r="O162" s="5" t="s">
        <v>5072</v>
      </c>
      <c r="P162" s="5" t="s">
        <v>8021</v>
      </c>
      <c r="R162" t="b">
        <v>1</v>
      </c>
    </row>
    <row r="163" spans="1:18">
      <c r="A163" t="s">
        <v>3013</v>
      </c>
      <c r="B163" t="s">
        <v>5737</v>
      </c>
      <c r="C163" t="s">
        <v>7782</v>
      </c>
      <c r="D163" s="1">
        <v>2</v>
      </c>
      <c r="E163" s="1">
        <v>6</v>
      </c>
      <c r="F163" s="1">
        <v>191</v>
      </c>
      <c r="G163" s="1">
        <v>191</v>
      </c>
      <c r="H163" s="17" cm="1">
        <f t="array" ref="H163">_xlfn.LET(_xlpm.s,IFERROR(--F163,""),_xlpm.e,IFERROR(--G163,""),IF(OR(_xlpm.s="",_xlpm.e="",_xlpm.e&lt;_xlpm.s),"",_xlfn.LET(_xlpm.p,_xlfn.SEQUENCE(_xlpm.e-_xlpm.s+1,1,_xlpm.s,1),SUM(1/COUNTIFS($D:$D,D163,$E:$E,E163,$F:$F,"&lt;&gt;N/A",$G:$G,"&lt;&gt;N/A",$F:$F,"&lt;="&amp;_xlpm.p,$G:$G,"&gt;="&amp;_xlpm.p)))))</f>
        <v>0.25</v>
      </c>
      <c r="I163" t="s">
        <v>2609</v>
      </c>
      <c r="J163" t="s">
        <v>317</v>
      </c>
      <c r="K163" t="s">
        <v>7</v>
      </c>
      <c r="L163" s="5" t="s">
        <v>7</v>
      </c>
      <c r="M163" s="5" t="s">
        <v>7</v>
      </c>
      <c r="N163" t="s">
        <v>2567</v>
      </c>
      <c r="O163" s="5" t="s">
        <v>5072</v>
      </c>
      <c r="P163" s="5" t="s">
        <v>10179</v>
      </c>
      <c r="R163" t="b">
        <v>1</v>
      </c>
    </row>
    <row r="164" spans="1:18">
      <c r="A164" t="s">
        <v>3013</v>
      </c>
      <c r="B164" t="s">
        <v>5738</v>
      </c>
      <c r="C164" t="s">
        <v>7782</v>
      </c>
      <c r="D164" s="1">
        <v>2</v>
      </c>
      <c r="E164" s="1">
        <v>6</v>
      </c>
      <c r="F164" s="1">
        <v>192</v>
      </c>
      <c r="G164" s="1">
        <v>192</v>
      </c>
      <c r="H164" s="17" cm="1">
        <f t="array" ref="H164">_xlfn.LET(_xlpm.s,IFERROR(--F164,""),_xlpm.e,IFERROR(--G164,""),IF(OR(_xlpm.s="",_xlpm.e="",_xlpm.e&lt;_xlpm.s),"",_xlfn.LET(_xlpm.p,_xlfn.SEQUENCE(_xlpm.e-_xlpm.s+1,1,_xlpm.s,1),SUM(1/COUNTIFS($D:$D,D164,$E:$E,E164,$F:$F,"&lt;&gt;N/A",$G:$G,"&lt;&gt;N/A",$F:$F,"&lt;="&amp;_xlpm.p,$G:$G,"&gt;="&amp;_xlpm.p)))))</f>
        <v>0.33333333333333331</v>
      </c>
      <c r="I164" t="s">
        <v>2609</v>
      </c>
      <c r="J164" t="s">
        <v>318</v>
      </c>
      <c r="K164" t="s">
        <v>7</v>
      </c>
      <c r="L164" s="5" t="s">
        <v>7</v>
      </c>
      <c r="M164" s="5" t="s">
        <v>7</v>
      </c>
      <c r="N164" t="s">
        <v>2539</v>
      </c>
      <c r="O164" s="5" t="s">
        <v>5072</v>
      </c>
      <c r="P164" s="5" t="s">
        <v>8021</v>
      </c>
      <c r="R164" t="b">
        <v>1</v>
      </c>
    </row>
    <row r="165" spans="1:18">
      <c r="A165" t="s">
        <v>3013</v>
      </c>
      <c r="B165" t="s">
        <v>5739</v>
      </c>
      <c r="C165" t="s">
        <v>7782</v>
      </c>
      <c r="D165" s="1">
        <v>2</v>
      </c>
      <c r="E165" s="1">
        <v>6</v>
      </c>
      <c r="F165" s="1">
        <v>192</v>
      </c>
      <c r="G165" s="1">
        <v>192</v>
      </c>
      <c r="H165" s="17" cm="1">
        <f t="array" ref="H165">_xlfn.LET(_xlpm.s,IFERROR(--F165,""),_xlpm.e,IFERROR(--G165,""),IF(OR(_xlpm.s="",_xlpm.e="",_xlpm.e&lt;_xlpm.s),"",_xlfn.LET(_xlpm.p,_xlfn.SEQUENCE(_xlpm.e-_xlpm.s+1,1,_xlpm.s,1),SUM(1/COUNTIFS($D:$D,D165,$E:$E,E165,$F:$F,"&lt;&gt;N/A",$G:$G,"&lt;&gt;N/A",$F:$F,"&lt;="&amp;_xlpm.p,$G:$G,"&gt;="&amp;_xlpm.p)))))</f>
        <v>0.33333333333333331</v>
      </c>
      <c r="I165" t="s">
        <v>2609</v>
      </c>
      <c r="J165" t="s">
        <v>319</v>
      </c>
      <c r="K165" t="s">
        <v>7</v>
      </c>
      <c r="L165" s="5" t="s">
        <v>7</v>
      </c>
      <c r="M165" t="s">
        <v>6531</v>
      </c>
      <c r="N165" t="s">
        <v>6533</v>
      </c>
      <c r="O165" s="5" t="s">
        <v>5072</v>
      </c>
      <c r="P165" s="5" t="s">
        <v>8021</v>
      </c>
      <c r="R165" t="b">
        <v>1</v>
      </c>
    </row>
    <row r="166" spans="1:18">
      <c r="A166" t="s">
        <v>3013</v>
      </c>
      <c r="B166" t="s">
        <v>5740</v>
      </c>
      <c r="C166" t="s">
        <v>7782</v>
      </c>
      <c r="D166" s="1">
        <v>2</v>
      </c>
      <c r="E166" s="1">
        <v>6</v>
      </c>
      <c r="F166" s="1">
        <v>192</v>
      </c>
      <c r="G166" s="1">
        <v>192</v>
      </c>
      <c r="H166" s="17" cm="1">
        <f t="array" ref="H166">_xlfn.LET(_xlpm.s,IFERROR(--F166,""),_xlpm.e,IFERROR(--G166,""),IF(OR(_xlpm.s="",_xlpm.e="",_xlpm.e&lt;_xlpm.s),"",_xlfn.LET(_xlpm.p,_xlfn.SEQUENCE(_xlpm.e-_xlpm.s+1,1,_xlpm.s,1),SUM(1/COUNTIFS($D:$D,D166,$E:$E,E166,$F:$F,"&lt;&gt;N/A",$G:$G,"&lt;&gt;N/A",$F:$F,"&lt;="&amp;_xlpm.p,$G:$G,"&gt;="&amp;_xlpm.p)))))</f>
        <v>0.33333333333333331</v>
      </c>
      <c r="I166" t="s">
        <v>2609</v>
      </c>
      <c r="J166" t="s">
        <v>320</v>
      </c>
      <c r="K166" t="s">
        <v>7</v>
      </c>
      <c r="L166" s="5" t="s">
        <v>7</v>
      </c>
      <c r="M166" s="5" t="s">
        <v>5144</v>
      </c>
      <c r="N166" t="s">
        <v>5143</v>
      </c>
      <c r="O166" s="5" t="s">
        <v>5072</v>
      </c>
      <c r="P166" s="5" t="s">
        <v>8021</v>
      </c>
      <c r="R166" t="b">
        <v>1</v>
      </c>
    </row>
    <row r="167" spans="1:18">
      <c r="A167" t="s">
        <v>3013</v>
      </c>
      <c r="B167" t="s">
        <v>5741</v>
      </c>
      <c r="C167" t="s">
        <v>7790</v>
      </c>
      <c r="D167" s="1">
        <v>2</v>
      </c>
      <c r="E167" s="1">
        <v>7</v>
      </c>
      <c r="F167" s="1">
        <v>193</v>
      </c>
      <c r="G167" s="1">
        <v>200</v>
      </c>
      <c r="H167" s="17" cm="1">
        <f t="array" ref="H167">_xlfn.LET(_xlpm.s,IFERROR(--F167,""),_xlpm.e,IFERROR(--G167,""),IF(OR(_xlpm.s="",_xlpm.e="",_xlpm.e&lt;_xlpm.s),"",_xlfn.LET(_xlpm.p,_xlfn.SEQUENCE(_xlpm.e-_xlpm.s+1,1,_xlpm.s,1),SUM(1/COUNTIFS($D:$D,D167,$E:$E,E167,$F:$F,"&lt;&gt;N/A",$G:$G,"&lt;&gt;N/A",$F:$F,"&lt;="&amp;_xlpm.p,$G:$G,"&gt;="&amp;_xlpm.p)))))</f>
        <v>7.5</v>
      </c>
      <c r="I167" t="s">
        <v>8</v>
      </c>
      <c r="J167" t="s">
        <v>2630</v>
      </c>
      <c r="K167" t="s">
        <v>2517</v>
      </c>
      <c r="L167" s="5" t="s">
        <v>7</v>
      </c>
      <c r="M167" s="5" t="s">
        <v>7</v>
      </c>
      <c r="N167" t="s">
        <v>7</v>
      </c>
      <c r="O167" s="5" t="s">
        <v>778</v>
      </c>
      <c r="P167" s="5" t="s">
        <v>7834</v>
      </c>
      <c r="R167" t="b">
        <v>1</v>
      </c>
    </row>
    <row r="168" spans="1:18">
      <c r="A168" t="s">
        <v>3013</v>
      </c>
      <c r="B168" t="s">
        <v>5742</v>
      </c>
      <c r="C168" t="s">
        <v>7790</v>
      </c>
      <c r="D168" s="1">
        <v>2</v>
      </c>
      <c r="E168" s="1">
        <v>7</v>
      </c>
      <c r="F168" s="1">
        <v>200</v>
      </c>
      <c r="G168" s="1">
        <v>202</v>
      </c>
      <c r="H168" s="17" cm="1">
        <f t="array" ref="H168">_xlfn.LET(_xlpm.s,IFERROR(--F168,""),_xlpm.e,IFERROR(--G168,""),IF(OR(_xlpm.s="",_xlpm.e="",_xlpm.e&lt;_xlpm.s),"",_xlfn.LET(_xlpm.p,_xlfn.SEQUENCE(_xlpm.e-_xlpm.s+1,1,_xlpm.s,1),SUM(1/COUNTIFS($D:$D,D168,$E:$E,E168,$F:$F,"&lt;&gt;N/A",$G:$G,"&lt;&gt;N/A",$F:$F,"&lt;="&amp;_xlpm.p,$G:$G,"&gt;="&amp;_xlpm.p)))))</f>
        <v>2</v>
      </c>
      <c r="I168" t="s">
        <v>8</v>
      </c>
      <c r="J168" t="s">
        <v>321</v>
      </c>
      <c r="K168" t="s">
        <v>2517</v>
      </c>
      <c r="L168" s="5" t="s">
        <v>7</v>
      </c>
      <c r="M168" s="5" t="s">
        <v>7</v>
      </c>
      <c r="N168" t="s">
        <v>7</v>
      </c>
      <c r="O168" s="5" t="s">
        <v>778</v>
      </c>
      <c r="P168" s="5" t="s">
        <v>7834</v>
      </c>
      <c r="R168" t="b">
        <v>1</v>
      </c>
    </row>
    <row r="169" spans="1:18">
      <c r="A169" t="s">
        <v>3013</v>
      </c>
      <c r="B169" t="s">
        <v>5743</v>
      </c>
      <c r="C169" t="s">
        <v>7790</v>
      </c>
      <c r="D169" s="1">
        <v>2</v>
      </c>
      <c r="E169" s="1">
        <v>7</v>
      </c>
      <c r="F169" s="1">
        <v>202</v>
      </c>
      <c r="G169" s="1">
        <v>205</v>
      </c>
      <c r="H169" s="17" cm="1">
        <f t="array" ref="H169">_xlfn.LET(_xlpm.s,IFERROR(--F169,""),_xlpm.e,IFERROR(--G169,""),IF(OR(_xlpm.s="",_xlpm.e="",_xlpm.e&lt;_xlpm.s),"",_xlfn.LET(_xlpm.p,_xlfn.SEQUENCE(_xlpm.e-_xlpm.s+1,1,_xlpm.s,1),SUM(1/COUNTIFS($D:$D,D169,$E:$E,E169,$F:$F,"&lt;&gt;N/A",$G:$G,"&lt;&gt;N/A",$F:$F,"&lt;="&amp;_xlpm.p,$G:$G,"&gt;="&amp;_xlpm.p)))))</f>
        <v>3</v>
      </c>
      <c r="I169" t="s">
        <v>8</v>
      </c>
      <c r="J169" t="s">
        <v>322</v>
      </c>
      <c r="K169" t="s">
        <v>4616</v>
      </c>
      <c r="L169" s="5" t="s">
        <v>7</v>
      </c>
      <c r="M169" s="5" t="s">
        <v>7</v>
      </c>
      <c r="N169" t="s">
        <v>7</v>
      </c>
      <c r="O169" s="5" t="s">
        <v>778</v>
      </c>
      <c r="P169" s="5" t="s">
        <v>7834</v>
      </c>
      <c r="R169" t="b">
        <v>1</v>
      </c>
    </row>
    <row r="170" spans="1:18">
      <c r="A170" t="s">
        <v>3013</v>
      </c>
      <c r="B170" t="s">
        <v>5744</v>
      </c>
      <c r="C170" t="s">
        <v>7790</v>
      </c>
      <c r="D170" s="1">
        <v>2</v>
      </c>
      <c r="E170" s="1">
        <v>7</v>
      </c>
      <c r="F170" s="1">
        <v>205</v>
      </c>
      <c r="G170" s="1">
        <v>209</v>
      </c>
      <c r="H170" s="17" cm="1">
        <f t="array" ref="H170">_xlfn.LET(_xlpm.s,IFERROR(--F170,""),_xlpm.e,IFERROR(--G170,""),IF(OR(_xlpm.s="",_xlpm.e="",_xlpm.e&lt;_xlpm.s),"",_xlfn.LET(_xlpm.p,_xlfn.SEQUENCE(_xlpm.e-_xlpm.s+1,1,_xlpm.s,1),SUM(1/COUNTIFS($D:$D,D170,$E:$E,E170,$F:$F,"&lt;&gt;N/A",$G:$G,"&lt;&gt;N/A",$F:$F,"&lt;="&amp;_xlpm.p,$G:$G,"&gt;="&amp;_xlpm.p)))))</f>
        <v>4</v>
      </c>
      <c r="I170" t="s">
        <v>8</v>
      </c>
      <c r="J170" t="s">
        <v>323</v>
      </c>
      <c r="K170" t="s">
        <v>2465</v>
      </c>
      <c r="L170" s="5" t="s">
        <v>7</v>
      </c>
      <c r="M170" s="5" t="s">
        <v>7</v>
      </c>
      <c r="N170" t="s">
        <v>7</v>
      </c>
      <c r="O170" s="5" t="s">
        <v>778</v>
      </c>
      <c r="P170" s="5" t="s">
        <v>7834</v>
      </c>
      <c r="R170" t="b">
        <v>1</v>
      </c>
    </row>
    <row r="171" spans="1:18">
      <c r="A171" t="s">
        <v>3013</v>
      </c>
      <c r="B171" t="s">
        <v>5745</v>
      </c>
      <c r="C171" t="s">
        <v>7790</v>
      </c>
      <c r="D171" s="1">
        <v>2</v>
      </c>
      <c r="E171" s="1">
        <v>7</v>
      </c>
      <c r="F171" s="1">
        <v>209</v>
      </c>
      <c r="G171" s="1">
        <v>213</v>
      </c>
      <c r="H171" s="17" cm="1">
        <f t="array" ref="H171">_xlfn.LET(_xlpm.s,IFERROR(--F171,""),_xlpm.e,IFERROR(--G171,""),IF(OR(_xlpm.s="",_xlpm.e="",_xlpm.e&lt;_xlpm.s),"",_xlfn.LET(_xlpm.p,_xlfn.SEQUENCE(_xlpm.e-_xlpm.s+1,1,_xlpm.s,1),SUM(1/COUNTIFS($D:$D,D171,$E:$E,E171,$F:$F,"&lt;&gt;N/A",$G:$G,"&lt;&gt;N/A",$F:$F,"&lt;="&amp;_xlpm.p,$G:$G,"&gt;="&amp;_xlpm.p)))))</f>
        <v>4</v>
      </c>
      <c r="I171" t="s">
        <v>2609</v>
      </c>
      <c r="J171" t="s">
        <v>10782</v>
      </c>
      <c r="K171" t="s">
        <v>2465</v>
      </c>
      <c r="L171" s="5" t="s">
        <v>7</v>
      </c>
      <c r="M171" s="5" t="s">
        <v>7</v>
      </c>
      <c r="N171" t="s">
        <v>7</v>
      </c>
      <c r="O171" s="5" t="s">
        <v>778</v>
      </c>
      <c r="P171" s="5" t="s">
        <v>7834</v>
      </c>
      <c r="R171" t="b">
        <v>1</v>
      </c>
    </row>
    <row r="172" spans="1:18">
      <c r="A172" t="s">
        <v>3013</v>
      </c>
      <c r="B172" t="s">
        <v>5746</v>
      </c>
      <c r="C172" t="s">
        <v>7790</v>
      </c>
      <c r="D172" s="1">
        <v>2</v>
      </c>
      <c r="E172" s="1">
        <v>7</v>
      </c>
      <c r="F172" s="1">
        <v>213</v>
      </c>
      <c r="G172" s="1">
        <v>215</v>
      </c>
      <c r="H172" s="17" cm="1">
        <f t="array" ref="H172">_xlfn.LET(_xlpm.s,IFERROR(--F172,""),_xlpm.e,IFERROR(--G172,""),IF(OR(_xlpm.s="",_xlpm.e="",_xlpm.e&lt;_xlpm.s),"",_xlfn.LET(_xlpm.p,_xlfn.SEQUENCE(_xlpm.e-_xlpm.s+1,1,_xlpm.s,1),SUM(1/COUNTIFS($D:$D,D172,$E:$E,E172,$F:$F,"&lt;&gt;N/A",$G:$G,"&lt;&gt;N/A",$F:$F,"&lt;="&amp;_xlpm.p,$G:$G,"&gt;="&amp;_xlpm.p)))))</f>
        <v>2</v>
      </c>
      <c r="I172" t="s">
        <v>2609</v>
      </c>
      <c r="J172" t="s">
        <v>6923</v>
      </c>
      <c r="K172" t="s">
        <v>7</v>
      </c>
      <c r="L172" s="5" t="s">
        <v>4609</v>
      </c>
      <c r="M172" s="5" t="s">
        <v>7</v>
      </c>
      <c r="N172" t="s">
        <v>7</v>
      </c>
      <c r="O172" s="5" t="s">
        <v>5072</v>
      </c>
      <c r="P172" s="5" t="s">
        <v>8021</v>
      </c>
      <c r="R172" t="b">
        <v>1</v>
      </c>
    </row>
    <row r="173" spans="1:18">
      <c r="A173" t="s">
        <v>3013</v>
      </c>
      <c r="B173" t="s">
        <v>5747</v>
      </c>
      <c r="C173" t="s">
        <v>7790</v>
      </c>
      <c r="D173" s="1">
        <v>2</v>
      </c>
      <c r="E173" s="1">
        <v>7</v>
      </c>
      <c r="F173" s="1">
        <v>215</v>
      </c>
      <c r="G173" s="1">
        <v>217</v>
      </c>
      <c r="H173" s="17" cm="1">
        <f t="array" ref="H173">_xlfn.LET(_xlpm.s,IFERROR(--F173,""),_xlpm.e,IFERROR(--G173,""),IF(OR(_xlpm.s="",_xlpm.e="",_xlpm.e&lt;_xlpm.s),"",_xlfn.LET(_xlpm.p,_xlfn.SEQUENCE(_xlpm.e-_xlpm.s+1,1,_xlpm.s,1),SUM(1/COUNTIFS($D:$D,D173,$E:$E,E173,$F:$F,"&lt;&gt;N/A",$G:$G,"&lt;&gt;N/A",$F:$F,"&lt;="&amp;_xlpm.p,$G:$G,"&gt;="&amp;_xlpm.p)))))</f>
        <v>2</v>
      </c>
      <c r="I173" t="s">
        <v>2624</v>
      </c>
      <c r="J173" t="s">
        <v>2631</v>
      </c>
      <c r="K173" t="s">
        <v>7</v>
      </c>
      <c r="L173" s="5" t="s">
        <v>4609</v>
      </c>
      <c r="M173" t="s">
        <v>7</v>
      </c>
      <c r="N173" t="s">
        <v>7</v>
      </c>
      <c r="O173" s="5" t="s">
        <v>5072</v>
      </c>
      <c r="P173" s="5" t="s">
        <v>8021</v>
      </c>
      <c r="R173" t="b">
        <v>1</v>
      </c>
    </row>
    <row r="174" spans="1:18">
      <c r="A174" t="s">
        <v>3013</v>
      </c>
      <c r="B174" t="s">
        <v>5748</v>
      </c>
      <c r="C174" t="s">
        <v>7790</v>
      </c>
      <c r="D174" s="1">
        <v>2</v>
      </c>
      <c r="E174" s="1">
        <v>7</v>
      </c>
      <c r="F174" s="1">
        <v>217</v>
      </c>
      <c r="G174" s="1">
        <v>224</v>
      </c>
      <c r="H174" s="17" cm="1">
        <f t="array" ref="H174">_xlfn.LET(_xlpm.s,IFERROR(--F174,""),_xlpm.e,IFERROR(--G174,""),IF(OR(_xlpm.s="",_xlpm.e="",_xlpm.e&lt;_xlpm.s),"",_xlfn.LET(_xlpm.p,_xlfn.SEQUENCE(_xlpm.e-_xlpm.s+1,1,_xlpm.s,1),SUM(1/COUNTIFS($D:$D,D174,$E:$E,E174,$F:$F,"&lt;&gt;N/A",$G:$G,"&lt;&gt;N/A",$F:$F,"&lt;="&amp;_xlpm.p,$G:$G,"&gt;="&amp;_xlpm.p)))))</f>
        <v>7.5</v>
      </c>
      <c r="I174" t="s">
        <v>7</v>
      </c>
      <c r="J174" t="s">
        <v>324</v>
      </c>
      <c r="K174" t="s">
        <v>2513</v>
      </c>
      <c r="L174" s="5" t="s">
        <v>7</v>
      </c>
      <c r="M174" s="5" t="s">
        <v>7</v>
      </c>
      <c r="N174" t="s">
        <v>2537</v>
      </c>
      <c r="O174" s="5" t="s">
        <v>778</v>
      </c>
      <c r="P174" s="5" t="s">
        <v>7834</v>
      </c>
      <c r="R174" t="b">
        <v>1</v>
      </c>
    </row>
    <row r="175" spans="1:18">
      <c r="A175" t="s">
        <v>3013</v>
      </c>
      <c r="B175" t="s">
        <v>5749</v>
      </c>
      <c r="C175" t="s">
        <v>7797</v>
      </c>
      <c r="D175" s="1">
        <v>2</v>
      </c>
      <c r="E175" s="1">
        <v>8</v>
      </c>
      <c r="F175" s="1">
        <v>225</v>
      </c>
      <c r="G175" s="1">
        <v>226</v>
      </c>
      <c r="H175" s="17" cm="1">
        <f t="array" ref="H175">_xlfn.LET(_xlpm.s,IFERROR(--F175,""),_xlpm.e,IFERROR(--G175,""),IF(OR(_xlpm.s="",_xlpm.e="",_xlpm.e&lt;_xlpm.s),"",_xlfn.LET(_xlpm.p,_xlfn.SEQUENCE(_xlpm.e-_xlpm.s+1,1,_xlpm.s,1),SUM(1/COUNTIFS($D:$D,D175,$E:$E,E175,$F:$F,"&lt;&gt;N/A",$G:$G,"&lt;&gt;N/A",$F:$F,"&lt;="&amp;_xlpm.p,$G:$G,"&gt;="&amp;_xlpm.p)))))</f>
        <v>2</v>
      </c>
      <c r="I175" t="s">
        <v>7</v>
      </c>
      <c r="J175" t="s">
        <v>325</v>
      </c>
      <c r="K175" t="s">
        <v>7</v>
      </c>
      <c r="L175" s="5" t="s">
        <v>7</v>
      </c>
      <c r="M175" s="5" t="s">
        <v>7</v>
      </c>
      <c r="N175" t="s">
        <v>7</v>
      </c>
      <c r="O175" s="5" t="s">
        <v>778</v>
      </c>
      <c r="P175" s="5" t="s">
        <v>7834</v>
      </c>
      <c r="R175" t="b">
        <v>0</v>
      </c>
    </row>
    <row r="176" spans="1:18">
      <c r="A176" t="s">
        <v>3013</v>
      </c>
      <c r="B176" t="s">
        <v>5750</v>
      </c>
      <c r="C176" t="s">
        <v>7797</v>
      </c>
      <c r="D176" s="1">
        <v>2</v>
      </c>
      <c r="E176" s="1">
        <v>8</v>
      </c>
      <c r="F176" s="1">
        <v>227</v>
      </c>
      <c r="G176" s="1">
        <v>232</v>
      </c>
      <c r="H176" s="17" cm="1">
        <f t="array" ref="H176">_xlfn.LET(_xlpm.s,IFERROR(--F176,""),_xlpm.e,IFERROR(--G176,""),IF(OR(_xlpm.s="",_xlpm.e="",_xlpm.e&lt;_xlpm.s),"",_xlfn.LET(_xlpm.p,_xlfn.SEQUENCE(_xlpm.e-_xlpm.s+1,1,_xlpm.s,1),SUM(1/COUNTIFS($D:$D,D176,$E:$E,E176,$F:$F,"&lt;&gt;N/A",$G:$G,"&lt;&gt;N/A",$F:$F,"&lt;="&amp;_xlpm.p,$G:$G,"&gt;="&amp;_xlpm.p)))))</f>
        <v>5.5</v>
      </c>
      <c r="I176" t="s">
        <v>7</v>
      </c>
      <c r="J176" t="s">
        <v>326</v>
      </c>
      <c r="K176" t="s">
        <v>2496</v>
      </c>
      <c r="L176" s="5" t="s">
        <v>7</v>
      </c>
      <c r="M176" s="5" t="s">
        <v>7</v>
      </c>
      <c r="N176" t="s">
        <v>7</v>
      </c>
      <c r="O176" s="5" t="s">
        <v>778</v>
      </c>
      <c r="P176" s="5" t="s">
        <v>7834</v>
      </c>
      <c r="R176" t="b">
        <v>0</v>
      </c>
    </row>
    <row r="177" spans="1:18">
      <c r="A177" t="s">
        <v>3013</v>
      </c>
      <c r="B177" t="s">
        <v>5751</v>
      </c>
      <c r="C177" t="s">
        <v>7797</v>
      </c>
      <c r="D177" s="1">
        <v>2</v>
      </c>
      <c r="E177" s="1">
        <v>8</v>
      </c>
      <c r="F177" s="1">
        <v>232</v>
      </c>
      <c r="G177" s="1">
        <v>237</v>
      </c>
      <c r="H177" s="17" cm="1">
        <f t="array" ref="H177">_xlfn.LET(_xlpm.s,IFERROR(--F177,""),_xlpm.e,IFERROR(--G177,""),IF(OR(_xlpm.s="",_xlpm.e="",_xlpm.e&lt;_xlpm.s),"",_xlfn.LET(_xlpm.p,_xlfn.SEQUENCE(_xlpm.e-_xlpm.s+1,1,_xlpm.s,1),SUM(1/COUNTIFS($D:$D,D177,$E:$E,E177,$F:$F,"&lt;&gt;N/A",$G:$G,"&lt;&gt;N/A",$F:$F,"&lt;="&amp;_xlpm.p,$G:$G,"&gt;="&amp;_xlpm.p)))))</f>
        <v>5</v>
      </c>
      <c r="I177" t="s">
        <v>7</v>
      </c>
      <c r="J177" t="s">
        <v>327</v>
      </c>
      <c r="K177" t="s">
        <v>7</v>
      </c>
      <c r="L177" s="5" t="s">
        <v>7</v>
      </c>
      <c r="M177" s="5" t="s">
        <v>7</v>
      </c>
      <c r="N177" t="s">
        <v>7</v>
      </c>
      <c r="O177" s="5" t="s">
        <v>778</v>
      </c>
      <c r="P177" s="5" t="s">
        <v>7834</v>
      </c>
      <c r="R177" t="b">
        <v>0</v>
      </c>
    </row>
    <row r="178" spans="1:18">
      <c r="A178" t="s">
        <v>3013</v>
      </c>
      <c r="B178" t="s">
        <v>5752</v>
      </c>
      <c r="C178" t="s">
        <v>7797</v>
      </c>
      <c r="D178" s="1">
        <v>2</v>
      </c>
      <c r="E178" s="1">
        <v>8</v>
      </c>
      <c r="F178" s="1">
        <v>237</v>
      </c>
      <c r="G178" s="1">
        <v>244</v>
      </c>
      <c r="H178" s="17" cm="1">
        <f t="array" ref="H178">_xlfn.LET(_xlpm.s,IFERROR(--F178,""),_xlpm.e,IFERROR(--G178,""),IF(OR(_xlpm.s="",_xlpm.e="",_xlpm.e&lt;_xlpm.s),"",_xlfn.LET(_xlpm.p,_xlfn.SEQUENCE(_xlpm.e-_xlpm.s+1,1,_xlpm.s,1),SUM(1/COUNTIFS($D:$D,D178,$E:$E,E178,$F:$F,"&lt;&gt;N/A",$G:$G,"&lt;&gt;N/A",$F:$F,"&lt;="&amp;_xlpm.p,$G:$G,"&gt;="&amp;_xlpm.p)))))</f>
        <v>7</v>
      </c>
      <c r="I178" t="s">
        <v>2609</v>
      </c>
      <c r="J178" t="s">
        <v>2608</v>
      </c>
      <c r="K178" t="s">
        <v>7</v>
      </c>
      <c r="L178" s="5" t="s">
        <v>7</v>
      </c>
      <c r="M178" s="5" t="s">
        <v>7</v>
      </c>
      <c r="N178" t="s">
        <v>6665</v>
      </c>
      <c r="O178" s="5" t="s">
        <v>778</v>
      </c>
      <c r="P178" s="5" t="s">
        <v>7834</v>
      </c>
      <c r="R178" t="b">
        <v>1</v>
      </c>
    </row>
    <row r="179" spans="1:18">
      <c r="A179" t="s">
        <v>3013</v>
      </c>
      <c r="B179" t="s">
        <v>5753</v>
      </c>
      <c r="C179" t="s">
        <v>7797</v>
      </c>
      <c r="D179" s="1">
        <v>2</v>
      </c>
      <c r="E179" s="1">
        <v>8</v>
      </c>
      <c r="F179" s="1">
        <v>244</v>
      </c>
      <c r="G179" s="1">
        <v>245</v>
      </c>
      <c r="H179" s="17" cm="1">
        <f t="array" ref="H179">_xlfn.LET(_xlpm.s,IFERROR(--F179,""),_xlpm.e,IFERROR(--G179,""),IF(OR(_xlpm.s="",_xlpm.e="",_xlpm.e&lt;_xlpm.s),"",_xlfn.LET(_xlpm.p,_xlfn.SEQUENCE(_xlpm.e-_xlpm.s+1,1,_xlpm.s,1),SUM(1/COUNTIFS($D:$D,D179,$E:$E,E179,$F:$F,"&lt;&gt;N/A",$G:$G,"&lt;&gt;N/A",$F:$F,"&lt;="&amp;_xlpm.p,$G:$G,"&gt;="&amp;_xlpm.p)))))</f>
        <v>1</v>
      </c>
      <c r="I179" t="s">
        <v>2609</v>
      </c>
      <c r="J179" t="s">
        <v>328</v>
      </c>
      <c r="K179" t="s">
        <v>7</v>
      </c>
      <c r="L179" s="5" t="s">
        <v>5365</v>
      </c>
      <c r="M179" s="5" t="s">
        <v>5366</v>
      </c>
      <c r="N179" t="s">
        <v>2429</v>
      </c>
      <c r="O179" s="5" t="s">
        <v>5072</v>
      </c>
      <c r="P179" s="5" t="s">
        <v>10179</v>
      </c>
      <c r="R179" t="b">
        <v>1</v>
      </c>
    </row>
    <row r="180" spans="1:18">
      <c r="A180" t="s">
        <v>3013</v>
      </c>
      <c r="B180" t="s">
        <v>5754</v>
      </c>
      <c r="C180" t="s">
        <v>7797</v>
      </c>
      <c r="D180" s="1">
        <v>2</v>
      </c>
      <c r="E180" s="1">
        <v>8</v>
      </c>
      <c r="F180" s="1">
        <v>245</v>
      </c>
      <c r="G180" s="1">
        <v>246</v>
      </c>
      <c r="H180" s="17" cm="1">
        <f t="array" ref="H180">_xlfn.LET(_xlpm.s,IFERROR(--F180,""),_xlpm.e,IFERROR(--G180,""),IF(OR(_xlpm.s="",_xlpm.e="",_xlpm.e&lt;_xlpm.s),"",_xlfn.LET(_xlpm.p,_xlfn.SEQUENCE(_xlpm.e-_xlpm.s+1,1,_xlpm.s,1),SUM(1/COUNTIFS($D:$D,D180,$E:$E,E180,$F:$F,"&lt;&gt;N/A",$G:$G,"&lt;&gt;N/A",$F:$F,"&lt;="&amp;_xlpm.p,$G:$G,"&gt;="&amp;_xlpm.p)))))</f>
        <v>0.83333333333333326</v>
      </c>
      <c r="I180" t="s">
        <v>2609</v>
      </c>
      <c r="J180" t="s">
        <v>329</v>
      </c>
      <c r="K180" t="s">
        <v>7</v>
      </c>
      <c r="L180" s="5" t="s">
        <v>7</v>
      </c>
      <c r="M180" t="s">
        <v>6715</v>
      </c>
      <c r="N180" t="s">
        <v>6889</v>
      </c>
      <c r="O180" s="5" t="s">
        <v>5072</v>
      </c>
      <c r="P180" s="5" t="s">
        <v>8021</v>
      </c>
      <c r="R180" t="b">
        <v>1</v>
      </c>
    </row>
    <row r="181" spans="1:18">
      <c r="A181" t="s">
        <v>3013</v>
      </c>
      <c r="B181" t="s">
        <v>5755</v>
      </c>
      <c r="C181" t="s">
        <v>7797</v>
      </c>
      <c r="D181" s="1">
        <v>2</v>
      </c>
      <c r="E181" s="1">
        <v>8</v>
      </c>
      <c r="F181" s="1">
        <v>246</v>
      </c>
      <c r="G181" s="1">
        <v>246</v>
      </c>
      <c r="H181" s="17" cm="1">
        <f t="array" ref="H181">_xlfn.LET(_xlpm.s,IFERROR(--F181,""),_xlpm.e,IFERROR(--G181,""),IF(OR(_xlpm.s="",_xlpm.e="",_xlpm.e&lt;_xlpm.s),"",_xlfn.LET(_xlpm.p,_xlfn.SEQUENCE(_xlpm.e-_xlpm.s+1,1,_xlpm.s,1),SUM(1/COUNTIFS($D:$D,D181,$E:$E,E181,$F:$F,"&lt;&gt;N/A",$G:$G,"&lt;&gt;N/A",$F:$F,"&lt;="&amp;_xlpm.p,$G:$G,"&gt;="&amp;_xlpm.p)))))</f>
        <v>0.33333333333333331</v>
      </c>
      <c r="I181" t="s">
        <v>2609</v>
      </c>
      <c r="J181" t="s">
        <v>330</v>
      </c>
      <c r="K181" t="s">
        <v>7</v>
      </c>
      <c r="L181" s="5" t="s">
        <v>7</v>
      </c>
      <c r="M181" s="5" t="s">
        <v>7</v>
      </c>
      <c r="N181" t="s">
        <v>10443</v>
      </c>
      <c r="O181" s="5" t="s">
        <v>5072</v>
      </c>
      <c r="P181" s="5" t="s">
        <v>8021</v>
      </c>
      <c r="R181" t="b">
        <v>1</v>
      </c>
    </row>
    <row r="182" spans="1:18">
      <c r="A182" t="s">
        <v>3013</v>
      </c>
      <c r="B182" t="s">
        <v>5756</v>
      </c>
      <c r="C182" t="s">
        <v>7797</v>
      </c>
      <c r="D182" s="1">
        <v>2</v>
      </c>
      <c r="E182" s="1">
        <v>8</v>
      </c>
      <c r="F182" s="1">
        <v>246</v>
      </c>
      <c r="G182" s="1">
        <v>247</v>
      </c>
      <c r="H182" s="17" cm="1">
        <f t="array" ref="H182">_xlfn.LET(_xlpm.s,IFERROR(--F182,""),_xlpm.e,IFERROR(--G182,""),IF(OR(_xlpm.s="",_xlpm.e="",_xlpm.e&lt;_xlpm.s),"",_xlfn.LET(_xlpm.p,_xlfn.SEQUENCE(_xlpm.e-_xlpm.s+1,1,_xlpm.s,1),SUM(1/COUNTIFS($D:$D,D182,$E:$E,E182,$F:$F,"&lt;&gt;N/A",$G:$G,"&lt;&gt;N/A",$F:$F,"&lt;="&amp;_xlpm.p,$G:$G,"&gt;="&amp;_xlpm.p)))))</f>
        <v>0.66666666666666663</v>
      </c>
      <c r="I182" t="s">
        <v>2609</v>
      </c>
      <c r="J182" t="s">
        <v>331</v>
      </c>
      <c r="K182" t="s">
        <v>7</v>
      </c>
      <c r="L182" s="5" t="s">
        <v>7</v>
      </c>
      <c r="M182" s="5" t="s">
        <v>7</v>
      </c>
      <c r="N182" t="s">
        <v>7</v>
      </c>
      <c r="O182" s="5" t="s">
        <v>11522</v>
      </c>
      <c r="P182" s="5" t="s">
        <v>7</v>
      </c>
      <c r="Q182" t="s">
        <v>10166</v>
      </c>
      <c r="R182" t="b">
        <v>1</v>
      </c>
    </row>
    <row r="183" spans="1:18">
      <c r="A183" t="s">
        <v>3013</v>
      </c>
      <c r="B183" t="s">
        <v>5757</v>
      </c>
      <c r="C183" t="s">
        <v>7797</v>
      </c>
      <c r="D183" s="1">
        <v>2</v>
      </c>
      <c r="E183" s="1">
        <v>8</v>
      </c>
      <c r="F183" s="1">
        <v>247</v>
      </c>
      <c r="G183" s="1">
        <v>247</v>
      </c>
      <c r="H183" s="17" cm="1">
        <f t="array" ref="H183">_xlfn.LET(_xlpm.s,IFERROR(--F183,""),_xlpm.e,IFERROR(--G183,""),IF(OR(_xlpm.s="",_xlpm.e="",_xlpm.e&lt;_xlpm.s),"",_xlfn.LET(_xlpm.p,_xlfn.SEQUENCE(_xlpm.e-_xlpm.s+1,1,_xlpm.s,1),SUM(1/COUNTIFS($D:$D,D183,$E:$E,E183,$F:$F,"&lt;&gt;N/A",$G:$G,"&lt;&gt;N/A",$F:$F,"&lt;="&amp;_xlpm.p,$G:$G,"&gt;="&amp;_xlpm.p)))))</f>
        <v>0.33333333333333331</v>
      </c>
      <c r="I183" t="s">
        <v>2609</v>
      </c>
      <c r="J183" t="s">
        <v>332</v>
      </c>
      <c r="K183" t="s">
        <v>7</v>
      </c>
      <c r="L183" s="5" t="s">
        <v>7</v>
      </c>
      <c r="M183" s="5" t="s">
        <v>7</v>
      </c>
      <c r="N183" t="s">
        <v>7</v>
      </c>
      <c r="O183" s="5" t="s">
        <v>11522</v>
      </c>
      <c r="P183" s="5" t="s">
        <v>7</v>
      </c>
      <c r="Q183" t="s">
        <v>10167</v>
      </c>
      <c r="R183" t="b">
        <v>1</v>
      </c>
    </row>
    <row r="184" spans="1:18">
      <c r="A184" t="s">
        <v>3013</v>
      </c>
      <c r="B184" t="s">
        <v>5758</v>
      </c>
      <c r="C184" t="s">
        <v>7797</v>
      </c>
      <c r="D184" s="1">
        <v>2</v>
      </c>
      <c r="E184" s="1">
        <v>8</v>
      </c>
      <c r="F184" s="1">
        <v>247</v>
      </c>
      <c r="G184" s="1">
        <v>253</v>
      </c>
      <c r="H184" s="17" cm="1">
        <f t="array" ref="H184">_xlfn.LET(_xlpm.s,IFERROR(--F184,""),_xlpm.e,IFERROR(--G184,""),IF(OR(_xlpm.s="",_xlpm.e="",_xlpm.e&lt;_xlpm.s),"",_xlfn.LET(_xlpm.p,_xlfn.SEQUENCE(_xlpm.e-_xlpm.s+1,1,_xlpm.s,1),SUM(1/COUNTIFS($D:$D,D184,$E:$E,E184,$F:$F,"&lt;&gt;N/A",$G:$G,"&lt;&gt;N/A",$F:$F,"&lt;="&amp;_xlpm.p,$G:$G,"&gt;="&amp;_xlpm.p)))))</f>
        <v>6.333333333333333</v>
      </c>
      <c r="I184" t="s">
        <v>8</v>
      </c>
      <c r="J184" t="s">
        <v>2610</v>
      </c>
      <c r="K184" t="s">
        <v>7</v>
      </c>
      <c r="L184" s="5" t="s">
        <v>7</v>
      </c>
      <c r="M184" s="5" t="s">
        <v>7</v>
      </c>
      <c r="N184" t="s">
        <v>7</v>
      </c>
      <c r="O184" s="5" t="s">
        <v>778</v>
      </c>
      <c r="P184" s="5" t="s">
        <v>7834</v>
      </c>
      <c r="Q184" t="s">
        <v>2511</v>
      </c>
      <c r="R184" t="b">
        <v>1</v>
      </c>
    </row>
    <row r="185" spans="1:18">
      <c r="A185" t="s">
        <v>3013</v>
      </c>
      <c r="B185" t="s">
        <v>5759</v>
      </c>
      <c r="C185" t="s">
        <v>7797</v>
      </c>
      <c r="D185" s="1">
        <v>2</v>
      </c>
      <c r="E185" s="1">
        <v>8</v>
      </c>
      <c r="F185" s="1">
        <v>254</v>
      </c>
      <c r="G185" s="1">
        <v>254</v>
      </c>
      <c r="H185" s="17" cm="1">
        <f t="array" ref="H185">_xlfn.LET(_xlpm.s,IFERROR(--F185,""),_xlpm.e,IFERROR(--G185,""),IF(OR(_xlpm.s="",_xlpm.e="",_xlpm.e&lt;_xlpm.s),"",_xlfn.LET(_xlpm.p,_xlfn.SEQUENCE(_xlpm.e-_xlpm.s+1,1,_xlpm.s,1),SUM(1/COUNTIFS($D:$D,D185,$E:$E,E185,$F:$F,"&lt;&gt;N/A",$G:$G,"&lt;&gt;N/A",$F:$F,"&lt;="&amp;_xlpm.p,$G:$G,"&gt;="&amp;_xlpm.p)))))</f>
        <v>1</v>
      </c>
      <c r="I185" t="s">
        <v>8</v>
      </c>
      <c r="J185" t="s">
        <v>5364</v>
      </c>
      <c r="K185" t="s">
        <v>2490</v>
      </c>
      <c r="L185" s="5" t="s">
        <v>7</v>
      </c>
      <c r="M185" t="s">
        <v>7</v>
      </c>
      <c r="N185" t="s">
        <v>7</v>
      </c>
      <c r="O185" s="5" t="s">
        <v>778</v>
      </c>
      <c r="P185" s="5" t="s">
        <v>7834</v>
      </c>
      <c r="R185" t="b">
        <v>1</v>
      </c>
    </row>
    <row r="186" spans="1:18">
      <c r="A186" t="s">
        <v>3013</v>
      </c>
      <c r="B186" t="s">
        <v>5760</v>
      </c>
      <c r="C186" t="s">
        <v>7797</v>
      </c>
      <c r="D186" s="1">
        <v>2</v>
      </c>
      <c r="E186" s="1">
        <v>8</v>
      </c>
      <c r="F186" s="1">
        <v>255</v>
      </c>
      <c r="G186" s="1">
        <v>256</v>
      </c>
      <c r="H186" s="17" cm="1">
        <f t="array" ref="H186">_xlfn.LET(_xlpm.s,IFERROR(--F186,""),_xlpm.e,IFERROR(--G186,""),IF(OR(_xlpm.s="",_xlpm.e="",_xlpm.e&lt;_xlpm.s),"",_xlfn.LET(_xlpm.p,_xlfn.SEQUENCE(_xlpm.e-_xlpm.s+1,1,_xlpm.s,1),SUM(1/COUNTIFS($D:$D,D186,$E:$E,E186,$F:$F,"&lt;&gt;N/A",$G:$G,"&lt;&gt;N/A",$F:$F,"&lt;="&amp;_xlpm.p,$G:$G,"&gt;="&amp;_xlpm.p)))))</f>
        <v>2</v>
      </c>
      <c r="I186" t="s">
        <v>8</v>
      </c>
      <c r="J186" t="s">
        <v>333</v>
      </c>
      <c r="K186" t="s">
        <v>2514</v>
      </c>
      <c r="L186" s="5" t="s">
        <v>7</v>
      </c>
      <c r="M186" t="s">
        <v>7</v>
      </c>
      <c r="N186" t="s">
        <v>7</v>
      </c>
      <c r="O186" s="5" t="s">
        <v>778</v>
      </c>
      <c r="P186" s="5" t="s">
        <v>7834</v>
      </c>
      <c r="R186" t="b">
        <v>1</v>
      </c>
    </row>
    <row r="187" spans="1:18">
      <c r="A187" t="s">
        <v>3013</v>
      </c>
      <c r="B187" t="s">
        <v>5761</v>
      </c>
      <c r="C187" t="s">
        <v>7804</v>
      </c>
      <c r="D187" s="1">
        <v>2</v>
      </c>
      <c r="E187" s="1">
        <v>9</v>
      </c>
      <c r="F187" s="1">
        <v>257</v>
      </c>
      <c r="G187" s="1">
        <v>261</v>
      </c>
      <c r="H187" s="17" cm="1">
        <f t="array" ref="H187">_xlfn.LET(_xlpm.s,IFERROR(--F187,""),_xlpm.e,IFERROR(--G187,""),IF(OR(_xlpm.s="",_xlpm.e="",_xlpm.e&lt;_xlpm.s),"",_xlfn.LET(_xlpm.p,_xlfn.SEQUENCE(_xlpm.e-_xlpm.s+1,1,_xlpm.s,1),SUM(1/COUNTIFS($D:$D,D187,$E:$E,E187,$F:$F,"&lt;&gt;N/A",$G:$G,"&lt;&gt;N/A",$F:$F,"&lt;="&amp;_xlpm.p,$G:$G,"&gt;="&amp;_xlpm.p)))))</f>
        <v>5</v>
      </c>
      <c r="I187" t="s">
        <v>8</v>
      </c>
      <c r="J187" t="s">
        <v>2611</v>
      </c>
      <c r="K187" t="s">
        <v>2465</v>
      </c>
      <c r="L187" s="5" t="s">
        <v>7</v>
      </c>
      <c r="M187" t="s">
        <v>7</v>
      </c>
      <c r="N187" t="s">
        <v>7</v>
      </c>
      <c r="O187" s="5" t="s">
        <v>778</v>
      </c>
      <c r="P187" s="5" t="s">
        <v>7834</v>
      </c>
      <c r="R187" t="b">
        <v>1</v>
      </c>
    </row>
    <row r="188" spans="1:18">
      <c r="A188" t="s">
        <v>3013</v>
      </c>
      <c r="B188" t="s">
        <v>5762</v>
      </c>
      <c r="C188" t="s">
        <v>7804</v>
      </c>
      <c r="D188" s="1">
        <v>2</v>
      </c>
      <c r="E188" s="1">
        <v>9</v>
      </c>
      <c r="F188" s="1">
        <v>262</v>
      </c>
      <c r="G188" s="1">
        <v>273</v>
      </c>
      <c r="H188" s="17" cm="1">
        <f t="array" ref="H188">_xlfn.LET(_xlpm.s,IFERROR(--F188,""),_xlpm.e,IFERROR(--G188,""),IF(OR(_xlpm.s="",_xlpm.e="",_xlpm.e&lt;_xlpm.s),"",_xlfn.LET(_xlpm.p,_xlfn.SEQUENCE(_xlpm.e-_xlpm.s+1,1,_xlpm.s,1),SUM(1/COUNTIFS($D:$D,D188,$E:$E,E188,$F:$F,"&lt;&gt;N/A",$G:$G,"&lt;&gt;N/A",$F:$F,"&lt;="&amp;_xlpm.p,$G:$G,"&gt;="&amp;_xlpm.p)))))</f>
        <v>11.5</v>
      </c>
      <c r="I188" t="s">
        <v>8</v>
      </c>
      <c r="J188" t="s">
        <v>334</v>
      </c>
      <c r="K188" t="s">
        <v>2440</v>
      </c>
      <c r="L188" s="5" t="s">
        <v>7</v>
      </c>
      <c r="M188" s="5" t="s">
        <v>7</v>
      </c>
      <c r="N188" t="s">
        <v>7</v>
      </c>
      <c r="O188" s="5" t="s">
        <v>778</v>
      </c>
      <c r="P188" s="5" t="s">
        <v>7834</v>
      </c>
      <c r="R188" t="b">
        <v>1</v>
      </c>
    </row>
    <row r="189" spans="1:18">
      <c r="A189" t="s">
        <v>3013</v>
      </c>
      <c r="B189" t="s">
        <v>5763</v>
      </c>
      <c r="C189" t="s">
        <v>7804</v>
      </c>
      <c r="D189" s="1">
        <v>2</v>
      </c>
      <c r="E189" s="1">
        <v>9</v>
      </c>
      <c r="F189" s="1">
        <v>273</v>
      </c>
      <c r="G189" s="1">
        <v>288</v>
      </c>
      <c r="H189" s="17" cm="1">
        <f t="array" ref="H189">_xlfn.LET(_xlpm.s,IFERROR(--F189,""),_xlpm.e,IFERROR(--G189,""),IF(OR(_xlpm.s="",_xlpm.e="",_xlpm.e&lt;_xlpm.s),"",_xlfn.LET(_xlpm.p,_xlfn.SEQUENCE(_xlpm.e-_xlpm.s+1,1,_xlpm.s,1),SUM(1/COUNTIFS($D:$D,D189,$E:$E,E189,$F:$F,"&lt;&gt;N/A",$G:$G,"&lt;&gt;N/A",$F:$F,"&lt;="&amp;_xlpm.p,$G:$G,"&gt;="&amp;_xlpm.p)))))</f>
        <v>15.5</v>
      </c>
      <c r="I189" t="s">
        <v>8</v>
      </c>
      <c r="J189" t="s">
        <v>5363</v>
      </c>
      <c r="K189" t="s">
        <v>7</v>
      </c>
      <c r="L189" s="5" t="s">
        <v>7</v>
      </c>
      <c r="M189" t="s">
        <v>7</v>
      </c>
      <c r="N189" t="s">
        <v>7</v>
      </c>
      <c r="O189" s="5" t="s">
        <v>778</v>
      </c>
      <c r="P189" s="5" t="s">
        <v>7834</v>
      </c>
      <c r="Q189" t="s">
        <v>2511</v>
      </c>
      <c r="R189" t="b">
        <v>1</v>
      </c>
    </row>
    <row r="190" spans="1:18">
      <c r="A190" t="s">
        <v>3013</v>
      </c>
      <c r="B190" t="s">
        <v>5764</v>
      </c>
      <c r="C190" t="s">
        <v>7723</v>
      </c>
      <c r="D190" s="1">
        <v>2</v>
      </c>
      <c r="E190" s="1">
        <v>10</v>
      </c>
      <c r="F190" s="1">
        <v>289</v>
      </c>
      <c r="G190" s="1">
        <v>313</v>
      </c>
      <c r="H190" s="17" cm="1">
        <f t="array" ref="H190">_xlfn.LET(_xlpm.s,IFERROR(--F190,""),_xlpm.e,IFERROR(--G190,""),IF(OR(_xlpm.s="",_xlpm.e="",_xlpm.e&lt;_xlpm.s),"",_xlfn.LET(_xlpm.p,_xlfn.SEQUENCE(_xlpm.e-_xlpm.s+1,1,_xlpm.s,1),SUM(1/COUNTIFS($D:$D,D190,$E:$E,E190,$F:$F,"&lt;&gt;N/A",$G:$G,"&lt;&gt;N/A",$F:$F,"&lt;="&amp;_xlpm.p,$G:$G,"&gt;="&amp;_xlpm.p)))))</f>
        <v>25</v>
      </c>
      <c r="I190" t="s">
        <v>8</v>
      </c>
      <c r="J190" t="s">
        <v>335</v>
      </c>
      <c r="K190" t="s">
        <v>7</v>
      </c>
      <c r="L190" s="5" t="s">
        <v>7</v>
      </c>
      <c r="M190" s="5" t="s">
        <v>7</v>
      </c>
      <c r="N190" t="s">
        <v>7</v>
      </c>
      <c r="O190" s="5" t="s">
        <v>778</v>
      </c>
      <c r="P190" s="5" t="s">
        <v>7834</v>
      </c>
      <c r="R190" t="b">
        <v>1</v>
      </c>
    </row>
    <row r="191" spans="1:18">
      <c r="A191" t="s">
        <v>3013</v>
      </c>
      <c r="B191" t="s">
        <v>5765</v>
      </c>
      <c r="C191" t="s">
        <v>7723</v>
      </c>
      <c r="D191" s="1">
        <v>2</v>
      </c>
      <c r="E191" s="1">
        <v>10</v>
      </c>
      <c r="F191" s="1">
        <v>314</v>
      </c>
      <c r="G191" s="1">
        <v>319</v>
      </c>
      <c r="H191" s="17" cm="1">
        <f t="array" ref="H191">_xlfn.LET(_xlpm.s,IFERROR(--F191,""),_xlpm.e,IFERROR(--G191,""),IF(OR(_xlpm.s="",_xlpm.e="",_xlpm.e&lt;_xlpm.s),"",_xlfn.LET(_xlpm.p,_xlfn.SEQUENCE(_xlpm.e-_xlpm.s+1,1,_xlpm.s,1),SUM(1/COUNTIFS($D:$D,D191,$E:$E,E191,$F:$F,"&lt;&gt;N/A",$G:$G,"&lt;&gt;N/A",$F:$F,"&lt;="&amp;_xlpm.p,$G:$G,"&gt;="&amp;_xlpm.p)))))</f>
        <v>5.5</v>
      </c>
      <c r="I191" t="s">
        <v>8</v>
      </c>
      <c r="J191" t="s">
        <v>5362</v>
      </c>
      <c r="K191" t="s">
        <v>7</v>
      </c>
      <c r="L191" s="5" t="s">
        <v>7</v>
      </c>
      <c r="M191" t="s">
        <v>7</v>
      </c>
      <c r="N191" t="s">
        <v>7</v>
      </c>
      <c r="O191" s="5" t="s">
        <v>778</v>
      </c>
      <c r="P191" s="5" t="s">
        <v>7834</v>
      </c>
      <c r="Q191" t="s">
        <v>2511</v>
      </c>
      <c r="R191" t="b">
        <v>1</v>
      </c>
    </row>
    <row r="192" spans="1:18">
      <c r="A192" t="s">
        <v>3013</v>
      </c>
      <c r="B192" t="s">
        <v>5766</v>
      </c>
      <c r="C192" t="s">
        <v>7723</v>
      </c>
      <c r="D192" s="1">
        <v>2</v>
      </c>
      <c r="E192" s="1">
        <v>10</v>
      </c>
      <c r="F192" s="1">
        <v>319</v>
      </c>
      <c r="G192" s="1">
        <v>320</v>
      </c>
      <c r="H192" s="17" cm="1">
        <f t="array" ref="H192">_xlfn.LET(_xlpm.s,IFERROR(--F192,""),_xlpm.e,IFERROR(--G192,""),IF(OR(_xlpm.s="",_xlpm.e="",_xlpm.e&lt;_xlpm.s),"",_xlfn.LET(_xlpm.p,_xlfn.SEQUENCE(_xlpm.e-_xlpm.s+1,1,_xlpm.s,1),SUM(1/COUNTIFS($D:$D,D192,$E:$E,E192,$F:$F,"&lt;&gt;N/A",$G:$G,"&lt;&gt;N/A",$F:$F,"&lt;="&amp;_xlpm.p,$G:$G,"&gt;="&amp;_xlpm.p)))))</f>
        <v>1.5</v>
      </c>
      <c r="I192" t="s">
        <v>5359</v>
      </c>
      <c r="J192" t="s">
        <v>5360</v>
      </c>
      <c r="K192" t="s">
        <v>2432</v>
      </c>
      <c r="L192" s="5" t="s">
        <v>7</v>
      </c>
      <c r="M192" t="s">
        <v>7</v>
      </c>
      <c r="N192" t="s">
        <v>7</v>
      </c>
      <c r="O192" s="5" t="s">
        <v>778</v>
      </c>
      <c r="P192" s="5" t="s">
        <v>7834</v>
      </c>
      <c r="R192" t="b">
        <v>1</v>
      </c>
    </row>
    <row r="193" spans="1:18">
      <c r="A193" t="s">
        <v>3013</v>
      </c>
      <c r="B193" t="s">
        <v>5767</v>
      </c>
      <c r="C193" t="s">
        <v>7724</v>
      </c>
      <c r="D193" s="1">
        <v>2</v>
      </c>
      <c r="E193" s="1">
        <v>11</v>
      </c>
      <c r="F193" s="1">
        <v>321</v>
      </c>
      <c r="G193" s="1">
        <v>339</v>
      </c>
      <c r="H193" s="17" cm="1">
        <f t="array" ref="H193">_xlfn.LET(_xlpm.s,IFERROR(--F193,""),_xlpm.e,IFERROR(--G193,""),IF(OR(_xlpm.s="",_xlpm.e="",_xlpm.e&lt;_xlpm.s),"",_xlfn.LET(_xlpm.p,_xlfn.SEQUENCE(_xlpm.e-_xlpm.s+1,1,_xlpm.s,1),SUM(1/COUNTIFS($D:$D,D193,$E:$E,E193,$F:$F,"&lt;&gt;N/A",$G:$G,"&lt;&gt;N/A",$F:$F,"&lt;="&amp;_xlpm.p,$G:$G,"&gt;="&amp;_xlpm.p)))))</f>
        <v>19</v>
      </c>
      <c r="I193" t="s">
        <v>8</v>
      </c>
      <c r="J193" t="s">
        <v>5361</v>
      </c>
      <c r="K193" t="s">
        <v>7</v>
      </c>
      <c r="L193" s="5" t="s">
        <v>4617</v>
      </c>
      <c r="M193" t="s">
        <v>7</v>
      </c>
      <c r="N193" t="s">
        <v>10444</v>
      </c>
      <c r="O193" s="5" t="s">
        <v>5072</v>
      </c>
      <c r="P193" s="5" t="s">
        <v>8021</v>
      </c>
      <c r="Q193" s="5" t="s">
        <v>2571</v>
      </c>
      <c r="R193" t="b">
        <v>1</v>
      </c>
    </row>
    <row r="194" spans="1:18">
      <c r="A194" t="s">
        <v>3013</v>
      </c>
      <c r="B194" t="s">
        <v>5768</v>
      </c>
      <c r="C194" t="s">
        <v>7724</v>
      </c>
      <c r="D194" s="1">
        <v>2</v>
      </c>
      <c r="E194" s="1">
        <v>11</v>
      </c>
      <c r="F194" s="1">
        <v>340</v>
      </c>
      <c r="G194" s="1">
        <v>348</v>
      </c>
      <c r="H194" s="17" cm="1">
        <f t="array" ref="H194">_xlfn.LET(_xlpm.s,IFERROR(--F194,""),_xlpm.e,IFERROR(--G194,""),IF(OR(_xlpm.s="",_xlpm.e="",_xlpm.e&lt;_xlpm.s),"",_xlfn.LET(_xlpm.p,_xlfn.SEQUENCE(_xlpm.e-_xlpm.s+1,1,_xlpm.s,1),SUM(1/COUNTIFS($D:$D,D194,$E:$E,E194,$F:$F,"&lt;&gt;N/A",$G:$G,"&lt;&gt;N/A",$F:$F,"&lt;="&amp;_xlpm.p,$G:$G,"&gt;="&amp;_xlpm.p)))))</f>
        <v>8.5</v>
      </c>
      <c r="I194" t="s">
        <v>8</v>
      </c>
      <c r="J194" t="s">
        <v>4341</v>
      </c>
      <c r="K194" t="s">
        <v>7</v>
      </c>
      <c r="L194" s="5" t="s">
        <v>4617</v>
      </c>
      <c r="M194" t="s">
        <v>7</v>
      </c>
      <c r="N194" t="s">
        <v>10445</v>
      </c>
      <c r="O194" s="5" t="s">
        <v>5072</v>
      </c>
      <c r="P194" s="5" t="s">
        <v>8021</v>
      </c>
      <c r="Q194" s="5" t="s">
        <v>2571</v>
      </c>
      <c r="R194" t="b">
        <v>1</v>
      </c>
    </row>
    <row r="195" spans="1:18">
      <c r="A195" t="s">
        <v>3013</v>
      </c>
      <c r="B195" t="s">
        <v>5769</v>
      </c>
      <c r="C195" t="s">
        <v>7724</v>
      </c>
      <c r="D195" s="1">
        <v>2</v>
      </c>
      <c r="E195" s="1">
        <v>11</v>
      </c>
      <c r="F195" s="1">
        <v>348</v>
      </c>
      <c r="G195" s="1">
        <v>349</v>
      </c>
      <c r="H195" s="17" cm="1">
        <f t="array" ref="H195">_xlfn.LET(_xlpm.s,IFERROR(--F195,""),_xlpm.e,IFERROR(--G195,""),IF(OR(_xlpm.s="",_xlpm.e="",_xlpm.e&lt;_xlpm.s),"",_xlfn.LET(_xlpm.p,_xlfn.SEQUENCE(_xlpm.e-_xlpm.s+1,1,_xlpm.s,1),SUM(1/COUNTIFS($D:$D,D195,$E:$E,E195,$F:$F,"&lt;&gt;N/A",$G:$G,"&lt;&gt;N/A",$F:$F,"&lt;="&amp;_xlpm.p,$G:$G,"&gt;="&amp;_xlpm.p)))))</f>
        <v>1</v>
      </c>
      <c r="I195" t="s">
        <v>5357</v>
      </c>
      <c r="J195" t="s">
        <v>5358</v>
      </c>
      <c r="K195" t="s">
        <v>2512</v>
      </c>
      <c r="L195" s="5" t="s">
        <v>7</v>
      </c>
      <c r="M195" t="s">
        <v>7</v>
      </c>
      <c r="N195" t="s">
        <v>7</v>
      </c>
      <c r="O195" s="5" t="s">
        <v>778</v>
      </c>
      <c r="P195" s="5" t="s">
        <v>7834</v>
      </c>
      <c r="R195" t="b">
        <v>1</v>
      </c>
    </row>
    <row r="196" spans="1:18">
      <c r="A196" t="s">
        <v>3013</v>
      </c>
      <c r="B196" t="s">
        <v>5770</v>
      </c>
      <c r="C196" t="s">
        <v>7724</v>
      </c>
      <c r="D196" s="1">
        <v>2</v>
      </c>
      <c r="E196" s="1">
        <v>11</v>
      </c>
      <c r="F196" s="1">
        <v>349</v>
      </c>
      <c r="G196" s="1">
        <v>352</v>
      </c>
      <c r="H196" s="17" cm="1">
        <f t="array" ref="H196">_xlfn.LET(_xlpm.s,IFERROR(--F196,""),_xlpm.e,IFERROR(--G196,""),IF(OR(_xlpm.s="",_xlpm.e="",_xlpm.e&lt;_xlpm.s),"",_xlfn.LET(_xlpm.p,_xlfn.SEQUENCE(_xlpm.e-_xlpm.s+1,1,_xlpm.s,1),SUM(1/COUNTIFS($D:$D,D196,$E:$E,E196,$F:$F,"&lt;&gt;N/A",$G:$G,"&lt;&gt;N/A",$F:$F,"&lt;="&amp;_xlpm.p,$G:$G,"&gt;="&amp;_xlpm.p)))))</f>
        <v>3.5</v>
      </c>
      <c r="I196" t="s">
        <v>7</v>
      </c>
      <c r="J196" t="s">
        <v>27</v>
      </c>
      <c r="K196" t="s">
        <v>2465</v>
      </c>
      <c r="L196" s="5" t="s">
        <v>7</v>
      </c>
      <c r="M196" t="s">
        <v>7</v>
      </c>
      <c r="N196" t="s">
        <v>7</v>
      </c>
      <c r="O196" s="5" t="s">
        <v>778</v>
      </c>
      <c r="P196" s="5" t="s">
        <v>7834</v>
      </c>
      <c r="R196" t="b">
        <v>1</v>
      </c>
    </row>
    <row r="197" spans="1:18">
      <c r="A197" t="s">
        <v>3013</v>
      </c>
      <c r="B197" t="s">
        <v>5771</v>
      </c>
      <c r="C197" t="s">
        <v>7725</v>
      </c>
      <c r="D197" s="1">
        <v>2</v>
      </c>
      <c r="E197" s="1">
        <v>12</v>
      </c>
      <c r="F197" s="1">
        <v>353</v>
      </c>
      <c r="G197" s="1">
        <v>359</v>
      </c>
      <c r="H197" s="17" cm="1">
        <f t="array" ref="H197">_xlfn.LET(_xlpm.s,IFERROR(--F197,""),_xlpm.e,IFERROR(--G197,""),IF(OR(_xlpm.s="",_xlpm.e="",_xlpm.e&lt;_xlpm.s),"",_xlfn.LET(_xlpm.p,_xlfn.SEQUENCE(_xlpm.e-_xlpm.s+1,1,_xlpm.s,1),SUM(1/COUNTIFS($D:$D,D197,$E:$E,E197,$F:$F,"&lt;&gt;N/A",$G:$G,"&lt;&gt;N/A",$F:$F,"&lt;="&amp;_xlpm.p,$G:$G,"&gt;="&amp;_xlpm.p)))))</f>
        <v>7</v>
      </c>
      <c r="I197" t="s">
        <v>8</v>
      </c>
      <c r="J197" t="s">
        <v>2627</v>
      </c>
      <c r="K197" t="s">
        <v>7</v>
      </c>
      <c r="L197" s="5" t="s">
        <v>7</v>
      </c>
      <c r="M197" t="s">
        <v>7</v>
      </c>
      <c r="N197" t="s">
        <v>7</v>
      </c>
      <c r="O197" s="5" t="s">
        <v>778</v>
      </c>
      <c r="P197" s="5" t="s">
        <v>7834</v>
      </c>
      <c r="Q197" t="s">
        <v>2511</v>
      </c>
      <c r="R197" t="b">
        <v>1</v>
      </c>
    </row>
    <row r="198" spans="1:18">
      <c r="A198" t="s">
        <v>3013</v>
      </c>
      <c r="B198" t="s">
        <v>5772</v>
      </c>
      <c r="C198" t="s">
        <v>7725</v>
      </c>
      <c r="D198" s="1">
        <v>2</v>
      </c>
      <c r="E198" s="1">
        <v>12</v>
      </c>
      <c r="F198" s="1">
        <v>360</v>
      </c>
      <c r="G198" s="1">
        <v>368</v>
      </c>
      <c r="H198" s="17" cm="1">
        <f t="array" ref="H198">_xlfn.LET(_xlpm.s,IFERROR(--F198,""),_xlpm.e,IFERROR(--G198,""),IF(OR(_xlpm.s="",_xlpm.e="",_xlpm.e&lt;_xlpm.s),"",_xlfn.LET(_xlpm.p,_xlfn.SEQUENCE(_xlpm.e-_xlpm.s+1,1,_xlpm.s,1),SUM(1/COUNTIFS($D:$D,D198,$E:$E,E198,$F:$F,"&lt;&gt;N/A",$G:$G,"&lt;&gt;N/A",$F:$F,"&lt;="&amp;_xlpm.p,$G:$G,"&gt;="&amp;_xlpm.p)))))</f>
        <v>8.5</v>
      </c>
      <c r="I198" t="s">
        <v>8</v>
      </c>
      <c r="J198" t="s">
        <v>5356</v>
      </c>
      <c r="K198" t="s">
        <v>7</v>
      </c>
      <c r="L198" s="5" t="s">
        <v>5353</v>
      </c>
      <c r="M198" s="5" t="s">
        <v>5354</v>
      </c>
      <c r="N198" t="s">
        <v>2427</v>
      </c>
      <c r="O198" s="5" t="s">
        <v>5072</v>
      </c>
      <c r="P198" s="5" t="s">
        <v>10179</v>
      </c>
      <c r="R198" t="b">
        <v>1</v>
      </c>
    </row>
    <row r="199" spans="1:18">
      <c r="A199" t="s">
        <v>3013</v>
      </c>
      <c r="B199" t="s">
        <v>5773</v>
      </c>
      <c r="C199" t="s">
        <v>7725</v>
      </c>
      <c r="D199" s="1">
        <v>2</v>
      </c>
      <c r="E199" s="1">
        <v>12</v>
      </c>
      <c r="F199" s="1">
        <v>368</v>
      </c>
      <c r="G199" s="1">
        <v>376</v>
      </c>
      <c r="H199" s="17" cm="1">
        <f t="array" ref="H199">_xlfn.LET(_xlpm.s,IFERROR(--F199,""),_xlpm.e,IFERROR(--G199,""),IF(OR(_xlpm.s="",_xlpm.e="",_xlpm.e&lt;_xlpm.s),"",_xlfn.LET(_xlpm.p,_xlfn.SEQUENCE(_xlpm.e-_xlpm.s+1,1,_xlpm.s,1),SUM(1/COUNTIFS($D:$D,D199,$E:$E,E199,$F:$F,"&lt;&gt;N/A",$G:$G,"&lt;&gt;N/A",$F:$F,"&lt;="&amp;_xlpm.p,$G:$G,"&gt;="&amp;_xlpm.p)))))</f>
        <v>8</v>
      </c>
      <c r="I199" t="s">
        <v>8</v>
      </c>
      <c r="J199" t="s">
        <v>336</v>
      </c>
      <c r="K199" t="s">
        <v>7</v>
      </c>
      <c r="L199" s="5" t="s">
        <v>4609</v>
      </c>
      <c r="M199" t="s">
        <v>7</v>
      </c>
      <c r="N199" t="s">
        <v>7</v>
      </c>
      <c r="O199" s="5" t="s">
        <v>5072</v>
      </c>
      <c r="P199" s="5" t="s">
        <v>8021</v>
      </c>
      <c r="R199" t="b">
        <v>1</v>
      </c>
    </row>
    <row r="200" spans="1:18">
      <c r="A200" t="s">
        <v>3013</v>
      </c>
      <c r="B200" t="s">
        <v>5774</v>
      </c>
      <c r="C200" t="s">
        <v>7725</v>
      </c>
      <c r="D200" s="1">
        <v>2</v>
      </c>
      <c r="E200" s="1">
        <v>12</v>
      </c>
      <c r="F200" s="1">
        <v>376</v>
      </c>
      <c r="G200" s="1">
        <v>378</v>
      </c>
      <c r="H200" s="17" cm="1">
        <f t="array" ref="H200">_xlfn.LET(_xlpm.s,IFERROR(--F200,""),_xlpm.e,IFERROR(--G200,""),IF(OR(_xlpm.s="",_xlpm.e="",_xlpm.e&lt;_xlpm.s),"",_xlfn.LET(_xlpm.p,_xlfn.SEQUENCE(_xlpm.e-_xlpm.s+1,1,_xlpm.s,1),SUM(1/COUNTIFS($D:$D,D200,$E:$E,E200,$F:$F,"&lt;&gt;N/A",$G:$G,"&lt;&gt;N/A",$F:$F,"&lt;="&amp;_xlpm.p,$G:$G,"&gt;="&amp;_xlpm.p)))))</f>
        <v>2</v>
      </c>
      <c r="I200" t="s">
        <v>8</v>
      </c>
      <c r="J200" t="s">
        <v>337</v>
      </c>
      <c r="K200" t="s">
        <v>7</v>
      </c>
      <c r="L200" s="5" t="s">
        <v>5352</v>
      </c>
      <c r="M200" t="s">
        <v>7</v>
      </c>
      <c r="N200" t="s">
        <v>2428</v>
      </c>
      <c r="O200" s="5" t="s">
        <v>5072</v>
      </c>
      <c r="P200" s="5" t="s">
        <v>8019</v>
      </c>
      <c r="Q200" s="5" t="s">
        <v>2571</v>
      </c>
      <c r="R200" t="b">
        <v>1</v>
      </c>
    </row>
    <row r="201" spans="1:18">
      <c r="A201" t="s">
        <v>3013</v>
      </c>
      <c r="B201" t="s">
        <v>5775</v>
      </c>
      <c r="C201" t="s">
        <v>7725</v>
      </c>
      <c r="D201" s="1">
        <v>2</v>
      </c>
      <c r="E201" s="1">
        <v>12</v>
      </c>
      <c r="F201" s="1">
        <v>378</v>
      </c>
      <c r="G201" s="1">
        <v>380</v>
      </c>
      <c r="H201" s="17" cm="1">
        <f t="array" ref="H201">_xlfn.LET(_xlpm.s,IFERROR(--F201,""),_xlpm.e,IFERROR(--G201,""),IF(OR(_xlpm.s="",_xlpm.e="",_xlpm.e&lt;_xlpm.s),"",_xlfn.LET(_xlpm.p,_xlfn.SEQUENCE(_xlpm.e-_xlpm.s+1,1,_xlpm.s,1),SUM(1/COUNTIFS($D:$D,D201,$E:$E,E201,$F:$F,"&lt;&gt;N/A",$G:$G,"&lt;&gt;N/A",$F:$F,"&lt;="&amp;_xlpm.p,$G:$G,"&gt;="&amp;_xlpm.p)))))</f>
        <v>2</v>
      </c>
      <c r="I201" t="s">
        <v>8</v>
      </c>
      <c r="J201" t="s">
        <v>338</v>
      </c>
      <c r="K201" t="s">
        <v>7</v>
      </c>
      <c r="L201" s="5" t="s">
        <v>4617</v>
      </c>
      <c r="M201" t="s">
        <v>7</v>
      </c>
      <c r="N201" t="s">
        <v>10446</v>
      </c>
      <c r="O201" s="5" t="s">
        <v>5072</v>
      </c>
      <c r="P201" s="5" t="s">
        <v>8021</v>
      </c>
      <c r="Q201" s="5" t="s">
        <v>2571</v>
      </c>
      <c r="R201" t="b">
        <v>1</v>
      </c>
    </row>
    <row r="202" spans="1:18">
      <c r="A202" t="s">
        <v>3013</v>
      </c>
      <c r="B202" t="s">
        <v>5776</v>
      </c>
      <c r="C202" t="s">
        <v>7725</v>
      </c>
      <c r="D202" s="1">
        <v>2</v>
      </c>
      <c r="E202" s="1">
        <v>12</v>
      </c>
      <c r="F202" s="1">
        <v>380</v>
      </c>
      <c r="G202" s="1">
        <v>381</v>
      </c>
      <c r="H202" s="17" cm="1">
        <f t="array" ref="H202">_xlfn.LET(_xlpm.s,IFERROR(--F202,""),_xlpm.e,IFERROR(--G202,""),IF(OR(_xlpm.s="",_xlpm.e="",_xlpm.e&lt;_xlpm.s),"",_xlfn.LET(_xlpm.p,_xlfn.SEQUENCE(_xlpm.e-_xlpm.s+1,1,_xlpm.s,1),SUM(1/COUNTIFS($D:$D,D202,$E:$E,E202,$F:$F,"&lt;&gt;N/A",$G:$G,"&lt;&gt;N/A",$F:$F,"&lt;="&amp;_xlpm.p,$G:$G,"&gt;="&amp;_xlpm.p)))))</f>
        <v>1</v>
      </c>
      <c r="I202" t="s">
        <v>8</v>
      </c>
      <c r="J202" t="s">
        <v>339</v>
      </c>
      <c r="K202" t="s">
        <v>5349</v>
      </c>
      <c r="L202" s="5" t="s">
        <v>5350</v>
      </c>
      <c r="M202" s="5" t="s">
        <v>5355</v>
      </c>
      <c r="N202" t="s">
        <v>5346</v>
      </c>
      <c r="O202" s="5" t="s">
        <v>5072</v>
      </c>
      <c r="P202" s="5" t="s">
        <v>10179</v>
      </c>
      <c r="R202" t="b">
        <v>1</v>
      </c>
    </row>
    <row r="203" spans="1:18">
      <c r="A203" t="s">
        <v>3013</v>
      </c>
      <c r="B203" t="s">
        <v>5777</v>
      </c>
      <c r="C203" t="s">
        <v>7725</v>
      </c>
      <c r="D203" s="1">
        <v>2</v>
      </c>
      <c r="E203" s="1">
        <v>12</v>
      </c>
      <c r="F203" s="1">
        <v>381</v>
      </c>
      <c r="G203" s="1">
        <v>382</v>
      </c>
      <c r="H203" s="17" cm="1">
        <f t="array" ref="H203">_xlfn.LET(_xlpm.s,IFERROR(--F203,""),_xlpm.e,IFERROR(--G203,""),IF(OR(_xlpm.s="",_xlpm.e="",_xlpm.e&lt;_xlpm.s),"",_xlfn.LET(_xlpm.p,_xlfn.SEQUENCE(_xlpm.e-_xlpm.s+1,1,_xlpm.s,1),SUM(1/COUNTIFS($D:$D,D203,$E:$E,E203,$F:$F,"&lt;&gt;N/A",$G:$G,"&lt;&gt;N/A",$F:$F,"&lt;="&amp;_xlpm.p,$G:$G,"&gt;="&amp;_xlpm.p)))))</f>
        <v>1</v>
      </c>
      <c r="I203" t="s">
        <v>2623</v>
      </c>
      <c r="J203" t="s">
        <v>2622</v>
      </c>
      <c r="K203" t="s">
        <v>5349</v>
      </c>
      <c r="L203" s="5" t="s">
        <v>5351</v>
      </c>
      <c r="M203" s="5" t="s">
        <v>5355</v>
      </c>
      <c r="N203" t="s">
        <v>5347</v>
      </c>
      <c r="O203" s="5" t="s">
        <v>5072</v>
      </c>
      <c r="P203" s="5" t="s">
        <v>10179</v>
      </c>
      <c r="R203" t="b">
        <v>1</v>
      </c>
    </row>
    <row r="204" spans="1:18">
      <c r="A204" t="s">
        <v>3013</v>
      </c>
      <c r="B204" t="s">
        <v>5778</v>
      </c>
      <c r="C204" t="s">
        <v>7725</v>
      </c>
      <c r="D204" s="1">
        <v>2</v>
      </c>
      <c r="E204" s="1">
        <v>12</v>
      </c>
      <c r="F204" s="1">
        <v>382</v>
      </c>
      <c r="G204" s="1">
        <v>383</v>
      </c>
      <c r="H204" s="17" cm="1">
        <f t="array" ref="H204">_xlfn.LET(_xlpm.s,IFERROR(--F204,""),_xlpm.e,IFERROR(--G204,""),IF(OR(_xlpm.s="",_xlpm.e="",_xlpm.e&lt;_xlpm.s),"",_xlfn.LET(_xlpm.p,_xlfn.SEQUENCE(_xlpm.e-_xlpm.s+1,1,_xlpm.s,1),SUM(1/COUNTIFS($D:$D,D204,$E:$E,E204,$F:$F,"&lt;&gt;N/A",$G:$G,"&lt;&gt;N/A",$F:$F,"&lt;="&amp;_xlpm.p,$G:$G,"&gt;="&amp;_xlpm.p)))))</f>
        <v>1</v>
      </c>
      <c r="I204" t="s">
        <v>2624</v>
      </c>
      <c r="J204" t="s">
        <v>2625</v>
      </c>
      <c r="K204" t="s">
        <v>5349</v>
      </c>
      <c r="L204" s="5" t="s">
        <v>5351</v>
      </c>
      <c r="M204" s="5" t="s">
        <v>5355</v>
      </c>
      <c r="N204" t="s">
        <v>2426</v>
      </c>
      <c r="O204" s="5" t="s">
        <v>5072</v>
      </c>
      <c r="P204" s="5" t="s">
        <v>10179</v>
      </c>
      <c r="R204" t="b">
        <v>1</v>
      </c>
    </row>
    <row r="205" spans="1:18">
      <c r="A205" t="s">
        <v>3013</v>
      </c>
      <c r="B205" t="s">
        <v>5779</v>
      </c>
      <c r="C205" t="s">
        <v>7725</v>
      </c>
      <c r="D205" s="1">
        <v>2</v>
      </c>
      <c r="E205" s="1">
        <v>12</v>
      </c>
      <c r="F205" s="1">
        <v>383</v>
      </c>
      <c r="G205" s="1">
        <v>384</v>
      </c>
      <c r="H205" s="17" cm="1">
        <f t="array" ref="H205">_xlfn.LET(_xlpm.s,IFERROR(--F205,""),_xlpm.e,IFERROR(--G205,""),IF(OR(_xlpm.s="",_xlpm.e="",_xlpm.e&lt;_xlpm.s),"",_xlfn.LET(_xlpm.p,_xlfn.SEQUENCE(_xlpm.e-_xlpm.s+1,1,_xlpm.s,1),SUM(1/COUNTIFS($D:$D,D205,$E:$E,E205,$F:$F,"&lt;&gt;N/A",$G:$G,"&lt;&gt;N/A",$F:$F,"&lt;="&amp;_xlpm.p,$G:$G,"&gt;="&amp;_xlpm.p)))))</f>
        <v>1.5</v>
      </c>
      <c r="I205" t="s">
        <v>2624</v>
      </c>
      <c r="J205" t="s">
        <v>340</v>
      </c>
      <c r="K205" t="s">
        <v>4618</v>
      </c>
      <c r="L205" s="5" t="s">
        <v>7</v>
      </c>
      <c r="M205" s="5" t="s">
        <v>5047</v>
      </c>
      <c r="N205" t="s">
        <v>2425</v>
      </c>
      <c r="O205" s="5" t="s">
        <v>5072</v>
      </c>
      <c r="P205" s="5" t="s">
        <v>8021</v>
      </c>
      <c r="R205" t="b">
        <v>1</v>
      </c>
    </row>
    <row r="206" spans="1:18">
      <c r="A206" t="s">
        <v>3014</v>
      </c>
      <c r="B206" t="s">
        <v>5780</v>
      </c>
      <c r="C206" t="s">
        <v>7743</v>
      </c>
      <c r="D206" s="1">
        <v>3</v>
      </c>
      <c r="E206" s="1">
        <v>1</v>
      </c>
      <c r="F206" s="1">
        <v>1</v>
      </c>
      <c r="G206" s="1">
        <v>17</v>
      </c>
      <c r="H206" s="17" cm="1">
        <f t="array" ref="H206">_xlfn.LET(_xlpm.s,IFERROR(--F206,""),_xlpm.e,IFERROR(--G206,""),IF(OR(_xlpm.s="",_xlpm.e="",_xlpm.e&lt;_xlpm.s),"",_xlfn.LET(_xlpm.p,_xlfn.SEQUENCE(_xlpm.e-_xlpm.s+1,1,_xlpm.s,1),SUM(1/COUNTIFS($D:$D,D206,$E:$E,E206,$F:$F,"&lt;&gt;N/A",$G:$G,"&lt;&gt;N/A",$F:$F,"&lt;="&amp;_xlpm.p,$G:$G,"&gt;="&amp;_xlpm.p)))))</f>
        <v>16.5</v>
      </c>
      <c r="I206" t="s">
        <v>8</v>
      </c>
      <c r="J206" t="s">
        <v>11417</v>
      </c>
      <c r="K206" t="s">
        <v>2465</v>
      </c>
      <c r="L206" s="5" t="s">
        <v>7</v>
      </c>
      <c r="M206" s="5" t="s">
        <v>5354</v>
      </c>
      <c r="N206" t="s">
        <v>2427</v>
      </c>
      <c r="O206" s="5" t="s">
        <v>5072</v>
      </c>
      <c r="P206" s="5" t="s">
        <v>10179</v>
      </c>
      <c r="R206" t="b">
        <v>1</v>
      </c>
    </row>
    <row r="207" spans="1:18">
      <c r="A207" t="s">
        <v>3014</v>
      </c>
      <c r="B207" t="s">
        <v>5781</v>
      </c>
      <c r="C207" t="s">
        <v>7743</v>
      </c>
      <c r="D207" s="1">
        <v>3</v>
      </c>
      <c r="E207" s="1">
        <v>1</v>
      </c>
      <c r="F207" s="1">
        <v>17</v>
      </c>
      <c r="G207" s="1">
        <v>21</v>
      </c>
      <c r="H207" s="17" cm="1">
        <f t="array" ref="H207">_xlfn.LET(_xlpm.s,IFERROR(--F207,""),_xlpm.e,IFERROR(--G207,""),IF(OR(_xlpm.s="",_xlpm.e="",_xlpm.e&lt;_xlpm.s),"",_xlfn.LET(_xlpm.p,_xlfn.SEQUENCE(_xlpm.e-_xlpm.s+1,1,_xlpm.s,1),SUM(1/COUNTIFS($D:$D,D207,$E:$E,E207,$F:$F,"&lt;&gt;N/A",$G:$G,"&lt;&gt;N/A",$F:$F,"&lt;="&amp;_xlpm.p,$G:$G,"&gt;="&amp;_xlpm.p)))))</f>
        <v>4.5</v>
      </c>
      <c r="I207" t="s">
        <v>2609</v>
      </c>
      <c r="J207" t="s">
        <v>3206</v>
      </c>
      <c r="K207" t="s">
        <v>2504</v>
      </c>
      <c r="L207" s="5" t="s">
        <v>7</v>
      </c>
      <c r="M207" t="s">
        <v>7</v>
      </c>
      <c r="N207" t="s">
        <v>7</v>
      </c>
      <c r="O207" s="5" t="s">
        <v>778</v>
      </c>
      <c r="P207" s="5" t="s">
        <v>7834</v>
      </c>
      <c r="R207" t="b">
        <v>1</v>
      </c>
    </row>
    <row r="208" spans="1:18">
      <c r="A208" t="s">
        <v>3014</v>
      </c>
      <c r="B208" t="s">
        <v>5782</v>
      </c>
      <c r="C208" t="s">
        <v>7743</v>
      </c>
      <c r="D208" s="1">
        <v>3</v>
      </c>
      <c r="E208" s="1">
        <v>1</v>
      </c>
      <c r="F208" s="1">
        <v>22</v>
      </c>
      <c r="G208" s="1">
        <v>32</v>
      </c>
      <c r="H208" s="17" cm="1">
        <f t="array" ref="H208">_xlfn.LET(_xlpm.s,IFERROR(--F208,""),_xlpm.e,IFERROR(--G208,""),IF(OR(_xlpm.s="",_xlpm.e="",_xlpm.e&lt;_xlpm.s),"",_xlfn.LET(_xlpm.p,_xlfn.SEQUENCE(_xlpm.e-_xlpm.s+1,1,_xlpm.s,1),SUM(1/COUNTIFS($D:$D,D208,$E:$E,E208,$F:$F,"&lt;&gt;N/A",$G:$G,"&lt;&gt;N/A",$F:$F,"&lt;="&amp;_xlpm.p,$G:$G,"&gt;="&amp;_xlpm.p)))))</f>
        <v>11</v>
      </c>
      <c r="I208" t="s">
        <v>2624</v>
      </c>
      <c r="J208" t="s">
        <v>2626</v>
      </c>
      <c r="K208" t="s">
        <v>2486</v>
      </c>
      <c r="L208" s="5" t="s">
        <v>7</v>
      </c>
      <c r="M208" s="5" t="s">
        <v>7</v>
      </c>
      <c r="N208" t="s">
        <v>7</v>
      </c>
      <c r="O208" s="5" t="s">
        <v>778</v>
      </c>
      <c r="P208" s="5" t="s">
        <v>7834</v>
      </c>
      <c r="R208" t="b">
        <v>1</v>
      </c>
    </row>
    <row r="209" spans="1:18">
      <c r="A209" t="s">
        <v>3014</v>
      </c>
      <c r="B209" t="s">
        <v>5783</v>
      </c>
      <c r="C209" t="s">
        <v>7751</v>
      </c>
      <c r="D209" s="1">
        <v>3</v>
      </c>
      <c r="E209" s="1">
        <v>2</v>
      </c>
      <c r="F209" s="1">
        <v>33</v>
      </c>
      <c r="G209" s="1">
        <v>35</v>
      </c>
      <c r="H209" s="17" cm="1">
        <f t="array" ref="H209">_xlfn.LET(_xlpm.s,IFERROR(--F209,""),_xlpm.e,IFERROR(--G209,""),IF(OR(_xlpm.s="",_xlpm.e="",_xlpm.e&lt;_xlpm.s),"",_xlfn.LET(_xlpm.p,_xlfn.SEQUENCE(_xlpm.e-_xlpm.s+1,1,_xlpm.s,1),SUM(1/COUNTIFS($D:$D,D209,$E:$E,E209,$F:$F,"&lt;&gt;N/A",$G:$G,"&lt;&gt;N/A",$F:$F,"&lt;="&amp;_xlpm.p,$G:$G,"&gt;="&amp;_xlpm.p)))))</f>
        <v>2.5</v>
      </c>
      <c r="I209" t="s">
        <v>8</v>
      </c>
      <c r="J209" t="s">
        <v>5333</v>
      </c>
      <c r="K209" t="s">
        <v>2465</v>
      </c>
      <c r="L209" s="5" t="s">
        <v>7</v>
      </c>
      <c r="M209" s="5" t="s">
        <v>7</v>
      </c>
      <c r="N209" t="s">
        <v>7</v>
      </c>
      <c r="O209" s="5" t="s">
        <v>778</v>
      </c>
      <c r="P209" s="5" t="s">
        <v>7834</v>
      </c>
      <c r="R209" t="b">
        <v>1</v>
      </c>
    </row>
    <row r="210" spans="1:18">
      <c r="A210" t="s">
        <v>3014</v>
      </c>
      <c r="B210" t="s">
        <v>5784</v>
      </c>
      <c r="C210" t="s">
        <v>7751</v>
      </c>
      <c r="D210" s="1">
        <v>3</v>
      </c>
      <c r="E210" s="1">
        <v>2</v>
      </c>
      <c r="F210" s="1">
        <v>35</v>
      </c>
      <c r="G210" s="1">
        <v>43</v>
      </c>
      <c r="H210" s="17" cm="1">
        <f t="array" ref="H210">_xlfn.LET(_xlpm.s,IFERROR(--F210,""),_xlpm.e,IFERROR(--G210,""),IF(OR(_xlpm.s="",_xlpm.e="",_xlpm.e&lt;_xlpm.s),"",_xlfn.LET(_xlpm.p,_xlfn.SEQUENCE(_xlpm.e-_xlpm.s+1,1,_xlpm.s,1),SUM(1/COUNTIFS($D:$D,D210,$E:$E,E210,$F:$F,"&lt;&gt;N/A",$G:$G,"&lt;&gt;N/A",$F:$F,"&lt;="&amp;_xlpm.p,$G:$G,"&gt;="&amp;_xlpm.p)))))</f>
        <v>8</v>
      </c>
      <c r="I210" t="s">
        <v>8</v>
      </c>
      <c r="J210" t="s">
        <v>5334</v>
      </c>
      <c r="K210" t="s">
        <v>7</v>
      </c>
      <c r="L210" s="5" t="s">
        <v>4617</v>
      </c>
      <c r="M210" t="s">
        <v>7</v>
      </c>
      <c r="N210" t="s">
        <v>2484</v>
      </c>
      <c r="O210" s="5" t="s">
        <v>11522</v>
      </c>
      <c r="P210" s="5" t="s">
        <v>8021</v>
      </c>
      <c r="Q210" s="5" t="s">
        <v>2571</v>
      </c>
      <c r="R210" t="b">
        <v>1</v>
      </c>
    </row>
    <row r="211" spans="1:18">
      <c r="A211" t="s">
        <v>3014</v>
      </c>
      <c r="B211" t="s">
        <v>5785</v>
      </c>
      <c r="C211" t="s">
        <v>7751</v>
      </c>
      <c r="D211" s="1">
        <v>3</v>
      </c>
      <c r="E211" s="1">
        <v>2</v>
      </c>
      <c r="F211" s="1">
        <v>43</v>
      </c>
      <c r="G211" s="1">
        <v>46</v>
      </c>
      <c r="H211" s="17" cm="1">
        <f t="array" ref="H211">_xlfn.LET(_xlpm.s,IFERROR(--F211,""),_xlpm.e,IFERROR(--G211,""),IF(OR(_xlpm.s="",_xlpm.e="",_xlpm.e&lt;_xlpm.s),"",_xlfn.LET(_xlpm.p,_xlfn.SEQUENCE(_xlpm.e-_xlpm.s+1,1,_xlpm.s,1),SUM(1/COUNTIFS($D:$D,D211,$E:$E,E211,$F:$F,"&lt;&gt;N/A",$G:$G,"&lt;&gt;N/A",$F:$F,"&lt;="&amp;_xlpm.p,$G:$G,"&gt;="&amp;_xlpm.p)))))</f>
        <v>3</v>
      </c>
      <c r="I211" t="s">
        <v>8</v>
      </c>
      <c r="J211" t="s">
        <v>342</v>
      </c>
      <c r="K211" t="s">
        <v>2465</v>
      </c>
      <c r="L211" s="5" t="s">
        <v>7</v>
      </c>
      <c r="M211" s="5" t="s">
        <v>7</v>
      </c>
      <c r="N211" t="s">
        <v>7</v>
      </c>
      <c r="O211" s="5" t="s">
        <v>778</v>
      </c>
      <c r="P211" s="5" t="s">
        <v>7834</v>
      </c>
      <c r="R211" t="b">
        <v>1</v>
      </c>
    </row>
    <row r="212" spans="1:18">
      <c r="A212" t="s">
        <v>3014</v>
      </c>
      <c r="B212" t="s">
        <v>5786</v>
      </c>
      <c r="C212" t="s">
        <v>7751</v>
      </c>
      <c r="D212" s="1">
        <v>3</v>
      </c>
      <c r="E212" s="1">
        <v>2</v>
      </c>
      <c r="F212" s="1">
        <v>46</v>
      </c>
      <c r="G212" s="1">
        <v>48</v>
      </c>
      <c r="H212" s="17" cm="1">
        <f t="array" ref="H212">_xlfn.LET(_xlpm.s,IFERROR(--F212,""),_xlpm.e,IFERROR(--G212,""),IF(OR(_xlpm.s="",_xlpm.e="",_xlpm.e&lt;_xlpm.s),"",_xlfn.LET(_xlpm.p,_xlfn.SEQUENCE(_xlpm.e-_xlpm.s+1,1,_xlpm.s,1),SUM(1/COUNTIFS($D:$D,D212,$E:$E,E212,$F:$F,"&lt;&gt;N/A",$G:$G,"&lt;&gt;N/A",$F:$F,"&lt;="&amp;_xlpm.p,$G:$G,"&gt;="&amp;_xlpm.p)))))</f>
        <v>2</v>
      </c>
      <c r="I212" t="s">
        <v>8</v>
      </c>
      <c r="J212" t="s">
        <v>343</v>
      </c>
      <c r="K212" t="s">
        <v>2465</v>
      </c>
      <c r="L212" s="5" t="s">
        <v>7</v>
      </c>
      <c r="M212" s="5" t="s">
        <v>7</v>
      </c>
      <c r="N212" t="s">
        <v>7</v>
      </c>
      <c r="O212" s="5" t="s">
        <v>778</v>
      </c>
      <c r="P212" s="5" t="s">
        <v>7834</v>
      </c>
      <c r="R212" t="b">
        <v>1</v>
      </c>
    </row>
    <row r="213" spans="1:18">
      <c r="A213" t="s">
        <v>3014</v>
      </c>
      <c r="B213" t="s">
        <v>5787</v>
      </c>
      <c r="C213" t="s">
        <v>7751</v>
      </c>
      <c r="D213" s="1">
        <v>3</v>
      </c>
      <c r="E213" s="1">
        <v>2</v>
      </c>
      <c r="F213" s="1">
        <v>48</v>
      </c>
      <c r="G213" s="1">
        <v>64</v>
      </c>
      <c r="H213" s="17" cm="1">
        <f t="array" ref="H213">_xlfn.LET(_xlpm.s,IFERROR(--F213,""),_xlpm.e,IFERROR(--G213,""),IF(OR(_xlpm.s="",_xlpm.e="",_xlpm.e&lt;_xlpm.s),"",_xlfn.LET(_xlpm.p,_xlfn.SEQUENCE(_xlpm.e-_xlpm.s+1,1,_xlpm.s,1),SUM(1/COUNTIFS($D:$D,D213,$E:$E,E213,$F:$F,"&lt;&gt;N/A",$G:$G,"&lt;&gt;N/A",$F:$F,"&lt;="&amp;_xlpm.p,$G:$G,"&gt;="&amp;_xlpm.p)))))</f>
        <v>16</v>
      </c>
      <c r="I213" t="s">
        <v>5335</v>
      </c>
      <c r="J213" t="s">
        <v>5336</v>
      </c>
      <c r="K213" t="s">
        <v>2486</v>
      </c>
      <c r="L213" s="5" t="s">
        <v>7</v>
      </c>
      <c r="M213" t="s">
        <v>7</v>
      </c>
      <c r="N213" t="s">
        <v>7</v>
      </c>
      <c r="O213" s="5" t="s">
        <v>778</v>
      </c>
      <c r="P213" s="5" t="s">
        <v>7834</v>
      </c>
      <c r="R213" t="b">
        <v>1</v>
      </c>
    </row>
    <row r="214" spans="1:18">
      <c r="A214" t="s">
        <v>3014</v>
      </c>
      <c r="B214" t="s">
        <v>5788</v>
      </c>
      <c r="C214" t="s">
        <v>7751</v>
      </c>
      <c r="D214" s="1">
        <v>3</v>
      </c>
      <c r="E214" s="1">
        <v>2</v>
      </c>
      <c r="F214" s="1">
        <v>64</v>
      </c>
      <c r="G214" s="1">
        <v>64</v>
      </c>
      <c r="H214" s="17" cm="1">
        <f t="array" ref="H214">_xlfn.LET(_xlpm.s,IFERROR(--F214,""),_xlpm.e,IFERROR(--G214,""),IF(OR(_xlpm.s="",_xlpm.e="",_xlpm.e&lt;_xlpm.s),"",_xlfn.LET(_xlpm.p,_xlfn.SEQUENCE(_xlpm.e-_xlpm.s+1,1,_xlpm.s,1),SUM(1/COUNTIFS($D:$D,D214,$E:$E,E214,$F:$F,"&lt;&gt;N/A",$G:$G,"&lt;&gt;N/A",$F:$F,"&lt;="&amp;_xlpm.p,$G:$G,"&gt;="&amp;_xlpm.p)))))</f>
        <v>0.5</v>
      </c>
      <c r="I214" t="s">
        <v>5335</v>
      </c>
      <c r="J214" t="s">
        <v>344</v>
      </c>
      <c r="K214" t="s">
        <v>7</v>
      </c>
      <c r="L214" s="5" t="s">
        <v>7</v>
      </c>
      <c r="M214" t="s">
        <v>7</v>
      </c>
      <c r="N214" t="s">
        <v>7</v>
      </c>
      <c r="O214" s="5" t="s">
        <v>778</v>
      </c>
      <c r="P214" s="5" t="s">
        <v>7834</v>
      </c>
      <c r="R214" t="b">
        <v>1</v>
      </c>
    </row>
    <row r="215" spans="1:18">
      <c r="A215" t="s">
        <v>3014</v>
      </c>
      <c r="B215" t="s">
        <v>5789</v>
      </c>
      <c r="C215" t="s">
        <v>7759</v>
      </c>
      <c r="D215" s="1">
        <v>3</v>
      </c>
      <c r="E215" s="1">
        <v>3</v>
      </c>
      <c r="F215" s="1">
        <v>65</v>
      </c>
      <c r="G215" s="1">
        <v>70</v>
      </c>
      <c r="H215" s="17" cm="1">
        <f t="array" ref="H215">_xlfn.LET(_xlpm.s,IFERROR(--F215,""),_xlpm.e,IFERROR(--G215,""),IF(OR(_xlpm.s="",_xlpm.e="",_xlpm.e&lt;_xlpm.s),"",_xlfn.LET(_xlpm.p,_xlfn.SEQUENCE(_xlpm.e-_xlpm.s+1,1,_xlpm.s,1),SUM(1/COUNTIFS($D:$D,D215,$E:$E,E215,$F:$F,"&lt;&gt;N/A",$G:$G,"&lt;&gt;N/A",$F:$F,"&lt;="&amp;_xlpm.p,$G:$G,"&gt;="&amp;_xlpm.p)))))</f>
        <v>6</v>
      </c>
      <c r="I215" t="s">
        <v>7</v>
      </c>
      <c r="J215" t="s">
        <v>27</v>
      </c>
      <c r="K215" t="s">
        <v>2487</v>
      </c>
      <c r="L215" s="5" t="s">
        <v>7</v>
      </c>
      <c r="M215" t="s">
        <v>7</v>
      </c>
      <c r="N215" t="s">
        <v>7</v>
      </c>
      <c r="O215" s="5" t="s">
        <v>778</v>
      </c>
      <c r="P215" s="5" t="s">
        <v>7834</v>
      </c>
      <c r="R215" t="b">
        <v>1</v>
      </c>
    </row>
    <row r="216" spans="1:18">
      <c r="A216" t="s">
        <v>3014</v>
      </c>
      <c r="B216" t="s">
        <v>5790</v>
      </c>
      <c r="C216" t="s">
        <v>7759</v>
      </c>
      <c r="D216" s="1">
        <v>3</v>
      </c>
      <c r="E216" s="1">
        <v>3</v>
      </c>
      <c r="F216" s="1">
        <v>71</v>
      </c>
      <c r="G216" s="1">
        <v>71</v>
      </c>
      <c r="H216" s="17" cm="1">
        <f t="array" ref="H216">_xlfn.LET(_xlpm.s,IFERROR(--F216,""),_xlpm.e,IFERROR(--G216,""),IF(OR(_xlpm.s="",_xlpm.e="",_xlpm.e&lt;_xlpm.s),"",_xlfn.LET(_xlpm.p,_xlfn.SEQUENCE(_xlpm.e-_xlpm.s+1,1,_xlpm.s,1),SUM(1/COUNTIFS($D:$D,D216,$E:$E,E216,$F:$F,"&lt;&gt;N/A",$G:$G,"&lt;&gt;N/A",$F:$F,"&lt;="&amp;_xlpm.p,$G:$G,"&gt;="&amp;_xlpm.p)))))</f>
        <v>1</v>
      </c>
      <c r="I216" t="s">
        <v>7</v>
      </c>
      <c r="J216" t="s">
        <v>5337</v>
      </c>
      <c r="K216" t="s">
        <v>2515</v>
      </c>
      <c r="L216" s="5" t="s">
        <v>7</v>
      </c>
      <c r="M216" s="5" t="s">
        <v>7</v>
      </c>
      <c r="N216" t="s">
        <v>7</v>
      </c>
      <c r="O216" s="5" t="s">
        <v>778</v>
      </c>
      <c r="P216" s="5" t="s">
        <v>7834</v>
      </c>
      <c r="R216" t="b">
        <v>1</v>
      </c>
    </row>
    <row r="217" spans="1:18">
      <c r="A217" t="s">
        <v>3014</v>
      </c>
      <c r="B217" t="s">
        <v>5791</v>
      </c>
      <c r="C217" t="s">
        <v>7759</v>
      </c>
      <c r="D217" s="1">
        <v>3</v>
      </c>
      <c r="E217" s="1">
        <v>3</v>
      </c>
      <c r="F217" s="1">
        <v>72</v>
      </c>
      <c r="G217" s="1">
        <v>77</v>
      </c>
      <c r="H217" s="17" cm="1">
        <f t="array" ref="H217">_xlfn.LET(_xlpm.s,IFERROR(--F217,""),_xlpm.e,IFERROR(--G217,""),IF(OR(_xlpm.s="",_xlpm.e="",_xlpm.e&lt;_xlpm.s),"",_xlfn.LET(_xlpm.p,_xlfn.SEQUENCE(_xlpm.e-_xlpm.s+1,1,_xlpm.s,1),SUM(1/COUNTIFS($D:$D,D217,$E:$E,E217,$F:$F,"&lt;&gt;N/A",$G:$G,"&lt;&gt;N/A",$F:$F,"&lt;="&amp;_xlpm.p,$G:$G,"&gt;="&amp;_xlpm.p)))))</f>
        <v>5.5</v>
      </c>
      <c r="I217" t="s">
        <v>8</v>
      </c>
      <c r="J217" t="s">
        <v>3218</v>
      </c>
      <c r="K217" t="s">
        <v>2488</v>
      </c>
      <c r="L217" s="5" t="s">
        <v>7</v>
      </c>
      <c r="M217" s="5" t="s">
        <v>7</v>
      </c>
      <c r="N217" t="s">
        <v>7</v>
      </c>
      <c r="O217" s="5" t="s">
        <v>778</v>
      </c>
      <c r="P217" s="5" t="s">
        <v>7834</v>
      </c>
      <c r="R217" t="b">
        <v>1</v>
      </c>
    </row>
    <row r="218" spans="1:18">
      <c r="A218" t="s">
        <v>3014</v>
      </c>
      <c r="B218" t="s">
        <v>5792</v>
      </c>
      <c r="C218" t="s">
        <v>7759</v>
      </c>
      <c r="D218" s="1">
        <v>3</v>
      </c>
      <c r="E218" s="1">
        <v>3</v>
      </c>
      <c r="F218" s="1">
        <v>77</v>
      </c>
      <c r="G218" s="1">
        <v>81</v>
      </c>
      <c r="H218" s="17" cm="1">
        <f t="array" ref="H218">_xlfn.LET(_xlpm.s,IFERROR(--F218,""),_xlpm.e,IFERROR(--G218,""),IF(OR(_xlpm.s="",_xlpm.e="",_xlpm.e&lt;_xlpm.s),"",_xlfn.LET(_xlpm.p,_xlfn.SEQUENCE(_xlpm.e-_xlpm.s+1,1,_xlpm.s,1),SUM(1/COUNTIFS($D:$D,D218,$E:$E,E218,$F:$F,"&lt;&gt;N/A",$G:$G,"&lt;&gt;N/A",$F:$F,"&lt;="&amp;_xlpm.p,$G:$G,"&gt;="&amp;_xlpm.p)))))</f>
        <v>4</v>
      </c>
      <c r="I218" t="s">
        <v>8</v>
      </c>
      <c r="J218" t="s">
        <v>5338</v>
      </c>
      <c r="K218" t="s">
        <v>7</v>
      </c>
      <c r="L218" s="5" t="s">
        <v>5339</v>
      </c>
      <c r="M218" s="5" t="s">
        <v>7</v>
      </c>
      <c r="N218" t="s">
        <v>8057</v>
      </c>
      <c r="O218" s="5" t="s">
        <v>5072</v>
      </c>
      <c r="P218" s="5" t="s">
        <v>8021</v>
      </c>
      <c r="Q218" s="5" t="s">
        <v>2571</v>
      </c>
      <c r="R218" t="b">
        <v>1</v>
      </c>
    </row>
    <row r="219" spans="1:18">
      <c r="A219" t="s">
        <v>3014</v>
      </c>
      <c r="B219" t="s">
        <v>5793</v>
      </c>
      <c r="C219" t="s">
        <v>7759</v>
      </c>
      <c r="D219" s="1">
        <v>3</v>
      </c>
      <c r="E219" s="1">
        <v>3</v>
      </c>
      <c r="F219" s="1">
        <v>81</v>
      </c>
      <c r="G219" s="1">
        <v>84</v>
      </c>
      <c r="H219" s="17" cm="1">
        <f t="array" ref="H219">_xlfn.LET(_xlpm.s,IFERROR(--F219,""),_xlpm.e,IFERROR(--G219,""),IF(OR(_xlpm.s="",_xlpm.e="",_xlpm.e&lt;_xlpm.s),"",_xlfn.LET(_xlpm.p,_xlfn.SEQUENCE(_xlpm.e-_xlpm.s+1,1,_xlpm.s,1),SUM(1/COUNTIFS($D:$D,D219,$E:$E,E219,$F:$F,"&lt;&gt;N/A",$G:$G,"&lt;&gt;N/A",$F:$F,"&lt;="&amp;_xlpm.p,$G:$G,"&gt;="&amp;_xlpm.p)))))</f>
        <v>3</v>
      </c>
      <c r="I219" t="s">
        <v>8</v>
      </c>
      <c r="J219" t="s">
        <v>345</v>
      </c>
      <c r="K219" t="s">
        <v>2465</v>
      </c>
      <c r="L219" s="5" t="s">
        <v>7</v>
      </c>
      <c r="M219" s="5" t="s">
        <v>7</v>
      </c>
      <c r="N219" s="5" t="s">
        <v>7</v>
      </c>
      <c r="O219" s="5" t="s">
        <v>778</v>
      </c>
      <c r="P219" s="5" t="s">
        <v>7834</v>
      </c>
      <c r="R219" t="b">
        <v>1</v>
      </c>
    </row>
    <row r="220" spans="1:18">
      <c r="A220" t="s">
        <v>3014</v>
      </c>
      <c r="B220" t="s">
        <v>5794</v>
      </c>
      <c r="C220" t="s">
        <v>7759</v>
      </c>
      <c r="D220" s="1">
        <v>3</v>
      </c>
      <c r="E220" s="1">
        <v>3</v>
      </c>
      <c r="F220" s="1">
        <v>84</v>
      </c>
      <c r="G220" s="1">
        <v>92</v>
      </c>
      <c r="H220" s="17" cm="1">
        <f t="array" ref="H220">_xlfn.LET(_xlpm.s,IFERROR(--F220,""),_xlpm.e,IFERROR(--G220,""),IF(OR(_xlpm.s="",_xlpm.e="",_xlpm.e&lt;_xlpm.s),"",_xlfn.LET(_xlpm.p,_xlfn.SEQUENCE(_xlpm.e-_xlpm.s+1,1,_xlpm.s,1),SUM(1/COUNTIFS($D:$D,D220,$E:$E,E220,$F:$F,"&lt;&gt;N/A",$G:$G,"&lt;&gt;N/A",$F:$F,"&lt;="&amp;_xlpm.p,$G:$G,"&gt;="&amp;_xlpm.p)))))</f>
        <v>7.833333333333333</v>
      </c>
      <c r="I220" t="s">
        <v>624</v>
      </c>
      <c r="J220" t="s">
        <v>2618</v>
      </c>
      <c r="K220" t="s">
        <v>2485</v>
      </c>
      <c r="L220" s="5" t="s">
        <v>5340</v>
      </c>
      <c r="M220" s="5" t="s">
        <v>7</v>
      </c>
      <c r="N220" t="s">
        <v>10447</v>
      </c>
      <c r="O220" s="5" t="s">
        <v>5072</v>
      </c>
      <c r="P220" s="5" t="s">
        <v>8021</v>
      </c>
      <c r="R220" t="b">
        <v>1</v>
      </c>
    </row>
    <row r="221" spans="1:18">
      <c r="A221" t="s">
        <v>3014</v>
      </c>
      <c r="B221" t="s">
        <v>5795</v>
      </c>
      <c r="C221" t="s">
        <v>7759</v>
      </c>
      <c r="D221" s="1">
        <v>3</v>
      </c>
      <c r="E221" s="1">
        <v>3</v>
      </c>
      <c r="F221" s="1">
        <v>92</v>
      </c>
      <c r="G221" s="1">
        <v>92</v>
      </c>
      <c r="H221" s="17" cm="1">
        <f t="array" ref="H221">_xlfn.LET(_xlpm.s,IFERROR(--F221,""),_xlpm.e,IFERROR(--G221,""),IF(OR(_xlpm.s="",_xlpm.e="",_xlpm.e&lt;_xlpm.s),"",_xlfn.LET(_xlpm.p,_xlfn.SEQUENCE(_xlpm.e-_xlpm.s+1,1,_xlpm.s,1),SUM(1/COUNTIFS($D:$D,D221,$E:$E,E221,$F:$F,"&lt;&gt;N/A",$G:$G,"&lt;&gt;N/A",$F:$F,"&lt;="&amp;_xlpm.p,$G:$G,"&gt;="&amp;_xlpm.p)))))</f>
        <v>0.33333333333333331</v>
      </c>
      <c r="I221" t="s">
        <v>624</v>
      </c>
      <c r="J221" t="s">
        <v>5341</v>
      </c>
      <c r="K221" t="s">
        <v>7</v>
      </c>
      <c r="L221" s="5" t="s">
        <v>7</v>
      </c>
      <c r="M221" s="5" t="s">
        <v>5345</v>
      </c>
      <c r="N221" t="s">
        <v>5342</v>
      </c>
      <c r="O221" s="5" t="s">
        <v>5072</v>
      </c>
      <c r="P221" s="5" t="s">
        <v>8021</v>
      </c>
      <c r="R221" t="b">
        <v>1</v>
      </c>
    </row>
    <row r="222" spans="1:18">
      <c r="A222" t="s">
        <v>3014</v>
      </c>
      <c r="B222" t="s">
        <v>5796</v>
      </c>
      <c r="C222" t="s">
        <v>7759</v>
      </c>
      <c r="D222" s="1">
        <v>3</v>
      </c>
      <c r="E222" s="1">
        <v>3</v>
      </c>
      <c r="F222" s="1">
        <v>92</v>
      </c>
      <c r="G222" s="1">
        <v>93</v>
      </c>
      <c r="H222" s="17" cm="1">
        <f t="array" ref="H222">_xlfn.LET(_xlpm.s,IFERROR(--F222,""),_xlpm.e,IFERROR(--G222,""),IF(OR(_xlpm.s="",_xlpm.e="",_xlpm.e&lt;_xlpm.s),"",_xlfn.LET(_xlpm.p,_xlfn.SEQUENCE(_xlpm.e-_xlpm.s+1,1,_xlpm.s,1),SUM(1/COUNTIFS($D:$D,D222,$E:$E,E222,$F:$F,"&lt;&gt;N/A",$G:$G,"&lt;&gt;N/A",$F:$F,"&lt;="&amp;_xlpm.p,$G:$G,"&gt;="&amp;_xlpm.p)))))</f>
        <v>0.83333333333333326</v>
      </c>
      <c r="I222" t="s">
        <v>624</v>
      </c>
      <c r="J222" t="s">
        <v>346</v>
      </c>
      <c r="K222" t="s">
        <v>7</v>
      </c>
      <c r="L222" s="5" t="s">
        <v>7</v>
      </c>
      <c r="M222" s="5" t="s">
        <v>5345</v>
      </c>
      <c r="N222" t="s">
        <v>5343</v>
      </c>
      <c r="O222" s="5" t="s">
        <v>5072</v>
      </c>
      <c r="P222" s="5" t="s">
        <v>8021</v>
      </c>
      <c r="R222" t="b">
        <v>1</v>
      </c>
    </row>
    <row r="223" spans="1:18">
      <c r="A223" t="s">
        <v>3014</v>
      </c>
      <c r="B223" t="s">
        <v>5797</v>
      </c>
      <c r="C223" t="s">
        <v>7759</v>
      </c>
      <c r="D223" s="1">
        <v>3</v>
      </c>
      <c r="E223" s="1">
        <v>3</v>
      </c>
      <c r="F223" s="1">
        <v>93</v>
      </c>
      <c r="G223" s="1">
        <v>94</v>
      </c>
      <c r="H223" s="17" cm="1">
        <f t="array" ref="H223">_xlfn.LET(_xlpm.s,IFERROR(--F223,""),_xlpm.e,IFERROR(--G223,""),IF(OR(_xlpm.s="",_xlpm.e="",_xlpm.e&lt;_xlpm.s),"",_xlfn.LET(_xlpm.p,_xlfn.SEQUENCE(_xlpm.e-_xlpm.s+1,1,_xlpm.s,1),SUM(1/COUNTIFS($D:$D,D223,$E:$E,E223,$F:$F,"&lt;&gt;N/A",$G:$G,"&lt;&gt;N/A",$F:$F,"&lt;="&amp;_xlpm.p,$G:$G,"&gt;="&amp;_xlpm.p)))))</f>
        <v>1</v>
      </c>
      <c r="I223" t="s">
        <v>624</v>
      </c>
      <c r="J223" t="s">
        <v>347</v>
      </c>
      <c r="K223" t="s">
        <v>7</v>
      </c>
      <c r="L223" s="5" t="s">
        <v>5344</v>
      </c>
      <c r="M223" s="5" t="s">
        <v>5345</v>
      </c>
      <c r="N223" t="s">
        <v>5348</v>
      </c>
      <c r="O223" s="5" t="s">
        <v>5072</v>
      </c>
      <c r="P223" s="5" t="s">
        <v>8021</v>
      </c>
      <c r="Q223" s="5" t="s">
        <v>2571</v>
      </c>
      <c r="R223" t="b">
        <v>1</v>
      </c>
    </row>
    <row r="224" spans="1:18">
      <c r="A224" t="s">
        <v>3014</v>
      </c>
      <c r="B224" t="s">
        <v>5798</v>
      </c>
      <c r="C224" t="s">
        <v>7759</v>
      </c>
      <c r="D224" s="1">
        <v>3</v>
      </c>
      <c r="E224" s="1">
        <v>3</v>
      </c>
      <c r="F224" s="1">
        <v>94</v>
      </c>
      <c r="G224" s="1">
        <v>100</v>
      </c>
      <c r="H224" s="17" cm="1">
        <f t="array" ref="H224">_xlfn.LET(_xlpm.s,IFERROR(--F224,""),_xlpm.e,IFERROR(--G224,""),IF(OR(_xlpm.s="",_xlpm.e="",_xlpm.e&lt;_xlpm.s),"",_xlfn.LET(_xlpm.p,_xlfn.SEQUENCE(_xlpm.e-_xlpm.s+1,1,_xlpm.s,1),SUM(1/COUNTIFS($D:$D,D224,$E:$E,E224,$F:$F,"&lt;&gt;N/A",$G:$G,"&lt;&gt;N/A",$F:$F,"&lt;="&amp;_xlpm.p,$G:$G,"&gt;="&amp;_xlpm.p)))))</f>
        <v>6.5</v>
      </c>
      <c r="I224" t="s">
        <v>170</v>
      </c>
      <c r="J224" t="s">
        <v>3219</v>
      </c>
      <c r="K224" t="s">
        <v>7</v>
      </c>
      <c r="L224" s="5" t="s">
        <v>7</v>
      </c>
      <c r="M224" t="s">
        <v>7</v>
      </c>
      <c r="N224" t="s">
        <v>2491</v>
      </c>
      <c r="O224" s="5" t="s">
        <v>11522</v>
      </c>
      <c r="P224" s="5" t="s">
        <v>8019</v>
      </c>
      <c r="R224" t="b">
        <v>1</v>
      </c>
    </row>
    <row r="225" spans="1:18">
      <c r="A225" t="s">
        <v>3014</v>
      </c>
      <c r="B225" t="s">
        <v>5799</v>
      </c>
      <c r="C225" t="s">
        <v>7767</v>
      </c>
      <c r="D225" s="1">
        <v>3</v>
      </c>
      <c r="E225" s="1">
        <v>4</v>
      </c>
      <c r="F225" s="1">
        <v>101</v>
      </c>
      <c r="G225" s="1">
        <v>118</v>
      </c>
      <c r="H225" s="17" cm="1">
        <f t="array" ref="H225">_xlfn.LET(_xlpm.s,IFERROR(--F225,""),_xlpm.e,IFERROR(--G225,""),IF(OR(_xlpm.s="",_xlpm.e="",_xlpm.e&lt;_xlpm.s),"",_xlfn.LET(_xlpm.p,_xlfn.SEQUENCE(_xlpm.e-_xlpm.s+1,1,_xlpm.s,1),SUM(1/COUNTIFS($D:$D,D225,$E:$E,E225,$F:$F,"&lt;&gt;N/A",$G:$G,"&lt;&gt;N/A",$F:$F,"&lt;="&amp;_xlpm.p,$G:$G,"&gt;="&amp;_xlpm.p)))))</f>
        <v>17.5</v>
      </c>
      <c r="I225" t="s">
        <v>8</v>
      </c>
      <c r="J225" t="s">
        <v>2617</v>
      </c>
      <c r="K225" t="s">
        <v>7</v>
      </c>
      <c r="L225" s="5" t="s">
        <v>4619</v>
      </c>
      <c r="M225" t="s">
        <v>7</v>
      </c>
      <c r="N225" t="s">
        <v>2570</v>
      </c>
      <c r="O225" s="5" t="s">
        <v>5072</v>
      </c>
      <c r="P225" s="5" t="s">
        <v>8021</v>
      </c>
      <c r="R225" t="b">
        <v>1</v>
      </c>
    </row>
    <row r="226" spans="1:18">
      <c r="A226" t="s">
        <v>3014</v>
      </c>
      <c r="B226" t="s">
        <v>5800</v>
      </c>
      <c r="C226" t="s">
        <v>7767</v>
      </c>
      <c r="D226" s="1">
        <v>3</v>
      </c>
      <c r="E226" s="1">
        <v>4</v>
      </c>
      <c r="F226" s="1">
        <v>118</v>
      </c>
      <c r="G226" s="1">
        <v>121</v>
      </c>
      <c r="H226" s="17" cm="1">
        <f t="array" ref="H226">_xlfn.LET(_xlpm.s,IFERROR(--F226,""),_xlpm.e,IFERROR(--G226,""),IF(OR(_xlpm.s="",_xlpm.e="",_xlpm.e&lt;_xlpm.s),"",_xlfn.LET(_xlpm.p,_xlfn.SEQUENCE(_xlpm.e-_xlpm.s+1,1,_xlpm.s,1),SUM(1/COUNTIFS($D:$D,D226,$E:$E,E226,$F:$F,"&lt;&gt;N/A",$G:$G,"&lt;&gt;N/A",$F:$F,"&lt;="&amp;_xlpm.p,$G:$G,"&gt;="&amp;_xlpm.p)))))</f>
        <v>3</v>
      </c>
      <c r="I226" t="s">
        <v>8</v>
      </c>
      <c r="J226" t="s">
        <v>348</v>
      </c>
      <c r="K226" t="s">
        <v>2489</v>
      </c>
      <c r="L226" s="5" t="s">
        <v>7</v>
      </c>
      <c r="M226" t="s">
        <v>7</v>
      </c>
      <c r="N226" t="s">
        <v>7</v>
      </c>
      <c r="O226" s="5" t="s">
        <v>778</v>
      </c>
      <c r="P226" s="5" t="s">
        <v>7834</v>
      </c>
      <c r="R226" t="b">
        <v>1</v>
      </c>
    </row>
    <row r="227" spans="1:18">
      <c r="A227" t="s">
        <v>3014</v>
      </c>
      <c r="B227" t="s">
        <v>5801</v>
      </c>
      <c r="C227" t="s">
        <v>7767</v>
      </c>
      <c r="D227" s="1">
        <v>3</v>
      </c>
      <c r="E227" s="1">
        <v>4</v>
      </c>
      <c r="F227" s="1">
        <v>121</v>
      </c>
      <c r="G227" s="1">
        <v>124</v>
      </c>
      <c r="H227" s="17" cm="1">
        <f t="array" ref="H227">_xlfn.LET(_xlpm.s,IFERROR(--F227,""),_xlpm.e,IFERROR(--G227,""),IF(OR(_xlpm.s="",_xlpm.e="",_xlpm.e&lt;_xlpm.s),"",_xlfn.LET(_xlpm.p,_xlfn.SEQUENCE(_xlpm.e-_xlpm.s+1,1,_xlpm.s,1),SUM(1/COUNTIFS($D:$D,D227,$E:$E,E227,$F:$F,"&lt;&gt;N/A",$G:$G,"&lt;&gt;N/A",$F:$F,"&lt;="&amp;_xlpm.p,$G:$G,"&gt;="&amp;_xlpm.p)))))</f>
        <v>3</v>
      </c>
      <c r="I227" t="s">
        <v>2616</v>
      </c>
      <c r="J227" t="s">
        <v>6899</v>
      </c>
      <c r="K227" t="s">
        <v>7</v>
      </c>
      <c r="L227" s="5" t="s">
        <v>4596</v>
      </c>
      <c r="M227" t="s">
        <v>5047</v>
      </c>
      <c r="N227" t="s">
        <v>6902</v>
      </c>
      <c r="O227" s="5" t="s">
        <v>5072</v>
      </c>
      <c r="P227" s="5" t="s">
        <v>8021</v>
      </c>
      <c r="Q227" s="5" t="s">
        <v>2571</v>
      </c>
      <c r="R227" t="b">
        <v>1</v>
      </c>
    </row>
    <row r="228" spans="1:18">
      <c r="A228" t="s">
        <v>3014</v>
      </c>
      <c r="B228" t="s">
        <v>5802</v>
      </c>
      <c r="C228" t="s">
        <v>7767</v>
      </c>
      <c r="D228" s="1">
        <v>3</v>
      </c>
      <c r="E228" s="1">
        <v>4</v>
      </c>
      <c r="F228" s="1">
        <v>124</v>
      </c>
      <c r="G228" s="1">
        <v>126</v>
      </c>
      <c r="H228" s="17" cm="1">
        <f t="array" ref="H228">_xlfn.LET(_xlpm.s,IFERROR(--F228,""),_xlpm.e,IFERROR(--G228,""),IF(OR(_xlpm.s="",_xlpm.e="",_xlpm.e&lt;_xlpm.s),"",_xlfn.LET(_xlpm.p,_xlfn.SEQUENCE(_xlpm.e-_xlpm.s+1,1,_xlpm.s,1),SUM(1/COUNTIFS($D:$D,D228,$E:$E,E228,$F:$F,"&lt;&gt;N/A",$G:$G,"&lt;&gt;N/A",$F:$F,"&lt;="&amp;_xlpm.p,$G:$G,"&gt;="&amp;_xlpm.p)))))</f>
        <v>2</v>
      </c>
      <c r="I228" t="s">
        <v>2616</v>
      </c>
      <c r="J228" t="s">
        <v>349</v>
      </c>
      <c r="K228" t="s">
        <v>7</v>
      </c>
      <c r="L228" s="5" t="s">
        <v>4596</v>
      </c>
      <c r="M228" t="s">
        <v>5135</v>
      </c>
      <c r="N228" t="s">
        <v>6901</v>
      </c>
      <c r="O228" s="5" t="s">
        <v>5072</v>
      </c>
      <c r="P228" s="5" t="s">
        <v>8021</v>
      </c>
      <c r="Q228" s="5" t="s">
        <v>2571</v>
      </c>
      <c r="R228" t="b">
        <v>1</v>
      </c>
    </row>
    <row r="229" spans="1:18">
      <c r="A229" t="s">
        <v>3014</v>
      </c>
      <c r="B229" t="s">
        <v>5803</v>
      </c>
      <c r="C229" t="s">
        <v>7767</v>
      </c>
      <c r="D229" s="1">
        <v>3</v>
      </c>
      <c r="E229" s="1">
        <v>4</v>
      </c>
      <c r="F229" s="1">
        <v>126</v>
      </c>
      <c r="G229" s="1">
        <v>132</v>
      </c>
      <c r="H229" s="17" cm="1">
        <f t="array" ref="H229">_xlfn.LET(_xlpm.s,IFERROR(--F229,""),_xlpm.e,IFERROR(--G229,""),IF(OR(_xlpm.s="",_xlpm.e="",_xlpm.e&lt;_xlpm.s),"",_xlfn.LET(_xlpm.p,_xlfn.SEQUENCE(_xlpm.e-_xlpm.s+1,1,_xlpm.s,1),SUM(1/COUNTIFS($D:$D,D229,$E:$E,E229,$F:$F,"&lt;&gt;N/A",$G:$G,"&lt;&gt;N/A",$F:$F,"&lt;="&amp;_xlpm.p,$G:$G,"&gt;="&amp;_xlpm.p)))))</f>
        <v>6</v>
      </c>
      <c r="I229" t="s">
        <v>2616</v>
      </c>
      <c r="J229" t="s">
        <v>350</v>
      </c>
      <c r="K229" t="s">
        <v>6903</v>
      </c>
      <c r="L229" s="5" t="s">
        <v>4596</v>
      </c>
      <c r="M229" t="s">
        <v>5047</v>
      </c>
      <c r="N229" t="s">
        <v>6904</v>
      </c>
      <c r="O229" s="5" t="s">
        <v>5072</v>
      </c>
      <c r="P229" s="5" t="s">
        <v>8021</v>
      </c>
      <c r="Q229" s="5" t="s">
        <v>2571</v>
      </c>
      <c r="R229" t="b">
        <v>1</v>
      </c>
    </row>
    <row r="230" spans="1:18">
      <c r="A230" t="s">
        <v>3014</v>
      </c>
      <c r="B230" t="s">
        <v>5804</v>
      </c>
      <c r="C230" t="s">
        <v>7767</v>
      </c>
      <c r="D230" s="1">
        <v>3</v>
      </c>
      <c r="E230" s="1">
        <v>4</v>
      </c>
      <c r="F230" s="1">
        <v>132</v>
      </c>
      <c r="G230" s="1">
        <v>134</v>
      </c>
      <c r="H230" s="17" cm="1">
        <f t="array" ref="H230">_xlfn.LET(_xlpm.s,IFERROR(--F230,""),_xlpm.e,IFERROR(--G230,""),IF(OR(_xlpm.s="",_xlpm.e="",_xlpm.e&lt;_xlpm.s),"",_xlfn.LET(_xlpm.p,_xlfn.SEQUENCE(_xlpm.e-_xlpm.s+1,1,_xlpm.s,1),SUM(1/COUNTIFS($D:$D,D230,$E:$E,E230,$F:$F,"&lt;&gt;N/A",$G:$G,"&lt;&gt;N/A",$F:$F,"&lt;="&amp;_xlpm.p,$G:$G,"&gt;="&amp;_xlpm.p)))))</f>
        <v>2</v>
      </c>
      <c r="I230" t="s">
        <v>170</v>
      </c>
      <c r="J230" t="s">
        <v>2615</v>
      </c>
      <c r="K230" t="s">
        <v>7</v>
      </c>
      <c r="L230" s="5" t="s">
        <v>5344</v>
      </c>
      <c r="M230" t="s">
        <v>5345</v>
      </c>
      <c r="N230" t="s">
        <v>6905</v>
      </c>
      <c r="O230" s="5" t="s">
        <v>5072</v>
      </c>
      <c r="P230" s="5" t="s">
        <v>8021</v>
      </c>
      <c r="Q230" s="5" t="s">
        <v>2571</v>
      </c>
      <c r="R230" t="b">
        <v>1</v>
      </c>
    </row>
    <row r="231" spans="1:18">
      <c r="A231" t="s">
        <v>3014</v>
      </c>
      <c r="B231" t="s">
        <v>5805</v>
      </c>
      <c r="C231" t="s">
        <v>7767</v>
      </c>
      <c r="D231" s="1">
        <v>3</v>
      </c>
      <c r="E231" s="1">
        <v>4</v>
      </c>
      <c r="F231" s="1">
        <v>134</v>
      </c>
      <c r="G231" s="1">
        <v>136</v>
      </c>
      <c r="H231" s="17" cm="1">
        <f t="array" ref="H231">_xlfn.LET(_xlpm.s,IFERROR(--F231,""),_xlpm.e,IFERROR(--G231,""),IF(OR(_xlpm.s="",_xlpm.e="",_xlpm.e&lt;_xlpm.s),"",_xlfn.LET(_xlpm.p,_xlfn.SEQUENCE(_xlpm.e-_xlpm.s+1,1,_xlpm.s,1),SUM(1/COUNTIFS($D:$D,D231,$E:$E,E231,$F:$F,"&lt;&gt;N/A",$G:$G,"&lt;&gt;N/A",$F:$F,"&lt;="&amp;_xlpm.p,$G:$G,"&gt;="&amp;_xlpm.p)))))</f>
        <v>1.8333333333333333</v>
      </c>
      <c r="I231" t="s">
        <v>170</v>
      </c>
      <c r="J231" t="s">
        <v>351</v>
      </c>
      <c r="K231" t="s">
        <v>7</v>
      </c>
      <c r="L231" s="5" t="s">
        <v>4620</v>
      </c>
      <c r="M231" t="s">
        <v>6898</v>
      </c>
      <c r="N231" t="s">
        <v>10837</v>
      </c>
      <c r="O231" s="5" t="s">
        <v>5072</v>
      </c>
      <c r="P231" s="5" t="s">
        <v>8021</v>
      </c>
      <c r="R231" t="b">
        <v>1</v>
      </c>
    </row>
    <row r="232" spans="1:18">
      <c r="A232" t="s">
        <v>3014</v>
      </c>
      <c r="B232" t="s">
        <v>5806</v>
      </c>
      <c r="C232" t="s">
        <v>7767</v>
      </c>
      <c r="D232" s="1">
        <v>3</v>
      </c>
      <c r="E232" s="1">
        <v>4</v>
      </c>
      <c r="F232" s="1">
        <v>136</v>
      </c>
      <c r="G232" s="1">
        <v>136</v>
      </c>
      <c r="H232" s="17" cm="1">
        <f t="array" ref="H232">_xlfn.LET(_xlpm.s,IFERROR(--F232,""),_xlpm.e,IFERROR(--G232,""),IF(OR(_xlpm.s="",_xlpm.e="",_xlpm.e&lt;_xlpm.s),"",_xlfn.LET(_xlpm.p,_xlfn.SEQUENCE(_xlpm.e-_xlpm.s+1,1,_xlpm.s,1),SUM(1/COUNTIFS($D:$D,D232,$E:$E,E232,$F:$F,"&lt;&gt;N/A",$G:$G,"&lt;&gt;N/A",$F:$F,"&lt;="&amp;_xlpm.p,$G:$G,"&gt;="&amp;_xlpm.p)))))</f>
        <v>0.33333333333333331</v>
      </c>
      <c r="I232" t="s">
        <v>625</v>
      </c>
      <c r="J232" t="s">
        <v>2614</v>
      </c>
      <c r="K232" t="s">
        <v>4621</v>
      </c>
      <c r="L232" s="5" t="s">
        <v>7</v>
      </c>
      <c r="M232" s="5" t="s">
        <v>5135</v>
      </c>
      <c r="N232" t="s">
        <v>5142</v>
      </c>
      <c r="O232" s="5" t="s">
        <v>5072</v>
      </c>
      <c r="P232" s="5" t="s">
        <v>8021</v>
      </c>
      <c r="R232" t="b">
        <v>1</v>
      </c>
    </row>
    <row r="233" spans="1:18">
      <c r="A233" t="s">
        <v>3014</v>
      </c>
      <c r="B233" t="s">
        <v>5807</v>
      </c>
      <c r="C233" t="s">
        <v>7767</v>
      </c>
      <c r="D233" s="1">
        <v>3</v>
      </c>
      <c r="E233" s="1">
        <v>4</v>
      </c>
      <c r="F233" s="1">
        <v>136</v>
      </c>
      <c r="G233" s="1">
        <v>136</v>
      </c>
      <c r="H233" s="17" cm="1">
        <f t="array" ref="H233">_xlfn.LET(_xlpm.s,IFERROR(--F233,""),_xlpm.e,IFERROR(--G233,""),IF(OR(_xlpm.s="",_xlpm.e="",_xlpm.e&lt;_xlpm.s),"",_xlfn.LET(_xlpm.p,_xlfn.SEQUENCE(_xlpm.e-_xlpm.s+1,1,_xlpm.s,1),SUM(1/COUNTIFS($D:$D,D233,$E:$E,E233,$F:$F,"&lt;&gt;N/A",$G:$G,"&lt;&gt;N/A",$F:$F,"&lt;="&amp;_xlpm.p,$G:$G,"&gt;="&amp;_xlpm.p)))))</f>
        <v>0.33333333333333331</v>
      </c>
      <c r="I233" t="s">
        <v>625</v>
      </c>
      <c r="J233" t="s">
        <v>352</v>
      </c>
      <c r="K233" t="s">
        <v>7</v>
      </c>
      <c r="L233" s="5" t="s">
        <v>7</v>
      </c>
      <c r="M233" s="5" t="s">
        <v>7</v>
      </c>
      <c r="N233" t="s">
        <v>8058</v>
      </c>
      <c r="O233" s="5" t="s">
        <v>11522</v>
      </c>
      <c r="P233" s="5" t="s">
        <v>8021</v>
      </c>
      <c r="R233" t="b">
        <v>1</v>
      </c>
    </row>
    <row r="234" spans="1:18">
      <c r="A234" t="s">
        <v>3014</v>
      </c>
      <c r="B234" t="s">
        <v>5808</v>
      </c>
      <c r="C234" t="s">
        <v>7775</v>
      </c>
      <c r="D234" s="1">
        <v>3</v>
      </c>
      <c r="E234" s="1">
        <v>5</v>
      </c>
      <c r="F234" s="1">
        <v>137</v>
      </c>
      <c r="G234" s="1">
        <v>138</v>
      </c>
      <c r="H234" s="17" cm="1">
        <f t="array" ref="H234">_xlfn.LET(_xlpm.s,IFERROR(--F234,""),_xlpm.e,IFERROR(--G234,""),IF(OR(_xlpm.s="",_xlpm.e="",_xlpm.e&lt;_xlpm.s),"",_xlfn.LET(_xlpm.p,_xlfn.SEQUENCE(_xlpm.e-_xlpm.s+1,1,_xlpm.s,1),SUM(1/COUNTIFS($D:$D,D234,$E:$E,E234,$F:$F,"&lt;&gt;N/A",$G:$G,"&lt;&gt;N/A",$F:$F,"&lt;="&amp;_xlpm.p,$G:$G,"&gt;="&amp;_xlpm.p)))))</f>
        <v>1.5</v>
      </c>
      <c r="I234" t="s">
        <v>625</v>
      </c>
      <c r="J234" t="s">
        <v>353</v>
      </c>
      <c r="K234" t="s">
        <v>4622</v>
      </c>
      <c r="L234" s="5" t="s">
        <v>7</v>
      </c>
      <c r="M234" t="s">
        <v>7</v>
      </c>
      <c r="N234" t="s">
        <v>7</v>
      </c>
      <c r="O234" s="5" t="s">
        <v>7</v>
      </c>
      <c r="P234" s="5" t="s">
        <v>8021</v>
      </c>
      <c r="Q234" t="s">
        <v>6950</v>
      </c>
      <c r="R234" t="b">
        <v>1</v>
      </c>
    </row>
    <row r="235" spans="1:18">
      <c r="A235" t="s">
        <v>3014</v>
      </c>
      <c r="B235" t="s">
        <v>5809</v>
      </c>
      <c r="C235" t="s">
        <v>7775</v>
      </c>
      <c r="D235" s="1">
        <v>3</v>
      </c>
      <c r="E235" s="1">
        <v>5</v>
      </c>
      <c r="F235" s="1">
        <v>138</v>
      </c>
      <c r="G235" s="1">
        <v>142</v>
      </c>
      <c r="H235" s="17" cm="1">
        <f t="array" ref="H235">_xlfn.LET(_xlpm.s,IFERROR(--F235,""),_xlpm.e,IFERROR(--G235,""),IF(OR(_xlpm.s="",_xlpm.e="",_xlpm.e&lt;_xlpm.s),"",_xlfn.LET(_xlpm.p,_xlfn.SEQUENCE(_xlpm.e-_xlpm.s+1,1,_xlpm.s,1),SUM(1/COUNTIFS($D:$D,D235,$E:$E,E235,$F:$F,"&lt;&gt;N/A",$G:$G,"&lt;&gt;N/A",$F:$F,"&lt;="&amp;_xlpm.p,$G:$G,"&gt;="&amp;_xlpm.p)))))</f>
        <v>4</v>
      </c>
      <c r="I235" t="s">
        <v>2580</v>
      </c>
      <c r="J235" t="s">
        <v>2613</v>
      </c>
      <c r="K235" t="s">
        <v>4623</v>
      </c>
      <c r="L235" s="5" t="s">
        <v>7</v>
      </c>
      <c r="M235" t="s">
        <v>5131</v>
      </c>
      <c r="N235" t="s">
        <v>6906</v>
      </c>
      <c r="O235" s="5" t="s">
        <v>5072</v>
      </c>
      <c r="P235" s="5" t="s">
        <v>8021</v>
      </c>
      <c r="R235" t="b">
        <v>1</v>
      </c>
    </row>
    <row r="236" spans="1:18">
      <c r="A236" t="s">
        <v>3014</v>
      </c>
      <c r="B236" t="s">
        <v>5810</v>
      </c>
      <c r="C236" t="s">
        <v>7775</v>
      </c>
      <c r="D236" s="1">
        <v>3</v>
      </c>
      <c r="E236" s="1">
        <v>5</v>
      </c>
      <c r="F236" s="1">
        <v>142</v>
      </c>
      <c r="G236" s="1">
        <v>143</v>
      </c>
      <c r="H236" s="17" cm="1">
        <f t="array" ref="H236">_xlfn.LET(_xlpm.s,IFERROR(--F236,""),_xlpm.e,IFERROR(--G236,""),IF(OR(_xlpm.s="",_xlpm.e="",_xlpm.e&lt;_xlpm.s),"",_xlfn.LET(_xlpm.p,_xlfn.SEQUENCE(_xlpm.e-_xlpm.s+1,1,_xlpm.s,1),SUM(1/COUNTIFS($D:$D,D236,$E:$E,E236,$F:$F,"&lt;&gt;N/A",$G:$G,"&lt;&gt;N/A",$F:$F,"&lt;="&amp;_xlpm.p,$G:$G,"&gt;="&amp;_xlpm.p)))))</f>
        <v>1</v>
      </c>
      <c r="I236" t="s">
        <v>2580</v>
      </c>
      <c r="J236" t="s">
        <v>354</v>
      </c>
      <c r="K236" t="s">
        <v>7</v>
      </c>
      <c r="L236" s="5" t="s">
        <v>7</v>
      </c>
      <c r="M236" t="s">
        <v>5131</v>
      </c>
      <c r="N236" t="s">
        <v>6907</v>
      </c>
      <c r="O236" s="5" t="s">
        <v>5072</v>
      </c>
      <c r="P236" s="5" t="s">
        <v>8021</v>
      </c>
      <c r="R236" t="b">
        <v>1</v>
      </c>
    </row>
    <row r="237" spans="1:18">
      <c r="A237" t="s">
        <v>3014</v>
      </c>
      <c r="B237" t="s">
        <v>5811</v>
      </c>
      <c r="C237" t="s">
        <v>7775</v>
      </c>
      <c r="D237" s="1">
        <v>3</v>
      </c>
      <c r="E237" s="1">
        <v>5</v>
      </c>
      <c r="F237" s="1">
        <v>143</v>
      </c>
      <c r="G237" s="1">
        <v>144</v>
      </c>
      <c r="H237" s="17" cm="1">
        <f t="array" ref="H237">_xlfn.LET(_xlpm.s,IFERROR(--F237,""),_xlpm.e,IFERROR(--G237,""),IF(OR(_xlpm.s="",_xlpm.e="",_xlpm.e&lt;_xlpm.s),"",_xlfn.LET(_xlpm.p,_xlfn.SEQUENCE(_xlpm.e-_xlpm.s+1,1,_xlpm.s,1),SUM(1/COUNTIFS($D:$D,D237,$E:$E,E237,$F:$F,"&lt;&gt;N/A",$G:$G,"&lt;&gt;N/A",$F:$F,"&lt;="&amp;_xlpm.p,$G:$G,"&gt;="&amp;_xlpm.p)))))</f>
        <v>1</v>
      </c>
      <c r="I237" t="s">
        <v>2580</v>
      </c>
      <c r="J237" t="s">
        <v>6891</v>
      </c>
      <c r="K237" t="s">
        <v>7</v>
      </c>
      <c r="L237" s="5" t="s">
        <v>7</v>
      </c>
      <c r="M237" s="5" t="s">
        <v>5137</v>
      </c>
      <c r="N237" t="s">
        <v>5136</v>
      </c>
      <c r="O237" s="5" t="s">
        <v>5072</v>
      </c>
      <c r="P237" s="5" t="s">
        <v>8021</v>
      </c>
      <c r="R237" t="b">
        <v>1</v>
      </c>
    </row>
    <row r="238" spans="1:18">
      <c r="A238" t="s">
        <v>3014</v>
      </c>
      <c r="B238" t="s">
        <v>5812</v>
      </c>
      <c r="C238" t="s">
        <v>7775</v>
      </c>
      <c r="D238" s="1">
        <v>3</v>
      </c>
      <c r="E238" s="1">
        <v>5</v>
      </c>
      <c r="F238" s="1">
        <v>144</v>
      </c>
      <c r="G238" s="1">
        <v>145</v>
      </c>
      <c r="H238" s="17" cm="1">
        <f t="array" ref="H238">_xlfn.LET(_xlpm.s,IFERROR(--F238,""),_xlpm.e,IFERROR(--G238,""),IF(OR(_xlpm.s="",_xlpm.e="",_xlpm.e&lt;_xlpm.s),"",_xlfn.LET(_xlpm.p,_xlfn.SEQUENCE(_xlpm.e-_xlpm.s+1,1,_xlpm.s,1),SUM(1/COUNTIFS($D:$D,D238,$E:$E,E238,$F:$F,"&lt;&gt;N/A",$G:$G,"&lt;&gt;N/A",$F:$F,"&lt;="&amp;_xlpm.p,$G:$G,"&gt;="&amp;_xlpm.p)))))</f>
        <v>1</v>
      </c>
      <c r="I238" t="s">
        <v>2580</v>
      </c>
      <c r="J238" t="s">
        <v>355</v>
      </c>
      <c r="K238" t="s">
        <v>7</v>
      </c>
      <c r="L238" s="5" t="s">
        <v>7</v>
      </c>
      <c r="M238" s="5" t="s">
        <v>5139</v>
      </c>
      <c r="N238" t="s">
        <v>5138</v>
      </c>
      <c r="O238" s="5" t="s">
        <v>5072</v>
      </c>
      <c r="P238" s="5" t="s">
        <v>8021</v>
      </c>
      <c r="R238" t="b">
        <v>1</v>
      </c>
    </row>
    <row r="239" spans="1:18">
      <c r="A239" t="s">
        <v>3014</v>
      </c>
      <c r="B239" t="s">
        <v>5813</v>
      </c>
      <c r="C239" t="s">
        <v>7775</v>
      </c>
      <c r="D239" s="1">
        <v>3</v>
      </c>
      <c r="E239" s="1">
        <v>5</v>
      </c>
      <c r="F239" s="1">
        <v>145</v>
      </c>
      <c r="G239" s="1">
        <v>147</v>
      </c>
      <c r="H239" s="17" cm="1">
        <f t="array" ref="H239">_xlfn.LET(_xlpm.s,IFERROR(--F239,""),_xlpm.e,IFERROR(--G239,""),IF(OR(_xlpm.s="",_xlpm.e="",_xlpm.e&lt;_xlpm.s),"",_xlfn.LET(_xlpm.p,_xlfn.SEQUENCE(_xlpm.e-_xlpm.s+1,1,_xlpm.s,1),SUM(1/COUNTIFS($D:$D,D239,$E:$E,E239,$F:$F,"&lt;&gt;N/A",$G:$G,"&lt;&gt;N/A",$F:$F,"&lt;="&amp;_xlpm.p,$G:$G,"&gt;="&amp;_xlpm.p)))))</f>
        <v>2</v>
      </c>
      <c r="I239" t="s">
        <v>2580</v>
      </c>
      <c r="J239" t="s">
        <v>356</v>
      </c>
      <c r="K239" t="s">
        <v>7</v>
      </c>
      <c r="L239" s="5" t="s">
        <v>7</v>
      </c>
      <c r="M239" s="5" t="s">
        <v>5137</v>
      </c>
      <c r="N239" t="s">
        <v>5140</v>
      </c>
      <c r="O239" s="5" t="s">
        <v>5072</v>
      </c>
      <c r="P239" s="5" t="s">
        <v>8021</v>
      </c>
      <c r="R239" t="b">
        <v>1</v>
      </c>
    </row>
    <row r="240" spans="1:18">
      <c r="A240" t="s">
        <v>3014</v>
      </c>
      <c r="B240" t="s">
        <v>5814</v>
      </c>
      <c r="C240" t="s">
        <v>7775</v>
      </c>
      <c r="D240" s="1">
        <v>3</v>
      </c>
      <c r="E240" s="1">
        <v>5</v>
      </c>
      <c r="F240" s="1">
        <v>147</v>
      </c>
      <c r="G240" s="1">
        <v>148</v>
      </c>
      <c r="H240" s="17" cm="1">
        <f t="array" ref="H240">_xlfn.LET(_xlpm.s,IFERROR(--F240,""),_xlpm.e,IFERROR(--G240,""),IF(OR(_xlpm.s="",_xlpm.e="",_xlpm.e&lt;_xlpm.s),"",_xlfn.LET(_xlpm.p,_xlfn.SEQUENCE(_xlpm.e-_xlpm.s+1,1,_xlpm.s,1),SUM(1/COUNTIFS($D:$D,D240,$E:$E,E240,$F:$F,"&lt;&gt;N/A",$G:$G,"&lt;&gt;N/A",$F:$F,"&lt;="&amp;_xlpm.p,$G:$G,"&gt;="&amp;_xlpm.p)))))</f>
        <v>1.5</v>
      </c>
      <c r="I240" t="s">
        <v>2580</v>
      </c>
      <c r="J240" t="s">
        <v>2492</v>
      </c>
      <c r="K240" t="s">
        <v>4624</v>
      </c>
      <c r="L240" s="5" t="s">
        <v>7</v>
      </c>
      <c r="M240" s="5" t="s">
        <v>5137</v>
      </c>
      <c r="N240" t="s">
        <v>5141</v>
      </c>
      <c r="O240" s="5" t="s">
        <v>5072</v>
      </c>
      <c r="P240" s="5" t="s">
        <v>8021</v>
      </c>
      <c r="R240" t="b">
        <v>1</v>
      </c>
    </row>
    <row r="241" spans="1:18">
      <c r="A241" t="s">
        <v>3014</v>
      </c>
      <c r="B241" t="s">
        <v>5815</v>
      </c>
      <c r="C241" t="s">
        <v>7775</v>
      </c>
      <c r="D241" s="1">
        <v>3</v>
      </c>
      <c r="E241" s="1">
        <v>5</v>
      </c>
      <c r="F241" s="1">
        <v>149</v>
      </c>
      <c r="G241" s="1">
        <v>150</v>
      </c>
      <c r="H241" s="17" cm="1">
        <f t="array" ref="H241">_xlfn.LET(_xlpm.s,IFERROR(--F241,""),_xlpm.e,IFERROR(--G241,""),IF(OR(_xlpm.s="",_xlpm.e="",_xlpm.e&lt;_xlpm.s),"",_xlfn.LET(_xlpm.p,_xlfn.SEQUENCE(_xlpm.e-_xlpm.s+1,1,_xlpm.s,1),SUM(1/COUNTIFS($D:$D,D241,$E:$E,E241,$F:$F,"&lt;&gt;N/A",$G:$G,"&lt;&gt;N/A",$F:$F,"&lt;="&amp;_xlpm.p,$G:$G,"&gt;="&amp;_xlpm.p)))))</f>
        <v>1.5</v>
      </c>
      <c r="I241" t="s">
        <v>2580</v>
      </c>
      <c r="J241" t="s">
        <v>6892</v>
      </c>
      <c r="K241" t="s">
        <v>7</v>
      </c>
      <c r="L241" s="5" t="s">
        <v>7</v>
      </c>
      <c r="M241" t="s">
        <v>5139</v>
      </c>
      <c r="N241" t="s">
        <v>6908</v>
      </c>
      <c r="O241" s="5" t="s">
        <v>5072</v>
      </c>
      <c r="P241" s="5" t="s">
        <v>8021</v>
      </c>
      <c r="R241" t="b">
        <v>1</v>
      </c>
    </row>
    <row r="242" spans="1:18">
      <c r="A242" t="s">
        <v>3014</v>
      </c>
      <c r="B242" t="s">
        <v>5816</v>
      </c>
      <c r="C242" t="s">
        <v>7775</v>
      </c>
      <c r="D242" s="1">
        <v>3</v>
      </c>
      <c r="E242" s="1">
        <v>5</v>
      </c>
      <c r="F242" s="1">
        <v>150</v>
      </c>
      <c r="G242" s="1">
        <v>151</v>
      </c>
      <c r="H242" s="17" cm="1">
        <f t="array" ref="H242">_xlfn.LET(_xlpm.s,IFERROR(--F242,""),_xlpm.e,IFERROR(--G242,""),IF(OR(_xlpm.s="",_xlpm.e="",_xlpm.e&lt;_xlpm.s),"",_xlfn.LET(_xlpm.p,_xlfn.SEQUENCE(_xlpm.e-_xlpm.s+1,1,_xlpm.s,1),SUM(1/COUNTIFS($D:$D,D242,$E:$E,E242,$F:$F,"&lt;&gt;N/A",$G:$G,"&lt;&gt;N/A",$F:$F,"&lt;="&amp;_xlpm.p,$G:$G,"&gt;="&amp;_xlpm.p)))))</f>
        <v>1.5</v>
      </c>
      <c r="I242" t="s">
        <v>2580</v>
      </c>
      <c r="J242" t="s">
        <v>357</v>
      </c>
      <c r="K242" t="s">
        <v>7</v>
      </c>
      <c r="L242" s="5" t="s">
        <v>5479</v>
      </c>
      <c r="M242" t="s">
        <v>6488</v>
      </c>
      <c r="N242" t="s">
        <v>6909</v>
      </c>
      <c r="O242" s="5" t="s">
        <v>5072</v>
      </c>
      <c r="P242" s="5" t="s">
        <v>8021</v>
      </c>
      <c r="Q242" s="5" t="s">
        <v>2509</v>
      </c>
      <c r="R242" t="b">
        <v>1</v>
      </c>
    </row>
    <row r="243" spans="1:18">
      <c r="A243" t="s">
        <v>3014</v>
      </c>
      <c r="B243" t="s">
        <v>5817</v>
      </c>
      <c r="C243" t="s">
        <v>7775</v>
      </c>
      <c r="D243" s="1">
        <v>3</v>
      </c>
      <c r="E243" s="1">
        <v>5</v>
      </c>
      <c r="F243" s="1">
        <v>152</v>
      </c>
      <c r="G243" s="1">
        <v>155</v>
      </c>
      <c r="H243" s="17" cm="1">
        <f t="array" ref="H243">_xlfn.LET(_xlpm.s,IFERROR(--F243,""),_xlpm.e,IFERROR(--G243,""),IF(OR(_xlpm.s="",_xlpm.e="",_xlpm.e&lt;_xlpm.s),"",_xlfn.LET(_xlpm.p,_xlfn.SEQUENCE(_xlpm.e-_xlpm.s+1,1,_xlpm.s,1),SUM(1/COUNTIFS($D:$D,D243,$E:$E,E243,$F:$F,"&lt;&gt;N/A",$G:$G,"&lt;&gt;N/A",$F:$F,"&lt;="&amp;_xlpm.p,$G:$G,"&gt;="&amp;_xlpm.p)))))</f>
        <v>3.5</v>
      </c>
      <c r="I243" t="s">
        <v>624</v>
      </c>
      <c r="J243" t="s">
        <v>2612</v>
      </c>
      <c r="K243" t="s">
        <v>2465</v>
      </c>
      <c r="L243" s="5" t="s">
        <v>7</v>
      </c>
      <c r="M243" s="5" t="s">
        <v>7</v>
      </c>
      <c r="N243" t="s">
        <v>7</v>
      </c>
      <c r="O243" s="5" t="s">
        <v>778</v>
      </c>
      <c r="P243" s="5" t="s">
        <v>7834</v>
      </c>
      <c r="R243" t="b">
        <v>1</v>
      </c>
    </row>
    <row r="244" spans="1:18">
      <c r="A244" t="s">
        <v>3014</v>
      </c>
      <c r="B244" t="s">
        <v>5818</v>
      </c>
      <c r="C244" t="s">
        <v>7775</v>
      </c>
      <c r="D244" s="1">
        <v>3</v>
      </c>
      <c r="E244" s="1">
        <v>5</v>
      </c>
      <c r="F244" s="1">
        <v>155</v>
      </c>
      <c r="G244" s="1">
        <v>156</v>
      </c>
      <c r="H244" s="17" cm="1">
        <f t="array" ref="H244">_xlfn.LET(_xlpm.s,IFERROR(--F244,""),_xlpm.e,IFERROR(--G244,""),IF(OR(_xlpm.s="",_xlpm.e="",_xlpm.e&lt;_xlpm.s),"",_xlfn.LET(_xlpm.p,_xlfn.SEQUENCE(_xlpm.e-_xlpm.s+1,1,_xlpm.s,1),SUM(1/COUNTIFS($D:$D,D244,$E:$E,E244,$F:$F,"&lt;&gt;N/A",$G:$G,"&lt;&gt;N/A",$F:$F,"&lt;="&amp;_xlpm.p,$G:$G,"&gt;="&amp;_xlpm.p)))))</f>
        <v>0.75</v>
      </c>
      <c r="I244" t="s">
        <v>624</v>
      </c>
      <c r="J244" t="s">
        <v>358</v>
      </c>
      <c r="K244" t="s">
        <v>7</v>
      </c>
      <c r="L244" s="5" t="s">
        <v>7</v>
      </c>
      <c r="M244" t="s">
        <v>5345</v>
      </c>
      <c r="N244" t="s">
        <v>6643</v>
      </c>
      <c r="O244" s="5" t="s">
        <v>5072</v>
      </c>
      <c r="P244" s="5" t="s">
        <v>8021</v>
      </c>
      <c r="R244" t="b">
        <v>1</v>
      </c>
    </row>
    <row r="245" spans="1:18">
      <c r="A245" t="s">
        <v>3014</v>
      </c>
      <c r="B245" t="s">
        <v>5819</v>
      </c>
      <c r="C245" t="s">
        <v>7775</v>
      </c>
      <c r="D245" s="1">
        <v>3</v>
      </c>
      <c r="E245" s="1">
        <v>5</v>
      </c>
      <c r="F245" s="1">
        <v>156</v>
      </c>
      <c r="G245" s="1">
        <v>156</v>
      </c>
      <c r="H245" s="17" cm="1">
        <f t="array" ref="H245">_xlfn.LET(_xlpm.s,IFERROR(--F245,""),_xlpm.e,IFERROR(--G245,""),IF(OR(_xlpm.s="",_xlpm.e="",_xlpm.e&lt;_xlpm.s),"",_xlfn.LET(_xlpm.p,_xlfn.SEQUENCE(_xlpm.e-_xlpm.s+1,1,_xlpm.s,1),SUM(1/COUNTIFS($D:$D,D245,$E:$E,E245,$F:$F,"&lt;&gt;N/A",$G:$G,"&lt;&gt;N/A",$F:$F,"&lt;="&amp;_xlpm.p,$G:$G,"&gt;="&amp;_xlpm.p)))))</f>
        <v>0.25</v>
      </c>
      <c r="I245" t="s">
        <v>624</v>
      </c>
      <c r="J245" t="s">
        <v>359</v>
      </c>
      <c r="K245" t="s">
        <v>7</v>
      </c>
      <c r="L245" s="5" t="s">
        <v>5344</v>
      </c>
      <c r="M245" t="s">
        <v>5345</v>
      </c>
      <c r="N245" t="s">
        <v>6644</v>
      </c>
      <c r="O245" s="5" t="s">
        <v>5072</v>
      </c>
      <c r="P245" s="5" t="s">
        <v>8021</v>
      </c>
      <c r="Q245" s="5" t="s">
        <v>2509</v>
      </c>
      <c r="R245" t="b">
        <v>1</v>
      </c>
    </row>
    <row r="246" spans="1:18">
      <c r="A246" t="s">
        <v>3014</v>
      </c>
      <c r="B246" t="s">
        <v>5820</v>
      </c>
      <c r="C246" t="s">
        <v>7775</v>
      </c>
      <c r="D246" s="1">
        <v>3</v>
      </c>
      <c r="E246" s="1">
        <v>5</v>
      </c>
      <c r="F246" s="1">
        <v>156</v>
      </c>
      <c r="G246" s="1">
        <v>156</v>
      </c>
      <c r="H246" s="17" cm="1">
        <f t="array" ref="H246">_xlfn.LET(_xlpm.s,IFERROR(--F246,""),_xlpm.e,IFERROR(--G246,""),IF(OR(_xlpm.s="",_xlpm.e="",_xlpm.e&lt;_xlpm.s),"",_xlfn.LET(_xlpm.p,_xlfn.SEQUENCE(_xlpm.e-_xlpm.s+1,1,_xlpm.s,1),SUM(1/COUNTIFS($D:$D,D246,$E:$E,E246,$F:$F,"&lt;&gt;N/A",$G:$G,"&lt;&gt;N/A",$F:$F,"&lt;="&amp;_xlpm.p,$G:$G,"&gt;="&amp;_xlpm.p)))))</f>
        <v>0.25</v>
      </c>
      <c r="I246" t="s">
        <v>624</v>
      </c>
      <c r="J246" t="s">
        <v>5480</v>
      </c>
      <c r="K246" t="s">
        <v>7</v>
      </c>
      <c r="L246" s="5" t="s">
        <v>7</v>
      </c>
      <c r="M246" t="s">
        <v>5345</v>
      </c>
      <c r="N246" t="s">
        <v>6645</v>
      </c>
      <c r="O246" s="5" t="s">
        <v>5072</v>
      </c>
      <c r="P246" s="5" t="s">
        <v>8021</v>
      </c>
      <c r="R246" t="b">
        <v>1</v>
      </c>
    </row>
    <row r="247" spans="1:18">
      <c r="A247" t="s">
        <v>3014</v>
      </c>
      <c r="B247" t="s">
        <v>5821</v>
      </c>
      <c r="C247" t="s">
        <v>7775</v>
      </c>
      <c r="D247" s="1">
        <v>3</v>
      </c>
      <c r="E247" s="1">
        <v>5</v>
      </c>
      <c r="F247" s="1">
        <v>156</v>
      </c>
      <c r="G247" s="1">
        <v>157</v>
      </c>
      <c r="H247" s="17" cm="1">
        <f t="array" ref="H247">_xlfn.LET(_xlpm.s,IFERROR(--F247,""),_xlpm.e,IFERROR(--G247,""),IF(OR(_xlpm.s="",_xlpm.e="",_xlpm.e&lt;_xlpm.s),"",_xlfn.LET(_xlpm.p,_xlfn.SEQUENCE(_xlpm.e-_xlpm.s+1,1,_xlpm.s,1),SUM(1/COUNTIFS($D:$D,D247,$E:$E,E247,$F:$F,"&lt;&gt;N/A",$G:$G,"&lt;&gt;N/A",$F:$F,"&lt;="&amp;_xlpm.p,$G:$G,"&gt;="&amp;_xlpm.p)))))</f>
        <v>0.58333333333333326</v>
      </c>
      <c r="I247" t="s">
        <v>624</v>
      </c>
      <c r="J247" t="s">
        <v>360</v>
      </c>
      <c r="K247" t="s">
        <v>7</v>
      </c>
      <c r="L247" s="5" t="s">
        <v>7</v>
      </c>
      <c r="M247" s="5" t="s">
        <v>7</v>
      </c>
      <c r="N247" s="5" t="s">
        <v>7</v>
      </c>
      <c r="O247" s="5" t="s">
        <v>778</v>
      </c>
      <c r="P247" s="5" t="s">
        <v>7834</v>
      </c>
      <c r="Q247" t="s">
        <v>6896</v>
      </c>
      <c r="R247" t="b">
        <v>1</v>
      </c>
    </row>
    <row r="248" spans="1:18">
      <c r="A248" t="s">
        <v>3014</v>
      </c>
      <c r="B248" t="s">
        <v>5822</v>
      </c>
      <c r="C248" t="s">
        <v>7775</v>
      </c>
      <c r="D248" s="1">
        <v>3</v>
      </c>
      <c r="E248" s="1">
        <v>5</v>
      </c>
      <c r="F248" s="1">
        <v>157</v>
      </c>
      <c r="G248" s="1">
        <v>157</v>
      </c>
      <c r="H248" s="17" cm="1">
        <f t="array" ref="H248">_xlfn.LET(_xlpm.s,IFERROR(--F248,""),_xlpm.e,IFERROR(--G248,""),IF(OR(_xlpm.s="",_xlpm.e="",_xlpm.e&lt;_xlpm.s),"",_xlfn.LET(_xlpm.p,_xlfn.SEQUENCE(_xlpm.e-_xlpm.s+1,1,_xlpm.s,1),SUM(1/COUNTIFS($D:$D,D248,$E:$E,E248,$F:$F,"&lt;&gt;N/A",$G:$G,"&lt;&gt;N/A",$F:$F,"&lt;="&amp;_xlpm.p,$G:$G,"&gt;="&amp;_xlpm.p)))))</f>
        <v>0.33333333333333331</v>
      </c>
      <c r="I248" t="s">
        <v>624</v>
      </c>
      <c r="J248" t="s">
        <v>2498</v>
      </c>
      <c r="K248" t="s">
        <v>7</v>
      </c>
      <c r="L248" s="5" t="s">
        <v>5344</v>
      </c>
      <c r="M248" s="5" t="s">
        <v>7</v>
      </c>
      <c r="N248" s="5" t="s">
        <v>7</v>
      </c>
      <c r="O248" s="5" t="s">
        <v>11522</v>
      </c>
      <c r="P248" s="5" t="s">
        <v>8021</v>
      </c>
      <c r="R248" t="b">
        <v>1</v>
      </c>
    </row>
    <row r="249" spans="1:18">
      <c r="A249" t="s">
        <v>3014</v>
      </c>
      <c r="B249" t="s">
        <v>5823</v>
      </c>
      <c r="C249" t="s">
        <v>7775</v>
      </c>
      <c r="D249" s="1">
        <v>3</v>
      </c>
      <c r="E249" s="1">
        <v>5</v>
      </c>
      <c r="F249" s="1">
        <v>157</v>
      </c>
      <c r="G249" s="1">
        <v>158</v>
      </c>
      <c r="H249" s="17" cm="1">
        <f t="array" ref="H249">_xlfn.LET(_xlpm.s,IFERROR(--F249,""),_xlpm.e,IFERROR(--G249,""),IF(OR(_xlpm.s="",_xlpm.e="",_xlpm.e&lt;_xlpm.s),"",_xlfn.LET(_xlpm.p,_xlfn.SEQUENCE(_xlpm.e-_xlpm.s+1,1,_xlpm.s,1),SUM(1/COUNTIFS($D:$D,D249,$E:$E,E249,$F:$F,"&lt;&gt;N/A",$G:$G,"&lt;&gt;N/A",$F:$F,"&lt;="&amp;_xlpm.p,$G:$G,"&gt;="&amp;_xlpm.p)))))</f>
        <v>1.3333333333333333</v>
      </c>
      <c r="I249" t="s">
        <v>1930</v>
      </c>
      <c r="J249" t="s">
        <v>2590</v>
      </c>
      <c r="K249" t="s">
        <v>7</v>
      </c>
      <c r="L249" s="5" t="s">
        <v>7</v>
      </c>
      <c r="M249" s="5" t="s">
        <v>5135</v>
      </c>
      <c r="N249" t="s">
        <v>2591</v>
      </c>
      <c r="O249" s="5" t="s">
        <v>5072</v>
      </c>
      <c r="P249" s="5" t="s">
        <v>8021</v>
      </c>
      <c r="R249" t="b">
        <v>1</v>
      </c>
    </row>
    <row r="250" spans="1:18">
      <c r="A250" t="s">
        <v>3014</v>
      </c>
      <c r="B250" t="s">
        <v>5824</v>
      </c>
      <c r="C250" t="s">
        <v>7775</v>
      </c>
      <c r="D250" s="1">
        <v>3</v>
      </c>
      <c r="E250" s="1">
        <v>5</v>
      </c>
      <c r="F250" s="1">
        <v>159</v>
      </c>
      <c r="G250" s="1">
        <v>160</v>
      </c>
      <c r="H250" s="17" cm="1">
        <f t="array" ref="H250">_xlfn.LET(_xlpm.s,IFERROR(--F250,""),_xlpm.e,IFERROR(--G250,""),IF(OR(_xlpm.s="",_xlpm.e="",_xlpm.e&lt;_xlpm.s),"",_xlfn.LET(_xlpm.p,_xlfn.SEQUENCE(_xlpm.e-_xlpm.s+1,1,_xlpm.s,1),SUM(1/COUNTIFS($D:$D,D250,$E:$E,E250,$F:$F,"&lt;&gt;N/A",$G:$G,"&lt;&gt;N/A",$F:$F,"&lt;="&amp;_xlpm.p,$G:$G,"&gt;="&amp;_xlpm.p)))))</f>
        <v>1.5</v>
      </c>
      <c r="I250" t="s">
        <v>1930</v>
      </c>
      <c r="J250" t="s">
        <v>362</v>
      </c>
      <c r="K250" t="s">
        <v>4625</v>
      </c>
      <c r="L250" s="5" t="s">
        <v>7</v>
      </c>
      <c r="M250" s="5" t="s">
        <v>5135</v>
      </c>
      <c r="N250" t="s">
        <v>2593</v>
      </c>
      <c r="O250" s="5" t="s">
        <v>5072</v>
      </c>
      <c r="P250" s="5" t="s">
        <v>8021</v>
      </c>
      <c r="R250" t="b">
        <v>1</v>
      </c>
    </row>
    <row r="251" spans="1:18">
      <c r="A251" t="s">
        <v>3014</v>
      </c>
      <c r="B251" t="s">
        <v>5825</v>
      </c>
      <c r="C251" t="s">
        <v>7775</v>
      </c>
      <c r="D251" s="1">
        <v>3</v>
      </c>
      <c r="E251" s="1">
        <v>5</v>
      </c>
      <c r="F251" s="1">
        <v>160</v>
      </c>
      <c r="G251" s="1">
        <v>161</v>
      </c>
      <c r="H251" s="17" cm="1">
        <f t="array" ref="H251">_xlfn.LET(_xlpm.s,IFERROR(--F251,""),_xlpm.e,IFERROR(--G251,""),IF(OR(_xlpm.s="",_xlpm.e="",_xlpm.e&lt;_xlpm.s),"",_xlfn.LET(_xlpm.p,_xlfn.SEQUENCE(_xlpm.e-_xlpm.s+1,1,_xlpm.s,1),SUM(1/COUNTIFS($D:$D,D251,$E:$E,E251,$F:$F,"&lt;&gt;N/A",$G:$G,"&lt;&gt;N/A",$F:$F,"&lt;="&amp;_xlpm.p,$G:$G,"&gt;="&amp;_xlpm.p)))))</f>
        <v>1.5</v>
      </c>
      <c r="I251" t="s">
        <v>1930</v>
      </c>
      <c r="J251" t="s">
        <v>361</v>
      </c>
      <c r="K251" t="s">
        <v>7</v>
      </c>
      <c r="L251" s="5" t="s">
        <v>4596</v>
      </c>
      <c r="M251" t="s">
        <v>5046</v>
      </c>
      <c r="N251" t="s">
        <v>6657</v>
      </c>
      <c r="O251" s="5" t="s">
        <v>5072</v>
      </c>
      <c r="P251" s="5" t="s">
        <v>8092</v>
      </c>
      <c r="Q251" s="5" t="s">
        <v>2509</v>
      </c>
      <c r="R251" t="b">
        <v>1</v>
      </c>
    </row>
    <row r="252" spans="1:18">
      <c r="A252" t="s">
        <v>3014</v>
      </c>
      <c r="B252" t="s">
        <v>5826</v>
      </c>
      <c r="C252" t="s">
        <v>7775</v>
      </c>
      <c r="D252" s="1">
        <v>3</v>
      </c>
      <c r="E252" s="1">
        <v>5</v>
      </c>
      <c r="F252" s="1">
        <v>162</v>
      </c>
      <c r="G252" s="1">
        <v>164</v>
      </c>
      <c r="H252" s="17" cm="1">
        <f t="array" ref="H252">_xlfn.LET(_xlpm.s,IFERROR(--F252,""),_xlpm.e,IFERROR(--G252,""),IF(OR(_xlpm.s="",_xlpm.e="",_xlpm.e&lt;_xlpm.s),"",_xlfn.LET(_xlpm.p,_xlfn.SEQUENCE(_xlpm.e-_xlpm.s+1,1,_xlpm.s,1),SUM(1/COUNTIFS($D:$D,D252,$E:$E,E252,$F:$F,"&lt;&gt;N/A",$G:$G,"&lt;&gt;N/A",$F:$F,"&lt;="&amp;_xlpm.p,$G:$G,"&gt;="&amp;_xlpm.p)))))</f>
        <v>2.5</v>
      </c>
      <c r="I252" t="s">
        <v>170</v>
      </c>
      <c r="J252" t="s">
        <v>2599</v>
      </c>
      <c r="K252" t="s">
        <v>7</v>
      </c>
      <c r="L252" s="5" t="s">
        <v>7</v>
      </c>
      <c r="M252" s="5" t="s">
        <v>5135</v>
      </c>
      <c r="N252" t="s">
        <v>6658</v>
      </c>
      <c r="O252" s="5" t="s">
        <v>5072</v>
      </c>
      <c r="P252" s="5" t="s">
        <v>8021</v>
      </c>
      <c r="R252" t="b">
        <v>1</v>
      </c>
    </row>
    <row r="253" spans="1:18">
      <c r="A253" t="s">
        <v>3014</v>
      </c>
      <c r="B253" t="s">
        <v>5827</v>
      </c>
      <c r="C253" t="s">
        <v>7775</v>
      </c>
      <c r="D253" s="1">
        <v>3</v>
      </c>
      <c r="E253" s="1">
        <v>5</v>
      </c>
      <c r="F253" s="1">
        <v>164</v>
      </c>
      <c r="G253" s="1">
        <v>165</v>
      </c>
      <c r="H253" s="17" cm="1">
        <f t="array" ref="H253">_xlfn.LET(_xlpm.s,IFERROR(--F253,""),_xlpm.e,IFERROR(--G253,""),IF(OR(_xlpm.s="",_xlpm.e="",_xlpm.e&lt;_xlpm.s),"",_xlfn.LET(_xlpm.p,_xlfn.SEQUENCE(_xlpm.e-_xlpm.s+1,1,_xlpm.s,1),SUM(1/COUNTIFS($D:$D,D253,$E:$E,E253,$F:$F,"&lt;&gt;N/A",$G:$G,"&lt;&gt;N/A",$F:$F,"&lt;="&amp;_xlpm.p,$G:$G,"&gt;="&amp;_xlpm.p)))))</f>
        <v>1</v>
      </c>
      <c r="I253" t="s">
        <v>170</v>
      </c>
      <c r="J253" t="s">
        <v>363</v>
      </c>
      <c r="K253" t="s">
        <v>7</v>
      </c>
      <c r="L253" s="5" t="s">
        <v>7</v>
      </c>
      <c r="M253" t="s">
        <v>5047</v>
      </c>
      <c r="N253" t="s">
        <v>6659</v>
      </c>
      <c r="O253" s="5" t="s">
        <v>5072</v>
      </c>
      <c r="P253" s="5" t="s">
        <v>8021</v>
      </c>
      <c r="Q253" s="5" t="s">
        <v>2509</v>
      </c>
      <c r="R253" t="b">
        <v>1</v>
      </c>
    </row>
    <row r="254" spans="1:18">
      <c r="A254" t="s">
        <v>3014</v>
      </c>
      <c r="B254" t="s">
        <v>5828</v>
      </c>
      <c r="C254" t="s">
        <v>7775</v>
      </c>
      <c r="D254" s="1">
        <v>3</v>
      </c>
      <c r="E254" s="1">
        <v>5</v>
      </c>
      <c r="F254" s="1">
        <v>165</v>
      </c>
      <c r="G254" s="1">
        <v>168</v>
      </c>
      <c r="H254" s="17" cm="1">
        <f t="array" ref="H254">_xlfn.LET(_xlpm.s,IFERROR(--F254,""),_xlpm.e,IFERROR(--G254,""),IF(OR(_xlpm.s="",_xlpm.e="",_xlpm.e&lt;_xlpm.s),"",_xlfn.LET(_xlpm.p,_xlfn.SEQUENCE(_xlpm.e-_xlpm.s+1,1,_xlpm.s,1),SUM(1/COUNTIFS($D:$D,D254,$E:$E,E254,$F:$F,"&lt;&gt;N/A",$G:$G,"&lt;&gt;N/A",$F:$F,"&lt;="&amp;_xlpm.p,$G:$G,"&gt;="&amp;_xlpm.p)))))</f>
        <v>3.5</v>
      </c>
      <c r="I254" t="s">
        <v>170</v>
      </c>
      <c r="J254" t="s">
        <v>364</v>
      </c>
      <c r="K254" t="s">
        <v>7</v>
      </c>
      <c r="L254" s="5" t="s">
        <v>4596</v>
      </c>
      <c r="M254" t="s">
        <v>5047</v>
      </c>
      <c r="N254" t="s">
        <v>6659</v>
      </c>
      <c r="O254" s="5" t="s">
        <v>5072</v>
      </c>
      <c r="P254" s="5" t="s">
        <v>8021</v>
      </c>
      <c r="Q254" s="5" t="s">
        <v>2509</v>
      </c>
      <c r="R254" t="b">
        <v>1</v>
      </c>
    </row>
    <row r="255" spans="1:18">
      <c r="A255" t="s">
        <v>3014</v>
      </c>
      <c r="B255" t="s">
        <v>5829</v>
      </c>
      <c r="C255" t="s">
        <v>7783</v>
      </c>
      <c r="D255" s="1">
        <v>3</v>
      </c>
      <c r="E255" s="1">
        <v>6</v>
      </c>
      <c r="F255" s="1">
        <v>169</v>
      </c>
      <c r="G255" s="1">
        <v>178</v>
      </c>
      <c r="H255" s="17" cm="1">
        <f t="array" ref="H255">_xlfn.LET(_xlpm.s,IFERROR(--F255,""),_xlpm.e,IFERROR(--G255,""),IF(OR(_xlpm.s="",_xlpm.e="",_xlpm.e&lt;_xlpm.s),"",_xlfn.LET(_xlpm.p,_xlfn.SEQUENCE(_xlpm.e-_xlpm.s+1,1,_xlpm.s,1),SUM(1/COUNTIFS($D:$D,D255,$E:$E,E255,$F:$F,"&lt;&gt;N/A",$G:$G,"&lt;&gt;N/A",$F:$F,"&lt;="&amp;_xlpm.p,$G:$G,"&gt;="&amp;_xlpm.p)))))</f>
        <v>10</v>
      </c>
      <c r="I255" t="s">
        <v>8</v>
      </c>
      <c r="J255" t="s">
        <v>2600</v>
      </c>
      <c r="K255" t="s">
        <v>7</v>
      </c>
      <c r="L255" s="5" t="s">
        <v>4619</v>
      </c>
      <c r="M255" s="5" t="s">
        <v>7</v>
      </c>
      <c r="N255" s="5" t="s">
        <v>10160</v>
      </c>
      <c r="O255" s="5" t="s">
        <v>5072</v>
      </c>
      <c r="P255" s="5" t="s">
        <v>8021</v>
      </c>
      <c r="Q255" s="5" t="s">
        <v>2509</v>
      </c>
      <c r="R255" t="b">
        <v>1</v>
      </c>
    </row>
    <row r="256" spans="1:18">
      <c r="A256" t="s">
        <v>3014</v>
      </c>
      <c r="B256" t="s">
        <v>5830</v>
      </c>
      <c r="C256" t="s">
        <v>7783</v>
      </c>
      <c r="D256" s="1">
        <v>3</v>
      </c>
      <c r="E256" s="1">
        <v>6</v>
      </c>
      <c r="F256" s="1">
        <v>179</v>
      </c>
      <c r="G256" s="1">
        <v>181</v>
      </c>
      <c r="H256" s="17" cm="1">
        <f t="array" ref="H256">_xlfn.LET(_xlpm.s,IFERROR(--F256,""),_xlpm.e,IFERROR(--G256,""),IF(OR(_xlpm.s="",_xlpm.e="",_xlpm.e&lt;_xlpm.s),"",_xlfn.LET(_xlpm.p,_xlfn.SEQUENCE(_xlpm.e-_xlpm.s+1,1,_xlpm.s,1),SUM(1/COUNTIFS($D:$D,D256,$E:$E,E256,$F:$F,"&lt;&gt;N/A",$G:$G,"&lt;&gt;N/A",$F:$F,"&lt;="&amp;_xlpm.p,$G:$G,"&gt;="&amp;_xlpm.p)))))</f>
        <v>2.5</v>
      </c>
      <c r="I256" t="s">
        <v>2573</v>
      </c>
      <c r="J256" t="s">
        <v>2601</v>
      </c>
      <c r="K256" t="s">
        <v>7</v>
      </c>
      <c r="L256" s="5" t="s">
        <v>4605</v>
      </c>
      <c r="M256" s="5" t="s">
        <v>7</v>
      </c>
      <c r="N256" s="5" t="s">
        <v>7</v>
      </c>
      <c r="O256" s="5" t="s">
        <v>5072</v>
      </c>
      <c r="P256" s="5" t="s">
        <v>10179</v>
      </c>
      <c r="R256" t="b">
        <v>1</v>
      </c>
    </row>
    <row r="257" spans="1:18">
      <c r="A257" t="s">
        <v>3014</v>
      </c>
      <c r="B257" t="s">
        <v>5831</v>
      </c>
      <c r="C257" t="s">
        <v>7783</v>
      </c>
      <c r="D257" s="1">
        <v>3</v>
      </c>
      <c r="E257" s="1">
        <v>6</v>
      </c>
      <c r="F257" s="1">
        <v>181</v>
      </c>
      <c r="G257" s="1">
        <v>186</v>
      </c>
      <c r="H257" s="17" cm="1">
        <f t="array" ref="H257">_xlfn.LET(_xlpm.s,IFERROR(--F257,""),_xlpm.e,IFERROR(--G257,""),IF(OR(_xlpm.s="",_xlpm.e="",_xlpm.e&lt;_xlpm.s),"",_xlfn.LET(_xlpm.p,_xlfn.SEQUENCE(_xlpm.e-_xlpm.s+1,1,_xlpm.s,1),SUM(1/COUNTIFS($D:$D,D257,$E:$E,E257,$F:$F,"&lt;&gt;N/A",$G:$G,"&lt;&gt;N/A",$F:$F,"&lt;="&amp;_xlpm.p,$G:$G,"&gt;="&amp;_xlpm.p)))))</f>
        <v>5</v>
      </c>
      <c r="I257" t="s">
        <v>2573</v>
      </c>
      <c r="J257" t="s">
        <v>365</v>
      </c>
      <c r="K257" t="s">
        <v>7</v>
      </c>
      <c r="L257" s="5" t="s">
        <v>4596</v>
      </c>
      <c r="M257" t="s">
        <v>6324</v>
      </c>
      <c r="N257" t="s">
        <v>6667</v>
      </c>
      <c r="O257" s="5" t="s">
        <v>5072</v>
      </c>
      <c r="P257" s="5" t="s">
        <v>8021</v>
      </c>
      <c r="Q257" s="5" t="s">
        <v>2509</v>
      </c>
      <c r="R257" t="b">
        <v>1</v>
      </c>
    </row>
    <row r="258" spans="1:18">
      <c r="A258" t="s">
        <v>3014</v>
      </c>
      <c r="B258" t="s">
        <v>5832</v>
      </c>
      <c r="C258" t="s">
        <v>7783</v>
      </c>
      <c r="D258" s="1">
        <v>3</v>
      </c>
      <c r="E258" s="1">
        <v>6</v>
      </c>
      <c r="F258" s="1">
        <v>186</v>
      </c>
      <c r="G258" s="1">
        <v>188</v>
      </c>
      <c r="H258" s="17" cm="1">
        <f t="array" ref="H258">_xlfn.LET(_xlpm.s,IFERROR(--F258,""),_xlpm.e,IFERROR(--G258,""),IF(OR(_xlpm.s="",_xlpm.e="",_xlpm.e&lt;_xlpm.s),"",_xlfn.LET(_xlpm.p,_xlfn.SEQUENCE(_xlpm.e-_xlpm.s+1,1,_xlpm.s,1),SUM(1/COUNTIFS($D:$D,D258,$E:$E,E258,$F:$F,"&lt;&gt;N/A",$G:$G,"&lt;&gt;N/A",$F:$F,"&lt;="&amp;_xlpm.p,$G:$G,"&gt;="&amp;_xlpm.p)))))</f>
        <v>2</v>
      </c>
      <c r="I258" t="s">
        <v>2573</v>
      </c>
      <c r="J258" t="s">
        <v>366</v>
      </c>
      <c r="K258" t="s">
        <v>2516</v>
      </c>
      <c r="L258" s="5" t="s">
        <v>4596</v>
      </c>
      <c r="M258" t="s">
        <v>5047</v>
      </c>
      <c r="N258" t="s">
        <v>6668</v>
      </c>
      <c r="O258" s="5" t="s">
        <v>5072</v>
      </c>
      <c r="P258" s="5" t="s">
        <v>8021</v>
      </c>
      <c r="Q258" s="5" t="s">
        <v>2509</v>
      </c>
      <c r="R258" t="b">
        <v>1</v>
      </c>
    </row>
    <row r="259" spans="1:18">
      <c r="A259" t="s">
        <v>3014</v>
      </c>
      <c r="B259" t="s">
        <v>5833</v>
      </c>
      <c r="C259" t="s">
        <v>7783</v>
      </c>
      <c r="D259" s="1">
        <v>3</v>
      </c>
      <c r="E259" s="1">
        <v>6</v>
      </c>
      <c r="F259" s="1">
        <v>188</v>
      </c>
      <c r="G259" s="1">
        <v>194</v>
      </c>
      <c r="H259" s="17" cm="1">
        <f t="array" ref="H259">_xlfn.LET(_xlpm.s,IFERROR(--F259,""),_xlpm.e,IFERROR(--G259,""),IF(OR(_xlpm.s="",_xlpm.e="",_xlpm.e&lt;_xlpm.s),"",_xlfn.LET(_xlpm.p,_xlfn.SEQUENCE(_xlpm.e-_xlpm.s+1,1,_xlpm.s,1),SUM(1/COUNTIFS($D:$D,D259,$E:$E,E259,$F:$F,"&lt;&gt;N/A",$G:$G,"&lt;&gt;N/A",$F:$F,"&lt;="&amp;_xlpm.p,$G:$G,"&gt;="&amp;_xlpm.p)))))</f>
        <v>6</v>
      </c>
      <c r="I259" t="s">
        <v>2573</v>
      </c>
      <c r="J259" t="s">
        <v>367</v>
      </c>
      <c r="K259" t="s">
        <v>7</v>
      </c>
      <c r="L259" s="5" t="s">
        <v>4596</v>
      </c>
      <c r="M259" t="s">
        <v>5046</v>
      </c>
      <c r="N259" t="s">
        <v>6669</v>
      </c>
      <c r="O259" s="5" t="s">
        <v>5072</v>
      </c>
      <c r="P259" s="5" t="s">
        <v>8092</v>
      </c>
      <c r="Q259" s="5" t="s">
        <v>2509</v>
      </c>
      <c r="R259" t="b">
        <v>1</v>
      </c>
    </row>
    <row r="260" spans="1:18">
      <c r="A260" t="s">
        <v>3014</v>
      </c>
      <c r="B260" t="s">
        <v>5834</v>
      </c>
      <c r="C260" t="s">
        <v>7783</v>
      </c>
      <c r="D260" s="1">
        <v>3</v>
      </c>
      <c r="E260" s="1">
        <v>6</v>
      </c>
      <c r="F260" s="1">
        <v>194</v>
      </c>
      <c r="G260" s="1">
        <v>197</v>
      </c>
      <c r="H260" s="17" cm="1">
        <f t="array" ref="H260">_xlfn.LET(_xlpm.s,IFERROR(--F260,""),_xlpm.e,IFERROR(--G260,""),IF(OR(_xlpm.s="",_xlpm.e="",_xlpm.e&lt;_xlpm.s),"",_xlfn.LET(_xlpm.p,_xlfn.SEQUENCE(_xlpm.e-_xlpm.s+1,1,_xlpm.s,1),SUM(1/COUNTIFS($D:$D,D260,$E:$E,E260,$F:$F,"&lt;&gt;N/A",$G:$G,"&lt;&gt;N/A",$F:$F,"&lt;="&amp;_xlpm.p,$G:$G,"&gt;="&amp;_xlpm.p)))))</f>
        <v>3</v>
      </c>
      <c r="I260" t="s">
        <v>170</v>
      </c>
      <c r="J260" t="s">
        <v>2603</v>
      </c>
      <c r="K260" t="s">
        <v>7</v>
      </c>
      <c r="L260" s="5" t="s">
        <v>7</v>
      </c>
      <c r="M260" s="5" t="s">
        <v>7</v>
      </c>
      <c r="N260" t="s">
        <v>2592</v>
      </c>
      <c r="O260" s="5" t="s">
        <v>5072</v>
      </c>
      <c r="P260" s="5" t="s">
        <v>8021</v>
      </c>
      <c r="Q260" t="s">
        <v>2571</v>
      </c>
      <c r="R260" t="b">
        <v>1</v>
      </c>
    </row>
    <row r="261" spans="1:18">
      <c r="A261" t="s">
        <v>3014</v>
      </c>
      <c r="B261" t="s">
        <v>5835</v>
      </c>
      <c r="C261" t="s">
        <v>7783</v>
      </c>
      <c r="D261" s="1">
        <v>3</v>
      </c>
      <c r="E261" s="1">
        <v>6</v>
      </c>
      <c r="F261" s="1">
        <v>197</v>
      </c>
      <c r="G261" s="1">
        <v>198</v>
      </c>
      <c r="H261" s="17" cm="1">
        <f t="array" ref="H261">_xlfn.LET(_xlpm.s,IFERROR(--F261,""),_xlpm.e,IFERROR(--G261,""),IF(OR(_xlpm.s="",_xlpm.e="",_xlpm.e&lt;_xlpm.s),"",_xlfn.LET(_xlpm.p,_xlfn.SEQUENCE(_xlpm.e-_xlpm.s+1,1,_xlpm.s,1),SUM(1/COUNTIFS($D:$D,D261,$E:$E,E261,$F:$F,"&lt;&gt;N/A",$G:$G,"&lt;&gt;N/A",$F:$F,"&lt;="&amp;_xlpm.p,$G:$G,"&gt;="&amp;_xlpm.p)))))</f>
        <v>1</v>
      </c>
      <c r="I261" t="s">
        <v>170</v>
      </c>
      <c r="J261" t="s">
        <v>368</v>
      </c>
      <c r="K261" t="s">
        <v>7</v>
      </c>
      <c r="L261" s="5" t="s">
        <v>5481</v>
      </c>
      <c r="M261" t="s">
        <v>7</v>
      </c>
      <c r="N261" t="s">
        <v>7</v>
      </c>
      <c r="O261" s="5" t="s">
        <v>5072</v>
      </c>
      <c r="P261" s="5" t="s">
        <v>8020</v>
      </c>
      <c r="R261" t="b">
        <v>1</v>
      </c>
    </row>
    <row r="262" spans="1:18">
      <c r="A262" t="s">
        <v>3014</v>
      </c>
      <c r="B262" t="s">
        <v>5836</v>
      </c>
      <c r="C262" t="s">
        <v>7783</v>
      </c>
      <c r="D262" s="1">
        <v>3</v>
      </c>
      <c r="E262" s="1">
        <v>6</v>
      </c>
      <c r="F262" s="1">
        <v>198</v>
      </c>
      <c r="G262" s="1">
        <v>198</v>
      </c>
      <c r="H262" s="17" cm="1">
        <f t="array" ref="H262">_xlfn.LET(_xlpm.s,IFERROR(--F262,""),_xlpm.e,IFERROR(--G262,""),IF(OR(_xlpm.s="",_xlpm.e="",_xlpm.e&lt;_xlpm.s),"",_xlfn.LET(_xlpm.p,_xlfn.SEQUENCE(_xlpm.e-_xlpm.s+1,1,_xlpm.s,1),SUM(1/COUNTIFS($D:$D,D262,$E:$E,E262,$F:$F,"&lt;&gt;N/A",$G:$G,"&lt;&gt;N/A",$F:$F,"&lt;="&amp;_xlpm.p,$G:$G,"&gt;="&amp;_xlpm.p)))))</f>
        <v>0.5</v>
      </c>
      <c r="I262" t="s">
        <v>170</v>
      </c>
      <c r="J262" t="s">
        <v>369</v>
      </c>
      <c r="K262" t="s">
        <v>2489</v>
      </c>
      <c r="L262" s="5" t="s">
        <v>7</v>
      </c>
      <c r="M262" t="s">
        <v>7</v>
      </c>
      <c r="N262" t="s">
        <v>7</v>
      </c>
      <c r="O262" s="5" t="s">
        <v>778</v>
      </c>
      <c r="P262" s="5" t="s">
        <v>7834</v>
      </c>
      <c r="R262" t="b">
        <v>1</v>
      </c>
    </row>
    <row r="263" spans="1:18">
      <c r="A263" t="s">
        <v>3014</v>
      </c>
      <c r="B263" t="s">
        <v>5837</v>
      </c>
      <c r="C263" t="s">
        <v>7783</v>
      </c>
      <c r="D263" s="1">
        <v>3</v>
      </c>
      <c r="E263" s="1">
        <v>6</v>
      </c>
      <c r="F263" s="1">
        <v>199</v>
      </c>
      <c r="G263" s="1">
        <v>200</v>
      </c>
      <c r="H263" s="17" cm="1">
        <f t="array" ref="H263">_xlfn.LET(_xlpm.s,IFERROR(--F263,""),_xlpm.e,IFERROR(--G263,""),IF(OR(_xlpm.s="",_xlpm.e="",_xlpm.e&lt;_xlpm.s),"",_xlfn.LET(_xlpm.p,_xlfn.SEQUENCE(_xlpm.e-_xlpm.s+1,1,_xlpm.s,1),SUM(1/COUNTIFS($D:$D,D263,$E:$E,E263,$F:$F,"&lt;&gt;N/A",$G:$G,"&lt;&gt;N/A",$F:$F,"&lt;="&amp;_xlpm.p,$G:$G,"&gt;="&amp;_xlpm.p)))))</f>
        <v>2</v>
      </c>
      <c r="I263" t="s">
        <v>472</v>
      </c>
      <c r="J263" t="s">
        <v>2604</v>
      </c>
      <c r="K263" t="s">
        <v>4626</v>
      </c>
      <c r="L263" s="5" t="s">
        <v>7</v>
      </c>
      <c r="M263" s="5" t="s">
        <v>7</v>
      </c>
      <c r="N263" t="s">
        <v>7</v>
      </c>
      <c r="O263" s="5" t="s">
        <v>778</v>
      </c>
      <c r="P263" s="5" t="s">
        <v>7834</v>
      </c>
      <c r="R263" t="b">
        <v>1</v>
      </c>
    </row>
    <row r="264" spans="1:18">
      <c r="A264" t="s">
        <v>3014</v>
      </c>
      <c r="B264" t="s">
        <v>5838</v>
      </c>
      <c r="C264" t="s">
        <v>7791</v>
      </c>
      <c r="D264" s="1">
        <v>3</v>
      </c>
      <c r="E264" s="1">
        <v>7</v>
      </c>
      <c r="F264" s="1">
        <v>201</v>
      </c>
      <c r="G264" s="1">
        <v>202</v>
      </c>
      <c r="H264" s="17" cm="1">
        <f t="array" ref="H264">_xlfn.LET(_xlpm.s,IFERROR(--F264,""),_xlpm.e,IFERROR(--G264,""),IF(OR(_xlpm.s="",_xlpm.e="",_xlpm.e&lt;_xlpm.s),"",_xlfn.LET(_xlpm.p,_xlfn.SEQUENCE(_xlpm.e-_xlpm.s+1,1,_xlpm.s,1),SUM(1/COUNTIFS($D:$D,D264,$E:$E,E264,$F:$F,"&lt;&gt;N/A",$G:$G,"&lt;&gt;N/A",$F:$F,"&lt;="&amp;_xlpm.p,$G:$G,"&gt;="&amp;_xlpm.p)))))</f>
        <v>1.5</v>
      </c>
      <c r="I264" t="s">
        <v>624</v>
      </c>
      <c r="J264" t="s">
        <v>2605</v>
      </c>
      <c r="K264" t="s">
        <v>7</v>
      </c>
      <c r="L264" s="5" t="s">
        <v>4596</v>
      </c>
      <c r="M264" t="s">
        <v>5047</v>
      </c>
      <c r="N264" t="s">
        <v>6484</v>
      </c>
      <c r="O264" s="5" t="s">
        <v>5072</v>
      </c>
      <c r="P264" s="5" t="s">
        <v>8021</v>
      </c>
      <c r="Q264" s="5" t="s">
        <v>2509</v>
      </c>
      <c r="R264" t="b">
        <v>1</v>
      </c>
    </row>
    <row r="265" spans="1:18">
      <c r="A265" t="s">
        <v>3014</v>
      </c>
      <c r="B265" t="s">
        <v>5839</v>
      </c>
      <c r="C265" t="s">
        <v>7791</v>
      </c>
      <c r="D265" s="1">
        <v>3</v>
      </c>
      <c r="E265" s="1">
        <v>7</v>
      </c>
      <c r="F265" s="1">
        <v>202</v>
      </c>
      <c r="G265" s="1">
        <v>203</v>
      </c>
      <c r="H265" s="17" cm="1">
        <f t="array" ref="H265">_xlfn.LET(_xlpm.s,IFERROR(--F265,""),_xlpm.e,IFERROR(--G265,""),IF(OR(_xlpm.s="",_xlpm.e="",_xlpm.e&lt;_xlpm.s),"",_xlfn.LET(_xlpm.p,_xlfn.SEQUENCE(_xlpm.e-_xlpm.s+1,1,_xlpm.s,1),SUM(1/COUNTIFS($D:$D,D265,$E:$E,E265,$F:$F,"&lt;&gt;N/A",$G:$G,"&lt;&gt;N/A",$F:$F,"&lt;="&amp;_xlpm.p,$G:$G,"&gt;="&amp;_xlpm.p)))))</f>
        <v>1</v>
      </c>
      <c r="I265" t="s">
        <v>624</v>
      </c>
      <c r="J265" t="s">
        <v>370</v>
      </c>
      <c r="K265" t="s">
        <v>7</v>
      </c>
      <c r="L265" s="5" t="s">
        <v>4596</v>
      </c>
      <c r="M265" t="s">
        <v>5046</v>
      </c>
      <c r="N265" t="s">
        <v>6485</v>
      </c>
      <c r="O265" s="5" t="s">
        <v>5072</v>
      </c>
      <c r="P265" s="5" t="s">
        <v>8092</v>
      </c>
      <c r="Q265" s="5" t="s">
        <v>2509</v>
      </c>
      <c r="R265" t="b">
        <v>1</v>
      </c>
    </row>
    <row r="266" spans="1:18">
      <c r="A266" t="s">
        <v>3014</v>
      </c>
      <c r="B266" t="s">
        <v>5840</v>
      </c>
      <c r="C266" t="s">
        <v>7791</v>
      </c>
      <c r="D266" s="1">
        <v>3</v>
      </c>
      <c r="E266" s="1">
        <v>7</v>
      </c>
      <c r="F266" s="1">
        <v>203</v>
      </c>
      <c r="G266" s="1">
        <v>204</v>
      </c>
      <c r="H266" s="17" cm="1">
        <f t="array" ref="H266">_xlfn.LET(_xlpm.s,IFERROR(--F266,""),_xlpm.e,IFERROR(--G266,""),IF(OR(_xlpm.s="",_xlpm.e="",_xlpm.e&lt;_xlpm.s),"",_xlfn.LET(_xlpm.p,_xlfn.SEQUENCE(_xlpm.e-_xlpm.s+1,1,_xlpm.s,1),SUM(1/COUNTIFS($D:$D,D266,$E:$E,E266,$F:$F,"&lt;&gt;N/A",$G:$G,"&lt;&gt;N/A",$F:$F,"&lt;="&amp;_xlpm.p,$G:$G,"&gt;="&amp;_xlpm.p)))))</f>
        <v>1</v>
      </c>
      <c r="I266" t="s">
        <v>624</v>
      </c>
      <c r="J266" t="s">
        <v>6486</v>
      </c>
      <c r="K266" t="s">
        <v>7</v>
      </c>
      <c r="L266" s="5" t="s">
        <v>4596</v>
      </c>
      <c r="M266" t="s">
        <v>5046</v>
      </c>
      <c r="N266" t="s">
        <v>6487</v>
      </c>
      <c r="O266" s="5" t="s">
        <v>5072</v>
      </c>
      <c r="P266" s="5" t="s">
        <v>8092</v>
      </c>
      <c r="Q266" s="5" t="s">
        <v>2509</v>
      </c>
      <c r="R266" t="b">
        <v>1</v>
      </c>
    </row>
    <row r="267" spans="1:18">
      <c r="A267" t="s">
        <v>3014</v>
      </c>
      <c r="B267" t="s">
        <v>5841</v>
      </c>
      <c r="C267" t="s">
        <v>7791</v>
      </c>
      <c r="D267" s="1">
        <v>3</v>
      </c>
      <c r="E267" s="1">
        <v>7</v>
      </c>
      <c r="F267" s="1">
        <v>204</v>
      </c>
      <c r="G267" s="1">
        <v>208</v>
      </c>
      <c r="H267" s="17" cm="1">
        <f t="array" ref="H267">_xlfn.LET(_xlpm.s,IFERROR(--F267,""),_xlpm.e,IFERROR(--G267,""),IF(OR(_xlpm.s="",_xlpm.e="",_xlpm.e&lt;_xlpm.s),"",_xlfn.LET(_xlpm.p,_xlfn.SEQUENCE(_xlpm.e-_xlpm.s+1,1,_xlpm.s,1),SUM(1/COUNTIFS($D:$D,D267,$E:$E,E267,$F:$F,"&lt;&gt;N/A",$G:$G,"&lt;&gt;N/A",$F:$F,"&lt;="&amp;_xlpm.p,$G:$G,"&gt;="&amp;_xlpm.p)))))</f>
        <v>4.5</v>
      </c>
      <c r="I267" t="s">
        <v>2573</v>
      </c>
      <c r="J267" t="s">
        <v>3207</v>
      </c>
      <c r="K267" t="s">
        <v>7</v>
      </c>
      <c r="L267" s="5" t="s">
        <v>5234</v>
      </c>
      <c r="M267" t="s">
        <v>5137</v>
      </c>
      <c r="N267" t="s">
        <v>6493</v>
      </c>
      <c r="O267" s="5" t="s">
        <v>5072</v>
      </c>
      <c r="P267" s="5" t="s">
        <v>8021</v>
      </c>
      <c r="Q267" s="5" t="s">
        <v>2509</v>
      </c>
      <c r="R267" t="b">
        <v>1</v>
      </c>
    </row>
    <row r="268" spans="1:18">
      <c r="A268" t="s">
        <v>3014</v>
      </c>
      <c r="B268" t="s">
        <v>5842</v>
      </c>
      <c r="C268" t="s">
        <v>7791</v>
      </c>
      <c r="D268" s="1">
        <v>3</v>
      </c>
      <c r="E268" s="1">
        <v>7</v>
      </c>
      <c r="F268" s="1">
        <v>209</v>
      </c>
      <c r="G268" s="1">
        <v>219</v>
      </c>
      <c r="H268" s="17" cm="1">
        <f t="array" ref="H268">_xlfn.LET(_xlpm.s,IFERROR(--F268,""),_xlpm.e,IFERROR(--G268,""),IF(OR(_xlpm.s="",_xlpm.e="",_xlpm.e&lt;_xlpm.s),"",_xlfn.LET(_xlpm.p,_xlfn.SEQUENCE(_xlpm.e-_xlpm.s+1,1,_xlpm.s,1),SUM(1/COUNTIFS($D:$D,D268,$E:$E,E268,$F:$F,"&lt;&gt;N/A",$G:$G,"&lt;&gt;N/A",$F:$F,"&lt;="&amp;_xlpm.p,$G:$G,"&gt;="&amp;_xlpm.p)))))</f>
        <v>10.5</v>
      </c>
      <c r="I268" t="s">
        <v>2573</v>
      </c>
      <c r="J268" t="s">
        <v>371</v>
      </c>
      <c r="K268" t="s">
        <v>2501</v>
      </c>
      <c r="L268" s="5" t="s">
        <v>5234</v>
      </c>
      <c r="M268" t="s">
        <v>6488</v>
      </c>
      <c r="N268" t="s">
        <v>6492</v>
      </c>
      <c r="O268" s="5" t="s">
        <v>5072</v>
      </c>
      <c r="P268" s="5" t="s">
        <v>8021</v>
      </c>
      <c r="Q268" s="5" t="s">
        <v>2509</v>
      </c>
      <c r="R268" t="b">
        <v>1</v>
      </c>
    </row>
    <row r="269" spans="1:18">
      <c r="A269" t="s">
        <v>3014</v>
      </c>
      <c r="B269" t="s">
        <v>5843</v>
      </c>
      <c r="C269" t="s">
        <v>7791</v>
      </c>
      <c r="D269" s="1">
        <v>3</v>
      </c>
      <c r="E269" s="1">
        <v>7</v>
      </c>
      <c r="F269" s="1">
        <v>219</v>
      </c>
      <c r="G269" s="1">
        <v>220</v>
      </c>
      <c r="H269" s="17" cm="1">
        <f t="array" ref="H269">_xlfn.LET(_xlpm.s,IFERROR(--F269,""),_xlpm.e,IFERROR(--G269,""),IF(OR(_xlpm.s="",_xlpm.e="",_xlpm.e&lt;_xlpm.s),"",_xlfn.LET(_xlpm.p,_xlfn.SEQUENCE(_xlpm.e-_xlpm.s+1,1,_xlpm.s,1),SUM(1/COUNTIFS($D:$D,D269,$E:$E,E269,$F:$F,"&lt;&gt;N/A",$G:$G,"&lt;&gt;N/A",$F:$F,"&lt;="&amp;_xlpm.p,$G:$G,"&gt;="&amp;_xlpm.p)))))</f>
        <v>1</v>
      </c>
      <c r="I269" t="s">
        <v>2602</v>
      </c>
      <c r="J269" t="s">
        <v>2606</v>
      </c>
      <c r="K269" t="s">
        <v>7</v>
      </c>
      <c r="L269" s="5" t="s">
        <v>5234</v>
      </c>
      <c r="M269" t="s">
        <v>6488</v>
      </c>
      <c r="N269" t="s">
        <v>6491</v>
      </c>
      <c r="O269" s="5" t="s">
        <v>5072</v>
      </c>
      <c r="P269" s="5" t="s">
        <v>8021</v>
      </c>
      <c r="Q269" s="5" t="s">
        <v>2509</v>
      </c>
      <c r="R269" t="b">
        <v>1</v>
      </c>
    </row>
    <row r="270" spans="1:18">
      <c r="A270" t="s">
        <v>3014</v>
      </c>
      <c r="B270" t="s">
        <v>5844</v>
      </c>
      <c r="C270" t="s">
        <v>7791</v>
      </c>
      <c r="D270" s="1">
        <v>3</v>
      </c>
      <c r="E270" s="1">
        <v>7</v>
      </c>
      <c r="F270" s="1">
        <v>220</v>
      </c>
      <c r="G270" s="1">
        <v>222</v>
      </c>
      <c r="H270" s="17" cm="1">
        <f t="array" ref="H270">_xlfn.LET(_xlpm.s,IFERROR(--F270,""),_xlpm.e,IFERROR(--G270,""),IF(OR(_xlpm.s="",_xlpm.e="",_xlpm.e&lt;_xlpm.s),"",_xlfn.LET(_xlpm.p,_xlfn.SEQUENCE(_xlpm.e-_xlpm.s+1,1,_xlpm.s,1),SUM(1/COUNTIFS($D:$D,D270,$E:$E,E270,$F:$F,"&lt;&gt;N/A",$G:$G,"&lt;&gt;N/A",$F:$F,"&lt;="&amp;_xlpm.p,$G:$G,"&gt;="&amp;_xlpm.p)))))</f>
        <v>2</v>
      </c>
      <c r="I270" t="s">
        <v>2602</v>
      </c>
      <c r="J270" t="s">
        <v>372</v>
      </c>
      <c r="K270" t="s">
        <v>7</v>
      </c>
      <c r="L270" s="5" t="s">
        <v>5234</v>
      </c>
      <c r="M270" t="s">
        <v>6488</v>
      </c>
      <c r="N270" t="s">
        <v>6490</v>
      </c>
      <c r="O270" s="5" t="s">
        <v>5072</v>
      </c>
      <c r="P270" s="5" t="s">
        <v>8021</v>
      </c>
      <c r="Q270" s="5" t="s">
        <v>2509</v>
      </c>
      <c r="R270" t="b">
        <v>1</v>
      </c>
    </row>
    <row r="271" spans="1:18">
      <c r="A271" t="s">
        <v>3014</v>
      </c>
      <c r="B271" t="s">
        <v>5845</v>
      </c>
      <c r="C271" t="s">
        <v>7791</v>
      </c>
      <c r="D271" s="1">
        <v>3</v>
      </c>
      <c r="E271" s="1">
        <v>7</v>
      </c>
      <c r="F271" s="1">
        <v>222</v>
      </c>
      <c r="G271" s="1">
        <v>223</v>
      </c>
      <c r="H271" s="17" cm="1">
        <f t="array" ref="H271">_xlfn.LET(_xlpm.s,IFERROR(--F271,""),_xlpm.e,IFERROR(--G271,""),IF(OR(_xlpm.s="",_xlpm.e="",_xlpm.e&lt;_xlpm.s),"",_xlfn.LET(_xlpm.p,_xlfn.SEQUENCE(_xlpm.e-_xlpm.s+1,1,_xlpm.s,1),SUM(1/COUNTIFS($D:$D,D271,$E:$E,E271,$F:$F,"&lt;&gt;N/A",$G:$G,"&lt;&gt;N/A",$F:$F,"&lt;="&amp;_xlpm.p,$G:$G,"&gt;="&amp;_xlpm.p)))))</f>
        <v>1</v>
      </c>
      <c r="I271" t="s">
        <v>2602</v>
      </c>
      <c r="J271" t="s">
        <v>5476</v>
      </c>
      <c r="K271" t="s">
        <v>5477</v>
      </c>
      <c r="L271" s="5" t="s">
        <v>5234</v>
      </c>
      <c r="M271" t="s">
        <v>6488</v>
      </c>
      <c r="N271" t="s">
        <v>6571</v>
      </c>
      <c r="O271" s="5" t="s">
        <v>5072</v>
      </c>
      <c r="P271" s="5" t="s">
        <v>8021</v>
      </c>
      <c r="Q271" s="5"/>
      <c r="R271" t="b">
        <v>1</v>
      </c>
    </row>
    <row r="272" spans="1:18">
      <c r="A272" t="s">
        <v>3014</v>
      </c>
      <c r="B272" t="s">
        <v>5846</v>
      </c>
      <c r="C272" t="s">
        <v>7791</v>
      </c>
      <c r="D272" s="1">
        <v>3</v>
      </c>
      <c r="E272" s="1">
        <v>7</v>
      </c>
      <c r="F272" s="1">
        <v>223</v>
      </c>
      <c r="G272" s="1">
        <v>224</v>
      </c>
      <c r="H272" s="17" cm="1">
        <f t="array" ref="H272">_xlfn.LET(_xlpm.s,IFERROR(--F272,""),_xlpm.e,IFERROR(--G272,""),IF(OR(_xlpm.s="",_xlpm.e="",_xlpm.e&lt;_xlpm.s),"",_xlfn.LET(_xlpm.p,_xlfn.SEQUENCE(_xlpm.e-_xlpm.s+1,1,_xlpm.s,1),SUM(1/COUNTIFS($D:$D,D272,$E:$E,E272,$F:$F,"&lt;&gt;N/A",$G:$G,"&lt;&gt;N/A",$F:$F,"&lt;="&amp;_xlpm.p,$G:$G,"&gt;="&amp;_xlpm.p)))))</f>
        <v>1.5</v>
      </c>
      <c r="I272" t="s">
        <v>170</v>
      </c>
      <c r="J272" t="s">
        <v>2607</v>
      </c>
      <c r="K272" t="s">
        <v>7</v>
      </c>
      <c r="L272" s="5" t="s">
        <v>5478</v>
      </c>
      <c r="M272" t="s">
        <v>5420</v>
      </c>
      <c r="N272" t="s">
        <v>6660</v>
      </c>
      <c r="O272" s="5" t="s">
        <v>5072</v>
      </c>
      <c r="P272" s="5" t="s">
        <v>8092</v>
      </c>
      <c r="Q272" s="5" t="s">
        <v>2509</v>
      </c>
      <c r="R272" t="b">
        <v>1</v>
      </c>
    </row>
    <row r="273" spans="1:18">
      <c r="A273" t="s">
        <v>3014</v>
      </c>
      <c r="B273" t="s">
        <v>5847</v>
      </c>
      <c r="C273" t="s">
        <v>7791</v>
      </c>
      <c r="D273" s="1">
        <v>3</v>
      </c>
      <c r="E273" s="1">
        <v>7</v>
      </c>
      <c r="F273" s="1">
        <v>225</v>
      </c>
      <c r="G273" s="1">
        <v>225</v>
      </c>
      <c r="H273" s="17" cm="1">
        <f t="array" ref="H273">_xlfn.LET(_xlpm.s,IFERROR(--F273,""),_xlpm.e,IFERROR(--G273,""),IF(OR(_xlpm.s="",_xlpm.e="",_xlpm.e&lt;_xlpm.s),"",_xlfn.LET(_xlpm.p,_xlfn.SEQUENCE(_xlpm.e-_xlpm.s+1,1,_xlpm.s,1),SUM(1/COUNTIFS($D:$D,D273,$E:$E,E273,$F:$F,"&lt;&gt;N/A",$G:$G,"&lt;&gt;N/A",$F:$F,"&lt;="&amp;_xlpm.p,$G:$G,"&gt;="&amp;_xlpm.p)))))</f>
        <v>0.5</v>
      </c>
      <c r="I273" t="s">
        <v>170</v>
      </c>
      <c r="J273" t="s">
        <v>373</v>
      </c>
      <c r="K273" t="s">
        <v>7</v>
      </c>
      <c r="L273" s="5" t="s">
        <v>4627</v>
      </c>
      <c r="M273" s="5" t="s">
        <v>7</v>
      </c>
      <c r="N273" s="5" t="s">
        <v>10163</v>
      </c>
      <c r="O273" s="5" t="s">
        <v>5072</v>
      </c>
      <c r="P273" s="5" t="s">
        <v>8019</v>
      </c>
      <c r="Q273" s="5" t="s">
        <v>2509</v>
      </c>
      <c r="R273" t="b">
        <v>1</v>
      </c>
    </row>
    <row r="274" spans="1:18">
      <c r="A274" t="s">
        <v>3014</v>
      </c>
      <c r="B274" t="s">
        <v>5848</v>
      </c>
      <c r="C274" t="s">
        <v>7791</v>
      </c>
      <c r="D274" s="1">
        <v>3</v>
      </c>
      <c r="E274" s="1">
        <v>7</v>
      </c>
      <c r="F274" s="1">
        <v>225</v>
      </c>
      <c r="G274" s="1">
        <v>226</v>
      </c>
      <c r="H274" s="17" cm="1">
        <f t="array" ref="H274">_xlfn.LET(_xlpm.s,IFERROR(--F274,""),_xlpm.e,IFERROR(--G274,""),IF(OR(_xlpm.s="",_xlpm.e="",_xlpm.e&lt;_xlpm.s),"",_xlfn.LET(_xlpm.p,_xlfn.SEQUENCE(_xlpm.e-_xlpm.s+1,1,_xlpm.s,1),SUM(1/COUNTIFS($D:$D,D274,$E:$E,E274,$F:$F,"&lt;&gt;N/A",$G:$G,"&lt;&gt;N/A",$F:$F,"&lt;="&amp;_xlpm.p,$G:$G,"&gt;="&amp;_xlpm.p)))))</f>
        <v>1</v>
      </c>
      <c r="I274" t="s">
        <v>170</v>
      </c>
      <c r="J274" t="s">
        <v>10161</v>
      </c>
      <c r="K274" t="s">
        <v>7</v>
      </c>
      <c r="L274" s="5" t="s">
        <v>5234</v>
      </c>
      <c r="M274" t="s">
        <v>6494</v>
      </c>
      <c r="N274" t="s">
        <v>6661</v>
      </c>
      <c r="O274" s="5" t="s">
        <v>5072</v>
      </c>
      <c r="P274" s="5" t="s">
        <v>8021</v>
      </c>
      <c r="R274" t="b">
        <v>1</v>
      </c>
    </row>
    <row r="275" spans="1:18">
      <c r="A275" t="s">
        <v>3014</v>
      </c>
      <c r="B275" t="s">
        <v>5849</v>
      </c>
      <c r="C275" t="s">
        <v>7791</v>
      </c>
      <c r="D275" s="1">
        <v>3</v>
      </c>
      <c r="E275" s="1">
        <v>7</v>
      </c>
      <c r="F275" s="1">
        <v>226</v>
      </c>
      <c r="G275" s="1">
        <v>228</v>
      </c>
      <c r="H275" s="17" cm="1">
        <f t="array" ref="H275">_xlfn.LET(_xlpm.s,IFERROR(--F275,""),_xlpm.e,IFERROR(--G275,""),IF(OR(_xlpm.s="",_xlpm.e="",_xlpm.e&lt;_xlpm.s),"",_xlfn.LET(_xlpm.p,_xlfn.SEQUENCE(_xlpm.e-_xlpm.s+1,1,_xlpm.s,1),SUM(1/COUNTIFS($D:$D,D275,$E:$E,E275,$F:$F,"&lt;&gt;N/A",$G:$G,"&lt;&gt;N/A",$F:$F,"&lt;="&amp;_xlpm.p,$G:$G,"&gt;="&amp;_xlpm.p)))))</f>
        <v>2</v>
      </c>
      <c r="I275" t="s">
        <v>8</v>
      </c>
      <c r="J275" t="s">
        <v>2585</v>
      </c>
      <c r="K275" t="s">
        <v>7</v>
      </c>
      <c r="L275" s="5" t="s">
        <v>5234</v>
      </c>
      <c r="M275" t="s">
        <v>5137</v>
      </c>
      <c r="N275" t="s">
        <v>6663</v>
      </c>
      <c r="O275" s="5" t="s">
        <v>5072</v>
      </c>
      <c r="P275" s="5" t="s">
        <v>8021</v>
      </c>
      <c r="Q275" s="5" t="s">
        <v>2509</v>
      </c>
      <c r="R275" t="b">
        <v>1</v>
      </c>
    </row>
    <row r="276" spans="1:18">
      <c r="A276" t="s">
        <v>3014</v>
      </c>
      <c r="B276" t="s">
        <v>5850</v>
      </c>
      <c r="C276" t="s">
        <v>7791</v>
      </c>
      <c r="D276" s="1">
        <v>3</v>
      </c>
      <c r="E276" s="1">
        <v>7</v>
      </c>
      <c r="F276" s="1">
        <v>228</v>
      </c>
      <c r="G276" s="1">
        <v>229</v>
      </c>
      <c r="H276" s="17" cm="1">
        <f t="array" ref="H276">_xlfn.LET(_xlpm.s,IFERROR(--F276,""),_xlpm.e,IFERROR(--G276,""),IF(OR(_xlpm.s="",_xlpm.e="",_xlpm.e&lt;_xlpm.s),"",_xlfn.LET(_xlpm.p,_xlfn.SEQUENCE(_xlpm.e-_xlpm.s+1,1,_xlpm.s,1),SUM(1/COUNTIFS($D:$D,D276,$E:$E,E276,$F:$F,"&lt;&gt;N/A",$G:$G,"&lt;&gt;N/A",$F:$F,"&lt;="&amp;_xlpm.p,$G:$G,"&gt;="&amp;_xlpm.p)))))</f>
        <v>1</v>
      </c>
      <c r="I276" t="s">
        <v>8</v>
      </c>
      <c r="J276" t="s">
        <v>374</v>
      </c>
      <c r="K276" t="s">
        <v>7</v>
      </c>
      <c r="L276" s="5" t="s">
        <v>5234</v>
      </c>
      <c r="M276" t="s">
        <v>5137</v>
      </c>
      <c r="N276" t="s">
        <v>6664</v>
      </c>
      <c r="O276" s="5" t="s">
        <v>5072</v>
      </c>
      <c r="P276" s="5" t="s">
        <v>8021</v>
      </c>
      <c r="Q276" s="5" t="s">
        <v>2509</v>
      </c>
      <c r="R276" t="b">
        <v>1</v>
      </c>
    </row>
    <row r="277" spans="1:18">
      <c r="A277" t="s">
        <v>3014</v>
      </c>
      <c r="B277" t="s">
        <v>5851</v>
      </c>
      <c r="C277" t="s">
        <v>7791</v>
      </c>
      <c r="D277" s="1">
        <v>3</v>
      </c>
      <c r="E277" s="1">
        <v>7</v>
      </c>
      <c r="F277" s="1">
        <v>229</v>
      </c>
      <c r="G277" s="1">
        <v>230</v>
      </c>
      <c r="H277" s="17" cm="1">
        <f t="array" ref="H277">_xlfn.LET(_xlpm.s,IFERROR(--F277,""),_xlpm.e,IFERROR(--G277,""),IF(OR(_xlpm.s="",_xlpm.e="",_xlpm.e&lt;_xlpm.s),"",_xlfn.LET(_xlpm.p,_xlfn.SEQUENCE(_xlpm.e-_xlpm.s+1,1,_xlpm.s,1),SUM(1/COUNTIFS($D:$D,D277,$E:$E,E277,$F:$F,"&lt;&gt;N/A",$G:$G,"&lt;&gt;N/A",$F:$F,"&lt;="&amp;_xlpm.p,$G:$G,"&gt;="&amp;_xlpm.p)))))</f>
        <v>0.83333333333333326</v>
      </c>
      <c r="I277" t="s">
        <v>8</v>
      </c>
      <c r="J277" t="s">
        <v>6497</v>
      </c>
      <c r="K277" t="s">
        <v>7</v>
      </c>
      <c r="L277" s="5" t="s">
        <v>5234</v>
      </c>
      <c r="M277" s="5" t="s">
        <v>7</v>
      </c>
      <c r="N277" s="5" t="s">
        <v>7</v>
      </c>
      <c r="O277" s="5" t="s">
        <v>5072</v>
      </c>
      <c r="P277" s="5" t="s">
        <v>8021</v>
      </c>
      <c r="Q277" s="5" t="s">
        <v>2509</v>
      </c>
      <c r="R277" t="b">
        <v>1</v>
      </c>
    </row>
    <row r="278" spans="1:18">
      <c r="A278" t="s">
        <v>3014</v>
      </c>
      <c r="B278" t="s">
        <v>5852</v>
      </c>
      <c r="C278" t="s">
        <v>7791</v>
      </c>
      <c r="D278" s="1">
        <v>3</v>
      </c>
      <c r="E278" s="1">
        <v>7</v>
      </c>
      <c r="F278" s="1">
        <v>230</v>
      </c>
      <c r="G278" s="1">
        <v>230</v>
      </c>
      <c r="H278" s="17" cm="1">
        <f t="array" ref="H278">_xlfn.LET(_xlpm.s,IFERROR(--F278,""),_xlpm.e,IFERROR(--G278,""),IF(OR(_xlpm.s="",_xlpm.e="",_xlpm.e&lt;_xlpm.s),"",_xlfn.LET(_xlpm.p,_xlfn.SEQUENCE(_xlpm.e-_xlpm.s+1,1,_xlpm.s,1),SUM(1/COUNTIFS($D:$D,D278,$E:$E,E278,$F:$F,"&lt;&gt;N/A",$G:$G,"&lt;&gt;N/A",$F:$F,"&lt;="&amp;_xlpm.p,$G:$G,"&gt;="&amp;_xlpm.p)))))</f>
        <v>0.33333333333333331</v>
      </c>
      <c r="I278" t="s">
        <v>8</v>
      </c>
      <c r="J278" t="s">
        <v>5474</v>
      </c>
      <c r="K278" t="s">
        <v>7</v>
      </c>
      <c r="L278" s="5" t="s">
        <v>5234</v>
      </c>
      <c r="M278" t="s">
        <v>5139</v>
      </c>
      <c r="N278" t="s">
        <v>6496</v>
      </c>
      <c r="O278" s="5" t="s">
        <v>5072</v>
      </c>
      <c r="P278" s="5" t="s">
        <v>8021</v>
      </c>
      <c r="Q278" s="5" t="s">
        <v>2509</v>
      </c>
      <c r="R278" t="b">
        <v>1</v>
      </c>
    </row>
    <row r="279" spans="1:18">
      <c r="A279" t="s">
        <v>3014</v>
      </c>
      <c r="B279" t="s">
        <v>5853</v>
      </c>
      <c r="C279" t="s">
        <v>7791</v>
      </c>
      <c r="D279" s="1">
        <v>3</v>
      </c>
      <c r="E279" s="1">
        <v>7</v>
      </c>
      <c r="F279" s="1">
        <v>230</v>
      </c>
      <c r="G279" s="1">
        <v>231</v>
      </c>
      <c r="H279" s="17" cm="1">
        <f t="array" ref="H279">_xlfn.LET(_xlpm.s,IFERROR(--F279,""),_xlpm.e,IFERROR(--G279,""),IF(OR(_xlpm.s="",_xlpm.e="",_xlpm.e&lt;_xlpm.s),"",_xlfn.LET(_xlpm.p,_xlfn.SEQUENCE(_xlpm.e-_xlpm.s+1,1,_xlpm.s,1),SUM(1/COUNTIFS($D:$D,D279,$E:$E,E279,$F:$F,"&lt;&gt;N/A",$G:$G,"&lt;&gt;N/A",$F:$F,"&lt;="&amp;_xlpm.p,$G:$G,"&gt;="&amp;_xlpm.p)))))</f>
        <v>0.83333333333333326</v>
      </c>
      <c r="I279" t="s">
        <v>8</v>
      </c>
      <c r="J279" t="s">
        <v>375</v>
      </c>
      <c r="K279" t="s">
        <v>7</v>
      </c>
      <c r="L279" s="5" t="s">
        <v>5234</v>
      </c>
      <c r="M279" t="s">
        <v>5139</v>
      </c>
      <c r="N279" t="s">
        <v>6495</v>
      </c>
      <c r="O279" s="5" t="s">
        <v>5072</v>
      </c>
      <c r="P279" s="5" t="s">
        <v>8021</v>
      </c>
      <c r="Q279" s="5" t="s">
        <v>2509</v>
      </c>
      <c r="R279" t="b">
        <v>1</v>
      </c>
    </row>
    <row r="280" spans="1:18">
      <c r="A280" t="s">
        <v>3014</v>
      </c>
      <c r="B280" t="s">
        <v>5854</v>
      </c>
      <c r="C280" t="s">
        <v>7791</v>
      </c>
      <c r="D280" s="1">
        <v>3</v>
      </c>
      <c r="E280" s="1">
        <v>7</v>
      </c>
      <c r="F280" s="1">
        <v>231</v>
      </c>
      <c r="G280" s="1">
        <v>232</v>
      </c>
      <c r="H280" s="17" cm="1">
        <f t="array" ref="H280">_xlfn.LET(_xlpm.s,IFERROR(--F280,""),_xlpm.e,IFERROR(--G280,""),IF(OR(_xlpm.s="",_xlpm.e="",_xlpm.e&lt;_xlpm.s),"",_xlfn.LET(_xlpm.p,_xlfn.SEQUENCE(_xlpm.e-_xlpm.s+1,1,_xlpm.s,1),SUM(1/COUNTIFS($D:$D,D280,$E:$E,E280,$F:$F,"&lt;&gt;N/A",$G:$G,"&lt;&gt;N/A",$F:$F,"&lt;="&amp;_xlpm.p,$G:$G,"&gt;="&amp;_xlpm.p)))))</f>
        <v>1.5</v>
      </c>
      <c r="I280" t="s">
        <v>8</v>
      </c>
      <c r="J280" t="s">
        <v>376</v>
      </c>
      <c r="K280" t="s">
        <v>2440</v>
      </c>
      <c r="L280" s="5" t="s">
        <v>7</v>
      </c>
      <c r="M280" t="s">
        <v>7</v>
      </c>
      <c r="N280" t="s">
        <v>7</v>
      </c>
      <c r="O280" s="5" t="s">
        <v>778</v>
      </c>
      <c r="P280" s="5" t="s">
        <v>7834</v>
      </c>
      <c r="R280" t="b">
        <v>1</v>
      </c>
    </row>
    <row r="281" spans="1:18">
      <c r="A281" t="s">
        <v>3014</v>
      </c>
      <c r="B281" t="s">
        <v>5855</v>
      </c>
      <c r="C281" t="s">
        <v>7798</v>
      </c>
      <c r="D281" s="1">
        <v>3</v>
      </c>
      <c r="E281" s="1">
        <v>8</v>
      </c>
      <c r="F281" s="1">
        <v>233</v>
      </c>
      <c r="G281" s="1">
        <v>234</v>
      </c>
      <c r="H281" s="17" cm="1">
        <f t="array" ref="H281">_xlfn.LET(_xlpm.s,IFERROR(--F281,""),_xlpm.e,IFERROR(--G281,""),IF(OR(_xlpm.s="",_xlpm.e="",_xlpm.e&lt;_xlpm.s),"",_xlfn.LET(_xlpm.p,_xlfn.SEQUENCE(_xlpm.e-_xlpm.s+1,1,_xlpm.s,1),SUM(1/COUNTIFS($D:$D,D281,$E:$E,E281,$F:$F,"&lt;&gt;N/A",$G:$G,"&lt;&gt;N/A",$F:$F,"&lt;="&amp;_xlpm.p,$G:$G,"&gt;="&amp;_xlpm.p)))))</f>
        <v>1.5</v>
      </c>
      <c r="I281" t="s">
        <v>2572</v>
      </c>
      <c r="J281" t="s">
        <v>377</v>
      </c>
      <c r="K281" t="s">
        <v>2440</v>
      </c>
      <c r="L281" s="5" t="s">
        <v>7</v>
      </c>
      <c r="M281" t="s">
        <v>7</v>
      </c>
      <c r="N281" t="s">
        <v>7</v>
      </c>
      <c r="O281" s="5" t="s">
        <v>778</v>
      </c>
      <c r="P281" s="5" t="s">
        <v>7834</v>
      </c>
      <c r="R281" t="b">
        <v>1</v>
      </c>
    </row>
    <row r="282" spans="1:18">
      <c r="A282" t="s">
        <v>3014</v>
      </c>
      <c r="B282" t="s">
        <v>5856</v>
      </c>
      <c r="C282" t="s">
        <v>7798</v>
      </c>
      <c r="D282" s="1">
        <v>3</v>
      </c>
      <c r="E282" s="1">
        <v>8</v>
      </c>
      <c r="F282" s="1">
        <v>234</v>
      </c>
      <c r="G282" s="1">
        <v>238</v>
      </c>
      <c r="H282" s="17" cm="1">
        <f t="array" ref="H282">_xlfn.LET(_xlpm.s,IFERROR(--F282,""),_xlpm.e,IFERROR(--G282,""),IF(OR(_xlpm.s="",_xlpm.e="",_xlpm.e&lt;_xlpm.s),"",_xlfn.LET(_xlpm.p,_xlfn.SEQUENCE(_xlpm.e-_xlpm.s+1,1,_xlpm.s,1),SUM(1/COUNTIFS($D:$D,D282,$E:$E,E282,$F:$F,"&lt;&gt;N/A",$G:$G,"&lt;&gt;N/A",$F:$F,"&lt;="&amp;_xlpm.p,$G:$G,"&gt;="&amp;_xlpm.p)))))</f>
        <v>4</v>
      </c>
      <c r="I282" t="s">
        <v>2572</v>
      </c>
      <c r="J282" t="s">
        <v>378</v>
      </c>
      <c r="K282" t="s">
        <v>2465</v>
      </c>
      <c r="L282" s="5" t="s">
        <v>7</v>
      </c>
      <c r="M282" t="s">
        <v>7</v>
      </c>
      <c r="N282" t="s">
        <v>7</v>
      </c>
      <c r="O282" s="5" t="s">
        <v>778</v>
      </c>
      <c r="P282" s="5" t="s">
        <v>7834</v>
      </c>
      <c r="R282" t="b">
        <v>1</v>
      </c>
    </row>
    <row r="283" spans="1:18">
      <c r="A283" t="s">
        <v>3014</v>
      </c>
      <c r="B283" t="s">
        <v>5857</v>
      </c>
      <c r="C283" t="s">
        <v>7798</v>
      </c>
      <c r="D283" s="1">
        <v>3</v>
      </c>
      <c r="E283" s="1">
        <v>8</v>
      </c>
      <c r="F283" s="1">
        <v>238</v>
      </c>
      <c r="G283" s="1">
        <v>239</v>
      </c>
      <c r="H283" s="17" cm="1">
        <f t="array" ref="H283">_xlfn.LET(_xlpm.s,IFERROR(--F283,""),_xlpm.e,IFERROR(--G283,""),IF(OR(_xlpm.s="",_xlpm.e="",_xlpm.e&lt;_xlpm.s),"",_xlfn.LET(_xlpm.p,_xlfn.SEQUENCE(_xlpm.e-_xlpm.s+1,1,_xlpm.s,1),SUM(1/COUNTIFS($D:$D,D283,$E:$E,E283,$F:$F,"&lt;&gt;N/A",$G:$G,"&lt;&gt;N/A",$F:$F,"&lt;="&amp;_xlpm.p,$G:$G,"&gt;="&amp;_xlpm.p)))))</f>
        <v>1</v>
      </c>
      <c r="I283" t="s">
        <v>8</v>
      </c>
      <c r="J283" t="s">
        <v>2574</v>
      </c>
      <c r="K283" t="s">
        <v>7</v>
      </c>
      <c r="L283" s="5" t="s">
        <v>7</v>
      </c>
      <c r="M283" s="5" t="s">
        <v>7</v>
      </c>
      <c r="N283" s="5" t="s">
        <v>7</v>
      </c>
      <c r="O283" s="5" t="s">
        <v>778</v>
      </c>
      <c r="P283" s="5" t="s">
        <v>7834</v>
      </c>
      <c r="R283" t="b">
        <v>1</v>
      </c>
    </row>
    <row r="284" spans="1:18">
      <c r="A284" t="s">
        <v>3014</v>
      </c>
      <c r="B284" t="s">
        <v>5858</v>
      </c>
      <c r="C284" t="s">
        <v>7798</v>
      </c>
      <c r="D284" s="1">
        <v>3</v>
      </c>
      <c r="E284" s="1">
        <v>8</v>
      </c>
      <c r="F284" s="1">
        <v>239</v>
      </c>
      <c r="G284" s="1">
        <v>242</v>
      </c>
      <c r="H284" s="17" cm="1">
        <f t="array" ref="H284">_xlfn.LET(_xlpm.s,IFERROR(--F284,""),_xlpm.e,IFERROR(--G284,""),IF(OR(_xlpm.s="",_xlpm.e="",_xlpm.e&lt;_xlpm.s),"",_xlfn.LET(_xlpm.p,_xlfn.SEQUENCE(_xlpm.e-_xlpm.s+1,1,_xlpm.s,1),SUM(1/COUNTIFS($D:$D,D284,$E:$E,E284,$F:$F,"&lt;&gt;N/A",$G:$G,"&lt;&gt;N/A",$F:$F,"&lt;="&amp;_xlpm.p,$G:$G,"&gt;="&amp;_xlpm.p)))))</f>
        <v>3.5</v>
      </c>
      <c r="I284" t="s">
        <v>8</v>
      </c>
      <c r="J284" t="s">
        <v>379</v>
      </c>
      <c r="K284" t="s">
        <v>2465</v>
      </c>
      <c r="L284" s="5" t="s">
        <v>7</v>
      </c>
      <c r="M284" t="s">
        <v>7</v>
      </c>
      <c r="N284" t="s">
        <v>7</v>
      </c>
      <c r="O284" s="5" t="s">
        <v>778</v>
      </c>
      <c r="P284" s="5" t="s">
        <v>7834</v>
      </c>
      <c r="R284" t="b">
        <v>1</v>
      </c>
    </row>
    <row r="285" spans="1:18">
      <c r="A285" t="s">
        <v>3014</v>
      </c>
      <c r="B285" t="s">
        <v>5859</v>
      </c>
      <c r="C285" t="s">
        <v>7798</v>
      </c>
      <c r="D285" s="1">
        <v>3</v>
      </c>
      <c r="E285" s="1">
        <v>8</v>
      </c>
      <c r="F285" s="1">
        <v>243</v>
      </c>
      <c r="G285" s="1">
        <v>255</v>
      </c>
      <c r="H285" s="17" cm="1">
        <f t="array" ref="H285">_xlfn.LET(_xlpm.s,IFERROR(--F285,""),_xlpm.e,IFERROR(--G285,""),IF(OR(_xlpm.s="",_xlpm.e="",_xlpm.e&lt;_xlpm.s),"",_xlfn.LET(_xlpm.p,_xlfn.SEQUENCE(_xlpm.e-_xlpm.s+1,1,_xlpm.s,1),SUM(1/COUNTIFS($D:$D,D285,$E:$E,E285,$F:$F,"&lt;&gt;N/A",$G:$G,"&lt;&gt;N/A",$F:$F,"&lt;="&amp;_xlpm.p,$G:$G,"&gt;="&amp;_xlpm.p)))))</f>
        <v>12.5</v>
      </c>
      <c r="I285" t="s">
        <v>8</v>
      </c>
      <c r="J285" t="s">
        <v>5475</v>
      </c>
      <c r="K285" t="s">
        <v>2501</v>
      </c>
      <c r="L285" s="5" t="s">
        <v>7</v>
      </c>
      <c r="M285" t="s">
        <v>6489</v>
      </c>
      <c r="N285" t="s">
        <v>6662</v>
      </c>
      <c r="O285" s="5" t="s">
        <v>5072</v>
      </c>
      <c r="P285" s="5" t="s">
        <v>8021</v>
      </c>
      <c r="R285" t="b">
        <v>1</v>
      </c>
    </row>
    <row r="286" spans="1:18">
      <c r="A286" t="s">
        <v>3014</v>
      </c>
      <c r="B286" t="s">
        <v>5860</v>
      </c>
      <c r="C286" t="s">
        <v>7798</v>
      </c>
      <c r="D286" s="1">
        <v>3</v>
      </c>
      <c r="E286" s="1">
        <v>8</v>
      </c>
      <c r="F286" s="1">
        <v>255</v>
      </c>
      <c r="G286" s="1">
        <v>259</v>
      </c>
      <c r="H286" s="17" cm="1">
        <f t="array" ref="H286">_xlfn.LET(_xlpm.s,IFERROR(--F286,""),_xlpm.e,IFERROR(--G286,""),IF(OR(_xlpm.s="",_xlpm.e="",_xlpm.e&lt;_xlpm.s),"",_xlfn.LET(_xlpm.p,_xlfn.SEQUENCE(_xlpm.e-_xlpm.s+1,1,_xlpm.s,1),SUM(1/COUNTIFS($D:$D,D286,$E:$E,E286,$F:$F,"&lt;&gt;N/A",$G:$G,"&lt;&gt;N/A",$F:$F,"&lt;="&amp;_xlpm.p,$G:$G,"&gt;="&amp;_xlpm.p)))))</f>
        <v>4</v>
      </c>
      <c r="I286" t="s">
        <v>8</v>
      </c>
      <c r="J286" t="s">
        <v>380</v>
      </c>
      <c r="K286" t="s">
        <v>2465</v>
      </c>
      <c r="L286" s="5" t="s">
        <v>7</v>
      </c>
      <c r="M286" t="s">
        <v>7</v>
      </c>
      <c r="N286" t="s">
        <v>7</v>
      </c>
      <c r="O286" s="5" t="s">
        <v>778</v>
      </c>
      <c r="P286" s="5" t="s">
        <v>7834</v>
      </c>
      <c r="R286" t="b">
        <v>1</v>
      </c>
    </row>
    <row r="287" spans="1:18">
      <c r="A287" t="s">
        <v>3014</v>
      </c>
      <c r="B287" t="s">
        <v>5861</v>
      </c>
      <c r="C287" t="s">
        <v>7798</v>
      </c>
      <c r="D287" s="1">
        <v>3</v>
      </c>
      <c r="E287" s="1">
        <v>8</v>
      </c>
      <c r="F287" s="1">
        <v>259</v>
      </c>
      <c r="G287" s="1">
        <v>264</v>
      </c>
      <c r="H287" s="17" cm="1">
        <f t="array" ref="H287">_xlfn.LET(_xlpm.s,IFERROR(--F287,""),_xlpm.e,IFERROR(--G287,""),IF(OR(_xlpm.s="",_xlpm.e="",_xlpm.e&lt;_xlpm.s),"",_xlfn.LET(_xlpm.p,_xlfn.SEQUENCE(_xlpm.e-_xlpm.s+1,1,_xlpm.s,1),SUM(1/COUNTIFS($D:$D,D287,$E:$E,E287,$F:$F,"&lt;&gt;N/A",$G:$G,"&lt;&gt;N/A",$F:$F,"&lt;="&amp;_xlpm.p,$G:$G,"&gt;="&amp;_xlpm.p)))))</f>
        <v>5.5</v>
      </c>
      <c r="I287" t="s">
        <v>8</v>
      </c>
      <c r="J287" t="s">
        <v>381</v>
      </c>
      <c r="K287" t="s">
        <v>7</v>
      </c>
      <c r="L287" s="5" t="s">
        <v>7</v>
      </c>
      <c r="M287" s="5" t="s">
        <v>7</v>
      </c>
      <c r="N287" t="s">
        <v>2562</v>
      </c>
      <c r="O287" s="5" t="s">
        <v>5072</v>
      </c>
      <c r="P287" s="5" t="s">
        <v>8019</v>
      </c>
      <c r="Q287" s="5" t="s">
        <v>2509</v>
      </c>
      <c r="R287" t="b">
        <v>1</v>
      </c>
    </row>
    <row r="288" spans="1:18">
      <c r="A288" t="s">
        <v>3014</v>
      </c>
      <c r="B288" t="s">
        <v>5862</v>
      </c>
      <c r="C288" t="s">
        <v>7805</v>
      </c>
      <c r="D288" s="1">
        <v>3</v>
      </c>
      <c r="E288" s="1">
        <v>9</v>
      </c>
      <c r="F288" s="1">
        <v>265</v>
      </c>
      <c r="G288" s="1">
        <v>270</v>
      </c>
      <c r="H288" s="17" cm="1">
        <f t="array" ref="H288">_xlfn.LET(_xlpm.s,IFERROR(--F288,""),_xlpm.e,IFERROR(--G288,""),IF(OR(_xlpm.s="",_xlpm.e="",_xlpm.e&lt;_xlpm.s),"",_xlfn.LET(_xlpm.p,_xlfn.SEQUENCE(_xlpm.e-_xlpm.s+1,1,_xlpm.s,1),SUM(1/COUNTIFS($D:$D,D288,$E:$E,E288,$F:$F,"&lt;&gt;N/A",$G:$G,"&lt;&gt;N/A",$F:$F,"&lt;="&amp;_xlpm.p,$G:$G,"&gt;="&amp;_xlpm.p)))))</f>
        <v>5.5</v>
      </c>
      <c r="I288" t="s">
        <v>2572</v>
      </c>
      <c r="J288" t="s">
        <v>5473</v>
      </c>
      <c r="K288" t="s">
        <v>2496</v>
      </c>
      <c r="L288" s="5" t="s">
        <v>7</v>
      </c>
      <c r="M288" t="s">
        <v>7</v>
      </c>
      <c r="N288" t="s">
        <v>7</v>
      </c>
      <c r="O288" s="5" t="s">
        <v>778</v>
      </c>
      <c r="P288" s="5" t="s">
        <v>7834</v>
      </c>
      <c r="R288" t="b">
        <v>1</v>
      </c>
    </row>
    <row r="289" spans="1:18">
      <c r="A289" t="s">
        <v>3014</v>
      </c>
      <c r="B289" t="s">
        <v>5863</v>
      </c>
      <c r="C289" t="s">
        <v>7805</v>
      </c>
      <c r="D289" s="1">
        <v>3</v>
      </c>
      <c r="E289" s="1">
        <v>9</v>
      </c>
      <c r="F289" s="1">
        <v>270</v>
      </c>
      <c r="G289" s="1">
        <v>279</v>
      </c>
      <c r="H289" s="17" cm="1">
        <f t="array" ref="H289">_xlfn.LET(_xlpm.s,IFERROR(--F289,""),_xlpm.e,IFERROR(--G289,""),IF(OR(_xlpm.s="",_xlpm.e="",_xlpm.e&lt;_xlpm.s),"",_xlfn.LET(_xlpm.p,_xlfn.SEQUENCE(_xlpm.e-_xlpm.s+1,1,_xlpm.s,1),SUM(1/COUNTIFS($D:$D,D289,$E:$E,E289,$F:$F,"&lt;&gt;N/A",$G:$G,"&lt;&gt;N/A",$F:$F,"&lt;="&amp;_xlpm.p,$G:$G,"&gt;="&amp;_xlpm.p)))))</f>
        <v>9.5</v>
      </c>
      <c r="I289" t="s">
        <v>2572</v>
      </c>
      <c r="J289" t="s">
        <v>382</v>
      </c>
      <c r="K289" t="s">
        <v>2440</v>
      </c>
      <c r="L289" s="5" t="s">
        <v>7</v>
      </c>
      <c r="M289" t="s">
        <v>7</v>
      </c>
      <c r="N289" t="s">
        <v>7</v>
      </c>
      <c r="O289" s="5" t="s">
        <v>778</v>
      </c>
      <c r="P289" s="5" t="s">
        <v>7834</v>
      </c>
      <c r="R289" t="b">
        <v>1</v>
      </c>
    </row>
    <row r="290" spans="1:18">
      <c r="A290" t="s">
        <v>3014</v>
      </c>
      <c r="B290" t="s">
        <v>5864</v>
      </c>
      <c r="C290" t="s">
        <v>7805</v>
      </c>
      <c r="D290" s="1">
        <v>3</v>
      </c>
      <c r="E290" s="1">
        <v>9</v>
      </c>
      <c r="F290" s="1">
        <v>280</v>
      </c>
      <c r="G290" s="1">
        <v>281</v>
      </c>
      <c r="H290" s="17" cm="1">
        <f t="array" ref="H290">_xlfn.LET(_xlpm.s,IFERROR(--F290,""),_xlpm.e,IFERROR(--G290,""),IF(OR(_xlpm.s="",_xlpm.e="",_xlpm.e&lt;_xlpm.s),"",_xlfn.LET(_xlpm.p,_xlfn.SEQUENCE(_xlpm.e-_xlpm.s+1,1,_xlpm.s,1),SUM(1/COUNTIFS($D:$D,D290,$E:$E,E290,$F:$F,"&lt;&gt;N/A",$G:$G,"&lt;&gt;N/A",$F:$F,"&lt;="&amp;_xlpm.p,$G:$G,"&gt;="&amp;_xlpm.p)))))</f>
        <v>1.5</v>
      </c>
      <c r="I290" t="s">
        <v>2576</v>
      </c>
      <c r="J290" t="s">
        <v>2575</v>
      </c>
      <c r="K290" t="s">
        <v>7</v>
      </c>
      <c r="L290" s="5" t="s">
        <v>5472</v>
      </c>
      <c r="M290" t="s">
        <v>7</v>
      </c>
      <c r="N290" t="s">
        <v>7</v>
      </c>
      <c r="O290" s="5" t="s">
        <v>5072</v>
      </c>
      <c r="P290" s="5" t="s">
        <v>8021</v>
      </c>
      <c r="Q290" s="5" t="s">
        <v>2509</v>
      </c>
      <c r="R290" t="b">
        <v>1</v>
      </c>
    </row>
    <row r="291" spans="1:18">
      <c r="A291" t="s">
        <v>3014</v>
      </c>
      <c r="B291" t="s">
        <v>5865</v>
      </c>
      <c r="C291" t="s">
        <v>7805</v>
      </c>
      <c r="D291" s="1">
        <v>3</v>
      </c>
      <c r="E291" s="1">
        <v>9</v>
      </c>
      <c r="F291" s="1">
        <v>281</v>
      </c>
      <c r="G291" s="1">
        <v>282</v>
      </c>
      <c r="H291" s="17" cm="1">
        <f t="array" ref="H291">_xlfn.LET(_xlpm.s,IFERROR(--F291,""),_xlpm.e,IFERROR(--G291,""),IF(OR(_xlpm.s="",_xlpm.e="",_xlpm.e&lt;_xlpm.s),"",_xlfn.LET(_xlpm.p,_xlfn.SEQUENCE(_xlpm.e-_xlpm.s+1,1,_xlpm.s,1),SUM(1/COUNTIFS($D:$D,D291,$E:$E,E291,$F:$F,"&lt;&gt;N/A",$G:$G,"&lt;&gt;N/A",$F:$F,"&lt;="&amp;_xlpm.p,$G:$G,"&gt;="&amp;_xlpm.p)))))</f>
        <v>1</v>
      </c>
      <c r="I291" t="s">
        <v>127</v>
      </c>
      <c r="J291" t="s">
        <v>2577</v>
      </c>
      <c r="K291" t="s">
        <v>7</v>
      </c>
      <c r="L291" s="5" t="s">
        <v>5472</v>
      </c>
      <c r="M291" t="s">
        <v>7</v>
      </c>
      <c r="N291" t="s">
        <v>7</v>
      </c>
      <c r="O291" s="5" t="s">
        <v>5072</v>
      </c>
      <c r="P291" s="5" t="s">
        <v>8021</v>
      </c>
      <c r="Q291" s="5" t="s">
        <v>2509</v>
      </c>
      <c r="R291" t="b">
        <v>1</v>
      </c>
    </row>
    <row r="292" spans="1:18">
      <c r="A292" t="s">
        <v>3014</v>
      </c>
      <c r="B292" t="s">
        <v>5866</v>
      </c>
      <c r="C292" t="s">
        <v>7805</v>
      </c>
      <c r="D292" s="1">
        <v>3</v>
      </c>
      <c r="E292" s="1">
        <v>9</v>
      </c>
      <c r="F292" s="1">
        <v>282</v>
      </c>
      <c r="G292" s="1">
        <v>283</v>
      </c>
      <c r="H292" s="17" cm="1">
        <f t="array" ref="H292">_xlfn.LET(_xlpm.s,IFERROR(--F292,""),_xlpm.e,IFERROR(--G292,""),IF(OR(_xlpm.s="",_xlpm.e="",_xlpm.e&lt;_xlpm.s),"",_xlfn.LET(_xlpm.p,_xlfn.SEQUENCE(_xlpm.e-_xlpm.s+1,1,_xlpm.s,1),SUM(1/COUNTIFS($D:$D,D292,$E:$E,E292,$F:$F,"&lt;&gt;N/A",$G:$G,"&lt;&gt;N/A",$F:$F,"&lt;="&amp;_xlpm.p,$G:$G,"&gt;="&amp;_xlpm.p)))))</f>
        <v>1</v>
      </c>
      <c r="I292" t="s">
        <v>127</v>
      </c>
      <c r="J292" t="s">
        <v>6557</v>
      </c>
      <c r="K292" t="s">
        <v>7</v>
      </c>
      <c r="L292" s="5" t="s">
        <v>5469</v>
      </c>
      <c r="M292" t="s">
        <v>6556</v>
      </c>
      <c r="N292" t="s">
        <v>6671</v>
      </c>
      <c r="O292" s="5" t="s">
        <v>5072</v>
      </c>
      <c r="P292" s="5" t="s">
        <v>8021</v>
      </c>
      <c r="Q292" s="5" t="s">
        <v>2509</v>
      </c>
      <c r="R292" t="b">
        <v>1</v>
      </c>
    </row>
    <row r="293" spans="1:18">
      <c r="A293" t="s">
        <v>3014</v>
      </c>
      <c r="B293" t="s">
        <v>5867</v>
      </c>
      <c r="C293" t="s">
        <v>7805</v>
      </c>
      <c r="D293" s="1">
        <v>3</v>
      </c>
      <c r="E293" s="1">
        <v>9</v>
      </c>
      <c r="F293" s="1">
        <v>283</v>
      </c>
      <c r="G293" s="1">
        <v>284</v>
      </c>
      <c r="H293" s="17" cm="1">
        <f t="array" ref="H293">_xlfn.LET(_xlpm.s,IFERROR(--F293,""),_xlpm.e,IFERROR(--G293,""),IF(OR(_xlpm.s="",_xlpm.e="",_xlpm.e&lt;_xlpm.s),"",_xlfn.LET(_xlpm.p,_xlfn.SEQUENCE(_xlpm.e-_xlpm.s+1,1,_xlpm.s,1),SUM(1/COUNTIFS($D:$D,D293,$E:$E,E293,$F:$F,"&lt;&gt;N/A",$G:$G,"&lt;&gt;N/A",$F:$F,"&lt;="&amp;_xlpm.p,$G:$G,"&gt;="&amp;_xlpm.p)))))</f>
        <v>1</v>
      </c>
      <c r="I293" t="s">
        <v>2573</v>
      </c>
      <c r="J293" t="s">
        <v>2578</v>
      </c>
      <c r="K293" t="s">
        <v>7</v>
      </c>
      <c r="L293" s="5" t="s">
        <v>5470</v>
      </c>
      <c r="M293" s="5" t="s">
        <v>6556</v>
      </c>
      <c r="N293" t="s">
        <v>6670</v>
      </c>
      <c r="O293" s="5" t="s">
        <v>5072</v>
      </c>
      <c r="P293" s="5" t="s">
        <v>8021</v>
      </c>
      <c r="Q293" s="5" t="s">
        <v>2509</v>
      </c>
      <c r="R293" t="b">
        <v>1</v>
      </c>
    </row>
    <row r="294" spans="1:18">
      <c r="A294" t="s">
        <v>3014</v>
      </c>
      <c r="B294" t="s">
        <v>5868</v>
      </c>
      <c r="C294" t="s">
        <v>7805</v>
      </c>
      <c r="D294" s="1">
        <v>3</v>
      </c>
      <c r="E294" s="1">
        <v>9</v>
      </c>
      <c r="F294" s="1">
        <v>284</v>
      </c>
      <c r="G294" s="1">
        <v>286</v>
      </c>
      <c r="H294" s="17" cm="1">
        <f t="array" ref="H294">_xlfn.LET(_xlpm.s,IFERROR(--F294,""),_xlpm.e,IFERROR(--G294,""),IF(OR(_xlpm.s="",_xlpm.e="",_xlpm.e&lt;_xlpm.s),"",_xlfn.LET(_xlpm.p,_xlfn.SEQUENCE(_xlpm.e-_xlpm.s+1,1,_xlpm.s,1),SUM(1/COUNTIFS($D:$D,D294,$E:$E,E294,$F:$F,"&lt;&gt;N/A",$G:$G,"&lt;&gt;N/A",$F:$F,"&lt;="&amp;_xlpm.p,$G:$G,"&gt;="&amp;_xlpm.p)))))</f>
        <v>2</v>
      </c>
      <c r="I294" t="s">
        <v>2573</v>
      </c>
      <c r="J294" t="s">
        <v>383</v>
      </c>
      <c r="K294" t="s">
        <v>7</v>
      </c>
      <c r="L294" s="5" t="s">
        <v>5471</v>
      </c>
      <c r="M294" t="s">
        <v>6489</v>
      </c>
      <c r="N294" t="s">
        <v>6676</v>
      </c>
      <c r="O294" s="5" t="s">
        <v>5072</v>
      </c>
      <c r="P294" s="5" t="s">
        <v>8021</v>
      </c>
      <c r="R294" t="b">
        <v>1</v>
      </c>
    </row>
    <row r="295" spans="1:18">
      <c r="A295" t="s">
        <v>3014</v>
      </c>
      <c r="B295" t="s">
        <v>5869</v>
      </c>
      <c r="C295" t="s">
        <v>7805</v>
      </c>
      <c r="D295" s="1">
        <v>3</v>
      </c>
      <c r="E295" s="1">
        <v>9</v>
      </c>
      <c r="F295" s="1">
        <v>286</v>
      </c>
      <c r="G295" s="1">
        <v>286</v>
      </c>
      <c r="H295" s="17" cm="1">
        <f t="array" ref="H295">_xlfn.LET(_xlpm.s,IFERROR(--F295,""),_xlpm.e,IFERROR(--G295,""),IF(OR(_xlpm.s="",_xlpm.e="",_xlpm.e&lt;_xlpm.s),"",_xlfn.LET(_xlpm.p,_xlfn.SEQUENCE(_xlpm.e-_xlpm.s+1,1,_xlpm.s,1),SUM(1/COUNTIFS($D:$D,D295,$E:$E,E295,$F:$F,"&lt;&gt;N/A",$G:$G,"&lt;&gt;N/A",$F:$F,"&lt;="&amp;_xlpm.p,$G:$G,"&gt;="&amp;_xlpm.p)))))</f>
        <v>0.5</v>
      </c>
      <c r="I295" t="s">
        <v>2573</v>
      </c>
      <c r="J295" t="s">
        <v>384</v>
      </c>
      <c r="K295" t="s">
        <v>2497</v>
      </c>
      <c r="L295" s="5" t="s">
        <v>7</v>
      </c>
      <c r="M295" t="s">
        <v>7</v>
      </c>
      <c r="N295" t="s">
        <v>7</v>
      </c>
      <c r="O295" s="5" t="s">
        <v>778</v>
      </c>
      <c r="P295" s="5" t="s">
        <v>7834</v>
      </c>
      <c r="R295" t="b">
        <v>1</v>
      </c>
    </row>
    <row r="296" spans="1:18">
      <c r="A296" t="s">
        <v>3014</v>
      </c>
      <c r="B296" t="s">
        <v>5870</v>
      </c>
      <c r="C296" t="s">
        <v>7805</v>
      </c>
      <c r="D296" s="1">
        <v>3</v>
      </c>
      <c r="E296" s="1">
        <v>9</v>
      </c>
      <c r="F296" s="1">
        <v>287</v>
      </c>
      <c r="G296" s="1">
        <v>287</v>
      </c>
      <c r="H296" s="17" cm="1">
        <f t="array" ref="H296">_xlfn.LET(_xlpm.s,IFERROR(--F296,""),_xlpm.e,IFERROR(--G296,""),IF(OR(_xlpm.s="",_xlpm.e="",_xlpm.e&lt;_xlpm.s),"",_xlfn.LET(_xlpm.p,_xlfn.SEQUENCE(_xlpm.e-_xlpm.s+1,1,_xlpm.s,1),SUM(1/COUNTIFS($D:$D,D296,$E:$E,E296,$F:$F,"&lt;&gt;N/A",$G:$G,"&lt;&gt;N/A",$F:$F,"&lt;="&amp;_xlpm.p,$G:$G,"&gt;="&amp;_xlpm.p)))))</f>
        <v>0.5</v>
      </c>
      <c r="I296" t="s">
        <v>2573</v>
      </c>
      <c r="J296" t="s">
        <v>385</v>
      </c>
      <c r="K296" t="s">
        <v>2497</v>
      </c>
      <c r="L296" s="5" t="s">
        <v>7</v>
      </c>
      <c r="M296" t="s">
        <v>7</v>
      </c>
      <c r="N296" t="s">
        <v>7</v>
      </c>
      <c r="O296" s="5" t="s">
        <v>778</v>
      </c>
      <c r="P296" s="5" t="s">
        <v>7834</v>
      </c>
      <c r="R296" t="b">
        <v>1</v>
      </c>
    </row>
    <row r="297" spans="1:18">
      <c r="A297" t="s">
        <v>3014</v>
      </c>
      <c r="B297" t="s">
        <v>5871</v>
      </c>
      <c r="C297" t="s">
        <v>7805</v>
      </c>
      <c r="D297" s="1">
        <v>3</v>
      </c>
      <c r="E297" s="1">
        <v>9</v>
      </c>
      <c r="F297" s="1">
        <v>287</v>
      </c>
      <c r="G297" s="1">
        <v>288</v>
      </c>
      <c r="H297" s="17" cm="1">
        <f t="array" ref="H297">_xlfn.LET(_xlpm.s,IFERROR(--F297,""),_xlpm.e,IFERROR(--G297,""),IF(OR(_xlpm.s="",_xlpm.e="",_xlpm.e&lt;_xlpm.s),"",_xlfn.LET(_xlpm.p,_xlfn.SEQUENCE(_xlpm.e-_xlpm.s+1,1,_xlpm.s,1),SUM(1/COUNTIFS($D:$D,D297,$E:$E,E297,$F:$F,"&lt;&gt;N/A",$G:$G,"&lt;&gt;N/A",$F:$F,"&lt;="&amp;_xlpm.p,$G:$G,"&gt;="&amp;_xlpm.p)))))</f>
        <v>1.5</v>
      </c>
      <c r="I297" t="s">
        <v>2573</v>
      </c>
      <c r="J297" t="s">
        <v>6554</v>
      </c>
      <c r="K297" t="s">
        <v>7</v>
      </c>
      <c r="L297" s="5" t="s">
        <v>5234</v>
      </c>
      <c r="M297" t="s">
        <v>5467</v>
      </c>
      <c r="N297" t="s">
        <v>6677</v>
      </c>
      <c r="O297" s="5" t="s">
        <v>5072</v>
      </c>
      <c r="P297" s="5" t="s">
        <v>8021</v>
      </c>
      <c r="Q297" s="5" t="s">
        <v>2509</v>
      </c>
      <c r="R297" t="b">
        <v>1</v>
      </c>
    </row>
    <row r="298" spans="1:18">
      <c r="A298" t="s">
        <v>3014</v>
      </c>
      <c r="B298" t="s">
        <v>5872</v>
      </c>
      <c r="C298" t="s">
        <v>7805</v>
      </c>
      <c r="D298" s="1">
        <v>3</v>
      </c>
      <c r="E298" s="1">
        <v>9</v>
      </c>
      <c r="F298" s="1">
        <v>289</v>
      </c>
      <c r="G298" s="1">
        <v>291</v>
      </c>
      <c r="H298" s="17" cm="1">
        <f t="array" ref="H298">_xlfn.LET(_xlpm.s,IFERROR(--F298,""),_xlpm.e,IFERROR(--G298,""),IF(OR(_xlpm.s="",_xlpm.e="",_xlpm.e&lt;_xlpm.s),"",_xlfn.LET(_xlpm.p,_xlfn.SEQUENCE(_xlpm.e-_xlpm.s+1,1,_xlpm.s,1),SUM(1/COUNTIFS($D:$D,D298,$E:$E,E298,$F:$F,"&lt;&gt;N/A",$G:$G,"&lt;&gt;N/A",$F:$F,"&lt;="&amp;_xlpm.p,$G:$G,"&gt;="&amp;_xlpm.p)))))</f>
        <v>3</v>
      </c>
      <c r="I298" t="s">
        <v>2573</v>
      </c>
      <c r="J298" t="s">
        <v>386</v>
      </c>
      <c r="K298" t="s">
        <v>5468</v>
      </c>
      <c r="L298" s="5" t="s">
        <v>5307</v>
      </c>
      <c r="M298" t="s">
        <v>7</v>
      </c>
      <c r="N298" t="s">
        <v>7</v>
      </c>
      <c r="O298" s="5" t="s">
        <v>5072</v>
      </c>
      <c r="P298" s="5" t="s">
        <v>8092</v>
      </c>
      <c r="Q298" s="5" t="s">
        <v>2509</v>
      </c>
      <c r="R298" t="b">
        <v>1</v>
      </c>
    </row>
    <row r="299" spans="1:18">
      <c r="A299" t="s">
        <v>3014</v>
      </c>
      <c r="B299" t="s">
        <v>5873</v>
      </c>
      <c r="C299" t="s">
        <v>7805</v>
      </c>
      <c r="D299" s="1">
        <v>3</v>
      </c>
      <c r="E299" s="1">
        <v>9</v>
      </c>
      <c r="F299" s="1">
        <v>292</v>
      </c>
      <c r="G299" s="1">
        <v>293</v>
      </c>
      <c r="H299" s="17" cm="1">
        <f t="array" ref="H299">_xlfn.LET(_xlpm.s,IFERROR(--F299,""),_xlpm.e,IFERROR(--G299,""),IF(OR(_xlpm.s="",_xlpm.e="",_xlpm.e&lt;_xlpm.s),"",_xlfn.LET(_xlpm.p,_xlfn.SEQUENCE(_xlpm.e-_xlpm.s+1,1,_xlpm.s,1),SUM(1/COUNTIFS($D:$D,D299,$E:$E,E299,$F:$F,"&lt;&gt;N/A",$G:$G,"&lt;&gt;N/A",$F:$F,"&lt;="&amp;_xlpm.p,$G:$G,"&gt;="&amp;_xlpm.p)))))</f>
        <v>1.5</v>
      </c>
      <c r="I299" t="s">
        <v>2573</v>
      </c>
      <c r="J299" t="s">
        <v>387</v>
      </c>
      <c r="K299" t="s">
        <v>7</v>
      </c>
      <c r="L299" s="5" t="s">
        <v>5323</v>
      </c>
      <c r="M299" t="s">
        <v>6555</v>
      </c>
      <c r="N299" t="s">
        <v>6682</v>
      </c>
      <c r="O299" s="5" t="s">
        <v>5072</v>
      </c>
      <c r="P299" s="5" t="s">
        <v>8021</v>
      </c>
      <c r="Q299" s="5" t="s">
        <v>2509</v>
      </c>
      <c r="R299" t="b">
        <v>1</v>
      </c>
    </row>
    <row r="300" spans="1:18">
      <c r="A300" t="s">
        <v>3014</v>
      </c>
      <c r="B300" t="s">
        <v>5874</v>
      </c>
      <c r="C300" t="s">
        <v>7805</v>
      </c>
      <c r="D300" s="1">
        <v>3</v>
      </c>
      <c r="E300" s="1">
        <v>9</v>
      </c>
      <c r="F300" s="1">
        <v>293</v>
      </c>
      <c r="G300" s="1">
        <v>295</v>
      </c>
      <c r="H300" s="17" cm="1">
        <f t="array" ref="H300">_xlfn.LET(_xlpm.s,IFERROR(--F300,""),_xlpm.e,IFERROR(--G300,""),IF(OR(_xlpm.s="",_xlpm.e="",_xlpm.e&lt;_xlpm.s),"",_xlfn.LET(_xlpm.p,_xlfn.SEQUENCE(_xlpm.e-_xlpm.s+1,1,_xlpm.s,1),SUM(1/COUNTIFS($D:$D,D300,$E:$E,E300,$F:$F,"&lt;&gt;N/A",$G:$G,"&lt;&gt;N/A",$F:$F,"&lt;="&amp;_xlpm.p,$G:$G,"&gt;="&amp;_xlpm.p)))))</f>
        <v>2</v>
      </c>
      <c r="I300" t="s">
        <v>2573</v>
      </c>
      <c r="J300" t="s">
        <v>5465</v>
      </c>
      <c r="K300" t="s">
        <v>7</v>
      </c>
      <c r="L300" s="5" t="s">
        <v>5307</v>
      </c>
      <c r="M300" t="s">
        <v>5420</v>
      </c>
      <c r="N300" t="s">
        <v>6695</v>
      </c>
      <c r="O300" s="5" t="s">
        <v>5072</v>
      </c>
      <c r="P300" s="5" t="s">
        <v>8092</v>
      </c>
      <c r="Q300" s="5" t="s">
        <v>2509</v>
      </c>
      <c r="R300" t="b">
        <v>1</v>
      </c>
    </row>
    <row r="301" spans="1:18">
      <c r="A301" t="s">
        <v>3014</v>
      </c>
      <c r="B301" t="s">
        <v>5875</v>
      </c>
      <c r="C301" t="s">
        <v>7805</v>
      </c>
      <c r="D301" s="1">
        <v>3</v>
      </c>
      <c r="E301" s="1">
        <v>9</v>
      </c>
      <c r="F301" s="1">
        <v>295</v>
      </c>
      <c r="G301" s="1">
        <v>295</v>
      </c>
      <c r="H301" s="17" cm="1">
        <f t="array" ref="H301">_xlfn.LET(_xlpm.s,IFERROR(--F301,""),_xlpm.e,IFERROR(--G301,""),IF(OR(_xlpm.s="",_xlpm.e="",_xlpm.e&lt;_xlpm.s),"",_xlfn.LET(_xlpm.p,_xlfn.SEQUENCE(_xlpm.e-_xlpm.s+1,1,_xlpm.s,1),SUM(1/COUNTIFS($D:$D,D301,$E:$E,E301,$F:$F,"&lt;&gt;N/A",$G:$G,"&lt;&gt;N/A",$F:$F,"&lt;="&amp;_xlpm.p,$G:$G,"&gt;="&amp;_xlpm.p)))))</f>
        <v>0.5</v>
      </c>
      <c r="I301" t="s">
        <v>2573</v>
      </c>
      <c r="J301" t="s">
        <v>388</v>
      </c>
      <c r="K301" t="s">
        <v>7</v>
      </c>
      <c r="L301" s="5" t="s">
        <v>7</v>
      </c>
      <c r="M301" t="s">
        <v>7</v>
      </c>
      <c r="N301" t="s">
        <v>7</v>
      </c>
      <c r="O301" s="5" t="s">
        <v>778</v>
      </c>
      <c r="P301" s="5" t="s">
        <v>7834</v>
      </c>
      <c r="R301" t="b">
        <v>1</v>
      </c>
    </row>
    <row r="302" spans="1:18">
      <c r="A302" t="s">
        <v>3014</v>
      </c>
      <c r="B302" t="s">
        <v>5876</v>
      </c>
      <c r="C302" t="s">
        <v>7726</v>
      </c>
      <c r="D302" s="1">
        <v>3</v>
      </c>
      <c r="E302" s="1">
        <v>10</v>
      </c>
      <c r="F302" s="1">
        <v>297</v>
      </c>
      <c r="G302" s="1">
        <v>301</v>
      </c>
      <c r="H302" s="17" cm="1">
        <f t="array" ref="H302">_xlfn.LET(_xlpm.s,IFERROR(--F302,""),_xlpm.e,IFERROR(--G302,""),IF(OR(_xlpm.s="",_xlpm.e="",_xlpm.e&lt;_xlpm.s),"",_xlfn.LET(_xlpm.p,_xlfn.SEQUENCE(_xlpm.e-_xlpm.s+1,1,_xlpm.s,1),SUM(1/COUNTIFS($D:$D,D302,$E:$E,E302,$F:$F,"&lt;&gt;N/A",$G:$G,"&lt;&gt;N/A",$F:$F,"&lt;="&amp;_xlpm.p,$G:$G,"&gt;="&amp;_xlpm.p)))))</f>
        <v>4.5</v>
      </c>
      <c r="I302" t="s">
        <v>2573</v>
      </c>
      <c r="J302" t="s">
        <v>2579</v>
      </c>
      <c r="K302" t="s">
        <v>7</v>
      </c>
      <c r="L302" s="5" t="s">
        <v>5234</v>
      </c>
      <c r="M302" t="s">
        <v>5467</v>
      </c>
      <c r="N302" t="s">
        <v>6681</v>
      </c>
      <c r="O302" s="5" t="s">
        <v>5072</v>
      </c>
      <c r="P302" s="5" t="s">
        <v>8021</v>
      </c>
      <c r="Q302" s="5" t="s">
        <v>2509</v>
      </c>
      <c r="R302" t="b">
        <v>1</v>
      </c>
    </row>
    <row r="303" spans="1:18">
      <c r="A303" t="s">
        <v>3014</v>
      </c>
      <c r="B303" t="s">
        <v>5877</v>
      </c>
      <c r="C303" t="s">
        <v>7726</v>
      </c>
      <c r="D303" s="1">
        <v>3</v>
      </c>
      <c r="E303" s="1">
        <v>10</v>
      </c>
      <c r="F303" s="1">
        <v>301</v>
      </c>
      <c r="G303" s="1">
        <v>305</v>
      </c>
      <c r="H303" s="17" cm="1">
        <f t="array" ref="H303">_xlfn.LET(_xlpm.s,IFERROR(--F303,""),_xlpm.e,IFERROR(--G303,""),IF(OR(_xlpm.s="",_xlpm.e="",_xlpm.e&lt;_xlpm.s),"",_xlfn.LET(_xlpm.p,_xlfn.SEQUENCE(_xlpm.e-_xlpm.s+1,1,_xlpm.s,1),SUM(1/COUNTIFS($D:$D,D303,$E:$E,E303,$F:$F,"&lt;&gt;N/A",$G:$G,"&lt;&gt;N/A",$F:$F,"&lt;="&amp;_xlpm.p,$G:$G,"&gt;="&amp;_xlpm.p)))))</f>
        <v>4</v>
      </c>
      <c r="I303" t="s">
        <v>2573</v>
      </c>
      <c r="J303" t="s">
        <v>389</v>
      </c>
      <c r="K303" t="s">
        <v>7</v>
      </c>
      <c r="L303" s="5" t="s">
        <v>7</v>
      </c>
      <c r="M303" s="5" t="s">
        <v>5467</v>
      </c>
      <c r="N303" t="s">
        <v>5466</v>
      </c>
      <c r="O303" s="5" t="s">
        <v>5072</v>
      </c>
      <c r="P303" s="5" t="s">
        <v>8021</v>
      </c>
      <c r="R303" t="b">
        <v>1</v>
      </c>
    </row>
    <row r="304" spans="1:18">
      <c r="A304" t="s">
        <v>3014</v>
      </c>
      <c r="B304" t="s">
        <v>5878</v>
      </c>
      <c r="C304" t="s">
        <v>7726</v>
      </c>
      <c r="D304" s="1">
        <v>3</v>
      </c>
      <c r="E304" s="1">
        <v>10</v>
      </c>
      <c r="F304" s="1">
        <v>305</v>
      </c>
      <c r="G304" s="1">
        <v>307</v>
      </c>
      <c r="H304" s="17" cm="1">
        <f t="array" ref="H304">_xlfn.LET(_xlpm.s,IFERROR(--F304,""),_xlpm.e,IFERROR(--G304,""),IF(OR(_xlpm.s="",_xlpm.e="",_xlpm.e&lt;_xlpm.s),"",_xlfn.LET(_xlpm.p,_xlfn.SEQUENCE(_xlpm.e-_xlpm.s+1,1,_xlpm.s,1),SUM(1/COUNTIFS($D:$D,D304,$E:$E,E304,$F:$F,"&lt;&gt;N/A",$G:$G,"&lt;&gt;N/A",$F:$F,"&lt;="&amp;_xlpm.p,$G:$G,"&gt;="&amp;_xlpm.p)))))</f>
        <v>2</v>
      </c>
      <c r="I304" t="s">
        <v>2573</v>
      </c>
      <c r="J304" t="s">
        <v>6697</v>
      </c>
      <c r="K304" t="s">
        <v>7</v>
      </c>
      <c r="L304" s="5" t="s">
        <v>5323</v>
      </c>
      <c r="M304" t="s">
        <v>6555</v>
      </c>
      <c r="N304" t="s">
        <v>6927</v>
      </c>
      <c r="O304" s="5" t="s">
        <v>5072</v>
      </c>
      <c r="P304" s="5" t="s">
        <v>8021</v>
      </c>
      <c r="Q304" s="5" t="s">
        <v>2509</v>
      </c>
      <c r="R304" t="b">
        <v>1</v>
      </c>
    </row>
    <row r="305" spans="1:18">
      <c r="A305" t="s">
        <v>3014</v>
      </c>
      <c r="B305" t="s">
        <v>5879</v>
      </c>
      <c r="C305" t="s">
        <v>7726</v>
      </c>
      <c r="D305" s="1">
        <v>3</v>
      </c>
      <c r="E305" s="1">
        <v>10</v>
      </c>
      <c r="F305" s="1">
        <v>307</v>
      </c>
      <c r="G305" s="1">
        <v>308</v>
      </c>
      <c r="H305" s="17" cm="1">
        <f t="array" ref="H305">_xlfn.LET(_xlpm.s,IFERROR(--F305,""),_xlpm.e,IFERROR(--G305,""),IF(OR(_xlpm.s="",_xlpm.e="",_xlpm.e&lt;_xlpm.s),"",_xlfn.LET(_xlpm.p,_xlfn.SEQUENCE(_xlpm.e-_xlpm.s+1,1,_xlpm.s,1),SUM(1/COUNTIFS($D:$D,D305,$E:$E,E305,$F:$F,"&lt;&gt;N/A",$G:$G,"&lt;&gt;N/A",$F:$F,"&lt;="&amp;_xlpm.p,$G:$G,"&gt;="&amp;_xlpm.p)))))</f>
        <v>1</v>
      </c>
      <c r="I305" t="s">
        <v>2573</v>
      </c>
      <c r="J305" t="s">
        <v>6698</v>
      </c>
      <c r="K305" t="s">
        <v>7</v>
      </c>
      <c r="L305" s="5" t="s">
        <v>5234</v>
      </c>
      <c r="M305" t="s">
        <v>6588</v>
      </c>
      <c r="N305" t="s">
        <v>6928</v>
      </c>
      <c r="O305" s="5" t="s">
        <v>5072</v>
      </c>
      <c r="P305" s="5" t="s">
        <v>8021</v>
      </c>
      <c r="Q305" s="5" t="s">
        <v>2509</v>
      </c>
      <c r="R305" t="b">
        <v>1</v>
      </c>
    </row>
    <row r="306" spans="1:18">
      <c r="A306" t="s">
        <v>3014</v>
      </c>
      <c r="B306" t="s">
        <v>5880</v>
      </c>
      <c r="C306" t="s">
        <v>7726</v>
      </c>
      <c r="D306" s="1">
        <v>3</v>
      </c>
      <c r="E306" s="1">
        <v>10</v>
      </c>
      <c r="F306" s="1">
        <v>308</v>
      </c>
      <c r="G306" s="1">
        <v>309</v>
      </c>
      <c r="H306" s="17" cm="1">
        <f t="array" ref="H306">_xlfn.LET(_xlpm.s,IFERROR(--F306,""),_xlpm.e,IFERROR(--G306,""),IF(OR(_xlpm.s="",_xlpm.e="",_xlpm.e&lt;_xlpm.s),"",_xlfn.LET(_xlpm.p,_xlfn.SEQUENCE(_xlpm.e-_xlpm.s+1,1,_xlpm.s,1),SUM(1/COUNTIFS($D:$D,D306,$E:$E,E306,$F:$F,"&lt;&gt;N/A",$G:$G,"&lt;&gt;N/A",$F:$F,"&lt;="&amp;_xlpm.p,$G:$G,"&gt;="&amp;_xlpm.p)))))</f>
        <v>1</v>
      </c>
      <c r="I306" t="s">
        <v>2573</v>
      </c>
      <c r="J306" t="s">
        <v>390</v>
      </c>
      <c r="K306" t="s">
        <v>7</v>
      </c>
      <c r="L306" s="5" t="s">
        <v>5234</v>
      </c>
      <c r="M306" t="s">
        <v>6588</v>
      </c>
      <c r="N306" t="s">
        <v>6929</v>
      </c>
      <c r="O306" s="5" t="s">
        <v>5072</v>
      </c>
      <c r="P306" s="5" t="s">
        <v>8021</v>
      </c>
      <c r="Q306" s="5" t="s">
        <v>2509</v>
      </c>
      <c r="R306" t="b">
        <v>1</v>
      </c>
    </row>
    <row r="307" spans="1:18">
      <c r="A307" t="s">
        <v>3014</v>
      </c>
      <c r="B307" t="s">
        <v>5881</v>
      </c>
      <c r="C307" t="s">
        <v>7726</v>
      </c>
      <c r="D307" s="1">
        <v>3</v>
      </c>
      <c r="E307" s="1">
        <v>10</v>
      </c>
      <c r="F307" s="1">
        <v>309</v>
      </c>
      <c r="G307" s="1">
        <v>310</v>
      </c>
      <c r="H307" s="17" cm="1">
        <f t="array" ref="H307">_xlfn.LET(_xlpm.s,IFERROR(--F307,""),_xlpm.e,IFERROR(--G307,""),IF(OR(_xlpm.s="",_xlpm.e="",_xlpm.e&lt;_xlpm.s),"",_xlfn.LET(_xlpm.p,_xlfn.SEQUENCE(_xlpm.e-_xlpm.s+1,1,_xlpm.s,1),SUM(1/COUNTIFS($D:$D,D307,$E:$E,E307,$F:$F,"&lt;&gt;N/A",$G:$G,"&lt;&gt;N/A",$F:$F,"&lt;="&amp;_xlpm.p,$G:$G,"&gt;="&amp;_xlpm.p)))))</f>
        <v>1.5</v>
      </c>
      <c r="I307" t="s">
        <v>2580</v>
      </c>
      <c r="J307" t="s">
        <v>6699</v>
      </c>
      <c r="K307" t="s">
        <v>2465</v>
      </c>
      <c r="L307" s="5" t="s">
        <v>7</v>
      </c>
      <c r="M307" t="s">
        <v>7</v>
      </c>
      <c r="N307" t="s">
        <v>7</v>
      </c>
      <c r="O307" s="5" t="s">
        <v>778</v>
      </c>
      <c r="P307" s="5" t="s">
        <v>7834</v>
      </c>
      <c r="R307" t="b">
        <v>1</v>
      </c>
    </row>
    <row r="308" spans="1:18">
      <c r="A308" t="s">
        <v>3014</v>
      </c>
      <c r="B308" t="s">
        <v>5882</v>
      </c>
      <c r="C308" t="s">
        <v>7726</v>
      </c>
      <c r="D308" s="1">
        <v>3</v>
      </c>
      <c r="E308" s="1">
        <v>10</v>
      </c>
      <c r="F308" s="1">
        <v>311</v>
      </c>
      <c r="G308" s="1">
        <v>312</v>
      </c>
      <c r="H308" s="17" cm="1">
        <f t="array" ref="H308">_xlfn.LET(_xlpm.s,IFERROR(--F308,""),_xlpm.e,IFERROR(--G308,""),IF(OR(_xlpm.s="",_xlpm.e="",_xlpm.e&lt;_xlpm.s),"",_xlfn.LET(_xlpm.p,_xlfn.SEQUENCE(_xlpm.e-_xlpm.s+1,1,_xlpm.s,1),SUM(1/COUNTIFS($D:$D,D308,$E:$E,E308,$F:$F,"&lt;&gt;N/A",$G:$G,"&lt;&gt;N/A",$F:$F,"&lt;="&amp;_xlpm.p,$G:$G,"&gt;="&amp;_xlpm.p)))))</f>
        <v>1.5</v>
      </c>
      <c r="I308" t="s">
        <v>2580</v>
      </c>
      <c r="J308" t="s">
        <v>391</v>
      </c>
      <c r="K308" t="s">
        <v>2465</v>
      </c>
      <c r="L308" s="5" t="s">
        <v>7</v>
      </c>
      <c r="M308" t="s">
        <v>7</v>
      </c>
      <c r="N308" t="s">
        <v>7</v>
      </c>
      <c r="O308" s="5" t="s">
        <v>778</v>
      </c>
      <c r="P308" s="5" t="s">
        <v>7834</v>
      </c>
      <c r="R308" t="b">
        <v>1</v>
      </c>
    </row>
    <row r="309" spans="1:18">
      <c r="A309" t="s">
        <v>3014</v>
      </c>
      <c r="B309" t="s">
        <v>5883</v>
      </c>
      <c r="C309" t="s">
        <v>7726</v>
      </c>
      <c r="D309" s="1">
        <v>3</v>
      </c>
      <c r="E309" s="1">
        <v>10</v>
      </c>
      <c r="F309" s="1">
        <v>312</v>
      </c>
      <c r="G309" s="1">
        <v>313</v>
      </c>
      <c r="H309" s="17" cm="1">
        <f t="array" ref="H309">_xlfn.LET(_xlpm.s,IFERROR(--F309,""),_xlpm.e,IFERROR(--G309,""),IF(OR(_xlpm.s="",_xlpm.e="",_xlpm.e&lt;_xlpm.s),"",_xlfn.LET(_xlpm.p,_xlfn.SEQUENCE(_xlpm.e-_xlpm.s+1,1,_xlpm.s,1),SUM(1/COUNTIFS($D:$D,D309,$E:$E,E309,$F:$F,"&lt;&gt;N/A",$G:$G,"&lt;&gt;N/A",$F:$F,"&lt;="&amp;_xlpm.p,$G:$G,"&gt;="&amp;_xlpm.p)))))</f>
        <v>1</v>
      </c>
      <c r="I309" t="s">
        <v>2580</v>
      </c>
      <c r="J309" t="s">
        <v>6700</v>
      </c>
      <c r="K309" t="s">
        <v>2465</v>
      </c>
      <c r="L309" s="5" t="s">
        <v>7</v>
      </c>
      <c r="M309" t="s">
        <v>7</v>
      </c>
      <c r="N309" t="s">
        <v>7</v>
      </c>
      <c r="O309" s="5" t="s">
        <v>778</v>
      </c>
      <c r="P309" s="5" t="s">
        <v>7834</v>
      </c>
      <c r="R309" t="b">
        <v>1</v>
      </c>
    </row>
    <row r="310" spans="1:18">
      <c r="A310" t="s">
        <v>3014</v>
      </c>
      <c r="B310" t="s">
        <v>5884</v>
      </c>
      <c r="C310" t="s">
        <v>7726</v>
      </c>
      <c r="D310" s="1">
        <v>3</v>
      </c>
      <c r="E310" s="1">
        <v>10</v>
      </c>
      <c r="F310" s="1">
        <v>313</v>
      </c>
      <c r="G310" s="1">
        <v>317</v>
      </c>
      <c r="H310" s="17" cm="1">
        <f t="array" ref="H310">_xlfn.LET(_xlpm.s,IFERROR(--F310,""),_xlpm.e,IFERROR(--G310,""),IF(OR(_xlpm.s="",_xlpm.e="",_xlpm.e&lt;_xlpm.s),"",_xlfn.LET(_xlpm.p,_xlfn.SEQUENCE(_xlpm.e-_xlpm.s+1,1,_xlpm.s,1),SUM(1/COUNTIFS($D:$D,D310,$E:$E,E310,$F:$F,"&lt;&gt;N/A",$G:$G,"&lt;&gt;N/A",$F:$F,"&lt;="&amp;_xlpm.p,$G:$G,"&gt;="&amp;_xlpm.p)))))</f>
        <v>4</v>
      </c>
      <c r="I310" t="s">
        <v>2581</v>
      </c>
      <c r="J310" t="s">
        <v>6701</v>
      </c>
      <c r="K310" t="s">
        <v>7</v>
      </c>
      <c r="L310" s="5" t="s">
        <v>5234</v>
      </c>
      <c r="M310" t="s">
        <v>5147</v>
      </c>
      <c r="N310" t="s">
        <v>6930</v>
      </c>
      <c r="O310" s="5" t="s">
        <v>5072</v>
      </c>
      <c r="P310" s="5" t="s">
        <v>8021</v>
      </c>
      <c r="Q310" s="5" t="s">
        <v>2509</v>
      </c>
      <c r="R310" t="b">
        <v>1</v>
      </c>
    </row>
    <row r="311" spans="1:18">
      <c r="A311" t="s">
        <v>3014</v>
      </c>
      <c r="B311" t="s">
        <v>5885</v>
      </c>
      <c r="C311" t="s">
        <v>7726</v>
      </c>
      <c r="D311" s="1">
        <v>3</v>
      </c>
      <c r="E311" s="1">
        <v>10</v>
      </c>
      <c r="F311" s="1">
        <v>317</v>
      </c>
      <c r="G311" s="1">
        <v>321</v>
      </c>
      <c r="H311" s="17" cm="1">
        <f t="array" ref="H311">_xlfn.LET(_xlpm.s,IFERROR(--F311,""),_xlpm.e,IFERROR(--G311,""),IF(OR(_xlpm.s="",_xlpm.e="",_xlpm.e&lt;_xlpm.s),"",_xlfn.LET(_xlpm.p,_xlfn.SEQUENCE(_xlpm.e-_xlpm.s+1,1,_xlpm.s,1),SUM(1/COUNTIFS($D:$D,D311,$E:$E,E311,$F:$F,"&lt;&gt;N/A",$G:$G,"&lt;&gt;N/A",$F:$F,"&lt;="&amp;_xlpm.p,$G:$G,"&gt;="&amp;_xlpm.p)))))</f>
        <v>4</v>
      </c>
      <c r="I311" t="s">
        <v>2581</v>
      </c>
      <c r="J311" t="s">
        <v>392</v>
      </c>
      <c r="K311" t="s">
        <v>7</v>
      </c>
      <c r="L311" s="5" t="s">
        <v>5234</v>
      </c>
      <c r="M311" t="s">
        <v>5134</v>
      </c>
      <c r="N311" t="s">
        <v>6931</v>
      </c>
      <c r="O311" s="5" t="s">
        <v>5072</v>
      </c>
      <c r="P311" s="5" t="s">
        <v>8021</v>
      </c>
      <c r="Q311" s="5" t="s">
        <v>2509</v>
      </c>
      <c r="R311" t="b">
        <v>1</v>
      </c>
    </row>
    <row r="312" spans="1:18">
      <c r="A312" t="s">
        <v>3014</v>
      </c>
      <c r="B312" t="s">
        <v>5886</v>
      </c>
      <c r="C312" t="s">
        <v>7726</v>
      </c>
      <c r="D312" s="1">
        <v>3</v>
      </c>
      <c r="E312" s="1">
        <v>10</v>
      </c>
      <c r="F312" s="1">
        <v>321</v>
      </c>
      <c r="G312" s="1">
        <v>321</v>
      </c>
      <c r="H312" s="17" cm="1">
        <f t="array" ref="H312">_xlfn.LET(_xlpm.s,IFERROR(--F312,""),_xlpm.e,IFERROR(--G312,""),IF(OR(_xlpm.s="",_xlpm.e="",_xlpm.e&lt;_xlpm.s),"",_xlfn.LET(_xlpm.p,_xlfn.SEQUENCE(_xlpm.e-_xlpm.s+1,1,_xlpm.s,1),SUM(1/COUNTIFS($D:$D,D312,$E:$E,E312,$F:$F,"&lt;&gt;N/A",$G:$G,"&lt;&gt;N/A",$F:$F,"&lt;="&amp;_xlpm.p,$G:$G,"&gt;="&amp;_xlpm.p)))))</f>
        <v>0.5</v>
      </c>
      <c r="I312" t="s">
        <v>2581</v>
      </c>
      <c r="J312" t="s">
        <v>393</v>
      </c>
      <c r="K312" t="s">
        <v>7</v>
      </c>
      <c r="L312" s="5" t="s">
        <v>5234</v>
      </c>
      <c r="M312" t="s">
        <v>6711</v>
      </c>
      <c r="N312" t="s">
        <v>6932</v>
      </c>
      <c r="O312" s="5" t="s">
        <v>5072</v>
      </c>
      <c r="P312" s="5" t="s">
        <v>8021</v>
      </c>
      <c r="Q312" s="5" t="s">
        <v>2509</v>
      </c>
      <c r="R312" t="b">
        <v>1</v>
      </c>
    </row>
    <row r="313" spans="1:18">
      <c r="A313" t="s">
        <v>3014</v>
      </c>
      <c r="B313" t="s">
        <v>5887</v>
      </c>
      <c r="C313" t="s">
        <v>7726</v>
      </c>
      <c r="D313" s="1">
        <v>3</v>
      </c>
      <c r="E313" s="1">
        <v>10</v>
      </c>
      <c r="F313" s="1">
        <v>322</v>
      </c>
      <c r="G313" s="1">
        <v>323</v>
      </c>
      <c r="H313" s="17" cm="1">
        <f t="array" ref="H313">_xlfn.LET(_xlpm.s,IFERROR(--F313,""),_xlpm.e,IFERROR(--G313,""),IF(OR(_xlpm.s="",_xlpm.e="",_xlpm.e&lt;_xlpm.s),"",_xlfn.LET(_xlpm.p,_xlfn.SEQUENCE(_xlpm.e-_xlpm.s+1,1,_xlpm.s,1),SUM(1/COUNTIFS($D:$D,D313,$E:$E,E313,$F:$F,"&lt;&gt;N/A",$G:$G,"&lt;&gt;N/A",$F:$F,"&lt;="&amp;_xlpm.p,$G:$G,"&gt;="&amp;_xlpm.p)))))</f>
        <v>1.5</v>
      </c>
      <c r="I313" t="s">
        <v>2581</v>
      </c>
      <c r="J313" t="s">
        <v>394</v>
      </c>
      <c r="K313" t="s">
        <v>7</v>
      </c>
      <c r="L313" s="5" t="s">
        <v>5464</v>
      </c>
      <c r="M313" t="s">
        <v>5420</v>
      </c>
      <c r="N313" t="s">
        <v>6933</v>
      </c>
      <c r="O313" s="5" t="s">
        <v>5072</v>
      </c>
      <c r="P313" s="5" t="s">
        <v>8092</v>
      </c>
      <c r="Q313" s="5" t="s">
        <v>2509</v>
      </c>
      <c r="R313" t="b">
        <v>1</v>
      </c>
    </row>
    <row r="314" spans="1:18">
      <c r="A314" t="s">
        <v>3014</v>
      </c>
      <c r="B314" t="s">
        <v>5888</v>
      </c>
      <c r="C314" t="s">
        <v>7726</v>
      </c>
      <c r="D314" s="1">
        <v>3</v>
      </c>
      <c r="E314" s="1">
        <v>10</v>
      </c>
      <c r="F314" s="1">
        <v>323</v>
      </c>
      <c r="G314" s="1">
        <v>326</v>
      </c>
      <c r="H314" s="17" cm="1">
        <f t="array" ref="H314">_xlfn.LET(_xlpm.s,IFERROR(--F314,""),_xlpm.e,IFERROR(--G314,""),IF(OR(_xlpm.s="",_xlpm.e="",_xlpm.e&lt;_xlpm.s),"",_xlfn.LET(_xlpm.p,_xlfn.SEQUENCE(_xlpm.e-_xlpm.s+1,1,_xlpm.s,1),SUM(1/COUNTIFS($D:$D,D314,$E:$E,E314,$F:$F,"&lt;&gt;N/A",$G:$G,"&lt;&gt;N/A",$F:$F,"&lt;="&amp;_xlpm.p,$G:$G,"&gt;="&amp;_xlpm.p)))))</f>
        <v>3</v>
      </c>
      <c r="I314" t="s">
        <v>624</v>
      </c>
      <c r="J314" t="s">
        <v>6702</v>
      </c>
      <c r="K314" t="s">
        <v>4629</v>
      </c>
      <c r="L314" s="5" t="s">
        <v>5234</v>
      </c>
      <c r="M314" t="s">
        <v>6712</v>
      </c>
      <c r="N314" t="s">
        <v>6934</v>
      </c>
      <c r="O314" s="5" t="s">
        <v>5072</v>
      </c>
      <c r="P314" s="5" t="s">
        <v>8021</v>
      </c>
      <c r="Q314" s="5" t="s">
        <v>2509</v>
      </c>
      <c r="R314" t="b">
        <v>1</v>
      </c>
    </row>
    <row r="315" spans="1:18">
      <c r="A315" t="s">
        <v>3014</v>
      </c>
      <c r="B315" t="s">
        <v>5889</v>
      </c>
      <c r="C315" t="s">
        <v>7726</v>
      </c>
      <c r="D315" s="1">
        <v>3</v>
      </c>
      <c r="E315" s="1">
        <v>10</v>
      </c>
      <c r="F315" s="1">
        <v>326</v>
      </c>
      <c r="G315" s="1">
        <v>328</v>
      </c>
      <c r="H315" s="17" cm="1">
        <f t="array" ref="H315">_xlfn.LET(_xlpm.s,IFERROR(--F315,""),_xlpm.e,IFERROR(--G315,""),IF(OR(_xlpm.s="",_xlpm.e="",_xlpm.e&lt;_xlpm.s),"",_xlfn.LET(_xlpm.p,_xlfn.SEQUENCE(_xlpm.e-_xlpm.s+1,1,_xlpm.s,1),SUM(1/COUNTIFS($D:$D,D315,$E:$E,E315,$F:$F,"&lt;&gt;N/A",$G:$G,"&lt;&gt;N/A",$F:$F,"&lt;="&amp;_xlpm.p,$G:$G,"&gt;="&amp;_xlpm.p)))))</f>
        <v>2.5</v>
      </c>
      <c r="I315" t="s">
        <v>624</v>
      </c>
      <c r="J315" t="s">
        <v>6703</v>
      </c>
      <c r="K315" t="s">
        <v>7</v>
      </c>
      <c r="L315" s="5" t="s">
        <v>7</v>
      </c>
      <c r="M315" t="s">
        <v>6712</v>
      </c>
      <c r="N315" t="s">
        <v>6935</v>
      </c>
      <c r="O315" s="5" t="s">
        <v>5072</v>
      </c>
      <c r="P315" s="5" t="s">
        <v>8021</v>
      </c>
      <c r="R315" t="b">
        <v>1</v>
      </c>
    </row>
    <row r="316" spans="1:18">
      <c r="A316" t="s">
        <v>3014</v>
      </c>
      <c r="B316" t="s">
        <v>5890</v>
      </c>
      <c r="C316" t="s">
        <v>7727</v>
      </c>
      <c r="D316" s="1">
        <v>3</v>
      </c>
      <c r="E316" s="1">
        <v>11</v>
      </c>
      <c r="F316" s="1">
        <v>329</v>
      </c>
      <c r="G316" s="1">
        <v>335</v>
      </c>
      <c r="H316" s="17" cm="1">
        <f t="array" ref="H316">_xlfn.LET(_xlpm.s,IFERROR(--F316,""),_xlpm.e,IFERROR(--G316,""),IF(OR(_xlpm.s="",_xlpm.e="",_xlpm.e&lt;_xlpm.s),"",_xlfn.LET(_xlpm.p,_xlfn.SEQUENCE(_xlpm.e-_xlpm.s+1,1,_xlpm.s,1),SUM(1/COUNTIFS($D:$D,D316,$E:$E,E316,$F:$F,"&lt;&gt;N/A",$G:$G,"&lt;&gt;N/A",$F:$F,"&lt;="&amp;_xlpm.p,$G:$G,"&gt;="&amp;_xlpm.p)))))</f>
        <v>6.5</v>
      </c>
      <c r="I316" t="s">
        <v>2573</v>
      </c>
      <c r="J316" t="s">
        <v>6705</v>
      </c>
      <c r="K316" t="s">
        <v>7</v>
      </c>
      <c r="L316" s="5" t="s">
        <v>5323</v>
      </c>
      <c r="M316" t="s">
        <v>6555</v>
      </c>
      <c r="N316" t="s">
        <v>6925</v>
      </c>
      <c r="O316" s="5" t="s">
        <v>5072</v>
      </c>
      <c r="P316" s="5" t="s">
        <v>8021</v>
      </c>
      <c r="Q316" s="5" t="s">
        <v>2509</v>
      </c>
      <c r="R316" t="b">
        <v>1</v>
      </c>
    </row>
    <row r="317" spans="1:18">
      <c r="A317" t="s">
        <v>3014</v>
      </c>
      <c r="B317" t="s">
        <v>5891</v>
      </c>
      <c r="C317" t="s">
        <v>7727</v>
      </c>
      <c r="D317" s="1">
        <v>3</v>
      </c>
      <c r="E317" s="1">
        <v>11</v>
      </c>
      <c r="F317" s="1">
        <v>335</v>
      </c>
      <c r="G317" s="1">
        <v>337</v>
      </c>
      <c r="H317" s="17" cm="1">
        <f t="array" ref="H317">_xlfn.LET(_xlpm.s,IFERROR(--F317,""),_xlpm.e,IFERROR(--G317,""),IF(OR(_xlpm.s="",_xlpm.e="",_xlpm.e&lt;_xlpm.s),"",_xlfn.LET(_xlpm.p,_xlfn.SEQUENCE(_xlpm.e-_xlpm.s+1,1,_xlpm.s,1),SUM(1/COUNTIFS($D:$D,D317,$E:$E,E317,$F:$F,"&lt;&gt;N/A",$G:$G,"&lt;&gt;N/A",$F:$F,"&lt;="&amp;_xlpm.p,$G:$G,"&gt;="&amp;_xlpm.p)))))</f>
        <v>2</v>
      </c>
      <c r="I317" t="s">
        <v>2573</v>
      </c>
      <c r="J317" t="s">
        <v>6706</v>
      </c>
      <c r="K317" t="s">
        <v>7</v>
      </c>
      <c r="L317" s="5" t="s">
        <v>5323</v>
      </c>
      <c r="M317" t="s">
        <v>6555</v>
      </c>
      <c r="N317" t="s">
        <v>6926</v>
      </c>
      <c r="O317" s="5" t="s">
        <v>5072</v>
      </c>
      <c r="P317" s="5" t="s">
        <v>8021</v>
      </c>
      <c r="Q317" s="5" t="s">
        <v>2509</v>
      </c>
      <c r="R317" t="b">
        <v>1</v>
      </c>
    </row>
    <row r="318" spans="1:18">
      <c r="A318" t="s">
        <v>3014</v>
      </c>
      <c r="B318" t="s">
        <v>5892</v>
      </c>
      <c r="C318" t="s">
        <v>7727</v>
      </c>
      <c r="D318" s="1">
        <v>3</v>
      </c>
      <c r="E318" s="1">
        <v>11</v>
      </c>
      <c r="F318" s="1">
        <v>337</v>
      </c>
      <c r="G318" s="1">
        <v>341</v>
      </c>
      <c r="H318" s="17" cm="1">
        <f t="array" ref="H318">_xlfn.LET(_xlpm.s,IFERROR(--F318,""),_xlpm.e,IFERROR(--G318,""),IF(OR(_xlpm.s="",_xlpm.e="",_xlpm.e&lt;_xlpm.s),"",_xlfn.LET(_xlpm.p,_xlfn.SEQUENCE(_xlpm.e-_xlpm.s+1,1,_xlpm.s,1),SUM(1/COUNTIFS($D:$D,D318,$E:$E,E318,$F:$F,"&lt;&gt;N/A",$G:$G,"&lt;&gt;N/A",$F:$F,"&lt;="&amp;_xlpm.p,$G:$G,"&gt;="&amp;_xlpm.p)))))</f>
        <v>4.5</v>
      </c>
      <c r="I318" t="s">
        <v>2573</v>
      </c>
      <c r="J318" t="s">
        <v>6707</v>
      </c>
      <c r="K318" t="s">
        <v>7</v>
      </c>
      <c r="L318" s="5" t="s">
        <v>7</v>
      </c>
      <c r="M318" s="5" t="s">
        <v>7</v>
      </c>
      <c r="N318" t="s">
        <v>8059</v>
      </c>
      <c r="O318" s="5" t="s">
        <v>5072</v>
      </c>
      <c r="P318" s="5" t="s">
        <v>8021</v>
      </c>
      <c r="R318" t="b">
        <v>1</v>
      </c>
    </row>
    <row r="319" spans="1:18">
      <c r="A319" t="s">
        <v>3014</v>
      </c>
      <c r="B319" t="s">
        <v>5893</v>
      </c>
      <c r="C319" t="s">
        <v>7727</v>
      </c>
      <c r="D319" s="1">
        <v>3</v>
      </c>
      <c r="E319" s="1">
        <v>11</v>
      </c>
      <c r="F319" s="1">
        <v>342</v>
      </c>
      <c r="G319" s="1">
        <v>342</v>
      </c>
      <c r="H319" s="17" cm="1">
        <f t="array" ref="H319">_xlfn.LET(_xlpm.s,IFERROR(--F319,""),_xlpm.e,IFERROR(--G319,""),IF(OR(_xlpm.s="",_xlpm.e="",_xlpm.e&lt;_xlpm.s),"",_xlfn.LET(_xlpm.p,_xlfn.SEQUENCE(_xlpm.e-_xlpm.s+1,1,_xlpm.s,1),SUM(1/COUNTIFS($D:$D,D319,$E:$E,E319,$F:$F,"&lt;&gt;N/A",$G:$G,"&lt;&gt;N/A",$F:$F,"&lt;="&amp;_xlpm.p,$G:$G,"&gt;="&amp;_xlpm.p)))))</f>
        <v>0.5</v>
      </c>
      <c r="I319" t="s">
        <v>2573</v>
      </c>
      <c r="J319" t="s">
        <v>6708</v>
      </c>
      <c r="K319" t="s">
        <v>7</v>
      </c>
      <c r="L319" s="5" t="s">
        <v>5234</v>
      </c>
      <c r="M319" t="s">
        <v>5467</v>
      </c>
      <c r="N319" t="s">
        <v>6922</v>
      </c>
      <c r="O319" s="5" t="s">
        <v>5072</v>
      </c>
      <c r="P319" s="5" t="s">
        <v>8021</v>
      </c>
      <c r="Q319" s="5" t="s">
        <v>2509</v>
      </c>
      <c r="R319" t="b">
        <v>1</v>
      </c>
    </row>
    <row r="320" spans="1:18">
      <c r="A320" t="s">
        <v>3014</v>
      </c>
      <c r="B320" t="s">
        <v>5894</v>
      </c>
      <c r="C320" t="s">
        <v>7727</v>
      </c>
      <c r="D320" s="1">
        <v>3</v>
      </c>
      <c r="E320" s="1">
        <v>11</v>
      </c>
      <c r="F320" s="1">
        <v>342</v>
      </c>
      <c r="G320" s="1">
        <v>347</v>
      </c>
      <c r="H320" s="17" cm="1">
        <f t="array" ref="H320">_xlfn.LET(_xlpm.s,IFERROR(--F320,""),_xlpm.e,IFERROR(--G320,""),IF(OR(_xlpm.s="",_xlpm.e="",_xlpm.e&lt;_xlpm.s),"",_xlfn.LET(_xlpm.p,_xlfn.SEQUENCE(_xlpm.e-_xlpm.s+1,1,_xlpm.s,1),SUM(1/COUNTIFS($D:$D,D320,$E:$E,E320,$F:$F,"&lt;&gt;N/A",$G:$G,"&lt;&gt;N/A",$F:$F,"&lt;="&amp;_xlpm.p,$G:$G,"&gt;="&amp;_xlpm.p)))))</f>
        <v>5</v>
      </c>
      <c r="I320" t="s">
        <v>2581</v>
      </c>
      <c r="J320" t="s">
        <v>2582</v>
      </c>
      <c r="K320" t="s">
        <v>2504</v>
      </c>
      <c r="L320" t="s">
        <v>7</v>
      </c>
      <c r="M320" t="s">
        <v>7</v>
      </c>
      <c r="N320" t="s">
        <v>7</v>
      </c>
      <c r="O320" s="5" t="s">
        <v>778</v>
      </c>
      <c r="P320" s="5" t="s">
        <v>7834</v>
      </c>
      <c r="R320" t="b">
        <v>1</v>
      </c>
    </row>
    <row r="321" spans="1:18">
      <c r="A321" t="s">
        <v>3014</v>
      </c>
      <c r="B321" t="s">
        <v>5895</v>
      </c>
      <c r="C321" t="s">
        <v>7727</v>
      </c>
      <c r="D321" s="1">
        <v>3</v>
      </c>
      <c r="E321" s="1">
        <v>11</v>
      </c>
      <c r="F321" s="1">
        <v>347</v>
      </c>
      <c r="G321" s="1">
        <v>350</v>
      </c>
      <c r="H321" s="17" cm="1">
        <f t="array" ref="H321">_xlfn.LET(_xlpm.s,IFERROR(--F321,""),_xlpm.e,IFERROR(--G321,""),IF(OR(_xlpm.s="",_xlpm.e="",_xlpm.e&lt;_xlpm.s),"",_xlfn.LET(_xlpm.p,_xlfn.SEQUENCE(_xlpm.e-_xlpm.s+1,1,_xlpm.s,1),SUM(1/COUNTIFS($D:$D,D321,$E:$E,E321,$F:$F,"&lt;&gt;N/A",$G:$G,"&lt;&gt;N/A",$F:$F,"&lt;="&amp;_xlpm.p,$G:$G,"&gt;="&amp;_xlpm.p)))))</f>
        <v>3</v>
      </c>
      <c r="I321" t="s">
        <v>2581</v>
      </c>
      <c r="J321" t="s">
        <v>395</v>
      </c>
      <c r="K321" t="s">
        <v>4629</v>
      </c>
      <c r="L321" s="5" t="s">
        <v>5234</v>
      </c>
      <c r="M321" t="s">
        <v>5467</v>
      </c>
      <c r="N321" t="s">
        <v>6919</v>
      </c>
      <c r="O321" s="5" t="s">
        <v>5072</v>
      </c>
      <c r="P321" s="5" t="s">
        <v>8021</v>
      </c>
      <c r="Q321" s="5" t="s">
        <v>2509</v>
      </c>
      <c r="R321" t="b">
        <v>1</v>
      </c>
    </row>
    <row r="322" spans="1:18">
      <c r="A322" t="s">
        <v>3014</v>
      </c>
      <c r="B322" t="s">
        <v>5896</v>
      </c>
      <c r="C322" t="s">
        <v>7727</v>
      </c>
      <c r="D322" s="1">
        <v>3</v>
      </c>
      <c r="E322" s="1">
        <v>11</v>
      </c>
      <c r="F322" s="1">
        <v>350</v>
      </c>
      <c r="G322" s="1">
        <v>357</v>
      </c>
      <c r="H322" s="17" cm="1">
        <f t="array" ref="H322">_xlfn.LET(_xlpm.s,IFERROR(--F322,""),_xlpm.e,IFERROR(--G322,""),IF(OR(_xlpm.s="",_xlpm.e="",_xlpm.e&lt;_xlpm.s),"",_xlfn.LET(_xlpm.p,_xlfn.SEQUENCE(_xlpm.e-_xlpm.s+1,1,_xlpm.s,1),SUM(1/COUNTIFS($D:$D,D322,$E:$E,E322,$F:$F,"&lt;&gt;N/A",$G:$G,"&lt;&gt;N/A",$F:$F,"&lt;="&amp;_xlpm.p,$G:$G,"&gt;="&amp;_xlpm.p)))))</f>
        <v>7</v>
      </c>
      <c r="I322" t="s">
        <v>624</v>
      </c>
      <c r="J322" t="s">
        <v>6704</v>
      </c>
      <c r="K322" t="s">
        <v>7</v>
      </c>
      <c r="L322" s="5" t="s">
        <v>5234</v>
      </c>
      <c r="M322" t="s">
        <v>5467</v>
      </c>
      <c r="N322" t="s">
        <v>6920</v>
      </c>
      <c r="O322" s="5" t="s">
        <v>5072</v>
      </c>
      <c r="P322" s="5" t="s">
        <v>8021</v>
      </c>
      <c r="Q322" s="5" t="s">
        <v>2509</v>
      </c>
      <c r="R322" t="b">
        <v>1</v>
      </c>
    </row>
    <row r="323" spans="1:18">
      <c r="A323" t="s">
        <v>3014</v>
      </c>
      <c r="B323" t="s">
        <v>5897</v>
      </c>
      <c r="C323" t="s">
        <v>7727</v>
      </c>
      <c r="D323" s="1">
        <v>3</v>
      </c>
      <c r="E323" s="1">
        <v>11</v>
      </c>
      <c r="F323" s="1">
        <v>357</v>
      </c>
      <c r="G323" s="1">
        <v>357</v>
      </c>
      <c r="H323" s="17" cm="1">
        <f t="array" ref="H323">_xlfn.LET(_xlpm.s,IFERROR(--F323,""),_xlpm.e,IFERROR(--G323,""),IF(OR(_xlpm.s="",_xlpm.e="",_xlpm.e&lt;_xlpm.s),"",_xlfn.LET(_xlpm.p,_xlfn.SEQUENCE(_xlpm.e-_xlpm.s+1,1,_xlpm.s,1),SUM(1/COUNTIFS($D:$D,D323,$E:$E,E323,$F:$F,"&lt;&gt;N/A",$G:$G,"&lt;&gt;N/A",$F:$F,"&lt;="&amp;_xlpm.p,$G:$G,"&gt;="&amp;_xlpm.p)))))</f>
        <v>0.5</v>
      </c>
      <c r="I323" t="s">
        <v>624</v>
      </c>
      <c r="J323" t="s">
        <v>396</v>
      </c>
      <c r="K323" t="s">
        <v>7</v>
      </c>
      <c r="L323" s="5" t="s">
        <v>7</v>
      </c>
      <c r="M323" t="s">
        <v>5467</v>
      </c>
      <c r="N323" t="s">
        <v>6921</v>
      </c>
      <c r="O323" s="5" t="s">
        <v>5072</v>
      </c>
      <c r="P323" s="5" t="s">
        <v>8021</v>
      </c>
      <c r="R323" t="b">
        <v>1</v>
      </c>
    </row>
    <row r="324" spans="1:18">
      <c r="A324" t="s">
        <v>3014</v>
      </c>
      <c r="B324" t="s">
        <v>5898</v>
      </c>
      <c r="C324" t="s">
        <v>7727</v>
      </c>
      <c r="D324" s="1">
        <v>3</v>
      </c>
      <c r="E324" s="1">
        <v>11</v>
      </c>
      <c r="F324" s="1">
        <v>358</v>
      </c>
      <c r="G324" s="1">
        <v>360</v>
      </c>
      <c r="H324" s="17" cm="1">
        <f t="array" ref="H324">_xlfn.LET(_xlpm.s,IFERROR(--F324,""),_xlpm.e,IFERROR(--G324,""),IF(OR(_xlpm.s="",_xlpm.e="",_xlpm.e&lt;_xlpm.s),"",_xlfn.LET(_xlpm.p,_xlfn.SEQUENCE(_xlpm.e-_xlpm.s+1,1,_xlpm.s,1),SUM(1/COUNTIFS($D:$D,D324,$E:$E,E324,$F:$F,"&lt;&gt;N/A",$G:$G,"&lt;&gt;N/A",$F:$F,"&lt;="&amp;_xlpm.p,$G:$G,"&gt;="&amp;_xlpm.p)))))</f>
        <v>2.5</v>
      </c>
      <c r="I324" t="s">
        <v>624</v>
      </c>
      <c r="J324" t="s">
        <v>397</v>
      </c>
      <c r="K324" t="s">
        <v>7</v>
      </c>
      <c r="L324" s="5" t="s">
        <v>5234</v>
      </c>
      <c r="M324" t="s">
        <v>5131</v>
      </c>
      <c r="N324" t="s">
        <v>6924</v>
      </c>
      <c r="O324" s="5" t="s">
        <v>5072</v>
      </c>
      <c r="P324" s="5" t="s">
        <v>8021</v>
      </c>
      <c r="Q324" s="5" t="s">
        <v>2509</v>
      </c>
      <c r="R324" t="b">
        <v>1</v>
      </c>
    </row>
    <row r="325" spans="1:18">
      <c r="A325" t="s">
        <v>3014</v>
      </c>
      <c r="B325" t="s">
        <v>5899</v>
      </c>
      <c r="C325" t="s">
        <v>7727</v>
      </c>
      <c r="D325" s="1">
        <v>3</v>
      </c>
      <c r="E325" s="1">
        <v>11</v>
      </c>
      <c r="F325" s="1">
        <v>360</v>
      </c>
      <c r="G325" s="1">
        <v>360</v>
      </c>
      <c r="H325" s="17" cm="1">
        <f t="array" ref="H325">_xlfn.LET(_xlpm.s,IFERROR(--F325,""),_xlpm.e,IFERROR(--G325,""),IF(OR(_xlpm.s="",_xlpm.e="",_xlpm.e&lt;_xlpm.s),"",_xlfn.LET(_xlpm.p,_xlfn.SEQUENCE(_xlpm.e-_xlpm.s+1,1,_xlpm.s,1),SUM(1/COUNTIFS($D:$D,D325,$E:$E,E325,$F:$F,"&lt;&gt;N/A",$G:$G,"&lt;&gt;N/A",$F:$F,"&lt;="&amp;_xlpm.p,$G:$G,"&gt;="&amp;_xlpm.p)))))</f>
        <v>0.5</v>
      </c>
      <c r="I325" t="s">
        <v>624</v>
      </c>
      <c r="J325" t="s">
        <v>398</v>
      </c>
      <c r="K325" t="s">
        <v>7</v>
      </c>
      <c r="L325" s="5" t="s">
        <v>5234</v>
      </c>
      <c r="M325" t="s">
        <v>5467</v>
      </c>
      <c r="N325" t="s">
        <v>6918</v>
      </c>
      <c r="O325" s="5" t="s">
        <v>5072</v>
      </c>
      <c r="P325" s="5" t="s">
        <v>8021</v>
      </c>
      <c r="Q325" s="5" t="s">
        <v>2509</v>
      </c>
      <c r="R325" t="b">
        <v>1</v>
      </c>
    </row>
    <row r="326" spans="1:18">
      <c r="A326" t="s">
        <v>3014</v>
      </c>
      <c r="B326" t="s">
        <v>5900</v>
      </c>
      <c r="C326" t="s">
        <v>7728</v>
      </c>
      <c r="D326" s="1">
        <v>3</v>
      </c>
      <c r="E326" s="1">
        <v>12</v>
      </c>
      <c r="F326" s="1">
        <v>361</v>
      </c>
      <c r="G326" s="1">
        <v>364</v>
      </c>
      <c r="H326" s="17" cm="1">
        <f t="array" ref="H326">_xlfn.LET(_xlpm.s,IFERROR(--F326,""),_xlpm.e,IFERROR(--G326,""),IF(OR(_xlpm.s="",_xlpm.e="",_xlpm.e&lt;_xlpm.s),"",_xlfn.LET(_xlpm.p,_xlfn.SEQUENCE(_xlpm.e-_xlpm.s+1,1,_xlpm.s,1),SUM(1/COUNTIFS($D:$D,D326,$E:$E,E326,$F:$F,"&lt;&gt;N/A",$G:$G,"&lt;&gt;N/A",$F:$F,"&lt;="&amp;_xlpm.p,$G:$G,"&gt;="&amp;_xlpm.p)))))</f>
        <v>3.5</v>
      </c>
      <c r="I326" t="s">
        <v>2572</v>
      </c>
      <c r="J326" t="s">
        <v>2583</v>
      </c>
      <c r="K326" t="s">
        <v>7</v>
      </c>
      <c r="L326" s="5" t="s">
        <v>7</v>
      </c>
      <c r="M326" t="s">
        <v>7</v>
      </c>
      <c r="N326" t="s">
        <v>7</v>
      </c>
      <c r="O326" s="5" t="s">
        <v>778</v>
      </c>
      <c r="P326" s="5" t="s">
        <v>7834</v>
      </c>
      <c r="R326" t="b">
        <v>1</v>
      </c>
    </row>
    <row r="327" spans="1:18">
      <c r="A327" t="s">
        <v>3014</v>
      </c>
      <c r="B327" t="s">
        <v>5901</v>
      </c>
      <c r="C327" t="s">
        <v>7728</v>
      </c>
      <c r="D327" s="1">
        <v>3</v>
      </c>
      <c r="E327" s="1">
        <v>12</v>
      </c>
      <c r="F327" s="1">
        <v>364</v>
      </c>
      <c r="G327" s="1">
        <v>372</v>
      </c>
      <c r="H327" s="17" cm="1">
        <f t="array" ref="H327">_xlfn.LET(_xlpm.s,IFERROR(--F327,""),_xlpm.e,IFERROR(--G327,""),IF(OR(_xlpm.s="",_xlpm.e="",_xlpm.e&lt;_xlpm.s),"",_xlfn.LET(_xlpm.p,_xlfn.SEQUENCE(_xlpm.e-_xlpm.s+1,1,_xlpm.s,1),SUM(1/COUNTIFS($D:$D,D327,$E:$E,E327,$F:$F,"&lt;&gt;N/A",$G:$G,"&lt;&gt;N/A",$F:$F,"&lt;="&amp;_xlpm.p,$G:$G,"&gt;="&amp;_xlpm.p)))))</f>
        <v>8.5</v>
      </c>
      <c r="I327" t="s">
        <v>2573</v>
      </c>
      <c r="J327" t="s">
        <v>2584</v>
      </c>
      <c r="K327" t="s">
        <v>7</v>
      </c>
      <c r="L327" s="5" t="s">
        <v>4630</v>
      </c>
      <c r="M327" t="s">
        <v>5355</v>
      </c>
      <c r="N327" t="s">
        <v>6917</v>
      </c>
      <c r="O327" s="5" t="s">
        <v>5072</v>
      </c>
      <c r="P327" s="5" t="s">
        <v>10179</v>
      </c>
      <c r="R327" t="b">
        <v>1</v>
      </c>
    </row>
    <row r="328" spans="1:18">
      <c r="A328" t="s">
        <v>3014</v>
      </c>
      <c r="B328" t="s">
        <v>5902</v>
      </c>
      <c r="C328" t="s">
        <v>7728</v>
      </c>
      <c r="D328" s="1">
        <v>3</v>
      </c>
      <c r="E328" s="1">
        <v>12</v>
      </c>
      <c r="F328" s="1">
        <v>373</v>
      </c>
      <c r="G328" s="1">
        <v>374</v>
      </c>
      <c r="H328" s="17" cm="1">
        <f t="array" ref="H328">_xlfn.LET(_xlpm.s,IFERROR(--F328,""),_xlpm.e,IFERROR(--G328,""),IF(OR(_xlpm.s="",_xlpm.e="",_xlpm.e&lt;_xlpm.s),"",_xlfn.LET(_xlpm.p,_xlfn.SEQUENCE(_xlpm.e-_xlpm.s+1,1,_xlpm.s,1),SUM(1/COUNTIFS($D:$D,D328,$E:$E,E328,$F:$F,"&lt;&gt;N/A",$G:$G,"&lt;&gt;N/A",$F:$F,"&lt;="&amp;_xlpm.p,$G:$G,"&gt;="&amp;_xlpm.p)))))</f>
        <v>1.5</v>
      </c>
      <c r="I328" t="s">
        <v>2581</v>
      </c>
      <c r="J328" t="s">
        <v>6709</v>
      </c>
      <c r="K328" t="s">
        <v>7</v>
      </c>
      <c r="L328" s="5" t="s">
        <v>7</v>
      </c>
      <c r="M328" s="5" t="s">
        <v>7</v>
      </c>
      <c r="N328" t="s">
        <v>2495</v>
      </c>
      <c r="O328" s="5" t="s">
        <v>11522</v>
      </c>
      <c r="P328" s="5" t="s">
        <v>8021</v>
      </c>
      <c r="R328" t="b">
        <v>1</v>
      </c>
    </row>
    <row r="329" spans="1:18">
      <c r="A329" t="s">
        <v>3014</v>
      </c>
      <c r="B329" t="s">
        <v>5903</v>
      </c>
      <c r="C329" t="s">
        <v>7728</v>
      </c>
      <c r="D329" s="1">
        <v>3</v>
      </c>
      <c r="E329" s="1">
        <v>12</v>
      </c>
      <c r="F329" s="1">
        <v>374</v>
      </c>
      <c r="G329" s="1">
        <v>378</v>
      </c>
      <c r="H329" s="17" cm="1">
        <f t="array" ref="H329">_xlfn.LET(_xlpm.s,IFERROR(--F329,""),_xlpm.e,IFERROR(--G329,""),IF(OR(_xlpm.s="",_xlpm.e="",_xlpm.e&lt;_xlpm.s),"",_xlfn.LET(_xlpm.p,_xlfn.SEQUENCE(_xlpm.e-_xlpm.s+1,1,_xlpm.s,1),SUM(1/COUNTIFS($D:$D,D329,$E:$E,E329,$F:$F,"&lt;&gt;N/A",$G:$G,"&lt;&gt;N/A",$F:$F,"&lt;="&amp;_xlpm.p,$G:$G,"&gt;="&amp;_xlpm.p)))))</f>
        <v>4</v>
      </c>
      <c r="I329" t="s">
        <v>2581</v>
      </c>
      <c r="J329" t="s">
        <v>2493</v>
      </c>
      <c r="K329" t="s">
        <v>7</v>
      </c>
      <c r="L329" s="5" t="s">
        <v>7</v>
      </c>
      <c r="M329" s="5" t="s">
        <v>7</v>
      </c>
      <c r="N329" t="s">
        <v>2495</v>
      </c>
      <c r="O329" s="5" t="s">
        <v>5072</v>
      </c>
      <c r="P329" s="5" t="s">
        <v>8021</v>
      </c>
      <c r="Q329" s="5" t="s">
        <v>2509</v>
      </c>
      <c r="R329" t="b">
        <v>1</v>
      </c>
    </row>
    <row r="330" spans="1:18">
      <c r="A330" t="s">
        <v>3014</v>
      </c>
      <c r="B330" t="s">
        <v>5904</v>
      </c>
      <c r="C330" t="s">
        <v>7728</v>
      </c>
      <c r="D330" s="1">
        <v>3</v>
      </c>
      <c r="E330" s="1">
        <v>12</v>
      </c>
      <c r="F330" s="1">
        <v>378</v>
      </c>
      <c r="G330" s="1">
        <v>380</v>
      </c>
      <c r="H330" s="17" cm="1">
        <f t="array" ref="H330">_xlfn.LET(_xlpm.s,IFERROR(--F330,""),_xlpm.e,IFERROR(--G330,""),IF(OR(_xlpm.s="",_xlpm.e="",_xlpm.e&lt;_xlpm.s),"",_xlfn.LET(_xlpm.p,_xlfn.SEQUENCE(_xlpm.e-_xlpm.s+1,1,_xlpm.s,1),SUM(1/COUNTIFS($D:$D,D330,$E:$E,E330,$F:$F,"&lt;&gt;N/A",$G:$G,"&lt;&gt;N/A",$F:$F,"&lt;="&amp;_xlpm.p,$G:$G,"&gt;="&amp;_xlpm.p)))))</f>
        <v>2.5</v>
      </c>
      <c r="I330" t="s">
        <v>624</v>
      </c>
      <c r="J330" t="s">
        <v>2586</v>
      </c>
      <c r="K330" t="s">
        <v>7</v>
      </c>
      <c r="L330" s="5" t="s">
        <v>5307</v>
      </c>
      <c r="M330" t="s">
        <v>6472</v>
      </c>
      <c r="N330" t="s">
        <v>6916</v>
      </c>
      <c r="O330" s="5" t="s">
        <v>5072</v>
      </c>
      <c r="P330" s="5" t="s">
        <v>8021</v>
      </c>
      <c r="Q330" s="5" t="s">
        <v>2509</v>
      </c>
      <c r="R330" t="b">
        <v>1</v>
      </c>
    </row>
    <row r="331" spans="1:18">
      <c r="A331" t="s">
        <v>3014</v>
      </c>
      <c r="B331" t="s">
        <v>5905</v>
      </c>
      <c r="C331" t="s">
        <v>7728</v>
      </c>
      <c r="D331" s="1">
        <v>3</v>
      </c>
      <c r="E331" s="1">
        <v>12</v>
      </c>
      <c r="F331" s="1">
        <v>381</v>
      </c>
      <c r="G331" s="1">
        <v>383</v>
      </c>
      <c r="H331" s="17" cm="1">
        <f t="array" ref="H331">_xlfn.LET(_xlpm.s,IFERROR(--F331,""),_xlpm.e,IFERROR(--G331,""),IF(OR(_xlpm.s="",_xlpm.e="",_xlpm.e&lt;_xlpm.s),"",_xlfn.LET(_xlpm.p,_xlfn.SEQUENCE(_xlpm.e-_xlpm.s+1,1,_xlpm.s,1),SUM(1/COUNTIFS($D:$D,D331,$E:$E,E331,$F:$F,"&lt;&gt;N/A",$G:$G,"&lt;&gt;N/A",$F:$F,"&lt;="&amp;_xlpm.p,$G:$G,"&gt;="&amp;_xlpm.p)))))</f>
        <v>2.5</v>
      </c>
      <c r="I331" t="s">
        <v>624</v>
      </c>
      <c r="J331" t="s">
        <v>6710</v>
      </c>
      <c r="K331" t="s">
        <v>7</v>
      </c>
      <c r="L331" s="5" t="s">
        <v>5234</v>
      </c>
      <c r="M331" t="s">
        <v>6712</v>
      </c>
      <c r="N331" t="s">
        <v>6915</v>
      </c>
      <c r="O331" s="5" t="s">
        <v>5072</v>
      </c>
      <c r="P331" s="5" t="s">
        <v>8021</v>
      </c>
      <c r="Q331" s="5" t="s">
        <v>2509</v>
      </c>
      <c r="R331" t="b">
        <v>1</v>
      </c>
    </row>
    <row r="332" spans="1:18">
      <c r="A332" t="s">
        <v>3014</v>
      </c>
      <c r="B332" t="s">
        <v>5906</v>
      </c>
      <c r="C332" t="s">
        <v>7728</v>
      </c>
      <c r="D332" s="1">
        <v>3</v>
      </c>
      <c r="E332" s="1">
        <v>12</v>
      </c>
      <c r="F332" s="1">
        <v>383</v>
      </c>
      <c r="G332" s="1">
        <v>385</v>
      </c>
      <c r="H332" s="17" cm="1">
        <f t="array" ref="H332">_xlfn.LET(_xlpm.s,IFERROR(--F332,""),_xlpm.e,IFERROR(--G332,""),IF(OR(_xlpm.s="",_xlpm.e="",_xlpm.e&lt;_xlpm.s),"",_xlfn.LET(_xlpm.p,_xlfn.SEQUENCE(_xlpm.e-_xlpm.s+1,1,_xlpm.s,1),SUM(1/COUNTIFS($D:$D,D332,$E:$E,E332,$F:$F,"&lt;&gt;N/A",$G:$G,"&lt;&gt;N/A",$F:$F,"&lt;="&amp;_xlpm.p,$G:$G,"&gt;="&amp;_xlpm.p)))))</f>
        <v>2</v>
      </c>
      <c r="I332" t="s">
        <v>624</v>
      </c>
      <c r="J332" t="s">
        <v>399</v>
      </c>
      <c r="K332" t="s">
        <v>4631</v>
      </c>
      <c r="L332" s="5" t="s">
        <v>5234</v>
      </c>
      <c r="M332" t="s">
        <v>6576</v>
      </c>
      <c r="N332" t="s">
        <v>6914</v>
      </c>
      <c r="O332" s="5" t="s">
        <v>5072</v>
      </c>
      <c r="P332" s="5" t="s">
        <v>8021</v>
      </c>
      <c r="Q332" s="5" t="s">
        <v>2509</v>
      </c>
      <c r="R332" t="b">
        <v>1</v>
      </c>
    </row>
    <row r="333" spans="1:18">
      <c r="A333" t="s">
        <v>3014</v>
      </c>
      <c r="B333" t="s">
        <v>5907</v>
      </c>
      <c r="C333" t="s">
        <v>7728</v>
      </c>
      <c r="D333" s="1">
        <v>3</v>
      </c>
      <c r="E333" s="1">
        <v>12</v>
      </c>
      <c r="F333" s="1">
        <v>385</v>
      </c>
      <c r="G333" s="1">
        <v>385</v>
      </c>
      <c r="H333" s="17" cm="1">
        <f t="array" ref="H333">_xlfn.LET(_xlpm.s,IFERROR(--F333,""),_xlpm.e,IFERROR(--G333,""),IF(OR(_xlpm.s="",_xlpm.e="",_xlpm.e&lt;_xlpm.s),"",_xlfn.LET(_xlpm.p,_xlfn.SEQUENCE(_xlpm.e-_xlpm.s+1,1,_xlpm.s,1),SUM(1/COUNTIFS($D:$D,D333,$E:$E,E333,$F:$F,"&lt;&gt;N/A",$G:$G,"&lt;&gt;N/A",$F:$F,"&lt;="&amp;_xlpm.p,$G:$G,"&gt;="&amp;_xlpm.p)))))</f>
        <v>0.5</v>
      </c>
      <c r="I333" t="s">
        <v>624</v>
      </c>
      <c r="J333" t="s">
        <v>400</v>
      </c>
      <c r="K333" t="s">
        <v>7</v>
      </c>
      <c r="L333" s="5" t="s">
        <v>5234</v>
      </c>
      <c r="M333" t="s">
        <v>6576</v>
      </c>
      <c r="N333" t="s">
        <v>6913</v>
      </c>
      <c r="O333" s="5" t="s">
        <v>5072</v>
      </c>
      <c r="P333" s="5" t="s">
        <v>8021</v>
      </c>
      <c r="Q333" s="5" t="s">
        <v>2509</v>
      </c>
      <c r="R333" t="b">
        <v>1</v>
      </c>
    </row>
    <row r="334" spans="1:18">
      <c r="A334" t="s">
        <v>3014</v>
      </c>
      <c r="B334" t="s">
        <v>5908</v>
      </c>
      <c r="C334" t="s">
        <v>7728</v>
      </c>
      <c r="D334" s="1">
        <v>3</v>
      </c>
      <c r="E334" s="1">
        <v>12</v>
      </c>
      <c r="F334" s="1">
        <v>386</v>
      </c>
      <c r="G334" s="1">
        <v>386</v>
      </c>
      <c r="H334" s="17" cm="1">
        <f t="array" ref="H334">_xlfn.LET(_xlpm.s,IFERROR(--F334,""),_xlpm.e,IFERROR(--G334,""),IF(OR(_xlpm.s="",_xlpm.e="",_xlpm.e&lt;_xlpm.s),"",_xlfn.LET(_xlpm.p,_xlfn.SEQUENCE(_xlpm.e-_xlpm.s+1,1,_xlpm.s,1),SUM(1/COUNTIFS($D:$D,D334,$E:$E,E334,$F:$F,"&lt;&gt;N/A",$G:$G,"&lt;&gt;N/A",$F:$F,"&lt;="&amp;_xlpm.p,$G:$G,"&gt;="&amp;_xlpm.p)))))</f>
        <v>1</v>
      </c>
      <c r="I334" t="s">
        <v>624</v>
      </c>
      <c r="J334" t="s">
        <v>401</v>
      </c>
      <c r="K334" t="s">
        <v>2465</v>
      </c>
      <c r="L334" s="5" t="s">
        <v>7</v>
      </c>
      <c r="M334" s="5" t="s">
        <v>7</v>
      </c>
      <c r="N334" s="5" t="s">
        <v>7</v>
      </c>
      <c r="O334" s="5" t="s">
        <v>778</v>
      </c>
      <c r="P334" s="5" t="s">
        <v>7834</v>
      </c>
      <c r="R334" t="b">
        <v>1</v>
      </c>
    </row>
    <row r="335" spans="1:18">
      <c r="A335" t="s">
        <v>3015</v>
      </c>
      <c r="B335" t="s">
        <v>5909</v>
      </c>
      <c r="C335" t="s">
        <v>7744</v>
      </c>
      <c r="D335" s="1">
        <v>4</v>
      </c>
      <c r="E335" s="1">
        <v>1</v>
      </c>
      <c r="F335" s="1">
        <v>1</v>
      </c>
      <c r="G335" s="1">
        <v>5</v>
      </c>
      <c r="H335" s="17" cm="1">
        <f t="array" ref="H335">_xlfn.LET(_xlpm.s,IFERROR(--F335,""),_xlpm.e,IFERROR(--G335,""),IF(OR(_xlpm.s="",_xlpm.e="",_xlpm.e&lt;_xlpm.s),"",_xlfn.LET(_xlpm.p,_xlfn.SEQUENCE(_xlpm.e-_xlpm.s+1,1,_xlpm.s,1),SUM(1/COUNTIFS($D:$D,D335,$E:$E,E335,$F:$F,"&lt;&gt;N/A",$G:$G,"&lt;&gt;N/A",$F:$F,"&lt;="&amp;_xlpm.p,$G:$G,"&gt;="&amp;_xlpm.p)))))</f>
        <v>5</v>
      </c>
      <c r="I335" t="s">
        <v>8</v>
      </c>
      <c r="J335" t="s">
        <v>5305</v>
      </c>
      <c r="K335" t="s">
        <v>7</v>
      </c>
      <c r="L335" s="5" t="s">
        <v>7</v>
      </c>
      <c r="M335" t="s">
        <v>5355</v>
      </c>
      <c r="N335" t="s">
        <v>6917</v>
      </c>
      <c r="O335" s="5" t="s">
        <v>5072</v>
      </c>
      <c r="P335" s="5" t="s">
        <v>10179</v>
      </c>
      <c r="R335" t="b">
        <v>1</v>
      </c>
    </row>
    <row r="336" spans="1:18">
      <c r="A336" t="s">
        <v>3015</v>
      </c>
      <c r="B336" t="s">
        <v>5910</v>
      </c>
      <c r="C336" t="s">
        <v>7744</v>
      </c>
      <c r="D336" s="1">
        <v>4</v>
      </c>
      <c r="E336" s="1">
        <v>1</v>
      </c>
      <c r="F336" s="1">
        <v>6</v>
      </c>
      <c r="G336" s="1">
        <v>10</v>
      </c>
      <c r="H336" s="17" cm="1">
        <f t="array" ref="H336">_xlfn.LET(_xlpm.s,IFERROR(--F336,""),_xlpm.e,IFERROR(--G336,""),IF(OR(_xlpm.s="",_xlpm.e="",_xlpm.e&lt;_xlpm.s),"",_xlfn.LET(_xlpm.p,_xlfn.SEQUENCE(_xlpm.e-_xlpm.s+1,1,_xlpm.s,1),SUM(1/COUNTIFS($D:$D,D336,$E:$E,E336,$F:$F,"&lt;&gt;N/A",$G:$G,"&lt;&gt;N/A",$F:$F,"&lt;="&amp;_xlpm.p,$G:$G,"&gt;="&amp;_xlpm.p)))))</f>
        <v>5</v>
      </c>
      <c r="I336" t="s">
        <v>8</v>
      </c>
      <c r="J336" t="s">
        <v>5306</v>
      </c>
      <c r="K336" t="s">
        <v>7</v>
      </c>
      <c r="L336" s="5" t="s">
        <v>5234</v>
      </c>
      <c r="M336" t="s">
        <v>5467</v>
      </c>
      <c r="N336" t="s">
        <v>6646</v>
      </c>
      <c r="O336" s="5" t="s">
        <v>5072</v>
      </c>
      <c r="P336" s="5" t="s">
        <v>8021</v>
      </c>
      <c r="Q336" s="5" t="s">
        <v>2509</v>
      </c>
      <c r="R336" t="b">
        <v>1</v>
      </c>
    </row>
    <row r="337" spans="1:18">
      <c r="A337" t="s">
        <v>3015</v>
      </c>
      <c r="B337" t="s">
        <v>5911</v>
      </c>
      <c r="C337" t="s">
        <v>7744</v>
      </c>
      <c r="D337" s="1">
        <v>4</v>
      </c>
      <c r="E337" s="1">
        <v>1</v>
      </c>
      <c r="F337" s="1">
        <v>11</v>
      </c>
      <c r="G337" s="1">
        <v>19</v>
      </c>
      <c r="H337" s="17" cm="1">
        <f t="array" ref="H337">_xlfn.LET(_xlpm.s,IFERROR(--F337,""),_xlpm.e,IFERROR(--G337,""),IF(OR(_xlpm.s="",_xlpm.e="",_xlpm.e&lt;_xlpm.s),"",_xlfn.LET(_xlpm.p,_xlfn.SEQUENCE(_xlpm.e-_xlpm.s+1,1,_xlpm.s,1),SUM(1/COUNTIFS($D:$D,D337,$E:$E,E337,$F:$F,"&lt;&gt;N/A",$G:$G,"&lt;&gt;N/A",$F:$F,"&lt;="&amp;_xlpm.p,$G:$G,"&gt;="&amp;_xlpm.p)))))</f>
        <v>8.5</v>
      </c>
      <c r="I337" t="s">
        <v>2588</v>
      </c>
      <c r="J337" t="s">
        <v>2587</v>
      </c>
      <c r="K337" t="s">
        <v>4632</v>
      </c>
      <c r="L337" s="5" t="s">
        <v>5307</v>
      </c>
      <c r="M337" t="s">
        <v>5420</v>
      </c>
      <c r="N337" t="s">
        <v>6647</v>
      </c>
      <c r="O337" s="5" t="s">
        <v>5072</v>
      </c>
      <c r="P337" s="5" t="s">
        <v>8092</v>
      </c>
      <c r="Q337" s="5" t="s">
        <v>2509</v>
      </c>
      <c r="R337" t="b">
        <v>1</v>
      </c>
    </row>
    <row r="338" spans="1:18">
      <c r="A338" t="s">
        <v>3015</v>
      </c>
      <c r="B338" t="s">
        <v>5912</v>
      </c>
      <c r="C338" t="s">
        <v>7744</v>
      </c>
      <c r="D338" s="1">
        <v>4</v>
      </c>
      <c r="E338" s="1">
        <v>1</v>
      </c>
      <c r="F338" s="1">
        <v>19</v>
      </c>
      <c r="G338" s="1">
        <v>24</v>
      </c>
      <c r="H338" s="17" cm="1">
        <f t="array" ref="H338">_xlfn.LET(_xlpm.s,IFERROR(--F338,""),_xlpm.e,IFERROR(--G338,""),IF(OR(_xlpm.s="",_xlpm.e="",_xlpm.e&lt;_xlpm.s),"",_xlfn.LET(_xlpm.p,_xlfn.SEQUENCE(_xlpm.e-_xlpm.s+1,1,_xlpm.s,1),SUM(1/COUNTIFS($D:$D,D338,$E:$E,E338,$F:$F,"&lt;&gt;N/A",$G:$G,"&lt;&gt;N/A",$F:$F,"&lt;="&amp;_xlpm.p,$G:$G,"&gt;="&amp;_xlpm.p)))))</f>
        <v>5</v>
      </c>
      <c r="I338" t="s">
        <v>2581</v>
      </c>
      <c r="J338" t="s">
        <v>2589</v>
      </c>
      <c r="K338" t="s">
        <v>5308</v>
      </c>
      <c r="L338" s="5" t="s">
        <v>5234</v>
      </c>
      <c r="M338" t="s">
        <v>6576</v>
      </c>
      <c r="N338" t="s">
        <v>6648</v>
      </c>
      <c r="O338" s="5" t="s">
        <v>5072</v>
      </c>
      <c r="P338" s="5" t="s">
        <v>8021</v>
      </c>
      <c r="Q338" s="5" t="s">
        <v>2509</v>
      </c>
      <c r="R338" t="b">
        <v>1</v>
      </c>
    </row>
    <row r="339" spans="1:18">
      <c r="A339" t="s">
        <v>3015</v>
      </c>
      <c r="B339" t="s">
        <v>5913</v>
      </c>
      <c r="C339" t="s">
        <v>7744</v>
      </c>
      <c r="D339" s="1">
        <v>4</v>
      </c>
      <c r="E339" s="1">
        <v>1</v>
      </c>
      <c r="F339" s="1">
        <v>24</v>
      </c>
      <c r="G339" s="1">
        <v>28</v>
      </c>
      <c r="H339" s="17" cm="1">
        <f t="array" ref="H339">_xlfn.LET(_xlpm.s,IFERROR(--F339,""),_xlpm.e,IFERROR(--G339,""),IF(OR(_xlpm.s="",_xlpm.e="",_xlpm.e&lt;_xlpm.s),"",_xlfn.LET(_xlpm.p,_xlfn.SEQUENCE(_xlpm.e-_xlpm.s+1,1,_xlpm.s,1),SUM(1/COUNTIFS($D:$D,D339,$E:$E,E339,$F:$F,"&lt;&gt;N/A",$G:$G,"&lt;&gt;N/A",$F:$F,"&lt;="&amp;_xlpm.p,$G:$G,"&gt;="&amp;_xlpm.p)))))</f>
        <v>4</v>
      </c>
      <c r="I339" t="s">
        <v>624</v>
      </c>
      <c r="J339" t="s">
        <v>5309</v>
      </c>
      <c r="K339" t="s">
        <v>7</v>
      </c>
      <c r="L339" s="5" t="s">
        <v>5234</v>
      </c>
      <c r="M339" t="s">
        <v>5235</v>
      </c>
      <c r="N339" t="s">
        <v>6649</v>
      </c>
      <c r="O339" s="5" t="s">
        <v>5072</v>
      </c>
      <c r="P339" s="5" t="s">
        <v>8021</v>
      </c>
      <c r="Q339" s="5" t="s">
        <v>2509</v>
      </c>
      <c r="R339" t="b">
        <v>1</v>
      </c>
    </row>
    <row r="340" spans="1:18">
      <c r="A340" t="s">
        <v>3015</v>
      </c>
      <c r="B340" t="s">
        <v>5914</v>
      </c>
      <c r="C340" t="s">
        <v>7744</v>
      </c>
      <c r="D340" s="1">
        <v>4</v>
      </c>
      <c r="E340" s="1">
        <v>1</v>
      </c>
      <c r="F340" s="1">
        <v>28</v>
      </c>
      <c r="G340" s="1">
        <v>32</v>
      </c>
      <c r="H340" s="17" cm="1">
        <f t="array" ref="H340">_xlfn.LET(_xlpm.s,IFERROR(--F340,""),_xlpm.e,IFERROR(--G340,""),IF(OR(_xlpm.s="",_xlpm.e="",_xlpm.e&lt;_xlpm.s),"",_xlfn.LET(_xlpm.p,_xlfn.SEQUENCE(_xlpm.e-_xlpm.s+1,1,_xlpm.s,1),SUM(1/COUNTIFS($D:$D,D340,$E:$E,E340,$F:$F,"&lt;&gt;N/A",$G:$G,"&lt;&gt;N/A",$F:$F,"&lt;="&amp;_xlpm.p,$G:$G,"&gt;="&amp;_xlpm.p)))))</f>
        <v>4</v>
      </c>
      <c r="I340" t="s">
        <v>624</v>
      </c>
      <c r="J340" t="s">
        <v>1786</v>
      </c>
      <c r="K340" t="s">
        <v>7</v>
      </c>
      <c r="L340" s="5" t="s">
        <v>5310</v>
      </c>
      <c r="M340" t="s">
        <v>6505</v>
      </c>
      <c r="N340" t="s">
        <v>6650</v>
      </c>
      <c r="O340" s="5" t="s">
        <v>5072</v>
      </c>
      <c r="P340" s="5" t="s">
        <v>8019</v>
      </c>
      <c r="Q340" s="5" t="s">
        <v>2509</v>
      </c>
      <c r="R340" t="b">
        <v>1</v>
      </c>
    </row>
    <row r="341" spans="1:18">
      <c r="A341" t="s">
        <v>3015</v>
      </c>
      <c r="B341" t="s">
        <v>5915</v>
      </c>
      <c r="C341" t="s">
        <v>7744</v>
      </c>
      <c r="D341" s="1">
        <v>4</v>
      </c>
      <c r="E341" s="1">
        <v>1</v>
      </c>
      <c r="F341" s="1">
        <v>32</v>
      </c>
      <c r="G341" s="1">
        <v>32</v>
      </c>
      <c r="H341" s="17" cm="1">
        <f t="array" ref="H341">_xlfn.LET(_xlpm.s,IFERROR(--F341,""),_xlpm.e,IFERROR(--G341,""),IF(OR(_xlpm.s="",_xlpm.e="",_xlpm.e&lt;_xlpm.s),"",_xlfn.LET(_xlpm.p,_xlfn.SEQUENCE(_xlpm.e-_xlpm.s+1,1,_xlpm.s,1),SUM(1/COUNTIFS($D:$D,D341,$E:$E,E341,$F:$F,"&lt;&gt;N/A",$G:$G,"&lt;&gt;N/A",$F:$F,"&lt;="&amp;_xlpm.p,$G:$G,"&gt;="&amp;_xlpm.p)))))</f>
        <v>0.5</v>
      </c>
      <c r="I341" t="s">
        <v>624</v>
      </c>
      <c r="J341" t="s">
        <v>5311</v>
      </c>
      <c r="K341" t="s">
        <v>5312</v>
      </c>
      <c r="L341" s="5" t="s">
        <v>5310</v>
      </c>
      <c r="M341" t="s">
        <v>6576</v>
      </c>
      <c r="N341" t="s">
        <v>6654</v>
      </c>
      <c r="O341" s="5" t="s">
        <v>5072</v>
      </c>
      <c r="P341" s="5" t="s">
        <v>8021</v>
      </c>
      <c r="Q341" s="5" t="s">
        <v>2509</v>
      </c>
      <c r="R341" t="b">
        <v>1</v>
      </c>
    </row>
    <row r="342" spans="1:18">
      <c r="A342" t="s">
        <v>3015</v>
      </c>
      <c r="B342" t="s">
        <v>5916</v>
      </c>
      <c r="C342" t="s">
        <v>7752</v>
      </c>
      <c r="D342" s="1">
        <v>4</v>
      </c>
      <c r="E342" s="1">
        <v>2</v>
      </c>
      <c r="F342" s="1">
        <v>33</v>
      </c>
      <c r="G342" s="1">
        <v>39</v>
      </c>
      <c r="H342" s="17" cm="1">
        <f t="array" ref="H342">_xlfn.LET(_xlpm.s,IFERROR(--F342,""),_xlpm.e,IFERROR(--G342,""),IF(OR(_xlpm.s="",_xlpm.e="",_xlpm.e&lt;_xlpm.s),"",_xlfn.LET(_xlpm.p,_xlfn.SEQUENCE(_xlpm.e-_xlpm.s+1,1,_xlpm.s,1),SUM(1/COUNTIFS($D:$D,D342,$E:$E,E342,$F:$F,"&lt;&gt;N/A",$G:$G,"&lt;&gt;N/A",$F:$F,"&lt;="&amp;_xlpm.p,$G:$G,"&gt;="&amp;_xlpm.p)))))</f>
        <v>6.5</v>
      </c>
      <c r="I342" t="s">
        <v>2573</v>
      </c>
      <c r="J342" t="s">
        <v>2598</v>
      </c>
      <c r="K342" t="s">
        <v>7</v>
      </c>
      <c r="L342" s="5" t="s">
        <v>5307</v>
      </c>
      <c r="M342" t="s">
        <v>5420</v>
      </c>
      <c r="N342" t="s">
        <v>6655</v>
      </c>
      <c r="O342" s="5" t="s">
        <v>5072</v>
      </c>
      <c r="P342" s="5" t="s">
        <v>8092</v>
      </c>
      <c r="Q342" s="5" t="s">
        <v>2509</v>
      </c>
      <c r="R342" t="b">
        <v>1</v>
      </c>
    </row>
    <row r="343" spans="1:18">
      <c r="A343" t="s">
        <v>3015</v>
      </c>
      <c r="B343" t="s">
        <v>5917</v>
      </c>
      <c r="C343" t="s">
        <v>7752</v>
      </c>
      <c r="D343" s="1">
        <v>4</v>
      </c>
      <c r="E343" s="1">
        <v>2</v>
      </c>
      <c r="F343" s="1">
        <v>39</v>
      </c>
      <c r="G343" s="1">
        <v>44</v>
      </c>
      <c r="H343" s="17" cm="1">
        <f t="array" ref="H343">_xlfn.LET(_xlpm.s,IFERROR(--F343,""),_xlpm.e,IFERROR(--G343,""),IF(OR(_xlpm.s="",_xlpm.e="",_xlpm.e&lt;_xlpm.s),"",_xlfn.LET(_xlpm.p,_xlfn.SEQUENCE(_xlpm.e-_xlpm.s+1,1,_xlpm.s,1),SUM(1/COUNTIFS($D:$D,D343,$E:$E,E343,$F:$F,"&lt;&gt;N/A",$G:$G,"&lt;&gt;N/A",$F:$F,"&lt;="&amp;_xlpm.p,$G:$G,"&gt;="&amp;_xlpm.p)))))</f>
        <v>5</v>
      </c>
      <c r="I343" t="s">
        <v>2573</v>
      </c>
      <c r="J343" t="s">
        <v>1787</v>
      </c>
      <c r="K343" t="s">
        <v>7</v>
      </c>
      <c r="L343" s="5" t="s">
        <v>7</v>
      </c>
      <c r="M343" t="s">
        <v>5420</v>
      </c>
      <c r="N343" t="s">
        <v>6656</v>
      </c>
      <c r="O343" s="5" t="s">
        <v>5072</v>
      </c>
      <c r="P343" s="5" t="s">
        <v>8092</v>
      </c>
      <c r="Q343" s="5"/>
      <c r="R343" t="b">
        <v>1</v>
      </c>
    </row>
    <row r="344" spans="1:18">
      <c r="A344" t="s">
        <v>3015</v>
      </c>
      <c r="B344" t="s">
        <v>5918</v>
      </c>
      <c r="C344" t="s">
        <v>7752</v>
      </c>
      <c r="D344" s="1">
        <v>4</v>
      </c>
      <c r="E344" s="1">
        <v>2</v>
      </c>
      <c r="F344" s="1">
        <v>44</v>
      </c>
      <c r="G344" s="1">
        <v>46</v>
      </c>
      <c r="H344" s="17" cm="1">
        <f t="array" ref="H344">_xlfn.LET(_xlpm.s,IFERROR(--F344,""),_xlpm.e,IFERROR(--G344,""),IF(OR(_xlpm.s="",_xlpm.e="",_xlpm.e&lt;_xlpm.s),"",_xlfn.LET(_xlpm.p,_xlfn.SEQUENCE(_xlpm.e-_xlpm.s+1,1,_xlpm.s,1),SUM(1/COUNTIFS($D:$D,D344,$E:$E,E344,$F:$F,"&lt;&gt;N/A",$G:$G,"&lt;&gt;N/A",$F:$F,"&lt;="&amp;_xlpm.p,$G:$G,"&gt;="&amp;_xlpm.p)))))</f>
        <v>1.8333333333333333</v>
      </c>
      <c r="I344" t="s">
        <v>2573</v>
      </c>
      <c r="J344" t="s">
        <v>5313</v>
      </c>
      <c r="K344" t="s">
        <v>7</v>
      </c>
      <c r="L344" s="5" t="s">
        <v>7</v>
      </c>
      <c r="M344" s="5" t="s">
        <v>7</v>
      </c>
      <c r="N344" t="s">
        <v>7</v>
      </c>
      <c r="O344" s="5" t="s">
        <v>778</v>
      </c>
      <c r="P344" s="5" t="s">
        <v>7834</v>
      </c>
      <c r="R344" t="b">
        <v>1</v>
      </c>
    </row>
    <row r="345" spans="1:18">
      <c r="A345" t="s">
        <v>3015</v>
      </c>
      <c r="B345" t="s">
        <v>5919</v>
      </c>
      <c r="C345" t="s">
        <v>7752</v>
      </c>
      <c r="D345" s="1">
        <v>4</v>
      </c>
      <c r="E345" s="1">
        <v>2</v>
      </c>
      <c r="F345" s="1">
        <v>46</v>
      </c>
      <c r="G345" s="1">
        <v>46</v>
      </c>
      <c r="H345" s="17" cm="1">
        <f t="array" ref="H345">_xlfn.LET(_xlpm.s,IFERROR(--F345,""),_xlpm.e,IFERROR(--G345,""),IF(OR(_xlpm.s="",_xlpm.e="",_xlpm.e&lt;_xlpm.s),"",_xlfn.LET(_xlpm.p,_xlfn.SEQUENCE(_xlpm.e-_xlpm.s+1,1,_xlpm.s,1),SUM(1/COUNTIFS($D:$D,D345,$E:$E,E345,$F:$F,"&lt;&gt;N/A",$G:$G,"&lt;&gt;N/A",$F:$F,"&lt;="&amp;_xlpm.p,$G:$G,"&gt;="&amp;_xlpm.p)))))</f>
        <v>0.33333333333333331</v>
      </c>
      <c r="I345" t="s">
        <v>2573</v>
      </c>
      <c r="J345" t="s">
        <v>2508</v>
      </c>
      <c r="K345" t="s">
        <v>7</v>
      </c>
      <c r="L345" s="5" t="s">
        <v>7</v>
      </c>
      <c r="M345" s="5" t="s">
        <v>7</v>
      </c>
      <c r="N345" t="s">
        <v>7</v>
      </c>
      <c r="O345" s="5" t="s">
        <v>778</v>
      </c>
      <c r="P345" s="5" t="s">
        <v>7834</v>
      </c>
      <c r="R345" t="b">
        <v>1</v>
      </c>
    </row>
    <row r="346" spans="1:18">
      <c r="A346" t="s">
        <v>3015</v>
      </c>
      <c r="B346" t="s">
        <v>5920</v>
      </c>
      <c r="C346" t="s">
        <v>7752</v>
      </c>
      <c r="D346" s="1">
        <v>4</v>
      </c>
      <c r="E346" s="1">
        <v>2</v>
      </c>
      <c r="F346" s="1">
        <v>46</v>
      </c>
      <c r="G346" s="1">
        <v>50</v>
      </c>
      <c r="H346" s="17" cm="1">
        <f t="array" ref="H346">_xlfn.LET(_xlpm.s,IFERROR(--F346,""),_xlpm.e,IFERROR(--G346,""),IF(OR(_xlpm.s="",_xlpm.e="",_xlpm.e&lt;_xlpm.s),"",_xlfn.LET(_xlpm.p,_xlfn.SEQUENCE(_xlpm.e-_xlpm.s+1,1,_xlpm.s,1),SUM(1/COUNTIFS($D:$D,D346,$E:$E,E346,$F:$F,"&lt;&gt;N/A",$G:$G,"&lt;&gt;N/A",$F:$F,"&lt;="&amp;_xlpm.p,$G:$G,"&gt;="&amp;_xlpm.p)))))</f>
        <v>3.833333333333333</v>
      </c>
      <c r="I346" t="s">
        <v>2573</v>
      </c>
      <c r="J346" t="s">
        <v>5314</v>
      </c>
      <c r="K346" t="s">
        <v>2466</v>
      </c>
      <c r="L346" s="5" t="s">
        <v>7</v>
      </c>
      <c r="M346" s="5" t="s">
        <v>7</v>
      </c>
      <c r="N346" s="5" t="s">
        <v>7</v>
      </c>
      <c r="O346" s="5" t="s">
        <v>778</v>
      </c>
      <c r="P346" s="5" t="s">
        <v>7834</v>
      </c>
      <c r="R346" t="b">
        <v>1</v>
      </c>
    </row>
    <row r="347" spans="1:18">
      <c r="A347" t="s">
        <v>3015</v>
      </c>
      <c r="B347" t="s">
        <v>5921</v>
      </c>
      <c r="C347" t="s">
        <v>7752</v>
      </c>
      <c r="D347" s="1">
        <v>4</v>
      </c>
      <c r="E347" s="1">
        <v>2</v>
      </c>
      <c r="F347" s="1">
        <v>50</v>
      </c>
      <c r="G347" s="1">
        <v>52</v>
      </c>
      <c r="H347" s="17" cm="1">
        <f t="array" ref="H347">_xlfn.LET(_xlpm.s,IFERROR(--F347,""),_xlpm.e,IFERROR(--G347,""),IF(OR(_xlpm.s="",_xlpm.e="",_xlpm.e&lt;_xlpm.s),"",_xlfn.LET(_xlpm.p,_xlfn.SEQUENCE(_xlpm.e-_xlpm.s+1,1,_xlpm.s,1),SUM(1/COUNTIFS($D:$D,D347,$E:$E,E347,$F:$F,"&lt;&gt;N/A",$G:$G,"&lt;&gt;N/A",$F:$F,"&lt;="&amp;_xlpm.p,$G:$G,"&gt;="&amp;_xlpm.p)))))</f>
        <v>2</v>
      </c>
      <c r="I347" t="s">
        <v>2573</v>
      </c>
      <c r="J347" t="s">
        <v>5315</v>
      </c>
      <c r="K347" t="s">
        <v>2466</v>
      </c>
      <c r="L347" s="5" t="s">
        <v>7</v>
      </c>
      <c r="M347" s="5" t="s">
        <v>7</v>
      </c>
      <c r="N347" t="s">
        <v>7</v>
      </c>
      <c r="O347" s="5" t="s">
        <v>778</v>
      </c>
      <c r="P347" s="5" t="s">
        <v>7834</v>
      </c>
      <c r="R347" t="b">
        <v>1</v>
      </c>
    </row>
    <row r="348" spans="1:18">
      <c r="A348" t="s">
        <v>3015</v>
      </c>
      <c r="B348" t="s">
        <v>5922</v>
      </c>
      <c r="C348" t="s">
        <v>7752</v>
      </c>
      <c r="D348" s="1">
        <v>4</v>
      </c>
      <c r="E348" s="1">
        <v>2</v>
      </c>
      <c r="F348" s="1">
        <v>52</v>
      </c>
      <c r="G348" s="1">
        <v>57</v>
      </c>
      <c r="H348" s="17" cm="1">
        <f t="array" ref="H348">_xlfn.LET(_xlpm.s,IFERROR(--F348,""),_xlpm.e,IFERROR(--G348,""),IF(OR(_xlpm.s="",_xlpm.e="",_xlpm.e&lt;_xlpm.s),"",_xlfn.LET(_xlpm.p,_xlfn.SEQUENCE(_xlpm.e-_xlpm.s+1,1,_xlpm.s,1),SUM(1/COUNTIFS($D:$D,D348,$E:$E,E348,$F:$F,"&lt;&gt;N/A",$G:$G,"&lt;&gt;N/A",$F:$F,"&lt;="&amp;_xlpm.p,$G:$G,"&gt;="&amp;_xlpm.p)))))</f>
        <v>5</v>
      </c>
      <c r="I348" t="s">
        <v>2581</v>
      </c>
      <c r="J348" t="s">
        <v>6575</v>
      </c>
      <c r="K348" t="s">
        <v>7</v>
      </c>
      <c r="L348" s="5" t="s">
        <v>5234</v>
      </c>
      <c r="M348" t="s">
        <v>5134</v>
      </c>
      <c r="N348" t="s">
        <v>6666</v>
      </c>
      <c r="O348" s="5" t="s">
        <v>5072</v>
      </c>
      <c r="P348" s="5" t="s">
        <v>8021</v>
      </c>
      <c r="Q348" s="5" t="s">
        <v>2509</v>
      </c>
      <c r="R348" t="b">
        <v>1</v>
      </c>
    </row>
    <row r="349" spans="1:18">
      <c r="A349" t="s">
        <v>3015</v>
      </c>
      <c r="B349" t="s">
        <v>5923</v>
      </c>
      <c r="C349" t="s">
        <v>7752</v>
      </c>
      <c r="D349" s="1">
        <v>4</v>
      </c>
      <c r="E349" s="1">
        <v>2</v>
      </c>
      <c r="F349" s="1">
        <v>57</v>
      </c>
      <c r="G349" s="1">
        <v>60</v>
      </c>
      <c r="H349" s="17" cm="1">
        <f t="array" ref="H349">_xlfn.LET(_xlpm.s,IFERROR(--F349,""),_xlpm.e,IFERROR(--G349,""),IF(OR(_xlpm.s="",_xlpm.e="",_xlpm.e&lt;_xlpm.s),"",_xlfn.LET(_xlpm.p,_xlfn.SEQUENCE(_xlpm.e-_xlpm.s+1,1,_xlpm.s,1),SUM(1/COUNTIFS($D:$D,D349,$E:$E,E349,$F:$F,"&lt;&gt;N/A",$G:$G,"&lt;&gt;N/A",$F:$F,"&lt;="&amp;_xlpm.p,$G:$G,"&gt;="&amp;_xlpm.p)))))</f>
        <v>3</v>
      </c>
      <c r="I349" t="s">
        <v>624</v>
      </c>
      <c r="J349" t="s">
        <v>5317</v>
      </c>
      <c r="K349" t="s">
        <v>7</v>
      </c>
      <c r="L349" s="5" t="s">
        <v>5316</v>
      </c>
      <c r="M349" t="s">
        <v>6555</v>
      </c>
      <c r="N349" t="s">
        <v>6673</v>
      </c>
      <c r="O349" s="5" t="s">
        <v>5072</v>
      </c>
      <c r="P349" s="5" t="s">
        <v>8021</v>
      </c>
      <c r="Q349" s="5" t="s">
        <v>2509</v>
      </c>
      <c r="R349" t="b">
        <v>1</v>
      </c>
    </row>
    <row r="350" spans="1:18">
      <c r="A350" t="s">
        <v>3015</v>
      </c>
      <c r="B350" t="s">
        <v>5924</v>
      </c>
      <c r="C350" t="s">
        <v>7752</v>
      </c>
      <c r="D350" s="1">
        <v>4</v>
      </c>
      <c r="E350" s="1">
        <v>2</v>
      </c>
      <c r="F350" s="1">
        <v>60</v>
      </c>
      <c r="G350" s="1">
        <v>61</v>
      </c>
      <c r="H350" s="17" cm="1">
        <f t="array" ref="H350">_xlfn.LET(_xlpm.s,IFERROR(--F350,""),_xlpm.e,IFERROR(--G350,""),IF(OR(_xlpm.s="",_xlpm.e="",_xlpm.e&lt;_xlpm.s),"",_xlfn.LET(_xlpm.p,_xlfn.SEQUENCE(_xlpm.e-_xlpm.s+1,1,_xlpm.s,1),SUM(1/COUNTIFS($D:$D,D350,$E:$E,E350,$F:$F,"&lt;&gt;N/A",$G:$G,"&lt;&gt;N/A",$F:$F,"&lt;="&amp;_xlpm.p,$G:$G,"&gt;="&amp;_xlpm.p)))))</f>
        <v>1</v>
      </c>
      <c r="I350" t="s">
        <v>624</v>
      </c>
      <c r="J350" t="s">
        <v>5318</v>
      </c>
      <c r="K350" t="s">
        <v>7</v>
      </c>
      <c r="L350" s="5" t="s">
        <v>5234</v>
      </c>
      <c r="M350" t="s">
        <v>5467</v>
      </c>
      <c r="N350" t="s">
        <v>6674</v>
      </c>
      <c r="O350" s="5" t="s">
        <v>5072</v>
      </c>
      <c r="P350" s="5" t="s">
        <v>8021</v>
      </c>
      <c r="Q350" s="5" t="s">
        <v>2509</v>
      </c>
      <c r="R350" t="b">
        <v>1</v>
      </c>
    </row>
    <row r="351" spans="1:18">
      <c r="A351" t="s">
        <v>3015</v>
      </c>
      <c r="B351" t="s">
        <v>5925</v>
      </c>
      <c r="C351" t="s">
        <v>7752</v>
      </c>
      <c r="D351" s="1">
        <v>4</v>
      </c>
      <c r="E351" s="1">
        <v>2</v>
      </c>
      <c r="F351" s="1">
        <v>61</v>
      </c>
      <c r="G351" s="1">
        <v>62</v>
      </c>
      <c r="H351" s="17" cm="1">
        <f t="array" ref="H351">_xlfn.LET(_xlpm.s,IFERROR(--F351,""),_xlpm.e,IFERROR(--G351,""),IF(OR(_xlpm.s="",_xlpm.e="",_xlpm.e&lt;_xlpm.s),"",_xlfn.LET(_xlpm.p,_xlfn.SEQUENCE(_xlpm.e-_xlpm.s+1,1,_xlpm.s,1),SUM(1/COUNTIFS($D:$D,D351,$E:$E,E351,$F:$F,"&lt;&gt;N/A",$G:$G,"&lt;&gt;N/A",$F:$F,"&lt;="&amp;_xlpm.p,$G:$G,"&gt;="&amp;_xlpm.p)))))</f>
        <v>1</v>
      </c>
      <c r="I351" t="s">
        <v>624</v>
      </c>
      <c r="J351" t="s">
        <v>5319</v>
      </c>
      <c r="K351" t="s">
        <v>7</v>
      </c>
      <c r="L351" s="5" t="s">
        <v>5234</v>
      </c>
      <c r="M351" t="s">
        <v>5467</v>
      </c>
      <c r="N351" t="s">
        <v>6675</v>
      </c>
      <c r="O351" s="5" t="s">
        <v>5072</v>
      </c>
      <c r="P351" s="5" t="s">
        <v>8021</v>
      </c>
      <c r="Q351" s="5" t="s">
        <v>2509</v>
      </c>
      <c r="R351" t="b">
        <v>1</v>
      </c>
    </row>
    <row r="352" spans="1:18">
      <c r="A352" t="s">
        <v>3015</v>
      </c>
      <c r="B352" t="s">
        <v>5926</v>
      </c>
      <c r="C352" t="s">
        <v>7752</v>
      </c>
      <c r="D352" s="1">
        <v>4</v>
      </c>
      <c r="E352" s="1">
        <v>2</v>
      </c>
      <c r="F352" s="1">
        <v>62</v>
      </c>
      <c r="G352" s="1">
        <v>63</v>
      </c>
      <c r="H352" s="17" cm="1">
        <f t="array" ref="H352">_xlfn.LET(_xlpm.s,IFERROR(--F352,""),_xlpm.e,IFERROR(--G352,""),IF(OR(_xlpm.s="",_xlpm.e="",_xlpm.e&lt;_xlpm.s),"",_xlfn.LET(_xlpm.p,_xlfn.SEQUENCE(_xlpm.e-_xlpm.s+1,1,_xlpm.s,1),SUM(1/COUNTIFS($D:$D,D352,$E:$E,E352,$F:$F,"&lt;&gt;N/A",$G:$G,"&lt;&gt;N/A",$F:$F,"&lt;="&amp;_xlpm.p,$G:$G,"&gt;="&amp;_xlpm.p)))))</f>
        <v>0.75</v>
      </c>
      <c r="I352" t="s">
        <v>624</v>
      </c>
      <c r="J352" t="s">
        <v>6584</v>
      </c>
      <c r="K352" t="s">
        <v>7</v>
      </c>
      <c r="L352" s="5" t="s">
        <v>5307</v>
      </c>
      <c r="M352" s="5" t="s">
        <v>7</v>
      </c>
      <c r="N352" s="5" t="s">
        <v>7</v>
      </c>
      <c r="O352" s="5" t="s">
        <v>5072</v>
      </c>
      <c r="P352" s="5" t="s">
        <v>8092</v>
      </c>
      <c r="R352" t="b">
        <v>1</v>
      </c>
    </row>
    <row r="353" spans="1:18">
      <c r="A353" t="s">
        <v>3015</v>
      </c>
      <c r="B353" t="s">
        <v>5927</v>
      </c>
      <c r="C353" t="s">
        <v>7752</v>
      </c>
      <c r="D353" s="1">
        <v>4</v>
      </c>
      <c r="E353" s="1">
        <v>2</v>
      </c>
      <c r="F353" s="1">
        <v>63</v>
      </c>
      <c r="G353" s="1">
        <v>63</v>
      </c>
      <c r="H353" s="17" cm="1">
        <f t="array" ref="H353">_xlfn.LET(_xlpm.s,IFERROR(--F353,""),_xlpm.e,IFERROR(--G353,""),IF(OR(_xlpm.s="",_xlpm.e="",_xlpm.e&lt;_xlpm.s),"",_xlfn.LET(_xlpm.p,_xlfn.SEQUENCE(_xlpm.e-_xlpm.s+1,1,_xlpm.s,1),SUM(1/COUNTIFS($D:$D,D353,$E:$E,E353,$F:$F,"&lt;&gt;N/A",$G:$G,"&lt;&gt;N/A",$F:$F,"&lt;="&amp;_xlpm.p,$G:$G,"&gt;="&amp;_xlpm.p)))))</f>
        <v>0.25</v>
      </c>
      <c r="I353" t="s">
        <v>624</v>
      </c>
      <c r="J353" t="s">
        <v>5320</v>
      </c>
      <c r="K353" t="s">
        <v>7</v>
      </c>
      <c r="L353" s="5" t="s">
        <v>7</v>
      </c>
      <c r="M353" t="s">
        <v>5139</v>
      </c>
      <c r="N353" t="s">
        <v>6678</v>
      </c>
      <c r="O353" s="5" t="s">
        <v>5072</v>
      </c>
      <c r="P353" s="5" t="s">
        <v>8021</v>
      </c>
      <c r="R353" t="b">
        <v>1</v>
      </c>
    </row>
    <row r="354" spans="1:18">
      <c r="A354" t="s">
        <v>3015</v>
      </c>
      <c r="B354" t="s">
        <v>5928</v>
      </c>
      <c r="C354" t="s">
        <v>7752</v>
      </c>
      <c r="D354" s="1">
        <v>4</v>
      </c>
      <c r="E354" s="1">
        <v>2</v>
      </c>
      <c r="F354" s="1">
        <v>63</v>
      </c>
      <c r="G354" s="1">
        <v>63</v>
      </c>
      <c r="H354" s="17" cm="1">
        <f t="array" ref="H354">_xlfn.LET(_xlpm.s,IFERROR(--F354,""),_xlpm.e,IFERROR(--G354,""),IF(OR(_xlpm.s="",_xlpm.e="",_xlpm.e&lt;_xlpm.s),"",_xlfn.LET(_xlpm.p,_xlfn.SEQUENCE(_xlpm.e-_xlpm.s+1,1,_xlpm.s,1),SUM(1/COUNTIFS($D:$D,D354,$E:$E,E354,$F:$F,"&lt;&gt;N/A",$G:$G,"&lt;&gt;N/A",$F:$F,"&lt;="&amp;_xlpm.p,$G:$G,"&gt;="&amp;_xlpm.p)))))</f>
        <v>0.25</v>
      </c>
      <c r="I354" t="s">
        <v>624</v>
      </c>
      <c r="J354" t="s">
        <v>5321</v>
      </c>
      <c r="K354" t="s">
        <v>7</v>
      </c>
      <c r="L354" s="5" t="s">
        <v>7</v>
      </c>
      <c r="M354" t="s">
        <v>5135</v>
      </c>
      <c r="N354" t="s">
        <v>6679</v>
      </c>
      <c r="O354" s="5" t="s">
        <v>5072</v>
      </c>
      <c r="P354" s="5" t="s">
        <v>8021</v>
      </c>
      <c r="R354" t="b">
        <v>1</v>
      </c>
    </row>
    <row r="355" spans="1:18">
      <c r="A355" t="s">
        <v>3015</v>
      </c>
      <c r="B355" t="s">
        <v>5929</v>
      </c>
      <c r="C355" t="s">
        <v>7752</v>
      </c>
      <c r="D355" s="1">
        <v>4</v>
      </c>
      <c r="E355" s="1">
        <v>2</v>
      </c>
      <c r="F355" s="1">
        <v>63</v>
      </c>
      <c r="G355" s="1">
        <v>64</v>
      </c>
      <c r="H355" s="17" cm="1">
        <f t="array" ref="H355">_xlfn.LET(_xlpm.s,IFERROR(--F355,""),_xlpm.e,IFERROR(--G355,""),IF(OR(_xlpm.s="",_xlpm.e="",_xlpm.e&lt;_xlpm.s),"",_xlfn.LET(_xlpm.p,_xlfn.SEQUENCE(_xlpm.e-_xlpm.s+1,1,_xlpm.s,1),SUM(1/COUNTIFS($D:$D,D355,$E:$E,E355,$F:$F,"&lt;&gt;N/A",$G:$G,"&lt;&gt;N/A",$F:$F,"&lt;="&amp;_xlpm.p,$G:$G,"&gt;="&amp;_xlpm.p)))))</f>
        <v>1.25</v>
      </c>
      <c r="I355" t="s">
        <v>624</v>
      </c>
      <c r="J355" t="s">
        <v>6581</v>
      </c>
      <c r="K355" t="s">
        <v>7</v>
      </c>
      <c r="L355" s="5" t="s">
        <v>5322</v>
      </c>
      <c r="M355" t="s">
        <v>6576</v>
      </c>
      <c r="N355" t="s">
        <v>6680</v>
      </c>
      <c r="O355" s="5" t="s">
        <v>5072</v>
      </c>
      <c r="P355" s="5" t="s">
        <v>8021</v>
      </c>
      <c r="Q355" s="5" t="s">
        <v>2509</v>
      </c>
      <c r="R355" t="b">
        <v>1</v>
      </c>
    </row>
    <row r="356" spans="1:18">
      <c r="A356" t="s">
        <v>3015</v>
      </c>
      <c r="B356" t="s">
        <v>5930</v>
      </c>
      <c r="C356" t="s">
        <v>7760</v>
      </c>
      <c r="D356" s="1">
        <v>4</v>
      </c>
      <c r="E356" s="1">
        <v>3</v>
      </c>
      <c r="F356" s="1">
        <v>65</v>
      </c>
      <c r="G356" s="1">
        <v>68</v>
      </c>
      <c r="H356" s="17" cm="1">
        <f t="array" ref="H356">_xlfn.LET(_xlpm.s,IFERROR(--F356,""),_xlpm.e,IFERROR(--G356,""),IF(OR(_xlpm.s="",_xlpm.e="",_xlpm.e&lt;_xlpm.s),"",_xlfn.LET(_xlpm.p,_xlfn.SEQUENCE(_xlpm.e-_xlpm.s+1,1,_xlpm.s,1),SUM(1/COUNTIFS($D:$D,D356,$E:$E,E356,$F:$F,"&lt;&gt;N/A",$G:$G,"&lt;&gt;N/A",$F:$F,"&lt;="&amp;_xlpm.p,$G:$G,"&gt;="&amp;_xlpm.p)))))</f>
        <v>4</v>
      </c>
      <c r="I356" t="s">
        <v>2573</v>
      </c>
      <c r="J356" t="s">
        <v>5324</v>
      </c>
      <c r="K356" t="s">
        <v>7</v>
      </c>
      <c r="L356" s="5" t="s">
        <v>5323</v>
      </c>
      <c r="M356" t="s">
        <v>6585</v>
      </c>
      <c r="N356" t="s">
        <v>6696</v>
      </c>
      <c r="O356" s="5" t="s">
        <v>5072</v>
      </c>
      <c r="P356" s="5" t="s">
        <v>8021</v>
      </c>
      <c r="Q356" s="5" t="s">
        <v>2509</v>
      </c>
      <c r="R356" t="b">
        <v>1</v>
      </c>
    </row>
    <row r="357" spans="1:18">
      <c r="A357" t="s">
        <v>3015</v>
      </c>
      <c r="B357" t="s">
        <v>5931</v>
      </c>
      <c r="C357" t="s">
        <v>7760</v>
      </c>
      <c r="D357" s="1">
        <v>4</v>
      </c>
      <c r="E357" s="1">
        <v>3</v>
      </c>
      <c r="F357" s="1">
        <v>69</v>
      </c>
      <c r="G357" s="1">
        <v>78</v>
      </c>
      <c r="H357" s="17" cm="1">
        <f t="array" ref="H357">_xlfn.LET(_xlpm.s,IFERROR(--F357,""),_xlpm.e,IFERROR(--G357,""),IF(OR(_xlpm.s="",_xlpm.e="",_xlpm.e&lt;_xlpm.s),"",_xlfn.LET(_xlpm.p,_xlfn.SEQUENCE(_xlpm.e-_xlpm.s+1,1,_xlpm.s,1),SUM(1/COUNTIFS($D:$D,D357,$E:$E,E357,$F:$F,"&lt;&gt;N/A",$G:$G,"&lt;&gt;N/A",$F:$F,"&lt;="&amp;_xlpm.p,$G:$G,"&gt;="&amp;_xlpm.p)))))</f>
        <v>9.5</v>
      </c>
      <c r="I357" t="s">
        <v>8</v>
      </c>
      <c r="J357" t="s">
        <v>5325</v>
      </c>
      <c r="K357" t="s">
        <v>7</v>
      </c>
      <c r="L357" s="5" t="s">
        <v>5326</v>
      </c>
      <c r="M357" t="s">
        <v>6586</v>
      </c>
      <c r="N357" t="s">
        <v>6690</v>
      </c>
      <c r="O357" s="5" t="s">
        <v>5072</v>
      </c>
      <c r="P357" s="5" t="s">
        <v>8021</v>
      </c>
      <c r="Q357" s="5" t="s">
        <v>2509</v>
      </c>
      <c r="R357" t="b">
        <v>1</v>
      </c>
    </row>
    <row r="358" spans="1:18">
      <c r="A358" t="s">
        <v>3015</v>
      </c>
      <c r="B358" t="s">
        <v>5932</v>
      </c>
      <c r="C358" t="s">
        <v>7760</v>
      </c>
      <c r="D358" s="1">
        <v>4</v>
      </c>
      <c r="E358" s="1">
        <v>3</v>
      </c>
      <c r="F358" s="1">
        <v>78</v>
      </c>
      <c r="G358" s="1">
        <v>81</v>
      </c>
      <c r="H358" s="17" cm="1">
        <f t="array" ref="H358">_xlfn.LET(_xlpm.s,IFERROR(--F358,""),_xlpm.e,IFERROR(--G358,""),IF(OR(_xlpm.s="",_xlpm.e="",_xlpm.e&lt;_xlpm.s),"",_xlfn.LET(_xlpm.p,_xlfn.SEQUENCE(_xlpm.e-_xlpm.s+1,1,_xlpm.s,1),SUM(1/COUNTIFS($D:$D,D358,$E:$E,E358,$F:$F,"&lt;&gt;N/A",$G:$G,"&lt;&gt;N/A",$F:$F,"&lt;="&amp;_xlpm.p,$G:$G,"&gt;="&amp;_xlpm.p)))))</f>
        <v>3</v>
      </c>
      <c r="I358" t="s">
        <v>2581</v>
      </c>
      <c r="J358" t="s">
        <v>6582</v>
      </c>
      <c r="K358" t="s">
        <v>7</v>
      </c>
      <c r="L358" s="5" t="s">
        <v>5326</v>
      </c>
      <c r="M358" t="s">
        <v>5420</v>
      </c>
      <c r="N358" t="s">
        <v>6694</v>
      </c>
      <c r="O358" s="5" t="s">
        <v>5072</v>
      </c>
      <c r="P358" s="5" t="s">
        <v>8092</v>
      </c>
      <c r="Q358" s="5" t="s">
        <v>2509</v>
      </c>
      <c r="R358" t="b">
        <v>1</v>
      </c>
    </row>
    <row r="359" spans="1:18">
      <c r="A359" t="s">
        <v>3015</v>
      </c>
      <c r="B359" t="s">
        <v>5933</v>
      </c>
      <c r="C359" t="s">
        <v>7760</v>
      </c>
      <c r="D359" s="1">
        <v>4</v>
      </c>
      <c r="E359" s="1">
        <v>3</v>
      </c>
      <c r="F359" s="1">
        <v>81</v>
      </c>
      <c r="G359" s="1">
        <v>88</v>
      </c>
      <c r="H359" s="17" cm="1">
        <f t="array" ref="H359">_xlfn.LET(_xlpm.s,IFERROR(--F359,""),_xlpm.e,IFERROR(--G359,""),IF(OR(_xlpm.s="",_xlpm.e="",_xlpm.e&lt;_xlpm.s),"",_xlfn.LET(_xlpm.p,_xlfn.SEQUENCE(_xlpm.e-_xlpm.s+1,1,_xlpm.s,1),SUM(1/COUNTIFS($D:$D,D359,$E:$E,E359,$F:$F,"&lt;&gt;N/A",$G:$G,"&lt;&gt;N/A",$F:$F,"&lt;="&amp;_xlpm.p,$G:$G,"&gt;="&amp;_xlpm.p)))))</f>
        <v>7.5</v>
      </c>
      <c r="I359" t="s">
        <v>2581</v>
      </c>
      <c r="J359" t="s">
        <v>1788</v>
      </c>
      <c r="K359" t="s">
        <v>7</v>
      </c>
      <c r="L359" s="5" t="s">
        <v>5234</v>
      </c>
      <c r="M359" t="s">
        <v>6545</v>
      </c>
      <c r="N359" t="s">
        <v>6693</v>
      </c>
      <c r="O359" s="5" t="s">
        <v>5072</v>
      </c>
      <c r="P359" s="5" t="s">
        <v>8021</v>
      </c>
      <c r="Q359" s="5" t="s">
        <v>2509</v>
      </c>
      <c r="R359" t="b">
        <v>1</v>
      </c>
    </row>
    <row r="360" spans="1:18">
      <c r="A360" t="s">
        <v>3015</v>
      </c>
      <c r="B360" t="s">
        <v>5934</v>
      </c>
      <c r="C360" t="s">
        <v>7760</v>
      </c>
      <c r="D360" s="1">
        <v>4</v>
      </c>
      <c r="E360" s="1">
        <v>3</v>
      </c>
      <c r="F360" s="1">
        <v>89</v>
      </c>
      <c r="G360" s="1">
        <v>91</v>
      </c>
      <c r="H360" s="17" cm="1">
        <f t="array" ref="H360">_xlfn.LET(_xlpm.s,IFERROR(--F360,""),_xlpm.e,IFERROR(--G360,""),IF(OR(_xlpm.s="",_xlpm.e="",_xlpm.e&lt;_xlpm.s),"",_xlfn.LET(_xlpm.p,_xlfn.SEQUENCE(_xlpm.e-_xlpm.s+1,1,_xlpm.s,1),SUM(1/COUNTIFS($D:$D,D360,$E:$E,E360,$F:$F,"&lt;&gt;N/A",$G:$G,"&lt;&gt;N/A",$F:$F,"&lt;="&amp;_xlpm.p,$G:$G,"&gt;="&amp;_xlpm.p)))))</f>
        <v>2.5</v>
      </c>
      <c r="I360" t="s">
        <v>2632</v>
      </c>
      <c r="J360" t="s">
        <v>2633</v>
      </c>
      <c r="K360" t="s">
        <v>2504</v>
      </c>
      <c r="L360" t="s">
        <v>7</v>
      </c>
      <c r="M360" t="s">
        <v>7</v>
      </c>
      <c r="N360" t="s">
        <v>7</v>
      </c>
      <c r="O360" s="5" t="s">
        <v>778</v>
      </c>
      <c r="P360" s="5" t="s">
        <v>7834</v>
      </c>
      <c r="R360" t="b">
        <v>1</v>
      </c>
    </row>
    <row r="361" spans="1:18">
      <c r="A361" t="s">
        <v>3015</v>
      </c>
      <c r="B361" t="s">
        <v>5935</v>
      </c>
      <c r="C361" t="s">
        <v>7760</v>
      </c>
      <c r="D361" s="1">
        <v>4</v>
      </c>
      <c r="E361" s="1">
        <v>3</v>
      </c>
      <c r="F361" s="1">
        <v>91</v>
      </c>
      <c r="G361" s="1">
        <v>94</v>
      </c>
      <c r="H361" s="17" cm="1">
        <f t="array" ref="H361">_xlfn.LET(_xlpm.s,IFERROR(--F361,""),_xlpm.e,IFERROR(--G361,""),IF(OR(_xlpm.s="",_xlpm.e="",_xlpm.e&lt;_xlpm.s),"",_xlfn.LET(_xlpm.p,_xlfn.SEQUENCE(_xlpm.e-_xlpm.s+1,1,_xlpm.s,1),SUM(1/COUNTIFS($D:$D,D361,$E:$E,E361,$F:$F,"&lt;&gt;N/A",$G:$G,"&lt;&gt;N/A",$F:$F,"&lt;="&amp;_xlpm.p,$G:$G,"&gt;="&amp;_xlpm.p)))))</f>
        <v>3</v>
      </c>
      <c r="I361" t="s">
        <v>2632</v>
      </c>
      <c r="J361" t="s">
        <v>5327</v>
      </c>
      <c r="K361" t="s">
        <v>7</v>
      </c>
      <c r="L361" s="5" t="s">
        <v>5234</v>
      </c>
      <c r="M361" t="s">
        <v>6545</v>
      </c>
      <c r="N361" t="s">
        <v>6692</v>
      </c>
      <c r="O361" s="5" t="s">
        <v>5072</v>
      </c>
      <c r="P361" s="5" t="s">
        <v>8021</v>
      </c>
      <c r="Q361" s="5" t="s">
        <v>2509</v>
      </c>
      <c r="R361" t="b">
        <v>1</v>
      </c>
    </row>
    <row r="362" spans="1:18">
      <c r="A362" t="s">
        <v>3015</v>
      </c>
      <c r="B362" t="s">
        <v>5936</v>
      </c>
      <c r="C362" t="s">
        <v>7760</v>
      </c>
      <c r="D362" s="1">
        <v>4</v>
      </c>
      <c r="E362" s="1">
        <v>3</v>
      </c>
      <c r="F362" s="1">
        <v>94</v>
      </c>
      <c r="G362" s="1">
        <v>96</v>
      </c>
      <c r="H362" s="17" cm="1">
        <f t="array" ref="H362">_xlfn.LET(_xlpm.s,IFERROR(--F362,""),_xlpm.e,IFERROR(--G362,""),IF(OR(_xlpm.s="",_xlpm.e="",_xlpm.e&lt;_xlpm.s),"",_xlfn.LET(_xlpm.p,_xlfn.SEQUENCE(_xlpm.e-_xlpm.s+1,1,_xlpm.s,1),SUM(1/COUNTIFS($D:$D,D362,$E:$E,E362,$F:$F,"&lt;&gt;N/A",$G:$G,"&lt;&gt;N/A",$F:$F,"&lt;="&amp;_xlpm.p,$G:$G,"&gt;="&amp;_xlpm.p)))))</f>
        <v>2.5</v>
      </c>
      <c r="I362" t="s">
        <v>624</v>
      </c>
      <c r="J362" t="s">
        <v>5328</v>
      </c>
      <c r="K362" t="s">
        <v>7</v>
      </c>
      <c r="L362" s="5" t="s">
        <v>5234</v>
      </c>
      <c r="M362" t="s">
        <v>5235</v>
      </c>
      <c r="N362" t="s">
        <v>6691</v>
      </c>
      <c r="O362" s="5" t="s">
        <v>5072</v>
      </c>
      <c r="P362" s="5" t="s">
        <v>8021</v>
      </c>
      <c r="Q362" s="5" t="s">
        <v>2509</v>
      </c>
      <c r="R362" t="b">
        <v>1</v>
      </c>
    </row>
    <row r="363" spans="1:18">
      <c r="A363" t="s">
        <v>3015</v>
      </c>
      <c r="B363" t="s">
        <v>5937</v>
      </c>
      <c r="C363" t="s">
        <v>7768</v>
      </c>
      <c r="D363" s="1">
        <v>4</v>
      </c>
      <c r="E363" s="1">
        <v>4</v>
      </c>
      <c r="F363" s="1">
        <v>97</v>
      </c>
      <c r="G363" s="1">
        <v>103</v>
      </c>
      <c r="H363" s="17" cm="1">
        <f t="array" ref="H363">_xlfn.LET(_xlpm.s,IFERROR(--F363,""),_xlpm.e,IFERROR(--G363,""),IF(OR(_xlpm.s="",_xlpm.e="",_xlpm.e&lt;_xlpm.s),"",_xlfn.LET(_xlpm.p,_xlfn.SEQUENCE(_xlpm.e-_xlpm.s+1,1,_xlpm.s,1),SUM(1/COUNTIFS($D:$D,D363,$E:$E,E363,$F:$F,"&lt;&gt;N/A",$G:$G,"&lt;&gt;N/A",$F:$F,"&lt;="&amp;_xlpm.p,$G:$G,"&gt;="&amp;_xlpm.p)))))</f>
        <v>6.5</v>
      </c>
      <c r="I363" t="s">
        <v>2573</v>
      </c>
      <c r="J363" t="s">
        <v>5329</v>
      </c>
      <c r="K363" t="s">
        <v>7</v>
      </c>
      <c r="L363" t="s">
        <v>7</v>
      </c>
      <c r="M363" t="s">
        <v>6586</v>
      </c>
      <c r="N363" t="s">
        <v>6690</v>
      </c>
      <c r="O363" s="5" t="s">
        <v>5072</v>
      </c>
      <c r="P363" s="5" t="s">
        <v>8021</v>
      </c>
      <c r="R363" t="b">
        <v>1</v>
      </c>
    </row>
    <row r="364" spans="1:18">
      <c r="A364" t="s">
        <v>3015</v>
      </c>
      <c r="B364" t="s">
        <v>5938</v>
      </c>
      <c r="C364" t="s">
        <v>7768</v>
      </c>
      <c r="D364" s="1">
        <v>4</v>
      </c>
      <c r="E364" s="1">
        <v>4</v>
      </c>
      <c r="F364" s="1">
        <v>103</v>
      </c>
      <c r="G364" s="1">
        <v>112</v>
      </c>
      <c r="H364" s="17" cm="1">
        <f t="array" ref="H364">_xlfn.LET(_xlpm.s,IFERROR(--F364,""),_xlpm.e,IFERROR(--G364,""),IF(OR(_xlpm.s="",_xlpm.e="",_xlpm.e&lt;_xlpm.s),"",_xlfn.LET(_xlpm.p,_xlfn.SEQUENCE(_xlpm.e-_xlpm.s+1,1,_xlpm.s,1),SUM(1/COUNTIFS($D:$D,D364,$E:$E,E364,$F:$F,"&lt;&gt;N/A",$G:$G,"&lt;&gt;N/A",$F:$F,"&lt;="&amp;_xlpm.p,$G:$G,"&gt;="&amp;_xlpm.p)))))</f>
        <v>9</v>
      </c>
      <c r="I364" t="s">
        <v>2588</v>
      </c>
      <c r="J364" t="s">
        <v>6583</v>
      </c>
      <c r="K364" t="s">
        <v>4633</v>
      </c>
      <c r="L364" s="5" t="s">
        <v>5307</v>
      </c>
      <c r="M364" t="s">
        <v>5420</v>
      </c>
      <c r="N364" t="s">
        <v>6689</v>
      </c>
      <c r="O364" s="5" t="s">
        <v>5072</v>
      </c>
      <c r="P364" s="5" t="s">
        <v>8092</v>
      </c>
      <c r="Q364" s="5" t="s">
        <v>2509</v>
      </c>
      <c r="R364" t="b">
        <v>1</v>
      </c>
    </row>
    <row r="365" spans="1:18">
      <c r="A365" t="s">
        <v>3015</v>
      </c>
      <c r="B365" t="s">
        <v>5939</v>
      </c>
      <c r="C365" t="s">
        <v>7768</v>
      </c>
      <c r="D365" s="1">
        <v>4</v>
      </c>
      <c r="E365" s="1">
        <v>4</v>
      </c>
      <c r="F365" s="1">
        <v>112</v>
      </c>
      <c r="G365" s="1">
        <v>114</v>
      </c>
      <c r="H365" s="17" cm="1">
        <f t="array" ref="H365">_xlfn.LET(_xlpm.s,IFERROR(--F365,""),_xlpm.e,IFERROR(--G365,""),IF(OR(_xlpm.s="",_xlpm.e="",_xlpm.e&lt;_xlpm.s),"",_xlfn.LET(_xlpm.p,_xlfn.SEQUENCE(_xlpm.e-_xlpm.s+1,1,_xlpm.s,1),SUM(1/COUNTIFS($D:$D,D365,$E:$E,E365,$F:$F,"&lt;&gt;N/A",$G:$G,"&lt;&gt;N/A",$F:$F,"&lt;="&amp;_xlpm.p,$G:$G,"&gt;="&amp;_xlpm.p)))))</f>
        <v>2</v>
      </c>
      <c r="I365" t="s">
        <v>2634</v>
      </c>
      <c r="J365" t="s">
        <v>2636</v>
      </c>
      <c r="K365" t="s">
        <v>2466</v>
      </c>
      <c r="L365" s="5" t="s">
        <v>7</v>
      </c>
      <c r="M365" t="s">
        <v>7</v>
      </c>
      <c r="N365" t="s">
        <v>7</v>
      </c>
      <c r="O365" s="5" t="s">
        <v>778</v>
      </c>
      <c r="P365" s="5" t="s">
        <v>7834</v>
      </c>
      <c r="R365" t="b">
        <v>1</v>
      </c>
    </row>
    <row r="366" spans="1:18">
      <c r="A366" t="s">
        <v>3015</v>
      </c>
      <c r="B366" t="s">
        <v>5940</v>
      </c>
      <c r="C366" t="s">
        <v>7768</v>
      </c>
      <c r="D366" s="1">
        <v>4</v>
      </c>
      <c r="E366" s="1">
        <v>4</v>
      </c>
      <c r="F366" s="1">
        <v>114</v>
      </c>
      <c r="G366" s="1">
        <v>116</v>
      </c>
      <c r="H366" s="17" cm="1">
        <f t="array" ref="H366">_xlfn.LET(_xlpm.s,IFERROR(--F366,""),_xlpm.e,IFERROR(--G366,""),IF(OR(_xlpm.s="",_xlpm.e="",_xlpm.e&lt;_xlpm.s),"",_xlfn.LET(_xlpm.p,_xlfn.SEQUENCE(_xlpm.e-_xlpm.s+1,1,_xlpm.s,1),SUM(1/COUNTIFS($D:$D,D366,$E:$E,E366,$F:$F,"&lt;&gt;N/A",$G:$G,"&lt;&gt;N/A",$F:$F,"&lt;="&amp;_xlpm.p,$G:$G,"&gt;="&amp;_xlpm.p)))))</f>
        <v>2</v>
      </c>
      <c r="I366" t="s">
        <v>2634</v>
      </c>
      <c r="J366" t="s">
        <v>4354</v>
      </c>
      <c r="K366" t="s">
        <v>7</v>
      </c>
      <c r="L366" s="5" t="s">
        <v>4634</v>
      </c>
      <c r="M366" t="s">
        <v>6587</v>
      </c>
      <c r="N366" t="s">
        <v>6688</v>
      </c>
      <c r="O366" s="5" t="s">
        <v>5072</v>
      </c>
      <c r="P366" s="5" t="s">
        <v>8021</v>
      </c>
      <c r="Q366" s="5" t="s">
        <v>2509</v>
      </c>
      <c r="R366" t="b">
        <v>1</v>
      </c>
    </row>
    <row r="367" spans="1:18">
      <c r="A367" t="s">
        <v>3015</v>
      </c>
      <c r="B367" t="s">
        <v>5941</v>
      </c>
      <c r="C367" t="s">
        <v>7768</v>
      </c>
      <c r="D367" s="1">
        <v>4</v>
      </c>
      <c r="E367" s="1">
        <v>4</v>
      </c>
      <c r="F367" s="1">
        <v>116</v>
      </c>
      <c r="G367" s="1">
        <v>116</v>
      </c>
      <c r="H367" s="17" cm="1">
        <f t="array" ref="H367">_xlfn.LET(_xlpm.s,IFERROR(--F367,""),_xlpm.e,IFERROR(--G367,""),IF(OR(_xlpm.s="",_xlpm.e="",_xlpm.e&lt;_xlpm.s),"",_xlfn.LET(_xlpm.p,_xlfn.SEQUENCE(_xlpm.e-_xlpm.s+1,1,_xlpm.s,1),SUM(1/COUNTIFS($D:$D,D367,$E:$E,E367,$F:$F,"&lt;&gt;N/A",$G:$G,"&lt;&gt;N/A",$F:$F,"&lt;="&amp;_xlpm.p,$G:$G,"&gt;="&amp;_xlpm.p)))))</f>
        <v>0.5</v>
      </c>
      <c r="I367" t="s">
        <v>2634</v>
      </c>
      <c r="J367" t="s">
        <v>4355</v>
      </c>
      <c r="K367" t="s">
        <v>7</v>
      </c>
      <c r="L367" s="5" t="s">
        <v>7</v>
      </c>
      <c r="M367" t="s">
        <v>6555</v>
      </c>
      <c r="N367" t="s">
        <v>6687</v>
      </c>
      <c r="O367" s="5" t="s">
        <v>5072</v>
      </c>
      <c r="P367" s="5" t="s">
        <v>8021</v>
      </c>
      <c r="Q367" t="s">
        <v>2509</v>
      </c>
      <c r="R367" t="b">
        <v>1</v>
      </c>
    </row>
    <row r="368" spans="1:18">
      <c r="A368" t="s">
        <v>3015</v>
      </c>
      <c r="B368" t="s">
        <v>5942</v>
      </c>
      <c r="C368" t="s">
        <v>7768</v>
      </c>
      <c r="D368" s="1">
        <v>4</v>
      </c>
      <c r="E368" s="1">
        <v>4</v>
      </c>
      <c r="F368" s="1">
        <v>117</v>
      </c>
      <c r="G368" s="1">
        <v>120</v>
      </c>
      <c r="H368" s="17" cm="1">
        <f t="array" ref="H368">_xlfn.LET(_xlpm.s,IFERROR(--F368,""),_xlpm.e,IFERROR(--G368,""),IF(OR(_xlpm.s="",_xlpm.e="",_xlpm.e&lt;_xlpm.s),"",_xlfn.LET(_xlpm.p,_xlfn.SEQUENCE(_xlpm.e-_xlpm.s+1,1,_xlpm.s,1),SUM(1/COUNTIFS($D:$D,D368,$E:$E,E368,$F:$F,"&lt;&gt;N/A",$G:$G,"&lt;&gt;N/A",$F:$F,"&lt;="&amp;_xlpm.p,$G:$G,"&gt;="&amp;_xlpm.p)))))</f>
        <v>3.5</v>
      </c>
      <c r="I368" t="s">
        <v>2581</v>
      </c>
      <c r="J368" t="s">
        <v>2637</v>
      </c>
      <c r="K368" t="s">
        <v>7</v>
      </c>
      <c r="L368" s="5" t="s">
        <v>4634</v>
      </c>
      <c r="M368" t="s">
        <v>6587</v>
      </c>
      <c r="N368" t="s">
        <v>6685</v>
      </c>
      <c r="O368" s="5" t="s">
        <v>11522</v>
      </c>
      <c r="P368" s="5" t="s">
        <v>8021</v>
      </c>
      <c r="Q368" s="5" t="s">
        <v>2509</v>
      </c>
      <c r="R368" t="b">
        <v>1</v>
      </c>
    </row>
    <row r="369" spans="1:18">
      <c r="A369" t="s">
        <v>3015</v>
      </c>
      <c r="B369" t="s">
        <v>5943</v>
      </c>
      <c r="C369" t="s">
        <v>7768</v>
      </c>
      <c r="D369" s="1">
        <v>4</v>
      </c>
      <c r="E369" s="1">
        <v>4</v>
      </c>
      <c r="F369" s="1">
        <v>120</v>
      </c>
      <c r="G369" s="1">
        <v>121</v>
      </c>
      <c r="H369" s="17" cm="1">
        <f t="array" ref="H369">_xlfn.LET(_xlpm.s,IFERROR(--F369,""),_xlpm.e,IFERROR(--G369,""),IF(OR(_xlpm.s="",_xlpm.e="",_xlpm.e&lt;_xlpm.s),"",_xlfn.LET(_xlpm.p,_xlfn.SEQUENCE(_xlpm.e-_xlpm.s+1,1,_xlpm.s,1),SUM(1/COUNTIFS($D:$D,D369,$E:$E,E369,$F:$F,"&lt;&gt;N/A",$G:$G,"&lt;&gt;N/A",$F:$F,"&lt;="&amp;_xlpm.p,$G:$G,"&gt;="&amp;_xlpm.p)))))</f>
        <v>1</v>
      </c>
      <c r="I369" t="s">
        <v>2581</v>
      </c>
      <c r="J369" t="s">
        <v>1789</v>
      </c>
      <c r="K369" t="s">
        <v>7</v>
      </c>
      <c r="L369" s="5" t="s">
        <v>4634</v>
      </c>
      <c r="M369" t="s">
        <v>6587</v>
      </c>
      <c r="N369" t="s">
        <v>6686</v>
      </c>
      <c r="O369" s="5" t="s">
        <v>5072</v>
      </c>
      <c r="P369" s="5" t="s">
        <v>8021</v>
      </c>
      <c r="Q369" s="5" t="s">
        <v>2509</v>
      </c>
      <c r="R369" t="b">
        <v>1</v>
      </c>
    </row>
    <row r="370" spans="1:18">
      <c r="A370" t="s">
        <v>3015</v>
      </c>
      <c r="B370" t="s">
        <v>5944</v>
      </c>
      <c r="C370" t="s">
        <v>7768</v>
      </c>
      <c r="D370" s="1">
        <v>4</v>
      </c>
      <c r="E370" s="1">
        <v>4</v>
      </c>
      <c r="F370" s="1">
        <v>121</v>
      </c>
      <c r="G370" s="1">
        <v>122</v>
      </c>
      <c r="H370" s="17" cm="1">
        <f t="array" ref="H370">_xlfn.LET(_xlpm.s,IFERROR(--F370,""),_xlpm.e,IFERROR(--G370,""),IF(OR(_xlpm.s="",_xlpm.e="",_xlpm.e&lt;_xlpm.s),"",_xlfn.LET(_xlpm.p,_xlfn.SEQUENCE(_xlpm.e-_xlpm.s+1,1,_xlpm.s,1),SUM(1/COUNTIFS($D:$D,D370,$E:$E,E370,$F:$F,"&lt;&gt;N/A",$G:$G,"&lt;&gt;N/A",$F:$F,"&lt;="&amp;_xlpm.p,$G:$G,"&gt;="&amp;_xlpm.p)))))</f>
        <v>1</v>
      </c>
      <c r="I370" t="s">
        <v>624</v>
      </c>
      <c r="J370" t="s">
        <v>2638</v>
      </c>
      <c r="K370" t="s">
        <v>5330</v>
      </c>
      <c r="L370" s="5" t="s">
        <v>5234</v>
      </c>
      <c r="M370" t="s">
        <v>6545</v>
      </c>
      <c r="N370" t="s">
        <v>6684</v>
      </c>
      <c r="O370" s="5" t="s">
        <v>5072</v>
      </c>
      <c r="P370" s="5" t="s">
        <v>8021</v>
      </c>
      <c r="Q370" s="5" t="s">
        <v>2509</v>
      </c>
      <c r="R370" t="b">
        <v>1</v>
      </c>
    </row>
    <row r="371" spans="1:18">
      <c r="A371" t="s">
        <v>3015</v>
      </c>
      <c r="B371" t="s">
        <v>5945</v>
      </c>
      <c r="C371" t="s">
        <v>7768</v>
      </c>
      <c r="D371" s="1">
        <v>4</v>
      </c>
      <c r="E371" s="1">
        <v>4</v>
      </c>
      <c r="F371" s="1">
        <v>122</v>
      </c>
      <c r="G371" s="1">
        <v>124</v>
      </c>
      <c r="H371" s="17" cm="1">
        <f t="array" ref="H371">_xlfn.LET(_xlpm.s,IFERROR(--F371,""),_xlpm.e,IFERROR(--G371,""),IF(OR(_xlpm.s="",_xlpm.e="",_xlpm.e&lt;_xlpm.s),"",_xlfn.LET(_xlpm.p,_xlfn.SEQUENCE(_xlpm.e-_xlpm.s+1,1,_xlpm.s,1),SUM(1/COUNTIFS($D:$D,D371,$E:$E,E371,$F:$F,"&lt;&gt;N/A",$G:$G,"&lt;&gt;N/A",$F:$F,"&lt;="&amp;_xlpm.p,$G:$G,"&gt;="&amp;_xlpm.p)))))</f>
        <v>2.5</v>
      </c>
      <c r="I371" t="s">
        <v>624</v>
      </c>
      <c r="J371" t="s">
        <v>5331</v>
      </c>
      <c r="K371" t="s">
        <v>7</v>
      </c>
      <c r="L371" s="5" t="s">
        <v>5234</v>
      </c>
      <c r="M371" t="s">
        <v>6545</v>
      </c>
      <c r="N371" t="s">
        <v>6683</v>
      </c>
      <c r="O371" s="5" t="s">
        <v>5072</v>
      </c>
      <c r="P371" s="5" t="s">
        <v>8021</v>
      </c>
      <c r="Q371" s="5" t="s">
        <v>2509</v>
      </c>
      <c r="R371" t="b">
        <v>1</v>
      </c>
    </row>
    <row r="372" spans="1:18">
      <c r="A372" t="s">
        <v>3015</v>
      </c>
      <c r="B372" t="s">
        <v>5946</v>
      </c>
      <c r="C372" t="s">
        <v>7768</v>
      </c>
      <c r="D372" s="1">
        <v>4</v>
      </c>
      <c r="E372" s="1">
        <v>4</v>
      </c>
      <c r="F372" s="1">
        <v>125</v>
      </c>
      <c r="G372" s="1">
        <v>127</v>
      </c>
      <c r="H372" s="17" cm="1">
        <f t="array" ref="H372">_xlfn.LET(_xlpm.s,IFERROR(--F372,""),_xlpm.e,IFERROR(--G372,""),IF(OR(_xlpm.s="",_xlpm.e="",_xlpm.e&lt;_xlpm.s),"",_xlfn.LET(_xlpm.p,_xlfn.SEQUENCE(_xlpm.e-_xlpm.s+1,1,_xlpm.s,1),SUM(1/COUNTIFS($D:$D,D372,$E:$E,E372,$F:$F,"&lt;&gt;N/A",$G:$G,"&lt;&gt;N/A",$F:$F,"&lt;="&amp;_xlpm.p,$G:$G,"&gt;="&amp;_xlpm.p)))))</f>
        <v>2.5</v>
      </c>
      <c r="I372" t="s">
        <v>170</v>
      </c>
      <c r="J372" t="s">
        <v>2639</v>
      </c>
      <c r="K372" t="s">
        <v>7</v>
      </c>
      <c r="L372" s="5" t="s">
        <v>7</v>
      </c>
      <c r="M372" s="5" t="s">
        <v>7</v>
      </c>
      <c r="N372" t="s">
        <v>8060</v>
      </c>
      <c r="O372" s="5" t="s">
        <v>5072</v>
      </c>
      <c r="P372" s="5" t="s">
        <v>8021</v>
      </c>
      <c r="Q372" s="5" t="s">
        <v>2509</v>
      </c>
      <c r="R372" t="b">
        <v>1</v>
      </c>
    </row>
    <row r="373" spans="1:18">
      <c r="A373" t="s">
        <v>3015</v>
      </c>
      <c r="B373" t="s">
        <v>5947</v>
      </c>
      <c r="C373" t="s">
        <v>7768</v>
      </c>
      <c r="D373" s="1">
        <v>4</v>
      </c>
      <c r="E373" s="1">
        <v>4</v>
      </c>
      <c r="F373" s="1">
        <v>127</v>
      </c>
      <c r="G373" s="1">
        <v>128</v>
      </c>
      <c r="H373" s="17" cm="1">
        <f t="array" ref="H373">_xlfn.LET(_xlpm.s,IFERROR(--F373,""),_xlpm.e,IFERROR(--G373,""),IF(OR(_xlpm.s="",_xlpm.e="",_xlpm.e&lt;_xlpm.s),"",_xlfn.LET(_xlpm.p,_xlfn.SEQUENCE(_xlpm.e-_xlpm.s+1,1,_xlpm.s,1),SUM(1/COUNTIFS($D:$D,D373,$E:$E,E373,$F:$F,"&lt;&gt;N/A",$G:$G,"&lt;&gt;N/A",$F:$F,"&lt;="&amp;_xlpm.p,$G:$G,"&gt;="&amp;_xlpm.p)))))</f>
        <v>1.5</v>
      </c>
      <c r="I373" t="s">
        <v>170</v>
      </c>
      <c r="J373" t="s">
        <v>5332</v>
      </c>
      <c r="K373" t="s">
        <v>7</v>
      </c>
      <c r="L373" s="5" t="s">
        <v>7</v>
      </c>
      <c r="M373" s="5" t="s">
        <v>7</v>
      </c>
      <c r="N373" t="s">
        <v>8060</v>
      </c>
      <c r="O373" s="5" t="s">
        <v>5072</v>
      </c>
      <c r="P373" s="5" t="s">
        <v>8021</v>
      </c>
      <c r="Q373" t="s">
        <v>2509</v>
      </c>
      <c r="R373" t="b">
        <v>1</v>
      </c>
    </row>
    <row r="374" spans="1:18">
      <c r="A374" t="s">
        <v>3015</v>
      </c>
      <c r="B374" t="s">
        <v>5948</v>
      </c>
      <c r="C374" t="s">
        <v>7776</v>
      </c>
      <c r="D374" s="1">
        <v>4</v>
      </c>
      <c r="E374" s="1">
        <v>5</v>
      </c>
      <c r="F374" s="1">
        <v>129</v>
      </c>
      <c r="G374" s="1">
        <v>136</v>
      </c>
      <c r="H374" s="17" cm="1">
        <f t="array" ref="H374">_xlfn.LET(_xlpm.s,IFERROR(--F374,""),_xlpm.e,IFERROR(--G374,""),IF(OR(_xlpm.s="",_xlpm.e="",_xlpm.e&lt;_xlpm.s),"",_xlfn.LET(_xlpm.p,_xlfn.SEQUENCE(_xlpm.e-_xlpm.s+1,1,_xlpm.s,1),SUM(1/COUNTIFS($D:$D,D374,$E:$E,E374,$F:$F,"&lt;&gt;N/A",$G:$G,"&lt;&gt;N/A",$F:$F,"&lt;="&amp;_xlpm.p,$G:$G,"&gt;="&amp;_xlpm.p)))))</f>
        <v>8</v>
      </c>
      <c r="I374" t="s">
        <v>2573</v>
      </c>
      <c r="J374" t="s">
        <v>2640</v>
      </c>
      <c r="K374" t="s">
        <v>6580</v>
      </c>
      <c r="L374" s="5" t="s">
        <v>5234</v>
      </c>
      <c r="M374" t="s">
        <v>6547</v>
      </c>
      <c r="N374" t="s">
        <v>6653</v>
      </c>
      <c r="O374" s="5" t="s">
        <v>5072</v>
      </c>
      <c r="P374" s="5" t="s">
        <v>8021</v>
      </c>
      <c r="Q374" s="5" t="s">
        <v>2509</v>
      </c>
      <c r="R374" t="b">
        <v>1</v>
      </c>
    </row>
    <row r="375" spans="1:18">
      <c r="A375" t="s">
        <v>3015</v>
      </c>
      <c r="B375" t="s">
        <v>5949</v>
      </c>
      <c r="C375" t="s">
        <v>7776</v>
      </c>
      <c r="D375" s="1">
        <v>4</v>
      </c>
      <c r="E375" s="1">
        <v>5</v>
      </c>
      <c r="F375" s="1">
        <v>137</v>
      </c>
      <c r="G375" s="1">
        <v>137</v>
      </c>
      <c r="H375" s="17" cm="1">
        <f t="array" ref="H375">_xlfn.LET(_xlpm.s,IFERROR(--F375,""),_xlpm.e,IFERROR(--G375,""),IF(OR(_xlpm.s="",_xlpm.e="",_xlpm.e&lt;_xlpm.s),"",_xlfn.LET(_xlpm.p,_xlfn.SEQUENCE(_xlpm.e-_xlpm.s+1,1,_xlpm.s,1),SUM(1/COUNTIFS($D:$D,D375,$E:$E,E375,$F:$F,"&lt;&gt;N/A",$G:$G,"&lt;&gt;N/A",$F:$F,"&lt;="&amp;_xlpm.p,$G:$G,"&gt;="&amp;_xlpm.p)))))</f>
        <v>0.5</v>
      </c>
      <c r="I375" t="s">
        <v>2581</v>
      </c>
      <c r="J375" t="s">
        <v>5252</v>
      </c>
      <c r="K375" t="s">
        <v>7</v>
      </c>
      <c r="L375" s="5" t="s">
        <v>5234</v>
      </c>
      <c r="M375" t="s">
        <v>6494</v>
      </c>
      <c r="N375" t="s">
        <v>6652</v>
      </c>
      <c r="O375" s="5" t="s">
        <v>5072</v>
      </c>
      <c r="P375" s="5" t="s">
        <v>8021</v>
      </c>
      <c r="Q375" s="5" t="s">
        <v>2509</v>
      </c>
      <c r="R375" t="b">
        <v>1</v>
      </c>
    </row>
    <row r="376" spans="1:18">
      <c r="A376" t="s">
        <v>3015</v>
      </c>
      <c r="B376" t="s">
        <v>5950</v>
      </c>
      <c r="C376" t="s">
        <v>7776</v>
      </c>
      <c r="D376" s="1">
        <v>4</v>
      </c>
      <c r="E376" s="1">
        <v>5</v>
      </c>
      <c r="F376" s="1">
        <v>137</v>
      </c>
      <c r="G376" s="1">
        <v>146</v>
      </c>
      <c r="H376" s="17" cm="1">
        <f t="array" ref="H376">_xlfn.LET(_xlpm.s,IFERROR(--F376,""),_xlpm.e,IFERROR(--G376,""),IF(OR(_xlpm.s="",_xlpm.e="",_xlpm.e&lt;_xlpm.s),"",_xlfn.LET(_xlpm.p,_xlfn.SEQUENCE(_xlpm.e-_xlpm.s+1,1,_xlpm.s,1),SUM(1/COUNTIFS($D:$D,D376,$E:$E,E376,$F:$F,"&lt;&gt;N/A",$G:$G,"&lt;&gt;N/A",$F:$F,"&lt;="&amp;_xlpm.p,$G:$G,"&gt;="&amp;_xlpm.p)))))</f>
        <v>9</v>
      </c>
      <c r="I376" t="s">
        <v>2581</v>
      </c>
      <c r="J376" t="s">
        <v>5251</v>
      </c>
      <c r="K376" t="s">
        <v>7</v>
      </c>
      <c r="L376" s="5" t="s">
        <v>5234</v>
      </c>
      <c r="M376" t="s">
        <v>6588</v>
      </c>
      <c r="N376" t="s">
        <v>6651</v>
      </c>
      <c r="O376" s="5" t="s">
        <v>5072</v>
      </c>
      <c r="P376" s="5" t="s">
        <v>8021</v>
      </c>
      <c r="Q376" s="5" t="s">
        <v>2509</v>
      </c>
      <c r="R376" t="b">
        <v>1</v>
      </c>
    </row>
    <row r="377" spans="1:18">
      <c r="A377" t="s">
        <v>3015</v>
      </c>
      <c r="B377" t="s">
        <v>5951</v>
      </c>
      <c r="C377" t="s">
        <v>7776</v>
      </c>
      <c r="D377" s="1">
        <v>4</v>
      </c>
      <c r="E377" s="1">
        <v>5</v>
      </c>
      <c r="F377" s="1">
        <v>146</v>
      </c>
      <c r="G377" s="1">
        <v>157</v>
      </c>
      <c r="H377" s="17" cm="1">
        <f t="array" ref="H377">_xlfn.LET(_xlpm.s,IFERROR(--F377,""),_xlpm.e,IFERROR(--G377,""),IF(OR(_xlpm.s="",_xlpm.e="",_xlpm.e&lt;_xlpm.s),"",_xlfn.LET(_xlpm.p,_xlfn.SEQUENCE(_xlpm.e-_xlpm.s+1,1,_xlpm.s,1),SUM(1/COUNTIFS($D:$D,D377,$E:$E,E377,$F:$F,"&lt;&gt;N/A",$G:$G,"&lt;&gt;N/A",$F:$F,"&lt;="&amp;_xlpm.p,$G:$G,"&gt;="&amp;_xlpm.p)))))</f>
        <v>11.5</v>
      </c>
      <c r="I377" t="s">
        <v>2581</v>
      </c>
      <c r="J377" t="s">
        <v>1790</v>
      </c>
      <c r="K377" t="s">
        <v>2466</v>
      </c>
      <c r="L377" s="5" t="s">
        <v>7</v>
      </c>
      <c r="M377" s="5" t="s">
        <v>7</v>
      </c>
      <c r="N377" s="5" t="s">
        <v>7</v>
      </c>
      <c r="O377" s="5" t="s">
        <v>778</v>
      </c>
      <c r="P377" s="5" t="s">
        <v>7834</v>
      </c>
      <c r="R377" t="b">
        <v>1</v>
      </c>
    </row>
    <row r="378" spans="1:18">
      <c r="A378" t="s">
        <v>3015</v>
      </c>
      <c r="B378" t="s">
        <v>5952</v>
      </c>
      <c r="C378" t="s">
        <v>7776</v>
      </c>
      <c r="D378" s="1">
        <v>4</v>
      </c>
      <c r="E378" s="1">
        <v>5</v>
      </c>
      <c r="F378" s="1">
        <v>158</v>
      </c>
      <c r="G378" s="1">
        <v>159</v>
      </c>
      <c r="H378" s="17" cm="1">
        <f t="array" ref="H378">_xlfn.LET(_xlpm.s,IFERROR(--F378,""),_xlpm.e,IFERROR(--G378,""),IF(OR(_xlpm.s="",_xlpm.e="",_xlpm.e&lt;_xlpm.s),"",_xlfn.LET(_xlpm.p,_xlfn.SEQUENCE(_xlpm.e-_xlpm.s+1,1,_xlpm.s,1),SUM(1/COUNTIFS($D:$D,D378,$E:$E,E378,$F:$F,"&lt;&gt;N/A",$G:$G,"&lt;&gt;N/A",$F:$F,"&lt;="&amp;_xlpm.p,$G:$G,"&gt;="&amp;_xlpm.p)))))</f>
        <v>1.5</v>
      </c>
      <c r="I378" t="s">
        <v>624</v>
      </c>
      <c r="J378" t="s">
        <v>3265</v>
      </c>
      <c r="K378" t="s">
        <v>7</v>
      </c>
      <c r="L378" s="5" t="s">
        <v>5234</v>
      </c>
      <c r="M378" t="s">
        <v>5235</v>
      </c>
      <c r="N378" t="s">
        <v>6642</v>
      </c>
      <c r="O378" s="5" t="s">
        <v>5072</v>
      </c>
      <c r="P378" s="5" t="s">
        <v>8021</v>
      </c>
      <c r="R378" t="b">
        <v>1</v>
      </c>
    </row>
    <row r="379" spans="1:18">
      <c r="A379" t="s">
        <v>3015</v>
      </c>
      <c r="B379" t="s">
        <v>5953</v>
      </c>
      <c r="C379" t="s">
        <v>7776</v>
      </c>
      <c r="D379" s="1">
        <v>4</v>
      </c>
      <c r="E379" s="1">
        <v>5</v>
      </c>
      <c r="F379" s="1">
        <v>159</v>
      </c>
      <c r="G379" s="1">
        <v>160</v>
      </c>
      <c r="H379" s="17" cm="1">
        <f t="array" ref="H379">_xlfn.LET(_xlpm.s,IFERROR(--F379,""),_xlpm.e,IFERROR(--G379,""),IF(OR(_xlpm.s="",_xlpm.e="",_xlpm.e&lt;_xlpm.s),"",_xlfn.LET(_xlpm.p,_xlfn.SEQUENCE(_xlpm.e-_xlpm.s+1,1,_xlpm.s,1),SUM(1/COUNTIFS($D:$D,D379,$E:$E,E379,$F:$F,"&lt;&gt;N/A",$G:$G,"&lt;&gt;N/A",$F:$F,"&lt;="&amp;_xlpm.p,$G:$G,"&gt;="&amp;_xlpm.p)))))</f>
        <v>1.5</v>
      </c>
      <c r="I379" t="s">
        <v>624</v>
      </c>
      <c r="J379" t="s">
        <v>1791</v>
      </c>
      <c r="K379" t="s">
        <v>7</v>
      </c>
      <c r="L379" s="5" t="s">
        <v>5234</v>
      </c>
      <c r="M379" s="5" t="s">
        <v>7</v>
      </c>
      <c r="N379" s="5" t="s">
        <v>7</v>
      </c>
      <c r="O379" s="5" t="s">
        <v>5072</v>
      </c>
      <c r="P379" s="5" t="s">
        <v>8021</v>
      </c>
      <c r="R379" t="b">
        <v>1</v>
      </c>
    </row>
    <row r="380" spans="1:18">
      <c r="A380" t="s">
        <v>3015</v>
      </c>
      <c r="B380" t="s">
        <v>5954</v>
      </c>
      <c r="C380" t="s">
        <v>7784</v>
      </c>
      <c r="D380" s="1">
        <v>4</v>
      </c>
      <c r="E380" s="1">
        <v>6</v>
      </c>
      <c r="F380" s="1">
        <v>161</v>
      </c>
      <c r="G380" s="1">
        <v>169</v>
      </c>
      <c r="H380" s="17" cm="1">
        <f t="array" ref="H380">_xlfn.LET(_xlpm.s,IFERROR(--F380,""),_xlpm.e,IFERROR(--G380,""),IF(OR(_xlpm.s="",_xlpm.e="",_xlpm.e&lt;_xlpm.s),"",_xlfn.LET(_xlpm.p,_xlfn.SEQUENCE(_xlpm.e-_xlpm.s+1,1,_xlpm.s,1),SUM(1/COUNTIFS($D:$D,D380,$E:$E,E380,$F:$F,"&lt;&gt;N/A",$G:$G,"&lt;&gt;N/A",$F:$F,"&lt;="&amp;_xlpm.p,$G:$G,"&gt;="&amp;_xlpm.p)))))</f>
        <v>8.5</v>
      </c>
      <c r="I380" t="s">
        <v>2573</v>
      </c>
      <c r="J380" t="s">
        <v>6641</v>
      </c>
      <c r="K380" t="s">
        <v>7</v>
      </c>
      <c r="L380" s="5" t="s">
        <v>5245</v>
      </c>
      <c r="M380" s="5" t="s">
        <v>7</v>
      </c>
      <c r="N380" s="5" t="s">
        <v>7</v>
      </c>
      <c r="O380" s="5" t="s">
        <v>5072</v>
      </c>
      <c r="P380" s="5" t="s">
        <v>8019</v>
      </c>
      <c r="Q380" s="5" t="s">
        <v>2509</v>
      </c>
      <c r="R380" t="b">
        <v>1</v>
      </c>
    </row>
    <row r="381" spans="1:18">
      <c r="A381" t="s">
        <v>3015</v>
      </c>
      <c r="B381" t="s">
        <v>5955</v>
      </c>
      <c r="C381" t="s">
        <v>7784</v>
      </c>
      <c r="D381" s="1">
        <v>4</v>
      </c>
      <c r="E381" s="1">
        <v>6</v>
      </c>
      <c r="F381" s="1">
        <v>169</v>
      </c>
      <c r="G381" s="1">
        <v>171</v>
      </c>
      <c r="H381" s="17" cm="1">
        <f t="array" ref="H381">_xlfn.LET(_xlpm.s,IFERROR(--F381,""),_xlpm.e,IFERROR(--G381,""),IF(OR(_xlpm.s="",_xlpm.e="",_xlpm.e&lt;_xlpm.s),"",_xlfn.LET(_xlpm.p,_xlfn.SEQUENCE(_xlpm.e-_xlpm.s+1,1,_xlpm.s,1),SUM(1/COUNTIFS($D:$D,D381,$E:$E,E381,$F:$F,"&lt;&gt;N/A",$G:$G,"&lt;&gt;N/A",$F:$F,"&lt;="&amp;_xlpm.p,$G:$G,"&gt;="&amp;_xlpm.p)))))</f>
        <v>1.8333333333333333</v>
      </c>
      <c r="I381" t="s">
        <v>8</v>
      </c>
      <c r="J381" t="s">
        <v>6525</v>
      </c>
      <c r="K381" t="s">
        <v>7</v>
      </c>
      <c r="L381" s="5" t="s">
        <v>5234</v>
      </c>
      <c r="M381" t="s">
        <v>5235</v>
      </c>
      <c r="N381" t="s">
        <v>6640</v>
      </c>
      <c r="O381" s="5" t="s">
        <v>5072</v>
      </c>
      <c r="P381" s="5" t="s">
        <v>8021</v>
      </c>
      <c r="R381" t="b">
        <v>1</v>
      </c>
    </row>
    <row r="382" spans="1:18">
      <c r="A382" t="s">
        <v>3015</v>
      </c>
      <c r="B382" t="s">
        <v>5956</v>
      </c>
      <c r="C382" t="s">
        <v>7784</v>
      </c>
      <c r="D382" s="1">
        <v>4</v>
      </c>
      <c r="E382" s="1">
        <v>6</v>
      </c>
      <c r="F382" s="1">
        <v>171</v>
      </c>
      <c r="G382" s="1">
        <v>171</v>
      </c>
      <c r="H382" s="17" cm="1">
        <f t="array" ref="H382">_xlfn.LET(_xlpm.s,IFERROR(--F382,""),_xlpm.e,IFERROR(--G382,""),IF(OR(_xlpm.s="",_xlpm.e="",_xlpm.e&lt;_xlpm.s),"",_xlfn.LET(_xlpm.p,_xlfn.SEQUENCE(_xlpm.e-_xlpm.s+1,1,_xlpm.s,1),SUM(1/COUNTIFS($D:$D,D382,$E:$E,E382,$F:$F,"&lt;&gt;N/A",$G:$G,"&lt;&gt;N/A",$F:$F,"&lt;="&amp;_xlpm.p,$G:$G,"&gt;="&amp;_xlpm.p)))))</f>
        <v>0.33333333333333331</v>
      </c>
      <c r="I382" t="s">
        <v>8</v>
      </c>
      <c r="J382" t="s">
        <v>4356</v>
      </c>
      <c r="K382" t="s">
        <v>7</v>
      </c>
      <c r="L382" s="5" t="s">
        <v>5234</v>
      </c>
      <c r="M382" t="s">
        <v>5235</v>
      </c>
      <c r="N382" t="s">
        <v>6639</v>
      </c>
      <c r="O382" s="5" t="s">
        <v>5072</v>
      </c>
      <c r="P382" s="5" t="s">
        <v>8021</v>
      </c>
      <c r="R382" t="b">
        <v>1</v>
      </c>
    </row>
    <row r="383" spans="1:18">
      <c r="A383" t="s">
        <v>3015</v>
      </c>
      <c r="B383" t="s">
        <v>5957</v>
      </c>
      <c r="C383" t="s">
        <v>7784</v>
      </c>
      <c r="D383" s="1">
        <v>4</v>
      </c>
      <c r="E383" s="1">
        <v>6</v>
      </c>
      <c r="F383" s="1">
        <v>171</v>
      </c>
      <c r="G383" s="1">
        <v>171</v>
      </c>
      <c r="H383" s="17" cm="1">
        <f t="array" ref="H383">_xlfn.LET(_xlpm.s,IFERROR(--F383,""),_xlpm.e,IFERROR(--G383,""),IF(OR(_xlpm.s="",_xlpm.e="",_xlpm.e&lt;_xlpm.s),"",_xlfn.LET(_xlpm.p,_xlfn.SEQUENCE(_xlpm.e-_xlpm.s+1,1,_xlpm.s,1),SUM(1/COUNTIFS($D:$D,D383,$E:$E,E383,$F:$F,"&lt;&gt;N/A",$G:$G,"&lt;&gt;N/A",$F:$F,"&lt;="&amp;_xlpm.p,$G:$G,"&gt;="&amp;_xlpm.p)))))</f>
        <v>0.33333333333333331</v>
      </c>
      <c r="I383" t="s">
        <v>8</v>
      </c>
      <c r="J383" t="s">
        <v>6637</v>
      </c>
      <c r="K383" t="s">
        <v>7</v>
      </c>
      <c r="L383" s="5" t="s">
        <v>5234</v>
      </c>
      <c r="M383" t="s">
        <v>5235</v>
      </c>
      <c r="N383" t="s">
        <v>6638</v>
      </c>
      <c r="O383" s="5" t="s">
        <v>5072</v>
      </c>
      <c r="P383" s="5" t="s">
        <v>8021</v>
      </c>
      <c r="R383" t="b">
        <v>1</v>
      </c>
    </row>
    <row r="384" spans="1:18">
      <c r="A384" t="s">
        <v>3015</v>
      </c>
      <c r="B384" t="s">
        <v>5958</v>
      </c>
      <c r="C384" t="s">
        <v>7784</v>
      </c>
      <c r="D384" s="1">
        <v>4</v>
      </c>
      <c r="E384" s="1">
        <v>6</v>
      </c>
      <c r="F384" s="1">
        <v>172</v>
      </c>
      <c r="G384" s="1">
        <v>183</v>
      </c>
      <c r="H384" s="17" cm="1">
        <f t="array" ref="H384">_xlfn.LET(_xlpm.s,IFERROR(--F384,""),_xlpm.e,IFERROR(--G384,""),IF(OR(_xlpm.s="",_xlpm.e="",_xlpm.e&lt;_xlpm.s),"",_xlfn.LET(_xlpm.p,_xlfn.SEQUENCE(_xlpm.e-_xlpm.s+1,1,_xlpm.s,1),SUM(1/COUNTIFS($D:$D,D384,$E:$E,E384,$F:$F,"&lt;&gt;N/A",$G:$G,"&lt;&gt;N/A",$F:$F,"&lt;="&amp;_xlpm.p,$G:$G,"&gt;="&amp;_xlpm.p)))))</f>
        <v>11.5</v>
      </c>
      <c r="I384" t="s">
        <v>2581</v>
      </c>
      <c r="J384" t="s">
        <v>2641</v>
      </c>
      <c r="K384" t="s">
        <v>6589</v>
      </c>
      <c r="L384" s="5" t="s">
        <v>5234</v>
      </c>
      <c r="M384" t="s">
        <v>6488</v>
      </c>
      <c r="N384" t="s">
        <v>6636</v>
      </c>
      <c r="O384" s="5" t="s">
        <v>5072</v>
      </c>
      <c r="P384" s="5" t="s">
        <v>8021</v>
      </c>
      <c r="R384" t="b">
        <v>1</v>
      </c>
    </row>
    <row r="385" spans="1:18">
      <c r="A385" t="s">
        <v>3015</v>
      </c>
      <c r="B385" t="s">
        <v>5959</v>
      </c>
      <c r="C385" t="s">
        <v>7784</v>
      </c>
      <c r="D385" s="1">
        <v>4</v>
      </c>
      <c r="E385" s="1">
        <v>6</v>
      </c>
      <c r="F385" s="1">
        <v>183</v>
      </c>
      <c r="G385" s="1">
        <v>189</v>
      </c>
      <c r="H385" s="17" cm="1">
        <f t="array" ref="H385">_xlfn.LET(_xlpm.s,IFERROR(--F385,""),_xlpm.e,IFERROR(--G385,""),IF(OR(_xlpm.s="",_xlpm.e="",_xlpm.e&lt;_xlpm.s),"",_xlfn.LET(_xlpm.p,_xlfn.SEQUENCE(_xlpm.e-_xlpm.s+1,1,_xlpm.s,1),SUM(1/COUNTIFS($D:$D,D385,$E:$E,E385,$F:$F,"&lt;&gt;N/A",$G:$G,"&lt;&gt;N/A",$F:$F,"&lt;="&amp;_xlpm.p,$G:$G,"&gt;="&amp;_xlpm.p)))))</f>
        <v>6.5</v>
      </c>
      <c r="I385" t="s">
        <v>2581</v>
      </c>
      <c r="J385" t="s">
        <v>2435</v>
      </c>
      <c r="K385" t="s">
        <v>7</v>
      </c>
      <c r="L385" s="5" t="s">
        <v>5234</v>
      </c>
      <c r="M385" t="s">
        <v>5420</v>
      </c>
      <c r="N385" t="s">
        <v>6626</v>
      </c>
      <c r="O385" s="5" t="s">
        <v>5072</v>
      </c>
      <c r="P385" s="5" t="s">
        <v>8092</v>
      </c>
      <c r="R385" t="b">
        <v>1</v>
      </c>
    </row>
    <row r="386" spans="1:18">
      <c r="A386" t="s">
        <v>3015</v>
      </c>
      <c r="B386" t="s">
        <v>5960</v>
      </c>
      <c r="C386" t="s">
        <v>7784</v>
      </c>
      <c r="D386" s="1">
        <v>4</v>
      </c>
      <c r="E386" s="1">
        <v>6</v>
      </c>
      <c r="F386" s="1">
        <v>190</v>
      </c>
      <c r="G386" s="1">
        <v>192</v>
      </c>
      <c r="H386" s="17" cm="1">
        <f t="array" ref="H386">_xlfn.LET(_xlpm.s,IFERROR(--F386,""),_xlpm.e,IFERROR(--G386,""),IF(OR(_xlpm.s="",_xlpm.e="",_xlpm.e&lt;_xlpm.s),"",_xlfn.LET(_xlpm.p,_xlfn.SEQUENCE(_xlpm.e-_xlpm.s+1,1,_xlpm.s,1),SUM(1/COUNTIFS($D:$D,D386,$E:$E,E386,$F:$F,"&lt;&gt;N/A",$G:$G,"&lt;&gt;N/A",$F:$F,"&lt;="&amp;_xlpm.p,$G:$G,"&gt;="&amp;_xlpm.p)))))</f>
        <v>3</v>
      </c>
      <c r="I386" t="s">
        <v>624</v>
      </c>
      <c r="J386" t="s">
        <v>4357</v>
      </c>
      <c r="K386" t="s">
        <v>7</v>
      </c>
      <c r="L386" s="5" t="s">
        <v>5234</v>
      </c>
      <c r="M386" t="s">
        <v>6545</v>
      </c>
      <c r="N386" t="s">
        <v>6635</v>
      </c>
      <c r="O386" s="5" t="s">
        <v>5072</v>
      </c>
      <c r="P386" s="5" t="s">
        <v>8021</v>
      </c>
      <c r="R386" t="b">
        <v>1</v>
      </c>
    </row>
    <row r="387" spans="1:18">
      <c r="A387" t="s">
        <v>3015</v>
      </c>
      <c r="B387" t="s">
        <v>5961</v>
      </c>
      <c r="C387" t="s">
        <v>7792</v>
      </c>
      <c r="D387" s="1">
        <v>4</v>
      </c>
      <c r="E387" s="1">
        <v>7</v>
      </c>
      <c r="F387" s="1">
        <v>193</v>
      </c>
      <c r="G387" s="1">
        <v>196</v>
      </c>
      <c r="H387" s="17" cm="1">
        <f t="array" ref="H387">_xlfn.LET(_xlpm.s,IFERROR(--F387,""),_xlpm.e,IFERROR(--G387,""),IF(OR(_xlpm.s="",_xlpm.e="",_xlpm.e&lt;_xlpm.s),"",_xlfn.LET(_xlpm.p,_xlfn.SEQUENCE(_xlpm.e-_xlpm.s+1,1,_xlpm.s,1),SUM(1/COUNTIFS($D:$D,D387,$E:$E,E387,$F:$F,"&lt;&gt;N/A",$G:$G,"&lt;&gt;N/A",$F:$F,"&lt;="&amp;_xlpm.p,$G:$G,"&gt;="&amp;_xlpm.p)))))</f>
        <v>3.5</v>
      </c>
      <c r="I387" t="s">
        <v>2573</v>
      </c>
      <c r="J387" t="s">
        <v>5246</v>
      </c>
      <c r="K387" t="s">
        <v>7</v>
      </c>
      <c r="L387" s="5" t="s">
        <v>5245</v>
      </c>
      <c r="M387" s="5" t="s">
        <v>7</v>
      </c>
      <c r="N387" s="5" t="s">
        <v>7</v>
      </c>
      <c r="O387" s="5" t="s">
        <v>5072</v>
      </c>
      <c r="P387" s="5" t="s">
        <v>8019</v>
      </c>
      <c r="R387" t="b">
        <v>1</v>
      </c>
    </row>
    <row r="388" spans="1:18">
      <c r="A388" t="s">
        <v>3015</v>
      </c>
      <c r="B388" t="s">
        <v>5962</v>
      </c>
      <c r="C388" t="s">
        <v>7792</v>
      </c>
      <c r="D388" s="1">
        <v>4</v>
      </c>
      <c r="E388" s="1">
        <v>7</v>
      </c>
      <c r="F388" s="1">
        <v>196</v>
      </c>
      <c r="G388" s="1">
        <v>204</v>
      </c>
      <c r="H388" s="17" cm="1">
        <f t="array" ref="H388">_xlfn.LET(_xlpm.s,IFERROR(--F388,""),_xlpm.e,IFERROR(--G388,""),IF(OR(_xlpm.s="",_xlpm.e="",_xlpm.e&lt;_xlpm.s),"",_xlfn.LET(_xlpm.p,_xlfn.SEQUENCE(_xlpm.e-_xlpm.s+1,1,_xlpm.s,1),SUM(1/COUNTIFS($D:$D,D388,$E:$E,E388,$F:$F,"&lt;&gt;N/A",$G:$G,"&lt;&gt;N/A",$F:$F,"&lt;="&amp;_xlpm.p,$G:$G,"&gt;="&amp;_xlpm.p)))))</f>
        <v>8</v>
      </c>
      <c r="I388" t="s">
        <v>2573</v>
      </c>
      <c r="J388" t="s">
        <v>1792</v>
      </c>
      <c r="K388" t="s">
        <v>7</v>
      </c>
      <c r="L388" s="5" t="s">
        <v>4628</v>
      </c>
      <c r="M388" t="s">
        <v>6556</v>
      </c>
      <c r="N388" t="s">
        <v>6628</v>
      </c>
      <c r="O388" s="5" t="s">
        <v>5072</v>
      </c>
      <c r="P388" s="5" t="s">
        <v>8021</v>
      </c>
      <c r="Q388" s="5" t="s">
        <v>2509</v>
      </c>
      <c r="R388" t="b">
        <v>1</v>
      </c>
    </row>
    <row r="389" spans="1:18">
      <c r="A389" t="s">
        <v>3015</v>
      </c>
      <c r="B389" t="s">
        <v>5963</v>
      </c>
      <c r="C389" t="s">
        <v>7792</v>
      </c>
      <c r="D389" s="1">
        <v>4</v>
      </c>
      <c r="E389" s="1">
        <v>7</v>
      </c>
      <c r="F389" s="1">
        <v>204</v>
      </c>
      <c r="G389" s="1">
        <v>206</v>
      </c>
      <c r="H389" s="17" cm="1">
        <f t="array" ref="H389">_xlfn.LET(_xlpm.s,IFERROR(--F389,""),_xlpm.e,IFERROR(--G389,""),IF(OR(_xlpm.s="",_xlpm.e="",_xlpm.e&lt;_xlpm.s),"",_xlfn.LET(_xlpm.p,_xlfn.SEQUENCE(_xlpm.e-_xlpm.s+1,1,_xlpm.s,1),SUM(1/COUNTIFS($D:$D,D389,$E:$E,E389,$F:$F,"&lt;&gt;N/A",$G:$G,"&lt;&gt;N/A",$F:$F,"&lt;="&amp;_xlpm.p,$G:$G,"&gt;="&amp;_xlpm.p)))))</f>
        <v>2</v>
      </c>
      <c r="I389" t="s">
        <v>2581</v>
      </c>
      <c r="J389" t="s">
        <v>5247</v>
      </c>
      <c r="K389" t="s">
        <v>7</v>
      </c>
      <c r="L389" s="5" t="s">
        <v>7</v>
      </c>
      <c r="M389" t="s">
        <v>5420</v>
      </c>
      <c r="N389" t="s">
        <v>6626</v>
      </c>
      <c r="O389" s="5" t="s">
        <v>5072</v>
      </c>
      <c r="P389" s="5" t="s">
        <v>8092</v>
      </c>
      <c r="Q389" s="5" t="s">
        <v>2509</v>
      </c>
      <c r="R389" t="b">
        <v>1</v>
      </c>
    </row>
    <row r="390" spans="1:18">
      <c r="A390" t="s">
        <v>3015</v>
      </c>
      <c r="B390" t="s">
        <v>5964</v>
      </c>
      <c r="C390" t="s">
        <v>7792</v>
      </c>
      <c r="D390" s="1">
        <v>4</v>
      </c>
      <c r="E390" s="1">
        <v>7</v>
      </c>
      <c r="F390" s="1">
        <v>206</v>
      </c>
      <c r="G390" s="1">
        <v>216</v>
      </c>
      <c r="H390" s="17" cm="1">
        <f t="array" ref="H390">_xlfn.LET(_xlpm.s,IFERROR(--F390,""),_xlpm.e,IFERROR(--G390,""),IF(OR(_xlpm.s="",_xlpm.e="",_xlpm.e&lt;_xlpm.s),"",_xlfn.LET(_xlpm.p,_xlfn.SEQUENCE(_xlpm.e-_xlpm.s+1,1,_xlpm.s,1),SUM(1/COUNTIFS($D:$D,D390,$E:$E,E390,$F:$F,"&lt;&gt;N/A",$G:$G,"&lt;&gt;N/A",$F:$F,"&lt;="&amp;_xlpm.p,$G:$G,"&gt;="&amp;_xlpm.p)))))</f>
        <v>10</v>
      </c>
      <c r="I390" t="s">
        <v>2581</v>
      </c>
      <c r="J390" t="s">
        <v>4358</v>
      </c>
      <c r="K390" t="s">
        <v>2466</v>
      </c>
      <c r="L390" s="5" t="s">
        <v>7</v>
      </c>
      <c r="M390" s="5" t="s">
        <v>7</v>
      </c>
      <c r="N390" s="5" t="s">
        <v>7</v>
      </c>
      <c r="O390" s="5" t="s">
        <v>778</v>
      </c>
      <c r="P390" s="5" t="s">
        <v>7834</v>
      </c>
      <c r="R390" t="b">
        <v>1</v>
      </c>
    </row>
    <row r="391" spans="1:18">
      <c r="A391" t="s">
        <v>3015</v>
      </c>
      <c r="B391" t="s">
        <v>5965</v>
      </c>
      <c r="C391" t="s">
        <v>7792</v>
      </c>
      <c r="D391" s="1">
        <v>4</v>
      </c>
      <c r="E391" s="1">
        <v>7</v>
      </c>
      <c r="F391" s="1">
        <v>216</v>
      </c>
      <c r="G391" s="1">
        <v>218</v>
      </c>
      <c r="H391" s="17" cm="1">
        <f t="array" ref="H391">_xlfn.LET(_xlpm.s,IFERROR(--F391,""),_xlpm.e,IFERROR(--G391,""),IF(OR(_xlpm.s="",_xlpm.e="",_xlpm.e&lt;_xlpm.s),"",_xlfn.LET(_xlpm.p,_xlfn.SEQUENCE(_xlpm.e-_xlpm.s+1,1,_xlpm.s,1),SUM(1/COUNTIFS($D:$D,D391,$E:$E,E391,$F:$F,"&lt;&gt;N/A",$G:$G,"&lt;&gt;N/A",$F:$F,"&lt;="&amp;_xlpm.p,$G:$G,"&gt;="&amp;_xlpm.p)))))</f>
        <v>2</v>
      </c>
      <c r="I391" t="s">
        <v>2635</v>
      </c>
      <c r="J391" t="s">
        <v>2642</v>
      </c>
      <c r="K391" t="s">
        <v>7</v>
      </c>
      <c r="L391" s="5" t="s">
        <v>5248</v>
      </c>
      <c r="M391" s="5" t="s">
        <v>5046</v>
      </c>
      <c r="N391" t="s">
        <v>6552</v>
      </c>
      <c r="O391" s="5" t="s">
        <v>5072</v>
      </c>
      <c r="P391" s="5" t="s">
        <v>8092</v>
      </c>
      <c r="Q391" s="5" t="s">
        <v>2509</v>
      </c>
      <c r="R391" t="b">
        <v>1</v>
      </c>
    </row>
    <row r="392" spans="1:18">
      <c r="A392" t="s">
        <v>3015</v>
      </c>
      <c r="B392" t="s">
        <v>5966</v>
      </c>
      <c r="C392" t="s">
        <v>7792</v>
      </c>
      <c r="D392" s="1">
        <v>4</v>
      </c>
      <c r="E392" s="1">
        <v>7</v>
      </c>
      <c r="F392" s="1">
        <v>218</v>
      </c>
      <c r="G392" s="1">
        <v>219</v>
      </c>
      <c r="H392" s="17" cm="1">
        <f t="array" ref="H392">_xlfn.LET(_xlpm.s,IFERROR(--F392,""),_xlpm.e,IFERROR(--G392,""),IF(OR(_xlpm.s="",_xlpm.e="",_xlpm.e&lt;_xlpm.s),"",_xlfn.LET(_xlpm.p,_xlfn.SEQUENCE(_xlpm.e-_xlpm.s+1,1,_xlpm.s,1),SUM(1/COUNTIFS($D:$D,D392,$E:$E,E392,$F:$F,"&lt;&gt;N/A",$G:$G,"&lt;&gt;N/A",$F:$F,"&lt;="&amp;_xlpm.p,$G:$G,"&gt;="&amp;_xlpm.p)))))</f>
        <v>1</v>
      </c>
      <c r="I392" t="s">
        <v>2635</v>
      </c>
      <c r="J392" t="s">
        <v>6550</v>
      </c>
      <c r="K392" t="s">
        <v>7</v>
      </c>
      <c r="L392" s="5" t="s">
        <v>5248</v>
      </c>
      <c r="M392" s="5" t="s">
        <v>5046</v>
      </c>
      <c r="N392" t="s">
        <v>6553</v>
      </c>
      <c r="O392" s="5" t="s">
        <v>5072</v>
      </c>
      <c r="P392" s="5" t="s">
        <v>8092</v>
      </c>
      <c r="R392" t="b">
        <v>1</v>
      </c>
    </row>
    <row r="393" spans="1:18">
      <c r="A393" t="s">
        <v>3015</v>
      </c>
      <c r="B393" t="s">
        <v>5967</v>
      </c>
      <c r="C393" t="s">
        <v>7792</v>
      </c>
      <c r="D393" s="1">
        <v>4</v>
      </c>
      <c r="E393" s="1">
        <v>7</v>
      </c>
      <c r="F393" s="1">
        <v>219</v>
      </c>
      <c r="G393" s="1">
        <v>220</v>
      </c>
      <c r="H393" s="17" cm="1">
        <f t="array" ref="H393">_xlfn.LET(_xlpm.s,IFERROR(--F393,""),_xlpm.e,IFERROR(--G393,""),IF(OR(_xlpm.s="",_xlpm.e="",_xlpm.e&lt;_xlpm.s),"",_xlfn.LET(_xlpm.p,_xlfn.SEQUENCE(_xlpm.e-_xlpm.s+1,1,_xlpm.s,1),SUM(1/COUNTIFS($D:$D,D393,$E:$E,E393,$F:$F,"&lt;&gt;N/A",$G:$G,"&lt;&gt;N/A",$F:$F,"&lt;="&amp;_xlpm.p,$G:$G,"&gt;="&amp;_xlpm.p)))))</f>
        <v>1</v>
      </c>
      <c r="I393" t="s">
        <v>2635</v>
      </c>
      <c r="J393" t="s">
        <v>6549</v>
      </c>
      <c r="K393" t="s">
        <v>7</v>
      </c>
      <c r="L393" s="5" t="s">
        <v>5248</v>
      </c>
      <c r="M393" s="5" t="s">
        <v>7</v>
      </c>
      <c r="N393" s="5" t="s">
        <v>7</v>
      </c>
      <c r="O393" s="5" t="s">
        <v>5072</v>
      </c>
      <c r="P393" s="5" t="s">
        <v>8092</v>
      </c>
      <c r="R393" t="b">
        <v>1</v>
      </c>
    </row>
    <row r="394" spans="1:18">
      <c r="A394" t="s">
        <v>3015</v>
      </c>
      <c r="B394" t="s">
        <v>5968</v>
      </c>
      <c r="C394" t="s">
        <v>7792</v>
      </c>
      <c r="D394" s="1">
        <v>4</v>
      </c>
      <c r="E394" s="1">
        <v>7</v>
      </c>
      <c r="F394" s="1">
        <v>220</v>
      </c>
      <c r="G394" s="1">
        <v>221</v>
      </c>
      <c r="H394" s="17" cm="1">
        <f t="array" ref="H394">_xlfn.LET(_xlpm.s,IFERROR(--F394,""),_xlpm.e,IFERROR(--G394,""),IF(OR(_xlpm.s="",_xlpm.e="",_xlpm.e&lt;_xlpm.s),"",_xlfn.LET(_xlpm.p,_xlfn.SEQUENCE(_xlpm.e-_xlpm.s+1,1,_xlpm.s,1),SUM(1/COUNTIFS($D:$D,D394,$E:$E,E394,$F:$F,"&lt;&gt;N/A",$G:$G,"&lt;&gt;N/A",$F:$F,"&lt;="&amp;_xlpm.p,$G:$G,"&gt;="&amp;_xlpm.p)))))</f>
        <v>1.5</v>
      </c>
      <c r="I394" t="s">
        <v>2623</v>
      </c>
      <c r="J394" t="s">
        <v>2643</v>
      </c>
      <c r="K394" t="s">
        <v>7</v>
      </c>
      <c r="L394" s="5" t="s">
        <v>5234</v>
      </c>
      <c r="M394" t="s">
        <v>6547</v>
      </c>
      <c r="N394" t="s">
        <v>6572</v>
      </c>
      <c r="O394" s="5" t="s">
        <v>5072</v>
      </c>
      <c r="P394" s="5" t="s">
        <v>8021</v>
      </c>
      <c r="R394" t="b">
        <v>1</v>
      </c>
    </row>
    <row r="395" spans="1:18">
      <c r="A395" t="s">
        <v>3015</v>
      </c>
      <c r="B395" t="s">
        <v>5969</v>
      </c>
      <c r="C395" t="s">
        <v>7792</v>
      </c>
      <c r="D395" s="1">
        <v>4</v>
      </c>
      <c r="E395" s="1">
        <v>7</v>
      </c>
      <c r="F395" s="1">
        <v>222</v>
      </c>
      <c r="G395" s="1">
        <v>222</v>
      </c>
      <c r="H395" s="17" cm="1">
        <f t="array" ref="H395">_xlfn.LET(_xlpm.s,IFERROR(--F395,""),_xlpm.e,IFERROR(--G395,""),IF(OR(_xlpm.s="",_xlpm.e="",_xlpm.e&lt;_xlpm.s),"",_xlfn.LET(_xlpm.p,_xlfn.SEQUENCE(_xlpm.e-_xlpm.s+1,1,_xlpm.s,1),SUM(1/COUNTIFS($D:$D,D395,$E:$E,E395,$F:$F,"&lt;&gt;N/A",$G:$G,"&lt;&gt;N/A",$F:$F,"&lt;="&amp;_xlpm.p,$G:$G,"&gt;="&amp;_xlpm.p)))))</f>
        <v>1</v>
      </c>
      <c r="I395" t="s">
        <v>2623</v>
      </c>
      <c r="J395" t="s">
        <v>4359</v>
      </c>
      <c r="K395" t="s">
        <v>7</v>
      </c>
      <c r="L395" s="5" t="s">
        <v>5234</v>
      </c>
      <c r="M395" t="s">
        <v>5235</v>
      </c>
      <c r="N395" t="s">
        <v>6573</v>
      </c>
      <c r="O395" s="5" t="s">
        <v>5072</v>
      </c>
      <c r="P395" s="5" t="s">
        <v>8021</v>
      </c>
      <c r="R395" t="b">
        <v>1</v>
      </c>
    </row>
    <row r="396" spans="1:18">
      <c r="A396" t="s">
        <v>3015</v>
      </c>
      <c r="B396" t="s">
        <v>5970</v>
      </c>
      <c r="C396" t="s">
        <v>7792</v>
      </c>
      <c r="D396" s="1">
        <v>4</v>
      </c>
      <c r="E396" s="1">
        <v>7</v>
      </c>
      <c r="F396" s="1">
        <v>223</v>
      </c>
      <c r="G396" s="1">
        <v>224</v>
      </c>
      <c r="H396" s="17" cm="1">
        <f t="array" ref="H396">_xlfn.LET(_xlpm.s,IFERROR(--F396,""),_xlpm.e,IFERROR(--G396,""),IF(OR(_xlpm.s="",_xlpm.e="",_xlpm.e&lt;_xlpm.s),"",_xlfn.LET(_xlpm.p,_xlfn.SEQUENCE(_xlpm.e-_xlpm.s+1,1,_xlpm.s,1),SUM(1/COUNTIFS($D:$D,D396,$E:$E,E396,$F:$F,"&lt;&gt;N/A",$G:$G,"&lt;&gt;N/A",$F:$F,"&lt;="&amp;_xlpm.p,$G:$G,"&gt;="&amp;_xlpm.p)))))</f>
        <v>2</v>
      </c>
      <c r="I396" t="s">
        <v>2623</v>
      </c>
      <c r="J396" t="s">
        <v>1793</v>
      </c>
      <c r="K396" t="s">
        <v>4635</v>
      </c>
      <c r="L396" s="5" t="s">
        <v>5234</v>
      </c>
      <c r="M396" t="s">
        <v>5467</v>
      </c>
      <c r="N396" t="s">
        <v>6574</v>
      </c>
      <c r="O396" s="5" t="s">
        <v>5072</v>
      </c>
      <c r="P396" s="5" t="s">
        <v>8021</v>
      </c>
      <c r="R396" t="b">
        <v>1</v>
      </c>
    </row>
    <row r="397" spans="1:18">
      <c r="A397" t="s">
        <v>3015</v>
      </c>
      <c r="B397" t="s">
        <v>5971</v>
      </c>
      <c r="C397" t="s">
        <v>7799</v>
      </c>
      <c r="D397" s="1">
        <v>4</v>
      </c>
      <c r="E397" s="1">
        <v>8</v>
      </c>
      <c r="F397" s="1">
        <v>225</v>
      </c>
      <c r="G397" s="1">
        <v>236</v>
      </c>
      <c r="H397" s="17" cm="1">
        <f t="array" ref="H397">_xlfn.LET(_xlpm.s,IFERROR(--F397,""),_xlpm.e,IFERROR(--G397,""),IF(OR(_xlpm.s="",_xlpm.e="",_xlpm.e&lt;_xlpm.s),"",_xlfn.LET(_xlpm.p,_xlfn.SEQUENCE(_xlpm.e-_xlpm.s+1,1,_xlpm.s,1),SUM(1/COUNTIFS($D:$D,D397,$E:$E,E397,$F:$F,"&lt;&gt;N/A",$G:$G,"&lt;&gt;N/A",$F:$F,"&lt;="&amp;_xlpm.p,$G:$G,"&gt;="&amp;_xlpm.p)))))</f>
        <v>11.5</v>
      </c>
      <c r="I397" t="s">
        <v>2573</v>
      </c>
      <c r="J397" t="s">
        <v>5249</v>
      </c>
      <c r="K397" t="s">
        <v>7</v>
      </c>
      <c r="L397" s="5" t="s">
        <v>4628</v>
      </c>
      <c r="M397" t="s">
        <v>6556</v>
      </c>
      <c r="N397" t="s">
        <v>6628</v>
      </c>
      <c r="O397" s="5" t="s">
        <v>5072</v>
      </c>
      <c r="P397" s="5" t="s">
        <v>8021</v>
      </c>
      <c r="R397" t="b">
        <v>1</v>
      </c>
    </row>
    <row r="398" spans="1:18">
      <c r="A398" t="s">
        <v>3015</v>
      </c>
      <c r="B398" t="s">
        <v>5972</v>
      </c>
      <c r="C398" t="s">
        <v>7799</v>
      </c>
      <c r="D398" s="1">
        <v>4</v>
      </c>
      <c r="E398" s="1">
        <v>8</v>
      </c>
      <c r="F398" s="1">
        <v>236</v>
      </c>
      <c r="G398" s="1">
        <v>242</v>
      </c>
      <c r="H398" s="17" cm="1">
        <f t="array" ref="H398">_xlfn.LET(_xlpm.s,IFERROR(--F398,""),_xlpm.e,IFERROR(--G398,""),IF(OR(_xlpm.s="",_xlpm.e="",_xlpm.e&lt;_xlpm.s),"",_xlfn.LET(_xlpm.p,_xlfn.SEQUENCE(_xlpm.e-_xlpm.s+1,1,_xlpm.s,1),SUM(1/COUNTIFS($D:$D,D398,$E:$E,E398,$F:$F,"&lt;&gt;N/A",$G:$G,"&lt;&gt;N/A",$F:$F,"&lt;="&amp;_xlpm.p,$G:$G,"&gt;="&amp;_xlpm.p)))))</f>
        <v>6</v>
      </c>
      <c r="I398" t="s">
        <v>5250</v>
      </c>
      <c r="J398" t="s">
        <v>5250</v>
      </c>
      <c r="K398" t="s">
        <v>7</v>
      </c>
      <c r="L398" s="5" t="s">
        <v>6897</v>
      </c>
      <c r="M398" s="5" t="s">
        <v>7</v>
      </c>
      <c r="N398" t="s">
        <v>8061</v>
      </c>
      <c r="O398" s="5" t="s">
        <v>5072</v>
      </c>
      <c r="P398" s="5" t="s">
        <v>8021</v>
      </c>
      <c r="R398" t="b">
        <v>1</v>
      </c>
    </row>
    <row r="399" spans="1:18">
      <c r="A399" t="s">
        <v>3015</v>
      </c>
      <c r="B399" t="s">
        <v>5973</v>
      </c>
      <c r="C399" t="s">
        <v>7799</v>
      </c>
      <c r="D399" s="1">
        <v>4</v>
      </c>
      <c r="E399" s="1">
        <v>8</v>
      </c>
      <c r="F399" s="1">
        <v>242</v>
      </c>
      <c r="G399" s="1">
        <v>249</v>
      </c>
      <c r="H399" s="17" cm="1">
        <f t="array" ref="H399">_xlfn.LET(_xlpm.s,IFERROR(--F399,""),_xlpm.e,IFERROR(--G399,""),IF(OR(_xlpm.s="",_xlpm.e="",_xlpm.e&lt;_xlpm.s),"",_xlfn.LET(_xlpm.p,_xlfn.SEQUENCE(_xlpm.e-_xlpm.s+1,1,_xlpm.s,1),SUM(1/COUNTIFS($D:$D,D399,$E:$E,E399,$F:$F,"&lt;&gt;N/A",$G:$G,"&lt;&gt;N/A",$F:$F,"&lt;="&amp;_xlpm.p,$G:$G,"&gt;="&amp;_xlpm.p)))))</f>
        <v>7</v>
      </c>
      <c r="I399" t="s">
        <v>2581</v>
      </c>
      <c r="J399" t="s">
        <v>2644</v>
      </c>
      <c r="K399" t="s">
        <v>2433</v>
      </c>
      <c r="L399" s="5" t="s">
        <v>7</v>
      </c>
      <c r="M399" s="5" t="s">
        <v>7</v>
      </c>
      <c r="N399" t="s">
        <v>8062</v>
      </c>
      <c r="O399" s="5" t="s">
        <v>5072</v>
      </c>
      <c r="P399" s="5" t="s">
        <v>8019</v>
      </c>
      <c r="Q399" s="5" t="s">
        <v>2509</v>
      </c>
      <c r="R399" t="b">
        <v>1</v>
      </c>
    </row>
    <row r="400" spans="1:18">
      <c r="A400" t="s">
        <v>3015</v>
      </c>
      <c r="B400" t="s">
        <v>5974</v>
      </c>
      <c r="C400" t="s">
        <v>7799</v>
      </c>
      <c r="D400" s="1">
        <v>4</v>
      </c>
      <c r="E400" s="1">
        <v>8</v>
      </c>
      <c r="F400" s="1">
        <v>249</v>
      </c>
      <c r="G400" s="1">
        <v>253</v>
      </c>
      <c r="H400" s="17" cm="1">
        <f t="array" ref="H400">_xlfn.LET(_xlpm.s,IFERROR(--F400,""),_xlpm.e,IFERROR(--G400,""),IF(OR(_xlpm.s="",_xlpm.e="",_xlpm.e&lt;_xlpm.s),"",_xlfn.LET(_xlpm.p,_xlfn.SEQUENCE(_xlpm.e-_xlpm.s+1,1,_xlpm.s,1),SUM(1/COUNTIFS($D:$D,D400,$E:$E,E400,$F:$F,"&lt;&gt;N/A",$G:$G,"&lt;&gt;N/A",$F:$F,"&lt;="&amp;_xlpm.p,$G:$G,"&gt;="&amp;_xlpm.p)))))</f>
        <v>4</v>
      </c>
      <c r="I400" t="s">
        <v>2581</v>
      </c>
      <c r="J400" t="s">
        <v>6591</v>
      </c>
      <c r="K400" t="s">
        <v>7</v>
      </c>
      <c r="L400" s="5" t="s">
        <v>7</v>
      </c>
      <c r="M400" s="5" t="s">
        <v>7</v>
      </c>
      <c r="N400" t="s">
        <v>8063</v>
      </c>
      <c r="O400" s="5" t="s">
        <v>5072</v>
      </c>
      <c r="P400" s="5" t="s">
        <v>8019</v>
      </c>
      <c r="R400" t="b">
        <v>1</v>
      </c>
    </row>
    <row r="401" spans="1:18">
      <c r="A401" t="s">
        <v>3015</v>
      </c>
      <c r="B401" t="s">
        <v>5975</v>
      </c>
      <c r="C401" t="s">
        <v>7799</v>
      </c>
      <c r="D401" s="1">
        <v>4</v>
      </c>
      <c r="E401" s="1">
        <v>8</v>
      </c>
      <c r="F401" s="1">
        <v>253</v>
      </c>
      <c r="G401" s="1">
        <v>255</v>
      </c>
      <c r="H401" s="17" cm="1">
        <f t="array" ref="H401">_xlfn.LET(_xlpm.s,IFERROR(--F401,""),_xlpm.e,IFERROR(--G401,""),IF(OR(_xlpm.s="",_xlpm.e="",_xlpm.e&lt;_xlpm.s),"",_xlfn.LET(_xlpm.p,_xlfn.SEQUENCE(_xlpm.e-_xlpm.s+1,1,_xlpm.s,1),SUM(1/COUNTIFS($D:$D,D401,$E:$E,E401,$F:$F,"&lt;&gt;N/A",$G:$G,"&lt;&gt;N/A",$F:$F,"&lt;="&amp;_xlpm.p,$G:$G,"&gt;="&amp;_xlpm.p)))))</f>
        <v>2</v>
      </c>
      <c r="I401" t="s">
        <v>624</v>
      </c>
      <c r="J401" t="s">
        <v>2645</v>
      </c>
      <c r="K401" t="s">
        <v>7</v>
      </c>
      <c r="L401" s="5" t="s">
        <v>5234</v>
      </c>
      <c r="M401" t="s">
        <v>5235</v>
      </c>
      <c r="N401" t="s">
        <v>6627</v>
      </c>
      <c r="O401" s="5" t="s">
        <v>5072</v>
      </c>
      <c r="P401" s="5" t="s">
        <v>8021</v>
      </c>
      <c r="R401" t="b">
        <v>1</v>
      </c>
    </row>
    <row r="402" spans="1:18">
      <c r="A402" t="s">
        <v>3015</v>
      </c>
      <c r="B402" t="s">
        <v>5976</v>
      </c>
      <c r="C402" t="s">
        <v>7799</v>
      </c>
      <c r="D402" s="1">
        <v>4</v>
      </c>
      <c r="E402" s="1">
        <v>8</v>
      </c>
      <c r="F402" s="1">
        <v>255</v>
      </c>
      <c r="G402" s="1">
        <v>256</v>
      </c>
      <c r="H402" s="17" cm="1">
        <f t="array" ref="H402">_xlfn.LET(_xlpm.s,IFERROR(--F402,""),_xlpm.e,IFERROR(--G402,""),IF(OR(_xlpm.s="",_xlpm.e="",_xlpm.e&lt;_xlpm.s),"",_xlfn.LET(_xlpm.p,_xlfn.SEQUENCE(_xlpm.e-_xlpm.s+1,1,_xlpm.s,1),SUM(1/COUNTIFS($D:$D,D402,$E:$E,E402,$F:$F,"&lt;&gt;N/A",$G:$G,"&lt;&gt;N/A",$F:$F,"&lt;="&amp;_xlpm.p,$G:$G,"&gt;="&amp;_xlpm.p)))))</f>
        <v>1.5</v>
      </c>
      <c r="I402" t="s">
        <v>624</v>
      </c>
      <c r="J402" t="s">
        <v>1794</v>
      </c>
      <c r="K402" t="s">
        <v>2434</v>
      </c>
      <c r="L402" s="5" t="s">
        <v>5234</v>
      </c>
      <c r="M402" t="s">
        <v>6545</v>
      </c>
      <c r="N402" t="s">
        <v>6625</v>
      </c>
      <c r="O402" s="5" t="s">
        <v>5072</v>
      </c>
      <c r="P402" s="5" t="s">
        <v>8021</v>
      </c>
      <c r="R402" t="b">
        <v>1</v>
      </c>
    </row>
    <row r="403" spans="1:18">
      <c r="A403" t="s">
        <v>3015</v>
      </c>
      <c r="B403" t="s">
        <v>5977</v>
      </c>
      <c r="C403" t="s">
        <v>7806</v>
      </c>
      <c r="D403" s="1">
        <v>4</v>
      </c>
      <c r="E403" s="1">
        <v>9</v>
      </c>
      <c r="F403" s="1">
        <v>257</v>
      </c>
      <c r="G403" s="1">
        <v>267</v>
      </c>
      <c r="H403" s="17" cm="1">
        <f t="array" ref="H403">_xlfn.LET(_xlpm.s,IFERROR(--F403,""),_xlpm.e,IFERROR(--G403,""),IF(OR(_xlpm.s="",_xlpm.e="",_xlpm.e&lt;_xlpm.s),"",_xlfn.LET(_xlpm.p,_xlfn.SEQUENCE(_xlpm.e-_xlpm.s+1,1,_xlpm.s,1),SUM(1/COUNTIFS($D:$D,D403,$E:$E,E403,$F:$F,"&lt;&gt;N/A",$G:$G,"&lt;&gt;N/A",$F:$F,"&lt;="&amp;_xlpm.p,$G:$G,"&gt;="&amp;_xlpm.p)))))</f>
        <v>11</v>
      </c>
      <c r="I403" t="s">
        <v>8</v>
      </c>
      <c r="J403" t="s">
        <v>6567</v>
      </c>
      <c r="K403" t="s">
        <v>7</v>
      </c>
      <c r="L403" s="5" t="s">
        <v>6469</v>
      </c>
      <c r="M403" s="5" t="s">
        <v>5397</v>
      </c>
      <c r="N403" t="s">
        <v>8064</v>
      </c>
      <c r="O403" s="5" t="s">
        <v>5072</v>
      </c>
      <c r="P403" s="5" t="s">
        <v>8021</v>
      </c>
      <c r="Q403" s="5" t="s">
        <v>2509</v>
      </c>
      <c r="R403" t="b">
        <v>1</v>
      </c>
    </row>
    <row r="404" spans="1:18">
      <c r="A404" t="s">
        <v>3015</v>
      </c>
      <c r="B404" t="s">
        <v>5978</v>
      </c>
      <c r="C404" t="s">
        <v>7806</v>
      </c>
      <c r="D404" s="1">
        <v>4</v>
      </c>
      <c r="E404" s="1">
        <v>9</v>
      </c>
      <c r="F404" s="1">
        <v>268</v>
      </c>
      <c r="G404" s="1">
        <v>275</v>
      </c>
      <c r="H404" s="17" cm="1">
        <f t="array" ref="H404">_xlfn.LET(_xlpm.s,IFERROR(--F404,""),_xlpm.e,IFERROR(--G404,""),IF(OR(_xlpm.s="",_xlpm.e="",_xlpm.e&lt;_xlpm.s),"",_xlfn.LET(_xlpm.p,_xlfn.SEQUENCE(_xlpm.e-_xlpm.s+1,1,_xlpm.s,1),SUM(1/COUNTIFS($D:$D,D404,$E:$E,E404,$F:$F,"&lt;&gt;N/A",$G:$G,"&lt;&gt;N/A",$F:$F,"&lt;="&amp;_xlpm.p,$G:$G,"&gt;="&amp;_xlpm.p)))))</f>
        <v>7.5</v>
      </c>
      <c r="I404" t="s">
        <v>2634</v>
      </c>
      <c r="J404" t="s">
        <v>5232</v>
      </c>
      <c r="K404" t="s">
        <v>7</v>
      </c>
      <c r="L404" s="5" t="s">
        <v>7</v>
      </c>
      <c r="M404" s="5" t="s">
        <v>7</v>
      </c>
      <c r="N404" t="s">
        <v>8061</v>
      </c>
      <c r="O404" s="5" t="s">
        <v>5072</v>
      </c>
      <c r="P404" s="5" t="s">
        <v>8021</v>
      </c>
      <c r="R404" t="b">
        <v>1</v>
      </c>
    </row>
    <row r="405" spans="1:18">
      <c r="A405" t="s">
        <v>3015</v>
      </c>
      <c r="B405" t="s">
        <v>5979</v>
      </c>
      <c r="C405" t="s">
        <v>7806</v>
      </c>
      <c r="D405" s="1">
        <v>4</v>
      </c>
      <c r="E405" s="1">
        <v>9</v>
      </c>
      <c r="F405" s="1">
        <v>275</v>
      </c>
      <c r="G405" s="1">
        <v>282</v>
      </c>
      <c r="H405" s="17" cm="1">
        <f t="array" ref="H405">_xlfn.LET(_xlpm.s,IFERROR(--F405,""),_xlpm.e,IFERROR(--G405,""),IF(OR(_xlpm.s="",_xlpm.e="",_xlpm.e&lt;_xlpm.s),"",_xlfn.LET(_xlpm.p,_xlfn.SEQUENCE(_xlpm.e-_xlpm.s+1,1,_xlpm.s,1),SUM(1/COUNTIFS($D:$D,D405,$E:$E,E405,$F:$F,"&lt;&gt;N/A",$G:$G,"&lt;&gt;N/A",$F:$F,"&lt;="&amp;_xlpm.p,$G:$G,"&gt;="&amp;_xlpm.p)))))</f>
        <v>7</v>
      </c>
      <c r="I405" t="s">
        <v>2581</v>
      </c>
      <c r="J405" t="s">
        <v>5233</v>
      </c>
      <c r="K405" t="s">
        <v>7</v>
      </c>
      <c r="L405" s="5" t="s">
        <v>5234</v>
      </c>
      <c r="M405" t="s">
        <v>5467</v>
      </c>
      <c r="N405" t="s">
        <v>6624</v>
      </c>
      <c r="O405" s="5" t="s">
        <v>5072</v>
      </c>
      <c r="P405" s="5" t="s">
        <v>8021</v>
      </c>
      <c r="Q405" s="5" t="s">
        <v>2509</v>
      </c>
      <c r="R405" t="b">
        <v>1</v>
      </c>
    </row>
    <row r="406" spans="1:18">
      <c r="A406" t="s">
        <v>3015</v>
      </c>
      <c r="B406" t="s">
        <v>5980</v>
      </c>
      <c r="C406" t="s">
        <v>7806</v>
      </c>
      <c r="D406" s="1">
        <v>4</v>
      </c>
      <c r="E406" s="1">
        <v>9</v>
      </c>
      <c r="F406" s="1">
        <v>282</v>
      </c>
      <c r="G406" s="1">
        <v>287</v>
      </c>
      <c r="H406" s="17" cm="1">
        <f t="array" ref="H406">_xlfn.LET(_xlpm.s,IFERROR(--F406,""),_xlpm.e,IFERROR(--G406,""),IF(OR(_xlpm.s="",_xlpm.e="",_xlpm.e&lt;_xlpm.s),"",_xlfn.LET(_xlpm.p,_xlfn.SEQUENCE(_xlpm.e-_xlpm.s+1,1,_xlpm.s,1),SUM(1/COUNTIFS($D:$D,D406,$E:$E,E406,$F:$F,"&lt;&gt;N/A",$G:$G,"&lt;&gt;N/A",$F:$F,"&lt;="&amp;_xlpm.p,$G:$G,"&gt;="&amp;_xlpm.p)))))</f>
        <v>5</v>
      </c>
      <c r="I406" t="s">
        <v>624</v>
      </c>
      <c r="J406" t="s">
        <v>5237</v>
      </c>
      <c r="K406" t="s">
        <v>7</v>
      </c>
      <c r="L406" s="5" t="s">
        <v>5234</v>
      </c>
      <c r="M406" s="5" t="s">
        <v>5235</v>
      </c>
      <c r="N406" t="s">
        <v>5238</v>
      </c>
      <c r="O406" s="5" t="s">
        <v>5072</v>
      </c>
      <c r="P406" s="5" t="s">
        <v>8021</v>
      </c>
      <c r="Q406" s="5"/>
      <c r="R406" t="b">
        <v>1</v>
      </c>
    </row>
    <row r="407" spans="1:18">
      <c r="A407" t="s">
        <v>3015</v>
      </c>
      <c r="B407" t="s">
        <v>5981</v>
      </c>
      <c r="C407" t="s">
        <v>7806</v>
      </c>
      <c r="D407" s="1">
        <v>4</v>
      </c>
      <c r="E407" s="1">
        <v>9</v>
      </c>
      <c r="F407" s="1">
        <v>287</v>
      </c>
      <c r="G407" s="1">
        <v>288</v>
      </c>
      <c r="H407" s="17" cm="1">
        <f t="array" ref="H407">_xlfn.LET(_xlpm.s,IFERROR(--F407,""),_xlpm.e,IFERROR(--G407,""),IF(OR(_xlpm.s="",_xlpm.e="",_xlpm.e&lt;_xlpm.s),"",_xlfn.LET(_xlpm.p,_xlfn.SEQUENCE(_xlpm.e-_xlpm.s+1,1,_xlpm.s,1),SUM(1/COUNTIFS($D:$D,D407,$E:$E,E407,$F:$F,"&lt;&gt;N/A",$G:$G,"&lt;&gt;N/A",$F:$F,"&lt;="&amp;_xlpm.p,$G:$G,"&gt;="&amp;_xlpm.p)))))</f>
        <v>1</v>
      </c>
      <c r="I407" t="s">
        <v>624</v>
      </c>
      <c r="J407" t="s">
        <v>5236</v>
      </c>
      <c r="K407" t="s">
        <v>7</v>
      </c>
      <c r="L407" s="5" t="s">
        <v>7</v>
      </c>
      <c r="M407" s="5" t="s">
        <v>5235</v>
      </c>
      <c r="N407" t="s">
        <v>5239</v>
      </c>
      <c r="O407" s="5" t="s">
        <v>5072</v>
      </c>
      <c r="P407" s="5" t="s">
        <v>8021</v>
      </c>
      <c r="R407" t="b">
        <v>1</v>
      </c>
    </row>
    <row r="408" spans="1:18">
      <c r="A408" t="s">
        <v>3015</v>
      </c>
      <c r="B408" t="s">
        <v>5982</v>
      </c>
      <c r="C408" t="s">
        <v>7806</v>
      </c>
      <c r="D408" s="1">
        <v>4</v>
      </c>
      <c r="E408" s="1">
        <v>9</v>
      </c>
      <c r="F408" s="1">
        <v>288</v>
      </c>
      <c r="G408" s="1">
        <v>288</v>
      </c>
      <c r="H408" s="17" cm="1">
        <f t="array" ref="H408">_xlfn.LET(_xlpm.s,IFERROR(--F408,""),_xlpm.e,IFERROR(--G408,""),IF(OR(_xlpm.s="",_xlpm.e="",_xlpm.e&lt;_xlpm.s),"",_xlfn.LET(_xlpm.p,_xlfn.SEQUENCE(_xlpm.e-_xlpm.s+1,1,_xlpm.s,1),SUM(1/COUNTIFS($D:$D,D408,$E:$E,E408,$F:$F,"&lt;&gt;N/A",$G:$G,"&lt;&gt;N/A",$F:$F,"&lt;="&amp;_xlpm.p,$G:$G,"&gt;="&amp;_xlpm.p)))))</f>
        <v>0.5</v>
      </c>
      <c r="I408" t="s">
        <v>624</v>
      </c>
      <c r="J408" t="s">
        <v>5253</v>
      </c>
      <c r="K408" t="s">
        <v>7</v>
      </c>
      <c r="L408" t="s">
        <v>7</v>
      </c>
      <c r="M408" s="5" t="s">
        <v>5235</v>
      </c>
      <c r="N408" t="s">
        <v>5240</v>
      </c>
      <c r="O408" s="5" t="s">
        <v>5072</v>
      </c>
      <c r="P408" s="5" t="s">
        <v>8021</v>
      </c>
      <c r="R408" t="b">
        <v>1</v>
      </c>
    </row>
    <row r="409" spans="1:18">
      <c r="A409" t="s">
        <v>3015</v>
      </c>
      <c r="B409" t="s">
        <v>5983</v>
      </c>
      <c r="C409" t="s">
        <v>7729</v>
      </c>
      <c r="D409" s="1">
        <v>4</v>
      </c>
      <c r="E409" s="1">
        <v>10</v>
      </c>
      <c r="F409" s="1">
        <v>289</v>
      </c>
      <c r="G409" s="1">
        <v>299</v>
      </c>
      <c r="H409" s="17" cm="1">
        <f t="array" ref="H409">_xlfn.LET(_xlpm.s,IFERROR(--F409,""),_xlpm.e,IFERROR(--G409,""),IF(OR(_xlpm.s="",_xlpm.e="",_xlpm.e&lt;_xlpm.s),"",_xlfn.LET(_xlpm.p,_xlfn.SEQUENCE(_xlpm.e-_xlpm.s+1,1,_xlpm.s,1),SUM(1/COUNTIFS($D:$D,D409,$E:$E,E409,$F:$F,"&lt;&gt;N/A",$G:$G,"&lt;&gt;N/A",$F:$F,"&lt;="&amp;_xlpm.p,$G:$G,"&gt;="&amp;_xlpm.p)))))</f>
        <v>10.5</v>
      </c>
      <c r="I409" t="s">
        <v>2573</v>
      </c>
      <c r="J409" t="s">
        <v>6551</v>
      </c>
      <c r="K409" t="s">
        <v>7</v>
      </c>
      <c r="L409" t="s">
        <v>7</v>
      </c>
      <c r="M409" s="5" t="s">
        <v>5397</v>
      </c>
      <c r="N409" t="s">
        <v>8065</v>
      </c>
      <c r="O409" s="5" t="s">
        <v>5072</v>
      </c>
      <c r="P409" s="5" t="s">
        <v>8021</v>
      </c>
      <c r="R409" t="b">
        <v>1</v>
      </c>
    </row>
    <row r="410" spans="1:18">
      <c r="A410" t="s">
        <v>3015</v>
      </c>
      <c r="B410" t="s">
        <v>5984</v>
      </c>
      <c r="C410" t="s">
        <v>7729</v>
      </c>
      <c r="D410" s="1">
        <v>4</v>
      </c>
      <c r="E410" s="1">
        <v>10</v>
      </c>
      <c r="F410" s="1">
        <v>299</v>
      </c>
      <c r="G410" s="1">
        <v>305</v>
      </c>
      <c r="H410" s="17" cm="1">
        <f t="array" ref="H410">_xlfn.LET(_xlpm.s,IFERROR(--F410,""),_xlpm.e,IFERROR(--G410,""),IF(OR(_xlpm.s="",_xlpm.e="",_xlpm.e&lt;_xlpm.s),"",_xlfn.LET(_xlpm.p,_xlfn.SEQUENCE(_xlpm.e-_xlpm.s+1,1,_xlpm.s,1),SUM(1/COUNTIFS($D:$D,D410,$E:$E,E410,$F:$F,"&lt;&gt;N/A",$G:$G,"&lt;&gt;N/A",$F:$F,"&lt;="&amp;_xlpm.p,$G:$G,"&gt;="&amp;_xlpm.p)))))</f>
        <v>6</v>
      </c>
      <c r="I410" t="s">
        <v>2573</v>
      </c>
      <c r="J410" t="s">
        <v>4360</v>
      </c>
      <c r="K410" t="s">
        <v>7</v>
      </c>
      <c r="L410" s="5" t="s">
        <v>7</v>
      </c>
      <c r="M410" s="5" t="s">
        <v>7</v>
      </c>
      <c r="N410" t="s">
        <v>8061</v>
      </c>
      <c r="O410" s="5" t="s">
        <v>5072</v>
      </c>
      <c r="P410" s="5" t="s">
        <v>8021</v>
      </c>
      <c r="R410" t="b">
        <v>1</v>
      </c>
    </row>
    <row r="411" spans="1:18">
      <c r="A411" t="s">
        <v>3015</v>
      </c>
      <c r="B411" t="s">
        <v>5985</v>
      </c>
      <c r="C411" t="s">
        <v>7729</v>
      </c>
      <c r="D411" s="1">
        <v>4</v>
      </c>
      <c r="E411" s="1">
        <v>10</v>
      </c>
      <c r="F411" s="1">
        <v>305</v>
      </c>
      <c r="G411" s="1">
        <v>314</v>
      </c>
      <c r="H411" s="17" cm="1">
        <f t="array" ref="H411">_xlfn.LET(_xlpm.s,IFERROR(--F411,""),_xlpm.e,IFERROR(--G411,""),IF(OR(_xlpm.s="",_xlpm.e="",_xlpm.e&lt;_xlpm.s),"",_xlfn.LET(_xlpm.p,_xlfn.SEQUENCE(_xlpm.e-_xlpm.s+1,1,_xlpm.s,1),SUM(1/COUNTIFS($D:$D,D411,$E:$E,E411,$F:$F,"&lt;&gt;N/A",$G:$G,"&lt;&gt;N/A",$F:$F,"&lt;="&amp;_xlpm.p,$G:$G,"&gt;="&amp;_xlpm.p)))))</f>
        <v>9</v>
      </c>
      <c r="I411" t="s">
        <v>2581</v>
      </c>
      <c r="J411" t="s">
        <v>6539</v>
      </c>
      <c r="K411" t="s">
        <v>7</v>
      </c>
      <c r="L411" s="5" t="s">
        <v>5234</v>
      </c>
      <c r="M411" t="s">
        <v>6547</v>
      </c>
      <c r="N411" t="s">
        <v>6620</v>
      </c>
      <c r="O411" s="5" t="s">
        <v>5072</v>
      </c>
      <c r="P411" s="5" t="s">
        <v>8021</v>
      </c>
      <c r="Q411" s="5" t="s">
        <v>2509</v>
      </c>
      <c r="R411" t="b">
        <v>1</v>
      </c>
    </row>
    <row r="412" spans="1:18">
      <c r="A412" t="s">
        <v>3015</v>
      </c>
      <c r="B412" t="s">
        <v>5986</v>
      </c>
      <c r="C412" t="s">
        <v>7729</v>
      </c>
      <c r="D412" s="1">
        <v>4</v>
      </c>
      <c r="E412" s="1">
        <v>10</v>
      </c>
      <c r="F412" s="1">
        <v>314</v>
      </c>
      <c r="G412" s="1">
        <v>315</v>
      </c>
      <c r="H412" s="17" cm="1">
        <f t="array" ref="H412">_xlfn.LET(_xlpm.s,IFERROR(--F412,""),_xlpm.e,IFERROR(--G412,""),IF(OR(_xlpm.s="",_xlpm.e="",_xlpm.e&lt;_xlpm.s),"",_xlfn.LET(_xlpm.p,_xlfn.SEQUENCE(_xlpm.e-_xlpm.s+1,1,_xlpm.s,1),SUM(1/COUNTIFS($D:$D,D412,$E:$E,E412,$F:$F,"&lt;&gt;N/A",$G:$G,"&lt;&gt;N/A",$F:$F,"&lt;="&amp;_xlpm.p,$G:$G,"&gt;="&amp;_xlpm.p)))))</f>
        <v>1.5</v>
      </c>
      <c r="I412" t="s">
        <v>624</v>
      </c>
      <c r="J412" t="s">
        <v>2646</v>
      </c>
      <c r="K412" t="s">
        <v>7</v>
      </c>
      <c r="L412" s="5" t="s">
        <v>4637</v>
      </c>
      <c r="M412" s="5" t="s">
        <v>7</v>
      </c>
      <c r="N412" t="s">
        <v>8066</v>
      </c>
      <c r="O412" s="5" t="s">
        <v>5072</v>
      </c>
      <c r="P412" s="5" t="s">
        <v>8021</v>
      </c>
      <c r="Q412" s="5" t="s">
        <v>2509</v>
      </c>
      <c r="R412" t="b">
        <v>1</v>
      </c>
    </row>
    <row r="413" spans="1:18">
      <c r="A413" t="s">
        <v>3015</v>
      </c>
      <c r="B413" t="s">
        <v>5987</v>
      </c>
      <c r="C413" t="s">
        <v>7729</v>
      </c>
      <c r="D413" s="1">
        <v>4</v>
      </c>
      <c r="E413" s="1">
        <v>10</v>
      </c>
      <c r="F413" s="1">
        <v>316</v>
      </c>
      <c r="G413" s="1">
        <v>317</v>
      </c>
      <c r="H413" s="17" cm="1">
        <f t="array" ref="H413">_xlfn.LET(_xlpm.s,IFERROR(--F413,""),_xlpm.e,IFERROR(--G413,""),IF(OR(_xlpm.s="",_xlpm.e="",_xlpm.e&lt;_xlpm.s),"",_xlfn.LET(_xlpm.p,_xlfn.SEQUENCE(_xlpm.e-_xlpm.s+1,1,_xlpm.s,1),SUM(1/COUNTIFS($D:$D,D413,$E:$E,E413,$F:$F,"&lt;&gt;N/A",$G:$G,"&lt;&gt;N/A",$F:$F,"&lt;="&amp;_xlpm.p,$G:$G,"&gt;="&amp;_xlpm.p)))))</f>
        <v>2</v>
      </c>
      <c r="I413" t="s">
        <v>624</v>
      </c>
      <c r="J413" t="s">
        <v>4361</v>
      </c>
      <c r="K413" t="s">
        <v>7</v>
      </c>
      <c r="L413" s="5" t="s">
        <v>5234</v>
      </c>
      <c r="M413" t="s">
        <v>5235</v>
      </c>
      <c r="N413" t="s">
        <v>6621</v>
      </c>
      <c r="O413" s="5" t="s">
        <v>5072</v>
      </c>
      <c r="P413" s="5" t="s">
        <v>8021</v>
      </c>
      <c r="Q413" s="5" t="s">
        <v>2509</v>
      </c>
      <c r="R413" t="b">
        <v>1</v>
      </c>
    </row>
    <row r="414" spans="1:18">
      <c r="A414" t="s">
        <v>3015</v>
      </c>
      <c r="B414" t="s">
        <v>5988</v>
      </c>
      <c r="C414" t="s">
        <v>7729</v>
      </c>
      <c r="D414" s="1">
        <v>4</v>
      </c>
      <c r="E414" s="1">
        <v>10</v>
      </c>
      <c r="F414" s="1">
        <v>318</v>
      </c>
      <c r="G414" s="1">
        <v>318</v>
      </c>
      <c r="H414" s="17" cm="1">
        <f t="array" ref="H414">_xlfn.LET(_xlpm.s,IFERROR(--F414,""),_xlpm.e,IFERROR(--G414,""),IF(OR(_xlpm.s="",_xlpm.e="",_xlpm.e&lt;_xlpm.s),"",_xlfn.LET(_xlpm.p,_xlfn.SEQUENCE(_xlpm.e-_xlpm.s+1,1,_xlpm.s,1),SUM(1/COUNTIFS($D:$D,D414,$E:$E,E414,$F:$F,"&lt;&gt;N/A",$G:$G,"&lt;&gt;N/A",$F:$F,"&lt;="&amp;_xlpm.p,$G:$G,"&gt;="&amp;_xlpm.p)))))</f>
        <v>1</v>
      </c>
      <c r="I414" t="s">
        <v>624</v>
      </c>
      <c r="J414" t="s">
        <v>4362</v>
      </c>
      <c r="K414" t="s">
        <v>7</v>
      </c>
      <c r="L414" s="5" t="s">
        <v>5234</v>
      </c>
      <c r="M414" t="s">
        <v>5467</v>
      </c>
      <c r="N414" t="s">
        <v>6622</v>
      </c>
      <c r="O414" s="5" t="s">
        <v>5072</v>
      </c>
      <c r="P414" s="5" t="s">
        <v>8021</v>
      </c>
      <c r="Q414" s="5" t="s">
        <v>2509</v>
      </c>
      <c r="R414" t="b">
        <v>1</v>
      </c>
    </row>
    <row r="415" spans="1:18">
      <c r="A415" t="s">
        <v>3015</v>
      </c>
      <c r="B415" t="s">
        <v>5989</v>
      </c>
      <c r="C415" t="s">
        <v>7729</v>
      </c>
      <c r="D415" s="1">
        <v>4</v>
      </c>
      <c r="E415" s="1">
        <v>10</v>
      </c>
      <c r="F415" s="1">
        <v>319</v>
      </c>
      <c r="G415" s="1">
        <v>320</v>
      </c>
      <c r="H415" s="17" cm="1">
        <f t="array" ref="H415">_xlfn.LET(_xlpm.s,IFERROR(--F415,""),_xlpm.e,IFERROR(--G415,""),IF(OR(_xlpm.s="",_xlpm.e="",_xlpm.e&lt;_xlpm.s),"",_xlfn.LET(_xlpm.p,_xlfn.SEQUENCE(_xlpm.e-_xlpm.s+1,1,_xlpm.s,1),SUM(1/COUNTIFS($D:$D,D415,$E:$E,E415,$F:$F,"&lt;&gt;N/A",$G:$G,"&lt;&gt;N/A",$F:$F,"&lt;="&amp;_xlpm.p,$G:$G,"&gt;="&amp;_xlpm.p)))))</f>
        <v>2</v>
      </c>
      <c r="I415" t="s">
        <v>170</v>
      </c>
      <c r="J415" t="s">
        <v>4363</v>
      </c>
      <c r="K415" t="s">
        <v>7</v>
      </c>
      <c r="L415" s="5" t="s">
        <v>5234</v>
      </c>
      <c r="M415" t="s">
        <v>6546</v>
      </c>
      <c r="N415" t="s">
        <v>6623</v>
      </c>
      <c r="O415" s="5" t="s">
        <v>5072</v>
      </c>
      <c r="P415" s="5" t="s">
        <v>8021</v>
      </c>
      <c r="Q415" s="5" t="s">
        <v>2509</v>
      </c>
      <c r="R415" t="b">
        <v>1</v>
      </c>
    </row>
    <row r="416" spans="1:18">
      <c r="A416" t="s">
        <v>3015</v>
      </c>
      <c r="B416" t="s">
        <v>5990</v>
      </c>
      <c r="C416" t="s">
        <v>7730</v>
      </c>
      <c r="D416" s="1">
        <v>4</v>
      </c>
      <c r="E416" s="1">
        <v>11</v>
      </c>
      <c r="F416" s="1">
        <v>321</v>
      </c>
      <c r="G416" s="1">
        <v>332</v>
      </c>
      <c r="H416" s="17" cm="1">
        <f t="array" ref="H416">_xlfn.LET(_xlpm.s,IFERROR(--F416,""),_xlpm.e,IFERROR(--G416,""),IF(OR(_xlpm.s="",_xlpm.e="",_xlpm.e&lt;_xlpm.s),"",_xlfn.LET(_xlpm.p,_xlfn.SEQUENCE(_xlpm.e-_xlpm.s+1,1,_xlpm.s,1),SUM(1/COUNTIFS($D:$D,D416,$E:$E,E416,$F:$F,"&lt;&gt;N/A",$G:$G,"&lt;&gt;N/A",$F:$F,"&lt;="&amp;_xlpm.p,$G:$G,"&gt;="&amp;_xlpm.p)))))</f>
        <v>11.5</v>
      </c>
      <c r="I416" t="s">
        <v>8</v>
      </c>
      <c r="J416" t="s">
        <v>6544</v>
      </c>
      <c r="K416" t="s">
        <v>5244</v>
      </c>
      <c r="L416" t="s">
        <v>7</v>
      </c>
      <c r="M416" t="s">
        <v>6548</v>
      </c>
      <c r="N416" t="s">
        <v>6912</v>
      </c>
      <c r="O416" s="5" t="s">
        <v>5072</v>
      </c>
      <c r="P416" s="5" t="s">
        <v>8021</v>
      </c>
      <c r="R416" t="b">
        <v>1</v>
      </c>
    </row>
    <row r="417" spans="1:18">
      <c r="A417" t="s">
        <v>3015</v>
      </c>
      <c r="B417" t="s">
        <v>5991</v>
      </c>
      <c r="C417" t="s">
        <v>7730</v>
      </c>
      <c r="D417" s="1">
        <v>4</v>
      </c>
      <c r="E417" s="1">
        <v>11</v>
      </c>
      <c r="F417" s="1">
        <v>332</v>
      </c>
      <c r="G417" s="1">
        <v>334</v>
      </c>
      <c r="H417" s="17" cm="1">
        <f t="array" ref="H417">_xlfn.LET(_xlpm.s,IFERROR(--F417,""),_xlpm.e,IFERROR(--G417,""),IF(OR(_xlpm.s="",_xlpm.e="",_xlpm.e&lt;_xlpm.s),"",_xlfn.LET(_xlpm.p,_xlfn.SEQUENCE(_xlpm.e-_xlpm.s+1,1,_xlpm.s,1),SUM(1/COUNTIFS($D:$D,D417,$E:$E,E417,$F:$F,"&lt;&gt;N/A",$G:$G,"&lt;&gt;N/A",$F:$F,"&lt;="&amp;_xlpm.p,$G:$G,"&gt;="&amp;_xlpm.p)))))</f>
        <v>2</v>
      </c>
      <c r="I417" t="s">
        <v>2580</v>
      </c>
      <c r="J417" t="s">
        <v>2647</v>
      </c>
      <c r="K417" t="s">
        <v>7</v>
      </c>
      <c r="L417" s="5" t="s">
        <v>5234</v>
      </c>
      <c r="M417" t="s">
        <v>5467</v>
      </c>
      <c r="N417" t="s">
        <v>6619</v>
      </c>
      <c r="O417" s="5" t="s">
        <v>5072</v>
      </c>
      <c r="P417" s="5" t="s">
        <v>8021</v>
      </c>
      <c r="R417" t="b">
        <v>1</v>
      </c>
    </row>
    <row r="418" spans="1:18">
      <c r="A418" t="s">
        <v>3015</v>
      </c>
      <c r="B418" t="s">
        <v>5992</v>
      </c>
      <c r="C418" t="s">
        <v>7730</v>
      </c>
      <c r="D418" s="1">
        <v>4</v>
      </c>
      <c r="E418" s="1">
        <v>11</v>
      </c>
      <c r="F418" s="1">
        <v>334</v>
      </c>
      <c r="G418" s="1">
        <v>340</v>
      </c>
      <c r="H418" s="17" cm="1">
        <f t="array" ref="H418">_xlfn.LET(_xlpm.s,IFERROR(--F418,""),_xlpm.e,IFERROR(--G418,""),IF(OR(_xlpm.s="",_xlpm.e="",_xlpm.e&lt;_xlpm.s),"",_xlfn.LET(_xlpm.p,_xlfn.SEQUENCE(_xlpm.e-_xlpm.s+1,1,_xlpm.s,1),SUM(1/COUNTIFS($D:$D,D418,$E:$E,E418,$F:$F,"&lt;&gt;N/A",$G:$G,"&lt;&gt;N/A",$F:$F,"&lt;="&amp;_xlpm.p,$G:$G,"&gt;="&amp;_xlpm.p)))))</f>
        <v>6</v>
      </c>
      <c r="I418" t="s">
        <v>2581</v>
      </c>
      <c r="J418" t="s">
        <v>4364</v>
      </c>
      <c r="K418" t="s">
        <v>7</v>
      </c>
      <c r="L418" s="5" t="s">
        <v>4637</v>
      </c>
      <c r="M418" s="5" t="s">
        <v>7</v>
      </c>
      <c r="N418" t="s">
        <v>8066</v>
      </c>
      <c r="O418" s="5" t="s">
        <v>5072</v>
      </c>
      <c r="P418" s="5" t="s">
        <v>8021</v>
      </c>
      <c r="R418" t="b">
        <v>1</v>
      </c>
    </row>
    <row r="419" spans="1:18">
      <c r="A419" t="s">
        <v>3015</v>
      </c>
      <c r="B419" t="s">
        <v>5993</v>
      </c>
      <c r="C419" t="s">
        <v>7730</v>
      </c>
      <c r="D419" s="1">
        <v>4</v>
      </c>
      <c r="E419" s="1">
        <v>11</v>
      </c>
      <c r="F419" s="1">
        <v>340</v>
      </c>
      <c r="G419" s="1">
        <v>343</v>
      </c>
      <c r="H419" s="17" cm="1">
        <f t="array" ref="H419">_xlfn.LET(_xlpm.s,IFERROR(--F419,""),_xlpm.e,IFERROR(--G419,""),IF(OR(_xlpm.s="",_xlpm.e="",_xlpm.e&lt;_xlpm.s),"",_xlfn.LET(_xlpm.p,_xlfn.SEQUENCE(_xlpm.e-_xlpm.s+1,1,_xlpm.s,1),SUM(1/COUNTIFS($D:$D,D419,$E:$E,E419,$F:$F,"&lt;&gt;N/A",$G:$G,"&lt;&gt;N/A",$F:$F,"&lt;="&amp;_xlpm.p,$G:$G,"&gt;="&amp;_xlpm.p)))))</f>
        <v>3</v>
      </c>
      <c r="I419" t="s">
        <v>2581</v>
      </c>
      <c r="J419" t="s">
        <v>6541</v>
      </c>
      <c r="K419" t="s">
        <v>7</v>
      </c>
      <c r="L419" s="5" t="s">
        <v>4637</v>
      </c>
      <c r="M419" s="5" t="s">
        <v>7</v>
      </c>
      <c r="N419" t="s">
        <v>8066</v>
      </c>
      <c r="O419" s="5" t="s">
        <v>5072</v>
      </c>
      <c r="P419" s="5" t="s">
        <v>8021</v>
      </c>
      <c r="R419" t="b">
        <v>1</v>
      </c>
    </row>
    <row r="420" spans="1:18">
      <c r="A420" t="s">
        <v>3015</v>
      </c>
      <c r="B420" t="s">
        <v>5994</v>
      </c>
      <c r="C420" t="s">
        <v>7730</v>
      </c>
      <c r="D420" s="1">
        <v>4</v>
      </c>
      <c r="E420" s="1">
        <v>11</v>
      </c>
      <c r="F420" s="1">
        <v>343</v>
      </c>
      <c r="G420" s="1">
        <v>346</v>
      </c>
      <c r="H420" s="17" cm="1">
        <f t="array" ref="H420">_xlfn.LET(_xlpm.s,IFERROR(--F420,""),_xlpm.e,IFERROR(--G420,""),IF(OR(_xlpm.s="",_xlpm.e="",_xlpm.e&lt;_xlpm.s),"",_xlfn.LET(_xlpm.p,_xlfn.SEQUENCE(_xlpm.e-_xlpm.s+1,1,_xlpm.s,1),SUM(1/COUNTIFS($D:$D,D420,$E:$E,E420,$F:$F,"&lt;&gt;N/A",$G:$G,"&lt;&gt;N/A",$F:$F,"&lt;="&amp;_xlpm.p,$G:$G,"&gt;="&amp;_xlpm.p)))))</f>
        <v>3.5</v>
      </c>
      <c r="I420" t="s">
        <v>2581</v>
      </c>
      <c r="J420" t="s">
        <v>6542</v>
      </c>
      <c r="K420" t="s">
        <v>7</v>
      </c>
      <c r="L420" s="5" t="s">
        <v>4603</v>
      </c>
      <c r="M420" t="s">
        <v>6545</v>
      </c>
      <c r="N420" t="s">
        <v>6618</v>
      </c>
      <c r="O420" s="5" t="s">
        <v>5072</v>
      </c>
      <c r="P420" s="5" t="s">
        <v>8021</v>
      </c>
      <c r="R420" t="b">
        <v>1</v>
      </c>
    </row>
    <row r="421" spans="1:18">
      <c r="A421" t="s">
        <v>3015</v>
      </c>
      <c r="B421" t="s">
        <v>5995</v>
      </c>
      <c r="C421" t="s">
        <v>7730</v>
      </c>
      <c r="D421" s="1">
        <v>4</v>
      </c>
      <c r="E421" s="1">
        <v>11</v>
      </c>
      <c r="F421" s="1">
        <v>347</v>
      </c>
      <c r="G421" s="1">
        <v>347</v>
      </c>
      <c r="H421" s="17" cm="1">
        <f t="array" ref="H421">_xlfn.LET(_xlpm.s,IFERROR(--F421,""),_xlpm.e,IFERROR(--G421,""),IF(OR(_xlpm.s="",_xlpm.e="",_xlpm.e&lt;_xlpm.s),"",_xlfn.LET(_xlpm.p,_xlfn.SEQUENCE(_xlpm.e-_xlpm.s+1,1,_xlpm.s,1),SUM(1/COUNTIFS($D:$D,D421,$E:$E,E421,$F:$F,"&lt;&gt;N/A",$G:$G,"&lt;&gt;N/A",$F:$F,"&lt;="&amp;_xlpm.p,$G:$G,"&gt;="&amp;_xlpm.p)))))</f>
        <v>0.5</v>
      </c>
      <c r="I421" t="s">
        <v>2581</v>
      </c>
      <c r="J421" t="s">
        <v>6543</v>
      </c>
      <c r="K421" t="s">
        <v>7</v>
      </c>
      <c r="L421" t="s">
        <v>7</v>
      </c>
      <c r="M421" t="s">
        <v>6545</v>
      </c>
      <c r="N421" t="s">
        <v>6617</v>
      </c>
      <c r="O421" s="5" t="s">
        <v>5072</v>
      </c>
      <c r="P421" s="5" t="s">
        <v>8021</v>
      </c>
      <c r="R421" t="b">
        <v>1</v>
      </c>
    </row>
    <row r="422" spans="1:18">
      <c r="A422" t="s">
        <v>3015</v>
      </c>
      <c r="B422" t="s">
        <v>5996</v>
      </c>
      <c r="C422" t="s">
        <v>7730</v>
      </c>
      <c r="D422" s="1">
        <v>4</v>
      </c>
      <c r="E422" s="1">
        <v>11</v>
      </c>
      <c r="F422" s="1">
        <v>347</v>
      </c>
      <c r="G422" s="1">
        <v>349</v>
      </c>
      <c r="H422" s="17" cm="1">
        <f t="array" ref="H422">_xlfn.LET(_xlpm.s,IFERROR(--F422,""),_xlpm.e,IFERROR(--G422,""),IF(OR(_xlpm.s="",_xlpm.e="",_xlpm.e&lt;_xlpm.s),"",_xlfn.LET(_xlpm.p,_xlfn.SEQUENCE(_xlpm.e-_xlpm.s+1,1,_xlpm.s,1),SUM(1/COUNTIFS($D:$D,D422,$E:$E,E422,$F:$F,"&lt;&gt;N/A",$G:$G,"&lt;&gt;N/A",$F:$F,"&lt;="&amp;_xlpm.p,$G:$G,"&gt;="&amp;_xlpm.p)))))</f>
        <v>1.8333333333333333</v>
      </c>
      <c r="I422" t="s">
        <v>624</v>
      </c>
      <c r="J422" t="s">
        <v>5243</v>
      </c>
      <c r="K422" t="s">
        <v>7</v>
      </c>
      <c r="L422" t="s">
        <v>5326</v>
      </c>
      <c r="M422" s="5" t="s">
        <v>7</v>
      </c>
      <c r="N422" s="5" t="s">
        <v>7</v>
      </c>
      <c r="O422" s="5" t="s">
        <v>11522</v>
      </c>
      <c r="P422" s="5" t="s">
        <v>8092</v>
      </c>
      <c r="R422" t="b">
        <v>1</v>
      </c>
    </row>
    <row r="423" spans="1:18">
      <c r="A423" t="s">
        <v>3015</v>
      </c>
      <c r="B423" t="s">
        <v>5997</v>
      </c>
      <c r="C423" t="s">
        <v>7730</v>
      </c>
      <c r="D423" s="1">
        <v>4</v>
      </c>
      <c r="E423" s="1">
        <v>11</v>
      </c>
      <c r="F423" s="1">
        <v>349</v>
      </c>
      <c r="G423" s="1">
        <v>349</v>
      </c>
      <c r="H423" s="17" cm="1">
        <f t="array" ref="H423">_xlfn.LET(_xlpm.s,IFERROR(--F423,""),_xlpm.e,IFERROR(--G423,""),IF(OR(_xlpm.s="",_xlpm.e="",_xlpm.e&lt;_xlpm.s),"",_xlfn.LET(_xlpm.p,_xlfn.SEQUENCE(_xlpm.e-_xlpm.s+1,1,_xlpm.s,1),SUM(1/COUNTIFS($D:$D,D423,$E:$E,E423,$F:$F,"&lt;&gt;N/A",$G:$G,"&lt;&gt;N/A",$F:$F,"&lt;="&amp;_xlpm.p,$G:$G,"&gt;="&amp;_xlpm.p)))))</f>
        <v>0.33333333333333331</v>
      </c>
      <c r="I423" t="s">
        <v>624</v>
      </c>
      <c r="J423" t="s">
        <v>1791</v>
      </c>
      <c r="K423" t="s">
        <v>7</v>
      </c>
      <c r="L423" t="s">
        <v>5326</v>
      </c>
      <c r="M423" s="5" t="s">
        <v>7</v>
      </c>
      <c r="N423" s="5" t="s">
        <v>7</v>
      </c>
      <c r="O423" s="5" t="s">
        <v>11522</v>
      </c>
      <c r="P423" s="5" t="s">
        <v>8092</v>
      </c>
      <c r="R423" t="b">
        <v>1</v>
      </c>
    </row>
    <row r="424" spans="1:18">
      <c r="A424" t="s">
        <v>3015</v>
      </c>
      <c r="B424" t="s">
        <v>5998</v>
      </c>
      <c r="C424" t="s">
        <v>7730</v>
      </c>
      <c r="D424" s="1">
        <v>4</v>
      </c>
      <c r="E424" s="1">
        <v>11</v>
      </c>
      <c r="F424" s="1">
        <v>349</v>
      </c>
      <c r="G424" s="1">
        <v>350</v>
      </c>
      <c r="H424" s="17" cm="1">
        <f t="array" ref="H424">_xlfn.LET(_xlpm.s,IFERROR(--F424,""),_xlpm.e,IFERROR(--G424,""),IF(OR(_xlpm.s="",_xlpm.e="",_xlpm.e&lt;_xlpm.s),"",_xlfn.LET(_xlpm.p,_xlfn.SEQUENCE(_xlpm.e-_xlpm.s+1,1,_xlpm.s,1),SUM(1/COUNTIFS($D:$D,D424,$E:$E,E424,$F:$F,"&lt;&gt;N/A",$G:$G,"&lt;&gt;N/A",$F:$F,"&lt;="&amp;_xlpm.p,$G:$G,"&gt;="&amp;_xlpm.p)))))</f>
        <v>0.83333333333333326</v>
      </c>
      <c r="I424" t="s">
        <v>2581</v>
      </c>
      <c r="J424" t="s">
        <v>6540</v>
      </c>
      <c r="K424" t="s">
        <v>7</v>
      </c>
      <c r="L424" t="s">
        <v>5326</v>
      </c>
      <c r="M424" s="5" t="s">
        <v>7</v>
      </c>
      <c r="N424" s="5" t="s">
        <v>7</v>
      </c>
      <c r="O424" s="5" t="s">
        <v>11522</v>
      </c>
      <c r="P424" s="5" t="s">
        <v>8092</v>
      </c>
      <c r="R424" t="b">
        <v>1</v>
      </c>
    </row>
    <row r="425" spans="1:18">
      <c r="A425" t="s">
        <v>3015</v>
      </c>
      <c r="B425" t="s">
        <v>6771</v>
      </c>
      <c r="C425" t="s">
        <v>7730</v>
      </c>
      <c r="D425" s="1">
        <v>4</v>
      </c>
      <c r="E425" s="1">
        <v>11</v>
      </c>
      <c r="F425" s="1">
        <v>350</v>
      </c>
      <c r="G425" s="1">
        <v>350</v>
      </c>
      <c r="H425" s="17" cm="1">
        <f t="array" ref="H425">_xlfn.LET(_xlpm.s,IFERROR(--F425,""),_xlpm.e,IFERROR(--G425,""),IF(OR(_xlpm.s="",_xlpm.e="",_xlpm.e&lt;_xlpm.s),"",_xlfn.LET(_xlpm.p,_xlfn.SEQUENCE(_xlpm.e-_xlpm.s+1,1,_xlpm.s,1),SUM(1/COUNTIFS($D:$D,D425,$E:$E,E425,$F:$F,"&lt;&gt;N/A",$G:$G,"&lt;&gt;N/A",$F:$F,"&lt;="&amp;_xlpm.p,$G:$G,"&gt;="&amp;_xlpm.p)))))</f>
        <v>0.5</v>
      </c>
      <c r="I425" t="s">
        <v>624</v>
      </c>
      <c r="J425" t="s">
        <v>1795</v>
      </c>
      <c r="K425" t="s">
        <v>7</v>
      </c>
      <c r="L425" t="s">
        <v>5326</v>
      </c>
      <c r="M425" s="5" t="s">
        <v>7</v>
      </c>
      <c r="N425" s="5" t="s">
        <v>7</v>
      </c>
      <c r="O425" s="5" t="s">
        <v>11522</v>
      </c>
      <c r="P425" s="5" t="s">
        <v>8092</v>
      </c>
      <c r="R425" t="b">
        <v>1</v>
      </c>
    </row>
    <row r="426" spans="1:18">
      <c r="A426" t="s">
        <v>3015</v>
      </c>
      <c r="B426" t="s">
        <v>6772</v>
      </c>
      <c r="C426" t="s">
        <v>7730</v>
      </c>
      <c r="D426" s="1">
        <v>4</v>
      </c>
      <c r="E426" s="1">
        <v>11</v>
      </c>
      <c r="F426" s="1">
        <v>351</v>
      </c>
      <c r="G426" s="1">
        <v>352</v>
      </c>
      <c r="H426" s="17" cm="1">
        <f t="array" ref="H426">_xlfn.LET(_xlpm.s,IFERROR(--F426,""),_xlpm.e,IFERROR(--G426,""),IF(OR(_xlpm.s="",_xlpm.e="",_xlpm.e&lt;_xlpm.s),"",_xlfn.LET(_xlpm.p,_xlfn.SEQUENCE(_xlpm.e-_xlpm.s+1,1,_xlpm.s,1),SUM(1/COUNTIFS($D:$D,D426,$E:$E,E426,$F:$F,"&lt;&gt;N/A",$G:$G,"&lt;&gt;N/A",$F:$F,"&lt;="&amp;_xlpm.p,$G:$G,"&gt;="&amp;_xlpm.p)))))</f>
        <v>2</v>
      </c>
      <c r="I426" t="s">
        <v>2635</v>
      </c>
      <c r="J426" t="s">
        <v>2648</v>
      </c>
      <c r="K426" t="s">
        <v>7</v>
      </c>
      <c r="L426" t="s">
        <v>5326</v>
      </c>
      <c r="M426" t="s">
        <v>6546</v>
      </c>
      <c r="N426" t="s">
        <v>6616</v>
      </c>
      <c r="O426" s="5" t="s">
        <v>11522</v>
      </c>
      <c r="P426" s="5" t="s">
        <v>8021</v>
      </c>
      <c r="R426" t="b">
        <v>1</v>
      </c>
    </row>
    <row r="427" spans="1:18">
      <c r="A427" t="s">
        <v>3015</v>
      </c>
      <c r="B427" t="s">
        <v>6773</v>
      </c>
      <c r="C427" t="s">
        <v>7731</v>
      </c>
      <c r="D427" s="1">
        <v>4</v>
      </c>
      <c r="E427" s="1">
        <v>12</v>
      </c>
      <c r="F427" s="1">
        <v>353</v>
      </c>
      <c r="G427" s="1">
        <v>369</v>
      </c>
      <c r="H427" s="17" cm="1">
        <f t="array" ref="H427">_xlfn.LET(_xlpm.s,IFERROR(--F427,""),_xlpm.e,IFERROR(--G427,""),IF(OR(_xlpm.s="",_xlpm.e="",_xlpm.e&lt;_xlpm.s),"",_xlfn.LET(_xlpm.p,_xlfn.SEQUENCE(_xlpm.e-_xlpm.s+1,1,_xlpm.s,1),SUM(1/COUNTIFS($D:$D,D427,$E:$E,E427,$F:$F,"&lt;&gt;N/A",$G:$G,"&lt;&gt;N/A",$F:$F,"&lt;="&amp;_xlpm.p,$G:$G,"&gt;="&amp;_xlpm.p)))))</f>
        <v>17</v>
      </c>
      <c r="I427" t="s">
        <v>7</v>
      </c>
      <c r="J427" t="s">
        <v>1796</v>
      </c>
      <c r="K427" t="s">
        <v>2506</v>
      </c>
      <c r="L427" s="5" t="s">
        <v>7</v>
      </c>
      <c r="M427" t="s">
        <v>7</v>
      </c>
      <c r="N427" t="s">
        <v>7</v>
      </c>
      <c r="O427" s="5" t="s">
        <v>778</v>
      </c>
      <c r="P427" s="5" t="s">
        <v>7834</v>
      </c>
      <c r="R427" t="b">
        <v>1</v>
      </c>
    </row>
    <row r="428" spans="1:18">
      <c r="A428" t="s">
        <v>3015</v>
      </c>
      <c r="B428" t="s">
        <v>6774</v>
      </c>
      <c r="C428" t="s">
        <v>7731</v>
      </c>
      <c r="D428" s="1">
        <v>4</v>
      </c>
      <c r="E428" s="1">
        <v>12</v>
      </c>
      <c r="F428" s="1">
        <v>370</v>
      </c>
      <c r="G428" s="1">
        <v>380</v>
      </c>
      <c r="H428" s="17" cm="1">
        <f t="array" ref="H428">_xlfn.LET(_xlpm.s,IFERROR(--F428,""),_xlpm.e,IFERROR(--G428,""),IF(OR(_xlpm.s="",_xlpm.e="",_xlpm.e&lt;_xlpm.s),"",_xlfn.LET(_xlpm.p,_xlfn.SEQUENCE(_xlpm.e-_xlpm.s+1,1,_xlpm.s,1),SUM(1/COUNTIFS($D:$D,D428,$E:$E,E428,$F:$F,"&lt;&gt;N/A",$G:$G,"&lt;&gt;N/A",$F:$F,"&lt;="&amp;_xlpm.p,$G:$G,"&gt;="&amp;_xlpm.p)))))</f>
        <v>11</v>
      </c>
      <c r="I428" t="s">
        <v>2573</v>
      </c>
      <c r="J428" t="s">
        <v>6568</v>
      </c>
      <c r="K428" t="s">
        <v>7</v>
      </c>
      <c r="L428" s="5" t="s">
        <v>4636</v>
      </c>
      <c r="M428" s="5" t="s">
        <v>5397</v>
      </c>
      <c r="N428" t="s">
        <v>8067</v>
      </c>
      <c r="O428" s="5" t="s">
        <v>5072</v>
      </c>
      <c r="P428" s="5" t="s">
        <v>8021</v>
      </c>
      <c r="R428" t="b">
        <v>1</v>
      </c>
    </row>
    <row r="429" spans="1:18">
      <c r="A429" t="s">
        <v>3019</v>
      </c>
      <c r="B429" t="s">
        <v>5999</v>
      </c>
      <c r="C429" t="s">
        <v>7745</v>
      </c>
      <c r="D429" s="1">
        <v>5</v>
      </c>
      <c r="E429" s="1">
        <v>1</v>
      </c>
      <c r="F429" s="1">
        <v>1</v>
      </c>
      <c r="G429" s="1">
        <v>4</v>
      </c>
      <c r="H429" s="17" cm="1">
        <f t="array" ref="H429">_xlfn.LET(_xlpm.s,IFERROR(--F429,""),_xlpm.e,IFERROR(--G429,""),IF(OR(_xlpm.s="",_xlpm.e="",_xlpm.e&lt;_xlpm.s),"",_xlfn.LET(_xlpm.p,_xlfn.SEQUENCE(_xlpm.e-_xlpm.s+1,1,_xlpm.s,1),SUM(1/COUNTIFS($D:$D,D429,$E:$E,E429,$F:$F,"&lt;&gt;N/A",$G:$G,"&lt;&gt;N/A",$F:$F,"&lt;="&amp;_xlpm.p,$G:$G,"&gt;="&amp;_xlpm.p)))))</f>
        <v>3.5</v>
      </c>
      <c r="I429" t="s">
        <v>5405</v>
      </c>
      <c r="J429" t="s">
        <v>1797</v>
      </c>
      <c r="K429" t="s">
        <v>7</v>
      </c>
      <c r="L429" s="5" t="s">
        <v>7</v>
      </c>
      <c r="M429" t="s">
        <v>7</v>
      </c>
      <c r="N429" t="s">
        <v>7</v>
      </c>
      <c r="O429" s="5" t="s">
        <v>778</v>
      </c>
      <c r="P429" s="5" t="s">
        <v>7834</v>
      </c>
      <c r="R429" t="b">
        <v>1</v>
      </c>
    </row>
    <row r="430" spans="1:18">
      <c r="A430" t="s">
        <v>3019</v>
      </c>
      <c r="B430" t="s">
        <v>6000</v>
      </c>
      <c r="C430" t="s">
        <v>7745</v>
      </c>
      <c r="D430" s="1">
        <v>5</v>
      </c>
      <c r="E430" s="1">
        <v>1</v>
      </c>
      <c r="F430" s="1">
        <v>4</v>
      </c>
      <c r="G430" s="1">
        <v>10</v>
      </c>
      <c r="H430" s="17" cm="1">
        <f t="array" ref="H430">_xlfn.LET(_xlpm.s,IFERROR(--F430,""),_xlpm.e,IFERROR(--G430,""),IF(OR(_xlpm.s="",_xlpm.e="",_xlpm.e&lt;_xlpm.s),"",_xlfn.LET(_xlpm.p,_xlfn.SEQUENCE(_xlpm.e-_xlpm.s+1,1,_xlpm.s,1),SUM(1/COUNTIFS($D:$D,D430,$E:$E,E430,$F:$F,"&lt;&gt;N/A",$G:$G,"&lt;&gt;N/A",$F:$F,"&lt;="&amp;_xlpm.p,$G:$G,"&gt;="&amp;_xlpm.p)))))</f>
        <v>6</v>
      </c>
      <c r="I430" t="s">
        <v>5405</v>
      </c>
      <c r="J430" t="s">
        <v>1798</v>
      </c>
      <c r="K430" t="s">
        <v>7</v>
      </c>
      <c r="L430" s="5" t="s">
        <v>7</v>
      </c>
      <c r="M430" t="s">
        <v>7</v>
      </c>
      <c r="N430" t="s">
        <v>7</v>
      </c>
      <c r="O430" s="5" t="s">
        <v>778</v>
      </c>
      <c r="P430" s="5" t="s">
        <v>7834</v>
      </c>
      <c r="R430" t="b">
        <v>0</v>
      </c>
    </row>
    <row r="431" spans="1:18">
      <c r="A431" t="s">
        <v>3019</v>
      </c>
      <c r="B431" t="s">
        <v>6001</v>
      </c>
      <c r="C431" t="s">
        <v>7745</v>
      </c>
      <c r="D431" s="1">
        <v>5</v>
      </c>
      <c r="E431" s="1">
        <v>1</v>
      </c>
      <c r="F431" s="1">
        <v>10</v>
      </c>
      <c r="G431" s="1">
        <v>13</v>
      </c>
      <c r="H431" s="17" cm="1">
        <f t="array" ref="H431">_xlfn.LET(_xlpm.s,IFERROR(--F431,""),_xlpm.e,IFERROR(--G431,""),IF(OR(_xlpm.s="",_xlpm.e="",_xlpm.e&lt;_xlpm.s),"",_xlfn.LET(_xlpm.p,_xlfn.SEQUENCE(_xlpm.e-_xlpm.s+1,1,_xlpm.s,1),SUM(1/COUNTIFS($D:$D,D431,$E:$E,E431,$F:$F,"&lt;&gt;N/A",$G:$G,"&lt;&gt;N/A",$F:$F,"&lt;="&amp;_xlpm.p,$G:$G,"&gt;="&amp;_xlpm.p)))))</f>
        <v>3</v>
      </c>
      <c r="I431" t="s">
        <v>5405</v>
      </c>
      <c r="J431" t="s">
        <v>11397</v>
      </c>
      <c r="K431" t="s">
        <v>7</v>
      </c>
      <c r="L431" s="5" t="s">
        <v>7</v>
      </c>
      <c r="M431" t="s">
        <v>7</v>
      </c>
      <c r="N431" t="s">
        <v>7</v>
      </c>
      <c r="O431" s="5" t="s">
        <v>778</v>
      </c>
      <c r="P431" s="5" t="s">
        <v>7834</v>
      </c>
      <c r="R431" t="b">
        <v>0</v>
      </c>
    </row>
    <row r="432" spans="1:18">
      <c r="A432" t="s">
        <v>3019</v>
      </c>
      <c r="B432" t="s">
        <v>6002</v>
      </c>
      <c r="C432" t="s">
        <v>7745</v>
      </c>
      <c r="D432" s="1">
        <v>5</v>
      </c>
      <c r="E432" s="1">
        <v>1</v>
      </c>
      <c r="F432" s="1">
        <v>13</v>
      </c>
      <c r="G432" s="1">
        <v>14</v>
      </c>
      <c r="H432" s="17" cm="1">
        <f t="array" ref="H432">_xlfn.LET(_xlpm.s,IFERROR(--F432,""),_xlpm.e,IFERROR(--G432,""),IF(OR(_xlpm.s="",_xlpm.e="",_xlpm.e&lt;_xlpm.s),"",_xlfn.LET(_xlpm.p,_xlfn.SEQUENCE(_xlpm.e-_xlpm.s+1,1,_xlpm.s,1),SUM(1/COUNTIFS($D:$D,D432,$E:$E,E432,$F:$F,"&lt;&gt;N/A",$G:$G,"&lt;&gt;N/A",$F:$F,"&lt;="&amp;_xlpm.p,$G:$G,"&gt;="&amp;_xlpm.p)))))</f>
        <v>1.5</v>
      </c>
      <c r="I432" t="s">
        <v>5405</v>
      </c>
      <c r="J432" t="s">
        <v>1799</v>
      </c>
      <c r="K432" t="s">
        <v>7</v>
      </c>
      <c r="L432" s="5" t="s">
        <v>7</v>
      </c>
      <c r="M432" t="s">
        <v>7</v>
      </c>
      <c r="N432" t="s">
        <v>7</v>
      </c>
      <c r="O432" s="5" t="s">
        <v>778</v>
      </c>
      <c r="P432" s="5" t="s">
        <v>7834</v>
      </c>
      <c r="R432" t="b">
        <v>0</v>
      </c>
    </row>
    <row r="433" spans="1:18">
      <c r="A433" t="s">
        <v>3019</v>
      </c>
      <c r="B433" t="s">
        <v>6003</v>
      </c>
      <c r="C433" t="s">
        <v>7745</v>
      </c>
      <c r="D433" s="1">
        <v>5</v>
      </c>
      <c r="E433" s="1">
        <v>1</v>
      </c>
      <c r="F433" s="1">
        <v>15</v>
      </c>
      <c r="G433" s="1">
        <v>26</v>
      </c>
      <c r="H433" s="17" cm="1">
        <f t="array" ref="H433">_xlfn.LET(_xlpm.s,IFERROR(--F433,""),_xlpm.e,IFERROR(--G433,""),IF(OR(_xlpm.s="",_xlpm.e="",_xlpm.e&lt;_xlpm.s),"",_xlfn.LET(_xlpm.p,_xlfn.SEQUENCE(_xlpm.e-_xlpm.s+1,1,_xlpm.s,1),SUM(1/COUNTIFS($D:$D,D433,$E:$E,E433,$F:$F,"&lt;&gt;N/A",$G:$G,"&lt;&gt;N/A",$F:$F,"&lt;="&amp;_xlpm.p,$G:$G,"&gt;="&amp;_xlpm.p)))))</f>
        <v>11.5</v>
      </c>
      <c r="I433" t="s">
        <v>5405</v>
      </c>
      <c r="J433" t="s">
        <v>5406</v>
      </c>
      <c r="K433" t="s">
        <v>2504</v>
      </c>
      <c r="L433" s="5" t="s">
        <v>7</v>
      </c>
      <c r="M433" t="s">
        <v>7</v>
      </c>
      <c r="N433" t="s">
        <v>7</v>
      </c>
      <c r="O433" s="5" t="s">
        <v>778</v>
      </c>
      <c r="P433" s="5" t="s">
        <v>7834</v>
      </c>
      <c r="R433" t="b">
        <v>1</v>
      </c>
    </row>
    <row r="434" spans="1:18">
      <c r="A434" t="s">
        <v>3019</v>
      </c>
      <c r="B434" t="s">
        <v>6775</v>
      </c>
      <c r="C434" t="s">
        <v>7745</v>
      </c>
      <c r="D434" s="1">
        <v>5</v>
      </c>
      <c r="E434" s="1">
        <v>1</v>
      </c>
      <c r="F434" s="1">
        <v>26</v>
      </c>
      <c r="G434" s="1">
        <v>30</v>
      </c>
      <c r="H434" s="17" cm="1">
        <f t="array" ref="H434">_xlfn.LET(_xlpm.s,IFERROR(--F434,""),_xlpm.e,IFERROR(--G434,""),IF(OR(_xlpm.s="",_xlpm.e="",_xlpm.e&lt;_xlpm.s),"",_xlfn.LET(_xlpm.p,_xlfn.SEQUENCE(_xlpm.e-_xlpm.s+1,1,_xlpm.s,1),SUM(1/COUNTIFS($D:$D,D434,$E:$E,E434,$F:$F,"&lt;&gt;N/A",$G:$G,"&lt;&gt;N/A",$F:$F,"&lt;="&amp;_xlpm.p,$G:$G,"&gt;="&amp;_xlpm.p)))))</f>
        <v>4</v>
      </c>
      <c r="I434" t="s">
        <v>2581</v>
      </c>
      <c r="J434" t="s">
        <v>1800</v>
      </c>
      <c r="K434" t="s">
        <v>7</v>
      </c>
      <c r="L434" s="5" t="s">
        <v>5326</v>
      </c>
      <c r="M434" t="s">
        <v>5420</v>
      </c>
      <c r="N434" t="s">
        <v>5421</v>
      </c>
      <c r="O434" s="5" t="s">
        <v>5072</v>
      </c>
      <c r="P434" s="5" t="s">
        <v>8092</v>
      </c>
      <c r="Q434" s="5" t="s">
        <v>2509</v>
      </c>
      <c r="R434" t="b">
        <v>1</v>
      </c>
    </row>
    <row r="435" spans="1:18">
      <c r="A435" t="s">
        <v>3019</v>
      </c>
      <c r="B435" t="s">
        <v>6776</v>
      </c>
      <c r="C435" t="s">
        <v>7745</v>
      </c>
      <c r="D435" s="1">
        <v>5</v>
      </c>
      <c r="E435" s="1">
        <v>1</v>
      </c>
      <c r="F435" s="1">
        <v>30</v>
      </c>
      <c r="G435" s="1">
        <v>32</v>
      </c>
      <c r="H435" s="17" cm="1">
        <f t="array" ref="H435">_xlfn.LET(_xlpm.s,IFERROR(--F435,""),_xlpm.e,IFERROR(--G435,""),IF(OR(_xlpm.s="",_xlpm.e="",_xlpm.e&lt;_xlpm.s),"",_xlfn.LET(_xlpm.p,_xlfn.SEQUENCE(_xlpm.e-_xlpm.s+1,1,_xlpm.s,1),SUM(1/COUNTIFS($D:$D,D435,$E:$E,E435,$F:$F,"&lt;&gt;N/A",$G:$G,"&lt;&gt;N/A",$F:$F,"&lt;="&amp;_xlpm.p,$G:$G,"&gt;="&amp;_xlpm.p)))))</f>
        <v>2.5</v>
      </c>
      <c r="I435" t="s">
        <v>2581</v>
      </c>
      <c r="J435" t="s">
        <v>4345</v>
      </c>
      <c r="K435" t="s">
        <v>7</v>
      </c>
      <c r="L435" s="5" t="s">
        <v>5234</v>
      </c>
      <c r="M435" t="s">
        <v>5119</v>
      </c>
      <c r="N435" t="s">
        <v>5422</v>
      </c>
      <c r="O435" s="5" t="s">
        <v>5072</v>
      </c>
      <c r="P435" s="5" t="s">
        <v>8021</v>
      </c>
      <c r="Q435" s="5" t="s">
        <v>2509</v>
      </c>
      <c r="R435" t="b">
        <v>1</v>
      </c>
    </row>
    <row r="436" spans="1:18">
      <c r="A436" t="s">
        <v>3019</v>
      </c>
      <c r="B436" t="s">
        <v>6004</v>
      </c>
      <c r="C436" t="s">
        <v>7753</v>
      </c>
      <c r="D436" s="1">
        <v>5</v>
      </c>
      <c r="E436" s="1">
        <v>2</v>
      </c>
      <c r="F436" s="1">
        <v>33</v>
      </c>
      <c r="G436" s="1">
        <v>34</v>
      </c>
      <c r="H436" s="17" cm="1">
        <f t="array" ref="H436">_xlfn.LET(_xlpm.s,IFERROR(--F436,""),_xlpm.e,IFERROR(--G436,""),IF(OR(_xlpm.s="",_xlpm.e="",_xlpm.e&lt;_xlpm.s),"",_xlfn.LET(_xlpm.p,_xlfn.SEQUENCE(_xlpm.e-_xlpm.s+1,1,_xlpm.s,1),SUM(1/COUNTIFS($D:$D,D436,$E:$E,E436,$F:$F,"&lt;&gt;N/A",$G:$G,"&lt;&gt;N/A",$F:$F,"&lt;="&amp;_xlpm.p,$G:$G,"&gt;="&amp;_xlpm.p)))))</f>
        <v>2</v>
      </c>
      <c r="I436" t="s">
        <v>5436</v>
      </c>
      <c r="J436" t="s">
        <v>5435</v>
      </c>
      <c r="K436" t="s">
        <v>7</v>
      </c>
      <c r="L436" s="5" t="s">
        <v>7</v>
      </c>
      <c r="M436" s="5" t="s">
        <v>7</v>
      </c>
      <c r="N436" t="s">
        <v>7</v>
      </c>
      <c r="O436" s="5" t="s">
        <v>778</v>
      </c>
      <c r="P436" s="5" t="s">
        <v>7834</v>
      </c>
      <c r="R436" t="b">
        <v>1</v>
      </c>
    </row>
    <row r="437" spans="1:18">
      <c r="A437" t="s">
        <v>3019</v>
      </c>
      <c r="B437" t="s">
        <v>6005</v>
      </c>
      <c r="C437" t="s">
        <v>7753</v>
      </c>
      <c r="D437" s="1">
        <v>5</v>
      </c>
      <c r="E437" s="1">
        <v>2</v>
      </c>
      <c r="F437" s="1">
        <v>35</v>
      </c>
      <c r="G437" s="1">
        <v>36</v>
      </c>
      <c r="H437" s="17" cm="1">
        <f t="array" ref="H437">_xlfn.LET(_xlpm.s,IFERROR(--F437,""),_xlpm.e,IFERROR(--G437,""),IF(OR(_xlpm.s="",_xlpm.e="",_xlpm.e&lt;_xlpm.s),"",_xlfn.LET(_xlpm.p,_xlfn.SEQUENCE(_xlpm.e-_xlpm.s+1,1,_xlpm.s,1),SUM(1/COUNTIFS($D:$D,D437,$E:$E,E437,$F:$F,"&lt;&gt;N/A",$G:$G,"&lt;&gt;N/A",$F:$F,"&lt;="&amp;_xlpm.p,$G:$G,"&gt;="&amp;_xlpm.p)))))</f>
        <v>2</v>
      </c>
      <c r="I437" t="s">
        <v>5436</v>
      </c>
      <c r="J437" t="s">
        <v>1801</v>
      </c>
      <c r="K437" t="s">
        <v>7</v>
      </c>
      <c r="L437" s="5" t="s">
        <v>7</v>
      </c>
      <c r="M437" s="5" t="s">
        <v>7</v>
      </c>
      <c r="N437" t="s">
        <v>7</v>
      </c>
      <c r="O437" s="5" t="s">
        <v>778</v>
      </c>
      <c r="P437" s="5" t="s">
        <v>7834</v>
      </c>
      <c r="R437" t="b">
        <v>0</v>
      </c>
    </row>
    <row r="438" spans="1:18">
      <c r="A438" t="s">
        <v>3019</v>
      </c>
      <c r="B438" t="s">
        <v>6006</v>
      </c>
      <c r="C438" t="s">
        <v>7753</v>
      </c>
      <c r="D438" s="1">
        <v>5</v>
      </c>
      <c r="E438" s="1">
        <v>2</v>
      </c>
      <c r="F438" s="1">
        <v>37</v>
      </c>
      <c r="G438" s="1">
        <v>37</v>
      </c>
      <c r="H438" s="17" cm="1">
        <f t="array" ref="H438">_xlfn.LET(_xlpm.s,IFERROR(--F438,""),_xlpm.e,IFERROR(--G438,""),IF(OR(_xlpm.s="",_xlpm.e="",_xlpm.e&lt;_xlpm.s),"",_xlfn.LET(_xlpm.p,_xlfn.SEQUENCE(_xlpm.e-_xlpm.s+1,1,_xlpm.s,1),SUM(1/COUNTIFS($D:$D,D438,$E:$E,E438,$F:$F,"&lt;&gt;N/A",$G:$G,"&lt;&gt;N/A",$F:$F,"&lt;="&amp;_xlpm.p,$G:$G,"&gt;="&amp;_xlpm.p)))))</f>
        <v>1</v>
      </c>
      <c r="I438" t="s">
        <v>5436</v>
      </c>
      <c r="J438" t="s">
        <v>1802</v>
      </c>
      <c r="K438" t="s">
        <v>7</v>
      </c>
      <c r="L438" s="5" t="s">
        <v>7</v>
      </c>
      <c r="M438" s="5" t="s">
        <v>7</v>
      </c>
      <c r="N438" t="s">
        <v>7</v>
      </c>
      <c r="O438" s="5" t="s">
        <v>778</v>
      </c>
      <c r="P438" s="5" t="s">
        <v>7834</v>
      </c>
      <c r="R438" t="b">
        <v>0</v>
      </c>
    </row>
    <row r="439" spans="1:18">
      <c r="A439" t="s">
        <v>3019</v>
      </c>
      <c r="B439" t="s">
        <v>6007</v>
      </c>
      <c r="C439" t="s">
        <v>7753</v>
      </c>
      <c r="D439" s="1">
        <v>5</v>
      </c>
      <c r="E439" s="1">
        <v>2</v>
      </c>
      <c r="F439" s="1">
        <v>38</v>
      </c>
      <c r="G439" s="1">
        <v>51</v>
      </c>
      <c r="H439" s="17" cm="1">
        <f t="array" ref="H439">_xlfn.LET(_xlpm.s,IFERROR(--F439,""),_xlpm.e,IFERROR(--G439,""),IF(OR(_xlpm.s="",_xlpm.e="",_xlpm.e&lt;_xlpm.s),"",_xlfn.LET(_xlpm.p,_xlfn.SEQUENCE(_xlpm.e-_xlpm.s+1,1,_xlpm.s,1),SUM(1/COUNTIFS($D:$D,D439,$E:$E,E439,$F:$F,"&lt;&gt;N/A",$G:$G,"&lt;&gt;N/A",$F:$F,"&lt;="&amp;_xlpm.p,$G:$G,"&gt;="&amp;_xlpm.p)))))</f>
        <v>13.5</v>
      </c>
      <c r="I439" t="s">
        <v>5436</v>
      </c>
      <c r="J439" t="s">
        <v>1803</v>
      </c>
      <c r="K439" t="s">
        <v>1781</v>
      </c>
      <c r="L439" s="5" t="s">
        <v>7</v>
      </c>
      <c r="M439" s="5" t="s">
        <v>7</v>
      </c>
      <c r="N439" t="s">
        <v>7</v>
      </c>
      <c r="O439" s="5" t="s">
        <v>778</v>
      </c>
      <c r="P439" s="5" t="s">
        <v>7834</v>
      </c>
      <c r="R439" t="b">
        <v>1</v>
      </c>
    </row>
    <row r="440" spans="1:18">
      <c r="A440" t="s">
        <v>3019</v>
      </c>
      <c r="B440" t="s">
        <v>6008</v>
      </c>
      <c r="C440" t="s">
        <v>7753</v>
      </c>
      <c r="D440" s="1">
        <v>5</v>
      </c>
      <c r="E440" s="1">
        <v>2</v>
      </c>
      <c r="F440" s="1">
        <v>51</v>
      </c>
      <c r="G440" s="1">
        <v>55</v>
      </c>
      <c r="H440" s="17" cm="1">
        <f t="array" ref="H440">_xlfn.LET(_xlpm.s,IFERROR(--F440,""),_xlpm.e,IFERROR(--G440,""),IF(OR(_xlpm.s="",_xlpm.e="",_xlpm.e&lt;_xlpm.s),"",_xlfn.LET(_xlpm.p,_xlfn.SEQUENCE(_xlpm.e-_xlpm.s+1,1,_xlpm.s,1),SUM(1/COUNTIFS($D:$D,D440,$E:$E,E440,$F:$F,"&lt;&gt;N/A",$G:$G,"&lt;&gt;N/A",$F:$F,"&lt;="&amp;_xlpm.p,$G:$G,"&gt;="&amp;_xlpm.p)))))</f>
        <v>4.5</v>
      </c>
      <c r="I440" t="s">
        <v>5436</v>
      </c>
      <c r="J440" t="s">
        <v>1804</v>
      </c>
      <c r="K440" t="s">
        <v>1781</v>
      </c>
      <c r="L440" s="5" t="s">
        <v>7</v>
      </c>
      <c r="M440" s="5" t="s">
        <v>7</v>
      </c>
      <c r="N440" t="s">
        <v>7</v>
      </c>
      <c r="O440" s="5" t="s">
        <v>778</v>
      </c>
      <c r="P440" s="5" t="s">
        <v>7834</v>
      </c>
      <c r="R440" t="b">
        <v>1</v>
      </c>
    </row>
    <row r="441" spans="1:18">
      <c r="A441" t="s">
        <v>3019</v>
      </c>
      <c r="B441" t="s">
        <v>6777</v>
      </c>
      <c r="C441" t="s">
        <v>7753</v>
      </c>
      <c r="D441" s="1">
        <v>5</v>
      </c>
      <c r="E441" s="1">
        <v>2</v>
      </c>
      <c r="F441" s="1">
        <v>56</v>
      </c>
      <c r="G441" s="1">
        <v>62</v>
      </c>
      <c r="H441" s="17" cm="1">
        <f t="array" ref="H441">_xlfn.LET(_xlpm.s,IFERROR(--F441,""),_xlpm.e,IFERROR(--G441,""),IF(OR(_xlpm.s="",_xlpm.e="",_xlpm.e&lt;_xlpm.s),"",_xlfn.LET(_xlpm.p,_xlfn.SEQUENCE(_xlpm.e-_xlpm.s+1,1,_xlpm.s,1),SUM(1/COUNTIFS($D:$D,D441,$E:$E,E441,$F:$F,"&lt;&gt;N/A",$G:$G,"&lt;&gt;N/A",$F:$F,"&lt;="&amp;_xlpm.p,$G:$G,"&gt;="&amp;_xlpm.p)))))</f>
        <v>7</v>
      </c>
      <c r="I441" t="s">
        <v>2573</v>
      </c>
      <c r="J441" t="s">
        <v>5434</v>
      </c>
      <c r="K441" t="s">
        <v>7</v>
      </c>
      <c r="L441" s="5" t="s">
        <v>5307</v>
      </c>
      <c r="M441" t="s">
        <v>5046</v>
      </c>
      <c r="N441" t="s">
        <v>5423</v>
      </c>
      <c r="O441" s="5" t="s">
        <v>5072</v>
      </c>
      <c r="P441" s="5" t="s">
        <v>8092</v>
      </c>
      <c r="Q441" s="5" t="s">
        <v>2509</v>
      </c>
      <c r="R441" t="b">
        <v>1</v>
      </c>
    </row>
    <row r="442" spans="1:18">
      <c r="A442" t="s">
        <v>3019</v>
      </c>
      <c r="B442" t="s">
        <v>6778</v>
      </c>
      <c r="C442" t="s">
        <v>7753</v>
      </c>
      <c r="D442" s="1">
        <v>5</v>
      </c>
      <c r="E442" s="1">
        <v>2</v>
      </c>
      <c r="F442" s="1">
        <v>63</v>
      </c>
      <c r="G442" s="1">
        <v>64</v>
      </c>
      <c r="H442" s="17" cm="1">
        <f t="array" ref="H442">_xlfn.LET(_xlpm.s,IFERROR(--F442,""),_xlpm.e,IFERROR(--G442,""),IF(OR(_xlpm.s="",_xlpm.e="",_xlpm.e&lt;_xlpm.s),"",_xlfn.LET(_xlpm.p,_xlfn.SEQUENCE(_xlpm.e-_xlpm.s+1,1,_xlpm.s,1),SUM(1/COUNTIFS($D:$D,D442,$E:$E,E442,$F:$F,"&lt;&gt;N/A",$G:$G,"&lt;&gt;N/A",$F:$F,"&lt;="&amp;_xlpm.p,$G:$G,"&gt;="&amp;_xlpm.p)))))</f>
        <v>2</v>
      </c>
      <c r="I442" t="s">
        <v>5433</v>
      </c>
      <c r="J442" t="s">
        <v>1805</v>
      </c>
      <c r="K442" t="s">
        <v>2507</v>
      </c>
      <c r="L442" s="5" t="s">
        <v>4638</v>
      </c>
      <c r="M442" t="s">
        <v>7</v>
      </c>
      <c r="N442" t="s">
        <v>7</v>
      </c>
      <c r="O442" s="5" t="s">
        <v>5072</v>
      </c>
      <c r="P442" s="5" t="s">
        <v>8021</v>
      </c>
      <c r="Q442" s="5" t="s">
        <v>2509</v>
      </c>
      <c r="R442" t="b">
        <v>1</v>
      </c>
    </row>
    <row r="443" spans="1:18">
      <c r="A443" t="s">
        <v>3019</v>
      </c>
      <c r="B443" t="s">
        <v>6009</v>
      </c>
      <c r="C443" t="s">
        <v>7761</v>
      </c>
      <c r="D443" s="1">
        <v>5</v>
      </c>
      <c r="E443" s="1">
        <v>3</v>
      </c>
      <c r="F443" s="1">
        <v>65</v>
      </c>
      <c r="G443" s="1">
        <v>67</v>
      </c>
      <c r="H443" s="17" cm="1">
        <f t="array" ref="H443">_xlfn.LET(_xlpm.s,IFERROR(--F443,""),_xlpm.e,IFERROR(--G443,""),IF(OR(_xlpm.s="",_xlpm.e="",_xlpm.e&lt;_xlpm.s),"",_xlfn.LET(_xlpm.p,_xlfn.SEQUENCE(_xlpm.e-_xlpm.s+1,1,_xlpm.s,1),SUM(1/COUNTIFS($D:$D,D443,$E:$E,E443,$F:$F,"&lt;&gt;N/A",$G:$G,"&lt;&gt;N/A",$F:$F,"&lt;="&amp;_xlpm.p,$G:$G,"&gt;="&amp;_xlpm.p)))))</f>
        <v>2.5</v>
      </c>
      <c r="I443" t="s">
        <v>5436</v>
      </c>
      <c r="J443" t="s">
        <v>1806</v>
      </c>
      <c r="K443" t="s">
        <v>7</v>
      </c>
      <c r="L443" s="5" t="s">
        <v>7</v>
      </c>
      <c r="M443" t="s">
        <v>7</v>
      </c>
      <c r="N443" t="s">
        <v>7</v>
      </c>
      <c r="O443" s="5" t="s">
        <v>778</v>
      </c>
      <c r="P443" s="5" t="s">
        <v>7834</v>
      </c>
      <c r="R443" t="b">
        <v>0</v>
      </c>
    </row>
    <row r="444" spans="1:18">
      <c r="A444" t="s">
        <v>3019</v>
      </c>
      <c r="B444" t="s">
        <v>6010</v>
      </c>
      <c r="C444" t="s">
        <v>7761</v>
      </c>
      <c r="D444" s="1">
        <v>5</v>
      </c>
      <c r="E444" s="1">
        <v>3</v>
      </c>
      <c r="F444" s="1">
        <v>67</v>
      </c>
      <c r="G444" s="1">
        <v>69</v>
      </c>
      <c r="H444" s="17" cm="1">
        <f t="array" ref="H444">_xlfn.LET(_xlpm.s,IFERROR(--F444,""),_xlpm.e,IFERROR(--G444,""),IF(OR(_xlpm.s="",_xlpm.e="",_xlpm.e&lt;_xlpm.s),"",_xlfn.LET(_xlpm.p,_xlfn.SEQUENCE(_xlpm.e-_xlpm.s+1,1,_xlpm.s,1),SUM(1/COUNTIFS($D:$D,D444,$E:$E,E444,$F:$F,"&lt;&gt;N/A",$G:$G,"&lt;&gt;N/A",$F:$F,"&lt;="&amp;_xlpm.p,$G:$G,"&gt;="&amp;_xlpm.p)))))</f>
        <v>2.5</v>
      </c>
      <c r="I444" t="s">
        <v>5436</v>
      </c>
      <c r="J444" t="s">
        <v>1807</v>
      </c>
      <c r="K444" t="s">
        <v>7</v>
      </c>
      <c r="L444" s="5" t="s">
        <v>7</v>
      </c>
      <c r="M444" t="s">
        <v>7</v>
      </c>
      <c r="N444" t="s">
        <v>7</v>
      </c>
      <c r="O444" s="5" t="s">
        <v>778</v>
      </c>
      <c r="P444" s="5" t="s">
        <v>7834</v>
      </c>
      <c r="R444" t="b">
        <v>0</v>
      </c>
    </row>
    <row r="445" spans="1:18">
      <c r="A445" t="s">
        <v>3019</v>
      </c>
      <c r="B445" t="s">
        <v>6011</v>
      </c>
      <c r="C445" t="s">
        <v>7761</v>
      </c>
      <c r="D445" s="1">
        <v>5</v>
      </c>
      <c r="E445" s="1">
        <v>3</v>
      </c>
      <c r="F445" s="1">
        <v>70</v>
      </c>
      <c r="G445" s="1">
        <v>70</v>
      </c>
      <c r="H445" s="17" cm="1">
        <f t="array" ref="H445">_xlfn.LET(_xlpm.s,IFERROR(--F445,""),_xlpm.e,IFERROR(--G445,""),IF(OR(_xlpm.s="",_xlpm.e="",_xlpm.e&lt;_xlpm.s),"",_xlfn.LET(_xlpm.p,_xlfn.SEQUENCE(_xlpm.e-_xlpm.s+1,1,_xlpm.s,1),SUM(1/COUNTIFS($D:$D,D445,$E:$E,E445,$F:$F,"&lt;&gt;N/A",$G:$G,"&lt;&gt;N/A",$F:$F,"&lt;="&amp;_xlpm.p,$G:$G,"&gt;="&amp;_xlpm.p)))))</f>
        <v>1</v>
      </c>
      <c r="I445" t="s">
        <v>5436</v>
      </c>
      <c r="J445" t="s">
        <v>1808</v>
      </c>
      <c r="K445" t="s">
        <v>2505</v>
      </c>
      <c r="L445" s="5" t="s">
        <v>7</v>
      </c>
      <c r="M445" t="s">
        <v>7</v>
      </c>
      <c r="N445" t="s">
        <v>7</v>
      </c>
      <c r="O445" s="5" t="s">
        <v>778</v>
      </c>
      <c r="P445" s="5" t="s">
        <v>7834</v>
      </c>
      <c r="R445" t="b">
        <v>1</v>
      </c>
    </row>
    <row r="446" spans="1:18">
      <c r="A446" t="s">
        <v>3019</v>
      </c>
      <c r="B446" t="s">
        <v>6012</v>
      </c>
      <c r="C446" t="s">
        <v>7761</v>
      </c>
      <c r="D446" s="1">
        <v>5</v>
      </c>
      <c r="E446" s="1">
        <v>3</v>
      </c>
      <c r="F446" s="1">
        <v>71</v>
      </c>
      <c r="G446" s="1">
        <v>72</v>
      </c>
      <c r="H446" s="17" cm="1">
        <f t="array" ref="H446">_xlfn.LET(_xlpm.s,IFERROR(--F446,""),_xlpm.e,IFERROR(--G446,""),IF(OR(_xlpm.s="",_xlpm.e="",_xlpm.e&lt;_xlpm.s),"",_xlfn.LET(_xlpm.p,_xlfn.SEQUENCE(_xlpm.e-_xlpm.s+1,1,_xlpm.s,1),SUM(1/COUNTIFS($D:$D,D446,$E:$E,E446,$F:$F,"&lt;&gt;N/A",$G:$G,"&lt;&gt;N/A",$F:$F,"&lt;="&amp;_xlpm.p,$G:$G,"&gt;="&amp;_xlpm.p)))))</f>
        <v>1.5</v>
      </c>
      <c r="I446" t="s">
        <v>5436</v>
      </c>
      <c r="J446" t="s">
        <v>5425</v>
      </c>
      <c r="K446" t="s">
        <v>2465</v>
      </c>
      <c r="L446" s="5" t="s">
        <v>7</v>
      </c>
      <c r="M446" t="s">
        <v>7</v>
      </c>
      <c r="N446" t="s">
        <v>7</v>
      </c>
      <c r="O446" s="5" t="s">
        <v>778</v>
      </c>
      <c r="P446" s="5" t="s">
        <v>7834</v>
      </c>
      <c r="R446" t="b">
        <v>1</v>
      </c>
    </row>
    <row r="447" spans="1:18">
      <c r="A447" t="s">
        <v>3019</v>
      </c>
      <c r="B447" t="s">
        <v>6013</v>
      </c>
      <c r="C447" t="s">
        <v>7761</v>
      </c>
      <c r="D447" s="1">
        <v>5</v>
      </c>
      <c r="E447" s="1">
        <v>3</v>
      </c>
      <c r="F447" s="1">
        <v>72</v>
      </c>
      <c r="G447" s="1">
        <v>84</v>
      </c>
      <c r="H447" s="17" cm="1">
        <f t="array" ref="H447">_xlfn.LET(_xlpm.s,IFERROR(--F447,""),_xlpm.e,IFERROR(--G447,""),IF(OR(_xlpm.s="",_xlpm.e="",_xlpm.e&lt;_xlpm.s),"",_xlfn.LET(_xlpm.p,_xlfn.SEQUENCE(_xlpm.e-_xlpm.s+1,1,_xlpm.s,1),SUM(1/COUNTIFS($D:$D,D447,$E:$E,E447,$F:$F,"&lt;&gt;N/A",$G:$G,"&lt;&gt;N/A",$F:$F,"&lt;="&amp;_xlpm.p,$G:$G,"&gt;="&amp;_xlpm.p)))))</f>
        <v>12</v>
      </c>
      <c r="I447" t="s">
        <v>5436</v>
      </c>
      <c r="J447" t="s">
        <v>5424</v>
      </c>
      <c r="K447" t="s">
        <v>2504</v>
      </c>
      <c r="L447" s="5" t="s">
        <v>7</v>
      </c>
      <c r="M447" t="s">
        <v>7</v>
      </c>
      <c r="N447" t="s">
        <v>7</v>
      </c>
      <c r="O447" s="5" t="s">
        <v>778</v>
      </c>
      <c r="P447" s="5" t="s">
        <v>7834</v>
      </c>
      <c r="R447" t="b">
        <v>1</v>
      </c>
    </row>
    <row r="448" spans="1:18">
      <c r="A448" t="s">
        <v>3019</v>
      </c>
      <c r="B448" t="s">
        <v>6014</v>
      </c>
      <c r="C448" t="s">
        <v>7761</v>
      </c>
      <c r="D448" s="1">
        <v>5</v>
      </c>
      <c r="E448" s="1">
        <v>3</v>
      </c>
      <c r="F448" s="1">
        <v>84</v>
      </c>
      <c r="G448" s="1">
        <v>90</v>
      </c>
      <c r="H448" s="17" cm="1">
        <f t="array" ref="H448">_xlfn.LET(_xlpm.s,IFERROR(--F448,""),_xlpm.e,IFERROR(--G448,""),IF(OR(_xlpm.s="",_xlpm.e="",_xlpm.e&lt;_xlpm.s),"",_xlfn.LET(_xlpm.p,_xlfn.SEQUENCE(_xlpm.e-_xlpm.s+1,1,_xlpm.s,1),SUM(1/COUNTIFS($D:$D,D448,$E:$E,E448,$F:$F,"&lt;&gt;N/A",$G:$G,"&lt;&gt;N/A",$F:$F,"&lt;="&amp;_xlpm.p,$G:$G,"&gt;="&amp;_xlpm.p)))))</f>
        <v>6</v>
      </c>
      <c r="I448" t="s">
        <v>2573</v>
      </c>
      <c r="J448" t="s">
        <v>5407</v>
      </c>
      <c r="K448" t="s">
        <v>7</v>
      </c>
      <c r="L448" s="5" t="s">
        <v>5234</v>
      </c>
      <c r="M448" t="s">
        <v>5119</v>
      </c>
      <c r="N448" t="s">
        <v>5426</v>
      </c>
      <c r="O448" s="5" t="s">
        <v>5072</v>
      </c>
      <c r="P448" s="5" t="s">
        <v>8021</v>
      </c>
      <c r="Q448" s="5" t="s">
        <v>2509</v>
      </c>
      <c r="R448" t="b">
        <v>1</v>
      </c>
    </row>
    <row r="449" spans="1:18">
      <c r="A449" t="s">
        <v>3019</v>
      </c>
      <c r="B449" t="s">
        <v>6015</v>
      </c>
      <c r="C449" t="s">
        <v>7761</v>
      </c>
      <c r="D449" s="1">
        <v>5</v>
      </c>
      <c r="E449" s="1">
        <v>3</v>
      </c>
      <c r="F449" s="1">
        <v>90</v>
      </c>
      <c r="G449" s="1">
        <v>92</v>
      </c>
      <c r="H449" s="17" cm="1">
        <f t="array" ref="H449">_xlfn.LET(_xlpm.s,IFERROR(--F449,""),_xlpm.e,IFERROR(--G449,""),IF(OR(_xlpm.s="",_xlpm.e="",_xlpm.e&lt;_xlpm.s),"",_xlfn.LET(_xlpm.p,_xlfn.SEQUENCE(_xlpm.e-_xlpm.s+1,1,_xlpm.s,1),SUM(1/COUNTIFS($D:$D,D449,$E:$E,E449,$F:$F,"&lt;&gt;N/A",$G:$G,"&lt;&gt;N/A",$F:$F,"&lt;="&amp;_xlpm.p,$G:$G,"&gt;="&amp;_xlpm.p)))))</f>
        <v>2.5</v>
      </c>
      <c r="I449" t="s">
        <v>2573</v>
      </c>
      <c r="J449" t="s">
        <v>1809</v>
      </c>
      <c r="K449" t="s">
        <v>7</v>
      </c>
      <c r="L449" s="5" t="s">
        <v>5234</v>
      </c>
      <c r="M449" t="s">
        <v>5119</v>
      </c>
      <c r="N449" t="s">
        <v>5427</v>
      </c>
      <c r="O449" s="5" t="s">
        <v>5072</v>
      </c>
      <c r="P449" s="5" t="s">
        <v>8021</v>
      </c>
      <c r="Q449" s="5" t="s">
        <v>2509</v>
      </c>
      <c r="R449" t="b">
        <v>1</v>
      </c>
    </row>
    <row r="450" spans="1:18">
      <c r="A450" t="s">
        <v>3019</v>
      </c>
      <c r="B450" t="s">
        <v>6016</v>
      </c>
      <c r="C450" t="s">
        <v>7761</v>
      </c>
      <c r="D450" s="1">
        <v>5</v>
      </c>
      <c r="E450" s="1">
        <v>3</v>
      </c>
      <c r="F450" s="1">
        <v>93</v>
      </c>
      <c r="G450" s="1">
        <v>93</v>
      </c>
      <c r="H450" s="17" cm="1">
        <f t="array" ref="H450">_xlfn.LET(_xlpm.s,IFERROR(--F450,""),_xlpm.e,IFERROR(--G450,""),IF(OR(_xlpm.s="",_xlpm.e="",_xlpm.e&lt;_xlpm.s),"",_xlfn.LET(_xlpm.p,_xlfn.SEQUENCE(_xlpm.e-_xlpm.s+1,1,_xlpm.s,1),SUM(1/COUNTIFS($D:$D,D450,$E:$E,E450,$F:$F,"&lt;&gt;N/A",$G:$G,"&lt;&gt;N/A",$F:$F,"&lt;="&amp;_xlpm.p,$G:$G,"&gt;="&amp;_xlpm.p)))))</f>
        <v>1</v>
      </c>
      <c r="I450" t="s">
        <v>2573</v>
      </c>
      <c r="J450" t="s">
        <v>1810</v>
      </c>
      <c r="K450" t="s">
        <v>7</v>
      </c>
      <c r="L450" s="5" t="s">
        <v>4639</v>
      </c>
      <c r="M450" t="s">
        <v>6538</v>
      </c>
      <c r="N450" t="s">
        <v>6562</v>
      </c>
      <c r="O450" s="5" t="s">
        <v>5072</v>
      </c>
      <c r="P450" s="5" t="s">
        <v>10179</v>
      </c>
      <c r="Q450" s="5" t="s">
        <v>2509</v>
      </c>
      <c r="R450" t="b">
        <v>1</v>
      </c>
    </row>
    <row r="451" spans="1:18">
      <c r="A451" t="s">
        <v>3019</v>
      </c>
      <c r="B451" t="s">
        <v>6017</v>
      </c>
      <c r="C451" t="s">
        <v>7761</v>
      </c>
      <c r="D451" s="1">
        <v>5</v>
      </c>
      <c r="E451" s="1">
        <v>3</v>
      </c>
      <c r="F451" s="1">
        <v>94</v>
      </c>
      <c r="G451" s="1">
        <v>94</v>
      </c>
      <c r="H451" s="17" cm="1">
        <f t="array" ref="H451">_xlfn.LET(_xlpm.s,IFERROR(--F451,""),_xlpm.e,IFERROR(--G451,""),IF(OR(_xlpm.s="",_xlpm.e="",_xlpm.e&lt;_xlpm.s),"",_xlfn.LET(_xlpm.p,_xlfn.SEQUENCE(_xlpm.e-_xlpm.s+1,1,_xlpm.s,1),SUM(1/COUNTIFS($D:$D,D451,$E:$E,E451,$F:$F,"&lt;&gt;N/A",$G:$G,"&lt;&gt;N/A",$F:$F,"&lt;="&amp;_xlpm.p,$G:$G,"&gt;="&amp;_xlpm.p)))))</f>
        <v>0.5</v>
      </c>
      <c r="I451" t="s">
        <v>2573</v>
      </c>
      <c r="J451" t="s">
        <v>1811</v>
      </c>
      <c r="K451" t="s">
        <v>5408</v>
      </c>
      <c r="L451" s="5" t="s">
        <v>4639</v>
      </c>
      <c r="M451" t="s">
        <v>6537</v>
      </c>
      <c r="N451" t="s">
        <v>6561</v>
      </c>
      <c r="O451" s="5" t="s">
        <v>5072</v>
      </c>
      <c r="P451" s="5" t="s">
        <v>10179</v>
      </c>
      <c r="Q451" s="5" t="s">
        <v>2509</v>
      </c>
      <c r="R451" t="b">
        <v>1</v>
      </c>
    </row>
    <row r="452" spans="1:18">
      <c r="A452" t="s">
        <v>3019</v>
      </c>
      <c r="B452" t="s">
        <v>6018</v>
      </c>
      <c r="C452" t="s">
        <v>7761</v>
      </c>
      <c r="D452" s="1">
        <v>5</v>
      </c>
      <c r="E452" s="1">
        <v>3</v>
      </c>
      <c r="F452" s="1">
        <v>94</v>
      </c>
      <c r="G452" s="1">
        <v>95</v>
      </c>
      <c r="H452" s="17" cm="1">
        <f t="array" ref="H452">_xlfn.LET(_xlpm.s,IFERROR(--F452,""),_xlpm.e,IFERROR(--G452,""),IF(OR(_xlpm.s="",_xlpm.e="",_xlpm.e&lt;_xlpm.s),"",_xlfn.LET(_xlpm.p,_xlfn.SEQUENCE(_xlpm.e-_xlpm.s+1,1,_xlpm.s,1),SUM(1/COUNTIFS($D:$D,D452,$E:$E,E452,$F:$F,"&lt;&gt;N/A",$G:$G,"&lt;&gt;N/A",$F:$F,"&lt;="&amp;_xlpm.p,$G:$G,"&gt;="&amp;_xlpm.p)))))</f>
        <v>1.5</v>
      </c>
      <c r="I452" t="s">
        <v>2573</v>
      </c>
      <c r="J452" t="s">
        <v>1812</v>
      </c>
      <c r="K452" t="s">
        <v>7</v>
      </c>
      <c r="L452" s="5" t="s">
        <v>4639</v>
      </c>
      <c r="M452" t="s">
        <v>6537</v>
      </c>
      <c r="N452" t="s">
        <v>6560</v>
      </c>
      <c r="O452" s="5" t="s">
        <v>5072</v>
      </c>
      <c r="P452" s="5" t="s">
        <v>10179</v>
      </c>
      <c r="Q452" s="5" t="s">
        <v>2509</v>
      </c>
      <c r="R452" t="b">
        <v>1</v>
      </c>
    </row>
    <row r="453" spans="1:18">
      <c r="A453" t="s">
        <v>3019</v>
      </c>
      <c r="B453" t="s">
        <v>6779</v>
      </c>
      <c r="C453" t="s">
        <v>7761</v>
      </c>
      <c r="D453" s="1">
        <v>5</v>
      </c>
      <c r="E453" s="1">
        <v>3</v>
      </c>
      <c r="F453" s="1">
        <v>96</v>
      </c>
      <c r="G453" s="1">
        <v>96</v>
      </c>
      <c r="H453" s="17" cm="1">
        <f t="array" ref="H453">_xlfn.LET(_xlpm.s,IFERROR(--F453,""),_xlpm.e,IFERROR(--G453,""),IF(OR(_xlpm.s="",_xlpm.e="",_xlpm.e&lt;_xlpm.s),"",_xlfn.LET(_xlpm.p,_xlfn.SEQUENCE(_xlpm.e-_xlpm.s+1,1,_xlpm.s,1),SUM(1/COUNTIFS($D:$D,D453,$E:$E,E453,$F:$F,"&lt;&gt;N/A",$G:$G,"&lt;&gt;N/A",$F:$F,"&lt;="&amp;_xlpm.p,$G:$G,"&gt;="&amp;_xlpm.p)))))</f>
        <v>0.5</v>
      </c>
      <c r="I453" t="s">
        <v>2573</v>
      </c>
      <c r="J453" t="s">
        <v>5409</v>
      </c>
      <c r="K453" t="s">
        <v>5410</v>
      </c>
      <c r="L453" s="5" t="s">
        <v>4639</v>
      </c>
      <c r="M453" t="s">
        <v>6537</v>
      </c>
      <c r="N453" t="s">
        <v>6559</v>
      </c>
      <c r="O453" s="5" t="s">
        <v>5072</v>
      </c>
      <c r="P453" s="5" t="s">
        <v>10179</v>
      </c>
      <c r="Q453" s="5" t="s">
        <v>2509</v>
      </c>
      <c r="R453" t="b">
        <v>1</v>
      </c>
    </row>
    <row r="454" spans="1:18">
      <c r="A454" t="s">
        <v>3019</v>
      </c>
      <c r="B454" t="s">
        <v>6780</v>
      </c>
      <c r="C454" t="s">
        <v>7761</v>
      </c>
      <c r="D454" s="1">
        <v>5</v>
      </c>
      <c r="E454" s="1">
        <v>3</v>
      </c>
      <c r="F454" s="1">
        <v>96</v>
      </c>
      <c r="G454" s="1">
        <v>96</v>
      </c>
      <c r="H454" s="17" cm="1">
        <f t="array" ref="H454">_xlfn.LET(_xlpm.s,IFERROR(--F454,""),_xlpm.e,IFERROR(--G454,""),IF(OR(_xlpm.s="",_xlpm.e="",_xlpm.e&lt;_xlpm.s),"",_xlfn.LET(_xlpm.p,_xlfn.SEQUENCE(_xlpm.e-_xlpm.s+1,1,_xlpm.s,1),SUM(1/COUNTIFS($D:$D,D454,$E:$E,E454,$F:$F,"&lt;&gt;N/A",$G:$G,"&lt;&gt;N/A",$F:$F,"&lt;="&amp;_xlpm.p,$G:$G,"&gt;="&amp;_xlpm.p)))))</f>
        <v>0.5</v>
      </c>
      <c r="I454" t="s">
        <v>2573</v>
      </c>
      <c r="J454" t="s">
        <v>1813</v>
      </c>
      <c r="K454" t="s">
        <v>5411</v>
      </c>
      <c r="L454" s="5" t="s">
        <v>4639</v>
      </c>
      <c r="M454" t="s">
        <v>6537</v>
      </c>
      <c r="N454" t="s">
        <v>6558</v>
      </c>
      <c r="O454" s="5" t="s">
        <v>5072</v>
      </c>
      <c r="P454" s="5" t="s">
        <v>10179</v>
      </c>
      <c r="Q454" s="5" t="s">
        <v>2509</v>
      </c>
      <c r="R454" t="b">
        <v>1</v>
      </c>
    </row>
    <row r="455" spans="1:18">
      <c r="A455" t="s">
        <v>3019</v>
      </c>
      <c r="B455" t="s">
        <v>6019</v>
      </c>
      <c r="C455" t="s">
        <v>7769</v>
      </c>
      <c r="D455" s="1">
        <v>5</v>
      </c>
      <c r="E455" s="1">
        <v>4</v>
      </c>
      <c r="F455" s="1">
        <v>97</v>
      </c>
      <c r="G455" s="1">
        <v>98</v>
      </c>
      <c r="H455" s="17" cm="1">
        <f t="array" ref="H455">_xlfn.LET(_xlpm.s,IFERROR(--F455,""),_xlpm.e,IFERROR(--G455,""),IF(OR(_xlpm.s="",_xlpm.e="",_xlpm.e&lt;_xlpm.s),"",_xlfn.LET(_xlpm.p,_xlfn.SEQUENCE(_xlpm.e-_xlpm.s+1,1,_xlpm.s,1),SUM(1/COUNTIFS($D:$D,D455,$E:$E,E455,$F:$F,"&lt;&gt;N/A",$G:$G,"&lt;&gt;N/A",$F:$F,"&lt;="&amp;_xlpm.p,$G:$G,"&gt;="&amp;_xlpm.p)))))</f>
        <v>1.5</v>
      </c>
      <c r="I455" t="s">
        <v>5436</v>
      </c>
      <c r="J455" t="s">
        <v>5413</v>
      </c>
      <c r="K455" t="s">
        <v>7</v>
      </c>
      <c r="L455" s="5" t="s">
        <v>7</v>
      </c>
      <c r="M455" s="5" t="s">
        <v>7</v>
      </c>
      <c r="N455" t="s">
        <v>7</v>
      </c>
      <c r="O455" s="5" t="s">
        <v>778</v>
      </c>
      <c r="P455" s="5" t="s">
        <v>7834</v>
      </c>
      <c r="R455" t="b">
        <v>0</v>
      </c>
    </row>
    <row r="456" spans="1:18">
      <c r="A456" t="s">
        <v>3019</v>
      </c>
      <c r="B456" t="s">
        <v>6020</v>
      </c>
      <c r="C456" t="s">
        <v>7769</v>
      </c>
      <c r="D456" s="1">
        <v>5</v>
      </c>
      <c r="E456" s="1">
        <v>4</v>
      </c>
      <c r="F456" s="1">
        <v>98</v>
      </c>
      <c r="G456" s="1">
        <v>100</v>
      </c>
      <c r="H456" s="17" cm="1">
        <f t="array" ref="H456">_xlfn.LET(_xlpm.s,IFERROR(--F456,""),_xlpm.e,IFERROR(--G456,""),IF(OR(_xlpm.s="",_xlpm.e="",_xlpm.e&lt;_xlpm.s),"",_xlfn.LET(_xlpm.p,_xlfn.SEQUENCE(_xlpm.e-_xlpm.s+1,1,_xlpm.s,1),SUM(1/COUNTIFS($D:$D,D456,$E:$E,E456,$F:$F,"&lt;&gt;N/A",$G:$G,"&lt;&gt;N/A",$F:$F,"&lt;="&amp;_xlpm.p,$G:$G,"&gt;="&amp;_xlpm.p)))))</f>
        <v>2</v>
      </c>
      <c r="I456" t="s">
        <v>5436</v>
      </c>
      <c r="J456" t="s">
        <v>5414</v>
      </c>
      <c r="K456" t="s">
        <v>7</v>
      </c>
      <c r="L456" s="5" t="s">
        <v>7</v>
      </c>
      <c r="M456" s="5" t="s">
        <v>7</v>
      </c>
      <c r="N456" t="s">
        <v>7</v>
      </c>
      <c r="O456" s="5" t="s">
        <v>778</v>
      </c>
      <c r="P456" s="5" t="s">
        <v>7834</v>
      </c>
      <c r="R456" t="b">
        <v>0</v>
      </c>
    </row>
    <row r="457" spans="1:18">
      <c r="A457" t="s">
        <v>3019</v>
      </c>
      <c r="B457" t="s">
        <v>6021</v>
      </c>
      <c r="C457" t="s">
        <v>7769</v>
      </c>
      <c r="D457" s="1">
        <v>5</v>
      </c>
      <c r="E457" s="1">
        <v>4</v>
      </c>
      <c r="F457" s="1">
        <v>100</v>
      </c>
      <c r="G457" s="1">
        <v>102</v>
      </c>
      <c r="H457" s="17" cm="1">
        <f t="array" ref="H457">_xlfn.LET(_xlpm.s,IFERROR(--F457,""),_xlpm.e,IFERROR(--G457,""),IF(OR(_xlpm.s="",_xlpm.e="",_xlpm.e&lt;_xlpm.s),"",_xlfn.LET(_xlpm.p,_xlfn.SEQUENCE(_xlpm.e-_xlpm.s+1,1,_xlpm.s,1),SUM(1/COUNTIFS($D:$D,D457,$E:$E,E457,$F:$F,"&lt;&gt;N/A",$G:$G,"&lt;&gt;N/A",$F:$F,"&lt;="&amp;_xlpm.p,$G:$G,"&gt;="&amp;_xlpm.p)))))</f>
        <v>2</v>
      </c>
      <c r="I457" t="s">
        <v>5436</v>
      </c>
      <c r="J457" t="s">
        <v>5415</v>
      </c>
      <c r="K457" t="s">
        <v>7</v>
      </c>
      <c r="L457" s="5" t="s">
        <v>7</v>
      </c>
      <c r="M457" s="5" t="s">
        <v>7</v>
      </c>
      <c r="N457" t="s">
        <v>7</v>
      </c>
      <c r="O457" s="5" t="s">
        <v>778</v>
      </c>
      <c r="P457" s="5" t="s">
        <v>7834</v>
      </c>
      <c r="R457" t="b">
        <v>0</v>
      </c>
    </row>
    <row r="458" spans="1:18">
      <c r="A458" t="s">
        <v>3019</v>
      </c>
      <c r="B458" t="s">
        <v>6022</v>
      </c>
      <c r="C458" t="s">
        <v>7769</v>
      </c>
      <c r="D458" s="1">
        <v>5</v>
      </c>
      <c r="E458" s="1">
        <v>4</v>
      </c>
      <c r="F458" s="1">
        <v>102</v>
      </c>
      <c r="G458" s="1">
        <v>107</v>
      </c>
      <c r="H458" s="17" cm="1">
        <f t="array" ref="H458">_xlfn.LET(_xlpm.s,IFERROR(--F458,""),_xlpm.e,IFERROR(--G458,""),IF(OR(_xlpm.s="",_xlpm.e="",_xlpm.e&lt;_xlpm.s),"",_xlfn.LET(_xlpm.p,_xlfn.SEQUENCE(_xlpm.e-_xlpm.s+1,1,_xlpm.s,1),SUM(1/COUNTIFS($D:$D,D458,$E:$E,E458,$F:$F,"&lt;&gt;N/A",$G:$G,"&lt;&gt;N/A",$F:$F,"&lt;="&amp;_xlpm.p,$G:$G,"&gt;="&amp;_xlpm.p)))))</f>
        <v>5.5</v>
      </c>
      <c r="I458" t="s">
        <v>5436</v>
      </c>
      <c r="J458" t="s">
        <v>5416</v>
      </c>
      <c r="K458" t="s">
        <v>1781</v>
      </c>
      <c r="L458" s="5" t="s">
        <v>7</v>
      </c>
      <c r="M458" s="5" t="s">
        <v>7</v>
      </c>
      <c r="N458" t="s">
        <v>7</v>
      </c>
      <c r="O458" s="5" t="s">
        <v>778</v>
      </c>
      <c r="P458" s="5" t="s">
        <v>7834</v>
      </c>
      <c r="R458" t="b">
        <v>1</v>
      </c>
    </row>
    <row r="459" spans="1:18">
      <c r="A459" t="s">
        <v>3019</v>
      </c>
      <c r="B459" t="s">
        <v>6023</v>
      </c>
      <c r="C459" t="s">
        <v>7769</v>
      </c>
      <c r="D459" s="1">
        <v>5</v>
      </c>
      <c r="E459" s="1">
        <v>4</v>
      </c>
      <c r="F459" s="1">
        <v>108</v>
      </c>
      <c r="G459" s="1">
        <v>111</v>
      </c>
      <c r="H459" s="17" cm="1">
        <f t="array" ref="H459">_xlfn.LET(_xlpm.s,IFERROR(--F459,""),_xlpm.e,IFERROR(--G459,""),IF(OR(_xlpm.s="",_xlpm.e="",_xlpm.e&lt;_xlpm.s),"",_xlfn.LET(_xlpm.p,_xlfn.SEQUENCE(_xlpm.e-_xlpm.s+1,1,_xlpm.s,1),SUM(1/COUNTIFS($D:$D,D459,$E:$E,E459,$F:$F,"&lt;&gt;N/A",$G:$G,"&lt;&gt;N/A",$F:$F,"&lt;="&amp;_xlpm.p,$G:$G,"&gt;="&amp;_xlpm.p)))))</f>
        <v>3.5</v>
      </c>
      <c r="I459" t="s">
        <v>5436</v>
      </c>
      <c r="J459" t="s">
        <v>5417</v>
      </c>
      <c r="K459" t="s">
        <v>5145</v>
      </c>
      <c r="L459" s="5" t="s">
        <v>7</v>
      </c>
      <c r="M459" s="5" t="s">
        <v>7</v>
      </c>
      <c r="N459" t="s">
        <v>7</v>
      </c>
      <c r="O459" s="5" t="s">
        <v>778</v>
      </c>
      <c r="P459" s="5" t="s">
        <v>7834</v>
      </c>
      <c r="R459" t="b">
        <v>1</v>
      </c>
    </row>
    <row r="460" spans="1:18">
      <c r="A460" t="s">
        <v>3019</v>
      </c>
      <c r="B460" t="s">
        <v>6024</v>
      </c>
      <c r="C460" t="s">
        <v>7769</v>
      </c>
      <c r="D460" s="1">
        <v>5</v>
      </c>
      <c r="E460" s="1">
        <v>4</v>
      </c>
      <c r="F460" s="1">
        <v>111</v>
      </c>
      <c r="G460" s="1">
        <v>125</v>
      </c>
      <c r="H460" s="17" cm="1">
        <f t="array" ref="H460">_xlfn.LET(_xlpm.s,IFERROR(--F460,""),_xlpm.e,IFERROR(--G460,""),IF(OR(_xlpm.s="",_xlpm.e="",_xlpm.e&lt;_xlpm.s),"",_xlfn.LET(_xlpm.p,_xlfn.SEQUENCE(_xlpm.e-_xlpm.s+1,1,_xlpm.s,1),SUM(1/COUNTIFS($D:$D,D460,$E:$E,E460,$F:$F,"&lt;&gt;N/A",$G:$G,"&lt;&gt;N/A",$F:$F,"&lt;="&amp;_xlpm.p,$G:$G,"&gt;="&amp;_xlpm.p)))))</f>
        <v>14.5</v>
      </c>
      <c r="I460" t="s">
        <v>2573</v>
      </c>
      <c r="J460" t="s">
        <v>4346</v>
      </c>
      <c r="K460" t="s">
        <v>7</v>
      </c>
      <c r="L460" s="5" t="s">
        <v>5418</v>
      </c>
      <c r="M460" s="5" t="s">
        <v>5428</v>
      </c>
      <c r="N460" t="s">
        <v>8068</v>
      </c>
      <c r="O460" s="5" t="s">
        <v>5072</v>
      </c>
      <c r="P460" s="5" t="s">
        <v>8021</v>
      </c>
      <c r="Q460" s="5" t="s">
        <v>2509</v>
      </c>
      <c r="R460" t="b">
        <v>1</v>
      </c>
    </row>
    <row r="461" spans="1:18">
      <c r="A461" t="s">
        <v>3019</v>
      </c>
      <c r="B461" t="s">
        <v>6781</v>
      </c>
      <c r="C461" t="s">
        <v>7769</v>
      </c>
      <c r="D461" s="1">
        <v>5</v>
      </c>
      <c r="E461" s="1">
        <v>4</v>
      </c>
      <c r="F461" s="1">
        <v>126</v>
      </c>
      <c r="G461" s="1">
        <v>128</v>
      </c>
      <c r="H461" s="17" cm="1">
        <f t="array" ref="H461">_xlfn.LET(_xlpm.s,IFERROR(--F461,""),_xlpm.e,IFERROR(--G461,""),IF(OR(_xlpm.s="",_xlpm.e="",_xlpm.e&lt;_xlpm.s),"",_xlfn.LET(_xlpm.p,_xlfn.SEQUENCE(_xlpm.e-_xlpm.s+1,1,_xlpm.s,1),SUM(1/COUNTIFS($D:$D,D461,$E:$E,E461,$F:$F,"&lt;&gt;N/A",$G:$G,"&lt;&gt;N/A",$F:$F,"&lt;="&amp;_xlpm.p,$G:$G,"&gt;="&amp;_xlpm.p)))))</f>
        <v>2.5</v>
      </c>
      <c r="I461" t="s">
        <v>624</v>
      </c>
      <c r="J461" t="s">
        <v>1814</v>
      </c>
      <c r="K461" t="s">
        <v>7</v>
      </c>
      <c r="L461" s="5" t="s">
        <v>5234</v>
      </c>
      <c r="M461" s="5" t="s">
        <v>5120</v>
      </c>
      <c r="N461" t="s">
        <v>5429</v>
      </c>
      <c r="O461" s="5" t="s">
        <v>5072</v>
      </c>
      <c r="P461" s="5" t="s">
        <v>8021</v>
      </c>
      <c r="Q461" s="5" t="s">
        <v>2509</v>
      </c>
      <c r="R461" t="b">
        <v>1</v>
      </c>
    </row>
    <row r="462" spans="1:18">
      <c r="A462" t="s">
        <v>3019</v>
      </c>
      <c r="B462" t="s">
        <v>6782</v>
      </c>
      <c r="C462" t="s">
        <v>7769</v>
      </c>
      <c r="D462" s="1">
        <v>5</v>
      </c>
      <c r="E462" s="1">
        <v>4</v>
      </c>
      <c r="F462" s="1">
        <v>128</v>
      </c>
      <c r="G462" s="1">
        <v>128</v>
      </c>
      <c r="H462" s="17" cm="1">
        <f t="array" ref="H462">_xlfn.LET(_xlpm.s,IFERROR(--F462,""),_xlpm.e,IFERROR(--G462,""),IF(OR(_xlpm.s="",_xlpm.e="",_xlpm.e&lt;_xlpm.s),"",_xlfn.LET(_xlpm.p,_xlfn.SEQUENCE(_xlpm.e-_xlpm.s+1,1,_xlpm.s,1),SUM(1/COUNTIFS($D:$D,D462,$E:$E,E462,$F:$F,"&lt;&gt;N/A",$G:$G,"&lt;&gt;N/A",$F:$F,"&lt;="&amp;_xlpm.p,$G:$G,"&gt;="&amp;_xlpm.p)))))</f>
        <v>0.5</v>
      </c>
      <c r="I462" t="s">
        <v>624</v>
      </c>
      <c r="J462" t="s">
        <v>1815</v>
      </c>
      <c r="K462" t="s">
        <v>7</v>
      </c>
      <c r="L462" s="5" t="s">
        <v>5234</v>
      </c>
      <c r="M462" t="s">
        <v>5119</v>
      </c>
      <c r="N462" t="s">
        <v>5430</v>
      </c>
      <c r="O462" s="5" t="s">
        <v>5072</v>
      </c>
      <c r="P462" s="5" t="s">
        <v>8021</v>
      </c>
      <c r="Q462" s="5" t="s">
        <v>2509</v>
      </c>
      <c r="R462" t="b">
        <v>1</v>
      </c>
    </row>
    <row r="463" spans="1:18">
      <c r="A463" t="s">
        <v>3019</v>
      </c>
      <c r="B463" t="s">
        <v>6025</v>
      </c>
      <c r="C463" t="s">
        <v>7777</v>
      </c>
      <c r="D463" s="1">
        <v>5</v>
      </c>
      <c r="E463" s="1">
        <v>5</v>
      </c>
      <c r="F463" s="1">
        <v>129</v>
      </c>
      <c r="G463" s="1">
        <v>130</v>
      </c>
      <c r="H463" s="17" cm="1">
        <f t="array" ref="H463">_xlfn.LET(_xlpm.s,IFERROR(--F463,""),_xlpm.e,IFERROR(--G463,""),IF(OR(_xlpm.s="",_xlpm.e="",_xlpm.e&lt;_xlpm.s),"",_xlfn.LET(_xlpm.p,_xlfn.SEQUENCE(_xlpm.e-_xlpm.s+1,1,_xlpm.s,1),SUM(1/COUNTIFS($D:$D,D463,$E:$E,E463,$F:$F,"&lt;&gt;N/A",$G:$G,"&lt;&gt;N/A",$F:$F,"&lt;="&amp;_xlpm.p,$G:$G,"&gt;="&amp;_xlpm.p)))))</f>
        <v>1.5</v>
      </c>
      <c r="I463" t="s">
        <v>5436</v>
      </c>
      <c r="J463" t="s">
        <v>5412</v>
      </c>
      <c r="K463" t="s">
        <v>7</v>
      </c>
      <c r="L463" s="5" t="s">
        <v>7</v>
      </c>
      <c r="M463" t="s">
        <v>7</v>
      </c>
      <c r="N463" t="s">
        <v>7</v>
      </c>
      <c r="O463" s="5" t="s">
        <v>778</v>
      </c>
      <c r="P463" s="5" t="s">
        <v>7834</v>
      </c>
      <c r="R463" t="b">
        <v>0</v>
      </c>
    </row>
    <row r="464" spans="1:18">
      <c r="A464" t="s">
        <v>3019</v>
      </c>
      <c r="B464" t="s">
        <v>6026</v>
      </c>
      <c r="C464" t="s">
        <v>7777</v>
      </c>
      <c r="D464" s="1">
        <v>5</v>
      </c>
      <c r="E464" s="1">
        <v>5</v>
      </c>
      <c r="F464" s="1">
        <v>130</v>
      </c>
      <c r="G464" s="1">
        <v>132</v>
      </c>
      <c r="H464" s="17" cm="1">
        <f t="array" ref="H464">_xlfn.LET(_xlpm.s,IFERROR(--F464,""),_xlpm.e,IFERROR(--G464,""),IF(OR(_xlpm.s="",_xlpm.e="",_xlpm.e&lt;_xlpm.s),"",_xlfn.LET(_xlpm.p,_xlfn.SEQUENCE(_xlpm.e-_xlpm.s+1,1,_xlpm.s,1),SUM(1/COUNTIFS($D:$D,D464,$E:$E,E464,$F:$F,"&lt;&gt;N/A",$G:$G,"&lt;&gt;N/A",$F:$F,"&lt;="&amp;_xlpm.p,$G:$G,"&gt;="&amp;_xlpm.p)))))</f>
        <v>2</v>
      </c>
      <c r="I464" t="s">
        <v>5436</v>
      </c>
      <c r="J464" t="s">
        <v>5437</v>
      </c>
      <c r="K464" t="s">
        <v>7</v>
      </c>
      <c r="L464" s="5" t="s">
        <v>7</v>
      </c>
      <c r="M464" t="s">
        <v>7</v>
      </c>
      <c r="N464" t="s">
        <v>7</v>
      </c>
      <c r="O464" s="5" t="s">
        <v>778</v>
      </c>
      <c r="P464" s="5" t="s">
        <v>7834</v>
      </c>
      <c r="R464" t="b">
        <v>0</v>
      </c>
    </row>
    <row r="465" spans="1:18">
      <c r="A465" t="s">
        <v>3019</v>
      </c>
      <c r="B465" t="s">
        <v>6027</v>
      </c>
      <c r="C465" t="s">
        <v>7777</v>
      </c>
      <c r="D465" s="1">
        <v>5</v>
      </c>
      <c r="E465" s="1">
        <v>5</v>
      </c>
      <c r="F465" s="1">
        <v>132</v>
      </c>
      <c r="G465" s="1">
        <v>133</v>
      </c>
      <c r="H465" s="17" cm="1">
        <f t="array" ref="H465">_xlfn.LET(_xlpm.s,IFERROR(--F465,""),_xlpm.e,IFERROR(--G465,""),IF(OR(_xlpm.s="",_xlpm.e="",_xlpm.e&lt;_xlpm.s),"",_xlfn.LET(_xlpm.p,_xlfn.SEQUENCE(_xlpm.e-_xlpm.s+1,1,_xlpm.s,1),SUM(1/COUNTIFS($D:$D,D465,$E:$E,E465,$F:$F,"&lt;&gt;N/A",$G:$G,"&lt;&gt;N/A",$F:$F,"&lt;="&amp;_xlpm.p,$G:$G,"&gt;="&amp;_xlpm.p)))))</f>
        <v>1</v>
      </c>
      <c r="I465" t="s">
        <v>5436</v>
      </c>
      <c r="J465" t="s">
        <v>5438</v>
      </c>
      <c r="K465" t="s">
        <v>7</v>
      </c>
      <c r="L465" s="5" t="s">
        <v>7</v>
      </c>
      <c r="M465" t="s">
        <v>7</v>
      </c>
      <c r="N465" t="s">
        <v>7</v>
      </c>
      <c r="O465" s="5" t="s">
        <v>778</v>
      </c>
      <c r="P465" s="5" t="s">
        <v>7834</v>
      </c>
      <c r="R465" t="b">
        <v>0</v>
      </c>
    </row>
    <row r="466" spans="1:18">
      <c r="A466" t="s">
        <v>3019</v>
      </c>
      <c r="B466" t="s">
        <v>6028</v>
      </c>
      <c r="C466" t="s">
        <v>7777</v>
      </c>
      <c r="D466" s="1">
        <v>5</v>
      </c>
      <c r="E466" s="1">
        <v>5</v>
      </c>
      <c r="F466" s="1">
        <v>133</v>
      </c>
      <c r="G466" s="1">
        <v>134</v>
      </c>
      <c r="H466" s="17" cm="1">
        <f t="array" ref="H466">_xlfn.LET(_xlpm.s,IFERROR(--F466,""),_xlpm.e,IFERROR(--G466,""),IF(OR(_xlpm.s="",_xlpm.e="",_xlpm.e&lt;_xlpm.s),"",_xlfn.LET(_xlpm.p,_xlfn.SEQUENCE(_xlpm.e-_xlpm.s+1,1,_xlpm.s,1),SUM(1/COUNTIFS($D:$D,D466,$E:$E,E466,$F:$F,"&lt;&gt;N/A",$G:$G,"&lt;&gt;N/A",$F:$F,"&lt;="&amp;_xlpm.p,$G:$G,"&gt;="&amp;_xlpm.p)))))</f>
        <v>1</v>
      </c>
      <c r="I466" t="s">
        <v>5436</v>
      </c>
      <c r="J466" t="s">
        <v>5439</v>
      </c>
      <c r="K466" t="s">
        <v>7</v>
      </c>
      <c r="L466" s="5" t="s">
        <v>7</v>
      </c>
      <c r="M466" t="s">
        <v>7</v>
      </c>
      <c r="N466" t="s">
        <v>7</v>
      </c>
      <c r="O466" s="5" t="s">
        <v>778</v>
      </c>
      <c r="P466" s="5" t="s">
        <v>7834</v>
      </c>
      <c r="R466" t="b">
        <v>0</v>
      </c>
    </row>
    <row r="467" spans="1:18">
      <c r="A467" t="s">
        <v>3019</v>
      </c>
      <c r="B467" t="s">
        <v>6029</v>
      </c>
      <c r="C467" t="s">
        <v>7777</v>
      </c>
      <c r="D467" s="1">
        <v>5</v>
      </c>
      <c r="E467" s="1">
        <v>5</v>
      </c>
      <c r="F467" s="1">
        <v>134</v>
      </c>
      <c r="G467" s="1">
        <v>135</v>
      </c>
      <c r="H467" s="17" cm="1">
        <f t="array" ref="H467">_xlfn.LET(_xlpm.s,IFERROR(--F467,""),_xlpm.e,IFERROR(--G467,""),IF(OR(_xlpm.s="",_xlpm.e="",_xlpm.e&lt;_xlpm.s),"",_xlfn.LET(_xlpm.p,_xlfn.SEQUENCE(_xlpm.e-_xlpm.s+1,1,_xlpm.s,1),SUM(1/COUNTIFS($D:$D,D467,$E:$E,E467,$F:$F,"&lt;&gt;N/A",$G:$G,"&lt;&gt;N/A",$F:$F,"&lt;="&amp;_xlpm.p,$G:$G,"&gt;="&amp;_xlpm.p)))))</f>
        <v>1.5</v>
      </c>
      <c r="I467" t="s">
        <v>5436</v>
      </c>
      <c r="J467" t="s">
        <v>5440</v>
      </c>
      <c r="K467" t="s">
        <v>7</v>
      </c>
      <c r="L467" s="5" t="s">
        <v>7</v>
      </c>
      <c r="M467" t="s">
        <v>7</v>
      </c>
      <c r="N467" t="s">
        <v>7</v>
      </c>
      <c r="O467" s="5" t="s">
        <v>778</v>
      </c>
      <c r="P467" s="5" t="s">
        <v>7834</v>
      </c>
      <c r="R467" t="b">
        <v>0</v>
      </c>
    </row>
    <row r="468" spans="1:18">
      <c r="A468" t="s">
        <v>3019</v>
      </c>
      <c r="B468" t="s">
        <v>6030</v>
      </c>
      <c r="C468" t="s">
        <v>7777</v>
      </c>
      <c r="D468" s="1">
        <v>5</v>
      </c>
      <c r="E468" s="1">
        <v>5</v>
      </c>
      <c r="F468" s="1">
        <v>136</v>
      </c>
      <c r="G468" s="1">
        <v>139</v>
      </c>
      <c r="H468" s="17" cm="1">
        <f t="array" ref="H468">_xlfn.LET(_xlpm.s,IFERROR(--F468,""),_xlpm.e,IFERROR(--G468,""),IF(OR(_xlpm.s="",_xlpm.e="",_xlpm.e&lt;_xlpm.s),"",_xlfn.LET(_xlpm.p,_xlfn.SEQUENCE(_xlpm.e-_xlpm.s+1,1,_xlpm.s,1),SUM(1/COUNTIFS($D:$D,D468,$E:$E,E468,$F:$F,"&lt;&gt;N/A",$G:$G,"&lt;&gt;N/A",$F:$F,"&lt;="&amp;_xlpm.p,$G:$G,"&gt;="&amp;_xlpm.p)))))</f>
        <v>3.5</v>
      </c>
      <c r="I468" t="s">
        <v>5436</v>
      </c>
      <c r="J468" t="s">
        <v>5441</v>
      </c>
      <c r="K468" t="s">
        <v>2500</v>
      </c>
      <c r="L468" s="5" t="s">
        <v>7</v>
      </c>
      <c r="M468" t="s">
        <v>7</v>
      </c>
      <c r="N468" t="s">
        <v>7</v>
      </c>
      <c r="O468" s="5" t="s">
        <v>778</v>
      </c>
      <c r="P468" s="5" t="s">
        <v>7834</v>
      </c>
      <c r="R468" t="b">
        <v>1</v>
      </c>
    </row>
    <row r="469" spans="1:18">
      <c r="A469" t="s">
        <v>3019</v>
      </c>
      <c r="B469" t="s">
        <v>6031</v>
      </c>
      <c r="C469" t="s">
        <v>7777</v>
      </c>
      <c r="D469" s="1">
        <v>5</v>
      </c>
      <c r="E469" s="1">
        <v>5</v>
      </c>
      <c r="F469" s="1">
        <v>139</v>
      </c>
      <c r="G469" s="1">
        <v>155</v>
      </c>
      <c r="H469" s="17" cm="1">
        <f t="array" ref="H469">_xlfn.LET(_xlpm.s,IFERROR(--F469,""),_xlpm.e,IFERROR(--G469,""),IF(OR(_xlpm.s="",_xlpm.e="",_xlpm.e&lt;_xlpm.s),"",_xlfn.LET(_xlpm.p,_xlfn.SEQUENCE(_xlpm.e-_xlpm.s+1,1,_xlpm.s,1),SUM(1/COUNTIFS($D:$D,D469,$E:$E,E469,$F:$F,"&lt;&gt;N/A",$G:$G,"&lt;&gt;N/A",$F:$F,"&lt;="&amp;_xlpm.p,$G:$G,"&gt;="&amp;_xlpm.p)))))</f>
        <v>16.5</v>
      </c>
      <c r="I469" t="s">
        <v>5436</v>
      </c>
      <c r="J469" t="s">
        <v>5431</v>
      </c>
      <c r="K469" t="s">
        <v>2440</v>
      </c>
      <c r="L469" s="5" t="s">
        <v>7</v>
      </c>
      <c r="M469" t="s">
        <v>7</v>
      </c>
      <c r="N469" t="s">
        <v>7</v>
      </c>
      <c r="O469" s="5" t="s">
        <v>778</v>
      </c>
      <c r="P469" s="5" t="s">
        <v>7834</v>
      </c>
      <c r="R469" t="b">
        <v>1</v>
      </c>
    </row>
    <row r="470" spans="1:18">
      <c r="A470" t="s">
        <v>3019</v>
      </c>
      <c r="B470" t="s">
        <v>6783</v>
      </c>
      <c r="C470" t="s">
        <v>7777</v>
      </c>
      <c r="D470" s="1">
        <v>5</v>
      </c>
      <c r="E470" s="1">
        <v>5</v>
      </c>
      <c r="F470" s="1">
        <v>156</v>
      </c>
      <c r="G470" s="1">
        <v>159</v>
      </c>
      <c r="H470" s="17" cm="1">
        <f t="array" ref="H470">_xlfn.LET(_xlpm.s,IFERROR(--F470,""),_xlpm.e,IFERROR(--G470,""),IF(OR(_xlpm.s="",_xlpm.e="",_xlpm.e&lt;_xlpm.s),"",_xlfn.LET(_xlpm.p,_xlfn.SEQUENCE(_xlpm.e-_xlpm.s+1,1,_xlpm.s,1),SUM(1/COUNTIFS($D:$D,D470,$E:$E,E470,$F:$F,"&lt;&gt;N/A",$G:$G,"&lt;&gt;N/A",$F:$F,"&lt;="&amp;_xlpm.p,$G:$G,"&gt;="&amp;_xlpm.p)))))</f>
        <v>3.5</v>
      </c>
      <c r="I470" t="s">
        <v>170</v>
      </c>
      <c r="J470" t="s">
        <v>1816</v>
      </c>
      <c r="K470" t="s">
        <v>7</v>
      </c>
      <c r="L470" s="5" t="s">
        <v>5432</v>
      </c>
      <c r="M470" t="s">
        <v>7</v>
      </c>
      <c r="N470" t="s">
        <v>7</v>
      </c>
      <c r="O470" s="5" t="s">
        <v>11522</v>
      </c>
      <c r="P470" s="5" t="s">
        <v>10179</v>
      </c>
      <c r="Q470" s="5" t="s">
        <v>2509</v>
      </c>
      <c r="R470" t="b">
        <v>1</v>
      </c>
    </row>
    <row r="471" spans="1:18">
      <c r="A471" t="s">
        <v>3019</v>
      </c>
      <c r="B471" t="s">
        <v>6784</v>
      </c>
      <c r="C471" t="s">
        <v>7777</v>
      </c>
      <c r="D471" s="1">
        <v>5</v>
      </c>
      <c r="E471" s="1">
        <v>5</v>
      </c>
      <c r="F471" s="1">
        <v>159</v>
      </c>
      <c r="G471" s="1">
        <v>160</v>
      </c>
      <c r="H471" s="17" cm="1">
        <f t="array" ref="H471">_xlfn.LET(_xlpm.s,IFERROR(--F471,""),_xlpm.e,IFERROR(--G471,""),IF(OR(_xlpm.s="",_xlpm.e="",_xlpm.e&lt;_xlpm.s),"",_xlfn.LET(_xlpm.p,_xlfn.SEQUENCE(_xlpm.e-_xlpm.s+1,1,_xlpm.s,1),SUM(1/COUNTIFS($D:$D,D471,$E:$E,E471,$F:$F,"&lt;&gt;N/A",$G:$G,"&lt;&gt;N/A",$F:$F,"&lt;="&amp;_xlpm.p,$G:$G,"&gt;="&amp;_xlpm.p)))))</f>
        <v>1.5</v>
      </c>
      <c r="I471" t="s">
        <v>170</v>
      </c>
      <c r="J471" t="s">
        <v>1817</v>
      </c>
      <c r="K471" t="s">
        <v>7</v>
      </c>
      <c r="L471" s="5" t="s">
        <v>4640</v>
      </c>
      <c r="M471" t="s">
        <v>7</v>
      </c>
      <c r="N471" t="s">
        <v>7</v>
      </c>
      <c r="O471" s="5" t="s">
        <v>11522</v>
      </c>
      <c r="P471" s="5" t="s">
        <v>8021</v>
      </c>
      <c r="R471" t="b">
        <v>1</v>
      </c>
    </row>
    <row r="472" spans="1:18">
      <c r="A472" t="s">
        <v>3019</v>
      </c>
      <c r="B472" t="s">
        <v>6032</v>
      </c>
      <c r="C472" t="s">
        <v>7785</v>
      </c>
      <c r="D472" s="1">
        <v>5</v>
      </c>
      <c r="E472" s="1">
        <v>6</v>
      </c>
      <c r="F472" s="1">
        <v>161</v>
      </c>
      <c r="G472" s="1">
        <v>162</v>
      </c>
      <c r="H472" s="17" cm="1">
        <f t="array" ref="H472">_xlfn.LET(_xlpm.s,IFERROR(--F472,""),_xlpm.e,IFERROR(--G472,""),IF(OR(_xlpm.s="",_xlpm.e="",_xlpm.e&lt;_xlpm.s),"",_xlfn.LET(_xlpm.p,_xlfn.SEQUENCE(_xlpm.e-_xlpm.s+1,1,_xlpm.s,1),SUM(1/COUNTIFS($D:$D,D472,$E:$E,E472,$F:$F,"&lt;&gt;N/A",$G:$G,"&lt;&gt;N/A",$F:$F,"&lt;="&amp;_xlpm.p,$G:$G,"&gt;="&amp;_xlpm.p)))))</f>
        <v>1.5</v>
      </c>
      <c r="I472" t="s">
        <v>5436</v>
      </c>
      <c r="J472" t="s">
        <v>5197</v>
      </c>
      <c r="K472" t="s">
        <v>7</v>
      </c>
      <c r="L472" s="5" t="s">
        <v>7</v>
      </c>
      <c r="M472" t="s">
        <v>7</v>
      </c>
      <c r="N472" t="s">
        <v>7</v>
      </c>
      <c r="O472" s="5" t="s">
        <v>778</v>
      </c>
      <c r="P472" s="5" t="s">
        <v>7834</v>
      </c>
      <c r="R472" t="b">
        <v>0</v>
      </c>
    </row>
    <row r="473" spans="1:18">
      <c r="A473" t="s">
        <v>3019</v>
      </c>
      <c r="B473" t="s">
        <v>6033</v>
      </c>
      <c r="C473" t="s">
        <v>7785</v>
      </c>
      <c r="D473" s="1">
        <v>5</v>
      </c>
      <c r="E473" s="1">
        <v>6</v>
      </c>
      <c r="F473" s="1">
        <v>162</v>
      </c>
      <c r="G473" s="1">
        <v>165</v>
      </c>
      <c r="H473" s="17" cm="1">
        <f t="array" ref="H473">_xlfn.LET(_xlpm.s,IFERROR(--F473,""),_xlpm.e,IFERROR(--G473,""),IF(OR(_xlpm.s="",_xlpm.e="",_xlpm.e&lt;_xlpm.s),"",_xlfn.LET(_xlpm.p,_xlfn.SEQUENCE(_xlpm.e-_xlpm.s+1,1,_xlpm.s,1),SUM(1/COUNTIFS($D:$D,D473,$E:$E,E473,$F:$F,"&lt;&gt;N/A",$G:$G,"&lt;&gt;N/A",$F:$F,"&lt;="&amp;_xlpm.p,$G:$G,"&gt;="&amp;_xlpm.p)))))</f>
        <v>3</v>
      </c>
      <c r="I473" t="s">
        <v>5436</v>
      </c>
      <c r="J473" t="s">
        <v>5198</v>
      </c>
      <c r="K473" t="s">
        <v>7</v>
      </c>
      <c r="L473" s="5" t="s">
        <v>7</v>
      </c>
      <c r="M473" t="s">
        <v>7</v>
      </c>
      <c r="N473" t="s">
        <v>7</v>
      </c>
      <c r="O473" s="5" t="s">
        <v>778</v>
      </c>
      <c r="P473" s="5" t="s">
        <v>7834</v>
      </c>
      <c r="R473" t="b">
        <v>0</v>
      </c>
    </row>
    <row r="474" spans="1:18">
      <c r="A474" t="s">
        <v>3019</v>
      </c>
      <c r="B474" t="s">
        <v>6034</v>
      </c>
      <c r="C474" t="s">
        <v>7785</v>
      </c>
      <c r="D474" s="1">
        <v>5</v>
      </c>
      <c r="E474" s="1">
        <v>6</v>
      </c>
      <c r="F474" s="1">
        <v>165</v>
      </c>
      <c r="G474" s="1">
        <v>166</v>
      </c>
      <c r="H474" s="17" cm="1">
        <f t="array" ref="H474">_xlfn.LET(_xlpm.s,IFERROR(--F474,""),_xlpm.e,IFERROR(--G474,""),IF(OR(_xlpm.s="",_xlpm.e="",_xlpm.e&lt;_xlpm.s),"",_xlfn.LET(_xlpm.p,_xlfn.SEQUENCE(_xlpm.e-_xlpm.s+1,1,_xlpm.s,1),SUM(1/COUNTIFS($D:$D,D474,$E:$E,E474,$F:$F,"&lt;&gt;N/A",$G:$G,"&lt;&gt;N/A",$F:$F,"&lt;="&amp;_xlpm.p,$G:$G,"&gt;="&amp;_xlpm.p)))))</f>
        <v>1</v>
      </c>
      <c r="I474" t="s">
        <v>5436</v>
      </c>
      <c r="J474" t="s">
        <v>5442</v>
      </c>
      <c r="K474" t="s">
        <v>7</v>
      </c>
      <c r="L474" s="5" t="s">
        <v>7</v>
      </c>
      <c r="M474" t="s">
        <v>7</v>
      </c>
      <c r="N474" t="s">
        <v>7</v>
      </c>
      <c r="O474" s="5" t="s">
        <v>778</v>
      </c>
      <c r="P474" s="5" t="s">
        <v>7834</v>
      </c>
      <c r="R474" t="b">
        <v>0</v>
      </c>
    </row>
    <row r="475" spans="1:18">
      <c r="A475" t="s">
        <v>3019</v>
      </c>
      <c r="B475" t="s">
        <v>6035</v>
      </c>
      <c r="C475" t="s">
        <v>7785</v>
      </c>
      <c r="D475" s="1">
        <v>5</v>
      </c>
      <c r="E475" s="1">
        <v>6</v>
      </c>
      <c r="F475" s="1">
        <v>166</v>
      </c>
      <c r="G475" s="1">
        <v>175</v>
      </c>
      <c r="H475" s="17" cm="1">
        <f t="array" ref="H475">_xlfn.LET(_xlpm.s,IFERROR(--F475,""),_xlpm.e,IFERROR(--G475,""),IF(OR(_xlpm.s="",_xlpm.e="",_xlpm.e&lt;_xlpm.s),"",_xlfn.LET(_xlpm.p,_xlfn.SEQUENCE(_xlpm.e-_xlpm.s+1,1,_xlpm.s,1),SUM(1/COUNTIFS($D:$D,D475,$E:$E,E475,$F:$F,"&lt;&gt;N/A",$G:$G,"&lt;&gt;N/A",$F:$F,"&lt;="&amp;_xlpm.p,$G:$G,"&gt;="&amp;_xlpm.p)))))</f>
        <v>9</v>
      </c>
      <c r="I475" t="s">
        <v>2573</v>
      </c>
      <c r="J475" t="s">
        <v>5199</v>
      </c>
      <c r="K475" t="s">
        <v>7</v>
      </c>
      <c r="L475" s="5" t="s">
        <v>5200</v>
      </c>
      <c r="M475" s="5" t="s">
        <v>5428</v>
      </c>
      <c r="N475" t="s">
        <v>8069</v>
      </c>
      <c r="O475" s="5" t="s">
        <v>5072</v>
      </c>
      <c r="P475" s="5" t="s">
        <v>8021</v>
      </c>
      <c r="R475" t="b">
        <v>1</v>
      </c>
    </row>
    <row r="476" spans="1:18">
      <c r="A476" t="s">
        <v>3019</v>
      </c>
      <c r="B476" t="s">
        <v>6036</v>
      </c>
      <c r="C476" t="s">
        <v>7785</v>
      </c>
      <c r="D476" s="1">
        <v>5</v>
      </c>
      <c r="E476" s="1">
        <v>6</v>
      </c>
      <c r="F476" s="1">
        <v>175</v>
      </c>
      <c r="G476" s="1">
        <v>179</v>
      </c>
      <c r="H476" s="17" cm="1">
        <f t="array" ref="H476">_xlfn.LET(_xlpm.s,IFERROR(--F476,""),_xlpm.e,IFERROR(--G476,""),IF(OR(_xlpm.s="",_xlpm.e="",_xlpm.e&lt;_xlpm.s),"",_xlfn.LET(_xlpm.p,_xlfn.SEQUENCE(_xlpm.e-_xlpm.s+1,1,_xlpm.s,1),SUM(1/COUNTIFS($D:$D,D476,$E:$E,E476,$F:$F,"&lt;&gt;N/A",$G:$G,"&lt;&gt;N/A",$F:$F,"&lt;="&amp;_xlpm.p,$G:$G,"&gt;="&amp;_xlpm.p)))))</f>
        <v>4.5</v>
      </c>
      <c r="I476" t="s">
        <v>2573</v>
      </c>
      <c r="J476" t="s">
        <v>1818</v>
      </c>
      <c r="K476" t="s">
        <v>4641</v>
      </c>
      <c r="L476" s="5" t="s">
        <v>7</v>
      </c>
      <c r="M476" s="5" t="s">
        <v>7</v>
      </c>
      <c r="N476" t="s">
        <v>7</v>
      </c>
      <c r="O476" s="5" t="s">
        <v>778</v>
      </c>
      <c r="P476" s="5" t="s">
        <v>7834</v>
      </c>
      <c r="R476" t="b">
        <v>1</v>
      </c>
    </row>
    <row r="477" spans="1:18">
      <c r="A477" t="s">
        <v>3019</v>
      </c>
      <c r="B477" t="s">
        <v>6037</v>
      </c>
      <c r="C477" t="s">
        <v>7785</v>
      </c>
      <c r="D477" s="1">
        <v>5</v>
      </c>
      <c r="E477" s="1">
        <v>6</v>
      </c>
      <c r="F477" s="1">
        <v>180</v>
      </c>
      <c r="G477" s="1">
        <v>183</v>
      </c>
      <c r="H477" s="17" cm="1">
        <f t="array" ref="H477">_xlfn.LET(_xlpm.s,IFERROR(--F477,""),_xlpm.e,IFERROR(--G477,""),IF(OR(_xlpm.s="",_xlpm.e="",_xlpm.e&lt;_xlpm.s),"",_xlfn.LET(_xlpm.p,_xlfn.SEQUENCE(_xlpm.e-_xlpm.s+1,1,_xlpm.s,1),SUM(1/COUNTIFS($D:$D,D477,$E:$E,E477,$F:$F,"&lt;&gt;N/A",$G:$G,"&lt;&gt;N/A",$F:$F,"&lt;="&amp;_xlpm.p,$G:$G,"&gt;="&amp;_xlpm.p)))))</f>
        <v>3.5</v>
      </c>
      <c r="I477" t="s">
        <v>2581</v>
      </c>
      <c r="J477" t="s">
        <v>5375</v>
      </c>
      <c r="K477" t="s">
        <v>7</v>
      </c>
      <c r="L477" s="5" t="s">
        <v>5234</v>
      </c>
      <c r="M477" t="s">
        <v>5120</v>
      </c>
      <c r="N477" t="s">
        <v>5380</v>
      </c>
      <c r="O477" s="5" t="s">
        <v>5072</v>
      </c>
      <c r="P477" s="5" t="s">
        <v>8021</v>
      </c>
      <c r="Q477" t="s">
        <v>2509</v>
      </c>
      <c r="R477" t="b">
        <v>1</v>
      </c>
    </row>
    <row r="478" spans="1:18">
      <c r="A478" t="s">
        <v>3019</v>
      </c>
      <c r="B478" t="s">
        <v>6038</v>
      </c>
      <c r="C478" t="s">
        <v>7785</v>
      </c>
      <c r="D478" s="1">
        <v>5</v>
      </c>
      <c r="E478" s="1">
        <v>6</v>
      </c>
      <c r="F478" s="1">
        <v>183</v>
      </c>
      <c r="G478" s="1">
        <v>185</v>
      </c>
      <c r="H478" s="17" cm="1">
        <f t="array" ref="H478">_xlfn.LET(_xlpm.s,IFERROR(--F478,""),_xlpm.e,IFERROR(--G478,""),IF(OR(_xlpm.s="",_xlpm.e="",_xlpm.e&lt;_xlpm.s),"",_xlfn.LET(_xlpm.p,_xlfn.SEQUENCE(_xlpm.e-_xlpm.s+1,1,_xlpm.s,1),SUM(1/COUNTIFS($D:$D,D478,$E:$E,E478,$F:$F,"&lt;&gt;N/A",$G:$G,"&lt;&gt;N/A",$F:$F,"&lt;="&amp;_xlpm.p,$G:$G,"&gt;="&amp;_xlpm.p)))))</f>
        <v>2</v>
      </c>
      <c r="I478" t="s">
        <v>2581</v>
      </c>
      <c r="J478" t="s">
        <v>5374</v>
      </c>
      <c r="K478" t="s">
        <v>7</v>
      </c>
      <c r="L478" s="5" t="s">
        <v>5234</v>
      </c>
      <c r="M478" t="s">
        <v>5120</v>
      </c>
      <c r="N478" t="s">
        <v>5379</v>
      </c>
      <c r="O478" s="5" t="s">
        <v>5072</v>
      </c>
      <c r="P478" s="5" t="s">
        <v>8021</v>
      </c>
      <c r="Q478" t="s">
        <v>2509</v>
      </c>
      <c r="R478" t="b">
        <v>1</v>
      </c>
    </row>
    <row r="479" spans="1:18">
      <c r="A479" t="s">
        <v>3019</v>
      </c>
      <c r="B479" t="s">
        <v>6039</v>
      </c>
      <c r="C479" t="s">
        <v>7785</v>
      </c>
      <c r="D479" s="1">
        <v>5</v>
      </c>
      <c r="E479" s="1">
        <v>6</v>
      </c>
      <c r="F479" s="1">
        <v>185</v>
      </c>
      <c r="G479" s="1">
        <v>187</v>
      </c>
      <c r="H479" s="17" cm="1">
        <f t="array" ref="H479">_xlfn.LET(_xlpm.s,IFERROR(--F479,""),_xlpm.e,IFERROR(--G479,""),IF(OR(_xlpm.s="",_xlpm.e="",_xlpm.e&lt;_xlpm.s),"",_xlfn.LET(_xlpm.p,_xlfn.SEQUENCE(_xlpm.e-_xlpm.s+1,1,_xlpm.s,1),SUM(1/COUNTIFS($D:$D,D479,$E:$E,E479,$F:$F,"&lt;&gt;N/A",$G:$G,"&lt;&gt;N/A",$F:$F,"&lt;="&amp;_xlpm.p,$G:$G,"&gt;="&amp;_xlpm.p)))))</f>
        <v>2</v>
      </c>
      <c r="I479" t="s">
        <v>2581</v>
      </c>
      <c r="J479" t="s">
        <v>5376</v>
      </c>
      <c r="K479" t="s">
        <v>7</v>
      </c>
      <c r="L479" s="5" t="s">
        <v>5234</v>
      </c>
      <c r="M479" t="s">
        <v>5120</v>
      </c>
      <c r="N479" t="s">
        <v>5378</v>
      </c>
      <c r="O479" s="5" t="s">
        <v>5072</v>
      </c>
      <c r="P479" s="5" t="s">
        <v>8021</v>
      </c>
      <c r="Q479" t="s">
        <v>2509</v>
      </c>
      <c r="R479" t="b">
        <v>1</v>
      </c>
    </row>
    <row r="480" spans="1:18">
      <c r="A480" t="s">
        <v>3019</v>
      </c>
      <c r="B480" t="s">
        <v>6785</v>
      </c>
      <c r="C480" t="s">
        <v>7785</v>
      </c>
      <c r="D480" s="1">
        <v>5</v>
      </c>
      <c r="E480" s="1">
        <v>6</v>
      </c>
      <c r="F480" s="1">
        <v>187</v>
      </c>
      <c r="G480" s="1">
        <v>189</v>
      </c>
      <c r="H480" s="17" cm="1">
        <f t="array" ref="H480">_xlfn.LET(_xlpm.s,IFERROR(--F480,""),_xlpm.e,IFERROR(--G480,""),IF(OR(_xlpm.s="",_xlpm.e="",_xlpm.e&lt;_xlpm.s),"",_xlfn.LET(_xlpm.p,_xlfn.SEQUENCE(_xlpm.e-_xlpm.s+1,1,_xlpm.s,1),SUM(1/COUNTIFS($D:$D,D480,$E:$E,E480,$F:$F,"&lt;&gt;N/A",$G:$G,"&lt;&gt;N/A",$F:$F,"&lt;="&amp;_xlpm.p,$G:$G,"&gt;="&amp;_xlpm.p)))))</f>
        <v>2</v>
      </c>
      <c r="I480" t="s">
        <v>2581</v>
      </c>
      <c r="J480" t="s">
        <v>5377</v>
      </c>
      <c r="K480" t="s">
        <v>7</v>
      </c>
      <c r="L480" s="5" t="s">
        <v>5234</v>
      </c>
      <c r="M480" t="s">
        <v>5120</v>
      </c>
      <c r="N480" t="s">
        <v>5381</v>
      </c>
      <c r="O480" s="5" t="s">
        <v>5072</v>
      </c>
      <c r="P480" s="5" t="s">
        <v>8021</v>
      </c>
      <c r="Q480" t="s">
        <v>2509</v>
      </c>
      <c r="R480" t="b">
        <v>1</v>
      </c>
    </row>
    <row r="481" spans="1:18">
      <c r="A481" t="s">
        <v>3019</v>
      </c>
      <c r="B481" t="s">
        <v>6786</v>
      </c>
      <c r="C481" t="s">
        <v>7785</v>
      </c>
      <c r="D481" s="1">
        <v>5</v>
      </c>
      <c r="E481" s="1">
        <v>6</v>
      </c>
      <c r="F481" s="1">
        <v>189</v>
      </c>
      <c r="G481" s="1">
        <v>192</v>
      </c>
      <c r="H481" s="17" cm="1">
        <f t="array" ref="H481">_xlfn.LET(_xlpm.s,IFERROR(--F481,""),_xlpm.e,IFERROR(--G481,""),IF(OR(_xlpm.s="",_xlpm.e="",_xlpm.e&lt;_xlpm.s),"",_xlfn.LET(_xlpm.p,_xlfn.SEQUENCE(_xlpm.e-_xlpm.s+1,1,_xlpm.s,1),SUM(1/COUNTIFS($D:$D,D481,$E:$E,E481,$F:$F,"&lt;&gt;N/A",$G:$G,"&lt;&gt;N/A",$F:$F,"&lt;="&amp;_xlpm.p,$G:$G,"&gt;="&amp;_xlpm.p)))))</f>
        <v>3.5</v>
      </c>
      <c r="I481" t="s">
        <v>170</v>
      </c>
      <c r="J481" t="s">
        <v>5382</v>
      </c>
      <c r="K481" t="s">
        <v>7</v>
      </c>
      <c r="L481" s="5" t="s">
        <v>4998</v>
      </c>
      <c r="M481" t="s">
        <v>7</v>
      </c>
      <c r="N481" t="s">
        <v>7</v>
      </c>
      <c r="O481" s="5" t="s">
        <v>5072</v>
      </c>
      <c r="P481" s="5" t="s">
        <v>8021</v>
      </c>
      <c r="Q481" s="5" t="s">
        <v>2509</v>
      </c>
      <c r="R481" t="b">
        <v>1</v>
      </c>
    </row>
    <row r="482" spans="1:18">
      <c r="A482" t="s">
        <v>3019</v>
      </c>
      <c r="B482" t="s">
        <v>6040</v>
      </c>
      <c r="C482" t="s">
        <v>7793</v>
      </c>
      <c r="D482" s="1">
        <v>5</v>
      </c>
      <c r="E482" s="1">
        <v>7</v>
      </c>
      <c r="F482" s="1">
        <v>193</v>
      </c>
      <c r="G482" s="1">
        <v>195</v>
      </c>
      <c r="H482" s="17" cm="1">
        <f t="array" ref="H482">_xlfn.LET(_xlpm.s,IFERROR(--F482,""),_xlpm.e,IFERROR(--G482,""),IF(OR(_xlpm.s="",_xlpm.e="",_xlpm.e&lt;_xlpm.s),"",_xlfn.LET(_xlpm.p,_xlfn.SEQUENCE(_xlpm.e-_xlpm.s+1,1,_xlpm.s,1),SUM(1/COUNTIFS($D:$D,D482,$E:$E,E482,$F:$F,"&lt;&gt;N/A",$G:$G,"&lt;&gt;N/A",$F:$F,"&lt;="&amp;_xlpm.p,$G:$G,"&gt;="&amp;_xlpm.p)))))</f>
        <v>3</v>
      </c>
      <c r="I482" t="s">
        <v>5436</v>
      </c>
      <c r="J482" t="s">
        <v>5444</v>
      </c>
      <c r="K482" t="s">
        <v>7</v>
      </c>
      <c r="L482" s="5" t="s">
        <v>7</v>
      </c>
      <c r="M482" t="s">
        <v>7</v>
      </c>
      <c r="N482" t="s">
        <v>7</v>
      </c>
      <c r="O482" s="5" t="s">
        <v>778</v>
      </c>
      <c r="P482" s="5" t="s">
        <v>7834</v>
      </c>
      <c r="R482" t="b">
        <v>0</v>
      </c>
    </row>
    <row r="483" spans="1:18">
      <c r="A483" t="s">
        <v>3019</v>
      </c>
      <c r="B483" t="s">
        <v>6041</v>
      </c>
      <c r="C483" t="s">
        <v>7793</v>
      </c>
      <c r="D483" s="1">
        <v>5</v>
      </c>
      <c r="E483" s="1">
        <v>7</v>
      </c>
      <c r="F483" s="1">
        <v>196</v>
      </c>
      <c r="G483" s="1">
        <v>197</v>
      </c>
      <c r="H483" s="17" cm="1">
        <f t="array" ref="H483">_xlfn.LET(_xlpm.s,IFERROR(--F483,""),_xlpm.e,IFERROR(--G483,""),IF(OR(_xlpm.s="",_xlpm.e="",_xlpm.e&lt;_xlpm.s),"",_xlfn.LET(_xlpm.p,_xlfn.SEQUENCE(_xlpm.e-_xlpm.s+1,1,_xlpm.s,1),SUM(1/COUNTIFS($D:$D,D483,$E:$E,E483,$F:$F,"&lt;&gt;N/A",$G:$G,"&lt;&gt;N/A",$F:$F,"&lt;="&amp;_xlpm.p,$G:$G,"&gt;="&amp;_xlpm.p)))))</f>
        <v>1.5</v>
      </c>
      <c r="I483" t="s">
        <v>5436</v>
      </c>
      <c r="J483" t="s">
        <v>5445</v>
      </c>
      <c r="K483" t="s">
        <v>7</v>
      </c>
      <c r="L483" s="5" t="s">
        <v>7</v>
      </c>
      <c r="M483" t="s">
        <v>7</v>
      </c>
      <c r="N483" t="s">
        <v>7</v>
      </c>
      <c r="O483" s="5" t="s">
        <v>778</v>
      </c>
      <c r="P483" s="5" t="s">
        <v>7834</v>
      </c>
      <c r="R483" t="b">
        <v>0</v>
      </c>
    </row>
    <row r="484" spans="1:18">
      <c r="A484" t="s">
        <v>3019</v>
      </c>
      <c r="B484" t="s">
        <v>6042</v>
      </c>
      <c r="C484" t="s">
        <v>7793</v>
      </c>
      <c r="D484" s="1">
        <v>5</v>
      </c>
      <c r="E484" s="1">
        <v>7</v>
      </c>
      <c r="F484" s="1">
        <v>197</v>
      </c>
      <c r="G484" s="1">
        <v>198</v>
      </c>
      <c r="H484" s="17" cm="1">
        <f t="array" ref="H484">_xlfn.LET(_xlpm.s,IFERROR(--F484,""),_xlpm.e,IFERROR(--G484,""),IF(OR(_xlpm.s="",_xlpm.e="",_xlpm.e&lt;_xlpm.s),"",_xlfn.LET(_xlpm.p,_xlfn.SEQUENCE(_xlpm.e-_xlpm.s+1,1,_xlpm.s,1),SUM(1/COUNTIFS($D:$D,D484,$E:$E,E484,$F:$F,"&lt;&gt;N/A",$G:$G,"&lt;&gt;N/A",$F:$F,"&lt;="&amp;_xlpm.p,$G:$G,"&gt;="&amp;_xlpm.p)))))</f>
        <v>1</v>
      </c>
      <c r="I484" t="s">
        <v>5436</v>
      </c>
      <c r="J484" t="s">
        <v>5446</v>
      </c>
      <c r="K484" t="s">
        <v>7</v>
      </c>
      <c r="L484" s="5" t="s">
        <v>7</v>
      </c>
      <c r="M484" t="s">
        <v>7</v>
      </c>
      <c r="N484" t="s">
        <v>7</v>
      </c>
      <c r="O484" s="5" t="s">
        <v>778</v>
      </c>
      <c r="P484" s="5" t="s">
        <v>7834</v>
      </c>
      <c r="R484" t="b">
        <v>0</v>
      </c>
    </row>
    <row r="485" spans="1:18">
      <c r="A485" t="s">
        <v>3019</v>
      </c>
      <c r="B485" t="s">
        <v>6043</v>
      </c>
      <c r="C485" t="s">
        <v>7793</v>
      </c>
      <c r="D485" s="1">
        <v>5</v>
      </c>
      <c r="E485" s="1">
        <v>7</v>
      </c>
      <c r="F485" s="1">
        <v>198</v>
      </c>
      <c r="G485" s="1">
        <v>200</v>
      </c>
      <c r="H485" s="17" cm="1">
        <f t="array" ref="H485">_xlfn.LET(_xlpm.s,IFERROR(--F485,""),_xlpm.e,IFERROR(--G485,""),IF(OR(_xlpm.s="",_xlpm.e="",_xlpm.e&lt;_xlpm.s),"",_xlfn.LET(_xlpm.p,_xlfn.SEQUENCE(_xlpm.e-_xlpm.s+1,1,_xlpm.s,1),SUM(1/COUNTIFS($D:$D,D485,$E:$E,E485,$F:$F,"&lt;&gt;N/A",$G:$G,"&lt;&gt;N/A",$F:$F,"&lt;="&amp;_xlpm.p,$G:$G,"&gt;="&amp;_xlpm.p)))))</f>
        <v>2.5</v>
      </c>
      <c r="I485" t="s">
        <v>5436</v>
      </c>
      <c r="J485" t="s">
        <v>5443</v>
      </c>
      <c r="K485" t="s">
        <v>7</v>
      </c>
      <c r="L485" s="5" t="s">
        <v>7</v>
      </c>
      <c r="M485" t="s">
        <v>7</v>
      </c>
      <c r="N485" t="s">
        <v>7</v>
      </c>
      <c r="O485" s="5" t="s">
        <v>778</v>
      </c>
      <c r="P485" s="5" t="s">
        <v>7834</v>
      </c>
      <c r="R485" t="b">
        <v>0</v>
      </c>
    </row>
    <row r="486" spans="1:18">
      <c r="A486" t="s">
        <v>3019</v>
      </c>
      <c r="B486" t="s">
        <v>6044</v>
      </c>
      <c r="C486" t="s">
        <v>7793</v>
      </c>
      <c r="D486" s="1">
        <v>5</v>
      </c>
      <c r="E486" s="1">
        <v>7</v>
      </c>
      <c r="F486" s="1">
        <v>201</v>
      </c>
      <c r="G486" s="1">
        <v>206</v>
      </c>
      <c r="H486" s="17" cm="1">
        <f t="array" ref="H486">_xlfn.LET(_xlpm.s,IFERROR(--F486,""),_xlpm.e,IFERROR(--G486,""),IF(OR(_xlpm.s="",_xlpm.e="",_xlpm.e&lt;_xlpm.s),"",_xlfn.LET(_xlpm.p,_xlfn.SEQUENCE(_xlpm.e-_xlpm.s+1,1,_xlpm.s,1),SUM(1/COUNTIFS($D:$D,D486,$E:$E,E486,$F:$F,"&lt;&gt;N/A",$G:$G,"&lt;&gt;N/A",$F:$F,"&lt;="&amp;_xlpm.p,$G:$G,"&gt;="&amp;_xlpm.p)))))</f>
        <v>6</v>
      </c>
      <c r="I486" t="s">
        <v>2573</v>
      </c>
      <c r="J486" t="s">
        <v>1819</v>
      </c>
      <c r="K486" t="s">
        <v>7</v>
      </c>
      <c r="L486" s="5" t="s">
        <v>5383</v>
      </c>
      <c r="M486" s="5" t="s">
        <v>5428</v>
      </c>
      <c r="N486" t="s">
        <v>8070</v>
      </c>
      <c r="O486" s="5" t="s">
        <v>5072</v>
      </c>
      <c r="P486" s="5" t="s">
        <v>8021</v>
      </c>
      <c r="R486" t="b">
        <v>1</v>
      </c>
    </row>
    <row r="487" spans="1:18">
      <c r="A487" t="s">
        <v>3019</v>
      </c>
      <c r="B487" t="s">
        <v>6045</v>
      </c>
      <c r="C487" t="s">
        <v>7793</v>
      </c>
      <c r="D487" s="1">
        <v>5</v>
      </c>
      <c r="E487" s="1">
        <v>7</v>
      </c>
      <c r="F487" s="1">
        <v>207</v>
      </c>
      <c r="G487" s="1">
        <v>208</v>
      </c>
      <c r="H487" s="17" cm="1">
        <f t="array" ref="H487">_xlfn.LET(_xlpm.s,IFERROR(--F487,""),_xlpm.e,IFERROR(--G487,""),IF(OR(_xlpm.s="",_xlpm.e="",_xlpm.e&lt;_xlpm.s),"",_xlfn.LET(_xlpm.p,_xlfn.SEQUENCE(_xlpm.e-_xlpm.s+1,1,_xlpm.s,1),SUM(1/COUNTIFS($D:$D,D487,$E:$E,E487,$F:$F,"&lt;&gt;N/A",$G:$G,"&lt;&gt;N/A",$F:$F,"&lt;="&amp;_xlpm.p,$G:$G,"&gt;="&amp;_xlpm.p)))))</f>
        <v>2</v>
      </c>
      <c r="I487" t="s">
        <v>2573</v>
      </c>
      <c r="J487" t="s">
        <v>2503</v>
      </c>
      <c r="K487" t="s">
        <v>7</v>
      </c>
      <c r="L487" s="5" t="s">
        <v>7</v>
      </c>
      <c r="M487" s="5" t="s">
        <v>7</v>
      </c>
      <c r="N487" s="5" t="s">
        <v>7</v>
      </c>
      <c r="O487" s="5" t="s">
        <v>778</v>
      </c>
      <c r="P487" s="5" t="s">
        <v>7834</v>
      </c>
      <c r="R487" t="b">
        <v>1</v>
      </c>
    </row>
    <row r="488" spans="1:18">
      <c r="A488" t="s">
        <v>3019</v>
      </c>
      <c r="B488" t="s">
        <v>6046</v>
      </c>
      <c r="C488" t="s">
        <v>7793</v>
      </c>
      <c r="D488" s="1">
        <v>5</v>
      </c>
      <c r="E488" s="1">
        <v>7</v>
      </c>
      <c r="F488" s="1">
        <v>209</v>
      </c>
      <c r="G488" s="1">
        <v>210</v>
      </c>
      <c r="H488" s="17" cm="1">
        <f t="array" ref="H488">_xlfn.LET(_xlpm.s,IFERROR(--F488,""),_xlpm.e,IFERROR(--G488,""),IF(OR(_xlpm.s="",_xlpm.e="",_xlpm.e&lt;_xlpm.s),"",_xlfn.LET(_xlpm.p,_xlfn.SEQUENCE(_xlpm.e-_xlpm.s+1,1,_xlpm.s,1),SUM(1/COUNTIFS($D:$D,D488,$E:$E,E488,$F:$F,"&lt;&gt;N/A",$G:$G,"&lt;&gt;N/A",$F:$F,"&lt;="&amp;_xlpm.p,$G:$G,"&gt;="&amp;_xlpm.p)))))</f>
        <v>2</v>
      </c>
      <c r="I488" t="s">
        <v>2573</v>
      </c>
      <c r="J488" t="s">
        <v>1820</v>
      </c>
      <c r="K488" t="s">
        <v>7</v>
      </c>
      <c r="L488" s="5" t="s">
        <v>5234</v>
      </c>
      <c r="M488" s="5" t="s">
        <v>7</v>
      </c>
      <c r="N488" s="5" t="s">
        <v>7</v>
      </c>
      <c r="O488" s="5" t="s">
        <v>5072</v>
      </c>
      <c r="P488" s="5" t="s">
        <v>8021</v>
      </c>
      <c r="Q488" s="5" t="s">
        <v>2509</v>
      </c>
      <c r="R488" t="b">
        <v>1</v>
      </c>
    </row>
    <row r="489" spans="1:18">
      <c r="A489" t="s">
        <v>3019</v>
      </c>
      <c r="B489" t="s">
        <v>6047</v>
      </c>
      <c r="C489" t="s">
        <v>7793</v>
      </c>
      <c r="D489" s="1">
        <v>5</v>
      </c>
      <c r="E489" s="1">
        <v>7</v>
      </c>
      <c r="F489" s="1">
        <v>211</v>
      </c>
      <c r="G489" s="1">
        <v>211</v>
      </c>
      <c r="H489" s="17" cm="1">
        <f t="array" ref="H489">_xlfn.LET(_xlpm.s,IFERROR(--F489,""),_xlpm.e,IFERROR(--G489,""),IF(OR(_xlpm.s="",_xlpm.e="",_xlpm.e&lt;_xlpm.s),"",_xlfn.LET(_xlpm.p,_xlfn.SEQUENCE(_xlpm.e-_xlpm.s+1,1,_xlpm.s,1),SUM(1/COUNTIFS($D:$D,D489,$E:$E,E489,$F:$F,"&lt;&gt;N/A",$G:$G,"&lt;&gt;N/A",$F:$F,"&lt;="&amp;_xlpm.p,$G:$G,"&gt;="&amp;_xlpm.p)))))</f>
        <v>0.5</v>
      </c>
      <c r="I489" t="s">
        <v>2573</v>
      </c>
      <c r="J489" t="s">
        <v>1821</v>
      </c>
      <c r="K489" t="s">
        <v>7</v>
      </c>
      <c r="L489" s="5" t="s">
        <v>5234</v>
      </c>
      <c r="M489" s="5" t="s">
        <v>5235</v>
      </c>
      <c r="N489" t="s">
        <v>5404</v>
      </c>
      <c r="O489" s="5" t="s">
        <v>5072</v>
      </c>
      <c r="P489" s="5" t="s">
        <v>8021</v>
      </c>
      <c r="Q489" s="5" t="s">
        <v>2509</v>
      </c>
      <c r="R489" t="b">
        <v>1</v>
      </c>
    </row>
    <row r="490" spans="1:18">
      <c r="A490" t="s">
        <v>3019</v>
      </c>
      <c r="B490" t="s">
        <v>6048</v>
      </c>
      <c r="C490" t="s">
        <v>7793</v>
      </c>
      <c r="D490" s="1">
        <v>5</v>
      </c>
      <c r="E490" s="1">
        <v>7</v>
      </c>
      <c r="F490" s="1">
        <v>211</v>
      </c>
      <c r="G490" s="1">
        <v>214</v>
      </c>
      <c r="H490" s="17" cm="1">
        <f t="array" ref="H490">_xlfn.LET(_xlpm.s,IFERROR(--F490,""),_xlpm.e,IFERROR(--G490,""),IF(OR(_xlpm.s="",_xlpm.e="",_xlpm.e&lt;_xlpm.s),"",_xlfn.LET(_xlpm.p,_xlfn.SEQUENCE(_xlpm.e-_xlpm.s+1,1,_xlpm.s,1),SUM(1/COUNTIFS($D:$D,D490,$E:$E,E490,$F:$F,"&lt;&gt;N/A",$G:$G,"&lt;&gt;N/A",$F:$F,"&lt;="&amp;_xlpm.p,$G:$G,"&gt;="&amp;_xlpm.p)))))</f>
        <v>3.5</v>
      </c>
      <c r="I490" t="s">
        <v>2573</v>
      </c>
      <c r="J490" t="s">
        <v>1822</v>
      </c>
      <c r="K490" t="s">
        <v>7</v>
      </c>
      <c r="L490" s="5" t="s">
        <v>4642</v>
      </c>
      <c r="M490" t="s">
        <v>7</v>
      </c>
      <c r="N490" t="s">
        <v>10165</v>
      </c>
      <c r="O490" s="5" t="s">
        <v>5072</v>
      </c>
      <c r="P490" s="5" t="s">
        <v>8021</v>
      </c>
      <c r="Q490" s="5" t="s">
        <v>2509</v>
      </c>
      <c r="R490" t="b">
        <v>1</v>
      </c>
    </row>
    <row r="491" spans="1:18">
      <c r="A491" t="s">
        <v>3019</v>
      </c>
      <c r="B491" t="s">
        <v>6049</v>
      </c>
      <c r="C491" t="s">
        <v>7793</v>
      </c>
      <c r="D491" s="1">
        <v>5</v>
      </c>
      <c r="E491" s="1">
        <v>7</v>
      </c>
      <c r="F491" s="1">
        <v>215</v>
      </c>
      <c r="G491" s="1">
        <v>216</v>
      </c>
      <c r="H491" s="17" cm="1">
        <f t="array" ref="H491">_xlfn.LET(_xlpm.s,IFERROR(--F491,""),_xlpm.e,IFERROR(--G491,""),IF(OR(_xlpm.s="",_xlpm.e="",_xlpm.e&lt;_xlpm.s),"",_xlfn.LET(_xlpm.p,_xlfn.SEQUENCE(_xlpm.e-_xlpm.s+1,1,_xlpm.s,1),SUM(1/COUNTIFS($D:$D,D491,$E:$E,E491,$F:$F,"&lt;&gt;N/A",$G:$G,"&lt;&gt;N/A",$F:$F,"&lt;="&amp;_xlpm.p,$G:$G,"&gt;="&amp;_xlpm.p)))))</f>
        <v>2</v>
      </c>
      <c r="I491" t="s">
        <v>2573</v>
      </c>
      <c r="J491" t="s">
        <v>5402</v>
      </c>
      <c r="K491" t="s">
        <v>7</v>
      </c>
      <c r="L491" s="5" t="s">
        <v>5234</v>
      </c>
      <c r="M491" t="s">
        <v>5119</v>
      </c>
      <c r="N491" t="s">
        <v>5403</v>
      </c>
      <c r="O491" s="5" t="s">
        <v>5072</v>
      </c>
      <c r="P491" s="5" t="s">
        <v>8021</v>
      </c>
      <c r="R491" t="b">
        <v>1</v>
      </c>
    </row>
    <row r="492" spans="1:18">
      <c r="A492" t="s">
        <v>3019</v>
      </c>
      <c r="B492" t="s">
        <v>6050</v>
      </c>
      <c r="C492" t="s">
        <v>7793</v>
      </c>
      <c r="D492" s="1">
        <v>5</v>
      </c>
      <c r="E492" s="1">
        <v>7</v>
      </c>
      <c r="F492" s="1">
        <v>217</v>
      </c>
      <c r="G492" s="1">
        <v>218</v>
      </c>
      <c r="H492" s="17" cm="1">
        <f t="array" ref="H492">_xlfn.LET(_xlpm.s,IFERROR(--F492,""),_xlpm.e,IFERROR(--G492,""),IF(OR(_xlpm.s="",_xlpm.e="",_xlpm.e&lt;_xlpm.s),"",_xlfn.LET(_xlpm.p,_xlfn.SEQUENCE(_xlpm.e-_xlpm.s+1,1,_xlpm.s,1),SUM(1/COUNTIFS($D:$D,D492,$E:$E,E492,$F:$F,"&lt;&gt;N/A",$G:$G,"&lt;&gt;N/A",$F:$F,"&lt;="&amp;_xlpm.p,$G:$G,"&gt;="&amp;_xlpm.p)))))</f>
        <v>1.5</v>
      </c>
      <c r="I492" t="s">
        <v>2573</v>
      </c>
      <c r="J492" t="s">
        <v>1823</v>
      </c>
      <c r="K492" t="s">
        <v>7</v>
      </c>
      <c r="L492" s="5" t="s">
        <v>5234</v>
      </c>
      <c r="M492" t="s">
        <v>5119</v>
      </c>
      <c r="N492" t="s">
        <v>5401</v>
      </c>
      <c r="O492" s="5" t="s">
        <v>5072</v>
      </c>
      <c r="P492" s="5" t="s">
        <v>8021</v>
      </c>
      <c r="R492" t="b">
        <v>1</v>
      </c>
    </row>
    <row r="493" spans="1:18">
      <c r="A493" t="s">
        <v>3019</v>
      </c>
      <c r="B493" t="s">
        <v>6787</v>
      </c>
      <c r="C493" t="s">
        <v>7793</v>
      </c>
      <c r="D493" s="1">
        <v>5</v>
      </c>
      <c r="E493" s="1">
        <v>7</v>
      </c>
      <c r="F493" s="1">
        <v>218</v>
      </c>
      <c r="G493" s="1">
        <v>220</v>
      </c>
      <c r="H493" s="17" cm="1">
        <f t="array" ref="H493">_xlfn.LET(_xlpm.s,IFERROR(--F493,""),_xlpm.e,IFERROR(--G493,""),IF(OR(_xlpm.s="",_xlpm.e="",_xlpm.e&lt;_xlpm.s),"",_xlfn.LET(_xlpm.p,_xlfn.SEQUENCE(_xlpm.e-_xlpm.s+1,1,_xlpm.s,1),SUM(1/COUNTIFS($D:$D,D493,$E:$E,E493,$F:$F,"&lt;&gt;N/A",$G:$G,"&lt;&gt;N/A",$F:$F,"&lt;="&amp;_xlpm.p,$G:$G,"&gt;="&amp;_xlpm.p)))))</f>
        <v>2.5</v>
      </c>
      <c r="I493" t="s">
        <v>2573</v>
      </c>
      <c r="J493" t="s">
        <v>3264</v>
      </c>
      <c r="K493" t="s">
        <v>7</v>
      </c>
      <c r="L493" s="5" t="s">
        <v>5234</v>
      </c>
      <c r="M493" t="s">
        <v>5119</v>
      </c>
      <c r="N493" t="s">
        <v>5400</v>
      </c>
      <c r="O493" s="5" t="s">
        <v>5072</v>
      </c>
      <c r="P493" s="5" t="s">
        <v>8021</v>
      </c>
      <c r="R493" t="b">
        <v>1</v>
      </c>
    </row>
    <row r="494" spans="1:18">
      <c r="A494" t="s">
        <v>3019</v>
      </c>
      <c r="B494" t="s">
        <v>6788</v>
      </c>
      <c r="C494" t="s">
        <v>7793</v>
      </c>
      <c r="D494" s="1">
        <v>5</v>
      </c>
      <c r="E494" s="1">
        <v>7</v>
      </c>
      <c r="F494" s="1">
        <v>221</v>
      </c>
      <c r="G494" s="1">
        <v>224</v>
      </c>
      <c r="H494" s="17" cm="1">
        <f t="array" ref="H494">_xlfn.LET(_xlpm.s,IFERROR(--F494,""),_xlpm.e,IFERROR(--G494,""),IF(OR(_xlpm.s="",_xlpm.e="",_xlpm.e&lt;_xlpm.s),"",_xlfn.LET(_xlpm.p,_xlfn.SEQUENCE(_xlpm.e-_xlpm.s+1,1,_xlpm.s,1),SUM(1/COUNTIFS($D:$D,D494,$E:$E,E494,$F:$F,"&lt;&gt;N/A",$G:$G,"&lt;&gt;N/A",$F:$F,"&lt;="&amp;_xlpm.p,$G:$G,"&gt;="&amp;_xlpm.p)))))</f>
        <v>4</v>
      </c>
      <c r="I494" t="s">
        <v>170</v>
      </c>
      <c r="J494" t="s">
        <v>5398</v>
      </c>
      <c r="K494" t="s">
        <v>7</v>
      </c>
      <c r="L494" s="5" t="s">
        <v>5399</v>
      </c>
      <c r="M494" t="s">
        <v>7</v>
      </c>
      <c r="N494" t="s">
        <v>7</v>
      </c>
      <c r="O494" s="5" t="s">
        <v>11522</v>
      </c>
      <c r="P494" s="5" t="s">
        <v>8021</v>
      </c>
      <c r="R494" t="b">
        <v>1</v>
      </c>
    </row>
    <row r="495" spans="1:18">
      <c r="A495" t="s">
        <v>3019</v>
      </c>
      <c r="B495" t="s">
        <v>6051</v>
      </c>
      <c r="C495" t="s">
        <v>7800</v>
      </c>
      <c r="D495" s="1">
        <v>5</v>
      </c>
      <c r="E495" s="1">
        <v>8</v>
      </c>
      <c r="F495" s="1">
        <v>225</v>
      </c>
      <c r="G495" s="1">
        <v>227</v>
      </c>
      <c r="H495" s="17" cm="1">
        <f t="array" ref="H495">_xlfn.LET(_xlpm.s,IFERROR(--F495,""),_xlpm.e,IFERROR(--G495,""),IF(OR(_xlpm.s="",_xlpm.e="",_xlpm.e&lt;_xlpm.s),"",_xlfn.LET(_xlpm.p,_xlfn.SEQUENCE(_xlpm.e-_xlpm.s+1,1,_xlpm.s,1),SUM(1/COUNTIFS($D:$D,D495,$E:$E,E495,$F:$F,"&lt;&gt;N/A",$G:$G,"&lt;&gt;N/A",$F:$F,"&lt;="&amp;_xlpm.p,$G:$G,"&gt;="&amp;_xlpm.p)))))</f>
        <v>2.5</v>
      </c>
      <c r="I495" t="s">
        <v>5436</v>
      </c>
      <c r="J495" t="s">
        <v>5449</v>
      </c>
      <c r="K495" t="s">
        <v>7</v>
      </c>
      <c r="L495" s="5" t="s">
        <v>7</v>
      </c>
      <c r="M495" t="s">
        <v>7</v>
      </c>
      <c r="N495" t="s">
        <v>7</v>
      </c>
      <c r="O495" s="5" t="s">
        <v>778</v>
      </c>
      <c r="P495" s="5" t="s">
        <v>7834</v>
      </c>
      <c r="R495" t="b">
        <v>0</v>
      </c>
    </row>
    <row r="496" spans="1:18">
      <c r="A496" t="s">
        <v>3019</v>
      </c>
      <c r="B496" t="s">
        <v>6052</v>
      </c>
      <c r="C496" t="s">
        <v>7800</v>
      </c>
      <c r="D496" s="1">
        <v>5</v>
      </c>
      <c r="E496" s="1">
        <v>8</v>
      </c>
      <c r="F496" s="1">
        <v>227</v>
      </c>
      <c r="G496" s="1">
        <v>228</v>
      </c>
      <c r="H496" s="17" cm="1">
        <f t="array" ref="H496">_xlfn.LET(_xlpm.s,IFERROR(--F496,""),_xlpm.e,IFERROR(--G496,""),IF(OR(_xlpm.s="",_xlpm.e="",_xlpm.e&lt;_xlpm.s),"",_xlfn.LET(_xlpm.p,_xlfn.SEQUENCE(_xlpm.e-_xlpm.s+1,1,_xlpm.s,1),SUM(1/COUNTIFS($D:$D,D496,$E:$E,E496,$F:$F,"&lt;&gt;N/A",$G:$G,"&lt;&gt;N/A",$F:$F,"&lt;="&amp;_xlpm.p,$G:$G,"&gt;="&amp;_xlpm.p)))))</f>
        <v>1</v>
      </c>
      <c r="I496" t="s">
        <v>5436</v>
      </c>
      <c r="J496" t="s">
        <v>5448</v>
      </c>
      <c r="K496" t="s">
        <v>7</v>
      </c>
      <c r="L496" s="5" t="s">
        <v>7</v>
      </c>
      <c r="M496" t="s">
        <v>7</v>
      </c>
      <c r="N496" t="s">
        <v>7</v>
      </c>
      <c r="O496" s="5" t="s">
        <v>778</v>
      </c>
      <c r="P496" s="5" t="s">
        <v>7834</v>
      </c>
      <c r="R496" t="b">
        <v>0</v>
      </c>
    </row>
    <row r="497" spans="1:18">
      <c r="A497" t="s">
        <v>3019</v>
      </c>
      <c r="B497" t="s">
        <v>6053</v>
      </c>
      <c r="C497" t="s">
        <v>7800</v>
      </c>
      <c r="D497" s="1">
        <v>5</v>
      </c>
      <c r="E497" s="1">
        <v>8</v>
      </c>
      <c r="F497" s="1">
        <v>228</v>
      </c>
      <c r="G497" s="1">
        <v>229</v>
      </c>
      <c r="H497" s="17" cm="1">
        <f t="array" ref="H497">_xlfn.LET(_xlpm.s,IFERROR(--F497,""),_xlpm.e,IFERROR(--G497,""),IF(OR(_xlpm.s="",_xlpm.e="",_xlpm.e&lt;_xlpm.s),"",_xlfn.LET(_xlpm.p,_xlfn.SEQUENCE(_xlpm.e-_xlpm.s+1,1,_xlpm.s,1),SUM(1/COUNTIFS($D:$D,D497,$E:$E,E497,$F:$F,"&lt;&gt;N/A",$G:$G,"&lt;&gt;N/A",$F:$F,"&lt;="&amp;_xlpm.p,$G:$G,"&gt;="&amp;_xlpm.p)))))</f>
        <v>1.5</v>
      </c>
      <c r="I497" t="s">
        <v>5436</v>
      </c>
      <c r="J497" t="s">
        <v>5447</v>
      </c>
      <c r="K497" t="s">
        <v>7</v>
      </c>
      <c r="L497" s="5" t="s">
        <v>7</v>
      </c>
      <c r="M497" t="s">
        <v>7</v>
      </c>
      <c r="N497" t="s">
        <v>7</v>
      </c>
      <c r="O497" s="5" t="s">
        <v>778</v>
      </c>
      <c r="P497" s="5" t="s">
        <v>7834</v>
      </c>
      <c r="R497" t="b">
        <v>0</v>
      </c>
    </row>
    <row r="498" spans="1:18">
      <c r="A498" t="s">
        <v>3019</v>
      </c>
      <c r="B498" t="s">
        <v>6054</v>
      </c>
      <c r="C498" t="s">
        <v>7800</v>
      </c>
      <c r="D498" s="1">
        <v>5</v>
      </c>
      <c r="E498" s="1">
        <v>8</v>
      </c>
      <c r="F498" s="1">
        <v>230</v>
      </c>
      <c r="G498" s="1">
        <v>243</v>
      </c>
      <c r="H498" s="17" cm="1">
        <f t="array" ref="H498">_xlfn.LET(_xlpm.s,IFERROR(--F498,""),_xlpm.e,IFERROR(--G498,""),IF(OR(_xlpm.s="",_xlpm.e="",_xlpm.e&lt;_xlpm.s),"",_xlfn.LET(_xlpm.p,_xlfn.SEQUENCE(_xlpm.e-_xlpm.s+1,1,_xlpm.s,1),SUM(1/COUNTIFS($D:$D,D498,$E:$E,E498,$F:$F,"&lt;&gt;N/A",$G:$G,"&lt;&gt;N/A",$F:$F,"&lt;="&amp;_xlpm.p,$G:$G,"&gt;="&amp;_xlpm.p)))))</f>
        <v>14</v>
      </c>
      <c r="I498" t="s">
        <v>2573</v>
      </c>
      <c r="J498" t="s">
        <v>5396</v>
      </c>
      <c r="K498" t="s">
        <v>7</v>
      </c>
      <c r="L498" s="5" t="s">
        <v>5383</v>
      </c>
      <c r="M498" s="5" t="s">
        <v>5397</v>
      </c>
      <c r="N498" t="s">
        <v>8071</v>
      </c>
      <c r="O498" s="5" t="s">
        <v>5072</v>
      </c>
      <c r="P498" s="5" t="s">
        <v>8021</v>
      </c>
      <c r="Q498" s="5" t="s">
        <v>2509</v>
      </c>
      <c r="R498" t="b">
        <v>1</v>
      </c>
    </row>
    <row r="499" spans="1:18">
      <c r="A499" t="s">
        <v>3019</v>
      </c>
      <c r="B499" t="s">
        <v>6055</v>
      </c>
      <c r="C499" t="s">
        <v>7800</v>
      </c>
      <c r="D499" s="1">
        <v>5</v>
      </c>
      <c r="E499" s="1">
        <v>8</v>
      </c>
      <c r="F499" s="1">
        <v>244</v>
      </c>
      <c r="G499" s="1">
        <v>245</v>
      </c>
      <c r="H499" s="17" cm="1">
        <f t="array" ref="H499">_xlfn.LET(_xlpm.s,IFERROR(--F499,""),_xlpm.e,IFERROR(--G499,""),IF(OR(_xlpm.s="",_xlpm.e="",_xlpm.e&lt;_xlpm.s),"",_xlfn.LET(_xlpm.p,_xlfn.SEQUENCE(_xlpm.e-_xlpm.s+1,1,_xlpm.s,1),SUM(1/COUNTIFS($D:$D,D499,$E:$E,E499,$F:$F,"&lt;&gt;N/A",$G:$G,"&lt;&gt;N/A",$F:$F,"&lt;="&amp;_xlpm.p,$G:$G,"&gt;="&amp;_xlpm.p)))))</f>
        <v>1.5</v>
      </c>
      <c r="I499" t="s">
        <v>2573</v>
      </c>
      <c r="J499" t="s">
        <v>5394</v>
      </c>
      <c r="K499" t="s">
        <v>7</v>
      </c>
      <c r="L499" s="5" t="s">
        <v>5234</v>
      </c>
      <c r="M499" t="s">
        <v>5119</v>
      </c>
      <c r="N499" t="s">
        <v>5395</v>
      </c>
      <c r="O499" s="5" t="s">
        <v>5072</v>
      </c>
      <c r="P499" s="5" t="s">
        <v>8021</v>
      </c>
      <c r="Q499" s="5" t="s">
        <v>2509</v>
      </c>
      <c r="R499" t="b">
        <v>1</v>
      </c>
    </row>
    <row r="500" spans="1:18">
      <c r="A500" t="s">
        <v>3019</v>
      </c>
      <c r="B500" t="s">
        <v>6056</v>
      </c>
      <c r="C500" t="s">
        <v>7800</v>
      </c>
      <c r="D500" s="1">
        <v>5</v>
      </c>
      <c r="E500" s="1">
        <v>8</v>
      </c>
      <c r="F500" s="1">
        <v>245</v>
      </c>
      <c r="G500" s="1">
        <v>247</v>
      </c>
      <c r="H500" s="17" cm="1">
        <f t="array" ref="H500">_xlfn.LET(_xlpm.s,IFERROR(--F500,""),_xlpm.e,IFERROR(--G500,""),IF(OR(_xlpm.s="",_xlpm.e="",_xlpm.e&lt;_xlpm.s),"",_xlfn.LET(_xlpm.p,_xlfn.SEQUENCE(_xlpm.e-_xlpm.s+1,1,_xlpm.s,1),SUM(1/COUNTIFS($D:$D,D500,$E:$E,E500,$F:$F,"&lt;&gt;N/A",$G:$G,"&lt;&gt;N/A",$F:$F,"&lt;="&amp;_xlpm.p,$G:$G,"&gt;="&amp;_xlpm.p)))))</f>
        <v>2</v>
      </c>
      <c r="I500" t="s">
        <v>2573</v>
      </c>
      <c r="J500" t="s">
        <v>5385</v>
      </c>
      <c r="K500" t="s">
        <v>7</v>
      </c>
      <c r="L500" s="5" t="s">
        <v>5234</v>
      </c>
      <c r="M500" t="s">
        <v>5119</v>
      </c>
      <c r="N500" t="s">
        <v>5393</v>
      </c>
      <c r="O500" s="5" t="s">
        <v>5072</v>
      </c>
      <c r="P500" s="5" t="s">
        <v>8021</v>
      </c>
      <c r="Q500" s="5" t="s">
        <v>2509</v>
      </c>
      <c r="R500" t="b">
        <v>1</v>
      </c>
    </row>
    <row r="501" spans="1:18">
      <c r="A501" t="s">
        <v>3019</v>
      </c>
      <c r="B501" t="s">
        <v>6057</v>
      </c>
      <c r="C501" t="s">
        <v>7800</v>
      </c>
      <c r="D501" s="1">
        <v>5</v>
      </c>
      <c r="E501" s="1">
        <v>8</v>
      </c>
      <c r="F501" s="1">
        <v>247</v>
      </c>
      <c r="G501" s="1">
        <v>249</v>
      </c>
      <c r="H501" s="17" cm="1">
        <f t="array" ref="H501">_xlfn.LET(_xlpm.s,IFERROR(--F501,""),_xlpm.e,IFERROR(--G501,""),IF(OR(_xlpm.s="",_xlpm.e="",_xlpm.e&lt;_xlpm.s),"",_xlfn.LET(_xlpm.p,_xlfn.SEQUENCE(_xlpm.e-_xlpm.s+1,1,_xlpm.s,1),SUM(1/COUNTIFS($D:$D,D501,$E:$E,E501,$F:$F,"&lt;&gt;N/A",$G:$G,"&lt;&gt;N/A",$F:$F,"&lt;="&amp;_xlpm.p,$G:$G,"&gt;="&amp;_xlpm.p)))))</f>
        <v>2.5</v>
      </c>
      <c r="I501" t="s">
        <v>2573</v>
      </c>
      <c r="J501" t="s">
        <v>5384</v>
      </c>
      <c r="K501" t="s">
        <v>7</v>
      </c>
      <c r="L501" t="s">
        <v>7</v>
      </c>
      <c r="M501" t="s">
        <v>5119</v>
      </c>
      <c r="N501" t="s">
        <v>5392</v>
      </c>
      <c r="O501" s="5" t="s">
        <v>5072</v>
      </c>
      <c r="P501" s="5" t="s">
        <v>8021</v>
      </c>
      <c r="Q501" s="5" t="s">
        <v>2509</v>
      </c>
      <c r="R501" t="b">
        <v>1</v>
      </c>
    </row>
    <row r="502" spans="1:18">
      <c r="A502" t="s">
        <v>3019</v>
      </c>
      <c r="B502" t="s">
        <v>6058</v>
      </c>
      <c r="C502" t="s">
        <v>7800</v>
      </c>
      <c r="D502" s="1">
        <v>5</v>
      </c>
      <c r="E502" s="1">
        <v>8</v>
      </c>
      <c r="F502" s="1">
        <v>250</v>
      </c>
      <c r="G502" s="1">
        <v>253</v>
      </c>
      <c r="H502" s="17" cm="1">
        <f t="array" ref="H502">_xlfn.LET(_xlpm.s,IFERROR(--F502,""),_xlpm.e,IFERROR(--G502,""),IF(OR(_xlpm.s="",_xlpm.e="",_xlpm.e&lt;_xlpm.s),"",_xlfn.LET(_xlpm.p,_xlfn.SEQUENCE(_xlpm.e-_xlpm.s+1,1,_xlpm.s,1),SUM(1/COUNTIFS($D:$D,D502,$E:$E,E502,$F:$F,"&lt;&gt;N/A",$G:$G,"&lt;&gt;N/A",$F:$F,"&lt;="&amp;_xlpm.p,$G:$G,"&gt;="&amp;_xlpm.p)))))</f>
        <v>3.5</v>
      </c>
      <c r="I502" t="s">
        <v>2573</v>
      </c>
      <c r="J502" t="s">
        <v>5389</v>
      </c>
      <c r="K502" t="s">
        <v>7</v>
      </c>
      <c r="L502" s="5" t="s">
        <v>4643</v>
      </c>
      <c r="M502" t="s">
        <v>5390</v>
      </c>
      <c r="N502" t="s">
        <v>5391</v>
      </c>
      <c r="O502" s="5" t="s">
        <v>5072</v>
      </c>
      <c r="P502" s="5" t="s">
        <v>8092</v>
      </c>
      <c r="Q502" s="5" t="s">
        <v>2509</v>
      </c>
      <c r="R502" t="b">
        <v>1</v>
      </c>
    </row>
    <row r="503" spans="1:18">
      <c r="A503" t="s">
        <v>3019</v>
      </c>
      <c r="B503" t="s">
        <v>6789</v>
      </c>
      <c r="C503" t="s">
        <v>7800</v>
      </c>
      <c r="D503" s="1">
        <v>5</v>
      </c>
      <c r="E503" s="1">
        <v>8</v>
      </c>
      <c r="F503" s="1">
        <v>253</v>
      </c>
      <c r="G503" s="1">
        <v>254</v>
      </c>
      <c r="H503" s="17" cm="1">
        <f t="array" ref="H503">_xlfn.LET(_xlpm.s,IFERROR(--F503,""),_xlpm.e,IFERROR(--G503,""),IF(OR(_xlpm.s="",_xlpm.e="",_xlpm.e&lt;_xlpm.s),"",_xlfn.LET(_xlpm.p,_xlfn.SEQUENCE(_xlpm.e-_xlpm.s+1,1,_xlpm.s,1),SUM(1/COUNTIFS($D:$D,D503,$E:$E,E503,$F:$F,"&lt;&gt;N/A",$G:$G,"&lt;&gt;N/A",$F:$F,"&lt;="&amp;_xlpm.p,$G:$G,"&gt;="&amp;_xlpm.p)))))</f>
        <v>1.5</v>
      </c>
      <c r="I503" t="s">
        <v>2573</v>
      </c>
      <c r="J503" t="s">
        <v>5387</v>
      </c>
      <c r="K503" t="s">
        <v>5330</v>
      </c>
      <c r="L503" s="5" t="s">
        <v>4643</v>
      </c>
      <c r="M503" t="s">
        <v>5120</v>
      </c>
      <c r="N503" t="s">
        <v>5388</v>
      </c>
      <c r="O503" s="5" t="s">
        <v>5072</v>
      </c>
      <c r="P503" s="5" t="s">
        <v>8021</v>
      </c>
      <c r="Q503" s="5" t="s">
        <v>2509</v>
      </c>
      <c r="R503" t="b">
        <v>1</v>
      </c>
    </row>
    <row r="504" spans="1:18">
      <c r="A504" t="s">
        <v>3019</v>
      </c>
      <c r="B504" t="s">
        <v>6790</v>
      </c>
      <c r="C504" t="s">
        <v>7800</v>
      </c>
      <c r="D504" s="1">
        <v>5</v>
      </c>
      <c r="E504" s="1">
        <v>8</v>
      </c>
      <c r="F504" s="1">
        <v>255</v>
      </c>
      <c r="G504" s="1">
        <v>256</v>
      </c>
      <c r="H504" s="17" cm="1">
        <f t="array" ref="H504">_xlfn.LET(_xlpm.s,IFERROR(--F504,""),_xlpm.e,IFERROR(--G504,""),IF(OR(_xlpm.s="",_xlpm.e="",_xlpm.e&lt;_xlpm.s),"",_xlfn.LET(_xlpm.p,_xlfn.SEQUENCE(_xlpm.e-_xlpm.s+1,1,_xlpm.s,1),SUM(1/COUNTIFS($D:$D,D504,$E:$E,E504,$F:$F,"&lt;&gt;N/A",$G:$G,"&lt;&gt;N/A",$F:$F,"&lt;="&amp;_xlpm.p,$G:$G,"&gt;="&amp;_xlpm.p)))))</f>
        <v>2</v>
      </c>
      <c r="I504" t="s">
        <v>170</v>
      </c>
      <c r="J504" t="s">
        <v>5386</v>
      </c>
      <c r="K504" t="s">
        <v>7</v>
      </c>
      <c r="L504" s="5" t="s">
        <v>4644</v>
      </c>
      <c r="M504" t="s">
        <v>7</v>
      </c>
      <c r="N504" t="s">
        <v>7</v>
      </c>
      <c r="O504" s="5" t="s">
        <v>11522</v>
      </c>
      <c r="P504" s="5" t="s">
        <v>8021</v>
      </c>
      <c r="Q504" s="5" t="s">
        <v>2509</v>
      </c>
      <c r="R504" t="b">
        <v>1</v>
      </c>
    </row>
    <row r="505" spans="1:18">
      <c r="A505" t="s">
        <v>3019</v>
      </c>
      <c r="B505" t="s">
        <v>6059</v>
      </c>
      <c r="C505" t="s">
        <v>7807</v>
      </c>
      <c r="D505" s="1">
        <v>5</v>
      </c>
      <c r="E505" s="1">
        <v>9</v>
      </c>
      <c r="F505" s="1">
        <v>257</v>
      </c>
      <c r="G505" s="1">
        <v>258</v>
      </c>
      <c r="H505" s="17" cm="1">
        <f t="array" ref="H505">_xlfn.LET(_xlpm.s,IFERROR(--F505,""),_xlpm.e,IFERROR(--G505,""),IF(OR(_xlpm.s="",_xlpm.e="",_xlpm.e&lt;_xlpm.s),"",_xlfn.LET(_xlpm.p,_xlfn.SEQUENCE(_xlpm.e-_xlpm.s+1,1,_xlpm.s,1),SUM(1/COUNTIFS($D:$D,D505,$E:$E,E505,$F:$F,"&lt;&gt;N/A",$G:$G,"&lt;&gt;N/A",$F:$F,"&lt;="&amp;_xlpm.p,$G:$G,"&gt;="&amp;_xlpm.p)))))</f>
        <v>1.5</v>
      </c>
      <c r="I505" t="s">
        <v>5436</v>
      </c>
      <c r="J505" t="s">
        <v>5450</v>
      </c>
      <c r="K505" t="s">
        <v>7</v>
      </c>
      <c r="L505" s="5" t="s">
        <v>7</v>
      </c>
      <c r="M505" t="s">
        <v>7</v>
      </c>
      <c r="N505" t="s">
        <v>7</v>
      </c>
      <c r="O505" s="5" t="s">
        <v>778</v>
      </c>
      <c r="P505" s="5" t="s">
        <v>7834</v>
      </c>
      <c r="R505" t="b">
        <v>0</v>
      </c>
    </row>
    <row r="506" spans="1:18">
      <c r="A506" t="s">
        <v>3019</v>
      </c>
      <c r="B506" t="s">
        <v>6060</v>
      </c>
      <c r="C506" t="s">
        <v>7807</v>
      </c>
      <c r="D506" s="1">
        <v>5</v>
      </c>
      <c r="E506" s="1">
        <v>9</v>
      </c>
      <c r="F506" s="1">
        <v>258</v>
      </c>
      <c r="G506" s="1">
        <v>260</v>
      </c>
      <c r="H506" s="17" cm="1">
        <f t="array" ref="H506">_xlfn.LET(_xlpm.s,IFERROR(--F506,""),_xlpm.e,IFERROR(--G506,""),IF(OR(_xlpm.s="",_xlpm.e="",_xlpm.e&lt;_xlpm.s),"",_xlfn.LET(_xlpm.p,_xlfn.SEQUENCE(_xlpm.e-_xlpm.s+1,1,_xlpm.s,1),SUM(1/COUNTIFS($D:$D,D506,$E:$E,E506,$F:$F,"&lt;&gt;N/A",$G:$G,"&lt;&gt;N/A",$F:$F,"&lt;="&amp;_xlpm.p,$G:$G,"&gt;="&amp;_xlpm.p)))))</f>
        <v>2</v>
      </c>
      <c r="I506" t="s">
        <v>5436</v>
      </c>
      <c r="J506" t="s">
        <v>5451</v>
      </c>
      <c r="K506" t="s">
        <v>7</v>
      </c>
      <c r="L506" s="5" t="s">
        <v>7</v>
      </c>
      <c r="M506" t="s">
        <v>7</v>
      </c>
      <c r="N506" t="s">
        <v>7</v>
      </c>
      <c r="O506" s="5" t="s">
        <v>778</v>
      </c>
      <c r="P506" s="5" t="s">
        <v>7834</v>
      </c>
      <c r="R506" t="b">
        <v>0</v>
      </c>
    </row>
    <row r="507" spans="1:18">
      <c r="A507" t="s">
        <v>3019</v>
      </c>
      <c r="B507" t="s">
        <v>6061</v>
      </c>
      <c r="C507" t="s">
        <v>7807</v>
      </c>
      <c r="D507" s="1">
        <v>5</v>
      </c>
      <c r="E507" s="1">
        <v>9</v>
      </c>
      <c r="F507" s="1">
        <v>260</v>
      </c>
      <c r="G507" s="1">
        <v>261</v>
      </c>
      <c r="H507" s="17" cm="1">
        <f t="array" ref="H507">_xlfn.LET(_xlpm.s,IFERROR(--F507,""),_xlpm.e,IFERROR(--G507,""),IF(OR(_xlpm.s="",_xlpm.e="",_xlpm.e&lt;_xlpm.s),"",_xlfn.LET(_xlpm.p,_xlfn.SEQUENCE(_xlpm.e-_xlpm.s+1,1,_xlpm.s,1),SUM(1/COUNTIFS($D:$D,D507,$E:$E,E507,$F:$F,"&lt;&gt;N/A",$G:$G,"&lt;&gt;N/A",$F:$F,"&lt;="&amp;_xlpm.p,$G:$G,"&gt;="&amp;_xlpm.p)))))</f>
        <v>1</v>
      </c>
      <c r="I507" t="s">
        <v>5436</v>
      </c>
      <c r="J507" t="s">
        <v>5452</v>
      </c>
      <c r="K507" t="s">
        <v>7</v>
      </c>
      <c r="L507" s="5" t="s">
        <v>7</v>
      </c>
      <c r="M507" t="s">
        <v>7</v>
      </c>
      <c r="N507" t="s">
        <v>7</v>
      </c>
      <c r="O507" s="5" t="s">
        <v>778</v>
      </c>
      <c r="P507" s="5" t="s">
        <v>7834</v>
      </c>
      <c r="R507" t="b">
        <v>0</v>
      </c>
    </row>
    <row r="508" spans="1:18">
      <c r="A508" t="s">
        <v>3019</v>
      </c>
      <c r="B508" t="s">
        <v>6062</v>
      </c>
      <c r="C508" t="s">
        <v>7807</v>
      </c>
      <c r="D508" s="1">
        <v>5</v>
      </c>
      <c r="E508" s="1">
        <v>9</v>
      </c>
      <c r="F508" s="1">
        <v>261</v>
      </c>
      <c r="G508" s="1">
        <v>262</v>
      </c>
      <c r="H508" s="17" cm="1">
        <f t="array" ref="H508">_xlfn.LET(_xlpm.s,IFERROR(--F508,""),_xlpm.e,IFERROR(--G508,""),IF(OR(_xlpm.s="",_xlpm.e="",_xlpm.e&lt;_xlpm.s),"",_xlfn.LET(_xlpm.p,_xlfn.SEQUENCE(_xlpm.e-_xlpm.s+1,1,_xlpm.s,1),SUM(1/COUNTIFS($D:$D,D508,$E:$E,E508,$F:$F,"&lt;&gt;N/A",$G:$G,"&lt;&gt;N/A",$F:$F,"&lt;="&amp;_xlpm.p,$G:$G,"&gt;="&amp;_xlpm.p)))))</f>
        <v>1</v>
      </c>
      <c r="I508" t="s">
        <v>5436</v>
      </c>
      <c r="J508" t="s">
        <v>1824</v>
      </c>
      <c r="K508" t="s">
        <v>5195</v>
      </c>
      <c r="L508" s="5" t="s">
        <v>7</v>
      </c>
      <c r="M508" t="s">
        <v>7</v>
      </c>
      <c r="N508" t="s">
        <v>7</v>
      </c>
      <c r="O508" s="5" t="s">
        <v>778</v>
      </c>
      <c r="P508" s="5" t="s">
        <v>7834</v>
      </c>
      <c r="R508" t="b">
        <v>1</v>
      </c>
    </row>
    <row r="509" spans="1:18">
      <c r="A509" t="s">
        <v>3019</v>
      </c>
      <c r="B509" t="s">
        <v>6063</v>
      </c>
      <c r="C509" t="s">
        <v>7807</v>
      </c>
      <c r="D509" s="1">
        <v>5</v>
      </c>
      <c r="E509" s="1">
        <v>9</v>
      </c>
      <c r="F509" s="1">
        <v>262</v>
      </c>
      <c r="G509" s="1">
        <v>263</v>
      </c>
      <c r="H509" s="17" cm="1">
        <f t="array" ref="H509">_xlfn.LET(_xlpm.s,IFERROR(--F509,""),_xlpm.e,IFERROR(--G509,""),IF(OR(_xlpm.s="",_xlpm.e="",_xlpm.e&lt;_xlpm.s),"",_xlfn.LET(_xlpm.p,_xlfn.SEQUENCE(_xlpm.e-_xlpm.s+1,1,_xlpm.s,1),SUM(1/COUNTIFS($D:$D,D509,$E:$E,E509,$F:$F,"&lt;&gt;N/A",$G:$G,"&lt;&gt;N/A",$F:$F,"&lt;="&amp;_xlpm.p,$G:$G,"&gt;="&amp;_xlpm.p)))))</f>
        <v>1</v>
      </c>
      <c r="I509" t="s">
        <v>5436</v>
      </c>
      <c r="J509" t="s">
        <v>1825</v>
      </c>
      <c r="K509" t="s">
        <v>7</v>
      </c>
      <c r="L509" s="5" t="s">
        <v>7</v>
      </c>
      <c r="M509" t="s">
        <v>7</v>
      </c>
      <c r="N509" t="s">
        <v>7</v>
      </c>
      <c r="O509" s="5" t="s">
        <v>778</v>
      </c>
      <c r="P509" s="5" t="s">
        <v>7834</v>
      </c>
      <c r="R509" t="b">
        <v>0</v>
      </c>
    </row>
    <row r="510" spans="1:18">
      <c r="A510" t="s">
        <v>3019</v>
      </c>
      <c r="B510" t="s">
        <v>6064</v>
      </c>
      <c r="C510" t="s">
        <v>7807</v>
      </c>
      <c r="D510" s="1">
        <v>5</v>
      </c>
      <c r="E510" s="1">
        <v>9</v>
      </c>
      <c r="F510" s="1">
        <v>263</v>
      </c>
      <c r="G510" s="1">
        <v>264</v>
      </c>
      <c r="H510" s="17" cm="1">
        <f t="array" ref="H510">_xlfn.LET(_xlpm.s,IFERROR(--F510,""),_xlpm.e,IFERROR(--G510,""),IF(OR(_xlpm.s="",_xlpm.e="",_xlpm.e&lt;_xlpm.s),"",_xlfn.LET(_xlpm.p,_xlfn.SEQUENCE(_xlpm.e-_xlpm.s+1,1,_xlpm.s,1),SUM(1/COUNTIFS($D:$D,D510,$E:$E,E510,$F:$F,"&lt;&gt;N/A",$G:$G,"&lt;&gt;N/A",$F:$F,"&lt;="&amp;_xlpm.p,$G:$G,"&gt;="&amp;_xlpm.p)))))</f>
        <v>1</v>
      </c>
      <c r="I510" t="s">
        <v>5436</v>
      </c>
      <c r="J510" t="s">
        <v>1826</v>
      </c>
      <c r="K510" t="s">
        <v>7</v>
      </c>
      <c r="L510" s="5" t="s">
        <v>7</v>
      </c>
      <c r="M510" t="s">
        <v>7</v>
      </c>
      <c r="N510" t="s">
        <v>7</v>
      </c>
      <c r="O510" s="5" t="s">
        <v>778</v>
      </c>
      <c r="P510" s="5" t="s">
        <v>7834</v>
      </c>
      <c r="R510" t="b">
        <v>0</v>
      </c>
    </row>
    <row r="511" spans="1:18">
      <c r="A511" t="s">
        <v>3019</v>
      </c>
      <c r="B511" t="s">
        <v>6065</v>
      </c>
      <c r="C511" t="s">
        <v>7807</v>
      </c>
      <c r="D511" s="1">
        <v>5</v>
      </c>
      <c r="E511" s="1">
        <v>9</v>
      </c>
      <c r="F511" s="1">
        <v>264</v>
      </c>
      <c r="G511" s="1">
        <v>266</v>
      </c>
      <c r="H511" s="17" cm="1">
        <f t="array" ref="H511">_xlfn.LET(_xlpm.s,IFERROR(--F511,""),_xlpm.e,IFERROR(--G511,""),IF(OR(_xlpm.s="",_xlpm.e="",_xlpm.e&lt;_xlpm.s),"",_xlfn.LET(_xlpm.p,_xlfn.SEQUENCE(_xlpm.e-_xlpm.s+1,1,_xlpm.s,1),SUM(1/COUNTIFS($D:$D,D511,$E:$E,E511,$F:$F,"&lt;&gt;N/A",$G:$G,"&lt;&gt;N/A",$F:$F,"&lt;="&amp;_xlpm.p,$G:$G,"&gt;="&amp;_xlpm.p)))))</f>
        <v>2.5</v>
      </c>
      <c r="I511" t="s">
        <v>5436</v>
      </c>
      <c r="J511" t="s">
        <v>1827</v>
      </c>
      <c r="K511" t="s">
        <v>5561</v>
      </c>
      <c r="L511" s="5" t="s">
        <v>7</v>
      </c>
      <c r="M511" t="s">
        <v>7</v>
      </c>
      <c r="N511" t="s">
        <v>7</v>
      </c>
      <c r="O511" s="5" t="s">
        <v>778</v>
      </c>
      <c r="P511" s="5" t="s">
        <v>7834</v>
      </c>
      <c r="R511" t="b">
        <v>0</v>
      </c>
    </row>
    <row r="512" spans="1:18">
      <c r="A512" t="s">
        <v>3019</v>
      </c>
      <c r="B512" t="s">
        <v>6066</v>
      </c>
      <c r="C512" t="s">
        <v>7807</v>
      </c>
      <c r="D512" s="1">
        <v>5</v>
      </c>
      <c r="E512" s="1">
        <v>9</v>
      </c>
      <c r="F512" s="1">
        <v>267</v>
      </c>
      <c r="G512" s="1">
        <v>285</v>
      </c>
      <c r="H512" s="17" cm="1">
        <f t="array" ref="H512">_xlfn.LET(_xlpm.s,IFERROR(--F512,""),_xlpm.e,IFERROR(--G512,""),IF(OR(_xlpm.s="",_xlpm.e="",_xlpm.e&lt;_xlpm.s),"",_xlfn.LET(_xlpm.p,_xlfn.SEQUENCE(_xlpm.e-_xlpm.s+1,1,_xlpm.s,1),SUM(1/COUNTIFS($D:$D,D512,$E:$E,E512,$F:$F,"&lt;&gt;N/A",$G:$G,"&lt;&gt;N/A",$F:$F,"&lt;="&amp;_xlpm.p,$G:$G,"&gt;="&amp;_xlpm.p)))))</f>
        <v>19</v>
      </c>
      <c r="I512" t="s">
        <v>5436</v>
      </c>
      <c r="J512" t="s">
        <v>1828</v>
      </c>
      <c r="K512" t="s">
        <v>1781</v>
      </c>
      <c r="L512" s="5" t="s">
        <v>7</v>
      </c>
      <c r="M512" t="s">
        <v>7</v>
      </c>
      <c r="N512" t="s">
        <v>7</v>
      </c>
      <c r="O512" s="5" t="s">
        <v>778</v>
      </c>
      <c r="P512" s="5" t="s">
        <v>7834</v>
      </c>
      <c r="R512" t="b">
        <v>0</v>
      </c>
    </row>
    <row r="513" spans="1:18">
      <c r="A513" t="s">
        <v>3019</v>
      </c>
      <c r="B513" t="s">
        <v>6067</v>
      </c>
      <c r="C513" t="s">
        <v>7807</v>
      </c>
      <c r="D513" s="1">
        <v>5</v>
      </c>
      <c r="E513" s="1">
        <v>9</v>
      </c>
      <c r="F513" s="1">
        <v>286</v>
      </c>
      <c r="G513" s="1">
        <v>290</v>
      </c>
      <c r="H513" s="17" cm="1">
        <f t="array" ref="H513">_xlfn.LET(_xlpm.s,IFERROR(--F513,""),_xlpm.e,IFERROR(--G513,""),IF(OR(_xlpm.s="",_xlpm.e="",_xlpm.e&lt;_xlpm.s),"",_xlfn.LET(_xlpm.p,_xlfn.SEQUENCE(_xlpm.e-_xlpm.s+1,1,_xlpm.s,1),SUM(1/COUNTIFS($D:$D,D513,$E:$E,E513,$F:$F,"&lt;&gt;N/A",$G:$G,"&lt;&gt;N/A",$F:$F,"&lt;="&amp;_xlpm.p,$G:$G,"&gt;="&amp;_xlpm.p)))))</f>
        <v>5</v>
      </c>
      <c r="I513" t="s">
        <v>5436</v>
      </c>
      <c r="J513" t="s">
        <v>1829</v>
      </c>
      <c r="K513" t="s">
        <v>2440</v>
      </c>
      <c r="L513" s="5" t="s">
        <v>7</v>
      </c>
      <c r="M513" t="s">
        <v>7</v>
      </c>
      <c r="N513" t="s">
        <v>7</v>
      </c>
      <c r="O513" s="5" t="s">
        <v>778</v>
      </c>
      <c r="P513" s="5" t="s">
        <v>7834</v>
      </c>
      <c r="R513" t="b">
        <v>0</v>
      </c>
    </row>
    <row r="514" spans="1:18">
      <c r="A514" t="s">
        <v>3019</v>
      </c>
      <c r="B514" t="s">
        <v>6068</v>
      </c>
      <c r="C514" t="s">
        <v>7807</v>
      </c>
      <c r="D514" s="1">
        <v>5</v>
      </c>
      <c r="E514" s="1">
        <v>9</v>
      </c>
      <c r="F514" s="1">
        <v>291</v>
      </c>
      <c r="G514" s="1">
        <v>293</v>
      </c>
      <c r="H514" s="17" cm="1">
        <f t="array" ref="H514">_xlfn.LET(_xlpm.s,IFERROR(--F514,""),_xlpm.e,IFERROR(--G514,""),IF(OR(_xlpm.s="",_xlpm.e="",_xlpm.e&lt;_xlpm.s),"",_xlfn.LET(_xlpm.p,_xlfn.SEQUENCE(_xlpm.e-_xlpm.s+1,1,_xlpm.s,1),SUM(1/COUNTIFS($D:$D,D514,$E:$E,E514,$F:$F,"&lt;&gt;N/A",$G:$G,"&lt;&gt;N/A",$F:$F,"&lt;="&amp;_xlpm.p,$G:$G,"&gt;="&amp;_xlpm.p)))))</f>
        <v>3</v>
      </c>
      <c r="I514" t="s">
        <v>2634</v>
      </c>
      <c r="J514" t="s">
        <v>4347</v>
      </c>
      <c r="K514" t="s">
        <v>7</v>
      </c>
      <c r="L514" s="5" t="s">
        <v>4645</v>
      </c>
      <c r="M514" t="s">
        <v>7</v>
      </c>
      <c r="N514" t="s">
        <v>7</v>
      </c>
      <c r="O514" s="5" t="s">
        <v>11522</v>
      </c>
      <c r="P514" s="5" t="s">
        <v>10164</v>
      </c>
      <c r="R514" t="b">
        <v>1</v>
      </c>
    </row>
    <row r="515" spans="1:18">
      <c r="A515" t="s">
        <v>3019</v>
      </c>
      <c r="B515" t="s">
        <v>6069</v>
      </c>
      <c r="C515" t="s">
        <v>7807</v>
      </c>
      <c r="D515" s="1">
        <v>5</v>
      </c>
      <c r="E515" s="1">
        <v>9</v>
      </c>
      <c r="F515" s="1">
        <v>294</v>
      </c>
      <c r="G515" s="1">
        <v>294</v>
      </c>
      <c r="H515" s="17" cm="1">
        <f t="array" ref="H515">_xlfn.LET(_xlpm.s,IFERROR(--F515,""),_xlpm.e,IFERROR(--G515,""),IF(OR(_xlpm.s="",_xlpm.e="",_xlpm.e&lt;_xlpm.s),"",_xlfn.LET(_xlpm.p,_xlfn.SEQUENCE(_xlpm.e-_xlpm.s+1,1,_xlpm.s,1),SUM(1/COUNTIFS($D:$D,D515,$E:$E,E515,$F:$F,"&lt;&gt;N/A",$G:$G,"&lt;&gt;N/A",$F:$F,"&lt;="&amp;_xlpm.p,$G:$G,"&gt;="&amp;_xlpm.p)))))</f>
        <v>0.5</v>
      </c>
      <c r="I515" t="s">
        <v>170</v>
      </c>
      <c r="J515" t="s">
        <v>1830</v>
      </c>
      <c r="K515" t="s">
        <v>7</v>
      </c>
      <c r="L515" s="5" t="s">
        <v>7</v>
      </c>
      <c r="M515" t="s">
        <v>7</v>
      </c>
      <c r="N515" t="s">
        <v>7</v>
      </c>
      <c r="O515" s="5" t="s">
        <v>778</v>
      </c>
      <c r="P515" s="5" t="s">
        <v>7834</v>
      </c>
      <c r="R515" t="b">
        <v>1</v>
      </c>
    </row>
    <row r="516" spans="1:18">
      <c r="A516" t="s">
        <v>3019</v>
      </c>
      <c r="B516" t="s">
        <v>6070</v>
      </c>
      <c r="C516" t="s">
        <v>7807</v>
      </c>
      <c r="D516" s="1">
        <v>5</v>
      </c>
      <c r="E516" s="1">
        <v>9</v>
      </c>
      <c r="F516" s="1">
        <v>294</v>
      </c>
      <c r="G516" s="1">
        <v>294</v>
      </c>
      <c r="H516" s="17" cm="1">
        <f t="array" ref="H516">_xlfn.LET(_xlpm.s,IFERROR(--F516,""),_xlpm.e,IFERROR(--G516,""),IF(OR(_xlpm.s="",_xlpm.e="",_xlpm.e&lt;_xlpm.s),"",_xlfn.LET(_xlpm.p,_xlfn.SEQUENCE(_xlpm.e-_xlpm.s+1,1,_xlpm.s,1),SUM(1/COUNTIFS($D:$D,D516,$E:$E,E516,$F:$F,"&lt;&gt;N/A",$G:$G,"&lt;&gt;N/A",$F:$F,"&lt;="&amp;_xlpm.p,$G:$G,"&gt;="&amp;_xlpm.p)))))</f>
        <v>0.5</v>
      </c>
      <c r="I516" t="s">
        <v>170</v>
      </c>
      <c r="J516" t="s">
        <v>1831</v>
      </c>
      <c r="K516" t="s">
        <v>7</v>
      </c>
      <c r="L516" s="5" t="s">
        <v>7</v>
      </c>
      <c r="M516" t="s">
        <v>7</v>
      </c>
      <c r="N516" t="s">
        <v>7</v>
      </c>
      <c r="O516" s="5" t="s">
        <v>778</v>
      </c>
      <c r="P516" s="5" t="s">
        <v>7834</v>
      </c>
      <c r="R516" t="b">
        <v>1</v>
      </c>
    </row>
    <row r="517" spans="1:18">
      <c r="A517" t="s">
        <v>3019</v>
      </c>
      <c r="B517" t="s">
        <v>6071</v>
      </c>
      <c r="C517" t="s">
        <v>7807</v>
      </c>
      <c r="D517" s="1">
        <v>5</v>
      </c>
      <c r="E517" s="1">
        <v>9</v>
      </c>
      <c r="F517" s="1">
        <v>295</v>
      </c>
      <c r="G517" s="1">
        <v>295</v>
      </c>
      <c r="H517" s="17" cm="1">
        <f t="array" ref="H517">_xlfn.LET(_xlpm.s,IFERROR(--F517,""),_xlpm.e,IFERROR(--G517,""),IF(OR(_xlpm.s="",_xlpm.e="",_xlpm.e&lt;_xlpm.s),"",_xlfn.LET(_xlpm.p,_xlfn.SEQUENCE(_xlpm.e-_xlpm.s+1,1,_xlpm.s,1),SUM(1/COUNTIFS($D:$D,D517,$E:$E,E517,$F:$F,"&lt;&gt;N/A",$G:$G,"&lt;&gt;N/A",$F:$F,"&lt;="&amp;_xlpm.p,$G:$G,"&gt;="&amp;_xlpm.p)))))</f>
        <v>0.5</v>
      </c>
      <c r="I517" t="s">
        <v>170</v>
      </c>
      <c r="J517" t="s">
        <v>4348</v>
      </c>
      <c r="K517" t="s">
        <v>7</v>
      </c>
      <c r="L517" s="5" t="s">
        <v>4646</v>
      </c>
      <c r="M517" t="s">
        <v>7</v>
      </c>
      <c r="N517" t="s">
        <v>7</v>
      </c>
      <c r="O517" s="5" t="s">
        <v>11522</v>
      </c>
      <c r="P517" s="5" t="s">
        <v>8021</v>
      </c>
      <c r="Q517" t="s">
        <v>2509</v>
      </c>
      <c r="R517" t="b">
        <v>1</v>
      </c>
    </row>
    <row r="518" spans="1:18">
      <c r="A518" t="s">
        <v>3019</v>
      </c>
      <c r="B518" t="s">
        <v>6791</v>
      </c>
      <c r="C518" t="s">
        <v>7807</v>
      </c>
      <c r="D518" s="1">
        <v>5</v>
      </c>
      <c r="E518" s="1">
        <v>9</v>
      </c>
      <c r="F518" s="1">
        <v>295</v>
      </c>
      <c r="G518" s="1">
        <v>296</v>
      </c>
      <c r="H518" s="17" cm="1">
        <f t="array" ref="H518">_xlfn.LET(_xlpm.s,IFERROR(--F518,""),_xlpm.e,IFERROR(--G518,""),IF(OR(_xlpm.s="",_xlpm.e="",_xlpm.e&lt;_xlpm.s),"",_xlfn.LET(_xlpm.p,_xlfn.SEQUENCE(_xlpm.e-_xlpm.s+1,1,_xlpm.s,1),SUM(1/COUNTIFS($D:$D,D518,$E:$E,E518,$F:$F,"&lt;&gt;N/A",$G:$G,"&lt;&gt;N/A",$F:$F,"&lt;="&amp;_xlpm.p,$G:$G,"&gt;="&amp;_xlpm.p)))))</f>
        <v>1</v>
      </c>
      <c r="I518" t="s">
        <v>170</v>
      </c>
      <c r="J518" t="s">
        <v>1832</v>
      </c>
      <c r="K518" t="s">
        <v>7</v>
      </c>
      <c r="L518" s="5" t="s">
        <v>4646</v>
      </c>
      <c r="M518" t="s">
        <v>7</v>
      </c>
      <c r="N518" t="s">
        <v>7</v>
      </c>
      <c r="O518" s="5" t="s">
        <v>11522</v>
      </c>
      <c r="P518" s="5" t="s">
        <v>8021</v>
      </c>
      <c r="Q518" t="s">
        <v>2509</v>
      </c>
      <c r="R518" t="b">
        <v>1</v>
      </c>
    </row>
    <row r="519" spans="1:18">
      <c r="A519" t="s">
        <v>3019</v>
      </c>
      <c r="B519" t="s">
        <v>6792</v>
      </c>
      <c r="C519" t="s">
        <v>7807</v>
      </c>
      <c r="D519" s="1">
        <v>5</v>
      </c>
      <c r="E519" s="1">
        <v>9</v>
      </c>
      <c r="F519" s="1">
        <v>296</v>
      </c>
      <c r="G519" s="1">
        <v>296</v>
      </c>
      <c r="H519" s="17" cm="1">
        <f t="array" ref="H519">_xlfn.LET(_xlpm.s,IFERROR(--F519,""),_xlpm.e,IFERROR(--G519,""),IF(OR(_xlpm.s="",_xlpm.e="",_xlpm.e&lt;_xlpm.s),"",_xlfn.LET(_xlpm.p,_xlfn.SEQUENCE(_xlpm.e-_xlpm.s+1,1,_xlpm.s,1),SUM(1/COUNTIFS($D:$D,D519,$E:$E,E519,$F:$F,"&lt;&gt;N/A",$G:$G,"&lt;&gt;N/A",$F:$F,"&lt;="&amp;_xlpm.p,$G:$G,"&gt;="&amp;_xlpm.p)))))</f>
        <v>0.5</v>
      </c>
      <c r="I519" t="s">
        <v>170</v>
      </c>
      <c r="J519" t="s">
        <v>1816</v>
      </c>
      <c r="K519" t="s">
        <v>5196</v>
      </c>
      <c r="L519" s="5" t="s">
        <v>4646</v>
      </c>
      <c r="M519" s="5" t="s">
        <v>7</v>
      </c>
      <c r="N519" t="s">
        <v>7</v>
      </c>
      <c r="O519" s="5" t="s">
        <v>11522</v>
      </c>
      <c r="P519" s="5" t="s">
        <v>8021</v>
      </c>
      <c r="R519" t="b">
        <v>1</v>
      </c>
    </row>
    <row r="520" spans="1:18">
      <c r="A520" t="s">
        <v>3019</v>
      </c>
      <c r="B520" t="s">
        <v>6072</v>
      </c>
      <c r="C520" t="s">
        <v>7732</v>
      </c>
      <c r="D520" s="1">
        <v>5</v>
      </c>
      <c r="E520" s="1">
        <v>10</v>
      </c>
      <c r="F520" s="1">
        <v>297</v>
      </c>
      <c r="G520" s="1">
        <v>298</v>
      </c>
      <c r="H520" s="17" cm="1">
        <f t="array" ref="H520">_xlfn.LET(_xlpm.s,IFERROR(--F520,""),_xlpm.e,IFERROR(--G520,""),IF(OR(_xlpm.s="",_xlpm.e="",_xlpm.e&lt;_xlpm.s),"",_xlfn.LET(_xlpm.p,_xlfn.SEQUENCE(_xlpm.e-_xlpm.s+1,1,_xlpm.s,1),SUM(1/COUNTIFS($D:$D,D520,$E:$E,E520,$F:$F,"&lt;&gt;N/A",$G:$G,"&lt;&gt;N/A",$F:$F,"&lt;="&amp;_xlpm.p,$G:$G,"&gt;="&amp;_xlpm.p)))))</f>
        <v>1.5</v>
      </c>
      <c r="I520" t="s">
        <v>5436</v>
      </c>
      <c r="J520" t="s">
        <v>5453</v>
      </c>
      <c r="K520" t="s">
        <v>7</v>
      </c>
      <c r="L520" s="5" t="s">
        <v>7</v>
      </c>
      <c r="M520" t="s">
        <v>7</v>
      </c>
      <c r="N520" t="s">
        <v>7</v>
      </c>
      <c r="O520" s="5" t="s">
        <v>778</v>
      </c>
      <c r="P520" s="5" t="s">
        <v>7834</v>
      </c>
      <c r="R520" t="b">
        <v>0</v>
      </c>
    </row>
    <row r="521" spans="1:18">
      <c r="A521" t="s">
        <v>3019</v>
      </c>
      <c r="B521" t="s">
        <v>6073</v>
      </c>
      <c r="C521" t="s">
        <v>7732</v>
      </c>
      <c r="D521" s="1">
        <v>5</v>
      </c>
      <c r="E521" s="1">
        <v>10</v>
      </c>
      <c r="F521" s="1">
        <v>298</v>
      </c>
      <c r="G521" s="1">
        <v>300</v>
      </c>
      <c r="H521" s="17" cm="1">
        <f t="array" ref="H521">_xlfn.LET(_xlpm.s,IFERROR(--F521,""),_xlpm.e,IFERROR(--G521,""),IF(OR(_xlpm.s="",_xlpm.e="",_xlpm.e&lt;_xlpm.s),"",_xlfn.LET(_xlpm.p,_xlfn.SEQUENCE(_xlpm.e-_xlpm.s+1,1,_xlpm.s,1),SUM(1/COUNTIFS($D:$D,D521,$E:$E,E521,$F:$F,"&lt;&gt;N/A",$G:$G,"&lt;&gt;N/A",$F:$F,"&lt;="&amp;_xlpm.p,$G:$G,"&gt;="&amp;_xlpm.p)))))</f>
        <v>2</v>
      </c>
      <c r="I521" t="s">
        <v>5436</v>
      </c>
      <c r="J521" t="s">
        <v>5454</v>
      </c>
      <c r="K521" t="s">
        <v>7</v>
      </c>
      <c r="L521" s="5" t="s">
        <v>7</v>
      </c>
      <c r="M521" t="s">
        <v>7</v>
      </c>
      <c r="N521" t="s">
        <v>7</v>
      </c>
      <c r="O521" s="5" t="s">
        <v>778</v>
      </c>
      <c r="P521" s="5" t="s">
        <v>7834</v>
      </c>
      <c r="R521" t="b">
        <v>0</v>
      </c>
    </row>
    <row r="522" spans="1:18">
      <c r="A522" t="s">
        <v>3019</v>
      </c>
      <c r="B522" t="s">
        <v>6074</v>
      </c>
      <c r="C522" t="s">
        <v>7732</v>
      </c>
      <c r="D522" s="1">
        <v>5</v>
      </c>
      <c r="E522" s="1">
        <v>10</v>
      </c>
      <c r="F522" s="1">
        <v>300</v>
      </c>
      <c r="G522" s="1">
        <v>302</v>
      </c>
      <c r="H522" s="17" cm="1">
        <f t="array" ref="H522">_xlfn.LET(_xlpm.s,IFERROR(--F522,""),_xlpm.e,IFERROR(--G522,""),IF(OR(_xlpm.s="",_xlpm.e="",_xlpm.e&lt;_xlpm.s),"",_xlfn.LET(_xlpm.p,_xlfn.SEQUENCE(_xlpm.e-_xlpm.s+1,1,_xlpm.s,1),SUM(1/COUNTIFS($D:$D,D522,$E:$E,E522,$F:$F,"&lt;&gt;N/A",$G:$G,"&lt;&gt;N/A",$F:$F,"&lt;="&amp;_xlpm.p,$G:$G,"&gt;="&amp;_xlpm.p)))))</f>
        <v>2</v>
      </c>
      <c r="I522" t="s">
        <v>5436</v>
      </c>
      <c r="J522" t="s">
        <v>5455</v>
      </c>
      <c r="K522" s="5" t="s">
        <v>7</v>
      </c>
      <c r="L522" s="5" t="s">
        <v>7</v>
      </c>
      <c r="M522" t="s">
        <v>7</v>
      </c>
      <c r="N522" t="s">
        <v>7</v>
      </c>
      <c r="O522" s="5" t="s">
        <v>778</v>
      </c>
      <c r="P522" s="5" t="s">
        <v>7834</v>
      </c>
      <c r="R522" t="b">
        <v>0</v>
      </c>
    </row>
    <row r="523" spans="1:18">
      <c r="A523" t="s">
        <v>3019</v>
      </c>
      <c r="B523" t="s">
        <v>6075</v>
      </c>
      <c r="C523" t="s">
        <v>7732</v>
      </c>
      <c r="D523" s="1">
        <v>5</v>
      </c>
      <c r="E523" s="1">
        <v>10</v>
      </c>
      <c r="F523" s="1">
        <v>302</v>
      </c>
      <c r="G523" s="1">
        <v>303</v>
      </c>
      <c r="H523" s="17" cm="1">
        <f t="array" ref="H523">_xlfn.LET(_xlpm.s,IFERROR(--F523,""),_xlpm.e,IFERROR(--G523,""),IF(OR(_xlpm.s="",_xlpm.e="",_xlpm.e&lt;_xlpm.s),"",_xlfn.LET(_xlpm.p,_xlfn.SEQUENCE(_xlpm.e-_xlpm.s+1,1,_xlpm.s,1),SUM(1/COUNTIFS($D:$D,D523,$E:$E,E523,$F:$F,"&lt;&gt;N/A",$G:$G,"&lt;&gt;N/A",$F:$F,"&lt;="&amp;_xlpm.p,$G:$G,"&gt;="&amp;_xlpm.p)))))</f>
        <v>1</v>
      </c>
      <c r="I523" t="s">
        <v>5436</v>
      </c>
      <c r="J523" t="s">
        <v>1833</v>
      </c>
      <c r="K523" t="s">
        <v>1781</v>
      </c>
      <c r="L523" s="5" t="s">
        <v>7</v>
      </c>
      <c r="M523" t="s">
        <v>7</v>
      </c>
      <c r="N523" t="s">
        <v>7</v>
      </c>
      <c r="O523" s="5" t="s">
        <v>778</v>
      </c>
      <c r="P523" s="5" t="s">
        <v>7834</v>
      </c>
      <c r="R523" t="b">
        <v>0</v>
      </c>
    </row>
    <row r="524" spans="1:18">
      <c r="A524" t="s">
        <v>3019</v>
      </c>
      <c r="B524" t="s">
        <v>6076</v>
      </c>
      <c r="C524" t="s">
        <v>7732</v>
      </c>
      <c r="D524" s="1">
        <v>5</v>
      </c>
      <c r="E524" s="1">
        <v>10</v>
      </c>
      <c r="F524" s="1">
        <v>303</v>
      </c>
      <c r="G524" s="1">
        <v>304</v>
      </c>
      <c r="H524" s="17" cm="1">
        <f t="array" ref="H524">_xlfn.LET(_xlpm.s,IFERROR(--F524,""),_xlpm.e,IFERROR(--G524,""),IF(OR(_xlpm.s="",_xlpm.e="",_xlpm.e&lt;_xlpm.s),"",_xlfn.LET(_xlpm.p,_xlfn.SEQUENCE(_xlpm.e-_xlpm.s+1,1,_xlpm.s,1),SUM(1/COUNTIFS($D:$D,D524,$E:$E,E524,$F:$F,"&lt;&gt;N/A",$G:$G,"&lt;&gt;N/A",$F:$F,"&lt;="&amp;_xlpm.p,$G:$G,"&gt;="&amp;_xlpm.p)))))</f>
        <v>1</v>
      </c>
      <c r="I524" t="s">
        <v>5436</v>
      </c>
      <c r="J524" t="s">
        <v>5456</v>
      </c>
      <c r="K524" t="s">
        <v>7</v>
      </c>
      <c r="L524" s="5" t="s">
        <v>7</v>
      </c>
      <c r="M524" t="s">
        <v>7</v>
      </c>
      <c r="N524" t="s">
        <v>7</v>
      </c>
      <c r="O524" s="5" t="s">
        <v>778</v>
      </c>
      <c r="P524" s="5" t="s">
        <v>7834</v>
      </c>
      <c r="R524" t="b">
        <v>0</v>
      </c>
    </row>
    <row r="525" spans="1:18">
      <c r="A525" t="s">
        <v>3019</v>
      </c>
      <c r="B525" t="s">
        <v>6077</v>
      </c>
      <c r="C525" t="s">
        <v>7732</v>
      </c>
      <c r="D525" s="1">
        <v>5</v>
      </c>
      <c r="E525" s="1">
        <v>10</v>
      </c>
      <c r="F525" s="1">
        <v>304</v>
      </c>
      <c r="G525" s="1">
        <v>307</v>
      </c>
      <c r="H525" s="17" cm="1">
        <f t="array" ref="H525">_xlfn.LET(_xlpm.s,IFERROR(--F525,""),_xlpm.e,IFERROR(--G525,""),IF(OR(_xlpm.s="",_xlpm.e="",_xlpm.e&lt;_xlpm.s),"",_xlfn.LET(_xlpm.p,_xlfn.SEQUENCE(_xlpm.e-_xlpm.s+1,1,_xlpm.s,1),SUM(1/COUNTIFS($D:$D,D525,$E:$E,E525,$F:$F,"&lt;&gt;N/A",$G:$G,"&lt;&gt;N/A",$F:$F,"&lt;="&amp;_xlpm.p,$G:$G,"&gt;="&amp;_xlpm.p)))))</f>
        <v>3.5</v>
      </c>
      <c r="I525" t="s">
        <v>5436</v>
      </c>
      <c r="J525" t="s">
        <v>1834</v>
      </c>
      <c r="K525" t="s">
        <v>7</v>
      </c>
      <c r="L525" s="5" t="s">
        <v>7</v>
      </c>
      <c r="M525" t="s">
        <v>7</v>
      </c>
      <c r="N525" t="s">
        <v>7</v>
      </c>
      <c r="O525" s="5" t="s">
        <v>778</v>
      </c>
      <c r="P525" s="5" t="s">
        <v>7834</v>
      </c>
      <c r="R525" t="b">
        <v>0</v>
      </c>
    </row>
    <row r="526" spans="1:18">
      <c r="A526" t="s">
        <v>3019</v>
      </c>
      <c r="B526" t="s">
        <v>6078</v>
      </c>
      <c r="C526" t="s">
        <v>7732</v>
      </c>
      <c r="D526" s="1">
        <v>5</v>
      </c>
      <c r="E526" s="1">
        <v>10</v>
      </c>
      <c r="F526" s="1">
        <v>308</v>
      </c>
      <c r="G526" s="1">
        <v>315</v>
      </c>
      <c r="H526" s="17" cm="1">
        <f t="array" ref="H526">_xlfn.LET(_xlpm.s,IFERROR(--F526,""),_xlpm.e,IFERROR(--G526,""),IF(OR(_xlpm.s="",_xlpm.e="",_xlpm.e&lt;_xlpm.s),"",_xlfn.LET(_xlpm.p,_xlfn.SEQUENCE(_xlpm.e-_xlpm.s+1,1,_xlpm.s,1),SUM(1/COUNTIFS($D:$D,D526,$E:$E,E526,$F:$F,"&lt;&gt;N/A",$G:$G,"&lt;&gt;N/A",$F:$F,"&lt;="&amp;_xlpm.p,$G:$G,"&gt;="&amp;_xlpm.p)))))</f>
        <v>8</v>
      </c>
      <c r="I526" t="s">
        <v>5436</v>
      </c>
      <c r="J526" t="s">
        <v>1835</v>
      </c>
      <c r="K526" t="s">
        <v>7175</v>
      </c>
      <c r="L526" s="5" t="s">
        <v>7</v>
      </c>
      <c r="M526" t="s">
        <v>6713</v>
      </c>
      <c r="N526" t="s">
        <v>6911</v>
      </c>
      <c r="O526" s="5" t="s">
        <v>11522</v>
      </c>
      <c r="P526" s="5" t="s">
        <v>8019</v>
      </c>
      <c r="R526" t="b">
        <v>1</v>
      </c>
    </row>
    <row r="527" spans="1:18">
      <c r="A527" t="s">
        <v>3019</v>
      </c>
      <c r="B527" t="s">
        <v>6079</v>
      </c>
      <c r="C527" t="s">
        <v>7732</v>
      </c>
      <c r="D527" s="1">
        <v>5</v>
      </c>
      <c r="E527" s="1">
        <v>10</v>
      </c>
      <c r="F527" s="1">
        <v>316</v>
      </c>
      <c r="G527" s="1">
        <v>324</v>
      </c>
      <c r="H527" s="17" cm="1">
        <f t="array" ref="H527">_xlfn.LET(_xlpm.s,IFERROR(--F527,""),_xlpm.e,IFERROR(--G527,""),IF(OR(_xlpm.s="",_xlpm.e="",_xlpm.e&lt;_xlpm.s),"",_xlfn.LET(_xlpm.p,_xlfn.SEQUENCE(_xlpm.e-_xlpm.s+1,1,_xlpm.s,1),SUM(1/COUNTIFS($D:$D,D527,$E:$E,E527,$F:$F,"&lt;&gt;N/A",$G:$G,"&lt;&gt;N/A",$F:$F,"&lt;="&amp;_xlpm.p,$G:$G,"&gt;="&amp;_xlpm.p)))))</f>
        <v>9</v>
      </c>
      <c r="I527" t="s">
        <v>2573</v>
      </c>
      <c r="J527" t="s">
        <v>6590</v>
      </c>
      <c r="K527" t="s">
        <v>7</v>
      </c>
      <c r="L527" s="5" t="s">
        <v>7</v>
      </c>
      <c r="M527" s="5" t="s">
        <v>5397</v>
      </c>
      <c r="N527" t="s">
        <v>8072</v>
      </c>
      <c r="O527" s="5" t="s">
        <v>5072</v>
      </c>
      <c r="P527" s="5" t="s">
        <v>8021</v>
      </c>
      <c r="R527" t="b">
        <v>1</v>
      </c>
    </row>
    <row r="528" spans="1:18">
      <c r="A528" t="s">
        <v>3019</v>
      </c>
      <c r="B528" t="s">
        <v>6080</v>
      </c>
      <c r="C528" t="s">
        <v>7732</v>
      </c>
      <c r="D528" s="1">
        <v>5</v>
      </c>
      <c r="E528" s="1">
        <v>10</v>
      </c>
      <c r="F528" s="1">
        <v>325</v>
      </c>
      <c r="G528" s="1">
        <v>326</v>
      </c>
      <c r="H528" s="17" cm="1">
        <f t="array" ref="H528">_xlfn.LET(_xlpm.s,IFERROR(--F528,""),_xlpm.e,IFERROR(--G528,""),IF(OR(_xlpm.s="",_xlpm.e="",_xlpm.e&lt;_xlpm.s),"",_xlfn.LET(_xlpm.p,_xlfn.SEQUENCE(_xlpm.e-_xlpm.s+1,1,_xlpm.s,1),SUM(1/COUNTIFS($D:$D,D528,$E:$E,E528,$F:$F,"&lt;&gt;N/A",$G:$G,"&lt;&gt;N/A",$F:$F,"&lt;="&amp;_xlpm.p,$G:$G,"&gt;="&amp;_xlpm.p)))))</f>
        <v>2</v>
      </c>
      <c r="I528" t="s">
        <v>2634</v>
      </c>
      <c r="J528" t="s">
        <v>1836</v>
      </c>
      <c r="K528" t="s">
        <v>4647</v>
      </c>
      <c r="L528" s="5" t="s">
        <v>7</v>
      </c>
      <c r="M528" s="5" t="s">
        <v>7</v>
      </c>
      <c r="N528" t="s">
        <v>7</v>
      </c>
      <c r="O528" s="5" t="s">
        <v>778</v>
      </c>
      <c r="P528" s="5" t="s">
        <v>7834</v>
      </c>
      <c r="R528" t="b">
        <v>1</v>
      </c>
    </row>
    <row r="529" spans="1:18">
      <c r="A529" t="s">
        <v>3019</v>
      </c>
      <c r="B529" t="s">
        <v>6081</v>
      </c>
      <c r="C529" t="s">
        <v>7732</v>
      </c>
      <c r="D529" s="1">
        <v>5</v>
      </c>
      <c r="E529" s="1">
        <v>10</v>
      </c>
      <c r="F529" s="1">
        <v>327</v>
      </c>
      <c r="G529" s="1">
        <v>330</v>
      </c>
      <c r="H529" s="17" cm="1">
        <f t="array" ref="H529">_xlfn.LET(_xlpm.s,IFERROR(--F529,""),_xlpm.e,IFERROR(--G529,""),IF(OR(_xlpm.s="",_xlpm.e="",_xlpm.e&lt;_xlpm.s),"",_xlfn.LET(_xlpm.p,_xlfn.SEQUENCE(_xlpm.e-_xlpm.s+1,1,_xlpm.s,1),SUM(1/COUNTIFS($D:$D,D529,$E:$E,E529,$F:$F,"&lt;&gt;N/A",$G:$G,"&lt;&gt;N/A",$F:$F,"&lt;="&amp;_xlpm.p,$G:$G,"&gt;="&amp;_xlpm.p)))))</f>
        <v>4</v>
      </c>
      <c r="I529" t="s">
        <v>2634</v>
      </c>
      <c r="J529" t="s">
        <v>1837</v>
      </c>
      <c r="K529" t="s">
        <v>7</v>
      </c>
      <c r="L529" s="5" t="s">
        <v>7</v>
      </c>
      <c r="M529" s="5" t="s">
        <v>7</v>
      </c>
      <c r="N529" t="s">
        <v>7</v>
      </c>
      <c r="O529" s="5" t="s">
        <v>778</v>
      </c>
      <c r="P529" s="5" t="s">
        <v>7834</v>
      </c>
      <c r="R529" t="b">
        <v>1</v>
      </c>
    </row>
    <row r="530" spans="1:18">
      <c r="A530" t="s">
        <v>3019</v>
      </c>
      <c r="B530" t="s">
        <v>6082</v>
      </c>
      <c r="C530" t="s">
        <v>7732</v>
      </c>
      <c r="D530" s="1">
        <v>5</v>
      </c>
      <c r="E530" s="1">
        <v>10</v>
      </c>
      <c r="F530" s="1">
        <v>331</v>
      </c>
      <c r="G530" s="1">
        <v>332</v>
      </c>
      <c r="H530" s="17" cm="1">
        <f t="array" ref="H530">_xlfn.LET(_xlpm.s,IFERROR(--F530,""),_xlpm.e,IFERROR(--G530,""),IF(OR(_xlpm.s="",_xlpm.e="",_xlpm.e&lt;_xlpm.s),"",_xlfn.LET(_xlpm.p,_xlfn.SEQUENCE(_xlpm.e-_xlpm.s+1,1,_xlpm.s,1),SUM(1/COUNTIFS($D:$D,D530,$E:$E,E530,$F:$F,"&lt;&gt;N/A",$G:$G,"&lt;&gt;N/A",$F:$F,"&lt;="&amp;_xlpm.p,$G:$G,"&gt;="&amp;_xlpm.p)))))</f>
        <v>1.5</v>
      </c>
      <c r="I530" t="s">
        <v>2581</v>
      </c>
      <c r="J530" t="s">
        <v>1838</v>
      </c>
      <c r="K530" t="s">
        <v>7</v>
      </c>
      <c r="L530" s="5" t="s">
        <v>5371</v>
      </c>
      <c r="M530" t="s">
        <v>5119</v>
      </c>
      <c r="N530" t="s">
        <v>5567</v>
      </c>
      <c r="O530" s="5" t="s">
        <v>5072</v>
      </c>
      <c r="P530" s="5" t="s">
        <v>8021</v>
      </c>
      <c r="Q530" s="5" t="s">
        <v>2509</v>
      </c>
      <c r="R530" t="b">
        <v>1</v>
      </c>
    </row>
    <row r="531" spans="1:18">
      <c r="A531" t="s">
        <v>3019</v>
      </c>
      <c r="B531" t="s">
        <v>6083</v>
      </c>
      <c r="C531" t="s">
        <v>7732</v>
      </c>
      <c r="D531" s="1">
        <v>5</v>
      </c>
      <c r="E531" s="1">
        <v>10</v>
      </c>
      <c r="F531" s="1">
        <v>332</v>
      </c>
      <c r="G531" s="1">
        <v>333</v>
      </c>
      <c r="H531" s="17" cm="1">
        <f t="array" ref="H531">_xlfn.LET(_xlpm.s,IFERROR(--F531,""),_xlpm.e,IFERROR(--G531,""),IF(OR(_xlpm.s="",_xlpm.e="",_xlpm.e&lt;_xlpm.s),"",_xlfn.LET(_xlpm.p,_xlfn.SEQUENCE(_xlpm.e-_xlpm.s+1,1,_xlpm.s,1),SUM(1/COUNTIFS($D:$D,D531,$E:$E,E531,$F:$F,"&lt;&gt;N/A",$G:$G,"&lt;&gt;N/A",$F:$F,"&lt;="&amp;_xlpm.p,$G:$G,"&gt;="&amp;_xlpm.p)))))</f>
        <v>1</v>
      </c>
      <c r="I531" t="s">
        <v>2581</v>
      </c>
      <c r="J531" t="s">
        <v>1839</v>
      </c>
      <c r="K531" t="s">
        <v>7</v>
      </c>
      <c r="L531" s="5" t="s">
        <v>5371</v>
      </c>
      <c r="M531" t="s">
        <v>5119</v>
      </c>
      <c r="N531" t="s">
        <v>5566</v>
      </c>
      <c r="O531" s="5" t="s">
        <v>5072</v>
      </c>
      <c r="P531" s="5" t="s">
        <v>8021</v>
      </c>
      <c r="Q531" s="5" t="s">
        <v>2509</v>
      </c>
      <c r="R531" t="b">
        <v>1</v>
      </c>
    </row>
    <row r="532" spans="1:18">
      <c r="A532" t="s">
        <v>3019</v>
      </c>
      <c r="B532" t="s">
        <v>6793</v>
      </c>
      <c r="C532" t="s">
        <v>7732</v>
      </c>
      <c r="D532" s="1">
        <v>5</v>
      </c>
      <c r="E532" s="1">
        <v>10</v>
      </c>
      <c r="F532" s="1">
        <v>333</v>
      </c>
      <c r="G532" s="1">
        <v>335</v>
      </c>
      <c r="H532" s="17" cm="1">
        <f t="array" ref="H532">_xlfn.LET(_xlpm.s,IFERROR(--F532,""),_xlpm.e,IFERROR(--G532,""),IF(OR(_xlpm.s="",_xlpm.e="",_xlpm.e&lt;_xlpm.s),"",_xlfn.LET(_xlpm.p,_xlfn.SEQUENCE(_xlpm.e-_xlpm.s+1,1,_xlpm.s,1),SUM(1/COUNTIFS($D:$D,D532,$E:$E,E532,$F:$F,"&lt;&gt;N/A",$G:$G,"&lt;&gt;N/A",$F:$F,"&lt;="&amp;_xlpm.p,$G:$G,"&gt;="&amp;_xlpm.p)))))</f>
        <v>2</v>
      </c>
      <c r="I532" t="s">
        <v>2581</v>
      </c>
      <c r="J532" t="s">
        <v>1840</v>
      </c>
      <c r="K532" t="s">
        <v>4648</v>
      </c>
      <c r="L532" s="5" t="s">
        <v>5371</v>
      </c>
      <c r="M532" t="s">
        <v>5119</v>
      </c>
      <c r="N532" t="s">
        <v>5565</v>
      </c>
      <c r="O532" s="5" t="s">
        <v>5072</v>
      </c>
      <c r="P532" s="5" t="s">
        <v>8021</v>
      </c>
      <c r="Q532" s="5" t="s">
        <v>2509</v>
      </c>
      <c r="R532" t="b">
        <v>1</v>
      </c>
    </row>
    <row r="533" spans="1:18">
      <c r="A533" t="s">
        <v>3019</v>
      </c>
      <c r="B533" t="s">
        <v>6794</v>
      </c>
      <c r="C533" t="s">
        <v>7732</v>
      </c>
      <c r="D533" s="1">
        <v>5</v>
      </c>
      <c r="E533" s="1">
        <v>10</v>
      </c>
      <c r="F533" s="1">
        <v>335</v>
      </c>
      <c r="G533" s="1">
        <v>336</v>
      </c>
      <c r="H533" s="17" cm="1">
        <f t="array" ref="H533">_xlfn.LET(_xlpm.s,IFERROR(--F533,""),_xlpm.e,IFERROR(--G533,""),IF(OR(_xlpm.s="",_xlpm.e="",_xlpm.e&lt;_xlpm.s),"",_xlfn.LET(_xlpm.p,_xlfn.SEQUENCE(_xlpm.e-_xlpm.s+1,1,_xlpm.s,1),SUM(1/COUNTIFS($D:$D,D533,$E:$E,E533,$F:$F,"&lt;&gt;N/A",$G:$G,"&lt;&gt;N/A",$F:$F,"&lt;="&amp;_xlpm.p,$G:$G,"&gt;="&amp;_xlpm.p)))))</f>
        <v>1.5</v>
      </c>
      <c r="I533" t="s">
        <v>2581</v>
      </c>
      <c r="J533" t="s">
        <v>1841</v>
      </c>
      <c r="K533" t="s">
        <v>7</v>
      </c>
      <c r="L533" s="5" t="s">
        <v>5371</v>
      </c>
      <c r="M533" t="s">
        <v>5119</v>
      </c>
      <c r="N533" t="s">
        <v>5564</v>
      </c>
      <c r="O533" s="5" t="s">
        <v>5072</v>
      </c>
      <c r="P533" s="5" t="s">
        <v>8021</v>
      </c>
      <c r="Q533" s="5" t="s">
        <v>2509</v>
      </c>
      <c r="R533" t="b">
        <v>1</v>
      </c>
    </row>
    <row r="534" spans="1:18">
      <c r="A534" t="s">
        <v>3019</v>
      </c>
      <c r="B534" t="s">
        <v>6084</v>
      </c>
      <c r="C534" t="s">
        <v>7733</v>
      </c>
      <c r="D534" s="1">
        <v>5</v>
      </c>
      <c r="E534" s="1">
        <v>11</v>
      </c>
      <c r="F534" s="1">
        <v>337</v>
      </c>
      <c r="G534" s="1">
        <v>338</v>
      </c>
      <c r="H534" s="17" cm="1">
        <f t="array" ref="H534">_xlfn.LET(_xlpm.s,IFERROR(--F534,""),_xlpm.e,IFERROR(--G534,""),IF(OR(_xlpm.s="",_xlpm.e="",_xlpm.e&lt;_xlpm.s),"",_xlfn.LET(_xlpm.p,_xlfn.SEQUENCE(_xlpm.e-_xlpm.s+1,1,_xlpm.s,1),SUM(1/COUNTIFS($D:$D,D534,$E:$E,E534,$F:$F,"&lt;&gt;N/A",$G:$G,"&lt;&gt;N/A",$F:$F,"&lt;="&amp;_xlpm.p,$G:$G,"&gt;="&amp;_xlpm.p)))))</f>
        <v>1.5</v>
      </c>
      <c r="I534" t="s">
        <v>5436</v>
      </c>
      <c r="J534" t="s">
        <v>5459</v>
      </c>
      <c r="K534" t="s">
        <v>7</v>
      </c>
      <c r="L534" s="5" t="s">
        <v>7</v>
      </c>
      <c r="M534" t="s">
        <v>7</v>
      </c>
      <c r="N534" t="s">
        <v>7</v>
      </c>
      <c r="O534" s="5" t="s">
        <v>778</v>
      </c>
      <c r="P534" s="5" t="s">
        <v>7834</v>
      </c>
      <c r="R534" t="b">
        <v>0</v>
      </c>
    </row>
    <row r="535" spans="1:18">
      <c r="A535" t="s">
        <v>3019</v>
      </c>
      <c r="B535" t="s">
        <v>6085</v>
      </c>
      <c r="C535" t="s">
        <v>7733</v>
      </c>
      <c r="D535" s="1">
        <v>5</v>
      </c>
      <c r="E535" s="1">
        <v>11</v>
      </c>
      <c r="F535" s="1">
        <v>338</v>
      </c>
      <c r="G535" s="1">
        <v>339</v>
      </c>
      <c r="H535" s="17" cm="1">
        <f t="array" ref="H535">_xlfn.LET(_xlpm.s,IFERROR(--F535,""),_xlpm.e,IFERROR(--G535,""),IF(OR(_xlpm.s="",_xlpm.e="",_xlpm.e&lt;_xlpm.s),"",_xlfn.LET(_xlpm.p,_xlfn.SEQUENCE(_xlpm.e-_xlpm.s+1,1,_xlpm.s,1),SUM(1/COUNTIFS($D:$D,D535,$E:$E,E535,$F:$F,"&lt;&gt;N/A",$G:$G,"&lt;&gt;N/A",$F:$F,"&lt;="&amp;_xlpm.p,$G:$G,"&gt;="&amp;_xlpm.p)))))</f>
        <v>1</v>
      </c>
      <c r="I535" t="s">
        <v>5436</v>
      </c>
      <c r="J535" t="s">
        <v>5460</v>
      </c>
      <c r="K535" t="s">
        <v>7</v>
      </c>
      <c r="L535" s="5" t="s">
        <v>7</v>
      </c>
      <c r="M535" t="s">
        <v>7</v>
      </c>
      <c r="N535" t="s">
        <v>7</v>
      </c>
      <c r="O535" s="5" t="s">
        <v>778</v>
      </c>
      <c r="P535" s="5" t="s">
        <v>7834</v>
      </c>
      <c r="R535" t="b">
        <v>0</v>
      </c>
    </row>
    <row r="536" spans="1:18">
      <c r="A536" t="s">
        <v>3019</v>
      </c>
      <c r="B536" t="s">
        <v>6086</v>
      </c>
      <c r="C536" t="s">
        <v>7733</v>
      </c>
      <c r="D536" s="1">
        <v>5</v>
      </c>
      <c r="E536" s="1">
        <v>11</v>
      </c>
      <c r="F536" s="1">
        <v>339</v>
      </c>
      <c r="G536" s="1">
        <v>340</v>
      </c>
      <c r="H536" s="17" cm="1">
        <f t="array" ref="H536">_xlfn.LET(_xlpm.s,IFERROR(--F536,""),_xlpm.e,IFERROR(--G536,""),IF(OR(_xlpm.s="",_xlpm.e="",_xlpm.e&lt;_xlpm.s),"",_xlfn.LET(_xlpm.p,_xlfn.SEQUENCE(_xlpm.e-_xlpm.s+1,1,_xlpm.s,1),SUM(1/COUNTIFS($D:$D,D536,$E:$E,E536,$F:$F,"&lt;&gt;N/A",$G:$G,"&lt;&gt;N/A",$F:$F,"&lt;="&amp;_xlpm.p,$G:$G,"&gt;="&amp;_xlpm.p)))))</f>
        <v>1</v>
      </c>
      <c r="I536" t="s">
        <v>5436</v>
      </c>
      <c r="J536" t="s">
        <v>5461</v>
      </c>
      <c r="K536" t="s">
        <v>7</v>
      </c>
      <c r="L536" s="5" t="s">
        <v>7</v>
      </c>
      <c r="M536" t="s">
        <v>7</v>
      </c>
      <c r="N536" t="s">
        <v>7</v>
      </c>
      <c r="O536" s="5" t="s">
        <v>778</v>
      </c>
      <c r="P536" s="5" t="s">
        <v>7834</v>
      </c>
      <c r="R536" t="b">
        <v>0</v>
      </c>
    </row>
    <row r="537" spans="1:18">
      <c r="A537" t="s">
        <v>3019</v>
      </c>
      <c r="B537" t="s">
        <v>6087</v>
      </c>
      <c r="C537" t="s">
        <v>7733</v>
      </c>
      <c r="D537" s="1">
        <v>5</v>
      </c>
      <c r="E537" s="1">
        <v>11</v>
      </c>
      <c r="F537" s="1">
        <v>340</v>
      </c>
      <c r="G537" s="1">
        <v>343</v>
      </c>
      <c r="H537" s="17" cm="1">
        <f t="array" ref="H537">_xlfn.LET(_xlpm.s,IFERROR(--F537,""),_xlpm.e,IFERROR(--G537,""),IF(OR(_xlpm.s="",_xlpm.e="",_xlpm.e&lt;_xlpm.s),"",_xlfn.LET(_xlpm.p,_xlfn.SEQUENCE(_xlpm.e-_xlpm.s+1,1,_xlpm.s,1),SUM(1/COUNTIFS($D:$D,D537,$E:$E,E537,$F:$F,"&lt;&gt;N/A",$G:$G,"&lt;&gt;N/A",$F:$F,"&lt;="&amp;_xlpm.p,$G:$G,"&gt;="&amp;_xlpm.p)))))</f>
        <v>3.5</v>
      </c>
      <c r="I537" t="s">
        <v>5436</v>
      </c>
      <c r="J537" t="s">
        <v>1842</v>
      </c>
      <c r="K537" t="s">
        <v>5419</v>
      </c>
      <c r="L537" s="5" t="s">
        <v>7</v>
      </c>
      <c r="M537" t="s">
        <v>7</v>
      </c>
      <c r="N537" t="s">
        <v>7</v>
      </c>
      <c r="O537" s="5" t="s">
        <v>778</v>
      </c>
      <c r="P537" s="5" t="s">
        <v>7834</v>
      </c>
      <c r="R537" t="b">
        <v>1</v>
      </c>
    </row>
    <row r="538" spans="1:18">
      <c r="A538" t="s">
        <v>3019</v>
      </c>
      <c r="B538" t="s">
        <v>6088</v>
      </c>
      <c r="C538" t="s">
        <v>7733</v>
      </c>
      <c r="D538" s="1">
        <v>5</v>
      </c>
      <c r="E538" s="1">
        <v>11</v>
      </c>
      <c r="F538" s="1">
        <v>344</v>
      </c>
      <c r="G538" s="1">
        <v>364</v>
      </c>
      <c r="H538" s="17" cm="1">
        <f t="array" ref="H538">_xlfn.LET(_xlpm.s,IFERROR(--F538,""),_xlpm.e,IFERROR(--G538,""),IF(OR(_xlpm.s="",_xlpm.e="",_xlpm.e&lt;_xlpm.s),"",_xlfn.LET(_xlpm.p,_xlfn.SEQUENCE(_xlpm.e-_xlpm.s+1,1,_xlpm.s,1),SUM(1/COUNTIFS($D:$D,D538,$E:$E,E538,$F:$F,"&lt;&gt;N/A",$G:$G,"&lt;&gt;N/A",$F:$F,"&lt;="&amp;_xlpm.p,$G:$G,"&gt;="&amp;_xlpm.p)))))</f>
        <v>21</v>
      </c>
      <c r="I538" t="s">
        <v>5436</v>
      </c>
      <c r="J538" t="s">
        <v>1843</v>
      </c>
      <c r="K538" t="s">
        <v>1781</v>
      </c>
      <c r="L538" s="5" t="s">
        <v>7</v>
      </c>
      <c r="M538" t="s">
        <v>7</v>
      </c>
      <c r="N538" t="s">
        <v>7</v>
      </c>
      <c r="O538" s="5" t="s">
        <v>778</v>
      </c>
      <c r="P538" s="5" t="s">
        <v>7834</v>
      </c>
      <c r="R538" t="b">
        <v>1</v>
      </c>
    </row>
    <row r="539" spans="1:18">
      <c r="A539" t="s">
        <v>3019</v>
      </c>
      <c r="B539" t="s">
        <v>6089</v>
      </c>
      <c r="C539" t="s">
        <v>7733</v>
      </c>
      <c r="D539" s="1">
        <v>5</v>
      </c>
      <c r="E539" s="1">
        <v>11</v>
      </c>
      <c r="F539" s="1">
        <v>365</v>
      </c>
      <c r="G539" s="1">
        <v>366</v>
      </c>
      <c r="H539" s="17" cm="1">
        <f t="array" ref="H539">_xlfn.LET(_xlpm.s,IFERROR(--F539,""),_xlpm.e,IFERROR(--G539,""),IF(OR(_xlpm.s="",_xlpm.e="",_xlpm.e&lt;_xlpm.s),"",_xlfn.LET(_xlpm.p,_xlfn.SEQUENCE(_xlpm.e-_xlpm.s+1,1,_xlpm.s,1),SUM(1/COUNTIFS($D:$D,D539,$E:$E,E539,$F:$F,"&lt;&gt;N/A",$G:$G,"&lt;&gt;N/A",$F:$F,"&lt;="&amp;_xlpm.p,$G:$G,"&gt;="&amp;_xlpm.p)))))</f>
        <v>1.5</v>
      </c>
      <c r="I539" t="s">
        <v>2581</v>
      </c>
      <c r="J539" t="s">
        <v>1844</v>
      </c>
      <c r="K539" t="s">
        <v>7</v>
      </c>
      <c r="L539" s="5" t="s">
        <v>5371</v>
      </c>
      <c r="M539" t="s">
        <v>5120</v>
      </c>
      <c r="N539" t="s">
        <v>5569</v>
      </c>
      <c r="O539" s="5" t="s">
        <v>5072</v>
      </c>
      <c r="P539" s="5" t="s">
        <v>8021</v>
      </c>
      <c r="Q539" s="5" t="s">
        <v>2509</v>
      </c>
      <c r="R539" t="b">
        <v>1</v>
      </c>
    </row>
    <row r="540" spans="1:18">
      <c r="A540" t="s">
        <v>3019</v>
      </c>
      <c r="B540" t="s">
        <v>6090</v>
      </c>
      <c r="C540" t="s">
        <v>7733</v>
      </c>
      <c r="D540" s="1">
        <v>5</v>
      </c>
      <c r="E540" s="1">
        <v>11</v>
      </c>
      <c r="F540" s="1">
        <v>366</v>
      </c>
      <c r="G540" s="1">
        <v>367</v>
      </c>
      <c r="H540" s="17" cm="1">
        <f t="array" ref="H540">_xlfn.LET(_xlpm.s,IFERROR(--F540,""),_xlpm.e,IFERROR(--G540,""),IF(OR(_xlpm.s="",_xlpm.e="",_xlpm.e&lt;_xlpm.s),"",_xlfn.LET(_xlpm.p,_xlfn.SEQUENCE(_xlpm.e-_xlpm.s+1,1,_xlpm.s,1),SUM(1/COUNTIFS($D:$D,D540,$E:$E,E540,$F:$F,"&lt;&gt;N/A",$G:$G,"&lt;&gt;N/A",$F:$F,"&lt;="&amp;_xlpm.p,$G:$G,"&gt;="&amp;_xlpm.p)))))</f>
        <v>1</v>
      </c>
      <c r="I540" t="s">
        <v>2581</v>
      </c>
      <c r="J540" t="s">
        <v>1845</v>
      </c>
      <c r="K540" t="s">
        <v>7</v>
      </c>
      <c r="L540" s="5" t="s">
        <v>5371</v>
      </c>
      <c r="M540" t="s">
        <v>5120</v>
      </c>
      <c r="N540" t="s">
        <v>5568</v>
      </c>
      <c r="O540" s="5" t="s">
        <v>5072</v>
      </c>
      <c r="P540" s="5" t="s">
        <v>8021</v>
      </c>
      <c r="Q540" s="5" t="s">
        <v>2509</v>
      </c>
      <c r="R540" t="b">
        <v>1</v>
      </c>
    </row>
    <row r="541" spans="1:18">
      <c r="A541" t="s">
        <v>3019</v>
      </c>
      <c r="B541" t="s">
        <v>6091</v>
      </c>
      <c r="C541" t="s">
        <v>7733</v>
      </c>
      <c r="D541" s="1">
        <v>5</v>
      </c>
      <c r="E541" s="1">
        <v>11</v>
      </c>
      <c r="F541" s="1">
        <v>367</v>
      </c>
      <c r="G541" s="1">
        <v>368</v>
      </c>
      <c r="H541" s="17" cm="1">
        <f t="array" ref="H541">_xlfn.LET(_xlpm.s,IFERROR(--F541,""),_xlpm.e,IFERROR(--G541,""),IF(OR(_xlpm.s="",_xlpm.e="",_xlpm.e&lt;_xlpm.s),"",_xlfn.LET(_xlpm.p,_xlfn.SEQUENCE(_xlpm.e-_xlpm.s+1,1,_xlpm.s,1),SUM(1/COUNTIFS($D:$D,D541,$E:$E,E541,$F:$F,"&lt;&gt;N/A",$G:$G,"&lt;&gt;N/A",$F:$F,"&lt;="&amp;_xlpm.p,$G:$G,"&gt;="&amp;_xlpm.p)))))</f>
        <v>1</v>
      </c>
      <c r="I541" t="s">
        <v>2581</v>
      </c>
      <c r="J541" t="s">
        <v>5570</v>
      </c>
      <c r="K541" t="s">
        <v>7</v>
      </c>
      <c r="L541" s="5" t="s">
        <v>5371</v>
      </c>
      <c r="M541" t="s">
        <v>5191</v>
      </c>
      <c r="N541" t="s">
        <v>6631</v>
      </c>
      <c r="O541" s="5" t="s">
        <v>5072</v>
      </c>
      <c r="P541" s="5" t="s">
        <v>8021</v>
      </c>
      <c r="Q541" s="5" t="s">
        <v>2509</v>
      </c>
      <c r="R541" t="b">
        <v>1</v>
      </c>
    </row>
    <row r="542" spans="1:18">
      <c r="A542" t="s">
        <v>3019</v>
      </c>
      <c r="B542" t="s">
        <v>6092</v>
      </c>
      <c r="C542" t="s">
        <v>7733</v>
      </c>
      <c r="D542" s="1">
        <v>5</v>
      </c>
      <c r="E542" s="1">
        <v>11</v>
      </c>
      <c r="F542" s="1">
        <v>368</v>
      </c>
      <c r="G542" s="1">
        <v>370</v>
      </c>
      <c r="H542" s="17" cm="1">
        <f t="array" ref="H542">_xlfn.LET(_xlpm.s,IFERROR(--F542,""),_xlpm.e,IFERROR(--G542,""),IF(OR(_xlpm.s="",_xlpm.e="",_xlpm.e&lt;_xlpm.s),"",_xlfn.LET(_xlpm.p,_xlfn.SEQUENCE(_xlpm.e-_xlpm.s+1,1,_xlpm.s,1),SUM(1/COUNTIFS($D:$D,D542,$E:$E,E542,$F:$F,"&lt;&gt;N/A",$G:$G,"&lt;&gt;N/A",$F:$F,"&lt;="&amp;_xlpm.p,$G:$G,"&gt;="&amp;_xlpm.p)))))</f>
        <v>2.5</v>
      </c>
      <c r="I542" t="s">
        <v>2581</v>
      </c>
      <c r="J542" t="s">
        <v>1846</v>
      </c>
      <c r="K542" t="s">
        <v>7</v>
      </c>
      <c r="L542" s="5" t="s">
        <v>5371</v>
      </c>
      <c r="M542" t="s">
        <v>5191</v>
      </c>
      <c r="N542" t="s">
        <v>6630</v>
      </c>
      <c r="O542" s="5" t="s">
        <v>5072</v>
      </c>
      <c r="P542" s="5" t="s">
        <v>8021</v>
      </c>
      <c r="Q542" s="5" t="s">
        <v>2509</v>
      </c>
      <c r="R542" t="b">
        <v>1</v>
      </c>
    </row>
    <row r="543" spans="1:18">
      <c r="A543" t="s">
        <v>3019</v>
      </c>
      <c r="B543" t="s">
        <v>6093</v>
      </c>
      <c r="C543" t="s">
        <v>7733</v>
      </c>
      <c r="D543" s="1">
        <v>5</v>
      </c>
      <c r="E543" s="1">
        <v>11</v>
      </c>
      <c r="F543" s="1">
        <v>371</v>
      </c>
      <c r="G543" s="1">
        <v>372</v>
      </c>
      <c r="H543" s="17" cm="1">
        <f t="array" ref="H543">_xlfn.LET(_xlpm.s,IFERROR(--F543,""),_xlpm.e,IFERROR(--G543,""),IF(OR(_xlpm.s="",_xlpm.e="",_xlpm.e&lt;_xlpm.s),"",_xlfn.LET(_xlpm.p,_xlfn.SEQUENCE(_xlpm.e-_xlpm.s+1,1,_xlpm.s,1),SUM(1/COUNTIFS($D:$D,D543,$E:$E,E543,$F:$F,"&lt;&gt;N/A",$G:$G,"&lt;&gt;N/A",$F:$F,"&lt;="&amp;_xlpm.p,$G:$G,"&gt;="&amp;_xlpm.p)))))</f>
        <v>1.5</v>
      </c>
      <c r="I543" t="s">
        <v>2581</v>
      </c>
      <c r="J543" t="s">
        <v>5571</v>
      </c>
      <c r="K543" t="s">
        <v>7</v>
      </c>
      <c r="L543" s="5" t="s">
        <v>5371</v>
      </c>
      <c r="M543" t="s">
        <v>5191</v>
      </c>
      <c r="N543" t="s">
        <v>6629</v>
      </c>
      <c r="O543" s="5" t="s">
        <v>5072</v>
      </c>
      <c r="P543" s="5" t="s">
        <v>8021</v>
      </c>
      <c r="Q543" s="5" t="s">
        <v>2509</v>
      </c>
      <c r="R543" t="b">
        <v>1</v>
      </c>
    </row>
    <row r="544" spans="1:18">
      <c r="A544" t="s">
        <v>3019</v>
      </c>
      <c r="B544" t="s">
        <v>6094</v>
      </c>
      <c r="C544" t="s">
        <v>7733</v>
      </c>
      <c r="D544" s="1">
        <v>5</v>
      </c>
      <c r="E544" s="1">
        <v>11</v>
      </c>
      <c r="F544" s="1">
        <v>372</v>
      </c>
      <c r="G544" s="1">
        <v>374</v>
      </c>
      <c r="H544" s="17" cm="1">
        <f t="array" ref="H544">_xlfn.LET(_xlpm.s,IFERROR(--F544,""),_xlpm.e,IFERROR(--G544,""),IF(OR(_xlpm.s="",_xlpm.e="",_xlpm.e&lt;_xlpm.s),"",_xlfn.LET(_xlpm.p,_xlfn.SEQUENCE(_xlpm.e-_xlpm.s+1,1,_xlpm.s,1),SUM(1/COUNTIFS($D:$D,D544,$E:$E,E544,$F:$F,"&lt;&gt;N/A",$G:$G,"&lt;&gt;N/A",$F:$F,"&lt;="&amp;_xlpm.p,$G:$G,"&gt;="&amp;_xlpm.p)))))</f>
        <v>2</v>
      </c>
      <c r="I544" t="s">
        <v>2581</v>
      </c>
      <c r="J544" t="s">
        <v>5572</v>
      </c>
      <c r="K544" t="s">
        <v>7</v>
      </c>
      <c r="L544" s="5" t="s">
        <v>5371</v>
      </c>
      <c r="M544" t="s">
        <v>5191</v>
      </c>
      <c r="N544" t="s">
        <v>6632</v>
      </c>
      <c r="O544" s="5" t="s">
        <v>5072</v>
      </c>
      <c r="P544" s="5" t="s">
        <v>8021</v>
      </c>
      <c r="Q544" s="5" t="s">
        <v>2509</v>
      </c>
      <c r="R544" t="b">
        <v>1</v>
      </c>
    </row>
    <row r="545" spans="1:18">
      <c r="A545" t="s">
        <v>3019</v>
      </c>
      <c r="B545" t="s">
        <v>6795</v>
      </c>
      <c r="C545" t="s">
        <v>7733</v>
      </c>
      <c r="D545" s="1">
        <v>5</v>
      </c>
      <c r="E545" s="1">
        <v>11</v>
      </c>
      <c r="F545" s="1">
        <v>374</v>
      </c>
      <c r="G545" s="1">
        <v>375</v>
      </c>
      <c r="H545" s="17" cm="1">
        <f t="array" ref="H545">_xlfn.LET(_xlpm.s,IFERROR(--F545,""),_xlpm.e,IFERROR(--G545,""),IF(OR(_xlpm.s="",_xlpm.e="",_xlpm.e&lt;_xlpm.s),"",_xlfn.LET(_xlpm.p,_xlfn.SEQUENCE(_xlpm.e-_xlpm.s+1,1,_xlpm.s,1),SUM(1/COUNTIFS($D:$D,D545,$E:$E,E545,$F:$F,"&lt;&gt;N/A",$G:$G,"&lt;&gt;N/A",$F:$F,"&lt;="&amp;_xlpm.p,$G:$G,"&gt;="&amp;_xlpm.p)))))</f>
        <v>1</v>
      </c>
      <c r="I545" t="s">
        <v>2581</v>
      </c>
      <c r="J545" t="s">
        <v>4349</v>
      </c>
      <c r="K545" t="s">
        <v>7</v>
      </c>
      <c r="L545" s="5" t="s">
        <v>5371</v>
      </c>
      <c r="M545" t="s">
        <v>5191</v>
      </c>
      <c r="N545" t="s">
        <v>6634</v>
      </c>
      <c r="O545" s="5" t="s">
        <v>5072</v>
      </c>
      <c r="P545" s="5" t="s">
        <v>8021</v>
      </c>
      <c r="Q545" s="5" t="s">
        <v>2509</v>
      </c>
      <c r="R545" t="b">
        <v>1</v>
      </c>
    </row>
    <row r="546" spans="1:18">
      <c r="A546" t="s">
        <v>3019</v>
      </c>
      <c r="B546" t="s">
        <v>6796</v>
      </c>
      <c r="C546" t="s">
        <v>7733</v>
      </c>
      <c r="D546" s="1">
        <v>5</v>
      </c>
      <c r="E546" s="1">
        <v>11</v>
      </c>
      <c r="F546" s="1">
        <v>375</v>
      </c>
      <c r="G546" s="1">
        <v>376</v>
      </c>
      <c r="H546" s="17" cm="1">
        <f t="array" ref="H546">_xlfn.LET(_xlpm.s,IFERROR(--F546,""),_xlpm.e,IFERROR(--G546,""),IF(OR(_xlpm.s="",_xlpm.e="",_xlpm.e&lt;_xlpm.s),"",_xlfn.LET(_xlpm.p,_xlfn.SEQUENCE(_xlpm.e-_xlpm.s+1,1,_xlpm.s,1),SUM(1/COUNTIFS($D:$D,D546,$E:$E,E546,$F:$F,"&lt;&gt;N/A",$G:$G,"&lt;&gt;N/A",$F:$F,"&lt;="&amp;_xlpm.p,$G:$G,"&gt;="&amp;_xlpm.p)))))</f>
        <v>1.5</v>
      </c>
      <c r="I546" t="s">
        <v>2581</v>
      </c>
      <c r="J546" t="s">
        <v>4350</v>
      </c>
      <c r="K546" t="s">
        <v>7</v>
      </c>
      <c r="L546" s="5" t="s">
        <v>5371</v>
      </c>
      <c r="M546" t="s">
        <v>5191</v>
      </c>
      <c r="N546" t="s">
        <v>6633</v>
      </c>
      <c r="O546" s="5" t="s">
        <v>5072</v>
      </c>
      <c r="P546" s="5" t="s">
        <v>8021</v>
      </c>
      <c r="Q546" s="5" t="s">
        <v>2509</v>
      </c>
      <c r="R546" t="b">
        <v>1</v>
      </c>
    </row>
    <row r="547" spans="1:18">
      <c r="A547" t="s">
        <v>3019</v>
      </c>
      <c r="B547" t="s">
        <v>6095</v>
      </c>
      <c r="C547" t="s">
        <v>7734</v>
      </c>
      <c r="D547" s="1">
        <v>5</v>
      </c>
      <c r="E547" s="1">
        <v>12</v>
      </c>
      <c r="F547" s="1">
        <v>377</v>
      </c>
      <c r="G547" s="1">
        <v>378</v>
      </c>
      <c r="H547" s="17" cm="1">
        <f t="array" ref="H547">_xlfn.LET(_xlpm.s,IFERROR(--F547,""),_xlpm.e,IFERROR(--G547,""),IF(OR(_xlpm.s="",_xlpm.e="",_xlpm.e&lt;_xlpm.s),"",_xlfn.LET(_xlpm.p,_xlfn.SEQUENCE(_xlpm.e-_xlpm.s+1,1,_xlpm.s,1),SUM(1/COUNTIFS($D:$D,D547,$E:$E,E547,$F:$F,"&lt;&gt;N/A",$G:$G,"&lt;&gt;N/A",$F:$F,"&lt;="&amp;_xlpm.p,$G:$G,"&gt;="&amp;_xlpm.p)))))</f>
        <v>1.5</v>
      </c>
      <c r="I547" t="s">
        <v>5436</v>
      </c>
      <c r="J547" t="s">
        <v>5457</v>
      </c>
      <c r="K547" t="s">
        <v>7</v>
      </c>
      <c r="L547" s="5" t="s">
        <v>7</v>
      </c>
      <c r="M547" t="s">
        <v>7</v>
      </c>
      <c r="N547" t="s">
        <v>7</v>
      </c>
      <c r="O547" s="5" t="s">
        <v>778</v>
      </c>
      <c r="P547" s="5" t="s">
        <v>7834</v>
      </c>
      <c r="R547" t="b">
        <v>0</v>
      </c>
    </row>
    <row r="548" spans="1:18">
      <c r="A548" t="s">
        <v>3019</v>
      </c>
      <c r="B548" t="s">
        <v>6096</v>
      </c>
      <c r="C548" t="s">
        <v>7734</v>
      </c>
      <c r="D548" s="1">
        <v>5</v>
      </c>
      <c r="E548" s="1">
        <v>12</v>
      </c>
      <c r="F548" s="1">
        <v>378</v>
      </c>
      <c r="G548" s="1">
        <v>380</v>
      </c>
      <c r="H548" s="17" cm="1">
        <f t="array" ref="H548">_xlfn.LET(_xlpm.s,IFERROR(--F548,""),_xlpm.e,IFERROR(--G548,""),IF(OR(_xlpm.s="",_xlpm.e="",_xlpm.e&lt;_xlpm.s),"",_xlfn.LET(_xlpm.p,_xlfn.SEQUENCE(_xlpm.e-_xlpm.s+1,1,_xlpm.s,1),SUM(1/COUNTIFS($D:$D,D548,$E:$E,E548,$F:$F,"&lt;&gt;N/A",$G:$G,"&lt;&gt;N/A",$F:$F,"&lt;="&amp;_xlpm.p,$G:$G,"&gt;="&amp;_xlpm.p)))))</f>
        <v>2</v>
      </c>
      <c r="I548" t="s">
        <v>5436</v>
      </c>
      <c r="J548" t="s">
        <v>5458</v>
      </c>
      <c r="K548" t="s">
        <v>7</v>
      </c>
      <c r="L548" s="5" t="s">
        <v>7</v>
      </c>
      <c r="M548" t="s">
        <v>7</v>
      </c>
      <c r="N548" t="s">
        <v>7</v>
      </c>
      <c r="O548" s="5" t="s">
        <v>778</v>
      </c>
      <c r="P548" s="5" t="s">
        <v>7834</v>
      </c>
      <c r="R548" t="b">
        <v>0</v>
      </c>
    </row>
    <row r="549" spans="1:18">
      <c r="A549" t="s">
        <v>3019</v>
      </c>
      <c r="B549" t="s">
        <v>6097</v>
      </c>
      <c r="C549" t="s">
        <v>7734</v>
      </c>
      <c r="D549" s="1">
        <v>5</v>
      </c>
      <c r="E549" s="1">
        <v>12</v>
      </c>
      <c r="F549" s="1">
        <v>380</v>
      </c>
      <c r="G549" s="1">
        <v>383</v>
      </c>
      <c r="H549" s="17" cm="1">
        <f t="array" ref="H549">_xlfn.LET(_xlpm.s,IFERROR(--F549,""),_xlpm.e,IFERROR(--G549,""),IF(OR(_xlpm.s="",_xlpm.e="",_xlpm.e&lt;_xlpm.s),"",_xlfn.LET(_xlpm.p,_xlfn.SEQUENCE(_xlpm.e-_xlpm.s+1,1,_xlpm.s,1),SUM(1/COUNTIFS($D:$D,D549,$E:$E,E549,$F:$F,"&lt;&gt;N/A",$G:$G,"&lt;&gt;N/A",$F:$F,"&lt;="&amp;_xlpm.p,$G:$G,"&gt;="&amp;_xlpm.p)))))</f>
        <v>2.8333333333333335</v>
      </c>
      <c r="I549" t="s">
        <v>5436</v>
      </c>
      <c r="J549" t="s">
        <v>5462</v>
      </c>
      <c r="K549" s="5" t="s">
        <v>7</v>
      </c>
      <c r="L549" s="5" t="s">
        <v>5463</v>
      </c>
      <c r="M549" s="5" t="s">
        <v>7</v>
      </c>
      <c r="N549" s="5" t="s">
        <v>7</v>
      </c>
      <c r="O549" s="5" t="s">
        <v>5072</v>
      </c>
      <c r="P549" s="5" t="s">
        <v>8019</v>
      </c>
      <c r="Q549" t="s">
        <v>10178</v>
      </c>
      <c r="R549" t="b">
        <v>1</v>
      </c>
    </row>
    <row r="550" spans="1:18">
      <c r="A550" t="s">
        <v>3019</v>
      </c>
      <c r="B550" t="s">
        <v>6098</v>
      </c>
      <c r="C550" t="s">
        <v>7734</v>
      </c>
      <c r="D550" s="1">
        <v>5</v>
      </c>
      <c r="E550" s="1">
        <v>12</v>
      </c>
      <c r="F550" s="1">
        <v>383</v>
      </c>
      <c r="G550" s="1">
        <v>383</v>
      </c>
      <c r="H550" s="17" cm="1">
        <f t="array" ref="H550">_xlfn.LET(_xlpm.s,IFERROR(--F550,""),_xlpm.e,IFERROR(--G550,""),IF(OR(_xlpm.s="",_xlpm.e="",_xlpm.e&lt;_xlpm.s),"",_xlfn.LET(_xlpm.p,_xlfn.SEQUENCE(_xlpm.e-_xlpm.s+1,1,_xlpm.s,1),SUM(1/COUNTIFS($D:$D,D550,$E:$E,E550,$F:$F,"&lt;&gt;N/A",$G:$G,"&lt;&gt;N/A",$F:$F,"&lt;="&amp;_xlpm.p,$G:$G,"&gt;="&amp;_xlpm.p)))))</f>
        <v>0.33333333333333331</v>
      </c>
      <c r="I550" t="s">
        <v>5436</v>
      </c>
      <c r="J550" t="s">
        <v>4351</v>
      </c>
      <c r="K550" t="s">
        <v>7</v>
      </c>
      <c r="L550" s="5" t="s">
        <v>4649</v>
      </c>
      <c r="M550" s="5" t="s">
        <v>7</v>
      </c>
      <c r="N550" s="5" t="s">
        <v>7</v>
      </c>
      <c r="O550" s="5" t="s">
        <v>5072</v>
      </c>
      <c r="P550" s="5" t="s">
        <v>8019</v>
      </c>
      <c r="R550" t="b">
        <v>1</v>
      </c>
    </row>
    <row r="551" spans="1:18">
      <c r="A551" t="s">
        <v>3019</v>
      </c>
      <c r="B551" t="s">
        <v>6099</v>
      </c>
      <c r="C551" t="s">
        <v>7734</v>
      </c>
      <c r="D551" s="1">
        <v>5</v>
      </c>
      <c r="E551" s="1">
        <v>12</v>
      </c>
      <c r="F551" s="1">
        <v>383</v>
      </c>
      <c r="G551" s="1">
        <v>385</v>
      </c>
      <c r="H551" s="17" cm="1">
        <f t="array" ref="H551">_xlfn.LET(_xlpm.s,IFERROR(--F551,""),_xlpm.e,IFERROR(--G551,""),IF(OR(_xlpm.s="",_xlpm.e="",_xlpm.e&lt;_xlpm.s),"",_xlfn.LET(_xlpm.p,_xlfn.SEQUENCE(_xlpm.e-_xlpm.s+1,1,_xlpm.s,1),SUM(1/COUNTIFS($D:$D,D551,$E:$E,E551,$F:$F,"&lt;&gt;N/A",$G:$G,"&lt;&gt;N/A",$F:$F,"&lt;="&amp;_xlpm.p,$G:$G,"&gt;="&amp;_xlpm.p)))))</f>
        <v>1.8333333333333333</v>
      </c>
      <c r="I551" t="s">
        <v>5436</v>
      </c>
      <c r="J551" t="s">
        <v>4352</v>
      </c>
      <c r="K551" t="s">
        <v>7</v>
      </c>
      <c r="L551" s="5" t="s">
        <v>4649</v>
      </c>
      <c r="M551" s="5" t="s">
        <v>7</v>
      </c>
      <c r="N551" s="5" t="s">
        <v>7</v>
      </c>
      <c r="O551" s="5" t="s">
        <v>5072</v>
      </c>
      <c r="P551" s="5" t="s">
        <v>8019</v>
      </c>
      <c r="R551" t="b">
        <v>1</v>
      </c>
    </row>
    <row r="552" spans="1:18">
      <c r="A552" t="s">
        <v>3019</v>
      </c>
      <c r="B552" t="s">
        <v>6100</v>
      </c>
      <c r="C552" t="s">
        <v>7734</v>
      </c>
      <c r="D552" s="1">
        <v>5</v>
      </c>
      <c r="E552" s="1">
        <v>12</v>
      </c>
      <c r="F552" s="1">
        <v>385</v>
      </c>
      <c r="G552" s="1">
        <v>387</v>
      </c>
      <c r="H552" s="17" cm="1">
        <f t="array" ref="H552">_xlfn.LET(_xlpm.s,IFERROR(--F552,""),_xlpm.e,IFERROR(--G552,""),IF(OR(_xlpm.s="",_xlpm.e="",_xlpm.e&lt;_xlpm.s),"",_xlfn.LET(_xlpm.p,_xlfn.SEQUENCE(_xlpm.e-_xlpm.s+1,1,_xlpm.s,1),SUM(1/COUNTIFS($D:$D,D552,$E:$E,E552,$F:$F,"&lt;&gt;N/A",$G:$G,"&lt;&gt;N/A",$F:$F,"&lt;="&amp;_xlpm.p,$G:$G,"&gt;="&amp;_xlpm.p)))))</f>
        <v>2.5</v>
      </c>
      <c r="I552" t="s">
        <v>5436</v>
      </c>
      <c r="J552" t="s">
        <v>6536</v>
      </c>
      <c r="K552" t="s">
        <v>2504</v>
      </c>
      <c r="L552" s="5" t="s">
        <v>7</v>
      </c>
      <c r="M552" s="5" t="s">
        <v>7</v>
      </c>
      <c r="N552" s="5" t="s">
        <v>7</v>
      </c>
      <c r="O552" s="5" t="s">
        <v>778</v>
      </c>
      <c r="P552" s="5" t="s">
        <v>7834</v>
      </c>
      <c r="R552" t="b">
        <v>1</v>
      </c>
    </row>
    <row r="553" spans="1:18">
      <c r="A553" t="s">
        <v>3019</v>
      </c>
      <c r="B553" t="s">
        <v>6101</v>
      </c>
      <c r="C553" t="s">
        <v>7734</v>
      </c>
      <c r="D553" s="1">
        <v>5</v>
      </c>
      <c r="E553" s="1">
        <v>12</v>
      </c>
      <c r="F553" s="1">
        <v>388</v>
      </c>
      <c r="G553" s="1">
        <v>399</v>
      </c>
      <c r="H553" s="17" cm="1">
        <f t="array" ref="H553">_xlfn.LET(_xlpm.s,IFERROR(--F553,""),_xlpm.e,IFERROR(--G553,""),IF(OR(_xlpm.s="",_xlpm.e="",_xlpm.e&lt;_xlpm.s),"",_xlfn.LET(_xlpm.p,_xlfn.SEQUENCE(_xlpm.e-_xlpm.s+1,1,_xlpm.s,1),SUM(1/COUNTIFS($D:$D,D553,$E:$E,E553,$F:$F,"&lt;&gt;N/A",$G:$G,"&lt;&gt;N/A",$F:$F,"&lt;="&amp;_xlpm.p,$G:$G,"&gt;="&amp;_xlpm.p)))))</f>
        <v>12</v>
      </c>
      <c r="I553" t="s">
        <v>2573</v>
      </c>
      <c r="J553" t="s">
        <v>6563</v>
      </c>
      <c r="K553" t="s">
        <v>7</v>
      </c>
      <c r="L553" s="5" t="s">
        <v>5383</v>
      </c>
      <c r="M553" s="5" t="s">
        <v>5225</v>
      </c>
      <c r="N553" t="s">
        <v>6756</v>
      </c>
      <c r="O553" s="5" t="s">
        <v>5072</v>
      </c>
      <c r="P553" s="5" t="s">
        <v>8021</v>
      </c>
      <c r="Q553" s="5" t="s">
        <v>2509</v>
      </c>
      <c r="R553" t="b">
        <v>1</v>
      </c>
    </row>
    <row r="554" spans="1:18">
      <c r="A554" t="s">
        <v>3019</v>
      </c>
      <c r="B554" t="s">
        <v>6102</v>
      </c>
      <c r="C554" t="s">
        <v>7734</v>
      </c>
      <c r="D554" s="1">
        <v>5</v>
      </c>
      <c r="E554" s="1">
        <v>12</v>
      </c>
      <c r="F554" s="1">
        <v>400</v>
      </c>
      <c r="G554" s="1">
        <v>401</v>
      </c>
      <c r="H554" s="17" cm="1">
        <f t="array" ref="H554">_xlfn.LET(_xlpm.s,IFERROR(--F554,""),_xlpm.e,IFERROR(--G554,""),IF(OR(_xlpm.s="",_xlpm.e="",_xlpm.e&lt;_xlpm.s),"",_xlfn.LET(_xlpm.p,_xlfn.SEQUENCE(_xlpm.e-_xlpm.s+1,1,_xlpm.s,1),SUM(1/COUNTIFS($D:$D,D554,$E:$E,E554,$F:$F,"&lt;&gt;N/A",$G:$G,"&lt;&gt;N/A",$F:$F,"&lt;="&amp;_xlpm.p,$G:$G,"&gt;="&amp;_xlpm.p)))))</f>
        <v>1.5</v>
      </c>
      <c r="I554" t="s">
        <v>2634</v>
      </c>
      <c r="J554" t="s">
        <v>4353</v>
      </c>
      <c r="K554" t="s">
        <v>7</v>
      </c>
      <c r="L554" s="5" t="s">
        <v>7</v>
      </c>
      <c r="M554" t="s">
        <v>6324</v>
      </c>
      <c r="N554" t="s">
        <v>6615</v>
      </c>
      <c r="O554" s="5" t="s">
        <v>11522</v>
      </c>
      <c r="P554" s="5" t="s">
        <v>8021</v>
      </c>
      <c r="Q554" s="5" t="s">
        <v>2509</v>
      </c>
      <c r="R554" t="b">
        <v>1</v>
      </c>
    </row>
    <row r="555" spans="1:18">
      <c r="A555" t="s">
        <v>3019</v>
      </c>
      <c r="B555" t="s">
        <v>6103</v>
      </c>
      <c r="C555" t="s">
        <v>7734</v>
      </c>
      <c r="D555" s="1">
        <v>5</v>
      </c>
      <c r="E555" s="1">
        <v>12</v>
      </c>
      <c r="F555" s="1">
        <v>401</v>
      </c>
      <c r="G555" s="1">
        <v>406</v>
      </c>
      <c r="H555" s="17" cm="1">
        <f t="array" ref="H555">_xlfn.LET(_xlpm.s,IFERROR(--F555,""),_xlpm.e,IFERROR(--G555,""),IF(OR(_xlpm.s="",_xlpm.e="",_xlpm.e&lt;_xlpm.s),"",_xlfn.LET(_xlpm.p,_xlfn.SEQUENCE(_xlpm.e-_xlpm.s+1,1,_xlpm.s,1),SUM(1/COUNTIFS($D:$D,D555,$E:$E,E555,$F:$F,"&lt;&gt;N/A",$G:$G,"&lt;&gt;N/A",$F:$F,"&lt;="&amp;_xlpm.p,$G:$G,"&gt;="&amp;_xlpm.p)))))</f>
        <v>5.5</v>
      </c>
      <c r="I555" t="s">
        <v>2634</v>
      </c>
      <c r="J555" t="s">
        <v>1847</v>
      </c>
      <c r="K555" t="s">
        <v>5205</v>
      </c>
      <c r="L555" s="5" t="s">
        <v>4644</v>
      </c>
      <c r="M555" s="5" t="s">
        <v>5202</v>
      </c>
      <c r="N555" t="s">
        <v>5204</v>
      </c>
      <c r="O555" s="5" t="s">
        <v>5072</v>
      </c>
      <c r="P555" s="5" t="s">
        <v>8021</v>
      </c>
      <c r="R555" t="b">
        <v>1</v>
      </c>
    </row>
    <row r="556" spans="1:18">
      <c r="A556" t="s">
        <v>3019</v>
      </c>
      <c r="B556" t="s">
        <v>6104</v>
      </c>
      <c r="C556" t="s">
        <v>7734</v>
      </c>
      <c r="D556" s="1">
        <v>5</v>
      </c>
      <c r="E556" s="1">
        <v>12</v>
      </c>
      <c r="F556" s="1">
        <v>407</v>
      </c>
      <c r="G556" s="1">
        <v>409</v>
      </c>
      <c r="H556" s="17" cm="1">
        <f t="array" ref="H556">_xlfn.LET(_xlpm.s,IFERROR(--F556,""),_xlpm.e,IFERROR(--G556,""),IF(OR(_xlpm.s="",_xlpm.e="",_xlpm.e&lt;_xlpm.s),"",_xlfn.LET(_xlpm.p,_xlfn.SEQUENCE(_xlpm.e-_xlpm.s+1,1,_xlpm.s,1),SUM(1/COUNTIFS($D:$D,D556,$E:$E,E556,$F:$F,"&lt;&gt;N/A",$G:$G,"&lt;&gt;N/A",$F:$F,"&lt;="&amp;_xlpm.p,$G:$G,"&gt;="&amp;_xlpm.p)))))</f>
        <v>3</v>
      </c>
      <c r="I556" t="s">
        <v>170</v>
      </c>
      <c r="J556" t="s">
        <v>3278</v>
      </c>
      <c r="K556" t="s">
        <v>7</v>
      </c>
      <c r="L556" s="5" t="s">
        <v>4644</v>
      </c>
      <c r="M556" t="s">
        <v>7</v>
      </c>
      <c r="N556" t="s">
        <v>7</v>
      </c>
      <c r="O556" s="5" t="s">
        <v>5072</v>
      </c>
      <c r="P556" s="5" t="s">
        <v>8021</v>
      </c>
      <c r="R556" t="b">
        <v>1</v>
      </c>
    </row>
    <row r="557" spans="1:18">
      <c r="A557" t="s">
        <v>3019</v>
      </c>
      <c r="B557" t="s">
        <v>6797</v>
      </c>
      <c r="C557" t="s">
        <v>7734</v>
      </c>
      <c r="D557" s="1">
        <v>5</v>
      </c>
      <c r="E557" s="1">
        <v>12</v>
      </c>
      <c r="F557" s="1">
        <v>410</v>
      </c>
      <c r="G557" s="1">
        <v>410</v>
      </c>
      <c r="H557" s="17" cm="1">
        <f t="array" ref="H557">_xlfn.LET(_xlpm.s,IFERROR(--F557,""),_xlpm.e,IFERROR(--G557,""),IF(OR(_xlpm.s="",_xlpm.e="",_xlpm.e&lt;_xlpm.s),"",_xlfn.LET(_xlpm.p,_xlfn.SEQUENCE(_xlpm.e-_xlpm.s+1,1,_xlpm.s,1),SUM(1/COUNTIFS($D:$D,D557,$E:$E,E557,$F:$F,"&lt;&gt;N/A",$G:$G,"&lt;&gt;N/A",$F:$F,"&lt;="&amp;_xlpm.p,$G:$G,"&gt;="&amp;_xlpm.p)))))</f>
        <v>1</v>
      </c>
      <c r="I557" t="s">
        <v>170</v>
      </c>
      <c r="J557" t="s">
        <v>3279</v>
      </c>
      <c r="K557" t="s">
        <v>7</v>
      </c>
      <c r="L557" s="5" t="s">
        <v>4644</v>
      </c>
      <c r="M557" s="5" t="s">
        <v>5202</v>
      </c>
      <c r="N557" t="s">
        <v>5201</v>
      </c>
      <c r="O557" s="5" t="s">
        <v>5072</v>
      </c>
      <c r="P557" s="5" t="s">
        <v>8021</v>
      </c>
      <c r="R557" t="b">
        <v>1</v>
      </c>
    </row>
    <row r="558" spans="1:18">
      <c r="A558" t="s">
        <v>3019</v>
      </c>
      <c r="B558" t="s">
        <v>6798</v>
      </c>
      <c r="C558" t="s">
        <v>7734</v>
      </c>
      <c r="D558" s="1">
        <v>5</v>
      </c>
      <c r="E558" s="1">
        <v>12</v>
      </c>
      <c r="F558" s="1">
        <v>411</v>
      </c>
      <c r="G558" s="1">
        <v>411</v>
      </c>
      <c r="H558" s="17" cm="1">
        <f t="array" ref="H558">_xlfn.LET(_xlpm.s,IFERROR(--F558,""),_xlpm.e,IFERROR(--G558,""),IF(OR(_xlpm.s="",_xlpm.e="",_xlpm.e&lt;_xlpm.s),"",_xlfn.LET(_xlpm.p,_xlfn.SEQUENCE(_xlpm.e-_xlpm.s+1,1,_xlpm.s,1),SUM(1/COUNTIFS($D:$D,D558,$E:$E,E558,$F:$F,"&lt;&gt;N/A",$G:$G,"&lt;&gt;N/A",$F:$F,"&lt;="&amp;_xlpm.p,$G:$G,"&gt;="&amp;_xlpm.p)))))</f>
        <v>1</v>
      </c>
      <c r="I558" t="s">
        <v>170</v>
      </c>
      <c r="J558" t="s">
        <v>3280</v>
      </c>
      <c r="K558" t="s">
        <v>7</v>
      </c>
      <c r="L558" s="5" t="s">
        <v>4644</v>
      </c>
      <c r="M558" s="5" t="s">
        <v>5191</v>
      </c>
      <c r="N558" t="s">
        <v>5203</v>
      </c>
      <c r="O558" s="5" t="s">
        <v>5072</v>
      </c>
      <c r="P558" s="5" t="s">
        <v>8021</v>
      </c>
      <c r="R558" t="b">
        <v>1</v>
      </c>
    </row>
    <row r="559" spans="1:18">
      <c r="A559" t="s">
        <v>3018</v>
      </c>
      <c r="B559" t="s">
        <v>6105</v>
      </c>
      <c r="C559" t="s">
        <v>7746</v>
      </c>
      <c r="D559" s="1">
        <v>6</v>
      </c>
      <c r="E559" s="1">
        <v>1</v>
      </c>
      <c r="F559" s="1">
        <v>1</v>
      </c>
      <c r="G559" s="1">
        <v>2</v>
      </c>
      <c r="H559" s="17" cm="1">
        <f t="array" ref="H559">_xlfn.LET(_xlpm.s,IFERROR(--F559,""),_xlpm.e,IFERROR(--G559,""),IF(OR(_xlpm.s="",_xlpm.e="",_xlpm.e&lt;_xlpm.s),"",_xlfn.LET(_xlpm.p,_xlfn.SEQUENCE(_xlpm.e-_xlpm.s+1,1,_xlpm.s,1),SUM(1/COUNTIFS($D:$D,D559,$E:$E,E559,$F:$F,"&lt;&gt;N/A",$G:$G,"&lt;&gt;N/A",$F:$F,"&lt;="&amp;_xlpm.p,$G:$G,"&gt;="&amp;_xlpm.p)))))</f>
        <v>1.5</v>
      </c>
      <c r="I559" t="s">
        <v>5436</v>
      </c>
      <c r="J559" t="s">
        <v>5484</v>
      </c>
      <c r="K559" t="s">
        <v>7</v>
      </c>
      <c r="L559" s="5" t="s">
        <v>7</v>
      </c>
      <c r="M559" t="s">
        <v>7</v>
      </c>
      <c r="N559" t="s">
        <v>7</v>
      </c>
      <c r="O559" s="5" t="s">
        <v>778</v>
      </c>
      <c r="P559" s="5" t="s">
        <v>7834</v>
      </c>
      <c r="R559" t="b">
        <v>0</v>
      </c>
    </row>
    <row r="560" spans="1:18">
      <c r="A560" t="s">
        <v>3018</v>
      </c>
      <c r="B560" t="s">
        <v>6106</v>
      </c>
      <c r="C560" t="s">
        <v>7746</v>
      </c>
      <c r="D560" s="1">
        <v>6</v>
      </c>
      <c r="E560" s="1">
        <v>1</v>
      </c>
      <c r="F560" s="1">
        <v>2</v>
      </c>
      <c r="G560" s="1">
        <v>4</v>
      </c>
      <c r="H560" s="17" cm="1">
        <f t="array" ref="H560">_xlfn.LET(_xlpm.s,IFERROR(--F560,""),_xlpm.e,IFERROR(--G560,""),IF(OR(_xlpm.s="",_xlpm.e="",_xlpm.e&lt;_xlpm.s),"",_xlfn.LET(_xlpm.p,_xlfn.SEQUENCE(_xlpm.e-_xlpm.s+1,1,_xlpm.s,1),SUM(1/COUNTIFS($D:$D,D560,$E:$E,E560,$F:$F,"&lt;&gt;N/A",$G:$G,"&lt;&gt;N/A",$F:$F,"&lt;="&amp;_xlpm.p,$G:$G,"&gt;="&amp;_xlpm.p)))))</f>
        <v>2.5</v>
      </c>
      <c r="I560" t="s">
        <v>5436</v>
      </c>
      <c r="J560" t="s">
        <v>5485</v>
      </c>
      <c r="K560" t="s">
        <v>7</v>
      </c>
      <c r="L560" s="5" t="s">
        <v>7</v>
      </c>
      <c r="M560" t="s">
        <v>7</v>
      </c>
      <c r="N560" t="s">
        <v>7</v>
      </c>
      <c r="O560" s="5" t="s">
        <v>778</v>
      </c>
      <c r="P560" s="5" t="s">
        <v>7834</v>
      </c>
      <c r="R560" t="b">
        <v>0</v>
      </c>
    </row>
    <row r="561" spans="1:18">
      <c r="A561" t="s">
        <v>3018</v>
      </c>
      <c r="B561" t="s">
        <v>6107</v>
      </c>
      <c r="C561" t="s">
        <v>7746</v>
      </c>
      <c r="D561" s="1">
        <v>6</v>
      </c>
      <c r="E561" s="1">
        <v>1</v>
      </c>
      <c r="F561" s="1">
        <v>5</v>
      </c>
      <c r="G561" s="1">
        <v>25</v>
      </c>
      <c r="H561" s="17" cm="1">
        <f t="array" ref="H561">_xlfn.LET(_xlpm.s,IFERROR(--F561,""),_xlpm.e,IFERROR(--G561,""),IF(OR(_xlpm.s="",_xlpm.e="",_xlpm.e&lt;_xlpm.s),"",_xlfn.LET(_xlpm.p,_xlfn.SEQUENCE(_xlpm.e-_xlpm.s+1,1,_xlpm.s,1),SUM(1/COUNTIFS($D:$D,D561,$E:$E,E561,$F:$F,"&lt;&gt;N/A",$G:$G,"&lt;&gt;N/A",$F:$F,"&lt;="&amp;_xlpm.p,$G:$G,"&gt;="&amp;_xlpm.p)))))</f>
        <v>21</v>
      </c>
      <c r="I561" t="s">
        <v>2573</v>
      </c>
      <c r="J561" t="s">
        <v>5206</v>
      </c>
      <c r="K561" t="s">
        <v>2476</v>
      </c>
      <c r="L561" s="5" t="s">
        <v>5383</v>
      </c>
      <c r="M561" s="5" t="s">
        <v>5397</v>
      </c>
      <c r="N561" t="s">
        <v>10456</v>
      </c>
      <c r="O561" s="5" t="s">
        <v>5072</v>
      </c>
      <c r="P561" s="5" t="s">
        <v>8021</v>
      </c>
      <c r="R561" t="b">
        <v>1</v>
      </c>
    </row>
    <row r="562" spans="1:18">
      <c r="A562" t="s">
        <v>3018</v>
      </c>
      <c r="B562" t="s">
        <v>6108</v>
      </c>
      <c r="C562" t="s">
        <v>7746</v>
      </c>
      <c r="D562" s="1">
        <v>6</v>
      </c>
      <c r="E562" s="1">
        <v>1</v>
      </c>
      <c r="F562" s="1">
        <v>26</v>
      </c>
      <c r="G562" s="1">
        <v>30</v>
      </c>
      <c r="H562" s="17" cm="1">
        <f t="array" ref="H562">_xlfn.LET(_xlpm.s,IFERROR(--F562,""),_xlpm.e,IFERROR(--G562,""),IF(OR(_xlpm.s="",_xlpm.e="",_xlpm.e&lt;_xlpm.s),"",_xlfn.LET(_xlpm.p,_xlfn.SEQUENCE(_xlpm.e-_xlpm.s+1,1,_xlpm.s,1),SUM(1/COUNTIFS($D:$D,D562,$E:$E,E562,$F:$F,"&lt;&gt;N/A",$G:$G,"&lt;&gt;N/A",$F:$F,"&lt;="&amp;_xlpm.p,$G:$G,"&gt;="&amp;_xlpm.p)))))</f>
        <v>4.5</v>
      </c>
      <c r="I562" t="s">
        <v>624</v>
      </c>
      <c r="J562" t="s">
        <v>5214</v>
      </c>
      <c r="K562" t="s">
        <v>5209</v>
      </c>
      <c r="L562" s="5" t="s">
        <v>5234</v>
      </c>
      <c r="M562" s="5" t="s">
        <v>5119</v>
      </c>
      <c r="N562" t="s">
        <v>5216</v>
      </c>
      <c r="O562" s="5" t="s">
        <v>5072</v>
      </c>
      <c r="P562" s="5" t="s">
        <v>8021</v>
      </c>
      <c r="Q562" s="5" t="s">
        <v>2509</v>
      </c>
      <c r="R562" t="b">
        <v>1</v>
      </c>
    </row>
    <row r="563" spans="1:18">
      <c r="A563" t="s">
        <v>3018</v>
      </c>
      <c r="B563" t="s">
        <v>6109</v>
      </c>
      <c r="C563" t="s">
        <v>7746</v>
      </c>
      <c r="D563" s="1">
        <v>6</v>
      </c>
      <c r="E563" s="1">
        <v>1</v>
      </c>
      <c r="F563" s="1">
        <v>30</v>
      </c>
      <c r="G563" s="1">
        <v>31</v>
      </c>
      <c r="H563" s="17" cm="1">
        <f t="array" ref="H563">_xlfn.LET(_xlpm.s,IFERROR(--F563,""),_xlpm.e,IFERROR(--G563,""),IF(OR(_xlpm.s="",_xlpm.e="",_xlpm.e&lt;_xlpm.s),"",_xlfn.LET(_xlpm.p,_xlfn.SEQUENCE(_xlpm.e-_xlpm.s+1,1,_xlpm.s,1),SUM(1/COUNTIFS($D:$D,D563,$E:$E,E563,$F:$F,"&lt;&gt;N/A",$G:$G,"&lt;&gt;N/A",$F:$F,"&lt;="&amp;_xlpm.p,$G:$G,"&gt;="&amp;_xlpm.p)))))</f>
        <v>1</v>
      </c>
      <c r="I563" t="s">
        <v>624</v>
      </c>
      <c r="J563" t="s">
        <v>5213</v>
      </c>
      <c r="K563" t="s">
        <v>7</v>
      </c>
      <c r="L563" s="5" t="s">
        <v>5234</v>
      </c>
      <c r="M563" s="5" t="s">
        <v>5119</v>
      </c>
      <c r="N563" t="s">
        <v>5207</v>
      </c>
      <c r="O563" s="5" t="s">
        <v>5072</v>
      </c>
      <c r="P563" s="5" t="s">
        <v>8021</v>
      </c>
      <c r="Q563" s="5" t="s">
        <v>2509</v>
      </c>
      <c r="R563" t="b">
        <v>1</v>
      </c>
    </row>
    <row r="564" spans="1:18">
      <c r="A564" t="s">
        <v>3018</v>
      </c>
      <c r="B564" t="s">
        <v>6110</v>
      </c>
      <c r="C564" t="s">
        <v>7746</v>
      </c>
      <c r="D564" s="1">
        <v>6</v>
      </c>
      <c r="E564" s="1">
        <v>1</v>
      </c>
      <c r="F564" s="1">
        <v>31</v>
      </c>
      <c r="G564" s="1">
        <v>32</v>
      </c>
      <c r="H564" s="17" cm="1">
        <f t="array" ref="H564">_xlfn.LET(_xlpm.s,IFERROR(--F564,""),_xlpm.e,IFERROR(--G564,""),IF(OR(_xlpm.s="",_xlpm.e="",_xlpm.e&lt;_xlpm.s),"",_xlfn.LET(_xlpm.p,_xlfn.SEQUENCE(_xlpm.e-_xlpm.s+1,1,_xlpm.s,1),SUM(1/COUNTIFS($D:$D,D564,$E:$E,E564,$F:$F,"&lt;&gt;N/A",$G:$G,"&lt;&gt;N/A",$F:$F,"&lt;="&amp;_xlpm.p,$G:$G,"&gt;="&amp;_xlpm.p)))))</f>
        <v>1</v>
      </c>
      <c r="I564" t="s">
        <v>624</v>
      </c>
      <c r="J564" t="s">
        <v>5212</v>
      </c>
      <c r="K564" t="s">
        <v>5208</v>
      </c>
      <c r="L564" s="5" t="s">
        <v>5234</v>
      </c>
      <c r="M564" s="5" t="s">
        <v>5119</v>
      </c>
      <c r="N564" t="s">
        <v>5210</v>
      </c>
      <c r="O564" s="5" t="s">
        <v>5072</v>
      </c>
      <c r="P564" s="5" t="s">
        <v>8021</v>
      </c>
      <c r="Q564" s="5" t="s">
        <v>2509</v>
      </c>
      <c r="R564" t="b">
        <v>1</v>
      </c>
    </row>
    <row r="565" spans="1:18">
      <c r="A565" t="s">
        <v>3018</v>
      </c>
      <c r="B565" t="s">
        <v>6111</v>
      </c>
      <c r="C565" t="s">
        <v>7746</v>
      </c>
      <c r="D565" s="1">
        <v>6</v>
      </c>
      <c r="E565" s="1">
        <v>1</v>
      </c>
      <c r="F565" s="1">
        <v>32</v>
      </c>
      <c r="G565" s="1">
        <v>32</v>
      </c>
      <c r="H565" s="17" cm="1">
        <f t="array" ref="H565">_xlfn.LET(_xlpm.s,IFERROR(--F565,""),_xlpm.e,IFERROR(--G565,""),IF(OR(_xlpm.s="",_xlpm.e="",_xlpm.e&lt;_xlpm.s),"",_xlfn.LET(_xlpm.p,_xlfn.SEQUENCE(_xlpm.e-_xlpm.s+1,1,_xlpm.s,1),SUM(1/COUNTIFS($D:$D,D565,$E:$E,E565,$F:$F,"&lt;&gt;N/A",$G:$G,"&lt;&gt;N/A",$F:$F,"&lt;="&amp;_xlpm.p,$G:$G,"&gt;="&amp;_xlpm.p)))))</f>
        <v>0.5</v>
      </c>
      <c r="I565" t="s">
        <v>624</v>
      </c>
      <c r="J565" t="s">
        <v>5211</v>
      </c>
      <c r="K565" t="s">
        <v>7</v>
      </c>
      <c r="L565" s="5" t="s">
        <v>5234</v>
      </c>
      <c r="M565" s="5" t="s">
        <v>5119</v>
      </c>
      <c r="N565" t="s">
        <v>5217</v>
      </c>
      <c r="O565" s="5" t="s">
        <v>5072</v>
      </c>
      <c r="P565" s="5" t="s">
        <v>8021</v>
      </c>
      <c r="Q565" s="5" t="s">
        <v>2509</v>
      </c>
      <c r="R565" t="b">
        <v>1</v>
      </c>
    </row>
    <row r="566" spans="1:18">
      <c r="A566" t="s">
        <v>3018</v>
      </c>
      <c r="B566" t="s">
        <v>6112</v>
      </c>
      <c r="C566" t="s">
        <v>7746</v>
      </c>
      <c r="D566" s="1">
        <v>6</v>
      </c>
      <c r="E566" s="1">
        <v>1</v>
      </c>
      <c r="F566" s="1">
        <v>33</v>
      </c>
      <c r="G566" s="1">
        <v>33</v>
      </c>
      <c r="H566" s="17" cm="1">
        <f t="array" ref="H566">_xlfn.LET(_xlpm.s,IFERROR(--F566,""),_xlpm.e,IFERROR(--G566,""),IF(OR(_xlpm.s="",_xlpm.e="",_xlpm.e&lt;_xlpm.s),"",_xlfn.LET(_xlpm.p,_xlfn.SEQUENCE(_xlpm.e-_xlpm.s+1,1,_xlpm.s,1),SUM(1/COUNTIFS($D:$D,D566,$E:$E,E566,$F:$F,"&lt;&gt;N/A",$G:$G,"&lt;&gt;N/A",$F:$F,"&lt;="&amp;_xlpm.p,$G:$G,"&gt;="&amp;_xlpm.p)))))</f>
        <v>0.5</v>
      </c>
      <c r="I566" t="s">
        <v>624</v>
      </c>
      <c r="J566" t="s">
        <v>5215</v>
      </c>
      <c r="K566" t="s">
        <v>7</v>
      </c>
      <c r="L566" s="5" t="s">
        <v>5234</v>
      </c>
      <c r="M566" s="5" t="s">
        <v>5119</v>
      </c>
      <c r="N566" t="s">
        <v>5219</v>
      </c>
      <c r="O566" s="5" t="s">
        <v>5072</v>
      </c>
      <c r="P566" s="5" t="s">
        <v>8021</v>
      </c>
      <c r="Q566" s="5" t="s">
        <v>2509</v>
      </c>
      <c r="R566" t="b">
        <v>1</v>
      </c>
    </row>
    <row r="567" spans="1:18">
      <c r="A567" t="s">
        <v>3018</v>
      </c>
      <c r="B567" t="s">
        <v>6799</v>
      </c>
      <c r="C567" t="s">
        <v>7746</v>
      </c>
      <c r="D567" s="1">
        <v>6</v>
      </c>
      <c r="E567" s="1">
        <v>1</v>
      </c>
      <c r="F567" s="1">
        <v>33</v>
      </c>
      <c r="G567" s="1">
        <v>33</v>
      </c>
      <c r="H567" s="17" cm="1">
        <f t="array" ref="H567">_xlfn.LET(_xlpm.s,IFERROR(--F567,""),_xlpm.e,IFERROR(--G567,""),IF(OR(_xlpm.s="",_xlpm.e="",_xlpm.e&lt;_xlpm.s),"",_xlfn.LET(_xlpm.p,_xlfn.SEQUENCE(_xlpm.e-_xlpm.s+1,1,_xlpm.s,1),SUM(1/COUNTIFS($D:$D,D567,$E:$E,E567,$F:$F,"&lt;&gt;N/A",$G:$G,"&lt;&gt;N/A",$F:$F,"&lt;="&amp;_xlpm.p,$G:$G,"&gt;="&amp;_xlpm.p)))))</f>
        <v>0.5</v>
      </c>
      <c r="I567" t="s">
        <v>624</v>
      </c>
      <c r="J567" t="s">
        <v>5218</v>
      </c>
      <c r="K567" t="s">
        <v>7</v>
      </c>
      <c r="L567" s="5" t="s">
        <v>5234</v>
      </c>
      <c r="M567" s="5" t="s">
        <v>5137</v>
      </c>
      <c r="N567" t="s">
        <v>5221</v>
      </c>
      <c r="O567" s="5" t="s">
        <v>5072</v>
      </c>
      <c r="P567" s="5" t="s">
        <v>8021</v>
      </c>
      <c r="Q567" s="5" t="s">
        <v>2509</v>
      </c>
      <c r="R567" t="b">
        <v>1</v>
      </c>
    </row>
    <row r="568" spans="1:18">
      <c r="A568" t="s">
        <v>3018</v>
      </c>
      <c r="B568" t="s">
        <v>6800</v>
      </c>
      <c r="C568" t="s">
        <v>7746</v>
      </c>
      <c r="D568" s="1">
        <v>6</v>
      </c>
      <c r="E568" s="1">
        <v>1</v>
      </c>
      <c r="F568" s="1">
        <v>34</v>
      </c>
      <c r="G568" s="1">
        <v>40</v>
      </c>
      <c r="H568" s="17" cm="1">
        <f t="array" ref="H568">_xlfn.LET(_xlpm.s,IFERROR(--F568,""),_xlpm.e,IFERROR(--G568,""),IF(OR(_xlpm.s="",_xlpm.e="",_xlpm.e&lt;_xlpm.s),"",_xlfn.LET(_xlpm.p,_xlfn.SEQUENCE(_xlpm.e-_xlpm.s+1,1,_xlpm.s,1),SUM(1/COUNTIFS($D:$D,D568,$E:$E,E568,$F:$F,"&lt;&gt;N/A",$G:$G,"&lt;&gt;N/A",$F:$F,"&lt;="&amp;_xlpm.p,$G:$G,"&gt;="&amp;_xlpm.p)))))</f>
        <v>7</v>
      </c>
      <c r="I568" t="s">
        <v>7</v>
      </c>
      <c r="J568" t="s">
        <v>6357</v>
      </c>
      <c r="K568" t="s">
        <v>7</v>
      </c>
      <c r="L568" s="5" t="s">
        <v>7</v>
      </c>
      <c r="M568" t="s">
        <v>7</v>
      </c>
      <c r="N568" t="s">
        <v>7</v>
      </c>
      <c r="O568" s="5" t="s">
        <v>778</v>
      </c>
      <c r="P568" s="5" t="s">
        <v>7834</v>
      </c>
      <c r="R568" t="b">
        <v>0</v>
      </c>
    </row>
    <row r="569" spans="1:18">
      <c r="A569" t="s">
        <v>3018</v>
      </c>
      <c r="B569" t="s">
        <v>6113</v>
      </c>
      <c r="C569" t="s">
        <v>7754</v>
      </c>
      <c r="D569" s="1">
        <v>6</v>
      </c>
      <c r="E569" s="1">
        <v>2</v>
      </c>
      <c r="F569" s="1">
        <v>41</v>
      </c>
      <c r="G569" s="1">
        <v>42</v>
      </c>
      <c r="H569" s="17" cm="1">
        <f t="array" ref="H569">_xlfn.LET(_xlpm.s,IFERROR(--F569,""),_xlpm.e,IFERROR(--G569,""),IF(OR(_xlpm.s="",_xlpm.e="",_xlpm.e&lt;_xlpm.s),"",_xlfn.LET(_xlpm.p,_xlfn.SEQUENCE(_xlpm.e-_xlpm.s+1,1,_xlpm.s,1),SUM(1/COUNTIFS($D:$D,D569,$E:$E,E569,$F:$F,"&lt;&gt;N/A",$G:$G,"&lt;&gt;N/A",$F:$F,"&lt;="&amp;_xlpm.p,$G:$G,"&gt;="&amp;_xlpm.p)))))</f>
        <v>1.5</v>
      </c>
      <c r="I569" t="s">
        <v>5436</v>
      </c>
      <c r="J569" t="s">
        <v>6737</v>
      </c>
      <c r="K569" t="s">
        <v>7</v>
      </c>
      <c r="L569" s="5" t="s">
        <v>7</v>
      </c>
      <c r="M569" t="s">
        <v>7</v>
      </c>
      <c r="N569" t="s">
        <v>7</v>
      </c>
      <c r="O569" s="5" t="s">
        <v>778</v>
      </c>
      <c r="P569" s="5" t="s">
        <v>7834</v>
      </c>
      <c r="R569" t="b">
        <v>0</v>
      </c>
    </row>
    <row r="570" spans="1:18">
      <c r="A570" t="s">
        <v>3018</v>
      </c>
      <c r="B570" t="s">
        <v>6114</v>
      </c>
      <c r="C570" t="s">
        <v>7754</v>
      </c>
      <c r="D570" s="1">
        <v>6</v>
      </c>
      <c r="E570" s="1">
        <v>2</v>
      </c>
      <c r="F570" s="1">
        <v>42</v>
      </c>
      <c r="G570" s="1">
        <v>43</v>
      </c>
      <c r="H570" s="17" cm="1">
        <f t="array" ref="H570">_xlfn.LET(_xlpm.s,IFERROR(--F570,""),_xlpm.e,IFERROR(--G570,""),IF(OR(_xlpm.s="",_xlpm.e="",_xlpm.e&lt;_xlpm.s),"",_xlfn.LET(_xlpm.p,_xlfn.SEQUENCE(_xlpm.e-_xlpm.s+1,1,_xlpm.s,1),SUM(1/COUNTIFS($D:$D,D570,$E:$E,E570,$F:$F,"&lt;&gt;N/A",$G:$G,"&lt;&gt;N/A",$F:$F,"&lt;="&amp;_xlpm.p,$G:$G,"&gt;="&amp;_xlpm.p)))))</f>
        <v>1.5</v>
      </c>
      <c r="I570" t="s">
        <v>5436</v>
      </c>
      <c r="J570" t="s">
        <v>6738</v>
      </c>
      <c r="K570" t="s">
        <v>7</v>
      </c>
      <c r="L570" s="5" t="s">
        <v>7</v>
      </c>
      <c r="M570" t="s">
        <v>7</v>
      </c>
      <c r="N570" t="s">
        <v>7</v>
      </c>
      <c r="O570" s="5" t="s">
        <v>778</v>
      </c>
      <c r="P570" s="5" t="s">
        <v>7834</v>
      </c>
      <c r="R570" t="b">
        <v>0</v>
      </c>
    </row>
    <row r="571" spans="1:18">
      <c r="A571" t="s">
        <v>3018</v>
      </c>
      <c r="B571" t="s">
        <v>6115</v>
      </c>
      <c r="C571" t="s">
        <v>7754</v>
      </c>
      <c r="D571" s="1">
        <v>6</v>
      </c>
      <c r="E571" s="1">
        <v>2</v>
      </c>
      <c r="F571" s="1">
        <v>44</v>
      </c>
      <c r="G571" s="1">
        <v>67</v>
      </c>
      <c r="H571" s="17" cm="1">
        <f t="array" ref="H571">_xlfn.LET(_xlpm.s,IFERROR(--F571,""),_xlpm.e,IFERROR(--G571,""),IF(OR(_xlpm.s="",_xlpm.e="",_xlpm.e&lt;_xlpm.s),"",_xlfn.LET(_xlpm.p,_xlfn.SEQUENCE(_xlpm.e-_xlpm.s+1,1,_xlpm.s,1),SUM(1/COUNTIFS($D:$D,D571,$E:$E,E571,$F:$F,"&lt;&gt;N/A",$G:$G,"&lt;&gt;N/A",$F:$F,"&lt;="&amp;_xlpm.p,$G:$G,"&gt;="&amp;_xlpm.p)))))</f>
        <v>24</v>
      </c>
      <c r="I571" t="s">
        <v>2573</v>
      </c>
      <c r="J571" t="s">
        <v>2478</v>
      </c>
      <c r="K571" t="s">
        <v>7</v>
      </c>
      <c r="L571" s="5" t="s">
        <v>5383</v>
      </c>
      <c r="M571" s="5" t="s">
        <v>5225</v>
      </c>
      <c r="N571" t="s">
        <v>5227</v>
      </c>
      <c r="O571" s="5" t="s">
        <v>5072</v>
      </c>
      <c r="P571" s="5" t="s">
        <v>8021</v>
      </c>
      <c r="R571" t="b">
        <v>1</v>
      </c>
    </row>
    <row r="572" spans="1:18">
      <c r="A572" t="s">
        <v>3018</v>
      </c>
      <c r="B572" t="s">
        <v>6116</v>
      </c>
      <c r="C572" t="s">
        <v>7754</v>
      </c>
      <c r="D572" s="1">
        <v>6</v>
      </c>
      <c r="E572" s="1">
        <v>2</v>
      </c>
      <c r="F572" s="1">
        <v>68</v>
      </c>
      <c r="G572" s="1">
        <v>72</v>
      </c>
      <c r="H572" s="17" cm="1">
        <f t="array" ref="H572">_xlfn.LET(_xlpm.s,IFERROR(--F572,""),_xlpm.e,IFERROR(--G572,""),IF(OR(_xlpm.s="",_xlpm.e="",_xlpm.e&lt;_xlpm.s),"",_xlfn.LET(_xlpm.p,_xlfn.SEQUENCE(_xlpm.e-_xlpm.s+1,1,_xlpm.s,1),SUM(1/COUNTIFS($D:$D,D572,$E:$E,E572,$F:$F,"&lt;&gt;N/A",$G:$G,"&lt;&gt;N/A",$F:$F,"&lt;="&amp;_xlpm.p,$G:$G,"&gt;="&amp;_xlpm.p)))))</f>
        <v>5</v>
      </c>
      <c r="I572" t="s">
        <v>2634</v>
      </c>
      <c r="J572" t="s">
        <v>5224</v>
      </c>
      <c r="K572" t="s">
        <v>5220</v>
      </c>
      <c r="L572" s="5" t="s">
        <v>4650</v>
      </c>
      <c r="M572" t="s">
        <v>7</v>
      </c>
      <c r="N572" t="s">
        <v>7</v>
      </c>
      <c r="O572" s="5" t="s">
        <v>5072</v>
      </c>
      <c r="P572" s="5" t="s">
        <v>8021</v>
      </c>
      <c r="R572" t="b">
        <v>1</v>
      </c>
    </row>
    <row r="573" spans="1:18">
      <c r="A573" t="s">
        <v>3018</v>
      </c>
      <c r="B573" t="s">
        <v>6801</v>
      </c>
      <c r="C573" t="s">
        <v>7754</v>
      </c>
      <c r="D573" s="1">
        <v>6</v>
      </c>
      <c r="E573" s="1">
        <v>2</v>
      </c>
      <c r="F573" s="1">
        <v>73</v>
      </c>
      <c r="G573" s="1">
        <v>79</v>
      </c>
      <c r="H573" s="17" cm="1">
        <f t="array" ref="H573">_xlfn.LET(_xlpm.s,IFERROR(--F573,""),_xlpm.e,IFERROR(--G573,""),IF(OR(_xlpm.s="",_xlpm.e="",_xlpm.e&lt;_xlpm.s),"",_xlfn.LET(_xlpm.p,_xlfn.SEQUENCE(_xlpm.e-_xlpm.s+1,1,_xlpm.s,1),SUM(1/COUNTIFS($D:$D,D573,$E:$E,E573,$F:$F,"&lt;&gt;N/A",$G:$G,"&lt;&gt;N/A",$F:$F,"&lt;="&amp;_xlpm.p,$G:$G,"&gt;="&amp;_xlpm.p)))))</f>
        <v>7</v>
      </c>
      <c r="I573" t="s">
        <v>7</v>
      </c>
      <c r="J573" t="s">
        <v>4366</v>
      </c>
      <c r="K573" t="s">
        <v>2477</v>
      </c>
      <c r="L573" s="5" t="s">
        <v>4598</v>
      </c>
      <c r="M573" s="5" t="s">
        <v>5223</v>
      </c>
      <c r="N573" t="s">
        <v>10141</v>
      </c>
      <c r="O573" s="5" t="s">
        <v>5072</v>
      </c>
      <c r="P573" s="5" t="s">
        <v>8021</v>
      </c>
      <c r="R573" t="b">
        <v>1</v>
      </c>
    </row>
    <row r="574" spans="1:18">
      <c r="A574" t="s">
        <v>3018</v>
      </c>
      <c r="B574" t="s">
        <v>6802</v>
      </c>
      <c r="C574" t="s">
        <v>7754</v>
      </c>
      <c r="D574" s="1">
        <v>6</v>
      </c>
      <c r="E574" s="1">
        <v>2</v>
      </c>
      <c r="F574" s="1">
        <v>80</v>
      </c>
      <c r="G574" s="1">
        <v>80</v>
      </c>
      <c r="H574" s="17" cm="1">
        <f t="array" ref="H574">_xlfn.LET(_xlpm.s,IFERROR(--F574,""),_xlpm.e,IFERROR(--G574,""),IF(OR(_xlpm.s="",_xlpm.e="",_xlpm.e&lt;_xlpm.s),"",_xlfn.LET(_xlpm.p,_xlfn.SEQUENCE(_xlpm.e-_xlpm.s+1,1,_xlpm.s,1),SUM(1/COUNTIFS($D:$D,D574,$E:$E,E574,$F:$F,"&lt;&gt;N/A",$G:$G,"&lt;&gt;N/A",$F:$F,"&lt;="&amp;_xlpm.p,$G:$G,"&gt;="&amp;_xlpm.p)))))</f>
        <v>1</v>
      </c>
      <c r="I574" t="s">
        <v>7</v>
      </c>
      <c r="J574" t="s">
        <v>5222</v>
      </c>
      <c r="K574" t="s">
        <v>1781</v>
      </c>
      <c r="L574" s="5" t="s">
        <v>7</v>
      </c>
      <c r="M574" t="s">
        <v>7</v>
      </c>
      <c r="N574" t="s">
        <v>7</v>
      </c>
      <c r="O574" s="5" t="s">
        <v>778</v>
      </c>
      <c r="P574" s="5" t="s">
        <v>7834</v>
      </c>
      <c r="R574" t="b">
        <v>0</v>
      </c>
    </row>
    <row r="575" spans="1:18">
      <c r="A575" t="s">
        <v>3018</v>
      </c>
      <c r="B575" t="s">
        <v>6117</v>
      </c>
      <c r="C575" t="s">
        <v>7762</v>
      </c>
      <c r="D575" s="1">
        <v>6</v>
      </c>
      <c r="E575" s="1">
        <v>3</v>
      </c>
      <c r="F575" s="1">
        <v>81</v>
      </c>
      <c r="G575" s="1">
        <v>82</v>
      </c>
      <c r="H575" s="17" cm="1">
        <f t="array" ref="H575">_xlfn.LET(_xlpm.s,IFERROR(--F575,""),_xlpm.e,IFERROR(--G575,""),IF(OR(_xlpm.s="",_xlpm.e="",_xlpm.e&lt;_xlpm.s),"",_xlfn.LET(_xlpm.p,_xlfn.SEQUENCE(_xlpm.e-_xlpm.s+1,1,_xlpm.s,1),SUM(1/COUNTIFS($D:$D,D575,$E:$E,E575,$F:$F,"&lt;&gt;N/A",$G:$G,"&lt;&gt;N/A",$F:$F,"&lt;="&amp;_xlpm.p,$G:$G,"&gt;="&amp;_xlpm.p)))))</f>
        <v>1.5</v>
      </c>
      <c r="I575" t="s">
        <v>5436</v>
      </c>
      <c r="J575" t="s">
        <v>6356</v>
      </c>
      <c r="K575" t="s">
        <v>7</v>
      </c>
      <c r="L575" s="5" t="s">
        <v>7</v>
      </c>
      <c r="M575" s="5" t="s">
        <v>7</v>
      </c>
      <c r="N575" t="s">
        <v>7</v>
      </c>
      <c r="O575" s="5" t="s">
        <v>778</v>
      </c>
      <c r="P575" s="5" t="s">
        <v>7834</v>
      </c>
      <c r="R575" t="b">
        <v>0</v>
      </c>
    </row>
    <row r="576" spans="1:18">
      <c r="A576" t="s">
        <v>3018</v>
      </c>
      <c r="B576" t="s">
        <v>6118</v>
      </c>
      <c r="C576" t="s">
        <v>7762</v>
      </c>
      <c r="D576" s="1">
        <v>6</v>
      </c>
      <c r="E576" s="1">
        <v>3</v>
      </c>
      <c r="F576" s="1">
        <v>82</v>
      </c>
      <c r="G576" s="1">
        <v>83</v>
      </c>
      <c r="H576" s="17" cm="1">
        <f t="array" ref="H576">_xlfn.LET(_xlpm.s,IFERROR(--F576,""),_xlpm.e,IFERROR(--G576,""),IF(OR(_xlpm.s="",_xlpm.e="",_xlpm.e&lt;_xlpm.s),"",_xlfn.LET(_xlpm.p,_xlfn.SEQUENCE(_xlpm.e-_xlpm.s+1,1,_xlpm.s,1),SUM(1/COUNTIFS($D:$D,D576,$E:$E,E576,$F:$F,"&lt;&gt;N/A",$G:$G,"&lt;&gt;N/A",$F:$F,"&lt;="&amp;_xlpm.p,$G:$G,"&gt;="&amp;_xlpm.p)))))</f>
        <v>1</v>
      </c>
      <c r="I576" t="s">
        <v>5436</v>
      </c>
      <c r="J576" t="s">
        <v>6355</v>
      </c>
      <c r="K576" t="s">
        <v>7</v>
      </c>
      <c r="L576" s="5" t="s">
        <v>7</v>
      </c>
      <c r="M576" s="5" t="s">
        <v>7</v>
      </c>
      <c r="N576" t="s">
        <v>7</v>
      </c>
      <c r="O576" s="5" t="s">
        <v>778</v>
      </c>
      <c r="P576" s="5" t="s">
        <v>7834</v>
      </c>
      <c r="R576" t="b">
        <v>0</v>
      </c>
    </row>
    <row r="577" spans="1:18">
      <c r="A577" t="s">
        <v>3018</v>
      </c>
      <c r="B577" t="s">
        <v>6119</v>
      </c>
      <c r="C577" t="s">
        <v>7762</v>
      </c>
      <c r="D577" s="1">
        <v>6</v>
      </c>
      <c r="E577" s="1">
        <v>3</v>
      </c>
      <c r="F577" s="1">
        <v>83</v>
      </c>
      <c r="G577" s="1">
        <v>86</v>
      </c>
      <c r="H577" s="17" cm="1">
        <f t="array" ref="H577">_xlfn.LET(_xlpm.s,IFERROR(--F577,""),_xlpm.e,IFERROR(--G577,""),IF(OR(_xlpm.s="",_xlpm.e="",_xlpm.e&lt;_xlpm.s),"",_xlfn.LET(_xlpm.p,_xlfn.SEQUENCE(_xlpm.e-_xlpm.s+1,1,_xlpm.s,1),SUM(1/COUNTIFS($D:$D,D577,$E:$E,E577,$F:$F,"&lt;&gt;N/A",$G:$G,"&lt;&gt;N/A",$F:$F,"&lt;="&amp;_xlpm.p,$G:$G,"&gt;="&amp;_xlpm.p)))))</f>
        <v>3</v>
      </c>
      <c r="I577" t="s">
        <v>5436</v>
      </c>
      <c r="J577" t="s">
        <v>6354</v>
      </c>
      <c r="K577" t="s">
        <v>7</v>
      </c>
      <c r="L577" s="5" t="s">
        <v>7</v>
      </c>
      <c r="M577" s="5" t="s">
        <v>7</v>
      </c>
      <c r="N577" t="s">
        <v>7</v>
      </c>
      <c r="O577" s="5" t="s">
        <v>778</v>
      </c>
      <c r="P577" s="5" t="s">
        <v>7834</v>
      </c>
      <c r="R577" t="b">
        <v>0</v>
      </c>
    </row>
    <row r="578" spans="1:18">
      <c r="A578" t="s">
        <v>3018</v>
      </c>
      <c r="B578" t="s">
        <v>6120</v>
      </c>
      <c r="C578" t="s">
        <v>7762</v>
      </c>
      <c r="D578" s="1">
        <v>6</v>
      </c>
      <c r="E578" s="1">
        <v>3</v>
      </c>
      <c r="F578" s="1">
        <v>86</v>
      </c>
      <c r="G578" s="1">
        <v>87</v>
      </c>
      <c r="H578" s="17" cm="1">
        <f t="array" ref="H578">_xlfn.LET(_xlpm.s,IFERROR(--F578,""),_xlpm.e,IFERROR(--G578,""),IF(OR(_xlpm.s="",_xlpm.e="",_xlpm.e&lt;_xlpm.s),"",_xlfn.LET(_xlpm.p,_xlfn.SEQUENCE(_xlpm.e-_xlpm.s+1,1,_xlpm.s,1),SUM(1/COUNTIFS($D:$D,D578,$E:$E,E578,$F:$F,"&lt;&gt;N/A",$G:$G,"&lt;&gt;N/A",$F:$F,"&lt;="&amp;_xlpm.p,$G:$G,"&gt;="&amp;_xlpm.p)))))</f>
        <v>1</v>
      </c>
      <c r="I578" t="s">
        <v>5436</v>
      </c>
      <c r="J578" t="s">
        <v>6353</v>
      </c>
      <c r="K578" t="s">
        <v>7</v>
      </c>
      <c r="L578" s="5" t="s">
        <v>7</v>
      </c>
      <c r="M578" s="5" t="s">
        <v>7</v>
      </c>
      <c r="N578" t="s">
        <v>7</v>
      </c>
      <c r="O578" s="5" t="s">
        <v>778</v>
      </c>
      <c r="P578" s="5" t="s">
        <v>7834</v>
      </c>
      <c r="R578" t="b">
        <v>0</v>
      </c>
    </row>
    <row r="579" spans="1:18">
      <c r="A579" t="s">
        <v>3018</v>
      </c>
      <c r="B579" t="s">
        <v>6121</v>
      </c>
      <c r="C579" t="s">
        <v>7762</v>
      </c>
      <c r="D579" s="1">
        <v>6</v>
      </c>
      <c r="E579" s="1">
        <v>3</v>
      </c>
      <c r="F579" s="1">
        <v>87</v>
      </c>
      <c r="G579" s="1">
        <v>90</v>
      </c>
      <c r="H579" s="17" cm="1">
        <f t="array" ref="H579">_xlfn.LET(_xlpm.s,IFERROR(--F579,""),_xlpm.e,IFERROR(--G579,""),IF(OR(_xlpm.s="",_xlpm.e="",_xlpm.e&lt;_xlpm.s),"",_xlfn.LET(_xlpm.p,_xlfn.SEQUENCE(_xlpm.e-_xlpm.s+1,1,_xlpm.s,1),SUM(1/COUNTIFS($D:$D,D579,$E:$E,E579,$F:$F,"&lt;&gt;N/A",$G:$G,"&lt;&gt;N/A",$F:$F,"&lt;="&amp;_xlpm.p,$G:$G,"&gt;="&amp;_xlpm.p)))))</f>
        <v>3.5</v>
      </c>
      <c r="I579" t="s">
        <v>5436</v>
      </c>
      <c r="J579" t="s">
        <v>1851</v>
      </c>
      <c r="K579" t="s">
        <v>2439</v>
      </c>
      <c r="L579" s="5" t="s">
        <v>7</v>
      </c>
      <c r="M579" s="5" t="s">
        <v>7</v>
      </c>
      <c r="N579" t="s">
        <v>7</v>
      </c>
      <c r="O579" s="5" t="s">
        <v>778</v>
      </c>
      <c r="P579" s="5" t="s">
        <v>7834</v>
      </c>
      <c r="R579" t="b">
        <v>1</v>
      </c>
    </row>
    <row r="580" spans="1:18">
      <c r="A580" t="s">
        <v>3018</v>
      </c>
      <c r="B580" t="s">
        <v>6122</v>
      </c>
      <c r="C580" t="s">
        <v>7762</v>
      </c>
      <c r="D580" s="1">
        <v>6</v>
      </c>
      <c r="E580" s="1">
        <v>3</v>
      </c>
      <c r="F580" s="1">
        <v>91</v>
      </c>
      <c r="G580" s="1">
        <v>101</v>
      </c>
      <c r="H580" s="17" cm="1">
        <f t="array" ref="H580">_xlfn.LET(_xlpm.s,IFERROR(--F580,""),_xlpm.e,IFERROR(--G580,""),IF(OR(_xlpm.s="",_xlpm.e="",_xlpm.e&lt;_xlpm.s),"",_xlfn.LET(_xlpm.p,_xlfn.SEQUENCE(_xlpm.e-_xlpm.s+1,1,_xlpm.s,1),SUM(1/COUNTIFS($D:$D,D580,$E:$E,E580,$F:$F,"&lt;&gt;N/A",$G:$G,"&lt;&gt;N/A",$F:$F,"&lt;="&amp;_xlpm.p,$G:$G,"&gt;="&amp;_xlpm.p)))))</f>
        <v>11</v>
      </c>
      <c r="I580" t="s">
        <v>2573</v>
      </c>
      <c r="J580" t="s">
        <v>2478</v>
      </c>
      <c r="K580" t="s">
        <v>7</v>
      </c>
      <c r="L580" s="5" t="s">
        <v>4636</v>
      </c>
      <c r="M580" s="5" t="s">
        <v>5225</v>
      </c>
      <c r="N580" t="s">
        <v>5228</v>
      </c>
      <c r="O580" s="5" t="s">
        <v>5072</v>
      </c>
      <c r="P580" s="5" t="s">
        <v>8021</v>
      </c>
      <c r="R580" t="b">
        <v>1</v>
      </c>
    </row>
    <row r="581" spans="1:18">
      <c r="A581" t="s">
        <v>3018</v>
      </c>
      <c r="B581" t="s">
        <v>6803</v>
      </c>
      <c r="C581" t="s">
        <v>7762</v>
      </c>
      <c r="D581" s="1">
        <v>6</v>
      </c>
      <c r="E581" s="1">
        <v>3</v>
      </c>
      <c r="F581" s="1">
        <v>102</v>
      </c>
      <c r="G581" s="1">
        <v>111</v>
      </c>
      <c r="H581" s="17" cm="1">
        <f t="array" ref="H581">_xlfn.LET(_xlpm.s,IFERROR(--F581,""),_xlpm.e,IFERROR(--G581,""),IF(OR(_xlpm.s="",_xlpm.e="",_xlpm.e&lt;_xlpm.s),"",_xlfn.LET(_xlpm.p,_xlfn.SEQUENCE(_xlpm.e-_xlpm.s+1,1,_xlpm.s,1),SUM(1/COUNTIFS($D:$D,D581,$E:$E,E581,$F:$F,"&lt;&gt;N/A",$G:$G,"&lt;&gt;N/A",$F:$F,"&lt;="&amp;_xlpm.p,$G:$G,"&gt;="&amp;_xlpm.p)))))</f>
        <v>10</v>
      </c>
      <c r="I581" t="s">
        <v>170</v>
      </c>
      <c r="J581" t="s">
        <v>6352</v>
      </c>
      <c r="K581" t="s">
        <v>7</v>
      </c>
      <c r="L581" s="5" t="s">
        <v>4651</v>
      </c>
      <c r="M581" s="5" t="s">
        <v>7</v>
      </c>
      <c r="N581" t="s">
        <v>7</v>
      </c>
      <c r="O581" s="5" t="s">
        <v>5072</v>
      </c>
      <c r="P581" s="5" t="s">
        <v>8021</v>
      </c>
      <c r="R581" t="b">
        <v>1</v>
      </c>
    </row>
    <row r="582" spans="1:18">
      <c r="A582" t="s">
        <v>3018</v>
      </c>
      <c r="B582" t="s">
        <v>6804</v>
      </c>
      <c r="C582" t="s">
        <v>7762</v>
      </c>
      <c r="D582" s="1">
        <v>6</v>
      </c>
      <c r="E582" s="1">
        <v>3</v>
      </c>
      <c r="F582" s="1">
        <v>112</v>
      </c>
      <c r="G582" s="1">
        <v>120</v>
      </c>
      <c r="H582" s="17" cm="1">
        <f t="array" ref="H582">_xlfn.LET(_xlpm.s,IFERROR(--F582,""),_xlpm.e,IFERROR(--G582,""),IF(OR(_xlpm.s="",_xlpm.e="",_xlpm.e&lt;_xlpm.s),"",_xlfn.LET(_xlpm.p,_xlfn.SEQUENCE(_xlpm.e-_xlpm.s+1,1,_xlpm.s,1),SUM(1/COUNTIFS($D:$D,D582,$E:$E,E582,$F:$F,"&lt;&gt;N/A",$G:$G,"&lt;&gt;N/A",$F:$F,"&lt;="&amp;_xlpm.p,$G:$G,"&gt;="&amp;_xlpm.p)))))</f>
        <v>9</v>
      </c>
      <c r="I582" t="s">
        <v>7</v>
      </c>
      <c r="J582" t="s">
        <v>4366</v>
      </c>
      <c r="K582" t="s">
        <v>2477</v>
      </c>
      <c r="L582" s="5" t="s">
        <v>4598</v>
      </c>
      <c r="M582" s="5" t="s">
        <v>5223</v>
      </c>
      <c r="N582" t="s">
        <v>10142</v>
      </c>
      <c r="O582" s="5" t="s">
        <v>10264</v>
      </c>
      <c r="P582" s="5" t="s">
        <v>8021</v>
      </c>
      <c r="R582" t="b">
        <v>1</v>
      </c>
    </row>
    <row r="583" spans="1:18">
      <c r="A583" t="s">
        <v>3018</v>
      </c>
      <c r="B583" t="s">
        <v>6123</v>
      </c>
      <c r="C583" t="s">
        <v>7770</v>
      </c>
      <c r="D583" s="1">
        <v>6</v>
      </c>
      <c r="E583" s="1">
        <v>4</v>
      </c>
      <c r="F583" s="1">
        <v>121</v>
      </c>
      <c r="G583" s="1">
        <v>124</v>
      </c>
      <c r="H583" s="17" cm="1">
        <f t="array" ref="H583">_xlfn.LET(_xlpm.s,IFERROR(--F583,""),_xlpm.e,IFERROR(--G583,""),IF(OR(_xlpm.s="",_xlpm.e="",_xlpm.e&lt;_xlpm.s),"",_xlfn.LET(_xlpm.p,_xlfn.SEQUENCE(_xlpm.e-_xlpm.s+1,1,_xlpm.s,1),SUM(1/COUNTIFS($D:$D,D583,$E:$E,E583,$F:$F,"&lt;&gt;N/A",$G:$G,"&lt;&gt;N/A",$F:$F,"&lt;="&amp;_xlpm.p,$G:$G,"&gt;="&amp;_xlpm.p)))))</f>
        <v>3.5</v>
      </c>
      <c r="I583" t="s">
        <v>5436</v>
      </c>
      <c r="J583" t="s">
        <v>5486</v>
      </c>
      <c r="K583" t="s">
        <v>7</v>
      </c>
      <c r="L583" s="5" t="s">
        <v>7</v>
      </c>
      <c r="M583" s="5" t="s">
        <v>7</v>
      </c>
      <c r="N583" t="s">
        <v>7</v>
      </c>
      <c r="O583" s="5" t="s">
        <v>778</v>
      </c>
      <c r="P583" s="5" t="s">
        <v>7834</v>
      </c>
      <c r="R583" t="b">
        <v>0</v>
      </c>
    </row>
    <row r="584" spans="1:18">
      <c r="A584" t="s">
        <v>3018</v>
      </c>
      <c r="B584" t="s">
        <v>6124</v>
      </c>
      <c r="C584" t="s">
        <v>7770</v>
      </c>
      <c r="D584" s="1">
        <v>6</v>
      </c>
      <c r="E584" s="1">
        <v>4</v>
      </c>
      <c r="F584" s="1">
        <v>124</v>
      </c>
      <c r="G584" s="1">
        <v>125</v>
      </c>
      <c r="H584" s="17" cm="1">
        <f t="array" ref="H584">_xlfn.LET(_xlpm.s,IFERROR(--F584,""),_xlpm.e,IFERROR(--G584,""),IF(OR(_xlpm.s="",_xlpm.e="",_xlpm.e&lt;_xlpm.s),"",_xlfn.LET(_xlpm.p,_xlfn.SEQUENCE(_xlpm.e-_xlpm.s+1,1,_xlpm.s,1),SUM(1/COUNTIFS($D:$D,D584,$E:$E,E584,$F:$F,"&lt;&gt;N/A",$G:$G,"&lt;&gt;N/A",$F:$F,"&lt;="&amp;_xlpm.p,$G:$G,"&gt;="&amp;_xlpm.p)))))</f>
        <v>1</v>
      </c>
      <c r="I584" t="s">
        <v>5436</v>
      </c>
      <c r="J584" t="s">
        <v>5487</v>
      </c>
      <c r="K584" t="s">
        <v>7</v>
      </c>
      <c r="L584" s="5" t="s">
        <v>7</v>
      </c>
      <c r="M584" s="5" t="s">
        <v>7</v>
      </c>
      <c r="N584" t="s">
        <v>7</v>
      </c>
      <c r="O584" s="5" t="s">
        <v>778</v>
      </c>
      <c r="P584" s="5" t="s">
        <v>7834</v>
      </c>
      <c r="R584" t="b">
        <v>0</v>
      </c>
    </row>
    <row r="585" spans="1:18">
      <c r="A585" t="s">
        <v>3018</v>
      </c>
      <c r="B585" t="s">
        <v>6125</v>
      </c>
      <c r="C585" t="s">
        <v>7770</v>
      </c>
      <c r="D585" s="1">
        <v>6</v>
      </c>
      <c r="E585" s="1">
        <v>4</v>
      </c>
      <c r="F585" s="1">
        <v>125</v>
      </c>
      <c r="G585" s="1">
        <v>126</v>
      </c>
      <c r="H585" s="17" cm="1">
        <f t="array" ref="H585">_xlfn.LET(_xlpm.s,IFERROR(--F585,""),_xlpm.e,IFERROR(--G585,""),IF(OR(_xlpm.s="",_xlpm.e="",_xlpm.e&lt;_xlpm.s),"",_xlfn.LET(_xlpm.p,_xlfn.SEQUENCE(_xlpm.e-_xlpm.s+1,1,_xlpm.s,1),SUM(1/COUNTIFS($D:$D,D585,$E:$E,E585,$F:$F,"&lt;&gt;N/A",$G:$G,"&lt;&gt;N/A",$F:$F,"&lt;="&amp;_xlpm.p,$G:$G,"&gt;="&amp;_xlpm.p)))))</f>
        <v>1.5</v>
      </c>
      <c r="I585" t="s">
        <v>5436</v>
      </c>
      <c r="J585" t="s">
        <v>5488</v>
      </c>
      <c r="K585" t="s">
        <v>7</v>
      </c>
      <c r="L585" s="5" t="s">
        <v>7</v>
      </c>
      <c r="M585" s="5" t="s">
        <v>7</v>
      </c>
      <c r="N585" t="s">
        <v>7</v>
      </c>
      <c r="O585" s="5" t="s">
        <v>778</v>
      </c>
      <c r="P585" s="5" t="s">
        <v>7834</v>
      </c>
      <c r="R585" t="b">
        <v>0</v>
      </c>
    </row>
    <row r="586" spans="1:18">
      <c r="A586" t="s">
        <v>3018</v>
      </c>
      <c r="B586" t="s">
        <v>6126</v>
      </c>
      <c r="C586" t="s">
        <v>7770</v>
      </c>
      <c r="D586" s="1">
        <v>6</v>
      </c>
      <c r="E586" s="1">
        <v>4</v>
      </c>
      <c r="F586" s="1">
        <v>127</v>
      </c>
      <c r="G586" s="1">
        <v>148</v>
      </c>
      <c r="H586" s="17" cm="1">
        <f t="array" ref="H586">_xlfn.LET(_xlpm.s,IFERROR(--F586,""),_xlpm.e,IFERROR(--G586,""),IF(OR(_xlpm.s="",_xlpm.e="",_xlpm.e&lt;_xlpm.s),"",_xlfn.LET(_xlpm.p,_xlfn.SEQUENCE(_xlpm.e-_xlpm.s+1,1,_xlpm.s,1),SUM(1/COUNTIFS($D:$D,D586,$E:$E,E586,$F:$F,"&lt;&gt;N/A",$G:$G,"&lt;&gt;N/A",$F:$F,"&lt;="&amp;_xlpm.p,$G:$G,"&gt;="&amp;_xlpm.p)))))</f>
        <v>22</v>
      </c>
      <c r="I586" t="s">
        <v>2573</v>
      </c>
      <c r="J586" t="s">
        <v>1849</v>
      </c>
      <c r="K586" t="s">
        <v>7</v>
      </c>
      <c r="L586" s="5" t="s">
        <v>4636</v>
      </c>
      <c r="M586" s="5" t="s">
        <v>5225</v>
      </c>
      <c r="N586" t="s">
        <v>5229</v>
      </c>
      <c r="O586" s="5" t="s">
        <v>5072</v>
      </c>
      <c r="P586" s="5" t="s">
        <v>8021</v>
      </c>
      <c r="R586" t="b">
        <v>1</v>
      </c>
    </row>
    <row r="587" spans="1:18">
      <c r="A587" t="s">
        <v>3018</v>
      </c>
      <c r="B587" t="s">
        <v>6127</v>
      </c>
      <c r="C587" t="s">
        <v>7770</v>
      </c>
      <c r="D587" s="1">
        <v>6</v>
      </c>
      <c r="E587" s="1">
        <v>4</v>
      </c>
      <c r="F587" s="1">
        <v>149</v>
      </c>
      <c r="G587" s="1">
        <v>152</v>
      </c>
      <c r="H587" s="17" cm="1">
        <f t="array" ref="H587">_xlfn.LET(_xlpm.s,IFERROR(--F587,""),_xlpm.e,IFERROR(--G587,""),IF(OR(_xlpm.s="",_xlpm.e="",_xlpm.e&lt;_xlpm.s),"",_xlfn.LET(_xlpm.p,_xlfn.SEQUENCE(_xlpm.e-_xlpm.s+1,1,_xlpm.s,1),SUM(1/COUNTIFS($D:$D,D587,$E:$E,E587,$F:$F,"&lt;&gt;N/A",$G:$G,"&lt;&gt;N/A",$F:$F,"&lt;="&amp;_xlpm.p,$G:$G,"&gt;="&amp;_xlpm.p)))))</f>
        <v>4</v>
      </c>
      <c r="I587" t="s">
        <v>4368</v>
      </c>
      <c r="J587" t="s">
        <v>6498</v>
      </c>
      <c r="K587" t="s">
        <v>4652</v>
      </c>
      <c r="L587" s="5" t="s">
        <v>4640</v>
      </c>
      <c r="M587" t="s">
        <v>7</v>
      </c>
      <c r="N587" t="s">
        <v>7</v>
      </c>
      <c r="O587" s="5" t="s">
        <v>5072</v>
      </c>
      <c r="P587" s="5" t="s">
        <v>8021</v>
      </c>
      <c r="R587" t="b">
        <v>1</v>
      </c>
    </row>
    <row r="588" spans="1:18">
      <c r="A588" t="s">
        <v>3018</v>
      </c>
      <c r="B588" t="s">
        <v>6128</v>
      </c>
      <c r="C588" t="s">
        <v>7770</v>
      </c>
      <c r="D588" s="1">
        <v>6</v>
      </c>
      <c r="E588" s="1">
        <v>4</v>
      </c>
      <c r="F588" s="1">
        <v>153</v>
      </c>
      <c r="G588" s="1">
        <v>154</v>
      </c>
      <c r="H588" s="17" cm="1">
        <f t="array" ref="H588">_xlfn.LET(_xlpm.s,IFERROR(--F588,""),_xlpm.e,IFERROR(--G588,""),IF(OR(_xlpm.s="",_xlpm.e="",_xlpm.e&lt;_xlpm.s),"",_xlfn.LET(_xlpm.p,_xlfn.SEQUENCE(_xlpm.e-_xlpm.s+1,1,_xlpm.s,1),SUM(1/COUNTIFS($D:$D,D588,$E:$E,E588,$F:$F,"&lt;&gt;N/A",$G:$G,"&lt;&gt;N/A",$F:$F,"&lt;="&amp;_xlpm.p,$G:$G,"&gt;="&amp;_xlpm.p)))))</f>
        <v>1.5</v>
      </c>
      <c r="I588" t="s">
        <v>4368</v>
      </c>
      <c r="J588" t="s">
        <v>6358</v>
      </c>
      <c r="K588" t="s">
        <v>7</v>
      </c>
      <c r="L588" s="5" t="s">
        <v>4651</v>
      </c>
      <c r="M588" t="s">
        <v>5165</v>
      </c>
      <c r="N588" t="s">
        <v>6614</v>
      </c>
      <c r="O588" s="5" t="s">
        <v>5072</v>
      </c>
      <c r="P588" s="5" t="s">
        <v>8021</v>
      </c>
      <c r="R588" t="b">
        <v>1</v>
      </c>
    </row>
    <row r="589" spans="1:18">
      <c r="A589" t="s">
        <v>3018</v>
      </c>
      <c r="B589" t="s">
        <v>6805</v>
      </c>
      <c r="C589" t="s">
        <v>7770</v>
      </c>
      <c r="D589" s="1">
        <v>6</v>
      </c>
      <c r="E589" s="1">
        <v>4</v>
      </c>
      <c r="F589" s="1">
        <v>154</v>
      </c>
      <c r="G589" s="1">
        <v>154</v>
      </c>
      <c r="H589" s="17" cm="1">
        <f t="array" ref="H589">_xlfn.LET(_xlpm.s,IFERROR(--F589,""),_xlpm.e,IFERROR(--G589,""),IF(OR(_xlpm.s="",_xlpm.e="",_xlpm.e&lt;_xlpm.s),"",_xlfn.LET(_xlpm.p,_xlfn.SEQUENCE(_xlpm.e-_xlpm.s+1,1,_xlpm.s,1),SUM(1/COUNTIFS($D:$D,D589,$E:$E,E589,$F:$F,"&lt;&gt;N/A",$G:$G,"&lt;&gt;N/A",$F:$F,"&lt;="&amp;_xlpm.p,$G:$G,"&gt;="&amp;_xlpm.p)))))</f>
        <v>0.5</v>
      </c>
      <c r="I589" t="s">
        <v>4368</v>
      </c>
      <c r="J589" t="s">
        <v>4367</v>
      </c>
      <c r="K589" t="s">
        <v>7</v>
      </c>
      <c r="L589" s="5" t="s">
        <v>4651</v>
      </c>
      <c r="M589" t="s">
        <v>7</v>
      </c>
      <c r="N589" t="s">
        <v>7</v>
      </c>
      <c r="O589" s="5" t="s">
        <v>5072</v>
      </c>
      <c r="P589" s="5" t="s">
        <v>8021</v>
      </c>
      <c r="R589" t="b">
        <v>1</v>
      </c>
    </row>
    <row r="590" spans="1:18">
      <c r="A590" t="s">
        <v>3018</v>
      </c>
      <c r="B590" t="s">
        <v>6806</v>
      </c>
      <c r="C590" t="s">
        <v>7770</v>
      </c>
      <c r="D590" s="1">
        <v>6</v>
      </c>
      <c r="E590" s="1">
        <v>4</v>
      </c>
      <c r="F590" s="1">
        <v>155</v>
      </c>
      <c r="G590" s="1">
        <v>160</v>
      </c>
      <c r="H590" s="17" cm="1">
        <f t="array" ref="H590">_xlfn.LET(_xlpm.s,IFERROR(--F590,""),_xlpm.e,IFERROR(--G590,""),IF(OR(_xlpm.s="",_xlpm.e="",_xlpm.e&lt;_xlpm.s),"",_xlfn.LET(_xlpm.p,_xlfn.SEQUENCE(_xlpm.e-_xlpm.s+1,1,_xlpm.s,1),SUM(1/COUNTIFS($D:$D,D590,$E:$E,E590,$F:$F,"&lt;&gt;N/A",$G:$G,"&lt;&gt;N/A",$F:$F,"&lt;="&amp;_xlpm.p,$G:$G,"&gt;="&amp;_xlpm.p)))))</f>
        <v>6</v>
      </c>
      <c r="I590" t="s">
        <v>2573</v>
      </c>
      <c r="J590" t="s">
        <v>4366</v>
      </c>
      <c r="K590" t="s">
        <v>2477</v>
      </c>
      <c r="L590" s="5" t="s">
        <v>4598</v>
      </c>
      <c r="M590" s="5" t="s">
        <v>5223</v>
      </c>
      <c r="N590" t="s">
        <v>10143</v>
      </c>
      <c r="O590" s="5" t="s">
        <v>10264</v>
      </c>
      <c r="P590" s="5" t="s">
        <v>8021</v>
      </c>
      <c r="R590" t="b">
        <v>1</v>
      </c>
    </row>
    <row r="591" spans="1:18">
      <c r="A591" t="s">
        <v>3018</v>
      </c>
      <c r="B591" t="s">
        <v>6129</v>
      </c>
      <c r="C591" t="s">
        <v>7778</v>
      </c>
      <c r="D591" s="1">
        <v>6</v>
      </c>
      <c r="E591" s="1">
        <v>5</v>
      </c>
      <c r="F591" s="1">
        <v>161</v>
      </c>
      <c r="G591" s="1">
        <v>161</v>
      </c>
      <c r="H591" s="17" cm="1">
        <f t="array" ref="H591">_xlfn.LET(_xlpm.s,IFERROR(--F591,""),_xlpm.e,IFERROR(--G591,""),IF(OR(_xlpm.s="",_xlpm.e="",_xlpm.e&lt;_xlpm.s),"",_xlfn.LET(_xlpm.p,_xlfn.SEQUENCE(_xlpm.e-_xlpm.s+1,1,_xlpm.s,1),SUM(1/COUNTIFS($D:$D,D591,$E:$E,E591,$F:$F,"&lt;&gt;N/A",$G:$G,"&lt;&gt;N/A",$F:$F,"&lt;="&amp;_xlpm.p,$G:$G,"&gt;="&amp;_xlpm.p)))))</f>
        <v>1</v>
      </c>
      <c r="I591" t="s">
        <v>5436</v>
      </c>
      <c r="J591" t="s">
        <v>1852</v>
      </c>
      <c r="K591" t="s">
        <v>7</v>
      </c>
      <c r="L591" s="5" t="s">
        <v>7</v>
      </c>
      <c r="M591" t="s">
        <v>7</v>
      </c>
      <c r="N591" t="s">
        <v>7</v>
      </c>
      <c r="O591" s="5" t="s">
        <v>778</v>
      </c>
      <c r="P591" s="5" t="s">
        <v>7834</v>
      </c>
      <c r="R591" t="b">
        <v>1</v>
      </c>
    </row>
    <row r="592" spans="1:18">
      <c r="A592" t="s">
        <v>3018</v>
      </c>
      <c r="B592" t="s">
        <v>6130</v>
      </c>
      <c r="C592" t="s">
        <v>7778</v>
      </c>
      <c r="D592" s="1">
        <v>6</v>
      </c>
      <c r="E592" s="1">
        <v>5</v>
      </c>
      <c r="F592" s="1">
        <v>162</v>
      </c>
      <c r="G592" s="1">
        <v>168</v>
      </c>
      <c r="H592" s="17" cm="1">
        <f t="array" ref="H592">_xlfn.LET(_xlpm.s,IFERROR(--F592,""),_xlpm.e,IFERROR(--G592,""),IF(OR(_xlpm.s="",_xlpm.e="",_xlpm.e&lt;_xlpm.s),"",_xlfn.LET(_xlpm.p,_xlfn.SEQUENCE(_xlpm.e-_xlpm.s+1,1,_xlpm.s,1),SUM(1/COUNTIFS($D:$D,D592,$E:$E,E592,$F:$F,"&lt;&gt;N/A",$G:$G,"&lt;&gt;N/A",$F:$F,"&lt;="&amp;_xlpm.p,$G:$G,"&gt;="&amp;_xlpm.p)))))</f>
        <v>7</v>
      </c>
      <c r="I592" t="s">
        <v>2573</v>
      </c>
      <c r="J592" t="s">
        <v>2620</v>
      </c>
      <c r="K592" t="s">
        <v>7</v>
      </c>
      <c r="L592" s="5" t="s">
        <v>4586</v>
      </c>
      <c r="M592" t="s">
        <v>5235</v>
      </c>
      <c r="N592" t="s">
        <v>6613</v>
      </c>
      <c r="O592" s="5" t="s">
        <v>5072</v>
      </c>
      <c r="P592" s="5" t="s">
        <v>8021</v>
      </c>
      <c r="Q592" s="5" t="s">
        <v>2509</v>
      </c>
      <c r="R592" t="b">
        <v>1</v>
      </c>
    </row>
    <row r="593" spans="1:18">
      <c r="A593" t="s">
        <v>3018</v>
      </c>
      <c r="B593" t="s">
        <v>6131</v>
      </c>
      <c r="C593" t="s">
        <v>7778</v>
      </c>
      <c r="D593" s="1">
        <v>6</v>
      </c>
      <c r="E593" s="1">
        <v>5</v>
      </c>
      <c r="F593" s="1">
        <v>169</v>
      </c>
      <c r="G593" s="1">
        <v>173</v>
      </c>
      <c r="H593" s="17" cm="1">
        <f t="array" ref="H593">_xlfn.LET(_xlpm.s,IFERROR(--F593,""),_xlpm.e,IFERROR(--G593,""),IF(OR(_xlpm.s="",_xlpm.e="",_xlpm.e&lt;_xlpm.s),"",_xlfn.LET(_xlpm.p,_xlfn.SEQUENCE(_xlpm.e-_xlpm.s+1,1,_xlpm.s,1),SUM(1/COUNTIFS($D:$D,D593,$E:$E,E593,$F:$F,"&lt;&gt;N/A",$G:$G,"&lt;&gt;N/A",$F:$F,"&lt;="&amp;_xlpm.p,$G:$G,"&gt;="&amp;_xlpm.p)))))</f>
        <v>5</v>
      </c>
      <c r="I593" t="s">
        <v>2573</v>
      </c>
      <c r="J593" t="s">
        <v>5226</v>
      </c>
      <c r="K593" t="s">
        <v>7</v>
      </c>
      <c r="L593" s="5" t="s">
        <v>4650</v>
      </c>
      <c r="M593" t="s">
        <v>7</v>
      </c>
      <c r="N593" t="s">
        <v>7</v>
      </c>
      <c r="O593" s="5" t="s">
        <v>5072</v>
      </c>
      <c r="P593" s="5" t="s">
        <v>8021</v>
      </c>
      <c r="Q593" s="5" t="s">
        <v>2509</v>
      </c>
      <c r="R593" t="b">
        <v>1</v>
      </c>
    </row>
    <row r="594" spans="1:18">
      <c r="A594" t="s">
        <v>3018</v>
      </c>
      <c r="B594" t="s">
        <v>6132</v>
      </c>
      <c r="C594" t="s">
        <v>7778</v>
      </c>
      <c r="D594" s="1">
        <v>6</v>
      </c>
      <c r="E594" s="1">
        <v>5</v>
      </c>
      <c r="F594" s="1">
        <v>174</v>
      </c>
      <c r="G594" s="1">
        <v>185</v>
      </c>
      <c r="H594" s="17" cm="1">
        <f t="array" ref="H594">_xlfn.LET(_xlpm.s,IFERROR(--F594,""),_xlpm.e,IFERROR(--G594,""),IF(OR(_xlpm.s="",_xlpm.e="",_xlpm.e&lt;_xlpm.s),"",_xlfn.LET(_xlpm.p,_xlfn.SEQUENCE(_xlpm.e-_xlpm.s+1,1,_xlpm.s,1),SUM(1/COUNTIFS($D:$D,D594,$E:$E,E594,$F:$F,"&lt;&gt;N/A",$G:$G,"&lt;&gt;N/A",$F:$F,"&lt;="&amp;_xlpm.p,$G:$G,"&gt;="&amp;_xlpm.p)))))</f>
        <v>12</v>
      </c>
      <c r="I594" t="s">
        <v>2581</v>
      </c>
      <c r="J594" t="s">
        <v>2621</v>
      </c>
      <c r="K594" t="s">
        <v>7</v>
      </c>
      <c r="L594" s="5" t="s">
        <v>5532</v>
      </c>
      <c r="M594" t="s">
        <v>5137</v>
      </c>
      <c r="N594" t="s">
        <v>6612</v>
      </c>
      <c r="O594" s="5" t="s">
        <v>5072</v>
      </c>
      <c r="P594" s="5" t="s">
        <v>8021</v>
      </c>
      <c r="Q594" s="5" t="s">
        <v>2509</v>
      </c>
      <c r="R594" t="b">
        <v>1</v>
      </c>
    </row>
    <row r="595" spans="1:18">
      <c r="A595" t="s">
        <v>3018</v>
      </c>
      <c r="B595" t="s">
        <v>6133</v>
      </c>
      <c r="C595" t="s">
        <v>7778</v>
      </c>
      <c r="D595" s="1">
        <v>6</v>
      </c>
      <c r="E595" s="1">
        <v>5</v>
      </c>
      <c r="F595" s="1">
        <v>186</v>
      </c>
      <c r="G595" s="1">
        <v>187</v>
      </c>
      <c r="H595" s="17" cm="1">
        <f t="array" ref="H595">_xlfn.LET(_xlpm.s,IFERROR(--F595,""),_xlpm.e,IFERROR(--G595,""),IF(OR(_xlpm.s="",_xlpm.e="",_xlpm.e&lt;_xlpm.s),"",_xlfn.LET(_xlpm.p,_xlfn.SEQUENCE(_xlpm.e-_xlpm.s+1,1,_xlpm.s,1),SUM(1/COUNTIFS($D:$D,D595,$E:$E,E595,$F:$F,"&lt;&gt;N/A",$G:$G,"&lt;&gt;N/A",$F:$F,"&lt;="&amp;_xlpm.p,$G:$G,"&gt;="&amp;_xlpm.p)))))</f>
        <v>2</v>
      </c>
      <c r="I595" t="s">
        <v>2581</v>
      </c>
      <c r="J595" t="s">
        <v>1853</v>
      </c>
      <c r="K595" t="s">
        <v>7</v>
      </c>
      <c r="L595" s="5" t="s">
        <v>7</v>
      </c>
      <c r="M595" s="5" t="s">
        <v>5165</v>
      </c>
      <c r="N595" t="s">
        <v>6611</v>
      </c>
      <c r="O595" s="5" t="s">
        <v>5072</v>
      </c>
      <c r="P595" s="5" t="s">
        <v>8021</v>
      </c>
      <c r="R595" t="b">
        <v>1</v>
      </c>
    </row>
    <row r="596" spans="1:18">
      <c r="A596" t="s">
        <v>3018</v>
      </c>
      <c r="B596" t="s">
        <v>6807</v>
      </c>
      <c r="C596" t="s">
        <v>7778</v>
      </c>
      <c r="D596" s="1">
        <v>6</v>
      </c>
      <c r="E596" s="1">
        <v>5</v>
      </c>
      <c r="F596" s="1">
        <v>188</v>
      </c>
      <c r="G596" s="1">
        <v>195</v>
      </c>
      <c r="H596" s="17" cm="1">
        <f t="array" ref="H596">_xlfn.LET(_xlpm.s,IFERROR(--F596,""),_xlpm.e,IFERROR(--G596,""),IF(OR(_xlpm.s="",_xlpm.e="",_xlpm.e&lt;_xlpm.s),"",_xlfn.LET(_xlpm.p,_xlfn.SEQUENCE(_xlpm.e-_xlpm.s+1,1,_xlpm.s,1),SUM(1/COUNTIFS($D:$D,D596,$E:$E,E596,$F:$F,"&lt;&gt;N/A",$G:$G,"&lt;&gt;N/A",$F:$F,"&lt;="&amp;_xlpm.p,$G:$G,"&gt;="&amp;_xlpm.p)))))</f>
        <v>8</v>
      </c>
      <c r="I596" t="s">
        <v>2581</v>
      </c>
      <c r="J596" t="s">
        <v>3213</v>
      </c>
      <c r="K596" t="s">
        <v>7</v>
      </c>
      <c r="L596" s="5" t="s">
        <v>6344</v>
      </c>
      <c r="M596" t="s">
        <v>5165</v>
      </c>
      <c r="N596" t="s">
        <v>6610</v>
      </c>
      <c r="O596" s="5" t="s">
        <v>5072</v>
      </c>
      <c r="P596" s="5" t="s">
        <v>8021</v>
      </c>
      <c r="Q596" s="5" t="s">
        <v>2509</v>
      </c>
      <c r="R596" t="b">
        <v>1</v>
      </c>
    </row>
    <row r="597" spans="1:18">
      <c r="A597" t="s">
        <v>3018</v>
      </c>
      <c r="B597" t="s">
        <v>6808</v>
      </c>
      <c r="C597" t="s">
        <v>7778</v>
      </c>
      <c r="D597" s="1">
        <v>6</v>
      </c>
      <c r="E597" s="1">
        <v>5</v>
      </c>
      <c r="F597" s="1">
        <v>196</v>
      </c>
      <c r="G597" s="1">
        <v>200</v>
      </c>
      <c r="H597" s="17" cm="1">
        <f t="array" ref="H597">_xlfn.LET(_xlpm.s,IFERROR(--F597,""),_xlpm.e,IFERROR(--G597,""),IF(OR(_xlpm.s="",_xlpm.e="",_xlpm.e&lt;_xlpm.s),"",_xlfn.LET(_xlpm.p,_xlfn.SEQUENCE(_xlpm.e-_xlpm.s+1,1,_xlpm.s,1),SUM(1/COUNTIFS($D:$D,D597,$E:$E,E597,$F:$F,"&lt;&gt;N/A",$G:$G,"&lt;&gt;N/A",$F:$F,"&lt;="&amp;_xlpm.p,$G:$G,"&gt;="&amp;_xlpm.p)))))</f>
        <v>5</v>
      </c>
      <c r="I597" t="s">
        <v>2581</v>
      </c>
      <c r="J597" t="s">
        <v>4366</v>
      </c>
      <c r="K597" t="s">
        <v>2477</v>
      </c>
      <c r="L597" s="5" t="s">
        <v>4598</v>
      </c>
      <c r="M597" s="5" t="s">
        <v>5223</v>
      </c>
      <c r="N597" t="s">
        <v>10139</v>
      </c>
      <c r="O597" s="5" t="s">
        <v>10264</v>
      </c>
      <c r="P597" s="5" t="s">
        <v>8021</v>
      </c>
      <c r="R597" t="b">
        <v>1</v>
      </c>
    </row>
    <row r="598" spans="1:18">
      <c r="A598" t="s">
        <v>3018</v>
      </c>
      <c r="B598" t="s">
        <v>6134</v>
      </c>
      <c r="C598" t="s">
        <v>7786</v>
      </c>
      <c r="D598" s="1">
        <v>6</v>
      </c>
      <c r="E598" s="1">
        <v>6</v>
      </c>
      <c r="F598" s="1">
        <v>201</v>
      </c>
      <c r="G598" s="1">
        <v>201</v>
      </c>
      <c r="H598" s="17" cm="1">
        <f t="array" ref="H598">_xlfn.LET(_xlpm.s,IFERROR(--F598,""),_xlpm.e,IFERROR(--G598,""),IF(OR(_xlpm.s="",_xlpm.e="",_xlpm.e&lt;_xlpm.s),"",_xlfn.LET(_xlpm.p,_xlfn.SEQUENCE(_xlpm.e-_xlpm.s+1,1,_xlpm.s,1),SUM(1/COUNTIFS($D:$D,D598,$E:$E,E598,$F:$F,"&lt;&gt;N/A",$G:$G,"&lt;&gt;N/A",$F:$F,"&lt;="&amp;_xlpm.p,$G:$G,"&gt;="&amp;_xlpm.p)))))</f>
        <v>0.5</v>
      </c>
      <c r="I598" t="s">
        <v>5436</v>
      </c>
      <c r="J598" t="s">
        <v>5490</v>
      </c>
      <c r="K598" t="s">
        <v>7</v>
      </c>
      <c r="L598" s="5" t="s">
        <v>7</v>
      </c>
      <c r="M598" s="5" t="s">
        <v>7</v>
      </c>
      <c r="N598" t="s">
        <v>7</v>
      </c>
      <c r="O598" s="5" t="s">
        <v>778</v>
      </c>
      <c r="P598" s="5" t="s">
        <v>7834</v>
      </c>
      <c r="R598" t="b">
        <v>0</v>
      </c>
    </row>
    <row r="599" spans="1:18">
      <c r="A599" t="s">
        <v>3018</v>
      </c>
      <c r="B599" t="s">
        <v>6135</v>
      </c>
      <c r="C599" t="s">
        <v>7786</v>
      </c>
      <c r="D599" s="1">
        <v>6</v>
      </c>
      <c r="E599" s="1">
        <v>6</v>
      </c>
      <c r="F599" s="1">
        <v>201</v>
      </c>
      <c r="G599" s="1">
        <v>203</v>
      </c>
      <c r="H599" s="17" cm="1">
        <f t="array" ref="H599">_xlfn.LET(_xlpm.s,IFERROR(--F599,""),_xlpm.e,IFERROR(--G599,""),IF(OR(_xlpm.s="",_xlpm.e="",_xlpm.e&lt;_xlpm.s),"",_xlfn.LET(_xlpm.p,_xlfn.SEQUENCE(_xlpm.e-_xlpm.s+1,1,_xlpm.s,1),SUM(1/COUNTIFS($D:$D,D599,$E:$E,E599,$F:$F,"&lt;&gt;N/A",$G:$G,"&lt;&gt;N/A",$F:$F,"&lt;="&amp;_xlpm.p,$G:$G,"&gt;="&amp;_xlpm.p)))))</f>
        <v>2</v>
      </c>
      <c r="I599" t="s">
        <v>5436</v>
      </c>
      <c r="J599" t="s">
        <v>5489</v>
      </c>
      <c r="K599" t="s">
        <v>7</v>
      </c>
      <c r="L599" s="5" t="s">
        <v>7</v>
      </c>
      <c r="M599" s="5" t="s">
        <v>7</v>
      </c>
      <c r="N599" t="s">
        <v>7</v>
      </c>
      <c r="O599" s="5" t="s">
        <v>778</v>
      </c>
      <c r="P599" s="5" t="s">
        <v>7834</v>
      </c>
      <c r="R599" t="b">
        <v>0</v>
      </c>
    </row>
    <row r="600" spans="1:18">
      <c r="A600" t="s">
        <v>3018</v>
      </c>
      <c r="B600" t="s">
        <v>6136</v>
      </c>
      <c r="C600" t="s">
        <v>7786</v>
      </c>
      <c r="D600" s="1">
        <v>6</v>
      </c>
      <c r="E600" s="1">
        <v>6</v>
      </c>
      <c r="F600" s="1">
        <v>203</v>
      </c>
      <c r="G600" s="1">
        <v>206</v>
      </c>
      <c r="H600" s="17" cm="1">
        <f t="array" ref="H600">_xlfn.LET(_xlpm.s,IFERROR(--F600,""),_xlpm.e,IFERROR(--G600,""),IF(OR(_xlpm.s="",_xlpm.e="",_xlpm.e&lt;_xlpm.s),"",_xlfn.LET(_xlpm.p,_xlfn.SEQUENCE(_xlpm.e-_xlpm.s+1,1,_xlpm.s,1),SUM(1/COUNTIFS($D:$D,D600,$E:$E,E600,$F:$F,"&lt;&gt;N/A",$G:$G,"&lt;&gt;N/A",$F:$F,"&lt;="&amp;_xlpm.p,$G:$G,"&gt;="&amp;_xlpm.p)))))</f>
        <v>3.5</v>
      </c>
      <c r="I600" t="s">
        <v>5436</v>
      </c>
      <c r="J600" t="s">
        <v>4369</v>
      </c>
      <c r="K600" t="s">
        <v>7</v>
      </c>
      <c r="L600" s="5" t="s">
        <v>7</v>
      </c>
      <c r="M600" s="5" t="s">
        <v>7</v>
      </c>
      <c r="N600" t="s">
        <v>7</v>
      </c>
      <c r="O600" s="5" t="s">
        <v>778</v>
      </c>
      <c r="P600" s="5" t="s">
        <v>7834</v>
      </c>
      <c r="R600" t="b">
        <v>1</v>
      </c>
    </row>
    <row r="601" spans="1:18">
      <c r="A601" t="s">
        <v>3018</v>
      </c>
      <c r="B601" t="s">
        <v>6137</v>
      </c>
      <c r="C601" t="s">
        <v>7786</v>
      </c>
      <c r="D601" s="1">
        <v>6</v>
      </c>
      <c r="E601" s="1">
        <v>6</v>
      </c>
      <c r="F601" s="1">
        <v>207</v>
      </c>
      <c r="G601" s="1">
        <v>220</v>
      </c>
      <c r="H601" s="17" cm="1">
        <f t="array" ref="H601">_xlfn.LET(_xlpm.s,IFERROR(--F601,""),_xlpm.e,IFERROR(--G601,""),IF(OR(_xlpm.s="",_xlpm.e="",_xlpm.e&lt;_xlpm.s),"",_xlfn.LET(_xlpm.p,_xlfn.SEQUENCE(_xlpm.e-_xlpm.s+1,1,_xlpm.s,1),SUM(1/COUNTIFS($D:$D,D601,$E:$E,E601,$F:$F,"&lt;&gt;N/A",$G:$G,"&lt;&gt;N/A",$F:$F,"&lt;="&amp;_xlpm.p,$G:$G,"&gt;="&amp;_xlpm.p)))))</f>
        <v>14</v>
      </c>
      <c r="I601" t="s">
        <v>2573</v>
      </c>
      <c r="J601" t="s">
        <v>6331</v>
      </c>
      <c r="K601" t="s">
        <v>7</v>
      </c>
      <c r="L601" s="5" t="s">
        <v>7</v>
      </c>
      <c r="M601" s="5" t="s">
        <v>5225</v>
      </c>
      <c r="N601" t="s">
        <v>8073</v>
      </c>
      <c r="O601" s="5" t="s">
        <v>5072</v>
      </c>
      <c r="P601" s="5" t="s">
        <v>8021</v>
      </c>
      <c r="R601" t="b">
        <v>1</v>
      </c>
    </row>
    <row r="602" spans="1:18">
      <c r="A602" t="s">
        <v>3018</v>
      </c>
      <c r="B602" t="s">
        <v>6809</v>
      </c>
      <c r="C602" t="s">
        <v>7786</v>
      </c>
      <c r="D602" s="1">
        <v>6</v>
      </c>
      <c r="E602" s="1">
        <v>6</v>
      </c>
      <c r="F602" s="1">
        <v>221</v>
      </c>
      <c r="G602" s="1">
        <v>224</v>
      </c>
      <c r="H602" s="17" cm="1">
        <f t="array" ref="H602">_xlfn.LET(_xlpm.s,IFERROR(--F602,""),_xlpm.e,IFERROR(--G602,""),IF(OR(_xlpm.s="",_xlpm.e="",_xlpm.e&lt;_xlpm.s),"",_xlfn.LET(_xlpm.p,_xlfn.SEQUENCE(_xlpm.e-_xlpm.s+1,1,_xlpm.s,1),SUM(1/COUNTIFS($D:$D,D602,$E:$E,E602,$F:$F,"&lt;&gt;N/A",$G:$G,"&lt;&gt;N/A",$F:$F,"&lt;="&amp;_xlpm.p,$G:$G,"&gt;="&amp;_xlpm.p)))))</f>
        <v>4</v>
      </c>
      <c r="I602" t="s">
        <v>8</v>
      </c>
      <c r="J602" t="s">
        <v>2619</v>
      </c>
      <c r="K602" t="s">
        <v>7</v>
      </c>
      <c r="L602" s="5" t="s">
        <v>6335</v>
      </c>
      <c r="M602" t="s">
        <v>5165</v>
      </c>
      <c r="N602" t="s">
        <v>6609</v>
      </c>
      <c r="O602" s="5" t="s">
        <v>5072</v>
      </c>
      <c r="P602" s="5" t="s">
        <v>8021</v>
      </c>
      <c r="Q602" s="5" t="s">
        <v>2509</v>
      </c>
      <c r="R602" t="b">
        <v>1</v>
      </c>
    </row>
    <row r="603" spans="1:18">
      <c r="A603" t="s">
        <v>3018</v>
      </c>
      <c r="B603" t="s">
        <v>6810</v>
      </c>
      <c r="C603" t="s">
        <v>7786</v>
      </c>
      <c r="D603" s="1">
        <v>6</v>
      </c>
      <c r="E603" s="1">
        <v>6</v>
      </c>
      <c r="F603" s="1">
        <v>225</v>
      </c>
      <c r="G603" s="1">
        <v>238</v>
      </c>
      <c r="H603" s="17" cm="1">
        <f t="array" ref="H603">_xlfn.LET(_xlpm.s,IFERROR(--F603,""),_xlpm.e,IFERROR(--G603,""),IF(OR(_xlpm.s="",_xlpm.e="",_xlpm.e&lt;_xlpm.s),"",_xlfn.LET(_xlpm.p,_xlfn.SEQUENCE(_xlpm.e-_xlpm.s+1,1,_xlpm.s,1),SUM(1/COUNTIFS($D:$D,D603,$E:$E,E603,$F:$F,"&lt;&gt;N/A",$G:$G,"&lt;&gt;N/A",$F:$F,"&lt;="&amp;_xlpm.p,$G:$G,"&gt;="&amp;_xlpm.p)))))</f>
        <v>14</v>
      </c>
      <c r="I603" t="s">
        <v>8</v>
      </c>
      <c r="J603" t="s">
        <v>4366</v>
      </c>
      <c r="K603" t="s">
        <v>2477</v>
      </c>
      <c r="L603" s="5" t="s">
        <v>4598</v>
      </c>
      <c r="M603" s="5" t="s">
        <v>5223</v>
      </c>
      <c r="N603" t="s">
        <v>10138</v>
      </c>
      <c r="O603" s="5" t="s">
        <v>10264</v>
      </c>
      <c r="P603" s="5" t="s">
        <v>8021</v>
      </c>
      <c r="R603" t="b">
        <v>1</v>
      </c>
    </row>
    <row r="604" spans="1:18">
      <c r="A604" t="s">
        <v>3018</v>
      </c>
      <c r="B604" t="s">
        <v>6138</v>
      </c>
      <c r="C604" t="s">
        <v>7794</v>
      </c>
      <c r="D604" s="1">
        <v>6</v>
      </c>
      <c r="E604" s="1">
        <v>7</v>
      </c>
      <c r="F604" s="1">
        <v>241</v>
      </c>
      <c r="G604" s="1">
        <v>241</v>
      </c>
      <c r="H604" s="17" cm="1">
        <f t="array" ref="H604">_xlfn.LET(_xlpm.s,IFERROR(--F604,""),_xlpm.e,IFERROR(--G604,""),IF(OR(_xlpm.s="",_xlpm.e="",_xlpm.e&lt;_xlpm.s),"",_xlfn.LET(_xlpm.p,_xlfn.SEQUENCE(_xlpm.e-_xlpm.s+1,1,_xlpm.s,1),SUM(1/COUNTIFS($D:$D,D604,$E:$E,E604,$F:$F,"&lt;&gt;N/A",$G:$G,"&lt;&gt;N/A",$F:$F,"&lt;="&amp;_xlpm.p,$G:$G,"&gt;="&amp;_xlpm.p)))))</f>
        <v>1</v>
      </c>
      <c r="I604" t="s">
        <v>5436</v>
      </c>
      <c r="J604" t="s">
        <v>5491</v>
      </c>
      <c r="K604" t="s">
        <v>7</v>
      </c>
      <c r="L604" s="5" t="s">
        <v>7</v>
      </c>
      <c r="M604" s="5" t="s">
        <v>7</v>
      </c>
      <c r="N604" t="s">
        <v>7</v>
      </c>
      <c r="O604" s="5" t="s">
        <v>778</v>
      </c>
      <c r="P604" s="5" t="s">
        <v>7834</v>
      </c>
      <c r="R604" t="b">
        <v>0</v>
      </c>
    </row>
    <row r="605" spans="1:18">
      <c r="A605" t="s">
        <v>3018</v>
      </c>
      <c r="B605" t="s">
        <v>6139</v>
      </c>
      <c r="C605" t="s">
        <v>7794</v>
      </c>
      <c r="D605" s="1">
        <v>6</v>
      </c>
      <c r="E605" s="1">
        <v>7</v>
      </c>
      <c r="F605" s="1">
        <v>242</v>
      </c>
      <c r="G605" s="1">
        <v>242</v>
      </c>
      <c r="H605" s="17" cm="1">
        <f t="array" ref="H605">_xlfn.LET(_xlpm.s,IFERROR(--F605,""),_xlpm.e,IFERROR(--G605,""),IF(OR(_xlpm.s="",_xlpm.e="",_xlpm.e&lt;_xlpm.s),"",_xlfn.LET(_xlpm.p,_xlfn.SEQUENCE(_xlpm.e-_xlpm.s+1,1,_xlpm.s,1),SUM(1/COUNTIFS($D:$D,D605,$E:$E,E605,$F:$F,"&lt;&gt;N/A",$G:$G,"&lt;&gt;N/A",$F:$F,"&lt;="&amp;_xlpm.p,$G:$G,"&gt;="&amp;_xlpm.p)))))</f>
        <v>1</v>
      </c>
      <c r="I605" t="s">
        <v>5436</v>
      </c>
      <c r="J605" t="s">
        <v>5492</v>
      </c>
      <c r="K605" t="s">
        <v>7</v>
      </c>
      <c r="L605" s="5" t="s">
        <v>7</v>
      </c>
      <c r="M605" s="5" t="s">
        <v>7</v>
      </c>
      <c r="N605" t="s">
        <v>7</v>
      </c>
      <c r="O605" s="5" t="s">
        <v>778</v>
      </c>
      <c r="P605" s="5" t="s">
        <v>7834</v>
      </c>
      <c r="R605" t="b">
        <v>0</v>
      </c>
    </row>
    <row r="606" spans="1:18">
      <c r="A606" t="s">
        <v>3018</v>
      </c>
      <c r="B606" t="s">
        <v>6140</v>
      </c>
      <c r="C606" t="s">
        <v>7794</v>
      </c>
      <c r="D606" s="1">
        <v>6</v>
      </c>
      <c r="E606" s="1">
        <v>7</v>
      </c>
      <c r="F606" s="1">
        <v>243</v>
      </c>
      <c r="G606" s="1">
        <v>244</v>
      </c>
      <c r="H606" s="17" cm="1">
        <f t="array" ref="H606">_xlfn.LET(_xlpm.s,IFERROR(--F606,""),_xlpm.e,IFERROR(--G606,""),IF(OR(_xlpm.s="",_xlpm.e="",_xlpm.e&lt;_xlpm.s),"",_xlfn.LET(_xlpm.p,_xlfn.SEQUENCE(_xlpm.e-_xlpm.s+1,1,_xlpm.s,1),SUM(1/COUNTIFS($D:$D,D606,$E:$E,E606,$F:$F,"&lt;&gt;N/A",$G:$G,"&lt;&gt;N/A",$F:$F,"&lt;="&amp;_xlpm.p,$G:$G,"&gt;="&amp;_xlpm.p)))))</f>
        <v>2</v>
      </c>
      <c r="I606" t="s">
        <v>5436</v>
      </c>
      <c r="J606" t="s">
        <v>5493</v>
      </c>
      <c r="K606" t="s">
        <v>7</v>
      </c>
      <c r="L606" s="5" t="s">
        <v>7</v>
      </c>
      <c r="M606" s="5" t="s">
        <v>7</v>
      </c>
      <c r="N606" t="s">
        <v>7</v>
      </c>
      <c r="O606" s="5" t="s">
        <v>778</v>
      </c>
      <c r="P606" s="5" t="s">
        <v>7834</v>
      </c>
      <c r="R606" t="b">
        <v>0</v>
      </c>
    </row>
    <row r="607" spans="1:18">
      <c r="A607" t="s">
        <v>3018</v>
      </c>
      <c r="B607" t="s">
        <v>6141</v>
      </c>
      <c r="C607" t="s">
        <v>7794</v>
      </c>
      <c r="D607" s="1">
        <v>6</v>
      </c>
      <c r="E607" s="1">
        <v>7</v>
      </c>
      <c r="F607" s="1">
        <v>245</v>
      </c>
      <c r="G607" s="1">
        <v>260</v>
      </c>
      <c r="H607" s="17" cm="1">
        <f t="array" ref="H607">_xlfn.LET(_xlpm.s,IFERROR(--F607,""),_xlpm.e,IFERROR(--G607,""),IF(OR(_xlpm.s="",_xlpm.e="",_xlpm.e&lt;_xlpm.s),"",_xlfn.LET(_xlpm.p,_xlfn.SEQUENCE(_xlpm.e-_xlpm.s+1,1,_xlpm.s,1),SUM(1/COUNTIFS($D:$D,D607,$E:$E,E607,$F:$F,"&lt;&gt;N/A",$G:$G,"&lt;&gt;N/A",$F:$F,"&lt;="&amp;_xlpm.p,$G:$G,"&gt;="&amp;_xlpm.p)))))</f>
        <v>16</v>
      </c>
      <c r="I607" t="s">
        <v>2573</v>
      </c>
      <c r="J607" t="s">
        <v>1854</v>
      </c>
      <c r="K607" t="s">
        <v>7</v>
      </c>
      <c r="L607" s="5" t="s">
        <v>6332</v>
      </c>
      <c r="M607" s="5" t="s">
        <v>5397</v>
      </c>
      <c r="N607" t="s">
        <v>8074</v>
      </c>
      <c r="O607" s="5" t="s">
        <v>5072</v>
      </c>
      <c r="P607" s="5" t="s">
        <v>8021</v>
      </c>
      <c r="Q607" s="5" t="s">
        <v>2509</v>
      </c>
      <c r="R607" t="b">
        <v>1</v>
      </c>
    </row>
    <row r="608" spans="1:18">
      <c r="A608" t="s">
        <v>3018</v>
      </c>
      <c r="B608" t="s">
        <v>6142</v>
      </c>
      <c r="C608" t="s">
        <v>7794</v>
      </c>
      <c r="D608" s="1">
        <v>6</v>
      </c>
      <c r="E608" s="1">
        <v>7</v>
      </c>
      <c r="F608" s="1">
        <v>261</v>
      </c>
      <c r="G608" s="1">
        <v>264</v>
      </c>
      <c r="H608" s="17" cm="1">
        <f t="array" ref="H608">_xlfn.LET(_xlpm.s,IFERROR(--F608,""),_xlpm.e,IFERROR(--G608,""),IF(OR(_xlpm.s="",_xlpm.e="",_xlpm.e&lt;_xlpm.s),"",_xlfn.LET(_xlpm.p,_xlfn.SEQUENCE(_xlpm.e-_xlpm.s+1,1,_xlpm.s,1),SUM(1/COUNTIFS($D:$D,D608,$E:$E,E608,$F:$F,"&lt;&gt;N/A",$G:$G,"&lt;&gt;N/A",$F:$F,"&lt;="&amp;_xlpm.p,$G:$G,"&gt;="&amp;_xlpm.p)))))</f>
        <v>4</v>
      </c>
      <c r="I608" t="s">
        <v>2581</v>
      </c>
      <c r="J608" t="s">
        <v>6333</v>
      </c>
      <c r="K608" t="s">
        <v>7</v>
      </c>
      <c r="L608" s="5" t="s">
        <v>5533</v>
      </c>
      <c r="M608" t="s">
        <v>5137</v>
      </c>
      <c r="N608" t="s">
        <v>6608</v>
      </c>
      <c r="O608" s="5" t="s">
        <v>5072</v>
      </c>
      <c r="P608" s="5" t="s">
        <v>8021</v>
      </c>
      <c r="Q608" s="5" t="s">
        <v>2509</v>
      </c>
      <c r="R608" t="b">
        <v>1</v>
      </c>
    </row>
    <row r="609" spans="1:18">
      <c r="A609" t="s">
        <v>3018</v>
      </c>
      <c r="B609" t="s">
        <v>6811</v>
      </c>
      <c r="C609" t="s">
        <v>7794</v>
      </c>
      <c r="D609" s="1">
        <v>6</v>
      </c>
      <c r="E609" s="1">
        <v>7</v>
      </c>
      <c r="F609" s="1">
        <v>265</v>
      </c>
      <c r="G609" s="1">
        <v>269</v>
      </c>
      <c r="H609" s="17" cm="1">
        <f t="array" ref="H609">_xlfn.LET(_xlpm.s,IFERROR(--F609,""),_xlpm.e,IFERROR(--G609,""),IF(OR(_xlpm.s="",_xlpm.e="",_xlpm.e&lt;_xlpm.s),"",_xlfn.LET(_xlpm.p,_xlfn.SEQUENCE(_xlpm.e-_xlpm.s+1,1,_xlpm.s,1),SUM(1/COUNTIFS($D:$D,D609,$E:$E,E609,$F:$F,"&lt;&gt;N/A",$G:$G,"&lt;&gt;N/A",$F:$F,"&lt;="&amp;_xlpm.p,$G:$G,"&gt;="&amp;_xlpm.p)))))</f>
        <v>5</v>
      </c>
      <c r="I609" t="s">
        <v>2581</v>
      </c>
      <c r="J609" t="s">
        <v>6334</v>
      </c>
      <c r="K609" t="s">
        <v>7</v>
      </c>
      <c r="L609" s="5" t="s">
        <v>4651</v>
      </c>
      <c r="M609" t="s">
        <v>5150</v>
      </c>
      <c r="N609" t="s">
        <v>6607</v>
      </c>
      <c r="O609" s="5" t="s">
        <v>5072</v>
      </c>
      <c r="P609" s="5" t="s">
        <v>8021</v>
      </c>
      <c r="Q609" s="5" t="s">
        <v>2509</v>
      </c>
      <c r="R609" t="b">
        <v>1</v>
      </c>
    </row>
    <row r="610" spans="1:18">
      <c r="A610" t="s">
        <v>3018</v>
      </c>
      <c r="B610" t="s">
        <v>6812</v>
      </c>
      <c r="C610" t="s">
        <v>7794</v>
      </c>
      <c r="D610" s="1">
        <v>6</v>
      </c>
      <c r="E610" s="1">
        <v>7</v>
      </c>
      <c r="F610" s="1">
        <v>270</v>
      </c>
      <c r="G610" s="1">
        <v>280</v>
      </c>
      <c r="H610" s="17" cm="1">
        <f t="array" ref="H610">_xlfn.LET(_xlpm.s,IFERROR(--F610,""),_xlpm.e,IFERROR(--G610,""),IF(OR(_xlpm.s="",_xlpm.e="",_xlpm.e&lt;_xlpm.s),"",_xlfn.LET(_xlpm.p,_xlfn.SEQUENCE(_xlpm.e-_xlpm.s+1,1,_xlpm.s,1),SUM(1/COUNTIFS($D:$D,D610,$E:$E,E610,$F:$F,"&lt;&gt;N/A",$G:$G,"&lt;&gt;N/A",$F:$F,"&lt;="&amp;_xlpm.p,$G:$G,"&gt;="&amp;_xlpm.p)))))</f>
        <v>11</v>
      </c>
      <c r="I610" t="s">
        <v>170</v>
      </c>
      <c r="J610" t="s">
        <v>4372</v>
      </c>
      <c r="K610" t="s">
        <v>7</v>
      </c>
      <c r="L610" s="5" t="s">
        <v>4653</v>
      </c>
      <c r="M610" t="s">
        <v>5255</v>
      </c>
      <c r="N610" t="s">
        <v>6499</v>
      </c>
      <c r="O610" s="5" t="s">
        <v>5072</v>
      </c>
      <c r="P610" s="5" t="s">
        <v>8021</v>
      </c>
      <c r="Q610" s="5" t="s">
        <v>2509</v>
      </c>
      <c r="R610" t="b">
        <v>1</v>
      </c>
    </row>
    <row r="611" spans="1:18">
      <c r="A611" t="s">
        <v>3018</v>
      </c>
      <c r="B611" t="s">
        <v>6143</v>
      </c>
      <c r="C611" t="s">
        <v>7801</v>
      </c>
      <c r="D611" s="1">
        <v>6</v>
      </c>
      <c r="E611" s="1">
        <v>8</v>
      </c>
      <c r="F611" s="1">
        <v>281</v>
      </c>
      <c r="G611" s="1">
        <v>281</v>
      </c>
      <c r="H611" s="17" cm="1">
        <f t="array" ref="H611">_xlfn.LET(_xlpm.s,IFERROR(--F611,""),_xlpm.e,IFERROR(--G611,""),IF(OR(_xlpm.s="",_xlpm.e="",_xlpm.e&lt;_xlpm.s),"",_xlfn.LET(_xlpm.p,_xlfn.SEQUENCE(_xlpm.e-_xlpm.s+1,1,_xlpm.s,1),SUM(1/COUNTIFS($D:$D,D611,$E:$E,E611,$F:$F,"&lt;&gt;N/A",$G:$G,"&lt;&gt;N/A",$F:$F,"&lt;="&amp;_xlpm.p,$G:$G,"&gt;="&amp;_xlpm.p)))))</f>
        <v>1</v>
      </c>
      <c r="I611" t="s">
        <v>5436</v>
      </c>
      <c r="J611" t="s">
        <v>5503</v>
      </c>
      <c r="K611" t="s">
        <v>7</v>
      </c>
      <c r="L611" s="5" t="s">
        <v>7</v>
      </c>
      <c r="M611" s="5" t="s">
        <v>7</v>
      </c>
      <c r="N611" t="s">
        <v>7</v>
      </c>
      <c r="O611" s="5" t="s">
        <v>778</v>
      </c>
      <c r="P611" s="5" t="s">
        <v>7834</v>
      </c>
      <c r="R611" t="b">
        <v>0</v>
      </c>
    </row>
    <row r="612" spans="1:18">
      <c r="A612" t="s">
        <v>3018</v>
      </c>
      <c r="B612" t="s">
        <v>6144</v>
      </c>
      <c r="C612" t="s">
        <v>7801</v>
      </c>
      <c r="D612" s="1">
        <v>6</v>
      </c>
      <c r="E612" s="1">
        <v>8</v>
      </c>
      <c r="F612" s="1">
        <v>282</v>
      </c>
      <c r="G612" s="1">
        <v>282</v>
      </c>
      <c r="H612" s="17" cm="1">
        <f t="array" ref="H612">_xlfn.LET(_xlpm.s,IFERROR(--F612,""),_xlpm.e,IFERROR(--G612,""),IF(OR(_xlpm.s="",_xlpm.e="",_xlpm.e&lt;_xlpm.s),"",_xlfn.LET(_xlpm.p,_xlfn.SEQUENCE(_xlpm.e-_xlpm.s+1,1,_xlpm.s,1),SUM(1/COUNTIFS($D:$D,D612,$E:$E,E612,$F:$F,"&lt;&gt;N/A",$G:$G,"&lt;&gt;N/A",$F:$F,"&lt;="&amp;_xlpm.p,$G:$G,"&gt;="&amp;_xlpm.p)))))</f>
        <v>1</v>
      </c>
      <c r="I612" t="s">
        <v>5436</v>
      </c>
      <c r="J612" t="s">
        <v>5504</v>
      </c>
      <c r="K612" t="s">
        <v>7</v>
      </c>
      <c r="L612" s="5" t="s">
        <v>7</v>
      </c>
      <c r="M612" s="5" t="s">
        <v>7</v>
      </c>
      <c r="N612" t="s">
        <v>7</v>
      </c>
      <c r="O612" s="5" t="s">
        <v>778</v>
      </c>
      <c r="P612" s="5" t="s">
        <v>7834</v>
      </c>
      <c r="R612" t="b">
        <v>0</v>
      </c>
    </row>
    <row r="613" spans="1:18">
      <c r="A613" t="s">
        <v>3018</v>
      </c>
      <c r="B613" t="s">
        <v>6145</v>
      </c>
      <c r="C613" t="s">
        <v>7801</v>
      </c>
      <c r="D613" s="1">
        <v>6</v>
      </c>
      <c r="E613" s="1">
        <v>8</v>
      </c>
      <c r="F613" s="1">
        <v>283</v>
      </c>
      <c r="G613" s="1">
        <v>284</v>
      </c>
      <c r="H613" s="17" cm="1">
        <f t="array" ref="H613">_xlfn.LET(_xlpm.s,IFERROR(--F613,""),_xlpm.e,IFERROR(--G613,""),IF(OR(_xlpm.s="",_xlpm.e="",_xlpm.e&lt;_xlpm.s),"",_xlfn.LET(_xlpm.p,_xlfn.SEQUENCE(_xlpm.e-_xlpm.s+1,1,_xlpm.s,1),SUM(1/COUNTIFS($D:$D,D613,$E:$E,E613,$F:$F,"&lt;&gt;N/A",$G:$G,"&lt;&gt;N/A",$F:$F,"&lt;="&amp;_xlpm.p,$G:$G,"&gt;="&amp;_xlpm.p)))))</f>
        <v>1.5</v>
      </c>
      <c r="I613" t="s">
        <v>5436</v>
      </c>
      <c r="J613" t="s">
        <v>5505</v>
      </c>
      <c r="K613" t="s">
        <v>7</v>
      </c>
      <c r="L613" s="5" t="s">
        <v>7</v>
      </c>
      <c r="M613" s="5" t="s">
        <v>7</v>
      </c>
      <c r="N613" t="s">
        <v>7</v>
      </c>
      <c r="O613" s="5" t="s">
        <v>778</v>
      </c>
      <c r="P613" s="5" t="s">
        <v>7834</v>
      </c>
      <c r="R613" t="b">
        <v>0</v>
      </c>
    </row>
    <row r="614" spans="1:18">
      <c r="A614" t="s">
        <v>3018</v>
      </c>
      <c r="B614" t="s">
        <v>6146</v>
      </c>
      <c r="C614" t="s">
        <v>7801</v>
      </c>
      <c r="D614" s="1">
        <v>6</v>
      </c>
      <c r="E614" s="1">
        <v>8</v>
      </c>
      <c r="F614" s="1">
        <v>284</v>
      </c>
      <c r="G614" s="1">
        <v>285</v>
      </c>
      <c r="H614" s="17" cm="1">
        <f t="array" ref="H614">_xlfn.LET(_xlpm.s,IFERROR(--F614,""),_xlpm.e,IFERROR(--G614,""),IF(OR(_xlpm.s="",_xlpm.e="",_xlpm.e&lt;_xlpm.s),"",_xlfn.LET(_xlpm.p,_xlfn.SEQUENCE(_xlpm.e-_xlpm.s+1,1,_xlpm.s,1),SUM(1/COUNTIFS($D:$D,D614,$E:$E,E614,$F:$F,"&lt;&gt;N/A",$G:$G,"&lt;&gt;N/A",$F:$F,"&lt;="&amp;_xlpm.p,$G:$G,"&gt;="&amp;_xlpm.p)))))</f>
        <v>1</v>
      </c>
      <c r="I614" t="s">
        <v>5436</v>
      </c>
      <c r="J614" t="s">
        <v>1855</v>
      </c>
      <c r="K614" t="s">
        <v>5146</v>
      </c>
      <c r="L614" s="5" t="s">
        <v>7</v>
      </c>
      <c r="M614" s="5" t="s">
        <v>7</v>
      </c>
      <c r="N614" t="s">
        <v>7</v>
      </c>
      <c r="O614" s="5" t="s">
        <v>778</v>
      </c>
      <c r="P614" s="5" t="s">
        <v>7834</v>
      </c>
      <c r="R614" t="b">
        <v>1</v>
      </c>
    </row>
    <row r="615" spans="1:18">
      <c r="A615" t="s">
        <v>3018</v>
      </c>
      <c r="B615" t="s">
        <v>6147</v>
      </c>
      <c r="C615" t="s">
        <v>7801</v>
      </c>
      <c r="D615" s="1">
        <v>6</v>
      </c>
      <c r="E615" s="1">
        <v>8</v>
      </c>
      <c r="F615" s="1">
        <v>285</v>
      </c>
      <c r="G615" s="1">
        <v>286</v>
      </c>
      <c r="H615" s="17" cm="1">
        <f t="array" ref="H615">_xlfn.LET(_xlpm.s,IFERROR(--F615,""),_xlpm.e,IFERROR(--G615,""),IF(OR(_xlpm.s="",_xlpm.e="",_xlpm.e&lt;_xlpm.s),"",_xlfn.LET(_xlpm.p,_xlfn.SEQUENCE(_xlpm.e-_xlpm.s+1,1,_xlpm.s,1),SUM(1/COUNTIFS($D:$D,D615,$E:$E,E615,$F:$F,"&lt;&gt;N/A",$G:$G,"&lt;&gt;N/A",$F:$F,"&lt;="&amp;_xlpm.p,$G:$G,"&gt;="&amp;_xlpm.p)))))</f>
        <v>1.5</v>
      </c>
      <c r="I615" t="s">
        <v>5436</v>
      </c>
      <c r="J615" t="s">
        <v>1856</v>
      </c>
      <c r="K615" t="s">
        <v>11398</v>
      </c>
      <c r="L615" s="5" t="s">
        <v>7</v>
      </c>
      <c r="M615" s="5" t="s">
        <v>7</v>
      </c>
      <c r="N615" t="s">
        <v>7</v>
      </c>
      <c r="O615" s="5" t="s">
        <v>778</v>
      </c>
      <c r="P615" s="5" t="s">
        <v>7834</v>
      </c>
      <c r="R615" t="b">
        <v>1</v>
      </c>
    </row>
    <row r="616" spans="1:18">
      <c r="A616" t="s">
        <v>3018</v>
      </c>
      <c r="B616" t="s">
        <v>6148</v>
      </c>
      <c r="C616" t="s">
        <v>7801</v>
      </c>
      <c r="D616" s="1">
        <v>6</v>
      </c>
      <c r="E616" s="1">
        <v>8</v>
      </c>
      <c r="F616" s="1">
        <v>287</v>
      </c>
      <c r="G616" s="1">
        <v>301</v>
      </c>
      <c r="H616" s="17" cm="1">
        <f t="array" ref="H616">_xlfn.LET(_xlpm.s,IFERROR(--F616,""),_xlpm.e,IFERROR(--G616,""),IF(OR(_xlpm.s="",_xlpm.e="",_xlpm.e&lt;_xlpm.s),"",_xlfn.LET(_xlpm.p,_xlfn.SEQUENCE(_xlpm.e-_xlpm.s+1,1,_xlpm.s,1),SUM(1/COUNTIFS($D:$D,D616,$E:$E,E616,$F:$F,"&lt;&gt;N/A",$G:$G,"&lt;&gt;N/A",$F:$F,"&lt;="&amp;_xlpm.p,$G:$G,"&gt;="&amp;_xlpm.p)))))</f>
        <v>15</v>
      </c>
      <c r="I616" t="s">
        <v>2573</v>
      </c>
      <c r="J616" t="s">
        <v>6336</v>
      </c>
      <c r="K616" t="s">
        <v>7</v>
      </c>
      <c r="L616" s="5" t="s">
        <v>7</v>
      </c>
      <c r="M616" s="5" t="s">
        <v>5397</v>
      </c>
      <c r="N616" t="s">
        <v>6757</v>
      </c>
      <c r="O616" s="5" t="s">
        <v>5072</v>
      </c>
      <c r="P616" s="5" t="s">
        <v>8021</v>
      </c>
      <c r="R616" t="b">
        <v>1</v>
      </c>
    </row>
    <row r="617" spans="1:18">
      <c r="A617" t="s">
        <v>3018</v>
      </c>
      <c r="B617" t="s">
        <v>6813</v>
      </c>
      <c r="C617" t="s">
        <v>7801</v>
      </c>
      <c r="D617" s="1">
        <v>6</v>
      </c>
      <c r="E617" s="1">
        <v>8</v>
      </c>
      <c r="F617" s="1">
        <v>302</v>
      </c>
      <c r="G617" s="1">
        <v>312</v>
      </c>
      <c r="H617" s="17" cm="1">
        <f t="array" ref="H617">_xlfn.LET(_xlpm.s,IFERROR(--F617,""),_xlpm.e,IFERROR(--G617,""),IF(OR(_xlpm.s="",_xlpm.e="",_xlpm.e&lt;_xlpm.s),"",_xlfn.LET(_xlpm.p,_xlfn.SEQUENCE(_xlpm.e-_xlpm.s+1,1,_xlpm.s,1),SUM(1/COUNTIFS($D:$D,D617,$E:$E,E617,$F:$F,"&lt;&gt;N/A",$G:$G,"&lt;&gt;N/A",$F:$F,"&lt;="&amp;_xlpm.p,$G:$G,"&gt;="&amp;_xlpm.p)))))</f>
        <v>11</v>
      </c>
      <c r="I617" t="s">
        <v>2658</v>
      </c>
      <c r="J617" t="s">
        <v>1857</v>
      </c>
      <c r="K617" t="s">
        <v>7</v>
      </c>
      <c r="L617" s="5" t="s">
        <v>6337</v>
      </c>
      <c r="M617" s="5" t="s">
        <v>5428</v>
      </c>
      <c r="N617" t="s">
        <v>8075</v>
      </c>
      <c r="O617" s="5" t="s">
        <v>5072</v>
      </c>
      <c r="P617" s="5" t="s">
        <v>8021</v>
      </c>
      <c r="Q617" s="5" t="s">
        <v>2509</v>
      </c>
      <c r="R617" t="b">
        <v>1</v>
      </c>
    </row>
    <row r="618" spans="1:18">
      <c r="A618" t="s">
        <v>3018</v>
      </c>
      <c r="B618" t="s">
        <v>6814</v>
      </c>
      <c r="C618" t="s">
        <v>7801</v>
      </c>
      <c r="D618" s="1">
        <v>6</v>
      </c>
      <c r="E618" s="1">
        <v>8</v>
      </c>
      <c r="F618" s="1">
        <v>313</v>
      </c>
      <c r="G618" s="1">
        <v>320</v>
      </c>
      <c r="H618" s="17" cm="1">
        <f t="array" ref="H618">_xlfn.LET(_xlpm.s,IFERROR(--F618,""),_xlpm.e,IFERROR(--G618,""),IF(OR(_xlpm.s="",_xlpm.e="",_xlpm.e&lt;_xlpm.s),"",_xlfn.LET(_xlpm.p,_xlfn.SEQUENCE(_xlpm.e-_xlpm.s+1,1,_xlpm.s,1),SUM(1/COUNTIFS($D:$D,D618,$E:$E,E618,$F:$F,"&lt;&gt;N/A",$G:$G,"&lt;&gt;N/A",$F:$F,"&lt;="&amp;_xlpm.p,$G:$G,"&gt;="&amp;_xlpm.p)))))</f>
        <v>8</v>
      </c>
      <c r="I618" t="s">
        <v>170</v>
      </c>
      <c r="J618" t="s">
        <v>6338</v>
      </c>
      <c r="K618" t="s">
        <v>7</v>
      </c>
      <c r="L618" s="5" t="s">
        <v>7</v>
      </c>
      <c r="M618" t="s">
        <v>5255</v>
      </c>
      <c r="N618" t="s">
        <v>6500</v>
      </c>
      <c r="O618" s="5" t="s">
        <v>5072</v>
      </c>
      <c r="P618" s="5" t="s">
        <v>8021</v>
      </c>
      <c r="R618" t="b">
        <v>1</v>
      </c>
    </row>
    <row r="619" spans="1:18">
      <c r="A619" t="s">
        <v>3018</v>
      </c>
      <c r="B619" t="s">
        <v>6149</v>
      </c>
      <c r="C619" t="s">
        <v>7808</v>
      </c>
      <c r="D619" s="1">
        <v>6</v>
      </c>
      <c r="E619" s="1">
        <v>9</v>
      </c>
      <c r="F619" s="1">
        <v>321</v>
      </c>
      <c r="G619" s="1">
        <v>321</v>
      </c>
      <c r="H619" s="17" cm="1">
        <f t="array" ref="H619">_xlfn.LET(_xlpm.s,IFERROR(--F619,""),_xlpm.e,IFERROR(--G619,""),IF(OR(_xlpm.s="",_xlpm.e="",_xlpm.e&lt;_xlpm.s),"",_xlfn.LET(_xlpm.p,_xlfn.SEQUENCE(_xlpm.e-_xlpm.s+1,1,_xlpm.s,1),SUM(1/COUNTIFS($D:$D,D619,$E:$E,E619,$F:$F,"&lt;&gt;N/A",$G:$G,"&lt;&gt;N/A",$F:$F,"&lt;="&amp;_xlpm.p,$G:$G,"&gt;="&amp;_xlpm.p)))))</f>
        <v>1</v>
      </c>
      <c r="I619" t="s">
        <v>5436</v>
      </c>
      <c r="J619" t="s">
        <v>5500</v>
      </c>
      <c r="K619" t="s">
        <v>7</v>
      </c>
      <c r="L619" s="5" t="s">
        <v>7</v>
      </c>
      <c r="M619" s="5" t="s">
        <v>7</v>
      </c>
      <c r="N619" t="s">
        <v>7</v>
      </c>
      <c r="O619" s="5" t="s">
        <v>778</v>
      </c>
      <c r="P619" s="5" t="s">
        <v>7834</v>
      </c>
      <c r="R619" t="b">
        <v>0</v>
      </c>
    </row>
    <row r="620" spans="1:18">
      <c r="A620" t="s">
        <v>3018</v>
      </c>
      <c r="B620" t="s">
        <v>6150</v>
      </c>
      <c r="C620" t="s">
        <v>7808</v>
      </c>
      <c r="D620" s="1">
        <v>6</v>
      </c>
      <c r="E620" s="1">
        <v>9</v>
      </c>
      <c r="F620" s="1">
        <v>322</v>
      </c>
      <c r="G620" s="1">
        <v>322</v>
      </c>
      <c r="H620" s="17" cm="1">
        <f t="array" ref="H620">_xlfn.LET(_xlpm.s,IFERROR(--F620,""),_xlpm.e,IFERROR(--G620,""),IF(OR(_xlpm.s="",_xlpm.e="",_xlpm.e&lt;_xlpm.s),"",_xlfn.LET(_xlpm.p,_xlfn.SEQUENCE(_xlpm.e-_xlpm.s+1,1,_xlpm.s,1),SUM(1/COUNTIFS($D:$D,D620,$E:$E,E620,$F:$F,"&lt;&gt;N/A",$G:$G,"&lt;&gt;N/A",$F:$F,"&lt;="&amp;_xlpm.p,$G:$G,"&gt;="&amp;_xlpm.p)))))</f>
        <v>0.5</v>
      </c>
      <c r="I620" t="s">
        <v>5436</v>
      </c>
      <c r="J620" t="s">
        <v>5501</v>
      </c>
      <c r="K620" t="s">
        <v>7</v>
      </c>
      <c r="L620" s="5" t="s">
        <v>7</v>
      </c>
      <c r="M620" s="5" t="s">
        <v>7</v>
      </c>
      <c r="N620" t="s">
        <v>7</v>
      </c>
      <c r="O620" s="5" t="s">
        <v>778</v>
      </c>
      <c r="P620" s="5" t="s">
        <v>7834</v>
      </c>
      <c r="R620" t="b">
        <v>0</v>
      </c>
    </row>
    <row r="621" spans="1:18">
      <c r="A621" t="s">
        <v>3018</v>
      </c>
      <c r="B621" t="s">
        <v>6151</v>
      </c>
      <c r="C621" t="s">
        <v>7808</v>
      </c>
      <c r="D621" s="1">
        <v>6</v>
      </c>
      <c r="E621" s="1">
        <v>9</v>
      </c>
      <c r="F621" s="1">
        <v>322</v>
      </c>
      <c r="G621" s="1">
        <v>323</v>
      </c>
      <c r="H621" s="17" cm="1">
        <f t="array" ref="H621">_xlfn.LET(_xlpm.s,IFERROR(--F621,""),_xlpm.e,IFERROR(--G621,""),IF(OR(_xlpm.s="",_xlpm.e="",_xlpm.e&lt;_xlpm.s),"",_xlfn.LET(_xlpm.p,_xlfn.SEQUENCE(_xlpm.e-_xlpm.s+1,1,_xlpm.s,1),SUM(1/COUNTIFS($D:$D,D621,$E:$E,E621,$F:$F,"&lt;&gt;N/A",$G:$G,"&lt;&gt;N/A",$F:$F,"&lt;="&amp;_xlpm.p,$G:$G,"&gt;="&amp;_xlpm.p)))))</f>
        <v>1</v>
      </c>
      <c r="I621" t="s">
        <v>5436</v>
      </c>
      <c r="J621" t="s">
        <v>5502</v>
      </c>
      <c r="K621" t="s">
        <v>7</v>
      </c>
      <c r="L621" s="5" t="s">
        <v>7</v>
      </c>
      <c r="M621" s="5" t="s">
        <v>7</v>
      </c>
      <c r="N621" t="s">
        <v>7</v>
      </c>
      <c r="O621" s="5" t="s">
        <v>778</v>
      </c>
      <c r="P621" s="5" t="s">
        <v>7834</v>
      </c>
      <c r="R621" t="b">
        <v>0</v>
      </c>
    </row>
    <row r="622" spans="1:18">
      <c r="A622" t="s">
        <v>3018</v>
      </c>
      <c r="B622" t="s">
        <v>6152</v>
      </c>
      <c r="C622" t="s">
        <v>7808</v>
      </c>
      <c r="D622" s="1">
        <v>6</v>
      </c>
      <c r="E622" s="1">
        <v>9</v>
      </c>
      <c r="F622" s="1">
        <v>323</v>
      </c>
      <c r="G622" s="1">
        <v>325</v>
      </c>
      <c r="H622" s="17" cm="1">
        <f t="array" ref="H622">_xlfn.LET(_xlpm.s,IFERROR(--F622,""),_xlpm.e,IFERROR(--G622,""),IF(OR(_xlpm.s="",_xlpm.e="",_xlpm.e&lt;_xlpm.s),"",_xlfn.LET(_xlpm.p,_xlfn.SEQUENCE(_xlpm.e-_xlpm.s+1,1,_xlpm.s,1),SUM(1/COUNTIFS($D:$D,D622,$E:$E,E622,$F:$F,"&lt;&gt;N/A",$G:$G,"&lt;&gt;N/A",$F:$F,"&lt;="&amp;_xlpm.p,$G:$G,"&gt;="&amp;_xlpm.p)))))</f>
        <v>2</v>
      </c>
      <c r="I622" t="s">
        <v>5436</v>
      </c>
      <c r="J622" t="s">
        <v>1858</v>
      </c>
      <c r="K622" t="s">
        <v>2479</v>
      </c>
      <c r="L622" s="5" t="s">
        <v>7</v>
      </c>
      <c r="M622" s="5" t="s">
        <v>7</v>
      </c>
      <c r="N622" t="s">
        <v>7</v>
      </c>
      <c r="O622" s="5" t="s">
        <v>778</v>
      </c>
      <c r="P622" s="5" t="s">
        <v>7834</v>
      </c>
      <c r="R622" t="b">
        <v>0</v>
      </c>
    </row>
    <row r="623" spans="1:18">
      <c r="A623" t="s">
        <v>3018</v>
      </c>
      <c r="B623" t="s">
        <v>6153</v>
      </c>
      <c r="C623" t="s">
        <v>7808</v>
      </c>
      <c r="D623" s="1">
        <v>6</v>
      </c>
      <c r="E623" s="1">
        <v>9</v>
      </c>
      <c r="F623" s="1">
        <v>325</v>
      </c>
      <c r="G623" s="1">
        <v>327</v>
      </c>
      <c r="H623" s="17" cm="1">
        <f t="array" ref="H623">_xlfn.LET(_xlpm.s,IFERROR(--F623,""),_xlpm.e,IFERROR(--G623,""),IF(OR(_xlpm.s="",_xlpm.e="",_xlpm.e&lt;_xlpm.s),"",_xlfn.LET(_xlpm.p,_xlfn.SEQUENCE(_xlpm.e-_xlpm.s+1,1,_xlpm.s,1),SUM(1/COUNTIFS($D:$D,D623,$E:$E,E623,$F:$F,"&lt;&gt;N/A",$G:$G,"&lt;&gt;N/A",$F:$F,"&lt;="&amp;_xlpm.p,$G:$G,"&gt;="&amp;_xlpm.p)))))</f>
        <v>2</v>
      </c>
      <c r="I623" t="s">
        <v>5436</v>
      </c>
      <c r="J623" t="s">
        <v>1859</v>
      </c>
      <c r="K623" t="s">
        <v>7</v>
      </c>
      <c r="L623" s="5" t="s">
        <v>7</v>
      </c>
      <c r="M623" s="5" t="s">
        <v>7</v>
      </c>
      <c r="N623" t="s">
        <v>7</v>
      </c>
      <c r="O623" s="5" t="s">
        <v>778</v>
      </c>
      <c r="P623" s="5" t="s">
        <v>7834</v>
      </c>
      <c r="R623" t="b">
        <v>0</v>
      </c>
    </row>
    <row r="624" spans="1:18">
      <c r="A624" t="s">
        <v>3018</v>
      </c>
      <c r="B624" t="s">
        <v>6154</v>
      </c>
      <c r="C624" t="s">
        <v>7808</v>
      </c>
      <c r="D624" s="1">
        <v>6</v>
      </c>
      <c r="E624" s="1">
        <v>9</v>
      </c>
      <c r="F624" s="1">
        <v>327</v>
      </c>
      <c r="G624" s="1">
        <v>331</v>
      </c>
      <c r="H624" s="17" cm="1">
        <f t="array" ref="H624">_xlfn.LET(_xlpm.s,IFERROR(--F624,""),_xlpm.e,IFERROR(--G624,""),IF(OR(_xlpm.s="",_xlpm.e="",_xlpm.e&lt;_xlpm.s),"",_xlfn.LET(_xlpm.p,_xlfn.SEQUENCE(_xlpm.e-_xlpm.s+1,1,_xlpm.s,1),SUM(1/COUNTIFS($D:$D,D624,$E:$E,E624,$F:$F,"&lt;&gt;N/A",$G:$G,"&lt;&gt;N/A",$F:$F,"&lt;="&amp;_xlpm.p,$G:$G,"&gt;="&amp;_xlpm.p)))))</f>
        <v>4.5</v>
      </c>
      <c r="I624" t="s">
        <v>5436</v>
      </c>
      <c r="J624" t="s">
        <v>1860</v>
      </c>
      <c r="K624" t="s">
        <v>7</v>
      </c>
      <c r="L624" s="5" t="s">
        <v>7</v>
      </c>
      <c r="M624" s="5" t="s">
        <v>7</v>
      </c>
      <c r="N624" t="s">
        <v>7</v>
      </c>
      <c r="O624" s="5" t="s">
        <v>778</v>
      </c>
      <c r="P624" s="5" t="s">
        <v>7834</v>
      </c>
      <c r="R624" t="b">
        <v>0</v>
      </c>
    </row>
    <row r="625" spans="1:18">
      <c r="A625" t="s">
        <v>3018</v>
      </c>
      <c r="B625" t="s">
        <v>6815</v>
      </c>
      <c r="C625" t="s">
        <v>7808</v>
      </c>
      <c r="D625" s="1">
        <v>6</v>
      </c>
      <c r="E625" s="1">
        <v>9</v>
      </c>
      <c r="F625" s="1">
        <v>332</v>
      </c>
      <c r="G625" s="1">
        <v>348</v>
      </c>
      <c r="H625" s="17" cm="1">
        <f t="array" ref="H625">_xlfn.LET(_xlpm.s,IFERROR(--F625,""),_xlpm.e,IFERROR(--G625,""),IF(OR(_xlpm.s="",_xlpm.e="",_xlpm.e&lt;_xlpm.s),"",_xlfn.LET(_xlpm.p,_xlfn.SEQUENCE(_xlpm.e-_xlpm.s+1,1,_xlpm.s,1),SUM(1/COUNTIFS($D:$D,D625,$E:$E,E625,$F:$F,"&lt;&gt;N/A",$G:$G,"&lt;&gt;N/A",$F:$F,"&lt;="&amp;_xlpm.p,$G:$G,"&gt;="&amp;_xlpm.p)))))</f>
        <v>17</v>
      </c>
      <c r="I625" t="s">
        <v>5436</v>
      </c>
      <c r="J625" t="s">
        <v>1861</v>
      </c>
      <c r="K625" t="s">
        <v>1781</v>
      </c>
      <c r="L625" s="5" t="s">
        <v>7</v>
      </c>
      <c r="M625" s="5" t="s">
        <v>7</v>
      </c>
      <c r="N625" t="s">
        <v>7</v>
      </c>
      <c r="O625" s="5" t="s">
        <v>778</v>
      </c>
      <c r="P625" s="5" t="s">
        <v>7834</v>
      </c>
      <c r="R625" t="b">
        <v>0</v>
      </c>
    </row>
    <row r="626" spans="1:18">
      <c r="A626" t="s">
        <v>3018</v>
      </c>
      <c r="B626" t="s">
        <v>6816</v>
      </c>
      <c r="C626" t="s">
        <v>7808</v>
      </c>
      <c r="D626" s="1">
        <v>6</v>
      </c>
      <c r="E626" s="1">
        <v>9</v>
      </c>
      <c r="F626" s="1">
        <v>349</v>
      </c>
      <c r="G626" s="1">
        <v>359</v>
      </c>
      <c r="H626" s="17" cm="1">
        <f t="array" ref="H626">_xlfn.LET(_xlpm.s,IFERROR(--F626,""),_xlpm.e,IFERROR(--G626,""),IF(OR(_xlpm.s="",_xlpm.e="",_xlpm.e&lt;_xlpm.s),"",_xlfn.LET(_xlpm.p,_xlfn.SEQUENCE(_xlpm.e-_xlpm.s+1,1,_xlpm.s,1),SUM(1/COUNTIFS($D:$D,D626,$E:$E,E626,$F:$F,"&lt;&gt;N/A",$G:$G,"&lt;&gt;N/A",$F:$F,"&lt;="&amp;_xlpm.p,$G:$G,"&gt;="&amp;_xlpm.p)))))</f>
        <v>11</v>
      </c>
      <c r="I626" t="s">
        <v>170</v>
      </c>
      <c r="J626" t="s">
        <v>4372</v>
      </c>
      <c r="K626" t="s">
        <v>7</v>
      </c>
      <c r="L626" s="5" t="s">
        <v>4653</v>
      </c>
      <c r="M626" t="s">
        <v>5255</v>
      </c>
      <c r="N626" t="s">
        <v>6501</v>
      </c>
      <c r="O626" s="5" t="s">
        <v>5072</v>
      </c>
      <c r="P626" s="5" t="s">
        <v>8021</v>
      </c>
      <c r="R626" t="b">
        <v>1</v>
      </c>
    </row>
    <row r="627" spans="1:18">
      <c r="A627" t="s">
        <v>3018</v>
      </c>
      <c r="B627" t="s">
        <v>6155</v>
      </c>
      <c r="C627" t="s">
        <v>7735</v>
      </c>
      <c r="D627" s="1">
        <v>6</v>
      </c>
      <c r="E627" s="1">
        <v>10</v>
      </c>
      <c r="F627" s="1">
        <v>361</v>
      </c>
      <c r="G627" s="1">
        <v>362</v>
      </c>
      <c r="H627" s="17" cm="1">
        <f t="array" ref="H627">_xlfn.LET(_xlpm.s,IFERROR(--F627,""),_xlpm.e,IFERROR(--G627,""),IF(OR(_xlpm.s="",_xlpm.e="",_xlpm.e&lt;_xlpm.s),"",_xlfn.LET(_xlpm.p,_xlfn.SEQUENCE(_xlpm.e-_xlpm.s+1,1,_xlpm.s,1),SUM(1/COUNTIFS($D:$D,D627,$E:$E,E627,$F:$F,"&lt;&gt;N/A",$G:$G,"&lt;&gt;N/A",$F:$F,"&lt;="&amp;_xlpm.p,$G:$G,"&gt;="&amp;_xlpm.p)))))</f>
        <v>1.5</v>
      </c>
      <c r="I627" t="s">
        <v>5436</v>
      </c>
      <c r="J627" t="s">
        <v>5497</v>
      </c>
      <c r="K627" t="s">
        <v>7</v>
      </c>
      <c r="L627" s="5" t="s">
        <v>7</v>
      </c>
      <c r="M627" s="5" t="s">
        <v>7</v>
      </c>
      <c r="N627" t="s">
        <v>7</v>
      </c>
      <c r="O627" s="5" t="s">
        <v>778</v>
      </c>
      <c r="P627" s="5" t="s">
        <v>7834</v>
      </c>
      <c r="R627" t="b">
        <v>0</v>
      </c>
    </row>
    <row r="628" spans="1:18">
      <c r="A628" t="s">
        <v>3018</v>
      </c>
      <c r="B628" t="s">
        <v>6156</v>
      </c>
      <c r="C628" t="s">
        <v>7735</v>
      </c>
      <c r="D628" s="1">
        <v>6</v>
      </c>
      <c r="E628" s="1">
        <v>10</v>
      </c>
      <c r="F628" s="1">
        <v>362</v>
      </c>
      <c r="G628" s="1">
        <v>365</v>
      </c>
      <c r="H628" s="17" cm="1">
        <f t="array" ref="H628">_xlfn.LET(_xlpm.s,IFERROR(--F628,""),_xlpm.e,IFERROR(--G628,""),IF(OR(_xlpm.s="",_xlpm.e="",_xlpm.e&lt;_xlpm.s),"",_xlfn.LET(_xlpm.p,_xlfn.SEQUENCE(_xlpm.e-_xlpm.s+1,1,_xlpm.s,1),SUM(1/COUNTIFS($D:$D,D628,$E:$E,E628,$F:$F,"&lt;&gt;N/A",$G:$G,"&lt;&gt;N/A",$F:$F,"&lt;="&amp;_xlpm.p,$G:$G,"&gt;="&amp;_xlpm.p)))))</f>
        <v>3</v>
      </c>
      <c r="I628" t="s">
        <v>5436</v>
      </c>
      <c r="J628" t="s">
        <v>5498</v>
      </c>
      <c r="K628" t="s">
        <v>7</v>
      </c>
      <c r="L628" s="5" t="s">
        <v>7</v>
      </c>
      <c r="M628" s="5" t="s">
        <v>7</v>
      </c>
      <c r="N628" t="s">
        <v>7</v>
      </c>
      <c r="O628" s="5" t="s">
        <v>778</v>
      </c>
      <c r="P628" s="5" t="s">
        <v>7834</v>
      </c>
      <c r="R628" t="b">
        <v>0</v>
      </c>
    </row>
    <row r="629" spans="1:18">
      <c r="A629" t="s">
        <v>3018</v>
      </c>
      <c r="B629" t="s">
        <v>6157</v>
      </c>
      <c r="C629" t="s">
        <v>7735</v>
      </c>
      <c r="D629" s="1">
        <v>6</v>
      </c>
      <c r="E629" s="1">
        <v>10</v>
      </c>
      <c r="F629" s="1">
        <v>365</v>
      </c>
      <c r="G629" s="1">
        <v>367</v>
      </c>
      <c r="H629" s="17" cm="1">
        <f t="array" ref="H629">_xlfn.LET(_xlpm.s,IFERROR(--F629,""),_xlpm.e,IFERROR(--G629,""),IF(OR(_xlpm.s="",_xlpm.e="",_xlpm.e&lt;_xlpm.s),"",_xlfn.LET(_xlpm.p,_xlfn.SEQUENCE(_xlpm.e-_xlpm.s+1,1,_xlpm.s,1),SUM(1/COUNTIFS($D:$D,D629,$E:$E,E629,$F:$F,"&lt;&gt;N/A",$G:$G,"&lt;&gt;N/A",$F:$F,"&lt;="&amp;_xlpm.p,$G:$G,"&gt;="&amp;_xlpm.p)))))</f>
        <v>2</v>
      </c>
      <c r="I629" t="s">
        <v>5436</v>
      </c>
      <c r="J629" t="s">
        <v>5499</v>
      </c>
      <c r="K629" t="s">
        <v>7</v>
      </c>
      <c r="L629" s="5" t="s">
        <v>7</v>
      </c>
      <c r="M629" s="5" t="s">
        <v>7</v>
      </c>
      <c r="N629" t="s">
        <v>7</v>
      </c>
      <c r="O629" s="5" t="s">
        <v>778</v>
      </c>
      <c r="P629" s="5" t="s">
        <v>7834</v>
      </c>
      <c r="R629" t="b">
        <v>0</v>
      </c>
    </row>
    <row r="630" spans="1:18">
      <c r="A630" t="s">
        <v>3018</v>
      </c>
      <c r="B630" t="s">
        <v>6158</v>
      </c>
      <c r="C630" t="s">
        <v>7735</v>
      </c>
      <c r="D630" s="1">
        <v>6</v>
      </c>
      <c r="E630" s="1">
        <v>10</v>
      </c>
      <c r="F630" s="1">
        <v>367</v>
      </c>
      <c r="G630" s="1">
        <v>367</v>
      </c>
      <c r="H630" s="17" cm="1">
        <f t="array" ref="H630">_xlfn.LET(_xlpm.s,IFERROR(--F630,""),_xlpm.e,IFERROR(--G630,""),IF(OR(_xlpm.s="",_xlpm.e="",_xlpm.e&lt;_xlpm.s),"",_xlfn.LET(_xlpm.p,_xlfn.SEQUENCE(_xlpm.e-_xlpm.s+1,1,_xlpm.s,1),SUM(1/COUNTIFS($D:$D,D630,$E:$E,E630,$F:$F,"&lt;&gt;N/A",$G:$G,"&lt;&gt;N/A",$F:$F,"&lt;="&amp;_xlpm.p,$G:$G,"&gt;="&amp;_xlpm.p)))))</f>
        <v>0.5</v>
      </c>
      <c r="I630" t="s">
        <v>5436</v>
      </c>
      <c r="J630" t="s">
        <v>3201</v>
      </c>
      <c r="K630" t="s">
        <v>7</v>
      </c>
      <c r="L630" s="5" t="s">
        <v>7</v>
      </c>
      <c r="M630" s="5" t="s">
        <v>7</v>
      </c>
      <c r="N630" t="s">
        <v>7</v>
      </c>
      <c r="O630" s="5" t="s">
        <v>778</v>
      </c>
      <c r="P630" s="5" t="s">
        <v>7834</v>
      </c>
      <c r="R630" t="b">
        <v>1</v>
      </c>
    </row>
    <row r="631" spans="1:18">
      <c r="A631" t="s">
        <v>3018</v>
      </c>
      <c r="B631" t="s">
        <v>6159</v>
      </c>
      <c r="C631" t="s">
        <v>7735</v>
      </c>
      <c r="D631" s="1">
        <v>6</v>
      </c>
      <c r="E631" s="1">
        <v>10</v>
      </c>
      <c r="F631" s="1">
        <v>368</v>
      </c>
      <c r="G631" s="1">
        <v>374</v>
      </c>
      <c r="H631" s="17" cm="1">
        <f t="array" ref="H631">_xlfn.LET(_xlpm.s,IFERROR(--F631,""),_xlpm.e,IFERROR(--G631,""),IF(OR(_xlpm.s="",_xlpm.e="",_xlpm.e&lt;_xlpm.s),"",_xlfn.LET(_xlpm.p,_xlfn.SEQUENCE(_xlpm.e-_xlpm.s+1,1,_xlpm.s,1),SUM(1/COUNTIFS($D:$D,D631,$E:$E,E631,$F:$F,"&lt;&gt;N/A",$G:$G,"&lt;&gt;N/A",$F:$F,"&lt;="&amp;_xlpm.p,$G:$G,"&gt;="&amp;_xlpm.p)))))</f>
        <v>7</v>
      </c>
      <c r="I631" t="s">
        <v>7</v>
      </c>
      <c r="J631" t="s">
        <v>4371</v>
      </c>
      <c r="K631" t="s">
        <v>2440</v>
      </c>
      <c r="L631" s="5" t="s">
        <v>7</v>
      </c>
      <c r="M631" s="5" t="s">
        <v>7</v>
      </c>
      <c r="N631" s="5" t="s">
        <v>7</v>
      </c>
      <c r="O631" s="5" t="s">
        <v>778</v>
      </c>
      <c r="P631" s="5" t="s">
        <v>7834</v>
      </c>
      <c r="R631" t="b">
        <v>1</v>
      </c>
    </row>
    <row r="632" spans="1:18">
      <c r="A632" t="s">
        <v>3018</v>
      </c>
      <c r="B632" t="s">
        <v>6160</v>
      </c>
      <c r="C632" t="s">
        <v>7735</v>
      </c>
      <c r="D632" s="1">
        <v>6</v>
      </c>
      <c r="E632" s="1">
        <v>10</v>
      </c>
      <c r="F632" s="1">
        <v>375</v>
      </c>
      <c r="G632" s="1">
        <v>388</v>
      </c>
      <c r="H632" s="17" cm="1">
        <f t="array" ref="H632">_xlfn.LET(_xlpm.s,IFERROR(--F632,""),_xlpm.e,IFERROR(--G632,""),IF(OR(_xlpm.s="",_xlpm.e="",_xlpm.e&lt;_xlpm.s),"",_xlfn.LET(_xlpm.p,_xlfn.SEQUENCE(_xlpm.e-_xlpm.s+1,1,_xlpm.s,1),SUM(1/COUNTIFS($D:$D,D632,$E:$E,E632,$F:$F,"&lt;&gt;N/A",$G:$G,"&lt;&gt;N/A",$F:$F,"&lt;="&amp;_xlpm.p,$G:$G,"&gt;="&amp;_xlpm.p)))))</f>
        <v>14</v>
      </c>
      <c r="I632" s="38" t="s">
        <v>2573</v>
      </c>
      <c r="J632" t="s">
        <v>6340</v>
      </c>
      <c r="K632" t="s">
        <v>7</v>
      </c>
      <c r="L632" s="5" t="s">
        <v>7</v>
      </c>
      <c r="M632" s="5" t="s">
        <v>5397</v>
      </c>
      <c r="N632" t="s">
        <v>6758</v>
      </c>
      <c r="O632" s="5" t="s">
        <v>5072</v>
      </c>
      <c r="P632" s="5" t="s">
        <v>8021</v>
      </c>
      <c r="R632" t="b">
        <v>1</v>
      </c>
    </row>
    <row r="633" spans="1:18">
      <c r="A633" t="s">
        <v>3018</v>
      </c>
      <c r="B633" t="s">
        <v>6817</v>
      </c>
      <c r="C633" t="s">
        <v>7735</v>
      </c>
      <c r="D633" s="1">
        <v>6</v>
      </c>
      <c r="E633" s="1">
        <v>10</v>
      </c>
      <c r="F633" s="1">
        <v>389</v>
      </c>
      <c r="G633" s="1">
        <v>394</v>
      </c>
      <c r="H633" s="17" cm="1">
        <f t="array" ref="H633">_xlfn.LET(_xlpm.s,IFERROR(--F633,""),_xlpm.e,IFERROR(--G633,""),IF(OR(_xlpm.s="",_xlpm.e="",_xlpm.e&lt;_xlpm.s),"",_xlfn.LET(_xlpm.p,_xlfn.SEQUENCE(_xlpm.e-_xlpm.s+1,1,_xlpm.s,1),SUM(1/COUNTIFS($D:$D,D633,$E:$E,E633,$F:$F,"&lt;&gt;N/A",$G:$G,"&lt;&gt;N/A",$F:$F,"&lt;="&amp;_xlpm.p,$G:$G,"&gt;="&amp;_xlpm.p)))))</f>
        <v>6</v>
      </c>
      <c r="I633" s="38" t="s">
        <v>2581</v>
      </c>
      <c r="J633" t="s">
        <v>1862</v>
      </c>
      <c r="K633" t="s">
        <v>7</v>
      </c>
      <c r="L633" s="5" t="s">
        <v>6359</v>
      </c>
      <c r="M633" s="5" t="s">
        <v>6503</v>
      </c>
      <c r="N633" t="s">
        <v>6504</v>
      </c>
      <c r="O633" s="5" t="s">
        <v>5072</v>
      </c>
      <c r="P633" s="5" t="s">
        <v>8019</v>
      </c>
      <c r="Q633" s="5" t="s">
        <v>2509</v>
      </c>
      <c r="R633" t="b">
        <v>1</v>
      </c>
    </row>
    <row r="634" spans="1:18">
      <c r="A634" t="s">
        <v>3018</v>
      </c>
      <c r="B634" t="s">
        <v>6818</v>
      </c>
      <c r="C634" t="s">
        <v>7735</v>
      </c>
      <c r="D634" s="1">
        <v>6</v>
      </c>
      <c r="E634" s="1">
        <v>10</v>
      </c>
      <c r="F634" s="1">
        <v>395</v>
      </c>
      <c r="G634" s="1">
        <v>400</v>
      </c>
      <c r="H634" s="17" cm="1">
        <f t="array" ref="H634">_xlfn.LET(_xlpm.s,IFERROR(--F634,""),_xlpm.e,IFERROR(--G634,""),IF(OR(_xlpm.s="",_xlpm.e="",_xlpm.e&lt;_xlpm.s),"",_xlfn.LET(_xlpm.p,_xlfn.SEQUENCE(_xlpm.e-_xlpm.s+1,1,_xlpm.s,1),SUM(1/COUNTIFS($D:$D,D634,$E:$E,E634,$F:$F,"&lt;&gt;N/A",$G:$G,"&lt;&gt;N/A",$F:$F,"&lt;="&amp;_xlpm.p,$G:$G,"&gt;="&amp;_xlpm.p)))))</f>
        <v>6</v>
      </c>
      <c r="I634" s="38" t="s">
        <v>8</v>
      </c>
      <c r="J634" t="s">
        <v>4370</v>
      </c>
      <c r="K634" t="s">
        <v>7</v>
      </c>
      <c r="L634" s="5" t="s">
        <v>6360</v>
      </c>
      <c r="M634" s="5" t="s">
        <v>6505</v>
      </c>
      <c r="N634" t="s">
        <v>6506</v>
      </c>
      <c r="O634" s="5" t="s">
        <v>5072</v>
      </c>
      <c r="P634" s="5" t="s">
        <v>8019</v>
      </c>
      <c r="Q634" s="5" t="s">
        <v>2509</v>
      </c>
      <c r="R634" t="b">
        <v>1</v>
      </c>
    </row>
    <row r="635" spans="1:18">
      <c r="A635" t="s">
        <v>3018</v>
      </c>
      <c r="B635" t="s">
        <v>6161</v>
      </c>
      <c r="C635" t="s">
        <v>7736</v>
      </c>
      <c r="D635" s="1">
        <v>6</v>
      </c>
      <c r="E635" s="1">
        <v>11</v>
      </c>
      <c r="F635" s="1">
        <v>401</v>
      </c>
      <c r="G635" s="1">
        <v>403</v>
      </c>
      <c r="H635" s="17" cm="1">
        <f t="array" ref="H635">_xlfn.LET(_xlpm.s,IFERROR(--F635,""),_xlpm.e,IFERROR(--G635,""),IF(OR(_xlpm.s="",_xlpm.e="",_xlpm.e&lt;_xlpm.s),"",_xlfn.LET(_xlpm.p,_xlfn.SEQUENCE(_xlpm.e-_xlpm.s+1,1,_xlpm.s,1),SUM(1/COUNTIFS($D:$D,D635,$E:$E,E635,$F:$F,"&lt;&gt;N/A",$G:$G,"&lt;&gt;N/A",$F:$F,"&lt;="&amp;_xlpm.p,$G:$G,"&gt;="&amp;_xlpm.p)))))</f>
        <v>2.5</v>
      </c>
      <c r="I635" t="s">
        <v>5436</v>
      </c>
      <c r="J635" t="s">
        <v>5494</v>
      </c>
      <c r="K635" t="s">
        <v>7</v>
      </c>
      <c r="L635" s="5" t="s">
        <v>7</v>
      </c>
      <c r="M635" t="s">
        <v>7</v>
      </c>
      <c r="N635" t="s">
        <v>7</v>
      </c>
      <c r="O635" s="5" t="s">
        <v>778</v>
      </c>
      <c r="P635" s="5" t="s">
        <v>7834</v>
      </c>
      <c r="R635" t="b">
        <v>0</v>
      </c>
    </row>
    <row r="636" spans="1:18">
      <c r="A636" t="s">
        <v>3018</v>
      </c>
      <c r="B636" t="s">
        <v>6162</v>
      </c>
      <c r="C636" t="s">
        <v>7736</v>
      </c>
      <c r="D636" s="1">
        <v>6</v>
      </c>
      <c r="E636" s="1">
        <v>11</v>
      </c>
      <c r="F636" s="1">
        <v>403</v>
      </c>
      <c r="G636" s="1">
        <v>404</v>
      </c>
      <c r="H636" s="17" cm="1">
        <f t="array" ref="H636">_xlfn.LET(_xlpm.s,IFERROR(--F636,""),_xlpm.e,IFERROR(--G636,""),IF(OR(_xlpm.s="",_xlpm.e="",_xlpm.e&lt;_xlpm.s),"",_xlfn.LET(_xlpm.p,_xlfn.SEQUENCE(_xlpm.e-_xlpm.s+1,1,_xlpm.s,1),SUM(1/COUNTIFS($D:$D,D636,$E:$E,E636,$F:$F,"&lt;&gt;N/A",$G:$G,"&lt;&gt;N/A",$F:$F,"&lt;="&amp;_xlpm.p,$G:$G,"&gt;="&amp;_xlpm.p)))))</f>
        <v>1</v>
      </c>
      <c r="I636" t="s">
        <v>5436</v>
      </c>
      <c r="J636" t="s">
        <v>5495</v>
      </c>
      <c r="K636" t="s">
        <v>7</v>
      </c>
      <c r="L636" s="5" t="s">
        <v>7</v>
      </c>
      <c r="M636" t="s">
        <v>7</v>
      </c>
      <c r="N636" t="s">
        <v>7</v>
      </c>
      <c r="O636" s="5" t="s">
        <v>778</v>
      </c>
      <c r="P636" s="5" t="s">
        <v>7834</v>
      </c>
      <c r="R636" t="b">
        <v>0</v>
      </c>
    </row>
    <row r="637" spans="1:18">
      <c r="A637" t="s">
        <v>3018</v>
      </c>
      <c r="B637" t="s">
        <v>6163</v>
      </c>
      <c r="C637" t="s">
        <v>7736</v>
      </c>
      <c r="D637" s="1">
        <v>6</v>
      </c>
      <c r="E637" s="1">
        <v>11</v>
      </c>
      <c r="F637" s="1">
        <v>404</v>
      </c>
      <c r="G637" s="1">
        <v>405</v>
      </c>
      <c r="H637" s="17" cm="1">
        <f t="array" ref="H637">_xlfn.LET(_xlpm.s,IFERROR(--F637,""),_xlpm.e,IFERROR(--G637,""),IF(OR(_xlpm.s="",_xlpm.e="",_xlpm.e&lt;_xlpm.s),"",_xlfn.LET(_xlpm.p,_xlfn.SEQUENCE(_xlpm.e-_xlpm.s+1,1,_xlpm.s,1),SUM(1/COUNTIFS($D:$D,D637,$E:$E,E637,$F:$F,"&lt;&gt;N/A",$G:$G,"&lt;&gt;N/A",$F:$F,"&lt;="&amp;_xlpm.p,$G:$G,"&gt;="&amp;_xlpm.p)))))</f>
        <v>1</v>
      </c>
      <c r="I637" t="s">
        <v>5436</v>
      </c>
      <c r="J637" t="s">
        <v>5496</v>
      </c>
      <c r="K637" t="s">
        <v>7</v>
      </c>
      <c r="L637" s="5" t="s">
        <v>7</v>
      </c>
      <c r="M637" t="s">
        <v>7</v>
      </c>
      <c r="N637" t="s">
        <v>7</v>
      </c>
      <c r="O637" s="5" t="s">
        <v>778</v>
      </c>
      <c r="P637" s="5" t="s">
        <v>7834</v>
      </c>
      <c r="R637" t="b">
        <v>0</v>
      </c>
    </row>
    <row r="638" spans="1:18">
      <c r="A638" t="s">
        <v>3018</v>
      </c>
      <c r="B638" t="s">
        <v>6164</v>
      </c>
      <c r="C638" t="s">
        <v>7736</v>
      </c>
      <c r="D638" s="1">
        <v>6</v>
      </c>
      <c r="E638" s="1">
        <v>11</v>
      </c>
      <c r="F638" s="1">
        <v>405</v>
      </c>
      <c r="G638" s="1">
        <v>406</v>
      </c>
      <c r="H638" s="17" cm="1">
        <f t="array" ref="H638">_xlfn.LET(_xlpm.s,IFERROR(--F638,""),_xlpm.e,IFERROR(--G638,""),IF(OR(_xlpm.s="",_xlpm.e="",_xlpm.e&lt;_xlpm.s),"",_xlfn.LET(_xlpm.p,_xlfn.SEQUENCE(_xlpm.e-_xlpm.s+1,1,_xlpm.s,1),SUM(1/COUNTIFS($D:$D,D638,$E:$E,E638,$F:$F,"&lt;&gt;N/A",$G:$G,"&lt;&gt;N/A",$F:$F,"&lt;="&amp;_xlpm.p,$G:$G,"&gt;="&amp;_xlpm.p)))))</f>
        <v>1</v>
      </c>
      <c r="I638" t="s">
        <v>5436</v>
      </c>
      <c r="J638" t="s">
        <v>1863</v>
      </c>
      <c r="K638" t="s">
        <v>4654</v>
      </c>
      <c r="L638" s="5" t="s">
        <v>7</v>
      </c>
      <c r="M638" t="s">
        <v>7</v>
      </c>
      <c r="N638" t="s">
        <v>7</v>
      </c>
      <c r="O638" s="5" t="s">
        <v>778</v>
      </c>
      <c r="P638" s="5" t="s">
        <v>7834</v>
      </c>
      <c r="R638" t="b">
        <v>1</v>
      </c>
    </row>
    <row r="639" spans="1:18">
      <c r="A639" t="s">
        <v>3018</v>
      </c>
      <c r="B639" t="s">
        <v>6165</v>
      </c>
      <c r="C639" t="s">
        <v>7736</v>
      </c>
      <c r="D639" s="1">
        <v>6</v>
      </c>
      <c r="E639" s="1">
        <v>11</v>
      </c>
      <c r="F639" s="1">
        <v>406</v>
      </c>
      <c r="G639" s="1">
        <v>407</v>
      </c>
      <c r="H639" s="17" cm="1">
        <f t="array" ref="H639">_xlfn.LET(_xlpm.s,IFERROR(--F639,""),_xlpm.e,IFERROR(--G639,""),IF(OR(_xlpm.s="",_xlpm.e="",_xlpm.e&lt;_xlpm.s),"",_xlfn.LET(_xlpm.p,_xlfn.SEQUENCE(_xlpm.e-_xlpm.s+1,1,_xlpm.s,1),SUM(1/COUNTIFS($D:$D,D639,$E:$E,E639,$F:$F,"&lt;&gt;N/A",$G:$G,"&lt;&gt;N/A",$F:$F,"&lt;="&amp;_xlpm.p,$G:$G,"&gt;="&amp;_xlpm.p)))))</f>
        <v>1.5</v>
      </c>
      <c r="I639" t="s">
        <v>5436</v>
      </c>
      <c r="J639" t="s">
        <v>2480</v>
      </c>
      <c r="K639" t="s">
        <v>7</v>
      </c>
      <c r="L639" s="5" t="s">
        <v>7</v>
      </c>
      <c r="M639" t="s">
        <v>7</v>
      </c>
      <c r="N639" t="s">
        <v>7</v>
      </c>
      <c r="O639" s="5" t="s">
        <v>778</v>
      </c>
      <c r="P639" s="5" t="s">
        <v>7834</v>
      </c>
      <c r="R639" t="b">
        <v>1</v>
      </c>
    </row>
    <row r="640" spans="1:18">
      <c r="A640" t="s">
        <v>3018</v>
      </c>
      <c r="B640" t="s">
        <v>6166</v>
      </c>
      <c r="C640" t="s">
        <v>7736</v>
      </c>
      <c r="D640" s="1">
        <v>6</v>
      </c>
      <c r="E640" s="1">
        <v>11</v>
      </c>
      <c r="F640" s="1">
        <v>408</v>
      </c>
      <c r="G640" s="1">
        <v>419</v>
      </c>
      <c r="H640" s="17" cm="1">
        <f t="array" ref="H640">_xlfn.LET(_xlpm.s,IFERROR(--F640,""),_xlpm.e,IFERROR(--G640,""),IF(OR(_xlpm.s="",_xlpm.e="",_xlpm.e&lt;_xlpm.s),"",_xlfn.LET(_xlpm.p,_xlfn.SEQUENCE(_xlpm.e-_xlpm.s+1,1,_xlpm.s,1),SUM(1/COUNTIFS($D:$D,D640,$E:$E,E640,$F:$F,"&lt;&gt;N/A",$G:$G,"&lt;&gt;N/A",$F:$F,"&lt;="&amp;_xlpm.p,$G:$G,"&gt;="&amp;_xlpm.p)))))</f>
        <v>12</v>
      </c>
      <c r="I640" s="38" t="s">
        <v>2573</v>
      </c>
      <c r="J640" t="s">
        <v>6340</v>
      </c>
      <c r="K640" t="s">
        <v>7</v>
      </c>
      <c r="L640" s="5" t="s">
        <v>7</v>
      </c>
      <c r="M640" s="5" t="s">
        <v>5397</v>
      </c>
      <c r="N640" t="s">
        <v>8076</v>
      </c>
      <c r="O640" s="5" t="s">
        <v>5072</v>
      </c>
      <c r="P640" s="5" t="s">
        <v>8021</v>
      </c>
      <c r="R640" t="b">
        <v>1</v>
      </c>
    </row>
    <row r="641" spans="1:18">
      <c r="A641" t="s">
        <v>3018</v>
      </c>
      <c r="B641" t="s">
        <v>6819</v>
      </c>
      <c r="C641" t="s">
        <v>7736</v>
      </c>
      <c r="D641" s="1">
        <v>6</v>
      </c>
      <c r="E641" s="1">
        <v>11</v>
      </c>
      <c r="F641" s="1">
        <v>420</v>
      </c>
      <c r="G641" s="1">
        <v>436</v>
      </c>
      <c r="H641" s="17" cm="1">
        <f t="array" ref="H641">_xlfn.LET(_xlpm.s,IFERROR(--F641,""),_xlpm.e,IFERROR(--G641,""),IF(OR(_xlpm.s="",_xlpm.e="",_xlpm.e&lt;_xlpm.s),"",_xlfn.LET(_xlpm.p,_xlfn.SEQUENCE(_xlpm.e-_xlpm.s+1,1,_xlpm.s,1),SUM(1/COUNTIFS($D:$D,D641,$E:$E,E641,$F:$F,"&lt;&gt;N/A",$G:$G,"&lt;&gt;N/A",$F:$F,"&lt;="&amp;_xlpm.p,$G:$G,"&gt;="&amp;_xlpm.p)))))</f>
        <v>17</v>
      </c>
      <c r="I641" s="38" t="s">
        <v>2658</v>
      </c>
      <c r="J641" t="s">
        <v>6339</v>
      </c>
      <c r="K641" t="s">
        <v>7</v>
      </c>
      <c r="L641" s="5" t="s">
        <v>7</v>
      </c>
      <c r="M641" s="5" t="s">
        <v>5428</v>
      </c>
      <c r="N641" t="s">
        <v>8077</v>
      </c>
      <c r="O641" s="5" t="s">
        <v>5072</v>
      </c>
      <c r="P641" s="5" t="s">
        <v>8021</v>
      </c>
      <c r="R641" t="b">
        <v>1</v>
      </c>
    </row>
    <row r="642" spans="1:18">
      <c r="A642" t="s">
        <v>3018</v>
      </c>
      <c r="B642" t="s">
        <v>6820</v>
      </c>
      <c r="C642" t="s">
        <v>7736</v>
      </c>
      <c r="D642" s="1">
        <v>6</v>
      </c>
      <c r="E642" s="1">
        <v>11</v>
      </c>
      <c r="F642" s="1">
        <v>437</v>
      </c>
      <c r="G642" s="1">
        <v>440</v>
      </c>
      <c r="H642" s="17" cm="1">
        <f t="array" ref="H642">_xlfn.LET(_xlpm.s,IFERROR(--F642,""),_xlpm.e,IFERROR(--G642,""),IF(OR(_xlpm.s="",_xlpm.e="",_xlpm.e&lt;_xlpm.s),"",_xlfn.LET(_xlpm.p,_xlfn.SEQUENCE(_xlpm.e-_xlpm.s+1,1,_xlpm.s,1),SUM(1/COUNTIFS($D:$D,D642,$E:$E,E642,$F:$F,"&lt;&gt;N/A",$G:$G,"&lt;&gt;N/A",$F:$F,"&lt;="&amp;_xlpm.p,$G:$G,"&gt;="&amp;_xlpm.p)))))</f>
        <v>4</v>
      </c>
      <c r="I642" s="38" t="s">
        <v>170</v>
      </c>
      <c r="J642" t="s">
        <v>2482</v>
      </c>
      <c r="K642" t="s">
        <v>7</v>
      </c>
      <c r="L642" s="5" t="s">
        <v>7</v>
      </c>
      <c r="M642" s="5" t="s">
        <v>7</v>
      </c>
      <c r="N642" t="s">
        <v>2481</v>
      </c>
      <c r="O642" s="5" t="s">
        <v>5072</v>
      </c>
      <c r="P642" s="5" t="s">
        <v>8021</v>
      </c>
      <c r="R642" t="b">
        <v>1</v>
      </c>
    </row>
    <row r="643" spans="1:18">
      <c r="A643" t="s">
        <v>3018</v>
      </c>
      <c r="B643" t="s">
        <v>6167</v>
      </c>
      <c r="C643" t="s">
        <v>7737</v>
      </c>
      <c r="D643" s="1">
        <v>6</v>
      </c>
      <c r="E643" s="1">
        <v>12</v>
      </c>
      <c r="F643" s="1">
        <v>441</v>
      </c>
      <c r="G643" s="1">
        <v>441</v>
      </c>
      <c r="H643" s="17" cm="1">
        <f t="array" ref="H643">_xlfn.LET(_xlpm.s,IFERROR(--F643,""),_xlpm.e,IFERROR(--G643,""),IF(OR(_xlpm.s="",_xlpm.e="",_xlpm.e&lt;_xlpm.s),"",_xlfn.LET(_xlpm.p,_xlfn.SEQUENCE(_xlpm.e-_xlpm.s+1,1,_xlpm.s,1),SUM(1/COUNTIFS($D:$D,D643,$E:$E,E643,$F:$F,"&lt;&gt;N/A",$G:$G,"&lt;&gt;N/A",$F:$F,"&lt;="&amp;_xlpm.p,$G:$G,"&gt;="&amp;_xlpm.p)))))</f>
        <v>1</v>
      </c>
      <c r="I643" t="s">
        <v>5436</v>
      </c>
      <c r="J643" t="s">
        <v>5506</v>
      </c>
      <c r="K643" t="s">
        <v>7</v>
      </c>
      <c r="L643" s="5" t="s">
        <v>7</v>
      </c>
      <c r="M643" s="5" t="s">
        <v>7</v>
      </c>
      <c r="N643" t="s">
        <v>7</v>
      </c>
      <c r="O643" s="5" t="s">
        <v>778</v>
      </c>
      <c r="P643" s="5" t="s">
        <v>7834</v>
      </c>
      <c r="R643" t="b">
        <v>0</v>
      </c>
    </row>
    <row r="644" spans="1:18">
      <c r="A644" t="s">
        <v>3018</v>
      </c>
      <c r="B644" t="s">
        <v>6168</v>
      </c>
      <c r="C644" t="s">
        <v>7737</v>
      </c>
      <c r="D644" s="1">
        <v>6</v>
      </c>
      <c r="E644" s="1">
        <v>12</v>
      </c>
      <c r="F644" s="1">
        <v>442</v>
      </c>
      <c r="G644" s="1">
        <v>443</v>
      </c>
      <c r="H644" s="17" cm="1">
        <f t="array" ref="H644">_xlfn.LET(_xlpm.s,IFERROR(--F644,""),_xlpm.e,IFERROR(--G644,""),IF(OR(_xlpm.s="",_xlpm.e="",_xlpm.e&lt;_xlpm.s),"",_xlfn.LET(_xlpm.p,_xlfn.SEQUENCE(_xlpm.e-_xlpm.s+1,1,_xlpm.s,1),SUM(1/COUNTIFS($D:$D,D644,$E:$E,E644,$F:$F,"&lt;&gt;N/A",$G:$G,"&lt;&gt;N/A",$F:$F,"&lt;="&amp;_xlpm.p,$G:$G,"&gt;="&amp;_xlpm.p)))))</f>
        <v>1.5</v>
      </c>
      <c r="I644" t="s">
        <v>5436</v>
      </c>
      <c r="J644" t="s">
        <v>5507</v>
      </c>
      <c r="K644" t="s">
        <v>7</v>
      </c>
      <c r="L644" s="5" t="s">
        <v>7</v>
      </c>
      <c r="M644" s="5" t="s">
        <v>7</v>
      </c>
      <c r="N644" t="s">
        <v>7</v>
      </c>
      <c r="O644" s="5" t="s">
        <v>778</v>
      </c>
      <c r="P644" s="5" t="s">
        <v>7834</v>
      </c>
      <c r="R644" t="b">
        <v>0</v>
      </c>
    </row>
    <row r="645" spans="1:18">
      <c r="A645" t="s">
        <v>3018</v>
      </c>
      <c r="B645" t="s">
        <v>6169</v>
      </c>
      <c r="C645" t="s">
        <v>7737</v>
      </c>
      <c r="D645" s="1">
        <v>6</v>
      </c>
      <c r="E645" s="1">
        <v>12</v>
      </c>
      <c r="F645" s="1">
        <v>443</v>
      </c>
      <c r="G645" s="1">
        <v>444</v>
      </c>
      <c r="H645" s="17" cm="1">
        <f t="array" ref="H645">_xlfn.LET(_xlpm.s,IFERROR(--F645,""),_xlpm.e,IFERROR(--G645,""),IF(OR(_xlpm.s="",_xlpm.e="",_xlpm.e&lt;_xlpm.s),"",_xlfn.LET(_xlpm.p,_xlfn.SEQUENCE(_xlpm.e-_xlpm.s+1,1,_xlpm.s,1),SUM(1/COUNTIFS($D:$D,D645,$E:$E,E645,$F:$F,"&lt;&gt;N/A",$G:$G,"&lt;&gt;N/A",$F:$F,"&lt;="&amp;_xlpm.p,$G:$G,"&gt;="&amp;_xlpm.p)))))</f>
        <v>0.83333333333333326</v>
      </c>
      <c r="I645" t="s">
        <v>5436</v>
      </c>
      <c r="J645" t="s">
        <v>5508</v>
      </c>
      <c r="K645" t="s">
        <v>7</v>
      </c>
      <c r="L645" s="5" t="s">
        <v>7</v>
      </c>
      <c r="M645" s="5" t="s">
        <v>7</v>
      </c>
      <c r="N645" t="s">
        <v>7</v>
      </c>
      <c r="O645" s="5" t="s">
        <v>778</v>
      </c>
      <c r="P645" s="5" t="s">
        <v>7834</v>
      </c>
      <c r="R645" t="b">
        <v>0</v>
      </c>
    </row>
    <row r="646" spans="1:18">
      <c r="A646" t="s">
        <v>3018</v>
      </c>
      <c r="B646" t="s">
        <v>6170</v>
      </c>
      <c r="C646" t="s">
        <v>7737</v>
      </c>
      <c r="D646" s="1">
        <v>6</v>
      </c>
      <c r="E646" s="1">
        <v>12</v>
      </c>
      <c r="F646" s="1">
        <v>444</v>
      </c>
      <c r="G646" s="1">
        <v>444</v>
      </c>
      <c r="H646" s="17" cm="1">
        <f t="array" ref="H646">_xlfn.LET(_xlpm.s,IFERROR(--F646,""),_xlpm.e,IFERROR(--G646,""),IF(OR(_xlpm.s="",_xlpm.e="",_xlpm.e&lt;_xlpm.s),"",_xlfn.LET(_xlpm.p,_xlfn.SEQUENCE(_xlpm.e-_xlpm.s+1,1,_xlpm.s,1),SUM(1/COUNTIFS($D:$D,D646,$E:$E,E646,$F:$F,"&lt;&gt;N/A",$G:$G,"&lt;&gt;N/A",$F:$F,"&lt;="&amp;_xlpm.p,$G:$G,"&gt;="&amp;_xlpm.p)))))</f>
        <v>0.33333333333333331</v>
      </c>
      <c r="I646" t="s">
        <v>5436</v>
      </c>
      <c r="J646" t="s">
        <v>5509</v>
      </c>
      <c r="K646" t="s">
        <v>7</v>
      </c>
      <c r="L646" s="5" t="s">
        <v>7</v>
      </c>
      <c r="M646" s="5" t="s">
        <v>7</v>
      </c>
      <c r="N646" t="s">
        <v>7</v>
      </c>
      <c r="O646" s="5" t="s">
        <v>778</v>
      </c>
      <c r="P646" s="5" t="s">
        <v>7834</v>
      </c>
      <c r="R646" t="b">
        <v>0</v>
      </c>
    </row>
    <row r="647" spans="1:18">
      <c r="A647" t="s">
        <v>3018</v>
      </c>
      <c r="B647" t="s">
        <v>6171</v>
      </c>
      <c r="C647" t="s">
        <v>7737</v>
      </c>
      <c r="D647" s="1">
        <v>6</v>
      </c>
      <c r="E647" s="1">
        <v>12</v>
      </c>
      <c r="F647" s="1">
        <v>444</v>
      </c>
      <c r="G647" s="1">
        <v>445</v>
      </c>
      <c r="H647" s="17" cm="1">
        <f t="array" ref="H647">_xlfn.LET(_xlpm.s,IFERROR(--F647,""),_xlpm.e,IFERROR(--G647,""),IF(OR(_xlpm.s="",_xlpm.e="",_xlpm.e&lt;_xlpm.s),"",_xlfn.LET(_xlpm.p,_xlfn.SEQUENCE(_xlpm.e-_xlpm.s+1,1,_xlpm.s,1),SUM(1/COUNTIFS($D:$D,D647,$E:$E,E647,$F:$F,"&lt;&gt;N/A",$G:$G,"&lt;&gt;N/A",$F:$F,"&lt;="&amp;_xlpm.p,$G:$G,"&gt;="&amp;_xlpm.p)))))</f>
        <v>1.3333333333333333</v>
      </c>
      <c r="I647" t="s">
        <v>5436</v>
      </c>
      <c r="J647" t="s">
        <v>6345</v>
      </c>
      <c r="K647" t="s">
        <v>2440</v>
      </c>
      <c r="L647" s="5" t="s">
        <v>7</v>
      </c>
      <c r="M647" s="5" t="s">
        <v>7</v>
      </c>
      <c r="N647" t="s">
        <v>7</v>
      </c>
      <c r="O647" s="5" t="s">
        <v>778</v>
      </c>
      <c r="P647" s="5" t="s">
        <v>7834</v>
      </c>
      <c r="R647" t="b">
        <v>1</v>
      </c>
    </row>
    <row r="648" spans="1:18">
      <c r="A648" t="s">
        <v>3018</v>
      </c>
      <c r="B648" t="s">
        <v>6172</v>
      </c>
      <c r="C648" t="s">
        <v>7737</v>
      </c>
      <c r="D648" s="1">
        <v>6</v>
      </c>
      <c r="E648" s="1">
        <v>12</v>
      </c>
      <c r="F648" s="1">
        <v>446</v>
      </c>
      <c r="G648" s="1">
        <v>451</v>
      </c>
      <c r="H648" s="17" cm="1">
        <f t="array" ref="H648">_xlfn.LET(_xlpm.s,IFERROR(--F648,""),_xlpm.e,IFERROR(--G648,""),IF(OR(_xlpm.s="",_xlpm.e="",_xlpm.e&lt;_xlpm.s),"",_xlfn.LET(_xlpm.p,_xlfn.SEQUENCE(_xlpm.e-_xlpm.s+1,1,_xlpm.s,1),SUM(1/COUNTIFS($D:$D,D648,$E:$E,E648,$F:$F,"&lt;&gt;N/A",$G:$G,"&lt;&gt;N/A",$F:$F,"&lt;="&amp;_xlpm.p,$G:$G,"&gt;="&amp;_xlpm.p)))))</f>
        <v>6</v>
      </c>
      <c r="I648" t="s">
        <v>2573</v>
      </c>
      <c r="J648" t="s">
        <v>6346</v>
      </c>
      <c r="K648" t="s">
        <v>7</v>
      </c>
      <c r="L648" s="5" t="s">
        <v>6341</v>
      </c>
      <c r="M648" s="5" t="s">
        <v>5397</v>
      </c>
      <c r="N648" t="s">
        <v>6347</v>
      </c>
      <c r="O648" s="5" t="s">
        <v>5072</v>
      </c>
      <c r="P648" s="5" t="s">
        <v>8021</v>
      </c>
      <c r="Q648" s="5" t="s">
        <v>2509</v>
      </c>
      <c r="R648" t="b">
        <v>1</v>
      </c>
    </row>
    <row r="649" spans="1:18">
      <c r="A649" t="s">
        <v>3018</v>
      </c>
      <c r="B649" t="s">
        <v>6173</v>
      </c>
      <c r="C649" t="s">
        <v>7737</v>
      </c>
      <c r="D649" s="1">
        <v>6</v>
      </c>
      <c r="E649" s="1">
        <v>12</v>
      </c>
      <c r="F649" s="1">
        <v>452</v>
      </c>
      <c r="G649" s="1">
        <v>456</v>
      </c>
      <c r="H649" s="17" cm="1">
        <f t="array" ref="H649">_xlfn.LET(_xlpm.s,IFERROR(--F649,""),_xlpm.e,IFERROR(--G649,""),IF(OR(_xlpm.s="",_xlpm.e="",_xlpm.e&lt;_xlpm.s),"",_xlfn.LET(_xlpm.p,_xlfn.SEQUENCE(_xlpm.e-_xlpm.s+1,1,_xlpm.s,1),SUM(1/COUNTIFS($D:$D,D649,$E:$E,E649,$F:$F,"&lt;&gt;N/A",$G:$G,"&lt;&gt;N/A",$F:$F,"&lt;="&amp;_xlpm.p,$G:$G,"&gt;="&amp;_xlpm.p)))))</f>
        <v>5</v>
      </c>
      <c r="I649" t="s">
        <v>2580</v>
      </c>
      <c r="J649" t="s">
        <v>2661</v>
      </c>
      <c r="K649" t="s">
        <v>4655</v>
      </c>
      <c r="L649" s="5" t="s">
        <v>6342</v>
      </c>
      <c r="M649" s="5" t="s">
        <v>5397</v>
      </c>
      <c r="N649" t="s">
        <v>6348</v>
      </c>
      <c r="O649" s="5" t="s">
        <v>5072</v>
      </c>
      <c r="P649" s="5" t="s">
        <v>8021</v>
      </c>
      <c r="Q649" s="5" t="s">
        <v>2509</v>
      </c>
      <c r="R649" t="b">
        <v>1</v>
      </c>
    </row>
    <row r="650" spans="1:18">
      <c r="A650" t="s">
        <v>3018</v>
      </c>
      <c r="B650" t="s">
        <v>6821</v>
      </c>
      <c r="C650" t="s">
        <v>7737</v>
      </c>
      <c r="D650" s="1">
        <v>6</v>
      </c>
      <c r="E650" s="1">
        <v>12</v>
      </c>
      <c r="F650" s="1">
        <v>457</v>
      </c>
      <c r="G650" s="1">
        <v>467</v>
      </c>
      <c r="H650" s="17" cm="1">
        <f t="array" ref="H650">_xlfn.LET(_xlpm.s,IFERROR(--F650,""),_xlpm.e,IFERROR(--G650,""),IF(OR(_xlpm.s="",_xlpm.e="",_xlpm.e&lt;_xlpm.s),"",_xlfn.LET(_xlpm.p,_xlfn.SEQUENCE(_xlpm.e-_xlpm.s+1,1,_xlpm.s,1),SUM(1/COUNTIFS($D:$D,D650,$E:$E,E650,$F:$F,"&lt;&gt;N/A",$G:$G,"&lt;&gt;N/A",$F:$F,"&lt;="&amp;_xlpm.p,$G:$G,"&gt;="&amp;_xlpm.p)))))</f>
        <v>11</v>
      </c>
      <c r="I650" t="s">
        <v>2580</v>
      </c>
      <c r="J650" t="s">
        <v>6343</v>
      </c>
      <c r="K650" t="s">
        <v>7</v>
      </c>
      <c r="L650" s="5" t="s">
        <v>7</v>
      </c>
      <c r="M650" s="5" t="s">
        <v>5428</v>
      </c>
      <c r="N650" t="s">
        <v>6351</v>
      </c>
      <c r="O650" s="5" t="s">
        <v>5072</v>
      </c>
      <c r="P650" s="5" t="s">
        <v>8021</v>
      </c>
      <c r="R650" t="b">
        <v>1</v>
      </c>
    </row>
    <row r="651" spans="1:18">
      <c r="A651" t="s">
        <v>3018</v>
      </c>
      <c r="B651" t="s">
        <v>6822</v>
      </c>
      <c r="C651" t="s">
        <v>7737</v>
      </c>
      <c r="D651" s="1">
        <v>6</v>
      </c>
      <c r="E651" s="1">
        <v>12</v>
      </c>
      <c r="F651" s="1">
        <v>468</v>
      </c>
      <c r="G651" s="1">
        <v>480</v>
      </c>
      <c r="H651" s="17" cm="1">
        <f t="array" ref="H651">_xlfn.LET(_xlpm.s,IFERROR(--F651,""),_xlpm.e,IFERROR(--G651,""),IF(OR(_xlpm.s="",_xlpm.e="",_xlpm.e&lt;_xlpm.s),"",_xlfn.LET(_xlpm.p,_xlfn.SEQUENCE(_xlpm.e-_xlpm.s+1,1,_xlpm.s,1),SUM(1/COUNTIFS($D:$D,D651,$E:$E,E651,$F:$F,"&lt;&gt;N/A",$G:$G,"&lt;&gt;N/A",$F:$F,"&lt;="&amp;_xlpm.p,$G:$G,"&gt;="&amp;_xlpm.p)))))</f>
        <v>13</v>
      </c>
      <c r="I651" t="s">
        <v>2580</v>
      </c>
      <c r="J651" t="s">
        <v>6349</v>
      </c>
      <c r="K651" t="s">
        <v>4656</v>
      </c>
      <c r="L651" s="5" t="s">
        <v>4651</v>
      </c>
      <c r="M651" s="5" t="s">
        <v>5150</v>
      </c>
      <c r="N651" t="s">
        <v>6350</v>
      </c>
      <c r="O651" s="5" t="s">
        <v>5072</v>
      </c>
      <c r="P651" s="5" t="s">
        <v>8021</v>
      </c>
      <c r="Q651" s="5" t="s">
        <v>2509</v>
      </c>
      <c r="R651" t="b">
        <v>1</v>
      </c>
    </row>
    <row r="652" spans="1:18">
      <c r="A652" t="s">
        <v>3017</v>
      </c>
      <c r="B652" t="s">
        <v>6174</v>
      </c>
      <c r="C652" t="s">
        <v>7747</v>
      </c>
      <c r="D652" s="1">
        <v>7</v>
      </c>
      <c r="E652" s="1">
        <v>1</v>
      </c>
      <c r="F652" s="1">
        <v>1</v>
      </c>
      <c r="G652" s="1">
        <v>2</v>
      </c>
      <c r="H652" s="17" cm="1">
        <f t="array" ref="H652">_xlfn.LET(_xlpm.s,IFERROR(--F652,""),_xlpm.e,IFERROR(--G652,""),IF(OR(_xlpm.s="",_xlpm.e="",_xlpm.e&lt;_xlpm.s),"",_xlfn.LET(_xlpm.p,_xlfn.SEQUENCE(_xlpm.e-_xlpm.s+1,1,_xlpm.s,1),SUM(1/COUNTIFS($D:$D,D652,$E:$E,E652,$F:$F,"&lt;&gt;N/A",$G:$G,"&lt;&gt;N/A",$F:$F,"&lt;="&amp;_xlpm.p,$G:$G,"&gt;="&amp;_xlpm.p)))))</f>
        <v>2</v>
      </c>
      <c r="I652" t="s">
        <v>5436</v>
      </c>
      <c r="J652" t="s">
        <v>5510</v>
      </c>
      <c r="K652" t="s">
        <v>7</v>
      </c>
      <c r="L652" s="5" t="s">
        <v>7</v>
      </c>
      <c r="M652" s="5" t="s">
        <v>7</v>
      </c>
      <c r="N652" t="s">
        <v>7</v>
      </c>
      <c r="O652" s="5" t="s">
        <v>778</v>
      </c>
      <c r="P652" s="5" t="s">
        <v>7834</v>
      </c>
      <c r="R652" t="b">
        <v>0</v>
      </c>
    </row>
    <row r="653" spans="1:18">
      <c r="A653" t="s">
        <v>3017</v>
      </c>
      <c r="B653" t="s">
        <v>6175</v>
      </c>
      <c r="C653" t="s">
        <v>7747</v>
      </c>
      <c r="D653" s="1">
        <v>7</v>
      </c>
      <c r="E653" s="1">
        <v>1</v>
      </c>
      <c r="F653" s="1">
        <v>3</v>
      </c>
      <c r="G653" s="1">
        <v>6</v>
      </c>
      <c r="H653" s="17" cm="1">
        <f t="array" ref="H653">_xlfn.LET(_xlpm.s,IFERROR(--F653,""),_xlpm.e,IFERROR(--G653,""),IF(OR(_xlpm.s="",_xlpm.e="",_xlpm.e&lt;_xlpm.s),"",_xlfn.LET(_xlpm.p,_xlfn.SEQUENCE(_xlpm.e-_xlpm.s+1,1,_xlpm.s,1),SUM(1/COUNTIFS($D:$D,D653,$E:$E,E653,$F:$F,"&lt;&gt;N/A",$G:$G,"&lt;&gt;N/A",$F:$F,"&lt;="&amp;_xlpm.p,$G:$G,"&gt;="&amp;_xlpm.p)))))</f>
        <v>4</v>
      </c>
      <c r="I653" t="s">
        <v>2573</v>
      </c>
      <c r="J653" t="s">
        <v>6481</v>
      </c>
      <c r="K653" t="s">
        <v>7</v>
      </c>
      <c r="L653" s="5" t="s">
        <v>7</v>
      </c>
      <c r="M653" s="5" t="s">
        <v>5397</v>
      </c>
      <c r="N653" t="s">
        <v>8078</v>
      </c>
      <c r="O653" s="5" t="s">
        <v>5072</v>
      </c>
      <c r="P653" s="5" t="s">
        <v>8021</v>
      </c>
      <c r="R653" t="b">
        <v>1</v>
      </c>
    </row>
    <row r="654" spans="1:18">
      <c r="A654" t="s">
        <v>3017</v>
      </c>
      <c r="B654" t="s">
        <v>6176</v>
      </c>
      <c r="C654" t="s">
        <v>7747</v>
      </c>
      <c r="D654" s="1">
        <v>7</v>
      </c>
      <c r="E654" s="1">
        <v>1</v>
      </c>
      <c r="F654" s="1">
        <v>7</v>
      </c>
      <c r="G654" s="1">
        <v>22</v>
      </c>
      <c r="H654" s="17" cm="1">
        <f t="array" ref="H654">_xlfn.LET(_xlpm.s,IFERROR(--F654,""),_xlpm.e,IFERROR(--G654,""),IF(OR(_xlpm.s="",_xlpm.e="",_xlpm.e&lt;_xlpm.s),"",_xlfn.LET(_xlpm.p,_xlfn.SEQUENCE(_xlpm.e-_xlpm.s+1,1,_xlpm.s,1),SUM(1/COUNTIFS($D:$D,D654,$E:$E,E654,$F:$F,"&lt;&gt;N/A",$G:$G,"&lt;&gt;N/A",$F:$F,"&lt;="&amp;_xlpm.p,$G:$G,"&gt;="&amp;_xlpm.p)))))</f>
        <v>16</v>
      </c>
      <c r="I654" t="s">
        <v>2658</v>
      </c>
      <c r="J654" t="s">
        <v>6480</v>
      </c>
      <c r="K654" t="s">
        <v>7</v>
      </c>
      <c r="L654" s="5" t="s">
        <v>7</v>
      </c>
      <c r="M654" s="5" t="s">
        <v>5428</v>
      </c>
      <c r="N654" t="s">
        <v>8079</v>
      </c>
      <c r="O654" s="5" t="s">
        <v>5072</v>
      </c>
      <c r="P654" s="5" t="s">
        <v>8021</v>
      </c>
      <c r="R654" t="b">
        <v>1</v>
      </c>
    </row>
    <row r="655" spans="1:18">
      <c r="A655" t="s">
        <v>3017</v>
      </c>
      <c r="B655" t="s">
        <v>6177</v>
      </c>
      <c r="C655" t="s">
        <v>7747</v>
      </c>
      <c r="D655" s="1">
        <v>7</v>
      </c>
      <c r="E655" s="1">
        <v>1</v>
      </c>
      <c r="F655" s="1">
        <v>23</v>
      </c>
      <c r="G655" s="1">
        <v>24</v>
      </c>
      <c r="H655" s="17" cm="1">
        <f t="array" ref="H655">_xlfn.LET(_xlpm.s,IFERROR(--F655,""),_xlpm.e,IFERROR(--G655,""),IF(OR(_xlpm.s="",_xlpm.e="",_xlpm.e&lt;_xlpm.s),"",_xlfn.LET(_xlpm.p,_xlfn.SEQUENCE(_xlpm.e-_xlpm.s+1,1,_xlpm.s,1),SUM(1/COUNTIFS($D:$D,D655,$E:$E,E655,$F:$F,"&lt;&gt;N/A",$G:$G,"&lt;&gt;N/A",$F:$F,"&lt;="&amp;_xlpm.p,$G:$G,"&gt;="&amp;_xlpm.p)))))</f>
        <v>2</v>
      </c>
      <c r="I655" t="s">
        <v>2581</v>
      </c>
      <c r="J655" t="s">
        <v>2662</v>
      </c>
      <c r="K655" t="s">
        <v>7</v>
      </c>
      <c r="L655" s="5" t="s">
        <v>4657</v>
      </c>
      <c r="M655" t="s">
        <v>7</v>
      </c>
      <c r="N655" t="s">
        <v>7</v>
      </c>
      <c r="O655" s="5" t="s">
        <v>5072</v>
      </c>
      <c r="P655" s="5" t="s">
        <v>8020</v>
      </c>
      <c r="Q655" s="5" t="s">
        <v>2509</v>
      </c>
      <c r="R655" t="b">
        <v>1</v>
      </c>
    </row>
    <row r="656" spans="1:18">
      <c r="A656" t="s">
        <v>3017</v>
      </c>
      <c r="B656" t="s">
        <v>6178</v>
      </c>
      <c r="C656" t="s">
        <v>7747</v>
      </c>
      <c r="D656" s="1">
        <v>7</v>
      </c>
      <c r="E656" s="1">
        <v>1</v>
      </c>
      <c r="F656" s="1">
        <v>25</v>
      </c>
      <c r="G656" s="1">
        <v>27</v>
      </c>
      <c r="H656" s="17" cm="1">
        <f t="array" ref="H656">_xlfn.LET(_xlpm.s,IFERROR(--F656,""),_xlpm.e,IFERROR(--G656,""),IF(OR(_xlpm.s="",_xlpm.e="",_xlpm.e&lt;_xlpm.s),"",_xlfn.LET(_xlpm.p,_xlfn.SEQUENCE(_xlpm.e-_xlpm.s+1,1,_xlpm.s,1),SUM(1/COUNTIFS($D:$D,D656,$E:$E,E656,$F:$F,"&lt;&gt;N/A",$G:$G,"&lt;&gt;N/A",$F:$F,"&lt;="&amp;_xlpm.p,$G:$G,"&gt;="&amp;_xlpm.p)))))</f>
        <v>3</v>
      </c>
      <c r="I656" t="s">
        <v>2581</v>
      </c>
      <c r="J656" t="s">
        <v>1864</v>
      </c>
      <c r="K656" t="s">
        <v>7</v>
      </c>
      <c r="L656" s="5" t="s">
        <v>4651</v>
      </c>
      <c r="M656" s="5" t="s">
        <v>5150</v>
      </c>
      <c r="N656" t="s">
        <v>5151</v>
      </c>
      <c r="O656" s="5" t="s">
        <v>5072</v>
      </c>
      <c r="P656" s="5" t="s">
        <v>8021</v>
      </c>
      <c r="R656" t="b">
        <v>1</v>
      </c>
    </row>
    <row r="657" spans="1:18">
      <c r="A657" t="s">
        <v>3017</v>
      </c>
      <c r="B657" t="s">
        <v>6179</v>
      </c>
      <c r="C657" t="s">
        <v>7747</v>
      </c>
      <c r="D657" s="1">
        <v>7</v>
      </c>
      <c r="E657" s="1">
        <v>1</v>
      </c>
      <c r="F657" s="1">
        <v>28</v>
      </c>
      <c r="G657" s="1">
        <v>30</v>
      </c>
      <c r="H657" s="17" cm="1">
        <f t="array" ref="H657">_xlfn.LET(_xlpm.s,IFERROR(--F657,""),_xlpm.e,IFERROR(--G657,""),IF(OR(_xlpm.s="",_xlpm.e="",_xlpm.e&lt;_xlpm.s),"",_xlfn.LET(_xlpm.p,_xlfn.SEQUENCE(_xlpm.e-_xlpm.s+1,1,_xlpm.s,1),SUM(1/COUNTIFS($D:$D,D657,$E:$E,E657,$F:$F,"&lt;&gt;N/A",$G:$G,"&lt;&gt;N/A",$F:$F,"&lt;="&amp;_xlpm.p,$G:$G,"&gt;="&amp;_xlpm.p)))))</f>
        <v>3</v>
      </c>
      <c r="I657" t="s">
        <v>170</v>
      </c>
      <c r="J657" t="s">
        <v>2663</v>
      </c>
      <c r="K657" t="s">
        <v>7</v>
      </c>
      <c r="L657" s="5" t="s">
        <v>4651</v>
      </c>
      <c r="M657" s="5" t="s">
        <v>5150</v>
      </c>
      <c r="N657" t="s">
        <v>5152</v>
      </c>
      <c r="O657" s="5" t="s">
        <v>5072</v>
      </c>
      <c r="P657" s="5" t="s">
        <v>8021</v>
      </c>
      <c r="R657" t="b">
        <v>1</v>
      </c>
    </row>
    <row r="658" spans="1:18">
      <c r="A658" t="s">
        <v>3017</v>
      </c>
      <c r="B658" t="s">
        <v>6823</v>
      </c>
      <c r="C658" t="s">
        <v>7747</v>
      </c>
      <c r="D658" s="1">
        <v>7</v>
      </c>
      <c r="E658" s="1">
        <v>1</v>
      </c>
      <c r="F658" s="1">
        <v>31</v>
      </c>
      <c r="G658" s="1">
        <v>33</v>
      </c>
      <c r="H658" s="17" cm="1">
        <f t="array" ref="H658">_xlfn.LET(_xlpm.s,IFERROR(--F658,""),_xlpm.e,IFERROR(--G658,""),IF(OR(_xlpm.s="",_xlpm.e="",_xlpm.e&lt;_xlpm.s),"",_xlfn.LET(_xlpm.p,_xlfn.SEQUENCE(_xlpm.e-_xlpm.s+1,1,_xlpm.s,1),SUM(1/COUNTIFS($D:$D,D658,$E:$E,E658,$F:$F,"&lt;&gt;N/A",$G:$G,"&lt;&gt;N/A",$F:$F,"&lt;="&amp;_xlpm.p,$G:$G,"&gt;="&amp;_xlpm.p)))))</f>
        <v>3</v>
      </c>
      <c r="I658" t="s">
        <v>170</v>
      </c>
      <c r="J658" t="s">
        <v>1865</v>
      </c>
      <c r="K658" t="s">
        <v>7</v>
      </c>
      <c r="L658" s="5" t="s">
        <v>4651</v>
      </c>
      <c r="M658" s="5" t="s">
        <v>5150</v>
      </c>
      <c r="N658" t="s">
        <v>5153</v>
      </c>
      <c r="O658" s="5" t="s">
        <v>5072</v>
      </c>
      <c r="P658" s="5" t="s">
        <v>8021</v>
      </c>
      <c r="R658" t="b">
        <v>1</v>
      </c>
    </row>
    <row r="659" spans="1:18">
      <c r="A659" t="s">
        <v>3017</v>
      </c>
      <c r="B659" t="s">
        <v>6824</v>
      </c>
      <c r="C659" t="s">
        <v>7747</v>
      </c>
      <c r="D659" s="1">
        <v>7</v>
      </c>
      <c r="E659" s="1">
        <v>1</v>
      </c>
      <c r="F659" s="1">
        <v>34</v>
      </c>
      <c r="G659" s="1">
        <v>40</v>
      </c>
      <c r="H659" s="17" cm="1">
        <f t="array" ref="H659">_xlfn.LET(_xlpm.s,IFERROR(--F659,""),_xlpm.e,IFERROR(--G659,""),IF(OR(_xlpm.s="",_xlpm.e="",_xlpm.e&lt;_xlpm.s),"",_xlfn.LET(_xlpm.p,_xlfn.SEQUENCE(_xlpm.e-_xlpm.s+1,1,_xlpm.s,1),SUM(1/COUNTIFS($D:$D,D659,$E:$E,E659,$F:$F,"&lt;&gt;N/A",$G:$G,"&lt;&gt;N/A",$F:$F,"&lt;="&amp;_xlpm.p,$G:$G,"&gt;="&amp;_xlpm.p)))))</f>
        <v>7</v>
      </c>
      <c r="I659" t="s">
        <v>7</v>
      </c>
      <c r="J659" t="s">
        <v>1850</v>
      </c>
      <c r="K659" t="s">
        <v>7</v>
      </c>
      <c r="L659" s="5" t="s">
        <v>1850</v>
      </c>
      <c r="M659" t="s">
        <v>7</v>
      </c>
      <c r="N659" t="s">
        <v>2502</v>
      </c>
      <c r="O659" s="5" t="s">
        <v>5072</v>
      </c>
      <c r="P659" s="5" t="s">
        <v>8019</v>
      </c>
      <c r="R659" t="b">
        <v>1</v>
      </c>
    </row>
    <row r="660" spans="1:18">
      <c r="A660" t="s">
        <v>3017</v>
      </c>
      <c r="B660" t="s">
        <v>6180</v>
      </c>
      <c r="C660" t="s">
        <v>7755</v>
      </c>
      <c r="D660" s="1">
        <v>7</v>
      </c>
      <c r="E660" s="1">
        <v>2</v>
      </c>
      <c r="F660" s="1">
        <v>41</v>
      </c>
      <c r="G660" s="1">
        <v>42</v>
      </c>
      <c r="H660" s="17" cm="1">
        <f t="array" ref="H660">_xlfn.LET(_xlpm.s,IFERROR(--F660,""),_xlpm.e,IFERROR(--G660,""),IF(OR(_xlpm.s="",_xlpm.e="",_xlpm.e&lt;_xlpm.s),"",_xlfn.LET(_xlpm.p,_xlfn.SEQUENCE(_xlpm.e-_xlpm.s+1,1,_xlpm.s,1),SUM(1/COUNTIFS($D:$D,D660,$E:$E,E660,$F:$F,"&lt;&gt;N/A",$G:$G,"&lt;&gt;N/A",$F:$F,"&lt;="&amp;_xlpm.p,$G:$G,"&gt;="&amp;_xlpm.p)))))</f>
        <v>2</v>
      </c>
      <c r="I660" t="s">
        <v>5436</v>
      </c>
      <c r="J660" t="s">
        <v>5511</v>
      </c>
      <c r="K660" t="s">
        <v>7</v>
      </c>
      <c r="L660" s="5" t="s">
        <v>7</v>
      </c>
      <c r="M660" t="s">
        <v>7</v>
      </c>
      <c r="N660" t="s">
        <v>7</v>
      </c>
      <c r="O660" s="5" t="s">
        <v>778</v>
      </c>
      <c r="P660" s="5" t="s">
        <v>7834</v>
      </c>
      <c r="R660" t="b">
        <v>0</v>
      </c>
    </row>
    <row r="661" spans="1:18">
      <c r="A661" t="s">
        <v>3017</v>
      </c>
      <c r="B661" t="s">
        <v>6181</v>
      </c>
      <c r="C661" t="s">
        <v>7755</v>
      </c>
      <c r="D661" s="1">
        <v>7</v>
      </c>
      <c r="E661" s="1">
        <v>2</v>
      </c>
      <c r="F661" s="1">
        <v>43</v>
      </c>
      <c r="G661" s="1">
        <v>50</v>
      </c>
      <c r="H661" s="17" cm="1">
        <f t="array" ref="H661">_xlfn.LET(_xlpm.s,IFERROR(--F661,""),_xlpm.e,IFERROR(--G661,""),IF(OR(_xlpm.s="",_xlpm.e="",_xlpm.e&lt;_xlpm.s),"",_xlfn.LET(_xlpm.p,_xlfn.SEQUENCE(_xlpm.e-_xlpm.s+1,1,_xlpm.s,1),SUM(1/COUNTIFS($D:$D,D661,$E:$E,E661,$F:$F,"&lt;&gt;N/A",$G:$G,"&lt;&gt;N/A",$F:$F,"&lt;="&amp;_xlpm.p,$G:$G,"&gt;="&amp;_xlpm.p)))))</f>
        <v>8</v>
      </c>
      <c r="I661" t="s">
        <v>5436</v>
      </c>
      <c r="J661" t="s">
        <v>1848</v>
      </c>
      <c r="K661" t="s">
        <v>1781</v>
      </c>
      <c r="L661" s="5" t="s">
        <v>7</v>
      </c>
      <c r="M661" t="s">
        <v>7</v>
      </c>
      <c r="N661" t="s">
        <v>7</v>
      </c>
      <c r="O661" s="5" t="s">
        <v>778</v>
      </c>
      <c r="P661" s="5" t="s">
        <v>7834</v>
      </c>
      <c r="R661" t="b">
        <v>0</v>
      </c>
    </row>
    <row r="662" spans="1:18">
      <c r="A662" t="s">
        <v>3017</v>
      </c>
      <c r="B662" t="s">
        <v>6182</v>
      </c>
      <c r="C662" t="s">
        <v>7755</v>
      </c>
      <c r="D662" s="1">
        <v>7</v>
      </c>
      <c r="E662" s="1">
        <v>2</v>
      </c>
      <c r="F662" s="1">
        <v>51</v>
      </c>
      <c r="G662" s="1">
        <v>57</v>
      </c>
      <c r="H662" s="17" cm="1">
        <f t="array" ref="H662">_xlfn.LET(_xlpm.s,IFERROR(--F662,""),_xlpm.e,IFERROR(--G662,""),IF(OR(_xlpm.s="",_xlpm.e="",_xlpm.e&lt;_xlpm.s),"",_xlfn.LET(_xlpm.p,_xlfn.SEQUENCE(_xlpm.e-_xlpm.s+1,1,_xlpm.s,1),SUM(1/COUNTIFS($D:$D,D662,$E:$E,E662,$F:$F,"&lt;&gt;N/A",$G:$G,"&lt;&gt;N/A",$F:$F,"&lt;="&amp;_xlpm.p,$G:$G,"&gt;="&amp;_xlpm.p)))))</f>
        <v>7</v>
      </c>
      <c r="I662" t="s">
        <v>2573</v>
      </c>
      <c r="J662" t="s">
        <v>6482</v>
      </c>
      <c r="K662" t="s">
        <v>3154</v>
      </c>
      <c r="L662" s="5" t="s">
        <v>4658</v>
      </c>
      <c r="M662" t="s">
        <v>7</v>
      </c>
      <c r="N662" t="s">
        <v>7</v>
      </c>
      <c r="O662" s="5" t="s">
        <v>778</v>
      </c>
      <c r="P662" s="5" t="s">
        <v>7834</v>
      </c>
      <c r="R662" t="b">
        <v>1</v>
      </c>
    </row>
    <row r="663" spans="1:18">
      <c r="A663" t="s">
        <v>3017</v>
      </c>
      <c r="B663" t="s">
        <v>6183</v>
      </c>
      <c r="C663" t="s">
        <v>7755</v>
      </c>
      <c r="D663" s="1">
        <v>7</v>
      </c>
      <c r="E663" s="1">
        <v>2</v>
      </c>
      <c r="F663" s="1">
        <v>58</v>
      </c>
      <c r="G663" s="1">
        <v>69</v>
      </c>
      <c r="H663" s="17" cm="1">
        <f t="array" ref="H663">_xlfn.LET(_xlpm.s,IFERROR(--F663,""),_xlpm.e,IFERROR(--G663,""),IF(OR(_xlpm.s="",_xlpm.e="",_xlpm.e&lt;_xlpm.s),"",_xlfn.LET(_xlpm.p,_xlfn.SEQUENCE(_xlpm.e-_xlpm.s+1,1,_xlpm.s,1),SUM(1/COUNTIFS($D:$D,D663,$E:$E,E663,$F:$F,"&lt;&gt;N/A",$G:$G,"&lt;&gt;N/A",$F:$F,"&lt;="&amp;_xlpm.p,$G:$G,"&gt;="&amp;_xlpm.p)))))</f>
        <v>12</v>
      </c>
      <c r="I663" t="s">
        <v>2573</v>
      </c>
      <c r="J663" t="s">
        <v>6478</v>
      </c>
      <c r="K663" t="s">
        <v>7</v>
      </c>
      <c r="L663" t="s">
        <v>7</v>
      </c>
      <c r="M663" s="5" t="s">
        <v>5428</v>
      </c>
      <c r="N663" t="s">
        <v>8080</v>
      </c>
      <c r="O663" s="5" t="s">
        <v>5072</v>
      </c>
      <c r="P663" s="5" t="s">
        <v>8021</v>
      </c>
      <c r="R663" t="b">
        <v>1</v>
      </c>
    </row>
    <row r="664" spans="1:18">
      <c r="A664" t="s">
        <v>3017</v>
      </c>
      <c r="B664" t="s">
        <v>6184</v>
      </c>
      <c r="C664" t="s">
        <v>7755</v>
      </c>
      <c r="D664" s="1">
        <v>7</v>
      </c>
      <c r="E664" s="1">
        <v>2</v>
      </c>
      <c r="F664" s="1">
        <v>70</v>
      </c>
      <c r="G664" s="1">
        <v>70</v>
      </c>
      <c r="H664" s="17" cm="1">
        <f t="array" ref="H664">_xlfn.LET(_xlpm.s,IFERROR(--F664,""),_xlpm.e,IFERROR(--G664,""),IF(OR(_xlpm.s="",_xlpm.e="",_xlpm.e&lt;_xlpm.s),"",_xlfn.LET(_xlpm.p,_xlfn.SEQUENCE(_xlpm.e-_xlpm.s+1,1,_xlpm.s,1),SUM(1/COUNTIFS($D:$D,D664,$E:$E,E664,$F:$F,"&lt;&gt;N/A",$G:$G,"&lt;&gt;N/A",$F:$F,"&lt;="&amp;_xlpm.p,$G:$G,"&gt;="&amp;_xlpm.p)))))</f>
        <v>0.5</v>
      </c>
      <c r="I664" t="s">
        <v>5156</v>
      </c>
      <c r="J664" t="s">
        <v>5154</v>
      </c>
      <c r="K664" t="s">
        <v>7</v>
      </c>
      <c r="L664" s="5" t="s">
        <v>4651</v>
      </c>
      <c r="M664" t="s">
        <v>5165</v>
      </c>
      <c r="N664" t="s">
        <v>5167</v>
      </c>
      <c r="O664" s="5" t="s">
        <v>5072</v>
      </c>
      <c r="P664" s="5" t="s">
        <v>8021</v>
      </c>
      <c r="R664" t="b">
        <v>1</v>
      </c>
    </row>
    <row r="665" spans="1:18">
      <c r="A665" t="s">
        <v>3017</v>
      </c>
      <c r="B665" t="s">
        <v>6185</v>
      </c>
      <c r="C665" t="s">
        <v>7755</v>
      </c>
      <c r="D665" s="1">
        <v>7</v>
      </c>
      <c r="E665" s="1">
        <v>2</v>
      </c>
      <c r="F665" s="1">
        <v>70</v>
      </c>
      <c r="G665" s="1">
        <v>71</v>
      </c>
      <c r="H665" s="17" cm="1">
        <f t="array" ref="H665">_xlfn.LET(_xlpm.s,IFERROR(--F665,""),_xlpm.e,IFERROR(--G665,""),IF(OR(_xlpm.s="",_xlpm.e="",_xlpm.e&lt;_xlpm.s),"",_xlfn.LET(_xlpm.p,_xlfn.SEQUENCE(_xlpm.e-_xlpm.s+1,1,_xlpm.s,1),SUM(1/COUNTIFS($D:$D,D665,$E:$E,E665,$F:$F,"&lt;&gt;N/A",$G:$G,"&lt;&gt;N/A",$F:$F,"&lt;="&amp;_xlpm.p,$G:$G,"&gt;="&amp;_xlpm.p)))))</f>
        <v>0.83333333333333326</v>
      </c>
      <c r="I665" t="s">
        <v>5156</v>
      </c>
      <c r="J665" t="s">
        <v>5155</v>
      </c>
      <c r="K665" t="s">
        <v>7</v>
      </c>
      <c r="L665" s="5" t="s">
        <v>4651</v>
      </c>
      <c r="M665" t="s">
        <v>5165</v>
      </c>
      <c r="N665" t="s">
        <v>5166</v>
      </c>
      <c r="O665" s="5" t="s">
        <v>5072</v>
      </c>
      <c r="P665" s="5" t="s">
        <v>8021</v>
      </c>
      <c r="R665" t="b">
        <v>1</v>
      </c>
    </row>
    <row r="666" spans="1:18">
      <c r="A666" t="s">
        <v>3017</v>
      </c>
      <c r="B666" t="s">
        <v>6186</v>
      </c>
      <c r="C666" t="s">
        <v>7755</v>
      </c>
      <c r="D666" s="1">
        <v>7</v>
      </c>
      <c r="E666" s="1">
        <v>2</v>
      </c>
      <c r="F666" s="1">
        <v>71</v>
      </c>
      <c r="G666" s="1">
        <v>71</v>
      </c>
      <c r="H666" s="17" cm="1">
        <f t="array" ref="H666">_xlfn.LET(_xlpm.s,IFERROR(--F666,""),_xlpm.e,IFERROR(--G666,""),IF(OR(_xlpm.s="",_xlpm.e="",_xlpm.e&lt;_xlpm.s),"",_xlfn.LET(_xlpm.p,_xlfn.SEQUENCE(_xlpm.e-_xlpm.s+1,1,_xlpm.s,1),SUM(1/COUNTIFS($D:$D,D666,$E:$E,E666,$F:$F,"&lt;&gt;N/A",$G:$G,"&lt;&gt;N/A",$F:$F,"&lt;="&amp;_xlpm.p,$G:$G,"&gt;="&amp;_xlpm.p)))))</f>
        <v>0.33333333333333331</v>
      </c>
      <c r="I666" t="s">
        <v>5156</v>
      </c>
      <c r="J666" t="s">
        <v>5157</v>
      </c>
      <c r="K666" t="s">
        <v>7</v>
      </c>
      <c r="L666" s="5" t="s">
        <v>4651</v>
      </c>
      <c r="M666" t="s">
        <v>5165</v>
      </c>
      <c r="N666" t="s">
        <v>5168</v>
      </c>
      <c r="O666" s="5" t="s">
        <v>5072</v>
      </c>
      <c r="P666" s="5" t="s">
        <v>8021</v>
      </c>
      <c r="R666" t="b">
        <v>1</v>
      </c>
    </row>
    <row r="667" spans="1:18">
      <c r="A667" t="s">
        <v>3017</v>
      </c>
      <c r="B667" t="s">
        <v>6187</v>
      </c>
      <c r="C667" t="s">
        <v>7755</v>
      </c>
      <c r="D667" s="1">
        <v>7</v>
      </c>
      <c r="E667" s="1">
        <v>2</v>
      </c>
      <c r="F667" s="1">
        <v>71</v>
      </c>
      <c r="G667" s="1">
        <v>72</v>
      </c>
      <c r="H667" s="17" cm="1">
        <f t="array" ref="H667">_xlfn.LET(_xlpm.s,IFERROR(--F667,""),_xlpm.e,IFERROR(--G667,""),IF(OR(_xlpm.s="",_xlpm.e="",_xlpm.e&lt;_xlpm.s),"",_xlfn.LET(_xlpm.p,_xlfn.SEQUENCE(_xlpm.e-_xlpm.s+1,1,_xlpm.s,1),SUM(1/COUNTIFS($D:$D,D667,$E:$E,E667,$F:$F,"&lt;&gt;N/A",$G:$G,"&lt;&gt;N/A",$F:$F,"&lt;="&amp;_xlpm.p,$G:$G,"&gt;="&amp;_xlpm.p)))))</f>
        <v>0.83333333333333326</v>
      </c>
      <c r="I667" t="s">
        <v>5156</v>
      </c>
      <c r="J667" t="s">
        <v>5158</v>
      </c>
      <c r="K667" t="s">
        <v>7</v>
      </c>
      <c r="L667" s="5" t="s">
        <v>4651</v>
      </c>
      <c r="M667" t="s">
        <v>5165</v>
      </c>
      <c r="N667" t="s">
        <v>5169</v>
      </c>
      <c r="O667" s="5" t="s">
        <v>5072</v>
      </c>
      <c r="P667" s="5" t="s">
        <v>8021</v>
      </c>
      <c r="R667" t="b">
        <v>1</v>
      </c>
    </row>
    <row r="668" spans="1:18">
      <c r="A668" t="s">
        <v>3017</v>
      </c>
      <c r="B668" t="s">
        <v>6188</v>
      </c>
      <c r="C668" t="s">
        <v>7755</v>
      </c>
      <c r="D668" s="1">
        <v>7</v>
      </c>
      <c r="E668" s="1">
        <v>2</v>
      </c>
      <c r="F668" s="1">
        <v>72</v>
      </c>
      <c r="G668" s="1">
        <v>73</v>
      </c>
      <c r="H668" s="17" cm="1">
        <f t="array" ref="H668">_xlfn.LET(_xlpm.s,IFERROR(--F668,""),_xlpm.e,IFERROR(--G668,""),IF(OR(_xlpm.s="",_xlpm.e="",_xlpm.e&lt;_xlpm.s),"",_xlfn.LET(_xlpm.p,_xlfn.SEQUENCE(_xlpm.e-_xlpm.s+1,1,_xlpm.s,1),SUM(1/COUNTIFS($D:$D,D668,$E:$E,E668,$F:$F,"&lt;&gt;N/A",$G:$G,"&lt;&gt;N/A",$F:$F,"&lt;="&amp;_xlpm.p,$G:$G,"&gt;="&amp;_xlpm.p)))))</f>
        <v>0.83333333333333326</v>
      </c>
      <c r="I668" t="s">
        <v>5156</v>
      </c>
      <c r="J668" t="s">
        <v>5159</v>
      </c>
      <c r="K668" t="s">
        <v>7</v>
      </c>
      <c r="L668" s="5" t="s">
        <v>4651</v>
      </c>
      <c r="M668" t="s">
        <v>5165</v>
      </c>
      <c r="N668" t="s">
        <v>5172</v>
      </c>
      <c r="O668" s="5" t="s">
        <v>5072</v>
      </c>
      <c r="P668" s="5" t="s">
        <v>8021</v>
      </c>
      <c r="R668" t="b">
        <v>1</v>
      </c>
    </row>
    <row r="669" spans="1:18">
      <c r="A669" t="s">
        <v>3017</v>
      </c>
      <c r="B669" t="s">
        <v>6189</v>
      </c>
      <c r="C669" t="s">
        <v>7755</v>
      </c>
      <c r="D669" s="1">
        <v>7</v>
      </c>
      <c r="E669" s="1">
        <v>2</v>
      </c>
      <c r="F669" s="1">
        <v>73</v>
      </c>
      <c r="G669" s="1">
        <v>73</v>
      </c>
      <c r="H669" s="17" cm="1">
        <f t="array" ref="H669">_xlfn.LET(_xlpm.s,IFERROR(--F669,""),_xlpm.e,IFERROR(--G669,""),IF(OR(_xlpm.s="",_xlpm.e="",_xlpm.e&lt;_xlpm.s),"",_xlfn.LET(_xlpm.p,_xlfn.SEQUENCE(_xlpm.e-_xlpm.s+1,1,_xlpm.s,1),SUM(1/COUNTIFS($D:$D,D669,$E:$E,E669,$F:$F,"&lt;&gt;N/A",$G:$G,"&lt;&gt;N/A",$F:$F,"&lt;="&amp;_xlpm.p,$G:$G,"&gt;="&amp;_xlpm.p)))))</f>
        <v>0.33333333333333331</v>
      </c>
      <c r="I669" t="s">
        <v>5156</v>
      </c>
      <c r="J669" t="s">
        <v>5160</v>
      </c>
      <c r="K669" t="s">
        <v>7</v>
      </c>
      <c r="L669" s="5" t="s">
        <v>4651</v>
      </c>
      <c r="M669" t="s">
        <v>5165</v>
      </c>
      <c r="N669" t="s">
        <v>5170</v>
      </c>
      <c r="O669" s="5" t="s">
        <v>5072</v>
      </c>
      <c r="P669" s="5" t="s">
        <v>8021</v>
      </c>
      <c r="R669" t="b">
        <v>1</v>
      </c>
    </row>
    <row r="670" spans="1:18">
      <c r="A670" t="s">
        <v>3017</v>
      </c>
      <c r="B670" t="s">
        <v>6190</v>
      </c>
      <c r="C670" t="s">
        <v>7755</v>
      </c>
      <c r="D670" s="1">
        <v>7</v>
      </c>
      <c r="E670" s="1">
        <v>2</v>
      </c>
      <c r="F670" s="1">
        <v>73</v>
      </c>
      <c r="G670" s="1">
        <v>74</v>
      </c>
      <c r="H670" s="17" cm="1">
        <f t="array" ref="H670">_xlfn.LET(_xlpm.s,IFERROR(--F670,""),_xlpm.e,IFERROR(--G670,""),IF(OR(_xlpm.s="",_xlpm.e="",_xlpm.e&lt;_xlpm.s),"",_xlfn.LET(_xlpm.p,_xlfn.SEQUENCE(_xlpm.e-_xlpm.s+1,1,_xlpm.s,1),SUM(1/COUNTIFS($D:$D,D670,$E:$E,E670,$F:$F,"&lt;&gt;N/A",$G:$G,"&lt;&gt;N/A",$F:$F,"&lt;="&amp;_xlpm.p,$G:$G,"&gt;="&amp;_xlpm.p)))))</f>
        <v>0.83333333333333326</v>
      </c>
      <c r="I670" t="s">
        <v>5156</v>
      </c>
      <c r="J670" t="s">
        <v>5171</v>
      </c>
      <c r="K670" t="s">
        <v>7</v>
      </c>
      <c r="L670" s="5" t="s">
        <v>4651</v>
      </c>
      <c r="M670" t="s">
        <v>5165</v>
      </c>
      <c r="N670" t="s">
        <v>5176</v>
      </c>
      <c r="O670" s="5" t="s">
        <v>5072</v>
      </c>
      <c r="P670" s="5" t="s">
        <v>8021</v>
      </c>
      <c r="R670" t="b">
        <v>1</v>
      </c>
    </row>
    <row r="671" spans="1:18">
      <c r="A671" t="s">
        <v>3017</v>
      </c>
      <c r="B671" t="s">
        <v>6191</v>
      </c>
      <c r="C671" t="s">
        <v>7755</v>
      </c>
      <c r="D671" s="1">
        <v>7</v>
      </c>
      <c r="E671" s="1">
        <v>2</v>
      </c>
      <c r="F671" s="1">
        <v>74</v>
      </c>
      <c r="G671" s="1">
        <v>75</v>
      </c>
      <c r="H671" s="17" cm="1">
        <f t="array" ref="H671">_xlfn.LET(_xlpm.s,IFERROR(--F671,""),_xlpm.e,IFERROR(--G671,""),IF(OR(_xlpm.s="",_xlpm.e="",_xlpm.e&lt;_xlpm.s),"",_xlfn.LET(_xlpm.p,_xlfn.SEQUENCE(_xlpm.e-_xlpm.s+1,1,_xlpm.s,1),SUM(1/COUNTIFS($D:$D,D671,$E:$E,E671,$F:$F,"&lt;&gt;N/A",$G:$G,"&lt;&gt;N/A",$F:$F,"&lt;="&amp;_xlpm.p,$G:$G,"&gt;="&amp;_xlpm.p)))))</f>
        <v>1</v>
      </c>
      <c r="I671" t="s">
        <v>5156</v>
      </c>
      <c r="J671" t="s">
        <v>5161</v>
      </c>
      <c r="K671" t="s">
        <v>7</v>
      </c>
      <c r="L671" s="5" t="s">
        <v>4651</v>
      </c>
      <c r="M671" t="s">
        <v>5165</v>
      </c>
      <c r="N671" t="s">
        <v>5175</v>
      </c>
      <c r="O671" s="5" t="s">
        <v>5072</v>
      </c>
      <c r="P671" s="5" t="s">
        <v>8021</v>
      </c>
      <c r="R671" t="b">
        <v>1</v>
      </c>
    </row>
    <row r="672" spans="1:18">
      <c r="A672" t="s">
        <v>3017</v>
      </c>
      <c r="B672" t="s">
        <v>6192</v>
      </c>
      <c r="C672" t="s">
        <v>7755</v>
      </c>
      <c r="D672" s="1">
        <v>7</v>
      </c>
      <c r="E672" s="1">
        <v>2</v>
      </c>
      <c r="F672" s="1">
        <v>75</v>
      </c>
      <c r="G672" s="1">
        <v>76</v>
      </c>
      <c r="H672" s="17" cm="1">
        <f t="array" ref="H672">_xlfn.LET(_xlpm.s,IFERROR(--F672,""),_xlpm.e,IFERROR(--G672,""),IF(OR(_xlpm.s="",_xlpm.e="",_xlpm.e&lt;_xlpm.s),"",_xlfn.LET(_xlpm.p,_xlfn.SEQUENCE(_xlpm.e-_xlpm.s+1,1,_xlpm.s,1),SUM(1/COUNTIFS($D:$D,D672,$E:$E,E672,$F:$F,"&lt;&gt;N/A",$G:$G,"&lt;&gt;N/A",$F:$F,"&lt;="&amp;_xlpm.p,$G:$G,"&gt;="&amp;_xlpm.p)))))</f>
        <v>1</v>
      </c>
      <c r="I672" t="s">
        <v>5156</v>
      </c>
      <c r="J672" t="s">
        <v>5162</v>
      </c>
      <c r="K672" t="s">
        <v>7</v>
      </c>
      <c r="L672" s="5" t="s">
        <v>4651</v>
      </c>
      <c r="M672" t="s">
        <v>5165</v>
      </c>
      <c r="N672" t="s">
        <v>5174</v>
      </c>
      <c r="O672" s="5" t="s">
        <v>5072</v>
      </c>
      <c r="P672" s="5" t="s">
        <v>8021</v>
      </c>
      <c r="R672" t="b">
        <v>1</v>
      </c>
    </row>
    <row r="673" spans="1:18">
      <c r="A673" t="s">
        <v>3017</v>
      </c>
      <c r="B673" t="s">
        <v>6193</v>
      </c>
      <c r="C673" t="s">
        <v>7755</v>
      </c>
      <c r="D673" s="1">
        <v>7</v>
      </c>
      <c r="E673" s="1">
        <v>2</v>
      </c>
      <c r="F673" s="1">
        <v>76</v>
      </c>
      <c r="G673" s="1">
        <v>77</v>
      </c>
      <c r="H673" s="17" cm="1">
        <f t="array" ref="H673">_xlfn.LET(_xlpm.s,IFERROR(--F673,""),_xlpm.e,IFERROR(--G673,""),IF(OR(_xlpm.s="",_xlpm.e="",_xlpm.e&lt;_xlpm.s),"",_xlfn.LET(_xlpm.p,_xlfn.SEQUENCE(_xlpm.e-_xlpm.s+1,1,_xlpm.s,1),SUM(1/COUNTIFS($D:$D,D673,$E:$E,E673,$F:$F,"&lt;&gt;N/A",$G:$G,"&lt;&gt;N/A",$F:$F,"&lt;="&amp;_xlpm.p,$G:$G,"&gt;="&amp;_xlpm.p)))))</f>
        <v>1</v>
      </c>
      <c r="I673" t="s">
        <v>5156</v>
      </c>
      <c r="J673" t="s">
        <v>5163</v>
      </c>
      <c r="K673" t="s">
        <v>7</v>
      </c>
      <c r="L673" s="5" t="s">
        <v>4651</v>
      </c>
      <c r="M673" t="s">
        <v>5165</v>
      </c>
      <c r="N673" t="s">
        <v>5177</v>
      </c>
      <c r="O673" s="5" t="s">
        <v>5072</v>
      </c>
      <c r="P673" s="5" t="s">
        <v>8021</v>
      </c>
      <c r="R673" t="b">
        <v>1</v>
      </c>
    </row>
    <row r="674" spans="1:18">
      <c r="A674" t="s">
        <v>3017</v>
      </c>
      <c r="B674" t="s">
        <v>6825</v>
      </c>
      <c r="C674" t="s">
        <v>7755</v>
      </c>
      <c r="D674" s="1">
        <v>7</v>
      </c>
      <c r="E674" s="1">
        <v>2</v>
      </c>
      <c r="F674" s="1">
        <v>77</v>
      </c>
      <c r="G674" s="1">
        <v>78</v>
      </c>
      <c r="H674" s="17" cm="1">
        <f t="array" ref="H674">_xlfn.LET(_xlpm.s,IFERROR(--F674,""),_xlpm.e,IFERROR(--G674,""),IF(OR(_xlpm.s="",_xlpm.e="",_xlpm.e&lt;_xlpm.s),"",_xlfn.LET(_xlpm.p,_xlfn.SEQUENCE(_xlpm.e-_xlpm.s+1,1,_xlpm.s,1),SUM(1/COUNTIFS($D:$D,D674,$E:$E,E674,$F:$F,"&lt;&gt;N/A",$G:$G,"&lt;&gt;N/A",$F:$F,"&lt;="&amp;_xlpm.p,$G:$G,"&gt;="&amp;_xlpm.p)))))</f>
        <v>1.5</v>
      </c>
      <c r="I674" t="s">
        <v>5156</v>
      </c>
      <c r="J674" t="s">
        <v>5164</v>
      </c>
      <c r="K674" t="s">
        <v>7</v>
      </c>
      <c r="L674" s="5" t="s">
        <v>4651</v>
      </c>
      <c r="M674" t="s">
        <v>5165</v>
      </c>
      <c r="N674" t="s">
        <v>5173</v>
      </c>
      <c r="O674" s="5" t="s">
        <v>5072</v>
      </c>
      <c r="P674" s="5" t="s">
        <v>8021</v>
      </c>
      <c r="R674" t="b">
        <v>1</v>
      </c>
    </row>
    <row r="675" spans="1:18">
      <c r="A675" t="s">
        <v>3017</v>
      </c>
      <c r="B675" t="s">
        <v>6826</v>
      </c>
      <c r="C675" t="s">
        <v>7755</v>
      </c>
      <c r="D675" s="1">
        <v>7</v>
      </c>
      <c r="E675" s="1">
        <v>2</v>
      </c>
      <c r="F675" s="1">
        <v>79</v>
      </c>
      <c r="G675" s="1">
        <v>80</v>
      </c>
      <c r="H675" s="17" cm="1">
        <f t="array" ref="H675">_xlfn.LET(_xlpm.s,IFERROR(--F675,""),_xlpm.e,IFERROR(--G675,""),IF(OR(_xlpm.s="",_xlpm.e="",_xlpm.e&lt;_xlpm.s),"",_xlfn.LET(_xlpm.p,_xlfn.SEQUENCE(_xlpm.e-_xlpm.s+1,1,_xlpm.s,1),SUM(1/COUNTIFS($D:$D,D675,$E:$E,E675,$F:$F,"&lt;&gt;N/A",$G:$G,"&lt;&gt;N/A",$F:$F,"&lt;="&amp;_xlpm.p,$G:$G,"&gt;="&amp;_xlpm.p)))))</f>
        <v>2</v>
      </c>
      <c r="I675" t="s">
        <v>2573</v>
      </c>
      <c r="J675" t="s">
        <v>1850</v>
      </c>
      <c r="K675" t="s">
        <v>7</v>
      </c>
      <c r="L675" s="5" t="s">
        <v>1850</v>
      </c>
      <c r="M675" t="s">
        <v>7</v>
      </c>
      <c r="N675" t="s">
        <v>2502</v>
      </c>
      <c r="O675" s="5" t="s">
        <v>5072</v>
      </c>
      <c r="P675" s="5" t="s">
        <v>8019</v>
      </c>
      <c r="R675" t="b">
        <v>1</v>
      </c>
    </row>
    <row r="676" spans="1:18">
      <c r="A676" t="s">
        <v>3017</v>
      </c>
      <c r="B676" t="s">
        <v>6194</v>
      </c>
      <c r="C676" t="s">
        <v>7763</v>
      </c>
      <c r="D676" s="1">
        <v>7</v>
      </c>
      <c r="E676" s="1">
        <v>3</v>
      </c>
      <c r="F676" s="1">
        <v>81</v>
      </c>
      <c r="G676" s="1">
        <v>81</v>
      </c>
      <c r="H676" s="17" cm="1">
        <f t="array" ref="H676">_xlfn.LET(_xlpm.s,IFERROR(--F676,""),_xlpm.e,IFERROR(--G676,""),IF(OR(_xlpm.s="",_xlpm.e="",_xlpm.e&lt;_xlpm.s),"",_xlfn.LET(_xlpm.p,_xlfn.SEQUENCE(_xlpm.e-_xlpm.s+1,1,_xlpm.s,1),SUM(1/COUNTIFS($D:$D,D676,$E:$E,E676,$F:$F,"&lt;&gt;N/A",$G:$G,"&lt;&gt;N/A",$F:$F,"&lt;="&amp;_xlpm.p,$G:$G,"&gt;="&amp;_xlpm.p)))))</f>
        <v>1</v>
      </c>
      <c r="I676" t="s">
        <v>5436</v>
      </c>
      <c r="J676" t="s">
        <v>1866</v>
      </c>
      <c r="K676" t="s">
        <v>7</v>
      </c>
      <c r="L676" s="5" t="s">
        <v>7</v>
      </c>
      <c r="M676" t="s">
        <v>7</v>
      </c>
      <c r="N676" t="s">
        <v>7</v>
      </c>
      <c r="O676" s="5" t="s">
        <v>778</v>
      </c>
      <c r="P676" s="5" t="s">
        <v>7834</v>
      </c>
      <c r="R676" t="b">
        <v>0</v>
      </c>
    </row>
    <row r="677" spans="1:18">
      <c r="A677" t="s">
        <v>3017</v>
      </c>
      <c r="B677" t="s">
        <v>6195</v>
      </c>
      <c r="C677" t="s">
        <v>7763</v>
      </c>
      <c r="D677" s="1">
        <v>7</v>
      </c>
      <c r="E677" s="1">
        <v>3</v>
      </c>
      <c r="F677" s="1">
        <v>82</v>
      </c>
      <c r="G677" s="1">
        <v>83</v>
      </c>
      <c r="H677" s="17" cm="1">
        <f t="array" ref="H677">_xlfn.LET(_xlpm.s,IFERROR(--F677,""),_xlpm.e,IFERROR(--G677,""),IF(OR(_xlpm.s="",_xlpm.e="",_xlpm.e&lt;_xlpm.s),"",_xlfn.LET(_xlpm.p,_xlfn.SEQUENCE(_xlpm.e-_xlpm.s+1,1,_xlpm.s,1),SUM(1/COUNTIFS($D:$D,D677,$E:$E,E677,$F:$F,"&lt;&gt;N/A",$G:$G,"&lt;&gt;N/A",$F:$F,"&lt;="&amp;_xlpm.p,$G:$G,"&gt;="&amp;_xlpm.p)))))</f>
        <v>2</v>
      </c>
      <c r="I677" t="s">
        <v>5436</v>
      </c>
      <c r="J677" t="s">
        <v>1867</v>
      </c>
      <c r="K677" t="s">
        <v>7</v>
      </c>
      <c r="L677" s="5" t="s">
        <v>7</v>
      </c>
      <c r="M677" t="s">
        <v>7</v>
      </c>
      <c r="N677" t="s">
        <v>7</v>
      </c>
      <c r="O677" s="5" t="s">
        <v>778</v>
      </c>
      <c r="P677" s="5" t="s">
        <v>7834</v>
      </c>
      <c r="R677" t="b">
        <v>1</v>
      </c>
    </row>
    <row r="678" spans="1:18">
      <c r="A678" t="s">
        <v>3017</v>
      </c>
      <c r="B678" t="s">
        <v>6196</v>
      </c>
      <c r="C678" t="s">
        <v>7763</v>
      </c>
      <c r="D678" s="1">
        <v>7</v>
      </c>
      <c r="E678" s="1">
        <v>3</v>
      </c>
      <c r="F678" s="1">
        <v>84</v>
      </c>
      <c r="G678" s="1">
        <v>98</v>
      </c>
      <c r="H678" s="17" cm="1">
        <f t="array" ref="H678">_xlfn.LET(_xlpm.s,IFERROR(--F678,""),_xlpm.e,IFERROR(--G678,""),IF(OR(_xlpm.s="",_xlpm.e="",_xlpm.e&lt;_xlpm.s),"",_xlfn.LET(_xlpm.p,_xlfn.SEQUENCE(_xlpm.e-_xlpm.s+1,1,_xlpm.s,1),SUM(1/COUNTIFS($D:$D,D678,$E:$E,E678,$F:$F,"&lt;&gt;N/A",$G:$G,"&lt;&gt;N/A",$F:$F,"&lt;="&amp;_xlpm.p,$G:$G,"&gt;="&amp;_xlpm.p)))))</f>
        <v>15</v>
      </c>
      <c r="I678" t="s">
        <v>2658</v>
      </c>
      <c r="J678" t="s">
        <v>6478</v>
      </c>
      <c r="K678" t="s">
        <v>7</v>
      </c>
      <c r="L678" s="5" t="s">
        <v>7</v>
      </c>
      <c r="M678" s="5" t="s">
        <v>5428</v>
      </c>
      <c r="N678" t="s">
        <v>8081</v>
      </c>
      <c r="O678" s="5" t="s">
        <v>5072</v>
      </c>
      <c r="P678" s="5" t="s">
        <v>8021</v>
      </c>
      <c r="R678" t="b">
        <v>1</v>
      </c>
    </row>
    <row r="679" spans="1:18">
      <c r="A679" t="s">
        <v>3017</v>
      </c>
      <c r="B679" t="s">
        <v>6827</v>
      </c>
      <c r="C679" t="s">
        <v>7763</v>
      </c>
      <c r="D679" s="1">
        <v>7</v>
      </c>
      <c r="E679" s="1">
        <v>3</v>
      </c>
      <c r="F679" s="1">
        <v>99</v>
      </c>
      <c r="G679" s="1">
        <v>110</v>
      </c>
      <c r="H679" s="17" cm="1">
        <f t="array" ref="H679">_xlfn.LET(_xlpm.s,IFERROR(--F679,""),_xlpm.e,IFERROR(--G679,""),IF(OR(_xlpm.s="",_xlpm.e="",_xlpm.e&lt;_xlpm.s),"",_xlfn.LET(_xlpm.p,_xlfn.SEQUENCE(_xlpm.e-_xlpm.s+1,1,_xlpm.s,1),SUM(1/COUNTIFS($D:$D,D679,$E:$E,E679,$F:$F,"&lt;&gt;N/A",$G:$G,"&lt;&gt;N/A",$F:$F,"&lt;="&amp;_xlpm.p,$G:$G,"&gt;="&amp;_xlpm.p)))))</f>
        <v>12</v>
      </c>
      <c r="I679" t="s">
        <v>1853</v>
      </c>
      <c r="J679" t="s">
        <v>5179</v>
      </c>
      <c r="K679" t="s">
        <v>7</v>
      </c>
      <c r="L679" s="5" t="s">
        <v>4651</v>
      </c>
      <c r="M679" t="s">
        <v>5150</v>
      </c>
      <c r="N679" t="s">
        <v>5181</v>
      </c>
      <c r="O679" s="5" t="s">
        <v>5072</v>
      </c>
      <c r="P679" s="5" t="s">
        <v>8021</v>
      </c>
      <c r="Q679" s="5" t="s">
        <v>2509</v>
      </c>
      <c r="R679" t="b">
        <v>1</v>
      </c>
    </row>
    <row r="680" spans="1:18">
      <c r="A680" t="s">
        <v>3017</v>
      </c>
      <c r="B680" t="s">
        <v>6828</v>
      </c>
      <c r="C680" t="s">
        <v>7763</v>
      </c>
      <c r="D680" s="1">
        <v>7</v>
      </c>
      <c r="E680" s="1">
        <v>3</v>
      </c>
      <c r="F680" s="1">
        <v>111</v>
      </c>
      <c r="G680" s="1">
        <v>120</v>
      </c>
      <c r="H680" s="17" cm="1">
        <f t="array" ref="H680">_xlfn.LET(_xlpm.s,IFERROR(--F680,""),_xlpm.e,IFERROR(--G680,""),IF(OR(_xlpm.s="",_xlpm.e="",_xlpm.e&lt;_xlpm.s),"",_xlfn.LET(_xlpm.p,_xlfn.SEQUENCE(_xlpm.e-_xlpm.s+1,1,_xlpm.s,1),SUM(1/COUNTIFS($D:$D,D680,$E:$E,E680,$F:$F,"&lt;&gt;N/A",$G:$G,"&lt;&gt;N/A",$F:$F,"&lt;="&amp;_xlpm.p,$G:$G,"&gt;="&amp;_xlpm.p)))))</f>
        <v>10</v>
      </c>
      <c r="I680" t="s">
        <v>7</v>
      </c>
      <c r="J680" t="s">
        <v>1850</v>
      </c>
      <c r="K680" t="s">
        <v>7</v>
      </c>
      <c r="L680" s="5" t="s">
        <v>1850</v>
      </c>
      <c r="M680" t="s">
        <v>7</v>
      </c>
      <c r="N680" t="s">
        <v>2502</v>
      </c>
      <c r="O680" s="5" t="s">
        <v>5072</v>
      </c>
      <c r="P680" s="5" t="s">
        <v>8019</v>
      </c>
      <c r="R680" t="b">
        <v>1</v>
      </c>
    </row>
    <row r="681" spans="1:18">
      <c r="A681" t="s">
        <v>3017</v>
      </c>
      <c r="B681" t="s">
        <v>6197</v>
      </c>
      <c r="C681" t="s">
        <v>7771</v>
      </c>
      <c r="D681" s="1">
        <v>7</v>
      </c>
      <c r="E681" s="1">
        <v>4</v>
      </c>
      <c r="F681" s="1">
        <v>121</v>
      </c>
      <c r="G681" s="1">
        <v>121</v>
      </c>
      <c r="H681" s="17" cm="1">
        <f t="array" ref="H681">_xlfn.LET(_xlpm.s,IFERROR(--F681,""),_xlpm.e,IFERROR(--G681,""),IF(OR(_xlpm.s="",_xlpm.e="",_xlpm.e&lt;_xlpm.s),"",_xlfn.LET(_xlpm.p,_xlfn.SEQUENCE(_xlpm.e-_xlpm.s+1,1,_xlpm.s,1),SUM(1/COUNTIFS($D:$D,D681,$E:$E,E681,$F:$F,"&lt;&gt;N/A",$G:$G,"&lt;&gt;N/A",$F:$F,"&lt;="&amp;_xlpm.p,$G:$G,"&gt;="&amp;_xlpm.p)))))</f>
        <v>1</v>
      </c>
      <c r="I681" t="s">
        <v>5436</v>
      </c>
      <c r="J681" t="s">
        <v>1868</v>
      </c>
      <c r="K681" t="s">
        <v>7</v>
      </c>
      <c r="L681" s="5" t="s">
        <v>7</v>
      </c>
      <c r="M681" t="s">
        <v>7</v>
      </c>
      <c r="N681" t="s">
        <v>7</v>
      </c>
      <c r="O681" s="5" t="s">
        <v>778</v>
      </c>
      <c r="P681" s="5" t="s">
        <v>7834</v>
      </c>
      <c r="R681" t="b">
        <v>0</v>
      </c>
    </row>
    <row r="682" spans="1:18">
      <c r="A682" t="s">
        <v>3017</v>
      </c>
      <c r="B682" t="s">
        <v>6198</v>
      </c>
      <c r="C682" t="s">
        <v>7771</v>
      </c>
      <c r="D682" s="1">
        <v>7</v>
      </c>
      <c r="E682" s="1">
        <v>4</v>
      </c>
      <c r="F682" s="1">
        <v>122</v>
      </c>
      <c r="G682" s="1">
        <v>126</v>
      </c>
      <c r="H682" s="17" cm="1">
        <f t="array" ref="H682">_xlfn.LET(_xlpm.s,IFERROR(--F682,""),_xlpm.e,IFERROR(--G682,""),IF(OR(_xlpm.s="",_xlpm.e="",_xlpm.e&lt;_xlpm.s),"",_xlfn.LET(_xlpm.p,_xlfn.SEQUENCE(_xlpm.e-_xlpm.s+1,1,_xlpm.s,1),SUM(1/COUNTIFS($D:$D,D682,$E:$E,E682,$F:$F,"&lt;&gt;N/A",$G:$G,"&lt;&gt;N/A",$F:$F,"&lt;="&amp;_xlpm.p,$G:$G,"&gt;="&amp;_xlpm.p)))))</f>
        <v>5</v>
      </c>
      <c r="I682" t="s">
        <v>5436</v>
      </c>
      <c r="J682" t="s">
        <v>1869</v>
      </c>
      <c r="K682" t="s">
        <v>7</v>
      </c>
      <c r="L682" s="5" t="s">
        <v>7</v>
      </c>
      <c r="M682" t="s">
        <v>7</v>
      </c>
      <c r="N682" t="s">
        <v>7</v>
      </c>
      <c r="O682" s="5" t="s">
        <v>778</v>
      </c>
      <c r="P682" s="5" t="s">
        <v>7834</v>
      </c>
      <c r="R682" t="b">
        <v>0</v>
      </c>
    </row>
    <row r="683" spans="1:18">
      <c r="A683" t="s">
        <v>3017</v>
      </c>
      <c r="B683" t="s">
        <v>6199</v>
      </c>
      <c r="C683" t="s">
        <v>7771</v>
      </c>
      <c r="D683" s="1">
        <v>7</v>
      </c>
      <c r="E683" s="1">
        <v>4</v>
      </c>
      <c r="F683" s="1">
        <v>127</v>
      </c>
      <c r="G683" s="1">
        <v>135</v>
      </c>
      <c r="H683" s="17" cm="1">
        <f t="array" ref="H683">_xlfn.LET(_xlpm.s,IFERROR(--F683,""),_xlpm.e,IFERROR(--G683,""),IF(OR(_xlpm.s="",_xlpm.e="",_xlpm.e&lt;_xlpm.s),"",_xlfn.LET(_xlpm.p,_xlfn.SEQUENCE(_xlpm.e-_xlpm.s+1,1,_xlpm.s,1),SUM(1/COUNTIFS($D:$D,D683,$E:$E,E683,$F:$F,"&lt;&gt;N/A",$G:$G,"&lt;&gt;N/A",$F:$F,"&lt;="&amp;_xlpm.p,$G:$G,"&gt;="&amp;_xlpm.p)))))</f>
        <v>9</v>
      </c>
      <c r="I683" t="s">
        <v>2658</v>
      </c>
      <c r="J683" t="s">
        <v>6478</v>
      </c>
      <c r="K683" t="s">
        <v>7</v>
      </c>
      <c r="L683" s="5" t="s">
        <v>7</v>
      </c>
      <c r="M683" s="5" t="s">
        <v>5428</v>
      </c>
      <c r="N683" t="s">
        <v>8082</v>
      </c>
      <c r="O683" s="5" t="s">
        <v>5072</v>
      </c>
      <c r="P683" s="5" t="s">
        <v>8021</v>
      </c>
      <c r="R683" t="b">
        <v>1</v>
      </c>
    </row>
    <row r="684" spans="1:18">
      <c r="A684" t="s">
        <v>3017</v>
      </c>
      <c r="B684" t="s">
        <v>6200</v>
      </c>
      <c r="C684" t="s">
        <v>7771</v>
      </c>
      <c r="D684" s="1">
        <v>7</v>
      </c>
      <c r="E684" s="1">
        <v>4</v>
      </c>
      <c r="F684" s="1">
        <v>136</v>
      </c>
      <c r="G684" s="1">
        <v>136</v>
      </c>
      <c r="H684" s="17" cm="1">
        <f t="array" ref="H684">_xlfn.LET(_xlpm.s,IFERROR(--F684,""),_xlpm.e,IFERROR(--G684,""),IF(OR(_xlpm.s="",_xlpm.e="",_xlpm.e&lt;_xlpm.s),"",_xlfn.LET(_xlpm.p,_xlfn.SEQUENCE(_xlpm.e-_xlpm.s+1,1,_xlpm.s,1),SUM(1/COUNTIFS($D:$D,D684,$E:$E,E684,$F:$F,"&lt;&gt;N/A",$G:$G,"&lt;&gt;N/A",$F:$F,"&lt;="&amp;_xlpm.p,$G:$G,"&gt;="&amp;_xlpm.p)))))</f>
        <v>1</v>
      </c>
      <c r="I684" t="s">
        <v>5156</v>
      </c>
      <c r="J684" t="s">
        <v>5180</v>
      </c>
      <c r="K684" t="s">
        <v>7</v>
      </c>
      <c r="L684" s="5" t="s">
        <v>4651</v>
      </c>
      <c r="M684" t="s">
        <v>5150</v>
      </c>
      <c r="N684" t="s">
        <v>5182</v>
      </c>
      <c r="O684" s="5" t="s">
        <v>5072</v>
      </c>
      <c r="P684" s="5" t="s">
        <v>8021</v>
      </c>
      <c r="R684" t="b">
        <v>1</v>
      </c>
    </row>
    <row r="685" spans="1:18">
      <c r="A685" t="s">
        <v>3017</v>
      </c>
      <c r="B685" t="s">
        <v>6201</v>
      </c>
      <c r="C685" t="s">
        <v>7771</v>
      </c>
      <c r="D685" s="1">
        <v>7</v>
      </c>
      <c r="E685" s="1">
        <v>4</v>
      </c>
      <c r="F685" s="1">
        <v>137</v>
      </c>
      <c r="G685" s="1">
        <v>153</v>
      </c>
      <c r="H685" s="17" cm="1">
        <f t="array" ref="H685">_xlfn.LET(_xlpm.s,IFERROR(--F685,""),_xlpm.e,IFERROR(--G685,""),IF(OR(_xlpm.s="",_xlpm.e="",_xlpm.e&lt;_xlpm.s),"",_xlfn.LET(_xlpm.p,_xlfn.SEQUENCE(_xlpm.e-_xlpm.s+1,1,_xlpm.s,1),SUM(1/COUNTIFS($D:$D,D685,$E:$E,E685,$F:$F,"&lt;&gt;N/A",$G:$G,"&lt;&gt;N/A",$F:$F,"&lt;="&amp;_xlpm.p,$G:$G,"&gt;="&amp;_xlpm.p)))))</f>
        <v>8.5833333333333321</v>
      </c>
      <c r="I685" t="s">
        <v>5156</v>
      </c>
      <c r="J685" t="s">
        <v>3153</v>
      </c>
      <c r="K685" t="s">
        <v>7</v>
      </c>
      <c r="L685" s="5" t="s">
        <v>4651</v>
      </c>
      <c r="M685" t="s">
        <v>5150</v>
      </c>
      <c r="N685" t="s">
        <v>5183</v>
      </c>
      <c r="O685" s="5" t="s">
        <v>5072</v>
      </c>
      <c r="P685" s="5" t="s">
        <v>8021</v>
      </c>
      <c r="R685" t="b">
        <v>1</v>
      </c>
    </row>
    <row r="686" spans="1:18">
      <c r="A686" t="s">
        <v>3017</v>
      </c>
      <c r="B686" t="s">
        <v>6202</v>
      </c>
      <c r="C686" t="s">
        <v>7771</v>
      </c>
      <c r="D686" s="1">
        <v>7</v>
      </c>
      <c r="E686" s="1">
        <v>4</v>
      </c>
      <c r="F686" s="1">
        <v>138</v>
      </c>
      <c r="G686" s="1">
        <v>138</v>
      </c>
      <c r="H686" s="17" cm="1">
        <f t="array" ref="H686">_xlfn.LET(_xlpm.s,IFERROR(--F686,""),_xlpm.e,IFERROR(--G686,""),IF(OR(_xlpm.s="",_xlpm.e="",_xlpm.e&lt;_xlpm.s),"",_xlfn.LET(_xlpm.p,_xlfn.SEQUENCE(_xlpm.e-_xlpm.s+1,1,_xlpm.s,1),SUM(1/COUNTIFS($D:$D,D686,$E:$E,E686,$F:$F,"&lt;&gt;N/A",$G:$G,"&lt;&gt;N/A",$F:$F,"&lt;="&amp;_xlpm.p,$G:$G,"&gt;="&amp;_xlpm.p)))))</f>
        <v>0.25</v>
      </c>
      <c r="I686" t="s">
        <v>5156</v>
      </c>
      <c r="J686" t="s">
        <v>3152</v>
      </c>
      <c r="K686" t="s">
        <v>7</v>
      </c>
      <c r="L686" s="5" t="s">
        <v>4651</v>
      </c>
      <c r="M686" t="s">
        <v>5150</v>
      </c>
      <c r="N686" t="s">
        <v>5184</v>
      </c>
      <c r="O686" s="5" t="s">
        <v>5072</v>
      </c>
      <c r="P686" s="5" t="s">
        <v>8021</v>
      </c>
      <c r="R686" t="b">
        <v>1</v>
      </c>
    </row>
    <row r="687" spans="1:18">
      <c r="A687" t="s">
        <v>3017</v>
      </c>
      <c r="B687" t="s">
        <v>6203</v>
      </c>
      <c r="C687" t="s">
        <v>7771</v>
      </c>
      <c r="D687" s="1">
        <v>7</v>
      </c>
      <c r="E687" s="1">
        <v>4</v>
      </c>
      <c r="F687" s="1">
        <v>138</v>
      </c>
      <c r="G687" s="1">
        <v>138</v>
      </c>
      <c r="H687" s="17" cm="1">
        <f t="array" ref="H687">_xlfn.LET(_xlpm.s,IFERROR(--F687,""),_xlpm.e,IFERROR(--G687,""),IF(OR(_xlpm.s="",_xlpm.e="",_xlpm.e&lt;_xlpm.s),"",_xlfn.LET(_xlpm.p,_xlfn.SEQUENCE(_xlpm.e-_xlpm.s+1,1,_xlpm.s,1),SUM(1/COUNTIFS($D:$D,D687,$E:$E,E687,$F:$F,"&lt;&gt;N/A",$G:$G,"&lt;&gt;N/A",$F:$F,"&lt;="&amp;_xlpm.p,$G:$G,"&gt;="&amp;_xlpm.p)))))</f>
        <v>0.25</v>
      </c>
      <c r="I687" t="s">
        <v>5156</v>
      </c>
      <c r="J687" t="s">
        <v>3151</v>
      </c>
      <c r="K687" t="s">
        <v>7</v>
      </c>
      <c r="L687" s="5" t="s">
        <v>4651</v>
      </c>
      <c r="M687" t="s">
        <v>5150</v>
      </c>
      <c r="N687" t="s">
        <v>5185</v>
      </c>
      <c r="O687" s="5" t="s">
        <v>5072</v>
      </c>
      <c r="P687" s="5" t="s">
        <v>8021</v>
      </c>
      <c r="R687" t="b">
        <v>1</v>
      </c>
    </row>
    <row r="688" spans="1:18">
      <c r="A688" t="s">
        <v>3017</v>
      </c>
      <c r="B688" t="s">
        <v>6204</v>
      </c>
      <c r="C688" t="s">
        <v>7771</v>
      </c>
      <c r="D688" s="1">
        <v>7</v>
      </c>
      <c r="E688" s="1">
        <v>4</v>
      </c>
      <c r="F688" s="1">
        <v>138</v>
      </c>
      <c r="G688" s="1">
        <v>139</v>
      </c>
      <c r="H688" s="17" cm="1">
        <f t="array" ref="H688">_xlfn.LET(_xlpm.s,IFERROR(--F688,""),_xlpm.e,IFERROR(--G688,""),IF(OR(_xlpm.s="",_xlpm.e="",_xlpm.e&lt;_xlpm.s),"",_xlfn.LET(_xlpm.p,_xlfn.SEQUENCE(_xlpm.e-_xlpm.s+1,1,_xlpm.s,1),SUM(1/COUNTIFS($D:$D,D688,$E:$E,E688,$F:$F,"&lt;&gt;N/A",$G:$G,"&lt;&gt;N/A",$F:$F,"&lt;="&amp;_xlpm.p,$G:$G,"&gt;="&amp;_xlpm.p)))))</f>
        <v>0.58333333333333326</v>
      </c>
      <c r="I688" t="s">
        <v>5156</v>
      </c>
      <c r="J688" t="s">
        <v>5178</v>
      </c>
      <c r="K688" t="s">
        <v>7</v>
      </c>
      <c r="L688" s="5" t="s">
        <v>4651</v>
      </c>
      <c r="M688" t="s">
        <v>5150</v>
      </c>
      <c r="N688" t="s">
        <v>6714</v>
      </c>
      <c r="O688" s="5" t="s">
        <v>5072</v>
      </c>
      <c r="P688" s="5" t="s">
        <v>8021</v>
      </c>
      <c r="R688" t="b">
        <v>1</v>
      </c>
    </row>
    <row r="689" spans="1:18">
      <c r="A689" t="s">
        <v>3017</v>
      </c>
      <c r="B689" t="s">
        <v>6205</v>
      </c>
      <c r="C689" t="s">
        <v>7771</v>
      </c>
      <c r="D689" s="1">
        <v>7</v>
      </c>
      <c r="E689" s="1">
        <v>4</v>
      </c>
      <c r="F689" s="1">
        <v>139</v>
      </c>
      <c r="G689" s="1">
        <v>139</v>
      </c>
      <c r="H689" s="17" cm="1">
        <f t="array" ref="H689">_xlfn.LET(_xlpm.s,IFERROR(--F689,""),_xlpm.e,IFERROR(--G689,""),IF(OR(_xlpm.s="",_xlpm.e="",_xlpm.e&lt;_xlpm.s),"",_xlfn.LET(_xlpm.p,_xlfn.SEQUENCE(_xlpm.e-_xlpm.s+1,1,_xlpm.s,1),SUM(1/COUNTIFS($D:$D,D689,$E:$E,E689,$F:$F,"&lt;&gt;N/A",$G:$G,"&lt;&gt;N/A",$F:$F,"&lt;="&amp;_xlpm.p,$G:$G,"&gt;="&amp;_xlpm.p)))))</f>
        <v>0.33333333333333331</v>
      </c>
      <c r="I689" t="s">
        <v>5156</v>
      </c>
      <c r="J689" t="s">
        <v>3150</v>
      </c>
      <c r="K689" t="s">
        <v>7</v>
      </c>
      <c r="L689" s="5" t="s">
        <v>4651</v>
      </c>
      <c r="M689" t="s">
        <v>5150</v>
      </c>
      <c r="N689" t="s">
        <v>5186</v>
      </c>
      <c r="O689" s="5" t="s">
        <v>5072</v>
      </c>
      <c r="P689" s="5" t="s">
        <v>8021</v>
      </c>
      <c r="R689" t="b">
        <v>1</v>
      </c>
    </row>
    <row r="690" spans="1:18">
      <c r="A690" t="s">
        <v>3017</v>
      </c>
      <c r="B690" t="s">
        <v>6206</v>
      </c>
      <c r="C690" t="s">
        <v>7771</v>
      </c>
      <c r="D690" s="1">
        <v>7</v>
      </c>
      <c r="E690" s="1">
        <v>4</v>
      </c>
      <c r="F690" s="1">
        <v>140</v>
      </c>
      <c r="G690" s="1">
        <v>140</v>
      </c>
      <c r="H690" s="17" cm="1">
        <f t="array" ref="H690">_xlfn.LET(_xlpm.s,IFERROR(--F690,""),_xlpm.e,IFERROR(--G690,""),IF(OR(_xlpm.s="",_xlpm.e="",_xlpm.e&lt;_xlpm.s),"",_xlfn.LET(_xlpm.p,_xlfn.SEQUENCE(_xlpm.e-_xlpm.s+1,1,_xlpm.s,1),SUM(1/COUNTIFS($D:$D,D690,$E:$E,E690,$F:$F,"&lt;&gt;N/A",$G:$G,"&lt;&gt;N/A",$F:$F,"&lt;="&amp;_xlpm.p,$G:$G,"&gt;="&amp;_xlpm.p)))))</f>
        <v>0.5</v>
      </c>
      <c r="I690" t="s">
        <v>5156</v>
      </c>
      <c r="J690" t="s">
        <v>3149</v>
      </c>
      <c r="K690" t="s">
        <v>7</v>
      </c>
      <c r="L690" s="5" t="s">
        <v>4651</v>
      </c>
      <c r="M690" t="s">
        <v>5150</v>
      </c>
      <c r="N690" t="s">
        <v>5187</v>
      </c>
      <c r="O690" s="5" t="s">
        <v>5072</v>
      </c>
      <c r="P690" s="5" t="s">
        <v>8021</v>
      </c>
      <c r="R690" t="b">
        <v>1</v>
      </c>
    </row>
    <row r="691" spans="1:18">
      <c r="A691" t="s">
        <v>3017</v>
      </c>
      <c r="B691" t="s">
        <v>6829</v>
      </c>
      <c r="C691" t="s">
        <v>7771</v>
      </c>
      <c r="D691" s="1">
        <v>7</v>
      </c>
      <c r="E691" s="1">
        <v>4</v>
      </c>
      <c r="F691" s="1">
        <v>141</v>
      </c>
      <c r="G691" s="1">
        <v>153</v>
      </c>
      <c r="H691" s="17" cm="1">
        <f t="array" ref="H691">_xlfn.LET(_xlpm.s,IFERROR(--F691,""),_xlpm.e,IFERROR(--G691,""),IF(OR(_xlpm.s="",_xlpm.e="",_xlpm.e&lt;_xlpm.s),"",_xlfn.LET(_xlpm.p,_xlfn.SEQUENCE(_xlpm.e-_xlpm.s+1,1,_xlpm.s,1),SUM(1/COUNTIFS($D:$D,D691,$E:$E,E691,$F:$F,"&lt;&gt;N/A",$G:$G,"&lt;&gt;N/A",$F:$F,"&lt;="&amp;_xlpm.p,$G:$G,"&gt;="&amp;_xlpm.p)))))</f>
        <v>6.5</v>
      </c>
      <c r="I691" t="s">
        <v>170</v>
      </c>
      <c r="J691" t="s">
        <v>1870</v>
      </c>
      <c r="K691" t="s">
        <v>7</v>
      </c>
      <c r="L691" s="5" t="s">
        <v>4651</v>
      </c>
      <c r="M691" t="s">
        <v>5150</v>
      </c>
      <c r="N691" t="s">
        <v>5188</v>
      </c>
      <c r="O691" s="5" t="s">
        <v>5072</v>
      </c>
      <c r="P691" s="5" t="s">
        <v>8021</v>
      </c>
      <c r="R691" t="b">
        <v>0</v>
      </c>
    </row>
    <row r="692" spans="1:18">
      <c r="A692" t="s">
        <v>3017</v>
      </c>
      <c r="B692" t="s">
        <v>6830</v>
      </c>
      <c r="C692" t="s">
        <v>7771</v>
      </c>
      <c r="D692" s="1">
        <v>7</v>
      </c>
      <c r="E692" s="1">
        <v>4</v>
      </c>
      <c r="F692" s="1">
        <v>154</v>
      </c>
      <c r="G692" s="1">
        <v>160</v>
      </c>
      <c r="H692" s="17" cm="1">
        <f t="array" ref="H692">_xlfn.LET(_xlpm.s,IFERROR(--F692,""),_xlpm.e,IFERROR(--G692,""),IF(OR(_xlpm.s="",_xlpm.e="",_xlpm.e&lt;_xlpm.s),"",_xlfn.LET(_xlpm.p,_xlfn.SEQUENCE(_xlpm.e-_xlpm.s+1,1,_xlpm.s,1),SUM(1/COUNTIFS($D:$D,D692,$E:$E,E692,$F:$F,"&lt;&gt;N/A",$G:$G,"&lt;&gt;N/A",$F:$F,"&lt;="&amp;_xlpm.p,$G:$G,"&gt;="&amp;_xlpm.p)))))</f>
        <v>7</v>
      </c>
      <c r="I692" t="s">
        <v>7</v>
      </c>
      <c r="J692" t="s">
        <v>1850</v>
      </c>
      <c r="K692" t="s">
        <v>7</v>
      </c>
      <c r="L692" s="5" t="s">
        <v>1850</v>
      </c>
      <c r="M692" t="s">
        <v>7</v>
      </c>
      <c r="N692" t="s">
        <v>2502</v>
      </c>
      <c r="O692" s="5" t="s">
        <v>5072</v>
      </c>
      <c r="P692" s="5" t="s">
        <v>8019</v>
      </c>
      <c r="R692" t="b">
        <v>1</v>
      </c>
    </row>
    <row r="693" spans="1:18">
      <c r="A693" t="s">
        <v>3017</v>
      </c>
      <c r="B693" t="s">
        <v>6207</v>
      </c>
      <c r="C693" t="s">
        <v>7779</v>
      </c>
      <c r="D693" s="1">
        <v>7</v>
      </c>
      <c r="E693" s="1">
        <v>5</v>
      </c>
      <c r="F693" s="1">
        <v>161</v>
      </c>
      <c r="G693" s="1">
        <v>162</v>
      </c>
      <c r="H693" s="17" cm="1">
        <f t="array" ref="H693">_xlfn.LET(_xlpm.s,IFERROR(--F693,""),_xlpm.e,IFERROR(--G693,""),IF(OR(_xlpm.s="",_xlpm.e="",_xlpm.e&lt;_xlpm.s),"",_xlfn.LET(_xlpm.p,_xlfn.SEQUENCE(_xlpm.e-_xlpm.s+1,1,_xlpm.s,1),SUM(1/COUNTIFS($D:$D,D693,$E:$E,E693,$F:$F,"&lt;&gt;N/A",$G:$G,"&lt;&gt;N/A",$F:$F,"&lt;="&amp;_xlpm.p,$G:$G,"&gt;="&amp;_xlpm.p)))))</f>
        <v>2</v>
      </c>
      <c r="I693" t="s">
        <v>5436</v>
      </c>
      <c r="J693" t="s">
        <v>1871</v>
      </c>
      <c r="K693" t="s">
        <v>7</v>
      </c>
      <c r="L693" s="5" t="s">
        <v>7</v>
      </c>
      <c r="M693" t="s">
        <v>7</v>
      </c>
      <c r="N693" t="s">
        <v>7</v>
      </c>
      <c r="O693" s="5" t="s">
        <v>778</v>
      </c>
      <c r="P693" s="5" t="s">
        <v>7834</v>
      </c>
      <c r="R693" t="b">
        <v>0</v>
      </c>
    </row>
    <row r="694" spans="1:18">
      <c r="A694" t="s">
        <v>3017</v>
      </c>
      <c r="B694" t="s">
        <v>6208</v>
      </c>
      <c r="C694" t="s">
        <v>7779</v>
      </c>
      <c r="D694" s="1">
        <v>7</v>
      </c>
      <c r="E694" s="1">
        <v>5</v>
      </c>
      <c r="F694" s="1">
        <v>163</v>
      </c>
      <c r="G694" s="1">
        <v>172</v>
      </c>
      <c r="H694" s="17" cm="1">
        <f t="array" ref="H694">_xlfn.LET(_xlpm.s,IFERROR(--F694,""),_xlpm.e,IFERROR(--G694,""),IF(OR(_xlpm.s="",_xlpm.e="",_xlpm.e&lt;_xlpm.s),"",_xlfn.LET(_xlpm.p,_xlfn.SEQUENCE(_xlpm.e-_xlpm.s+1,1,_xlpm.s,1),SUM(1/COUNTIFS($D:$D,D694,$E:$E,E694,$F:$F,"&lt;&gt;N/A",$G:$G,"&lt;&gt;N/A",$F:$F,"&lt;="&amp;_xlpm.p,$G:$G,"&gt;="&amp;_xlpm.p)))))</f>
        <v>10</v>
      </c>
      <c r="I694" t="s">
        <v>8</v>
      </c>
      <c r="J694" t="s">
        <v>6483</v>
      </c>
      <c r="K694" t="s">
        <v>4461</v>
      </c>
      <c r="L694" s="5" t="s">
        <v>6469</v>
      </c>
      <c r="M694" s="5" t="s">
        <v>5397</v>
      </c>
      <c r="N694" t="s">
        <v>8083</v>
      </c>
      <c r="O694" s="5" t="s">
        <v>5072</v>
      </c>
      <c r="P694" s="5" t="s">
        <v>8021</v>
      </c>
      <c r="R694" t="b">
        <v>1</v>
      </c>
    </row>
    <row r="695" spans="1:18">
      <c r="A695" t="s">
        <v>3017</v>
      </c>
      <c r="B695" t="s">
        <v>6209</v>
      </c>
      <c r="C695" t="s">
        <v>7779</v>
      </c>
      <c r="D695" s="1">
        <v>7</v>
      </c>
      <c r="E695" s="1">
        <v>5</v>
      </c>
      <c r="F695" s="1">
        <v>173</v>
      </c>
      <c r="G695" s="1">
        <v>183</v>
      </c>
      <c r="H695" s="17" cm="1">
        <f t="array" ref="H695">_xlfn.LET(_xlpm.s,IFERROR(--F695,""),_xlpm.e,IFERROR(--G695,""),IF(OR(_xlpm.s="",_xlpm.e="",_xlpm.e&lt;_xlpm.s),"",_xlfn.LET(_xlpm.p,_xlfn.SEQUENCE(_xlpm.e-_xlpm.s+1,1,_xlpm.s,1),SUM(1/COUNTIFS($D:$D,D695,$E:$E,E695,$F:$F,"&lt;&gt;N/A",$G:$G,"&lt;&gt;N/A",$F:$F,"&lt;="&amp;_xlpm.p,$G:$G,"&gt;="&amp;_xlpm.p)))))</f>
        <v>11</v>
      </c>
      <c r="I695" t="s">
        <v>2660</v>
      </c>
      <c r="J695" t="s">
        <v>2659</v>
      </c>
      <c r="K695" t="s">
        <v>5189</v>
      </c>
      <c r="L695" s="5" t="s">
        <v>4651</v>
      </c>
      <c r="M695" t="s">
        <v>6477</v>
      </c>
      <c r="N695" t="s">
        <v>6570</v>
      </c>
      <c r="O695" s="5" t="s">
        <v>5072</v>
      </c>
      <c r="P695" s="5" t="s">
        <v>8021</v>
      </c>
      <c r="R695" t="b">
        <v>1</v>
      </c>
    </row>
    <row r="696" spans="1:18">
      <c r="A696" t="s">
        <v>3017</v>
      </c>
      <c r="B696" t="s">
        <v>6210</v>
      </c>
      <c r="C696" t="s">
        <v>7779</v>
      </c>
      <c r="D696" s="1">
        <v>7</v>
      </c>
      <c r="E696" s="1">
        <v>5</v>
      </c>
      <c r="F696" s="1">
        <v>184</v>
      </c>
      <c r="G696" s="1">
        <v>187</v>
      </c>
      <c r="H696" s="17" cm="1">
        <f t="array" ref="H696">_xlfn.LET(_xlpm.s,IFERROR(--F696,""),_xlpm.e,IFERROR(--G696,""),IF(OR(_xlpm.s="",_xlpm.e="",_xlpm.e&lt;_xlpm.s),"",_xlfn.LET(_xlpm.p,_xlfn.SEQUENCE(_xlpm.e-_xlpm.s+1,1,_xlpm.s,1),SUM(1/COUNTIFS($D:$D,D696,$E:$E,E696,$F:$F,"&lt;&gt;N/A",$G:$G,"&lt;&gt;N/A",$F:$F,"&lt;="&amp;_xlpm.p,$G:$G,"&gt;="&amp;_xlpm.p)))))</f>
        <v>4</v>
      </c>
      <c r="I696" t="s">
        <v>170</v>
      </c>
      <c r="J696" t="s">
        <v>5081</v>
      </c>
      <c r="K696" t="s">
        <v>7</v>
      </c>
      <c r="L696" s="5" t="s">
        <v>4659</v>
      </c>
      <c r="M696" s="5" t="s">
        <v>5082</v>
      </c>
      <c r="N696" t="s">
        <v>5083</v>
      </c>
      <c r="O696" s="5" t="s">
        <v>10264</v>
      </c>
      <c r="P696" s="5" t="s">
        <v>8020</v>
      </c>
      <c r="R696" t="b">
        <v>1</v>
      </c>
    </row>
    <row r="697" spans="1:18">
      <c r="A697" t="s">
        <v>3017</v>
      </c>
      <c r="B697" t="s">
        <v>6831</v>
      </c>
      <c r="C697" t="s">
        <v>7779</v>
      </c>
      <c r="D697" s="1">
        <v>7</v>
      </c>
      <c r="E697" s="1">
        <v>5</v>
      </c>
      <c r="F697" s="1">
        <v>188</v>
      </c>
      <c r="G697" s="1">
        <v>192</v>
      </c>
      <c r="H697" s="17" cm="1">
        <f t="array" ref="H697">_xlfn.LET(_xlpm.s,IFERROR(--F697,""),_xlpm.e,IFERROR(--G697,""),IF(OR(_xlpm.s="",_xlpm.e="",_xlpm.e&lt;_xlpm.s),"",_xlfn.LET(_xlpm.p,_xlfn.SEQUENCE(_xlpm.e-_xlpm.s+1,1,_xlpm.s,1),SUM(1/COUNTIFS($D:$D,D697,$E:$E,E697,$F:$F,"&lt;&gt;N/A",$G:$G,"&lt;&gt;N/A",$F:$F,"&lt;="&amp;_xlpm.p,$G:$G,"&gt;="&amp;_xlpm.p)))))</f>
        <v>5</v>
      </c>
      <c r="I697" t="s">
        <v>170</v>
      </c>
      <c r="J697" t="s">
        <v>2829</v>
      </c>
      <c r="K697" t="s">
        <v>7</v>
      </c>
      <c r="L697" s="5" t="s">
        <v>4651</v>
      </c>
      <c r="M697" t="s">
        <v>5150</v>
      </c>
      <c r="N697" t="s">
        <v>6476</v>
      </c>
      <c r="O697" s="5" t="s">
        <v>5072</v>
      </c>
      <c r="P697" s="5" t="s">
        <v>8021</v>
      </c>
      <c r="R697" t="b">
        <v>1</v>
      </c>
    </row>
    <row r="698" spans="1:18">
      <c r="A698" t="s">
        <v>3017</v>
      </c>
      <c r="B698" t="s">
        <v>6832</v>
      </c>
      <c r="C698" t="s">
        <v>7779</v>
      </c>
      <c r="D698" s="1">
        <v>7</v>
      </c>
      <c r="E698" s="1">
        <v>5</v>
      </c>
      <c r="F698" s="1">
        <v>193</v>
      </c>
      <c r="G698" s="1">
        <v>200</v>
      </c>
      <c r="H698" s="17" cm="1">
        <f t="array" ref="H698">_xlfn.LET(_xlpm.s,IFERROR(--F698,""),_xlpm.e,IFERROR(--G698,""),IF(OR(_xlpm.s="",_xlpm.e="",_xlpm.e&lt;_xlpm.s),"",_xlfn.LET(_xlpm.p,_xlfn.SEQUENCE(_xlpm.e-_xlpm.s+1,1,_xlpm.s,1),SUM(1/COUNTIFS($D:$D,D698,$E:$E,E698,$F:$F,"&lt;&gt;N/A",$G:$G,"&lt;&gt;N/A",$F:$F,"&lt;="&amp;_xlpm.p,$G:$G,"&gt;="&amp;_xlpm.p)))))</f>
        <v>8</v>
      </c>
      <c r="I698" t="s">
        <v>7</v>
      </c>
      <c r="J698" t="s">
        <v>1850</v>
      </c>
      <c r="K698" t="s">
        <v>7</v>
      </c>
      <c r="L698" s="5" t="s">
        <v>1850</v>
      </c>
      <c r="M698" s="5" t="s">
        <v>7</v>
      </c>
      <c r="N698" t="s">
        <v>2502</v>
      </c>
      <c r="O698" s="5" t="s">
        <v>5072</v>
      </c>
      <c r="P698" s="5" t="s">
        <v>8019</v>
      </c>
      <c r="R698" t="b">
        <v>1</v>
      </c>
    </row>
    <row r="699" spans="1:18">
      <c r="A699" t="s">
        <v>3017</v>
      </c>
      <c r="B699" t="s">
        <v>6211</v>
      </c>
      <c r="C699" t="s">
        <v>7787</v>
      </c>
      <c r="D699" s="1">
        <v>7</v>
      </c>
      <c r="E699" s="1">
        <v>6</v>
      </c>
      <c r="F699" s="1">
        <v>201</v>
      </c>
      <c r="G699" s="1">
        <v>203</v>
      </c>
      <c r="H699" s="17" cm="1">
        <f t="array" ref="H699">_xlfn.LET(_xlpm.s,IFERROR(--F699,""),_xlpm.e,IFERROR(--G699,""),IF(OR(_xlpm.s="",_xlpm.e="",_xlpm.e&lt;_xlpm.s),"",_xlfn.LET(_xlpm.p,_xlfn.SEQUENCE(_xlpm.e-_xlpm.s+1,1,_xlpm.s,1),SUM(1/COUNTIFS($D:$D,D699,$E:$E,E699,$F:$F,"&lt;&gt;N/A",$G:$G,"&lt;&gt;N/A",$F:$F,"&lt;="&amp;_xlpm.p,$G:$G,"&gt;="&amp;_xlpm.p)))))</f>
        <v>2.5</v>
      </c>
      <c r="I699" t="s">
        <v>5436</v>
      </c>
      <c r="J699" t="s">
        <v>1872</v>
      </c>
      <c r="K699" t="s">
        <v>7</v>
      </c>
      <c r="L699" s="5" t="s">
        <v>7</v>
      </c>
      <c r="M699" s="5" t="s">
        <v>7</v>
      </c>
      <c r="N699" t="s">
        <v>7</v>
      </c>
      <c r="O699" s="5" t="s">
        <v>778</v>
      </c>
      <c r="P699" s="5" t="s">
        <v>7834</v>
      </c>
      <c r="R699" t="b">
        <v>0</v>
      </c>
    </row>
    <row r="700" spans="1:18">
      <c r="A700" t="s">
        <v>3017</v>
      </c>
      <c r="B700" t="s">
        <v>6212</v>
      </c>
      <c r="C700" t="s">
        <v>7787</v>
      </c>
      <c r="D700" s="1">
        <v>7</v>
      </c>
      <c r="E700" s="1">
        <v>6</v>
      </c>
      <c r="F700" s="1">
        <v>203</v>
      </c>
      <c r="G700" s="1">
        <v>205</v>
      </c>
      <c r="H700" s="17" cm="1">
        <f t="array" ref="H700">_xlfn.LET(_xlpm.s,IFERROR(--F700,""),_xlpm.e,IFERROR(--G700,""),IF(OR(_xlpm.s="",_xlpm.e="",_xlpm.e&lt;_xlpm.s),"",_xlfn.LET(_xlpm.p,_xlfn.SEQUENCE(_xlpm.e-_xlpm.s+1,1,_xlpm.s,1),SUM(1/COUNTIFS($D:$D,D700,$E:$E,E700,$F:$F,"&lt;&gt;N/A",$G:$G,"&lt;&gt;N/A",$F:$F,"&lt;="&amp;_xlpm.p,$G:$G,"&gt;="&amp;_xlpm.p)))))</f>
        <v>2</v>
      </c>
      <c r="I700" t="s">
        <v>5436</v>
      </c>
      <c r="J700" t="s">
        <v>1873</v>
      </c>
      <c r="K700" t="s">
        <v>7</v>
      </c>
      <c r="L700" s="5" t="s">
        <v>7</v>
      </c>
      <c r="M700" s="5" t="s">
        <v>7</v>
      </c>
      <c r="N700" t="s">
        <v>7</v>
      </c>
      <c r="O700" s="5" t="s">
        <v>778</v>
      </c>
      <c r="P700" s="5" t="s">
        <v>7834</v>
      </c>
      <c r="R700" t="b">
        <v>0</v>
      </c>
    </row>
    <row r="701" spans="1:18">
      <c r="A701" t="s">
        <v>3017</v>
      </c>
      <c r="B701" t="s">
        <v>6213</v>
      </c>
      <c r="C701" t="s">
        <v>7787</v>
      </c>
      <c r="D701" s="1">
        <v>7</v>
      </c>
      <c r="E701" s="1">
        <v>6</v>
      </c>
      <c r="F701" s="1">
        <v>205</v>
      </c>
      <c r="G701" s="1">
        <v>206</v>
      </c>
      <c r="H701" s="17" cm="1">
        <f t="array" ref="H701">_xlfn.LET(_xlpm.s,IFERROR(--F701,""),_xlpm.e,IFERROR(--G701,""),IF(OR(_xlpm.s="",_xlpm.e="",_xlpm.e&lt;_xlpm.s),"",_xlfn.LET(_xlpm.p,_xlfn.SEQUENCE(_xlpm.e-_xlpm.s+1,1,_xlpm.s,1),SUM(1/COUNTIFS($D:$D,D701,$E:$E,E701,$F:$F,"&lt;&gt;N/A",$G:$G,"&lt;&gt;N/A",$F:$F,"&lt;="&amp;_xlpm.p,$G:$G,"&gt;="&amp;_xlpm.p)))))</f>
        <v>1.5</v>
      </c>
      <c r="I701" t="s">
        <v>5436</v>
      </c>
      <c r="J701" t="s">
        <v>1874</v>
      </c>
      <c r="K701" t="s">
        <v>5089</v>
      </c>
      <c r="L701" s="5" t="s">
        <v>7</v>
      </c>
      <c r="M701" s="5" t="s">
        <v>7</v>
      </c>
      <c r="N701" t="s">
        <v>7</v>
      </c>
      <c r="O701" s="5" t="s">
        <v>778</v>
      </c>
      <c r="P701" s="5" t="s">
        <v>7834</v>
      </c>
      <c r="R701" t="b">
        <v>1</v>
      </c>
    </row>
    <row r="702" spans="1:18">
      <c r="A702" t="s">
        <v>3017</v>
      </c>
      <c r="B702" t="s">
        <v>6214</v>
      </c>
      <c r="C702" t="s">
        <v>7787</v>
      </c>
      <c r="D702" s="1">
        <v>7</v>
      </c>
      <c r="E702" s="1">
        <v>6</v>
      </c>
      <c r="F702" s="1">
        <v>207</v>
      </c>
      <c r="G702" s="1">
        <v>222</v>
      </c>
      <c r="H702" s="17" cm="1">
        <f t="array" ref="H702">_xlfn.LET(_xlpm.s,IFERROR(--F702,""),_xlpm.e,IFERROR(--G702,""),IF(OR(_xlpm.s="",_xlpm.e="",_xlpm.e&lt;_xlpm.s),"",_xlfn.LET(_xlpm.p,_xlfn.SEQUENCE(_xlpm.e-_xlpm.s+1,1,_xlpm.s,1),SUM(1/COUNTIFS($D:$D,D702,$E:$E,E702,$F:$F,"&lt;&gt;N/A",$G:$G,"&lt;&gt;N/A",$F:$F,"&lt;="&amp;_xlpm.p,$G:$G,"&gt;="&amp;_xlpm.p)))))</f>
        <v>16</v>
      </c>
      <c r="I702" t="s">
        <v>2573</v>
      </c>
      <c r="J702" t="s">
        <v>1875</v>
      </c>
      <c r="K702" t="s">
        <v>10841</v>
      </c>
      <c r="L702" s="5" t="s">
        <v>6469</v>
      </c>
      <c r="M702" s="5" t="s">
        <v>5397</v>
      </c>
      <c r="N702" t="s">
        <v>2474</v>
      </c>
      <c r="O702" s="5" t="s">
        <v>5072</v>
      </c>
      <c r="P702" s="5" t="s">
        <v>8021</v>
      </c>
      <c r="R702" t="b">
        <v>1</v>
      </c>
    </row>
    <row r="703" spans="1:18">
      <c r="A703" t="s">
        <v>3017</v>
      </c>
      <c r="B703" t="s">
        <v>6215</v>
      </c>
      <c r="C703" t="s">
        <v>7787</v>
      </c>
      <c r="D703" s="1">
        <v>7</v>
      </c>
      <c r="E703" s="1">
        <v>6</v>
      </c>
      <c r="F703" s="1">
        <v>223</v>
      </c>
      <c r="G703" s="1">
        <v>225</v>
      </c>
      <c r="H703" s="17" cm="1">
        <f t="array" ref="H703">_xlfn.LET(_xlpm.s,IFERROR(--F703,""),_xlpm.e,IFERROR(--G703,""),IF(OR(_xlpm.s="",_xlpm.e="",_xlpm.e&lt;_xlpm.s),"",_xlfn.LET(_xlpm.p,_xlfn.SEQUENCE(_xlpm.e-_xlpm.s+1,1,_xlpm.s,1),SUM(1/COUNTIFS($D:$D,D703,$E:$E,E703,$F:$F,"&lt;&gt;N/A",$G:$G,"&lt;&gt;N/A",$F:$F,"&lt;="&amp;_xlpm.p,$G:$G,"&gt;="&amp;_xlpm.p)))))</f>
        <v>3</v>
      </c>
      <c r="I703" t="s">
        <v>2573</v>
      </c>
      <c r="J703" t="s">
        <v>6474</v>
      </c>
      <c r="K703" t="s">
        <v>7</v>
      </c>
      <c r="L703" s="5" t="s">
        <v>7</v>
      </c>
      <c r="M703" t="s">
        <v>6475</v>
      </c>
      <c r="N703" t="s">
        <v>3175</v>
      </c>
      <c r="O703" s="5" t="s">
        <v>11522</v>
      </c>
      <c r="P703" s="5" t="s">
        <v>8092</v>
      </c>
      <c r="R703" t="b">
        <v>1</v>
      </c>
    </row>
    <row r="704" spans="1:18">
      <c r="A704" t="s">
        <v>3017</v>
      </c>
      <c r="B704" t="s">
        <v>6833</v>
      </c>
      <c r="C704" t="s">
        <v>7787</v>
      </c>
      <c r="D704" s="1">
        <v>7</v>
      </c>
      <c r="E704" s="1">
        <v>6</v>
      </c>
      <c r="F704" s="1">
        <v>226</v>
      </c>
      <c r="G704" s="1">
        <v>233</v>
      </c>
      <c r="H704" s="17" cm="1">
        <f t="array" ref="H704">_xlfn.LET(_xlpm.s,IFERROR(--F704,""),_xlpm.e,IFERROR(--G704,""),IF(OR(_xlpm.s="",_xlpm.e="",_xlpm.e&lt;_xlpm.s),"",_xlfn.LET(_xlpm.p,_xlfn.SEQUENCE(_xlpm.e-_xlpm.s+1,1,_xlpm.s,1),SUM(1/COUNTIFS($D:$D,D704,$E:$E,E704,$F:$F,"&lt;&gt;N/A",$G:$G,"&lt;&gt;N/A",$F:$F,"&lt;="&amp;_xlpm.p,$G:$G,"&gt;="&amp;_xlpm.p)))))</f>
        <v>8</v>
      </c>
      <c r="I704" t="s">
        <v>2573</v>
      </c>
      <c r="J704" t="s">
        <v>2475</v>
      </c>
      <c r="K704" t="s">
        <v>7</v>
      </c>
      <c r="L704" s="5" t="s">
        <v>7</v>
      </c>
      <c r="M704" t="s">
        <v>6472</v>
      </c>
      <c r="N704" t="s">
        <v>6473</v>
      </c>
      <c r="O704" s="5" t="s">
        <v>5072</v>
      </c>
      <c r="P704" s="5" t="s">
        <v>8021</v>
      </c>
      <c r="Q704" t="s">
        <v>2509</v>
      </c>
      <c r="R704" t="b">
        <v>1</v>
      </c>
    </row>
    <row r="705" spans="1:18">
      <c r="A705" t="s">
        <v>3017</v>
      </c>
      <c r="B705" t="s">
        <v>6834</v>
      </c>
      <c r="C705" t="s">
        <v>7787</v>
      </c>
      <c r="D705" s="1">
        <v>7</v>
      </c>
      <c r="E705" s="1">
        <v>6</v>
      </c>
      <c r="F705" s="1">
        <v>234</v>
      </c>
      <c r="G705" s="1">
        <v>240</v>
      </c>
      <c r="H705" s="17" cm="1">
        <f t="array" ref="H705">_xlfn.LET(_xlpm.s,IFERROR(--F705,""),_xlpm.e,IFERROR(--G705,""),IF(OR(_xlpm.s="",_xlpm.e="",_xlpm.e&lt;_xlpm.s),"",_xlfn.LET(_xlpm.p,_xlfn.SEQUENCE(_xlpm.e-_xlpm.s+1,1,_xlpm.s,1),SUM(1/COUNTIFS($D:$D,D705,$E:$E,E705,$F:$F,"&lt;&gt;N/A",$G:$G,"&lt;&gt;N/A",$F:$F,"&lt;="&amp;_xlpm.p,$G:$G,"&gt;="&amp;_xlpm.p)))))</f>
        <v>7</v>
      </c>
      <c r="I705" t="s">
        <v>2573</v>
      </c>
      <c r="J705" t="s">
        <v>1850</v>
      </c>
      <c r="K705" t="s">
        <v>7</v>
      </c>
      <c r="L705" s="5" t="s">
        <v>1850</v>
      </c>
      <c r="M705" t="s">
        <v>7</v>
      </c>
      <c r="N705" t="s">
        <v>2502</v>
      </c>
      <c r="O705" s="5" t="s">
        <v>5072</v>
      </c>
      <c r="P705" s="5" t="s">
        <v>8019</v>
      </c>
      <c r="R705" t="b">
        <v>1</v>
      </c>
    </row>
    <row r="706" spans="1:18">
      <c r="A706" t="s">
        <v>3017</v>
      </c>
      <c r="B706" t="s">
        <v>6216</v>
      </c>
      <c r="C706" t="s">
        <v>7795</v>
      </c>
      <c r="D706" s="1">
        <v>7</v>
      </c>
      <c r="E706" s="1">
        <v>7</v>
      </c>
      <c r="F706" s="1">
        <v>241</v>
      </c>
      <c r="G706" s="1">
        <v>244</v>
      </c>
      <c r="H706" s="17" cm="1">
        <f t="array" ref="H706">_xlfn.LET(_xlpm.s,IFERROR(--F706,""),_xlpm.e,IFERROR(--G706,""),IF(OR(_xlpm.s="",_xlpm.e="",_xlpm.e&lt;_xlpm.s),"",_xlfn.LET(_xlpm.p,_xlfn.SEQUENCE(_xlpm.e-_xlpm.s+1,1,_xlpm.s,1),SUM(1/COUNTIFS($D:$D,D706,$E:$E,E706,$F:$F,"&lt;&gt;N/A",$G:$G,"&lt;&gt;N/A",$F:$F,"&lt;="&amp;_xlpm.p,$G:$G,"&gt;="&amp;_xlpm.p)))))</f>
        <v>3.5</v>
      </c>
      <c r="I706" t="s">
        <v>5436</v>
      </c>
      <c r="J706" t="s">
        <v>1876</v>
      </c>
      <c r="K706" t="s">
        <v>7</v>
      </c>
      <c r="L706" s="5" t="s">
        <v>7</v>
      </c>
      <c r="M706" t="s">
        <v>7</v>
      </c>
      <c r="N706" t="s">
        <v>7</v>
      </c>
      <c r="O706" s="5" t="s">
        <v>778</v>
      </c>
      <c r="P706" s="5" t="s">
        <v>7834</v>
      </c>
      <c r="R706" t="b">
        <v>0</v>
      </c>
    </row>
    <row r="707" spans="1:18">
      <c r="A707" t="s">
        <v>3017</v>
      </c>
      <c r="B707" t="s">
        <v>6217</v>
      </c>
      <c r="C707" t="s">
        <v>7795</v>
      </c>
      <c r="D707" s="1">
        <v>7</v>
      </c>
      <c r="E707" s="1">
        <v>7</v>
      </c>
      <c r="F707" s="1">
        <v>244</v>
      </c>
      <c r="G707" s="1">
        <v>246</v>
      </c>
      <c r="H707" s="17" cm="1">
        <f t="array" ref="H707">_xlfn.LET(_xlpm.s,IFERROR(--F707,""),_xlpm.e,IFERROR(--G707,""),IF(OR(_xlpm.s="",_xlpm.e="",_xlpm.e&lt;_xlpm.s),"",_xlfn.LET(_xlpm.p,_xlfn.SEQUENCE(_xlpm.e-_xlpm.s+1,1,_xlpm.s,1),SUM(1/COUNTIFS($D:$D,D707,$E:$E,E707,$F:$F,"&lt;&gt;N/A",$G:$G,"&lt;&gt;N/A",$F:$F,"&lt;="&amp;_xlpm.p,$G:$G,"&gt;="&amp;_xlpm.p)))))</f>
        <v>2.5</v>
      </c>
      <c r="I707" t="s">
        <v>5436</v>
      </c>
      <c r="J707" t="s">
        <v>1877</v>
      </c>
      <c r="K707" t="s">
        <v>7</v>
      </c>
      <c r="L707" s="5" t="s">
        <v>7</v>
      </c>
      <c r="M707" t="s">
        <v>7</v>
      </c>
      <c r="N707" t="s">
        <v>7</v>
      </c>
      <c r="O707" s="5" t="s">
        <v>778</v>
      </c>
      <c r="P707" s="5" t="s">
        <v>7834</v>
      </c>
      <c r="R707" t="b">
        <v>0</v>
      </c>
    </row>
    <row r="708" spans="1:18">
      <c r="A708" t="s">
        <v>3017</v>
      </c>
      <c r="B708" t="s">
        <v>6218</v>
      </c>
      <c r="C708" t="s">
        <v>7795</v>
      </c>
      <c r="D708" s="1">
        <v>7</v>
      </c>
      <c r="E708" s="1">
        <v>7</v>
      </c>
      <c r="F708" s="1">
        <v>247</v>
      </c>
      <c r="G708" s="1">
        <v>255</v>
      </c>
      <c r="H708" s="17" cm="1">
        <f t="array" ref="H708">_xlfn.LET(_xlpm.s,IFERROR(--F708,""),_xlpm.e,IFERROR(--G708,""),IF(OR(_xlpm.s="",_xlpm.e="",_xlpm.e&lt;_xlpm.s),"",_xlfn.LET(_xlpm.p,_xlfn.SEQUENCE(_xlpm.e-_xlpm.s+1,1,_xlpm.s,1),SUM(1/COUNTIFS($D:$D,D708,$E:$E,E708,$F:$F,"&lt;&gt;N/A",$G:$G,"&lt;&gt;N/A",$F:$F,"&lt;="&amp;_xlpm.p,$G:$G,"&gt;="&amp;_xlpm.p)))))</f>
        <v>8.5</v>
      </c>
      <c r="I708" t="s">
        <v>2573</v>
      </c>
      <c r="J708" t="s">
        <v>6470</v>
      </c>
      <c r="K708" t="s">
        <v>7</v>
      </c>
      <c r="L708" s="5" t="s">
        <v>6469</v>
      </c>
      <c r="M708" s="5" t="s">
        <v>5397</v>
      </c>
      <c r="N708" t="s">
        <v>8084</v>
      </c>
      <c r="O708" s="5" t="s">
        <v>5072</v>
      </c>
      <c r="P708" s="5" t="s">
        <v>8021</v>
      </c>
      <c r="R708" t="b">
        <v>1</v>
      </c>
    </row>
    <row r="709" spans="1:18">
      <c r="A709" t="s">
        <v>3017</v>
      </c>
      <c r="B709" t="s">
        <v>6219</v>
      </c>
      <c r="C709" t="s">
        <v>7795</v>
      </c>
      <c r="D709" s="1">
        <v>7</v>
      </c>
      <c r="E709" s="1">
        <v>7</v>
      </c>
      <c r="F709" s="1">
        <v>255</v>
      </c>
      <c r="G709" s="1">
        <v>265</v>
      </c>
      <c r="H709" s="17" cm="1">
        <f t="array" ref="H709">_xlfn.LET(_xlpm.s,IFERROR(--F709,""),_xlpm.e,IFERROR(--G709,""),IF(OR(_xlpm.s="",_xlpm.e="",_xlpm.e&lt;_xlpm.s),"",_xlfn.LET(_xlpm.p,_xlfn.SEQUENCE(_xlpm.e-_xlpm.s+1,1,_xlpm.s,1),SUM(1/COUNTIFS($D:$D,D709,$E:$E,E709,$F:$F,"&lt;&gt;N/A",$G:$G,"&lt;&gt;N/A",$F:$F,"&lt;="&amp;_xlpm.p,$G:$G,"&gt;="&amp;_xlpm.p)))))</f>
        <v>10.5</v>
      </c>
      <c r="I709" t="s">
        <v>2573</v>
      </c>
      <c r="J709" t="s">
        <v>6471</v>
      </c>
      <c r="K709" t="s">
        <v>7</v>
      </c>
      <c r="L709" s="5" t="s">
        <v>6469</v>
      </c>
      <c r="M709" s="5" t="s">
        <v>5397</v>
      </c>
      <c r="N709" t="s">
        <v>8085</v>
      </c>
      <c r="O709" s="5" t="s">
        <v>5072</v>
      </c>
      <c r="P709" s="5" t="s">
        <v>8021</v>
      </c>
      <c r="R709" t="b">
        <v>1</v>
      </c>
    </row>
    <row r="710" spans="1:18">
      <c r="A710" t="s">
        <v>3017</v>
      </c>
      <c r="B710" t="s">
        <v>6220</v>
      </c>
      <c r="C710" t="s">
        <v>7795</v>
      </c>
      <c r="D710" s="1">
        <v>7</v>
      </c>
      <c r="E710" s="1">
        <v>7</v>
      </c>
      <c r="F710" s="1">
        <v>266</v>
      </c>
      <c r="G710" s="1">
        <v>269</v>
      </c>
      <c r="H710" s="17" cm="1">
        <f t="array" ref="H710">_xlfn.LET(_xlpm.s,IFERROR(--F710,""),_xlpm.e,IFERROR(--G710,""),IF(OR(_xlpm.s="",_xlpm.e="",_xlpm.e&lt;_xlpm.s),"",_xlfn.LET(_xlpm.p,_xlfn.SEQUENCE(_xlpm.e-_xlpm.s+1,1,_xlpm.s,1),SUM(1/COUNTIFS($D:$D,D710,$E:$E,E710,$F:$F,"&lt;&gt;N/A",$G:$G,"&lt;&gt;N/A",$F:$F,"&lt;="&amp;_xlpm.p,$G:$G,"&gt;="&amp;_xlpm.p)))))</f>
        <v>3.5</v>
      </c>
      <c r="I710" t="s">
        <v>624</v>
      </c>
      <c r="J710" t="s">
        <v>5085</v>
      </c>
      <c r="K710" t="s">
        <v>7</v>
      </c>
      <c r="L710" s="5" t="s">
        <v>4659</v>
      </c>
      <c r="M710" t="s">
        <v>5084</v>
      </c>
      <c r="N710" t="s">
        <v>5086</v>
      </c>
      <c r="O710" s="5" t="s">
        <v>10264</v>
      </c>
      <c r="P710" s="5" t="s">
        <v>8020</v>
      </c>
      <c r="R710" t="b">
        <v>1</v>
      </c>
    </row>
    <row r="711" spans="1:18">
      <c r="A711" t="s">
        <v>3017</v>
      </c>
      <c r="B711" t="s">
        <v>6835</v>
      </c>
      <c r="C711" t="s">
        <v>7795</v>
      </c>
      <c r="D711" s="1">
        <v>7</v>
      </c>
      <c r="E711" s="1">
        <v>7</v>
      </c>
      <c r="F711" s="1">
        <v>269</v>
      </c>
      <c r="G711" s="1">
        <v>276</v>
      </c>
      <c r="H711" s="17" cm="1">
        <f t="array" ref="H711">_xlfn.LET(_xlpm.s,IFERROR(--F711,""),_xlpm.e,IFERROR(--G711,""),IF(OR(_xlpm.s="",_xlpm.e="",_xlpm.e&lt;_xlpm.s),"",_xlfn.LET(_xlpm.p,_xlfn.SEQUENCE(_xlpm.e-_xlpm.s+1,1,_xlpm.s,1),SUM(1/COUNTIFS($D:$D,D711,$E:$E,E711,$F:$F,"&lt;&gt;N/A",$G:$G,"&lt;&gt;N/A",$F:$F,"&lt;="&amp;_xlpm.p,$G:$G,"&gt;="&amp;_xlpm.p)))))</f>
        <v>7.5</v>
      </c>
      <c r="I711" t="s">
        <v>624</v>
      </c>
      <c r="J711" t="s">
        <v>5087</v>
      </c>
      <c r="K711" t="s">
        <v>7</v>
      </c>
      <c r="L711" s="5" t="s">
        <v>4659</v>
      </c>
      <c r="M711" t="s">
        <v>5084</v>
      </c>
      <c r="N711" t="s">
        <v>5088</v>
      </c>
      <c r="O711" s="5" t="s">
        <v>10264</v>
      </c>
      <c r="P711" s="5" t="s">
        <v>8020</v>
      </c>
      <c r="R711" t="b">
        <v>1</v>
      </c>
    </row>
    <row r="712" spans="1:18">
      <c r="A712" t="s">
        <v>3017</v>
      </c>
      <c r="B712" t="s">
        <v>6836</v>
      </c>
      <c r="C712" t="s">
        <v>7795</v>
      </c>
      <c r="D712" s="1">
        <v>7</v>
      </c>
      <c r="E712" s="1">
        <v>7</v>
      </c>
      <c r="F712" s="1">
        <v>277</v>
      </c>
      <c r="G712" s="1">
        <v>280</v>
      </c>
      <c r="H712" s="17" cm="1">
        <f t="array" ref="H712">_xlfn.LET(_xlpm.s,IFERROR(--F712,""),_xlpm.e,IFERROR(--G712,""),IF(OR(_xlpm.s="",_xlpm.e="",_xlpm.e&lt;_xlpm.s),"",_xlfn.LET(_xlpm.p,_xlfn.SEQUENCE(_xlpm.e-_xlpm.s+1,1,_xlpm.s,1),SUM(1/COUNTIFS($D:$D,D712,$E:$E,E712,$F:$F,"&lt;&gt;N/A",$G:$G,"&lt;&gt;N/A",$F:$F,"&lt;="&amp;_xlpm.p,$G:$G,"&gt;="&amp;_xlpm.p)))))</f>
        <v>4</v>
      </c>
      <c r="I712" t="s">
        <v>7</v>
      </c>
      <c r="J712" t="s">
        <v>1850</v>
      </c>
      <c r="K712" t="s">
        <v>7</v>
      </c>
      <c r="L712" s="5" t="s">
        <v>1850</v>
      </c>
      <c r="M712" t="s">
        <v>7</v>
      </c>
      <c r="N712" t="s">
        <v>2502</v>
      </c>
      <c r="O712" s="5" t="s">
        <v>5072</v>
      </c>
      <c r="P712" s="5" t="s">
        <v>8019</v>
      </c>
      <c r="R712" t="b">
        <v>1</v>
      </c>
    </row>
    <row r="713" spans="1:18">
      <c r="A713" t="s">
        <v>3017</v>
      </c>
      <c r="B713" t="s">
        <v>6221</v>
      </c>
      <c r="C713" t="s">
        <v>7802</v>
      </c>
      <c r="D713" s="1">
        <v>7</v>
      </c>
      <c r="E713" s="1">
        <v>8</v>
      </c>
      <c r="F713" s="1">
        <v>281</v>
      </c>
      <c r="G713" s="1">
        <v>282</v>
      </c>
      <c r="H713" s="17" cm="1">
        <f t="array" ref="H713">_xlfn.LET(_xlpm.s,IFERROR(--F713,""),_xlpm.e,IFERROR(--G713,""),IF(OR(_xlpm.s="",_xlpm.e="",_xlpm.e&lt;_xlpm.s),"",_xlfn.LET(_xlpm.p,_xlfn.SEQUENCE(_xlpm.e-_xlpm.s+1,1,_xlpm.s,1),SUM(1/COUNTIFS($D:$D,D713,$E:$E,E713,$F:$F,"&lt;&gt;N/A",$G:$G,"&lt;&gt;N/A",$F:$F,"&lt;="&amp;_xlpm.p,$G:$G,"&gt;="&amp;_xlpm.p)))))</f>
        <v>1.5</v>
      </c>
      <c r="I713" t="s">
        <v>5436</v>
      </c>
      <c r="J713" t="s">
        <v>4465</v>
      </c>
      <c r="K713" t="s">
        <v>7</v>
      </c>
      <c r="L713" s="5" t="s">
        <v>7</v>
      </c>
      <c r="M713" t="s">
        <v>7</v>
      </c>
      <c r="N713" t="s">
        <v>7</v>
      </c>
      <c r="O713" s="5" t="s">
        <v>778</v>
      </c>
      <c r="P713" s="5" t="s">
        <v>7834</v>
      </c>
      <c r="R713" t="b">
        <v>0</v>
      </c>
    </row>
    <row r="714" spans="1:18">
      <c r="A714" t="s">
        <v>3017</v>
      </c>
      <c r="B714" t="s">
        <v>6222</v>
      </c>
      <c r="C714" t="s">
        <v>7802</v>
      </c>
      <c r="D714" s="1">
        <v>7</v>
      </c>
      <c r="E714" s="1">
        <v>8</v>
      </c>
      <c r="F714" s="1">
        <v>282</v>
      </c>
      <c r="G714" s="1">
        <v>284</v>
      </c>
      <c r="H714" s="17" cm="1">
        <f t="array" ref="H714">_xlfn.LET(_xlpm.s,IFERROR(--F714,""),_xlpm.e,IFERROR(--G714,""),IF(OR(_xlpm.s="",_xlpm.e="",_xlpm.e&lt;_xlpm.s),"",_xlfn.LET(_xlpm.p,_xlfn.SEQUENCE(_xlpm.e-_xlpm.s+1,1,_xlpm.s,1),SUM(1/COUNTIFS($D:$D,D714,$E:$E,E714,$F:$F,"&lt;&gt;N/A",$G:$G,"&lt;&gt;N/A",$F:$F,"&lt;="&amp;_xlpm.p,$G:$G,"&gt;="&amp;_xlpm.p)))))</f>
        <v>2</v>
      </c>
      <c r="I714" t="s">
        <v>5436</v>
      </c>
      <c r="J714" t="s">
        <v>4466</v>
      </c>
      <c r="K714" t="s">
        <v>7</v>
      </c>
      <c r="L714" s="5" t="s">
        <v>7</v>
      </c>
      <c r="M714" t="s">
        <v>7</v>
      </c>
      <c r="N714" t="s">
        <v>7</v>
      </c>
      <c r="O714" s="5" t="s">
        <v>778</v>
      </c>
      <c r="P714" s="5" t="s">
        <v>7834</v>
      </c>
      <c r="R714" t="b">
        <v>0</v>
      </c>
    </row>
    <row r="715" spans="1:18">
      <c r="A715" t="s">
        <v>3017</v>
      </c>
      <c r="B715" t="s">
        <v>6223</v>
      </c>
      <c r="C715" t="s">
        <v>7802</v>
      </c>
      <c r="D715" s="1">
        <v>7</v>
      </c>
      <c r="E715" s="1">
        <v>8</v>
      </c>
      <c r="F715" s="1">
        <v>284</v>
      </c>
      <c r="G715" s="1">
        <v>286</v>
      </c>
      <c r="H715" s="17" cm="1">
        <f t="array" ref="H715">_xlfn.LET(_xlpm.s,IFERROR(--F715,""),_xlpm.e,IFERROR(--G715,""),IF(OR(_xlpm.s="",_xlpm.e="",_xlpm.e&lt;_xlpm.s),"",_xlfn.LET(_xlpm.p,_xlfn.SEQUENCE(_xlpm.e-_xlpm.s+1,1,_xlpm.s,1),SUM(1/COUNTIFS($D:$D,D715,$E:$E,E715,$F:$F,"&lt;&gt;N/A",$G:$G,"&lt;&gt;N/A",$F:$F,"&lt;="&amp;_xlpm.p,$G:$G,"&gt;="&amp;_xlpm.p)))))</f>
        <v>1.8333333333333333</v>
      </c>
      <c r="I715" t="s">
        <v>5436</v>
      </c>
      <c r="J715" t="s">
        <v>4467</v>
      </c>
      <c r="K715" t="s">
        <v>7</v>
      </c>
      <c r="L715" s="5" t="s">
        <v>7</v>
      </c>
      <c r="M715" t="s">
        <v>7</v>
      </c>
      <c r="N715" t="s">
        <v>7</v>
      </c>
      <c r="O715" s="5" t="s">
        <v>778</v>
      </c>
      <c r="P715" s="5" t="s">
        <v>7834</v>
      </c>
      <c r="R715" t="b">
        <v>0</v>
      </c>
    </row>
    <row r="716" spans="1:18">
      <c r="A716" t="s">
        <v>3017</v>
      </c>
      <c r="B716" t="s">
        <v>6224</v>
      </c>
      <c r="C716" t="s">
        <v>7802</v>
      </c>
      <c r="D716" s="1">
        <v>7</v>
      </c>
      <c r="E716" s="1">
        <v>8</v>
      </c>
      <c r="F716" s="1">
        <v>286</v>
      </c>
      <c r="G716" s="1">
        <v>286</v>
      </c>
      <c r="H716" s="17" cm="1">
        <f t="array" ref="H716">_xlfn.LET(_xlpm.s,IFERROR(--F716,""),_xlpm.e,IFERROR(--G716,""),IF(OR(_xlpm.s="",_xlpm.e="",_xlpm.e&lt;_xlpm.s),"",_xlfn.LET(_xlpm.p,_xlfn.SEQUENCE(_xlpm.e-_xlpm.s+1,1,_xlpm.s,1),SUM(1/COUNTIFS($D:$D,D716,$E:$E,E716,$F:$F,"&lt;&gt;N/A",$G:$G,"&lt;&gt;N/A",$F:$F,"&lt;="&amp;_xlpm.p,$G:$G,"&gt;="&amp;_xlpm.p)))))</f>
        <v>0.33333333333333331</v>
      </c>
      <c r="I716" t="s">
        <v>5436</v>
      </c>
      <c r="J716" t="s">
        <v>4464</v>
      </c>
      <c r="K716" t="s">
        <v>7</v>
      </c>
      <c r="L716" s="5" t="s">
        <v>7</v>
      </c>
      <c r="M716" t="s">
        <v>7</v>
      </c>
      <c r="N716" t="s">
        <v>7</v>
      </c>
      <c r="O716" s="5" t="s">
        <v>778</v>
      </c>
      <c r="P716" s="5" t="s">
        <v>7834</v>
      </c>
      <c r="R716" t="b">
        <v>0</v>
      </c>
    </row>
    <row r="717" spans="1:18">
      <c r="A717" t="s">
        <v>3017</v>
      </c>
      <c r="B717" t="s">
        <v>6225</v>
      </c>
      <c r="C717" t="s">
        <v>7802</v>
      </c>
      <c r="D717" s="1">
        <v>7</v>
      </c>
      <c r="E717" s="1">
        <v>8</v>
      </c>
      <c r="F717" s="1">
        <v>286</v>
      </c>
      <c r="G717" s="1">
        <v>287</v>
      </c>
      <c r="H717" s="17" cm="1">
        <f t="array" ref="H717">_xlfn.LET(_xlpm.s,IFERROR(--F717,""),_xlpm.e,IFERROR(--G717,""),IF(OR(_xlpm.s="",_xlpm.e="",_xlpm.e&lt;_xlpm.s),"",_xlfn.LET(_xlpm.p,_xlfn.SEQUENCE(_xlpm.e-_xlpm.s+1,1,_xlpm.s,1),SUM(1/COUNTIFS($D:$D,D717,$E:$E,E717,$F:$F,"&lt;&gt;N/A",$G:$G,"&lt;&gt;N/A",$F:$F,"&lt;="&amp;_xlpm.p,$G:$G,"&gt;="&amp;_xlpm.p)))))</f>
        <v>1.3333333333333333</v>
      </c>
      <c r="I717" t="s">
        <v>5436</v>
      </c>
      <c r="J717" t="s">
        <v>1878</v>
      </c>
      <c r="K717" t="s">
        <v>7</v>
      </c>
      <c r="L717" s="5" t="s">
        <v>7</v>
      </c>
      <c r="M717" t="s">
        <v>7</v>
      </c>
      <c r="N717" t="s">
        <v>7</v>
      </c>
      <c r="O717" s="5" t="s">
        <v>778</v>
      </c>
      <c r="P717" s="5" t="s">
        <v>7834</v>
      </c>
      <c r="R717" t="b">
        <v>0</v>
      </c>
    </row>
    <row r="718" spans="1:18">
      <c r="A718" t="s">
        <v>3017</v>
      </c>
      <c r="B718" t="s">
        <v>6226</v>
      </c>
      <c r="C718" t="s">
        <v>7802</v>
      </c>
      <c r="D718" s="1">
        <v>7</v>
      </c>
      <c r="E718" s="1">
        <v>8</v>
      </c>
      <c r="F718" s="1">
        <v>288</v>
      </c>
      <c r="G718" s="1">
        <v>296</v>
      </c>
      <c r="H718" s="17" cm="1">
        <f t="array" ref="H718">_xlfn.LET(_xlpm.s,IFERROR(--F718,""),_xlpm.e,IFERROR(--G718,""),IF(OR(_xlpm.s="",_xlpm.e="",_xlpm.e&lt;_xlpm.s),"",_xlfn.LET(_xlpm.p,_xlfn.SEQUENCE(_xlpm.e-_xlpm.s+1,1,_xlpm.s,1),SUM(1/COUNTIFS($D:$D,D718,$E:$E,E718,$F:$F,"&lt;&gt;N/A",$G:$G,"&lt;&gt;N/A",$F:$F,"&lt;="&amp;_xlpm.p,$G:$G,"&gt;="&amp;_xlpm.p)))))</f>
        <v>9</v>
      </c>
      <c r="I718" t="s">
        <v>2573</v>
      </c>
      <c r="J718" t="s">
        <v>6479</v>
      </c>
      <c r="K718" t="s">
        <v>4468</v>
      </c>
      <c r="L718" s="5" t="s">
        <v>6469</v>
      </c>
      <c r="M718" s="5" t="s">
        <v>5397</v>
      </c>
      <c r="N718" t="s">
        <v>8086</v>
      </c>
      <c r="O718" s="5" t="s">
        <v>5072</v>
      </c>
      <c r="P718" s="5" t="s">
        <v>8021</v>
      </c>
      <c r="Q718" t="s">
        <v>2509</v>
      </c>
      <c r="R718" t="b">
        <v>1</v>
      </c>
    </row>
    <row r="719" spans="1:18">
      <c r="A719" t="s">
        <v>3017</v>
      </c>
      <c r="B719" t="s">
        <v>6227</v>
      </c>
      <c r="C719" t="s">
        <v>7802</v>
      </c>
      <c r="D719" s="1">
        <v>7</v>
      </c>
      <c r="E719" s="1">
        <v>8</v>
      </c>
      <c r="F719" s="1">
        <v>297</v>
      </c>
      <c r="G719" s="1">
        <v>300</v>
      </c>
      <c r="H719" s="17" cm="1">
        <f t="array" ref="H719">_xlfn.LET(_xlpm.s,IFERROR(--F719,""),_xlpm.e,IFERROR(--G719,""),IF(OR(_xlpm.s="",_xlpm.e="",_xlpm.e&lt;_xlpm.s),"",_xlfn.LET(_xlpm.p,_xlfn.SEQUENCE(_xlpm.e-_xlpm.s+1,1,_xlpm.s,1),SUM(1/COUNTIFS($D:$D,D719,$E:$E,E719,$F:$F,"&lt;&gt;N/A",$G:$G,"&lt;&gt;N/A",$F:$F,"&lt;="&amp;_xlpm.p,$G:$G,"&gt;="&amp;_xlpm.p)))))</f>
        <v>3.5</v>
      </c>
      <c r="I719" t="s">
        <v>2573</v>
      </c>
      <c r="J719" t="s">
        <v>6468</v>
      </c>
      <c r="K719" t="s">
        <v>7</v>
      </c>
      <c r="L719" s="5" t="s">
        <v>6344</v>
      </c>
      <c r="M719" s="5" t="s">
        <v>7</v>
      </c>
      <c r="N719" s="5" t="s">
        <v>7</v>
      </c>
      <c r="O719" s="5" t="s">
        <v>5072</v>
      </c>
      <c r="P719" s="5" t="s">
        <v>8021</v>
      </c>
      <c r="Q719" t="s">
        <v>2509</v>
      </c>
      <c r="R719" t="b">
        <v>1</v>
      </c>
    </row>
    <row r="720" spans="1:18">
      <c r="A720" t="s">
        <v>3017</v>
      </c>
      <c r="B720" t="s">
        <v>6228</v>
      </c>
      <c r="C720" t="s">
        <v>7802</v>
      </c>
      <c r="D720" s="1">
        <v>7</v>
      </c>
      <c r="E720" s="1">
        <v>8</v>
      </c>
      <c r="F720" s="1">
        <v>300</v>
      </c>
      <c r="G720" s="1">
        <v>302</v>
      </c>
      <c r="H720" s="17" cm="1">
        <f t="array" ref="H720">_xlfn.LET(_xlpm.s,IFERROR(--F720,""),_xlpm.e,IFERROR(--G720,""),IF(OR(_xlpm.s="",_xlpm.e="",_xlpm.e&lt;_xlpm.s),"",_xlfn.LET(_xlpm.p,_xlfn.SEQUENCE(_xlpm.e-_xlpm.s+1,1,_xlpm.s,1),SUM(1/COUNTIFS($D:$D,D720,$E:$E,E720,$F:$F,"&lt;&gt;N/A",$G:$G,"&lt;&gt;N/A",$F:$F,"&lt;="&amp;_xlpm.p,$G:$G,"&gt;="&amp;_xlpm.p)))))</f>
        <v>2.5</v>
      </c>
      <c r="I720" t="s">
        <v>2573</v>
      </c>
      <c r="J720" t="s">
        <v>1879</v>
      </c>
      <c r="K720" t="s">
        <v>7</v>
      </c>
      <c r="L720" s="5" t="s">
        <v>6344</v>
      </c>
      <c r="M720" s="5" t="s">
        <v>7</v>
      </c>
      <c r="N720" s="5" t="s">
        <v>7</v>
      </c>
      <c r="O720" s="5" t="s">
        <v>11522</v>
      </c>
      <c r="P720" s="5" t="s">
        <v>8021</v>
      </c>
      <c r="R720" t="b">
        <v>1</v>
      </c>
    </row>
    <row r="721" spans="1:18">
      <c r="A721" t="s">
        <v>3017</v>
      </c>
      <c r="B721" t="s">
        <v>6229</v>
      </c>
      <c r="C721" t="s">
        <v>7802</v>
      </c>
      <c r="D721" s="1">
        <v>7</v>
      </c>
      <c r="E721" s="1">
        <v>8</v>
      </c>
      <c r="F721" s="1">
        <v>303</v>
      </c>
      <c r="G721" s="1">
        <v>306</v>
      </c>
      <c r="H721" s="17" cm="1">
        <f t="array" ref="H721">_xlfn.LET(_xlpm.s,IFERROR(--F721,""),_xlpm.e,IFERROR(--G721,""),IF(OR(_xlpm.s="",_xlpm.e="",_xlpm.e&lt;_xlpm.s),"",_xlfn.LET(_xlpm.p,_xlfn.SEQUENCE(_xlpm.e-_xlpm.s+1,1,_xlpm.s,1),SUM(1/COUNTIFS($D:$D,D721,$E:$E,E721,$F:$F,"&lt;&gt;N/A",$G:$G,"&lt;&gt;N/A",$F:$F,"&lt;="&amp;_xlpm.p,$G:$G,"&gt;="&amp;_xlpm.p)))))</f>
        <v>4</v>
      </c>
      <c r="I721" t="s">
        <v>2573</v>
      </c>
      <c r="J721" t="s">
        <v>183</v>
      </c>
      <c r="K721" t="s">
        <v>4660</v>
      </c>
      <c r="L721" s="5" t="s">
        <v>7</v>
      </c>
      <c r="M721" s="5" t="s">
        <v>7</v>
      </c>
      <c r="N721" s="5" t="s">
        <v>7</v>
      </c>
      <c r="O721" s="5" t="s">
        <v>778</v>
      </c>
      <c r="P721" s="5" t="s">
        <v>7834</v>
      </c>
      <c r="R721" t="b">
        <v>1</v>
      </c>
    </row>
    <row r="722" spans="1:18">
      <c r="A722" t="s">
        <v>3017</v>
      </c>
      <c r="B722" t="s">
        <v>6230</v>
      </c>
      <c r="C722" t="s">
        <v>7802</v>
      </c>
      <c r="D722" s="1">
        <v>7</v>
      </c>
      <c r="E722" s="1">
        <v>8</v>
      </c>
      <c r="F722" s="1">
        <v>307</v>
      </c>
      <c r="G722" s="1">
        <v>309</v>
      </c>
      <c r="H722" s="17" cm="1">
        <f t="array" ref="H722">_xlfn.LET(_xlpm.s,IFERROR(--F722,""),_xlpm.e,IFERROR(--G722,""),IF(OR(_xlpm.s="",_xlpm.e="",_xlpm.e&lt;_xlpm.s),"",_xlfn.LET(_xlpm.p,_xlfn.SEQUENCE(_xlpm.e-_xlpm.s+1,1,_xlpm.s,1),SUM(1/COUNTIFS($D:$D,D722,$E:$E,E722,$F:$F,"&lt;&gt;N/A",$G:$G,"&lt;&gt;N/A",$F:$F,"&lt;="&amp;_xlpm.p,$G:$G,"&gt;="&amp;_xlpm.p)))))</f>
        <v>3</v>
      </c>
      <c r="I722" t="s">
        <v>5156</v>
      </c>
      <c r="J722" t="s">
        <v>6466</v>
      </c>
      <c r="K722" t="s">
        <v>7</v>
      </c>
      <c r="L722" s="5" t="s">
        <v>6344</v>
      </c>
      <c r="M722" s="5" t="s">
        <v>7</v>
      </c>
      <c r="N722" s="5" t="s">
        <v>7</v>
      </c>
      <c r="O722" s="5" t="s">
        <v>11522</v>
      </c>
      <c r="P722" s="5" t="s">
        <v>8021</v>
      </c>
      <c r="R722" t="b">
        <v>1</v>
      </c>
    </row>
    <row r="723" spans="1:18">
      <c r="A723" t="s">
        <v>3017</v>
      </c>
      <c r="B723" t="s">
        <v>6231</v>
      </c>
      <c r="C723" t="s">
        <v>7802</v>
      </c>
      <c r="D723" s="1">
        <v>7</v>
      </c>
      <c r="E723" s="1">
        <v>8</v>
      </c>
      <c r="F723" s="1">
        <v>310</v>
      </c>
      <c r="G723" s="1">
        <v>314</v>
      </c>
      <c r="H723" s="17" cm="1">
        <f t="array" ref="H723">_xlfn.LET(_xlpm.s,IFERROR(--F723,""),_xlpm.e,IFERROR(--G723,""),IF(OR(_xlpm.s="",_xlpm.e="",_xlpm.e&lt;_xlpm.s),"",_xlfn.LET(_xlpm.p,_xlfn.SEQUENCE(_xlpm.e-_xlpm.s+1,1,_xlpm.s,1),SUM(1/COUNTIFS($D:$D,D723,$E:$E,E723,$F:$F,"&lt;&gt;N/A",$G:$G,"&lt;&gt;N/A",$F:$F,"&lt;="&amp;_xlpm.p,$G:$G,"&gt;="&amp;_xlpm.p)))))</f>
        <v>5</v>
      </c>
      <c r="I723" t="s">
        <v>5156</v>
      </c>
      <c r="J723" t="s">
        <v>6467</v>
      </c>
      <c r="K723" t="s">
        <v>7</v>
      </c>
      <c r="L723" s="5" t="s">
        <v>6344</v>
      </c>
      <c r="M723" s="5" t="s">
        <v>7</v>
      </c>
      <c r="N723" s="5" t="s">
        <v>7</v>
      </c>
      <c r="O723" s="5" t="s">
        <v>5072</v>
      </c>
      <c r="P723" s="5" t="s">
        <v>8021</v>
      </c>
      <c r="Q723" t="s">
        <v>2509</v>
      </c>
      <c r="R723" t="b">
        <v>1</v>
      </c>
    </row>
    <row r="724" spans="1:18">
      <c r="A724" t="s">
        <v>3017</v>
      </c>
      <c r="B724" t="s">
        <v>6232</v>
      </c>
      <c r="C724" t="s">
        <v>7802</v>
      </c>
      <c r="D724" s="1">
        <v>7</v>
      </c>
      <c r="E724" s="1">
        <v>8</v>
      </c>
      <c r="F724" s="1">
        <v>315</v>
      </c>
      <c r="G724" s="1">
        <v>320</v>
      </c>
      <c r="H724" s="17" cm="1">
        <f t="array" ref="H724">_xlfn.LET(_xlpm.s,IFERROR(--F724,""),_xlpm.e,IFERROR(--G724,""),IF(OR(_xlpm.s="",_xlpm.e="",_xlpm.e&lt;_xlpm.s),"",_xlfn.LET(_xlpm.p,_xlfn.SEQUENCE(_xlpm.e-_xlpm.s+1,1,_xlpm.s,1),SUM(1/COUNTIFS($D:$D,D724,$E:$E,E724,$F:$F,"&lt;&gt;N/A",$G:$G,"&lt;&gt;N/A",$F:$F,"&lt;="&amp;_xlpm.p,$G:$G,"&gt;="&amp;_xlpm.p)))))</f>
        <v>3.9166666666666665</v>
      </c>
      <c r="I724" t="s">
        <v>5156</v>
      </c>
      <c r="J724" t="s">
        <v>5090</v>
      </c>
      <c r="K724" t="s">
        <v>7</v>
      </c>
      <c r="L724" s="5" t="s">
        <v>4659</v>
      </c>
      <c r="M724" s="5" t="s">
        <v>5084</v>
      </c>
      <c r="N724" t="s">
        <v>5100</v>
      </c>
      <c r="O724" s="5" t="s">
        <v>5072</v>
      </c>
      <c r="P724" s="5" t="s">
        <v>8020</v>
      </c>
      <c r="R724" t="b">
        <v>1</v>
      </c>
    </row>
    <row r="725" spans="1:18">
      <c r="A725" t="s">
        <v>3017</v>
      </c>
      <c r="B725" t="s">
        <v>6233</v>
      </c>
      <c r="C725" t="s">
        <v>7802</v>
      </c>
      <c r="D725" s="1">
        <v>7</v>
      </c>
      <c r="E725" s="1">
        <v>8</v>
      </c>
      <c r="F725" s="1">
        <v>318</v>
      </c>
      <c r="G725" s="1">
        <v>318</v>
      </c>
      <c r="H725" s="17" cm="1">
        <f t="array" ref="H725">_xlfn.LET(_xlpm.s,IFERROR(--F725,""),_xlpm.e,IFERROR(--G725,""),IF(OR(_xlpm.s="",_xlpm.e="",_xlpm.e&lt;_xlpm.s),"",_xlfn.LET(_xlpm.p,_xlfn.SEQUENCE(_xlpm.e-_xlpm.s+1,1,_xlpm.s,1),SUM(1/COUNTIFS($D:$D,D725,$E:$E,E725,$F:$F,"&lt;&gt;N/A",$G:$G,"&lt;&gt;N/A",$F:$F,"&lt;="&amp;_xlpm.p,$G:$G,"&gt;="&amp;_xlpm.p)))))</f>
        <v>0.16666666666666666</v>
      </c>
      <c r="I725" t="s">
        <v>5156</v>
      </c>
      <c r="J725" t="s">
        <v>5091</v>
      </c>
      <c r="K725" t="s">
        <v>7</v>
      </c>
      <c r="L725" s="5" t="s">
        <v>4659</v>
      </c>
      <c r="M725" s="5" t="s">
        <v>5084</v>
      </c>
      <c r="N725" t="s">
        <v>5098</v>
      </c>
      <c r="O725" s="5" t="s">
        <v>10264</v>
      </c>
      <c r="P725" s="5" t="s">
        <v>8020</v>
      </c>
      <c r="R725" t="b">
        <v>1</v>
      </c>
    </row>
    <row r="726" spans="1:18">
      <c r="A726" t="s">
        <v>3017</v>
      </c>
      <c r="B726" t="s">
        <v>6234</v>
      </c>
      <c r="C726" t="s">
        <v>7802</v>
      </c>
      <c r="D726" s="1">
        <v>7</v>
      </c>
      <c r="E726" s="1">
        <v>8</v>
      </c>
      <c r="F726" s="1">
        <v>318</v>
      </c>
      <c r="G726" s="1">
        <v>318</v>
      </c>
      <c r="H726" s="17" cm="1">
        <f t="array" ref="H726">_xlfn.LET(_xlpm.s,IFERROR(--F726,""),_xlpm.e,IFERROR(--G726,""),IF(OR(_xlpm.s="",_xlpm.e="",_xlpm.e&lt;_xlpm.s),"",_xlfn.LET(_xlpm.p,_xlfn.SEQUENCE(_xlpm.e-_xlpm.s+1,1,_xlpm.s,1),SUM(1/COUNTIFS($D:$D,D726,$E:$E,E726,$F:$F,"&lt;&gt;N/A",$G:$G,"&lt;&gt;N/A",$F:$F,"&lt;="&amp;_xlpm.p,$G:$G,"&gt;="&amp;_xlpm.p)))))</f>
        <v>0.16666666666666666</v>
      </c>
      <c r="I726" t="s">
        <v>5156</v>
      </c>
      <c r="J726" t="s">
        <v>5092</v>
      </c>
      <c r="K726" t="s">
        <v>7</v>
      </c>
      <c r="L726" s="5" t="s">
        <v>4659</v>
      </c>
      <c r="M726" s="5" t="s">
        <v>5084</v>
      </c>
      <c r="N726" t="s">
        <v>5101</v>
      </c>
      <c r="O726" s="5" t="s">
        <v>10264</v>
      </c>
      <c r="P726" s="5" t="s">
        <v>8020</v>
      </c>
      <c r="R726" t="b">
        <v>1</v>
      </c>
    </row>
    <row r="727" spans="1:18">
      <c r="A727" t="s">
        <v>3017</v>
      </c>
      <c r="B727" t="s">
        <v>6235</v>
      </c>
      <c r="C727" t="s">
        <v>7802</v>
      </c>
      <c r="D727" s="1">
        <v>7</v>
      </c>
      <c r="E727" s="1">
        <v>8</v>
      </c>
      <c r="F727" s="1">
        <v>318</v>
      </c>
      <c r="G727" s="1">
        <v>318</v>
      </c>
      <c r="H727" s="17" cm="1">
        <f t="array" ref="H727">_xlfn.LET(_xlpm.s,IFERROR(--F727,""),_xlpm.e,IFERROR(--G727,""),IF(OR(_xlpm.s="",_xlpm.e="",_xlpm.e&lt;_xlpm.s),"",_xlfn.LET(_xlpm.p,_xlfn.SEQUENCE(_xlpm.e-_xlpm.s+1,1,_xlpm.s,1),SUM(1/COUNTIFS($D:$D,D727,$E:$E,E727,$F:$F,"&lt;&gt;N/A",$G:$G,"&lt;&gt;N/A",$F:$F,"&lt;="&amp;_xlpm.p,$G:$G,"&gt;="&amp;_xlpm.p)))))</f>
        <v>0.16666666666666666</v>
      </c>
      <c r="I727" t="s">
        <v>5156</v>
      </c>
      <c r="J727" t="s">
        <v>5093</v>
      </c>
      <c r="K727" t="s">
        <v>7</v>
      </c>
      <c r="L727" s="5" t="s">
        <v>4659</v>
      </c>
      <c r="M727" s="5" t="s">
        <v>5084</v>
      </c>
      <c r="N727" t="s">
        <v>5099</v>
      </c>
      <c r="O727" s="5" t="s">
        <v>10264</v>
      </c>
      <c r="P727" s="5" t="s">
        <v>8020</v>
      </c>
      <c r="R727" t="b">
        <v>1</v>
      </c>
    </row>
    <row r="728" spans="1:18">
      <c r="A728" t="s">
        <v>3017</v>
      </c>
      <c r="B728" t="s">
        <v>6236</v>
      </c>
      <c r="C728" t="s">
        <v>7802</v>
      </c>
      <c r="D728" s="1">
        <v>7</v>
      </c>
      <c r="E728" s="1">
        <v>8</v>
      </c>
      <c r="F728" s="1">
        <v>318</v>
      </c>
      <c r="G728" s="1">
        <v>318</v>
      </c>
      <c r="H728" s="17" cm="1">
        <f t="array" ref="H728">_xlfn.LET(_xlpm.s,IFERROR(--F728,""),_xlpm.e,IFERROR(--G728,""),IF(OR(_xlpm.s="",_xlpm.e="",_xlpm.e&lt;_xlpm.s),"",_xlfn.LET(_xlpm.p,_xlfn.SEQUENCE(_xlpm.e-_xlpm.s+1,1,_xlpm.s,1),SUM(1/COUNTIFS($D:$D,D728,$E:$E,E728,$F:$F,"&lt;&gt;N/A",$G:$G,"&lt;&gt;N/A",$F:$F,"&lt;="&amp;_xlpm.p,$G:$G,"&gt;="&amp;_xlpm.p)))))</f>
        <v>0.16666666666666666</v>
      </c>
      <c r="I728" t="s">
        <v>5156</v>
      </c>
      <c r="J728" t="s">
        <v>5094</v>
      </c>
      <c r="K728" t="s">
        <v>7</v>
      </c>
      <c r="L728" s="5" t="s">
        <v>4659</v>
      </c>
      <c r="M728" s="5" t="s">
        <v>5084</v>
      </c>
      <c r="N728" t="s">
        <v>5102</v>
      </c>
      <c r="O728" s="5" t="s">
        <v>10264</v>
      </c>
      <c r="P728" s="5" t="s">
        <v>8020</v>
      </c>
      <c r="R728" t="b">
        <v>1</v>
      </c>
    </row>
    <row r="729" spans="1:18">
      <c r="A729" t="s">
        <v>3017</v>
      </c>
      <c r="B729" t="s">
        <v>6237</v>
      </c>
      <c r="C729" t="s">
        <v>7802</v>
      </c>
      <c r="D729" s="1">
        <v>7</v>
      </c>
      <c r="E729" s="1">
        <v>8</v>
      </c>
      <c r="F729" s="1">
        <v>318</v>
      </c>
      <c r="G729" s="1">
        <v>319</v>
      </c>
      <c r="H729" s="17" cm="1">
        <f t="array" ref="H729">_xlfn.LET(_xlpm.s,IFERROR(--F729,""),_xlpm.e,IFERROR(--G729,""),IF(OR(_xlpm.s="",_xlpm.e="",_xlpm.e&lt;_xlpm.s),"",_xlfn.LET(_xlpm.p,_xlfn.SEQUENCE(_xlpm.e-_xlpm.s+1,1,_xlpm.s,1),SUM(1/COUNTIFS($D:$D,D729,$E:$E,E729,$F:$F,"&lt;&gt;N/A",$G:$G,"&lt;&gt;N/A",$F:$F,"&lt;="&amp;_xlpm.p,$G:$G,"&gt;="&amp;_xlpm.p)))))</f>
        <v>0.41666666666666663</v>
      </c>
      <c r="I729" t="s">
        <v>5156</v>
      </c>
      <c r="J729" t="s">
        <v>5103</v>
      </c>
      <c r="K729" t="s">
        <v>7</v>
      </c>
      <c r="L729" s="5" t="s">
        <v>4659</v>
      </c>
      <c r="M729" s="5" t="s">
        <v>5084</v>
      </c>
      <c r="N729" t="s">
        <v>5104</v>
      </c>
      <c r="O729" s="5" t="s">
        <v>10264</v>
      </c>
      <c r="P729" s="5" t="s">
        <v>8020</v>
      </c>
      <c r="R729" t="b">
        <v>1</v>
      </c>
    </row>
    <row r="730" spans="1:18">
      <c r="A730" t="s">
        <v>3017</v>
      </c>
      <c r="B730" t="s">
        <v>6238</v>
      </c>
      <c r="C730" t="s">
        <v>7802</v>
      </c>
      <c r="D730" s="1">
        <v>7</v>
      </c>
      <c r="E730" s="1">
        <v>8</v>
      </c>
      <c r="F730" s="1">
        <v>319</v>
      </c>
      <c r="G730" s="1">
        <v>319</v>
      </c>
      <c r="H730" s="17" cm="1">
        <f t="array" ref="H730">_xlfn.LET(_xlpm.s,IFERROR(--F730,""),_xlpm.e,IFERROR(--G730,""),IF(OR(_xlpm.s="",_xlpm.e="",_xlpm.e&lt;_xlpm.s),"",_xlfn.LET(_xlpm.p,_xlfn.SEQUENCE(_xlpm.e-_xlpm.s+1,1,_xlpm.s,1),SUM(1/COUNTIFS($D:$D,D730,$E:$E,E730,$F:$F,"&lt;&gt;N/A",$G:$G,"&lt;&gt;N/A",$F:$F,"&lt;="&amp;_xlpm.p,$G:$G,"&gt;="&amp;_xlpm.p)))))</f>
        <v>0.25</v>
      </c>
      <c r="I730" t="s">
        <v>5156</v>
      </c>
      <c r="J730" t="s">
        <v>5095</v>
      </c>
      <c r="K730" t="s">
        <v>7</v>
      </c>
      <c r="L730" s="5" t="s">
        <v>4659</v>
      </c>
      <c r="M730" s="5" t="s">
        <v>5084</v>
      </c>
      <c r="N730" t="s">
        <v>5106</v>
      </c>
      <c r="O730" s="5" t="s">
        <v>10264</v>
      </c>
      <c r="P730" s="5" t="s">
        <v>8020</v>
      </c>
      <c r="R730" t="b">
        <v>1</v>
      </c>
    </row>
    <row r="731" spans="1:18">
      <c r="A731" t="s">
        <v>3017</v>
      </c>
      <c r="B731" t="s">
        <v>6837</v>
      </c>
      <c r="C731" t="s">
        <v>7802</v>
      </c>
      <c r="D731" s="1">
        <v>7</v>
      </c>
      <c r="E731" s="1">
        <v>8</v>
      </c>
      <c r="F731" s="1">
        <v>319</v>
      </c>
      <c r="G731" s="1">
        <v>319</v>
      </c>
      <c r="H731" s="17" cm="1">
        <f t="array" ref="H731">_xlfn.LET(_xlpm.s,IFERROR(--F731,""),_xlpm.e,IFERROR(--G731,""),IF(OR(_xlpm.s="",_xlpm.e="",_xlpm.e&lt;_xlpm.s),"",_xlfn.LET(_xlpm.p,_xlfn.SEQUENCE(_xlpm.e-_xlpm.s+1,1,_xlpm.s,1),SUM(1/COUNTIFS($D:$D,D731,$E:$E,E731,$F:$F,"&lt;&gt;N/A",$G:$G,"&lt;&gt;N/A",$F:$F,"&lt;="&amp;_xlpm.p,$G:$G,"&gt;="&amp;_xlpm.p)))))</f>
        <v>0.25</v>
      </c>
      <c r="I731" t="s">
        <v>5156</v>
      </c>
      <c r="J731" t="s">
        <v>5096</v>
      </c>
      <c r="K731" t="s">
        <v>7</v>
      </c>
      <c r="L731" s="5" t="s">
        <v>4659</v>
      </c>
      <c r="M731" s="5" t="s">
        <v>5084</v>
      </c>
      <c r="N731" t="s">
        <v>5105</v>
      </c>
      <c r="O731" s="5" t="s">
        <v>10264</v>
      </c>
      <c r="P731" s="5" t="s">
        <v>8020</v>
      </c>
      <c r="R731" t="b">
        <v>1</v>
      </c>
    </row>
    <row r="732" spans="1:18">
      <c r="A732" t="s">
        <v>3017</v>
      </c>
      <c r="B732" t="s">
        <v>6838</v>
      </c>
      <c r="C732" t="s">
        <v>7802</v>
      </c>
      <c r="D732" s="1">
        <v>7</v>
      </c>
      <c r="E732" s="1">
        <v>8</v>
      </c>
      <c r="F732" s="1">
        <v>320</v>
      </c>
      <c r="G732" s="1">
        <v>320</v>
      </c>
      <c r="H732" s="17" cm="1">
        <f t="array" ref="H732">_xlfn.LET(_xlpm.s,IFERROR(--F732,""),_xlpm.e,IFERROR(--G732,""),IF(OR(_xlpm.s="",_xlpm.e="",_xlpm.e&lt;_xlpm.s),"",_xlfn.LET(_xlpm.p,_xlfn.SEQUENCE(_xlpm.e-_xlpm.s+1,1,_xlpm.s,1),SUM(1/COUNTIFS($D:$D,D732,$E:$E,E732,$F:$F,"&lt;&gt;N/A",$G:$G,"&lt;&gt;N/A",$F:$F,"&lt;="&amp;_xlpm.p,$G:$G,"&gt;="&amp;_xlpm.p)))))</f>
        <v>0.5</v>
      </c>
      <c r="I732" t="s">
        <v>5156</v>
      </c>
      <c r="J732" t="s">
        <v>5097</v>
      </c>
      <c r="K732" t="s">
        <v>7</v>
      </c>
      <c r="L732" s="5" t="s">
        <v>4659</v>
      </c>
      <c r="M732" s="5" t="s">
        <v>5084</v>
      </c>
      <c r="N732" t="s">
        <v>5107</v>
      </c>
      <c r="O732" s="5" t="s">
        <v>10264</v>
      </c>
      <c r="P732" s="5" t="s">
        <v>8020</v>
      </c>
      <c r="R732" t="b">
        <v>1</v>
      </c>
    </row>
    <row r="733" spans="1:18">
      <c r="A733" t="s">
        <v>3017</v>
      </c>
      <c r="B733" t="s">
        <v>6239</v>
      </c>
      <c r="C733" t="s">
        <v>7809</v>
      </c>
      <c r="D733" s="1">
        <v>7</v>
      </c>
      <c r="E733" s="1">
        <v>9</v>
      </c>
      <c r="F733" s="1">
        <v>321</v>
      </c>
      <c r="G733" s="1">
        <v>323</v>
      </c>
      <c r="H733" s="17" cm="1">
        <f t="array" ref="H733">_xlfn.LET(_xlpm.s,IFERROR(--F733,""),_xlpm.e,IFERROR(--G733,""),IF(OR(_xlpm.s="",_xlpm.e="",_xlpm.e&lt;_xlpm.s),"",_xlfn.LET(_xlpm.p,_xlfn.SEQUENCE(_xlpm.e-_xlpm.s+1,1,_xlpm.s,1),SUM(1/COUNTIFS($D:$D,D733,$E:$E,E733,$F:$F,"&lt;&gt;N/A",$G:$G,"&lt;&gt;N/A",$F:$F,"&lt;="&amp;_xlpm.p,$G:$G,"&gt;="&amp;_xlpm.p)))))</f>
        <v>2</v>
      </c>
      <c r="I733" t="s">
        <v>5436</v>
      </c>
      <c r="J733" t="s">
        <v>4463</v>
      </c>
      <c r="K733" t="s">
        <v>7</v>
      </c>
      <c r="L733" s="5" t="s">
        <v>7</v>
      </c>
      <c r="M733" t="s">
        <v>7</v>
      </c>
      <c r="N733" t="s">
        <v>7</v>
      </c>
      <c r="O733" s="5" t="s">
        <v>778</v>
      </c>
      <c r="P733" s="5" t="s">
        <v>7834</v>
      </c>
      <c r="R733" t="b">
        <v>1</v>
      </c>
    </row>
    <row r="734" spans="1:18">
      <c r="A734" t="s">
        <v>3017</v>
      </c>
      <c r="B734" t="s">
        <v>6240</v>
      </c>
      <c r="C734" t="s">
        <v>7809</v>
      </c>
      <c r="D734" s="1">
        <v>7</v>
      </c>
      <c r="E734" s="1">
        <v>9</v>
      </c>
      <c r="F734" s="1">
        <v>323</v>
      </c>
      <c r="G734" s="1">
        <v>330</v>
      </c>
      <c r="H734" s="17" cm="1">
        <f t="array" ref="H734">_xlfn.LET(_xlpm.s,IFERROR(--F734,""),_xlpm.e,IFERROR(--G734,""),IF(OR(_xlpm.s="",_xlpm.e="",_xlpm.e&lt;_xlpm.s),"",_xlfn.LET(_xlpm.p,_xlfn.SEQUENCE(_xlpm.e-_xlpm.s+1,1,_xlpm.s,1),SUM(1/COUNTIFS($D:$D,D734,$E:$E,E734,$F:$F,"&lt;&gt;N/A",$G:$G,"&lt;&gt;N/A",$F:$F,"&lt;="&amp;_xlpm.p,$G:$G,"&gt;="&amp;_xlpm.p)))))</f>
        <v>7.5</v>
      </c>
      <c r="I734" t="s">
        <v>5436</v>
      </c>
      <c r="J734" t="s">
        <v>1880</v>
      </c>
      <c r="K734" t="s">
        <v>7</v>
      </c>
      <c r="L734" s="5" t="s">
        <v>7</v>
      </c>
      <c r="M734" t="s">
        <v>7</v>
      </c>
      <c r="N734" t="s">
        <v>7</v>
      </c>
      <c r="O734" s="5" t="s">
        <v>778</v>
      </c>
      <c r="P734" s="5" t="s">
        <v>7834</v>
      </c>
      <c r="R734" t="b">
        <v>1</v>
      </c>
    </row>
    <row r="735" spans="1:18">
      <c r="A735" t="s">
        <v>3017</v>
      </c>
      <c r="B735" t="s">
        <v>6241</v>
      </c>
      <c r="C735" t="s">
        <v>7809</v>
      </c>
      <c r="D735" s="1">
        <v>7</v>
      </c>
      <c r="E735" s="1">
        <v>9</v>
      </c>
      <c r="F735" s="1">
        <v>320</v>
      </c>
      <c r="G735" s="1">
        <v>321</v>
      </c>
      <c r="H735" s="17" cm="1">
        <f t="array" ref="H735">_xlfn.LET(_xlpm.s,IFERROR(--F735,""),_xlpm.e,IFERROR(--G735,""),IF(OR(_xlpm.s="",_xlpm.e="",_xlpm.e&lt;_xlpm.s),"",_xlfn.LET(_xlpm.p,_xlfn.SEQUENCE(_xlpm.e-_xlpm.s+1,1,_xlpm.s,1),SUM(1/COUNTIFS($D:$D,D735,$E:$E,E735,$F:$F,"&lt;&gt;N/A",$G:$G,"&lt;&gt;N/A",$F:$F,"&lt;="&amp;_xlpm.p,$G:$G,"&gt;="&amp;_xlpm.p)))))</f>
        <v>1.5</v>
      </c>
      <c r="I735" t="s">
        <v>5436</v>
      </c>
      <c r="J735" t="s">
        <v>1881</v>
      </c>
      <c r="K735" t="s">
        <v>7</v>
      </c>
      <c r="L735" s="5" t="s">
        <v>7</v>
      </c>
      <c r="M735" t="s">
        <v>7</v>
      </c>
      <c r="N735" t="s">
        <v>7</v>
      </c>
      <c r="O735" s="5" t="s">
        <v>778</v>
      </c>
      <c r="P735" s="5" t="s">
        <v>7834</v>
      </c>
      <c r="R735" t="b">
        <v>1</v>
      </c>
    </row>
    <row r="736" spans="1:18">
      <c r="A736" t="s">
        <v>3017</v>
      </c>
      <c r="B736" t="s">
        <v>6242</v>
      </c>
      <c r="C736" t="s">
        <v>7809</v>
      </c>
      <c r="D736" s="1">
        <v>7</v>
      </c>
      <c r="E736" s="1">
        <v>9</v>
      </c>
      <c r="F736" s="1">
        <v>332</v>
      </c>
      <c r="G736" s="1">
        <v>349</v>
      </c>
      <c r="H736" s="17" cm="1">
        <f t="array" ref="H736">_xlfn.LET(_xlpm.s,IFERROR(--F736,""),_xlpm.e,IFERROR(--G736,""),IF(OR(_xlpm.s="",_xlpm.e="",_xlpm.e&lt;_xlpm.s),"",_xlfn.LET(_xlpm.p,_xlfn.SEQUENCE(_xlpm.e-_xlpm.s+1,1,_xlpm.s,1),SUM(1/COUNTIFS($D:$D,D736,$E:$E,E736,$F:$F,"&lt;&gt;N/A",$G:$G,"&lt;&gt;N/A",$F:$F,"&lt;="&amp;_xlpm.p,$G:$G,"&gt;="&amp;_xlpm.p)))))</f>
        <v>18</v>
      </c>
      <c r="I736" t="s">
        <v>5436</v>
      </c>
      <c r="J736" t="s">
        <v>4462</v>
      </c>
      <c r="K736" t="s">
        <v>2499</v>
      </c>
      <c r="L736" s="5" t="s">
        <v>7</v>
      </c>
      <c r="M736" t="s">
        <v>7</v>
      </c>
      <c r="N736" t="s">
        <v>7</v>
      </c>
      <c r="O736" s="5" t="s">
        <v>778</v>
      </c>
      <c r="P736" s="5" t="s">
        <v>7834</v>
      </c>
      <c r="R736" t="b">
        <v>1</v>
      </c>
    </row>
    <row r="737" spans="1:18">
      <c r="A737" t="s">
        <v>3017</v>
      </c>
      <c r="B737" t="s">
        <v>6243</v>
      </c>
      <c r="C737" t="s">
        <v>7809</v>
      </c>
      <c r="D737" s="1">
        <v>7</v>
      </c>
      <c r="E737" s="1">
        <v>9</v>
      </c>
      <c r="F737" s="1">
        <v>350</v>
      </c>
      <c r="G737" s="1">
        <v>355</v>
      </c>
      <c r="H737" s="17" cm="1">
        <f t="array" ref="H737">_xlfn.LET(_xlpm.s,IFERROR(--F737,""),_xlpm.e,IFERROR(--G737,""),IF(OR(_xlpm.s="",_xlpm.e="",_xlpm.e&lt;_xlpm.s),"",_xlfn.LET(_xlpm.p,_xlfn.SEQUENCE(_xlpm.e-_xlpm.s+1,1,_xlpm.s,1),SUM(1/COUNTIFS($D:$D,D737,$E:$E,E737,$F:$F,"&lt;&gt;N/A",$G:$G,"&lt;&gt;N/A",$F:$F,"&lt;="&amp;_xlpm.p,$G:$G,"&gt;="&amp;_xlpm.p)))))</f>
        <v>6</v>
      </c>
      <c r="I737" t="s">
        <v>5436</v>
      </c>
      <c r="J737" t="s">
        <v>1882</v>
      </c>
      <c r="K737" t="s">
        <v>1781</v>
      </c>
      <c r="L737" s="5" t="s">
        <v>7</v>
      </c>
      <c r="M737" t="s">
        <v>7</v>
      </c>
      <c r="N737" t="s">
        <v>7</v>
      </c>
      <c r="O737" s="5" t="s">
        <v>778</v>
      </c>
      <c r="P737" s="5" t="s">
        <v>7834</v>
      </c>
      <c r="R737" t="b">
        <v>1</v>
      </c>
    </row>
    <row r="738" spans="1:18">
      <c r="A738" t="s">
        <v>3017</v>
      </c>
      <c r="B738" t="s">
        <v>6244</v>
      </c>
      <c r="C738" t="s">
        <v>7809</v>
      </c>
      <c r="D738" s="1">
        <v>7</v>
      </c>
      <c r="E738" s="1">
        <v>9</v>
      </c>
      <c r="F738" s="1">
        <v>356</v>
      </c>
      <c r="G738" s="1">
        <v>357</v>
      </c>
      <c r="H738" s="17" cm="1">
        <f t="array" ref="H738">_xlfn.LET(_xlpm.s,IFERROR(--F738,""),_xlpm.e,IFERROR(--G738,""),IF(OR(_xlpm.s="",_xlpm.e="",_xlpm.e&lt;_xlpm.s),"",_xlfn.LET(_xlpm.p,_xlfn.SEQUENCE(_xlpm.e-_xlpm.s+1,1,_xlpm.s,1),SUM(1/COUNTIFS($D:$D,D738,$E:$E,E738,$F:$F,"&lt;&gt;N/A",$G:$G,"&lt;&gt;N/A",$F:$F,"&lt;="&amp;_xlpm.p,$G:$G,"&gt;="&amp;_xlpm.p)))))</f>
        <v>1.5</v>
      </c>
      <c r="I738" t="s">
        <v>2581</v>
      </c>
      <c r="J738" t="s">
        <v>4458</v>
      </c>
      <c r="K738" t="s">
        <v>7</v>
      </c>
      <c r="L738" s="5" t="s">
        <v>4651</v>
      </c>
      <c r="M738" t="s">
        <v>7</v>
      </c>
      <c r="N738" t="s">
        <v>7</v>
      </c>
      <c r="O738" s="5" t="s">
        <v>5072</v>
      </c>
      <c r="P738" s="5" t="s">
        <v>8021</v>
      </c>
      <c r="R738" t="b">
        <v>1</v>
      </c>
    </row>
    <row r="739" spans="1:18">
      <c r="A739" t="s">
        <v>3017</v>
      </c>
      <c r="B739" t="s">
        <v>6245</v>
      </c>
      <c r="C739" t="s">
        <v>7809</v>
      </c>
      <c r="D739" s="1">
        <v>7</v>
      </c>
      <c r="E739" s="1">
        <v>9</v>
      </c>
      <c r="F739" s="1">
        <v>357</v>
      </c>
      <c r="G739" s="1">
        <v>357</v>
      </c>
      <c r="H739" s="17" cm="1">
        <f t="array" ref="H739">_xlfn.LET(_xlpm.s,IFERROR(--F739,""),_xlpm.e,IFERROR(--G739,""),IF(OR(_xlpm.s="",_xlpm.e="",_xlpm.e&lt;_xlpm.s),"",_xlfn.LET(_xlpm.p,_xlfn.SEQUENCE(_xlpm.e-_xlpm.s+1,1,_xlpm.s,1),SUM(1/COUNTIFS($D:$D,D739,$E:$E,E739,$F:$F,"&lt;&gt;N/A",$G:$G,"&lt;&gt;N/A",$F:$F,"&lt;="&amp;_xlpm.p,$G:$G,"&gt;="&amp;_xlpm.p)))))</f>
        <v>0.5</v>
      </c>
      <c r="I739" t="s">
        <v>2581</v>
      </c>
      <c r="J739" t="s">
        <v>4459</v>
      </c>
      <c r="K739" t="s">
        <v>7</v>
      </c>
      <c r="L739" s="5" t="s">
        <v>4651</v>
      </c>
      <c r="M739" t="s">
        <v>7</v>
      </c>
      <c r="N739" t="s">
        <v>7</v>
      </c>
      <c r="O739" s="5" t="s">
        <v>5072</v>
      </c>
      <c r="P739" s="5" t="s">
        <v>8021</v>
      </c>
      <c r="R739" t="b">
        <v>1</v>
      </c>
    </row>
    <row r="740" spans="1:18">
      <c r="A740" t="s">
        <v>3017</v>
      </c>
      <c r="B740" t="s">
        <v>6839</v>
      </c>
      <c r="C740" t="s">
        <v>7809</v>
      </c>
      <c r="D740" s="1">
        <v>7</v>
      </c>
      <c r="E740" s="1">
        <v>9</v>
      </c>
      <c r="F740" s="1">
        <v>358</v>
      </c>
      <c r="G740" s="1">
        <v>358</v>
      </c>
      <c r="H740" s="17" cm="1">
        <f t="array" ref="H740">_xlfn.LET(_xlpm.s,IFERROR(--F740,""),_xlpm.e,IFERROR(--G740,""),IF(OR(_xlpm.s="",_xlpm.e="",_xlpm.e&lt;_xlpm.s),"",_xlfn.LET(_xlpm.p,_xlfn.SEQUENCE(_xlpm.e-_xlpm.s+1,1,_xlpm.s,1),SUM(1/COUNTIFS($D:$D,D740,$E:$E,E740,$F:$F,"&lt;&gt;N/A",$G:$G,"&lt;&gt;N/A",$F:$F,"&lt;="&amp;_xlpm.p,$G:$G,"&gt;="&amp;_xlpm.p)))))</f>
        <v>1</v>
      </c>
      <c r="I740" t="s">
        <v>2581</v>
      </c>
      <c r="J740" t="s">
        <v>4460</v>
      </c>
      <c r="K740" t="s">
        <v>7</v>
      </c>
      <c r="L740" s="5" t="s">
        <v>4651</v>
      </c>
      <c r="M740" t="s">
        <v>7</v>
      </c>
      <c r="N740" t="s">
        <v>7</v>
      </c>
      <c r="O740" s="5" t="s">
        <v>5072</v>
      </c>
      <c r="P740" s="5" t="s">
        <v>8021</v>
      </c>
      <c r="R740" t="b">
        <v>1</v>
      </c>
    </row>
    <row r="741" spans="1:18">
      <c r="A741" t="s">
        <v>3017</v>
      </c>
      <c r="B741" t="s">
        <v>6840</v>
      </c>
      <c r="C741" t="s">
        <v>7809</v>
      </c>
      <c r="D741" s="1">
        <v>7</v>
      </c>
      <c r="E741" s="1">
        <v>9</v>
      </c>
      <c r="F741" s="1">
        <v>359</v>
      </c>
      <c r="G741" s="1">
        <v>360</v>
      </c>
      <c r="H741" s="17" cm="1">
        <f t="array" ref="H741">_xlfn.LET(_xlpm.s,IFERROR(--F741,""),_xlpm.e,IFERROR(--G741,""),IF(OR(_xlpm.s="",_xlpm.e="",_xlpm.e&lt;_xlpm.s),"",_xlfn.LET(_xlpm.p,_xlfn.SEQUENCE(_xlpm.e-_xlpm.s+1,1,_xlpm.s,1),SUM(1/COUNTIFS($D:$D,D741,$E:$E,E741,$F:$F,"&lt;&gt;N/A",$G:$G,"&lt;&gt;N/A",$F:$F,"&lt;="&amp;_xlpm.p,$G:$G,"&gt;="&amp;_xlpm.p)))))</f>
        <v>2</v>
      </c>
      <c r="I741" t="s">
        <v>7</v>
      </c>
      <c r="J741" t="s">
        <v>1850</v>
      </c>
      <c r="K741" t="s">
        <v>7</v>
      </c>
      <c r="L741" s="5" t="s">
        <v>7</v>
      </c>
      <c r="M741" t="s">
        <v>7</v>
      </c>
      <c r="N741" t="s">
        <v>2502</v>
      </c>
      <c r="O741" s="5" t="s">
        <v>5072</v>
      </c>
      <c r="P741" s="5" t="s">
        <v>8019</v>
      </c>
      <c r="R741" t="b">
        <v>1</v>
      </c>
    </row>
    <row r="742" spans="1:18">
      <c r="A742" t="s">
        <v>3017</v>
      </c>
      <c r="B742" t="s">
        <v>6246</v>
      </c>
      <c r="C742" t="s">
        <v>7738</v>
      </c>
      <c r="D742" s="1">
        <v>7</v>
      </c>
      <c r="E742" s="1">
        <v>10</v>
      </c>
      <c r="F742" s="1">
        <v>361</v>
      </c>
      <c r="G742" s="1">
        <v>363</v>
      </c>
      <c r="H742" s="17" cm="1">
        <f t="array" ref="H742">_xlfn.LET(_xlpm.s,IFERROR(--F742,""),_xlpm.e,IFERROR(--G742,""),IF(OR(_xlpm.s="",_xlpm.e="",_xlpm.e&lt;_xlpm.s),"",_xlfn.LET(_xlpm.p,_xlfn.SEQUENCE(_xlpm.e-_xlpm.s+1,1,_xlpm.s,1),SUM(1/COUNTIFS($D:$D,D742,$E:$E,E742,$F:$F,"&lt;&gt;N/A",$G:$G,"&lt;&gt;N/A",$F:$F,"&lt;="&amp;_xlpm.p,$G:$G,"&gt;="&amp;_xlpm.p)))))</f>
        <v>2.5</v>
      </c>
      <c r="I742" t="s">
        <v>5436</v>
      </c>
      <c r="J742" t="s">
        <v>1883</v>
      </c>
      <c r="K742" t="s">
        <v>7</v>
      </c>
      <c r="L742" s="5" t="s">
        <v>7</v>
      </c>
      <c r="M742" t="s">
        <v>7</v>
      </c>
      <c r="N742" t="s">
        <v>7</v>
      </c>
      <c r="O742" s="5" t="s">
        <v>778</v>
      </c>
      <c r="P742" s="5" t="s">
        <v>7834</v>
      </c>
      <c r="R742" t="b">
        <v>0</v>
      </c>
    </row>
    <row r="743" spans="1:18">
      <c r="A743" t="s">
        <v>3017</v>
      </c>
      <c r="B743" t="s">
        <v>6247</v>
      </c>
      <c r="C743" t="s">
        <v>7738</v>
      </c>
      <c r="D743" s="1">
        <v>7</v>
      </c>
      <c r="E743" s="1">
        <v>10</v>
      </c>
      <c r="F743" s="1">
        <v>363</v>
      </c>
      <c r="G743" s="1">
        <v>364</v>
      </c>
      <c r="H743" s="17" cm="1">
        <f t="array" ref="H743">_xlfn.LET(_xlpm.s,IFERROR(--F743,""),_xlpm.e,IFERROR(--G743,""),IF(OR(_xlpm.s="",_xlpm.e="",_xlpm.e&lt;_xlpm.s),"",_xlfn.LET(_xlpm.p,_xlfn.SEQUENCE(_xlpm.e-_xlpm.s+1,1,_xlpm.s,1),SUM(1/COUNTIFS($D:$D,D743,$E:$E,E743,$F:$F,"&lt;&gt;N/A",$G:$G,"&lt;&gt;N/A",$F:$F,"&lt;="&amp;_xlpm.p,$G:$G,"&gt;="&amp;_xlpm.p)))))</f>
        <v>1.5</v>
      </c>
      <c r="I743" t="s">
        <v>5436</v>
      </c>
      <c r="J743" t="s">
        <v>1884</v>
      </c>
      <c r="K743" t="s">
        <v>7</v>
      </c>
      <c r="L743" s="5" t="s">
        <v>7</v>
      </c>
      <c r="M743" t="s">
        <v>7</v>
      </c>
      <c r="N743" t="s">
        <v>7</v>
      </c>
      <c r="O743" s="5" t="s">
        <v>778</v>
      </c>
      <c r="P743" s="5" t="s">
        <v>7834</v>
      </c>
      <c r="R743" t="b">
        <v>0</v>
      </c>
    </row>
    <row r="744" spans="1:18">
      <c r="A744" t="s">
        <v>3017</v>
      </c>
      <c r="B744" t="s">
        <v>6248</v>
      </c>
      <c r="C744" t="s">
        <v>7738</v>
      </c>
      <c r="D744" s="1">
        <v>7</v>
      </c>
      <c r="E744" s="1">
        <v>10</v>
      </c>
      <c r="F744" s="1">
        <v>365</v>
      </c>
      <c r="G744" s="1">
        <v>375</v>
      </c>
      <c r="H744" s="17" cm="1">
        <f t="array" ref="H744">_xlfn.LET(_xlpm.s,IFERROR(--F744,""),_xlpm.e,IFERROR(--G744,""),IF(OR(_xlpm.s="",_xlpm.e="",_xlpm.e&lt;_xlpm.s),"",_xlfn.LET(_xlpm.p,_xlfn.SEQUENCE(_xlpm.e-_xlpm.s+1,1,_xlpm.s,1),SUM(1/COUNTIFS($D:$D,D744,$E:$E,E744,$F:$F,"&lt;&gt;N/A",$G:$G,"&lt;&gt;N/A",$F:$F,"&lt;="&amp;_xlpm.p,$G:$G,"&gt;="&amp;_xlpm.p)))))</f>
        <v>11</v>
      </c>
      <c r="I744" t="s">
        <v>7</v>
      </c>
      <c r="J744" t="s">
        <v>4457</v>
      </c>
      <c r="K744" t="s">
        <v>2465</v>
      </c>
      <c r="L744" s="5" t="s">
        <v>7</v>
      </c>
      <c r="M744" t="s">
        <v>7</v>
      </c>
      <c r="N744" t="s">
        <v>7</v>
      </c>
      <c r="O744" s="5" t="s">
        <v>778</v>
      </c>
      <c r="P744" s="5" t="s">
        <v>7834</v>
      </c>
      <c r="R744" t="b">
        <v>1</v>
      </c>
    </row>
    <row r="745" spans="1:18">
      <c r="A745" t="s">
        <v>3017</v>
      </c>
      <c r="B745" t="s">
        <v>6249</v>
      </c>
      <c r="C745" t="s">
        <v>7738</v>
      </c>
      <c r="D745" s="1">
        <v>7</v>
      </c>
      <c r="E745" s="1">
        <v>10</v>
      </c>
      <c r="F745" s="1">
        <v>376</v>
      </c>
      <c r="G745" s="1">
        <v>384</v>
      </c>
      <c r="H745" s="17" cm="1">
        <f t="array" ref="H745">_xlfn.LET(_xlpm.s,IFERROR(--F745,""),_xlpm.e,IFERROR(--G745,""),IF(OR(_xlpm.s="",_xlpm.e="",_xlpm.e&lt;_xlpm.s),"",_xlfn.LET(_xlpm.p,_xlfn.SEQUENCE(_xlpm.e-_xlpm.s+1,1,_xlpm.s,1),SUM(1/COUNTIFS($D:$D,D745,$E:$E,E745,$F:$F,"&lt;&gt;N/A",$G:$G,"&lt;&gt;N/A",$F:$F,"&lt;="&amp;_xlpm.p,$G:$G,"&gt;="&amp;_xlpm.p)))))</f>
        <v>9</v>
      </c>
      <c r="I745" t="s">
        <v>7</v>
      </c>
      <c r="J745" t="s">
        <v>4456</v>
      </c>
      <c r="K745" t="s">
        <v>2483</v>
      </c>
      <c r="L745" s="5" t="s">
        <v>7</v>
      </c>
      <c r="M745" t="s">
        <v>7</v>
      </c>
      <c r="N745" t="s">
        <v>7</v>
      </c>
      <c r="O745" s="5" t="s">
        <v>778</v>
      </c>
      <c r="P745" s="5" t="s">
        <v>7834</v>
      </c>
      <c r="R745" t="b">
        <v>1</v>
      </c>
    </row>
    <row r="746" spans="1:18">
      <c r="A746" t="s">
        <v>3017</v>
      </c>
      <c r="B746" t="s">
        <v>6250</v>
      </c>
      <c r="C746" t="s">
        <v>7738</v>
      </c>
      <c r="D746" s="1">
        <v>7</v>
      </c>
      <c r="E746" s="1">
        <v>10</v>
      </c>
      <c r="F746" s="1">
        <v>385</v>
      </c>
      <c r="G746" s="1">
        <v>385</v>
      </c>
      <c r="H746" s="17" cm="1">
        <f t="array" ref="H746">_xlfn.LET(_xlpm.s,IFERROR(--F746,""),_xlpm.e,IFERROR(--G746,""),IF(OR(_xlpm.s="",_xlpm.e="",_xlpm.e&lt;_xlpm.s),"",_xlfn.LET(_xlpm.p,_xlfn.SEQUENCE(_xlpm.e-_xlpm.s+1,1,_xlpm.s,1),SUM(1/COUNTIFS($D:$D,D746,$E:$E,E746,$F:$F,"&lt;&gt;N/A",$G:$G,"&lt;&gt;N/A",$F:$F,"&lt;="&amp;_xlpm.p,$G:$G,"&gt;="&amp;_xlpm.p)))))</f>
        <v>0.5</v>
      </c>
      <c r="I746" t="s">
        <v>170</v>
      </c>
      <c r="J746" t="s">
        <v>5149</v>
      </c>
      <c r="K746" t="s">
        <v>7</v>
      </c>
      <c r="L746" s="5" t="s">
        <v>4651</v>
      </c>
      <c r="M746" t="s">
        <v>7</v>
      </c>
      <c r="N746" t="s">
        <v>7</v>
      </c>
      <c r="O746" s="5" t="s">
        <v>5072</v>
      </c>
      <c r="P746" s="5" t="s">
        <v>8021</v>
      </c>
      <c r="R746" t="b">
        <v>1</v>
      </c>
    </row>
    <row r="747" spans="1:18">
      <c r="A747" t="s">
        <v>3017</v>
      </c>
      <c r="B747" t="s">
        <v>6251</v>
      </c>
      <c r="C747" t="s">
        <v>7738</v>
      </c>
      <c r="D747" s="1">
        <v>7</v>
      </c>
      <c r="E747" s="1">
        <v>10</v>
      </c>
      <c r="F747" s="1">
        <v>385</v>
      </c>
      <c r="G747" s="1">
        <v>390</v>
      </c>
      <c r="H747" s="17" cm="1">
        <f t="array" ref="H747">_xlfn.LET(_xlpm.s,IFERROR(--F747,""),_xlpm.e,IFERROR(--G747,""),IF(OR(_xlpm.s="",_xlpm.e="",_xlpm.e&lt;_xlpm.s),"",_xlfn.LET(_xlpm.p,_xlfn.SEQUENCE(_xlpm.e-_xlpm.s+1,1,_xlpm.s,1),SUM(1/COUNTIFS($D:$D,D747,$E:$E,E747,$F:$F,"&lt;&gt;N/A",$G:$G,"&lt;&gt;N/A",$F:$F,"&lt;="&amp;_xlpm.p,$G:$G,"&gt;="&amp;_xlpm.p)))))</f>
        <v>5</v>
      </c>
      <c r="I747" t="s">
        <v>170</v>
      </c>
      <c r="J747" t="s">
        <v>1885</v>
      </c>
      <c r="K747" t="s">
        <v>7</v>
      </c>
      <c r="L747" s="5" t="s">
        <v>4651</v>
      </c>
      <c r="M747" t="s">
        <v>6443</v>
      </c>
      <c r="N747" t="s">
        <v>6444</v>
      </c>
      <c r="O747" s="5" t="s">
        <v>5072</v>
      </c>
      <c r="P747" s="5" t="s">
        <v>8021</v>
      </c>
      <c r="R747" t="b">
        <v>1</v>
      </c>
    </row>
    <row r="748" spans="1:18">
      <c r="A748" t="s">
        <v>3017</v>
      </c>
      <c r="B748" t="s">
        <v>6252</v>
      </c>
      <c r="C748" t="s">
        <v>7738</v>
      </c>
      <c r="D748" s="1">
        <v>7</v>
      </c>
      <c r="E748" s="1">
        <v>10</v>
      </c>
      <c r="F748" s="1">
        <v>390</v>
      </c>
      <c r="G748" s="1">
        <v>392</v>
      </c>
      <c r="H748" s="17" cm="1">
        <f t="array" ref="H748">_xlfn.LET(_xlpm.s,IFERROR(--F748,""),_xlpm.e,IFERROR(--G748,""),IF(OR(_xlpm.s="",_xlpm.e="",_xlpm.e&lt;_xlpm.s),"",_xlfn.LET(_xlpm.p,_xlfn.SEQUENCE(_xlpm.e-_xlpm.s+1,1,_xlpm.s,1),SUM(1/COUNTIFS($D:$D,D748,$E:$E,E748,$F:$F,"&lt;&gt;N/A",$G:$G,"&lt;&gt;N/A",$F:$F,"&lt;="&amp;_xlpm.p,$G:$G,"&gt;="&amp;_xlpm.p)))))</f>
        <v>2.5</v>
      </c>
      <c r="I748" t="s">
        <v>170</v>
      </c>
      <c r="J748" t="s">
        <v>10454</v>
      </c>
      <c r="K748" t="s">
        <v>7</v>
      </c>
      <c r="L748" s="5" t="s">
        <v>4651</v>
      </c>
      <c r="M748" t="s">
        <v>7</v>
      </c>
      <c r="N748" t="s">
        <v>7</v>
      </c>
      <c r="O748" s="5" t="s">
        <v>5072</v>
      </c>
      <c r="P748" s="5" t="s">
        <v>8021</v>
      </c>
      <c r="Q748" t="s">
        <v>2509</v>
      </c>
      <c r="R748" t="b">
        <v>1</v>
      </c>
    </row>
    <row r="749" spans="1:18">
      <c r="A749" t="s">
        <v>3017</v>
      </c>
      <c r="B749" t="s">
        <v>6253</v>
      </c>
      <c r="C749" t="s">
        <v>7738</v>
      </c>
      <c r="D749" s="1">
        <v>7</v>
      </c>
      <c r="E749" s="1">
        <v>10</v>
      </c>
      <c r="F749" s="1">
        <v>393</v>
      </c>
      <c r="G749" s="1">
        <v>397</v>
      </c>
      <c r="H749" s="17" cm="1">
        <f t="array" ref="H749">_xlfn.LET(_xlpm.s,IFERROR(--F749,""),_xlpm.e,IFERROR(--G749,""),IF(OR(_xlpm.s="",_xlpm.e="",_xlpm.e&lt;_xlpm.s),"",_xlfn.LET(_xlpm.p,_xlfn.SEQUENCE(_xlpm.e-_xlpm.s+1,1,_xlpm.s,1),SUM(1/COUNTIFS($D:$D,D749,$E:$E,E749,$F:$F,"&lt;&gt;N/A",$G:$G,"&lt;&gt;N/A",$F:$F,"&lt;="&amp;_xlpm.p,$G:$G,"&gt;="&amp;_xlpm.p)))))</f>
        <v>5</v>
      </c>
      <c r="I749" t="s">
        <v>170</v>
      </c>
      <c r="J749" t="s">
        <v>6442</v>
      </c>
      <c r="K749" t="s">
        <v>2473</v>
      </c>
      <c r="L749" s="5" t="s">
        <v>7</v>
      </c>
      <c r="M749" t="s">
        <v>7</v>
      </c>
      <c r="N749" t="s">
        <v>8087</v>
      </c>
      <c r="O749" s="5" t="s">
        <v>5072</v>
      </c>
      <c r="P749" s="5" t="s">
        <v>8021</v>
      </c>
      <c r="Q749" t="s">
        <v>2509</v>
      </c>
      <c r="R749" t="b">
        <v>1</v>
      </c>
    </row>
    <row r="750" spans="1:18">
      <c r="A750" t="s">
        <v>3017</v>
      </c>
      <c r="B750" t="s">
        <v>6841</v>
      </c>
      <c r="C750" t="s">
        <v>7738</v>
      </c>
      <c r="D750" s="1">
        <v>7</v>
      </c>
      <c r="E750" s="1">
        <v>10</v>
      </c>
      <c r="F750" s="1">
        <v>398</v>
      </c>
      <c r="G750" s="1">
        <v>399</v>
      </c>
      <c r="H750" s="17" cm="1">
        <f t="array" ref="H750">_xlfn.LET(_xlpm.s,IFERROR(--F750,""),_xlpm.e,IFERROR(--G750,""),IF(OR(_xlpm.s="",_xlpm.e="",_xlpm.e&lt;_xlpm.s),"",_xlfn.LET(_xlpm.p,_xlfn.SEQUENCE(_xlpm.e-_xlpm.s+1,1,_xlpm.s,1),SUM(1/COUNTIFS($D:$D,D750,$E:$E,E750,$F:$F,"&lt;&gt;N/A",$G:$G,"&lt;&gt;N/A",$F:$F,"&lt;="&amp;_xlpm.p,$G:$G,"&gt;="&amp;_xlpm.p)))))</f>
        <v>1.5</v>
      </c>
      <c r="I750" t="s">
        <v>170</v>
      </c>
      <c r="J750" t="s">
        <v>1886</v>
      </c>
      <c r="K750" t="s">
        <v>7</v>
      </c>
      <c r="L750" t="s">
        <v>7</v>
      </c>
      <c r="M750" s="5" t="s">
        <v>5084</v>
      </c>
      <c r="N750" t="s">
        <v>5110</v>
      </c>
      <c r="O750" s="5" t="s">
        <v>10264</v>
      </c>
      <c r="P750" s="5" t="s">
        <v>8020</v>
      </c>
      <c r="R750" t="b">
        <v>1</v>
      </c>
    </row>
    <row r="751" spans="1:18">
      <c r="A751" t="s">
        <v>3017</v>
      </c>
      <c r="B751" t="s">
        <v>6842</v>
      </c>
      <c r="C751" t="s">
        <v>7738</v>
      </c>
      <c r="D751" s="1">
        <v>7</v>
      </c>
      <c r="E751" s="1">
        <v>10</v>
      </c>
      <c r="F751" s="1">
        <v>399</v>
      </c>
      <c r="G751" s="1">
        <v>400</v>
      </c>
      <c r="H751" s="17" cm="1">
        <f t="array" ref="H751">_xlfn.LET(_xlpm.s,IFERROR(--F751,""),_xlpm.e,IFERROR(--G751,""),IF(OR(_xlpm.s="",_xlpm.e="",_xlpm.e&lt;_xlpm.s),"",_xlfn.LET(_xlpm.p,_xlfn.SEQUENCE(_xlpm.e-_xlpm.s+1,1,_xlpm.s,1),SUM(1/COUNTIFS($D:$D,D751,$E:$E,E751,$F:$F,"&lt;&gt;N/A",$G:$G,"&lt;&gt;N/A",$F:$F,"&lt;="&amp;_xlpm.p,$G:$G,"&gt;="&amp;_xlpm.p)))))</f>
        <v>1.5</v>
      </c>
      <c r="I751" t="s">
        <v>170</v>
      </c>
      <c r="J751" t="s">
        <v>5109</v>
      </c>
      <c r="K751" t="s">
        <v>7</v>
      </c>
      <c r="L751" s="5" t="s">
        <v>4659</v>
      </c>
      <c r="M751" s="5" t="s">
        <v>5084</v>
      </c>
      <c r="N751" t="s">
        <v>5111</v>
      </c>
      <c r="O751" s="5" t="s">
        <v>10264</v>
      </c>
      <c r="P751" s="5" t="s">
        <v>8020</v>
      </c>
      <c r="R751" t="b">
        <v>1</v>
      </c>
    </row>
    <row r="752" spans="1:18">
      <c r="A752" t="s">
        <v>3017</v>
      </c>
      <c r="B752" t="s">
        <v>6254</v>
      </c>
      <c r="C752" t="s">
        <v>7739</v>
      </c>
      <c r="D752" s="1">
        <v>7</v>
      </c>
      <c r="E752" s="1">
        <v>11</v>
      </c>
      <c r="F752" s="1">
        <v>401</v>
      </c>
      <c r="G752" s="1">
        <v>403</v>
      </c>
      <c r="H752" s="17" cm="1">
        <f t="array" ref="H752">_xlfn.LET(_xlpm.s,IFERROR(--F752,""),_xlpm.e,IFERROR(--G752,""),IF(OR(_xlpm.s="",_xlpm.e="",_xlpm.e&lt;_xlpm.s),"",_xlfn.LET(_xlpm.p,_xlfn.SEQUENCE(_xlpm.e-_xlpm.s+1,1,_xlpm.s,1),SUM(1/COUNTIFS($D:$D,D752,$E:$E,E752,$F:$F,"&lt;&gt;N/A",$G:$G,"&lt;&gt;N/A",$F:$F,"&lt;="&amp;_xlpm.p,$G:$G,"&gt;="&amp;_xlpm.p)))))</f>
        <v>2.5</v>
      </c>
      <c r="I752" t="s">
        <v>5436</v>
      </c>
      <c r="J752" t="s">
        <v>1887</v>
      </c>
      <c r="K752" t="s">
        <v>7</v>
      </c>
      <c r="L752" s="5" t="s">
        <v>7</v>
      </c>
      <c r="M752" s="5" t="s">
        <v>7</v>
      </c>
      <c r="N752" t="s">
        <v>7</v>
      </c>
      <c r="O752" s="5" t="s">
        <v>778</v>
      </c>
      <c r="P752" s="5" t="s">
        <v>7834</v>
      </c>
      <c r="R752" t="b">
        <v>0</v>
      </c>
    </row>
    <row r="753" spans="1:18">
      <c r="A753" t="s">
        <v>3017</v>
      </c>
      <c r="B753" t="s">
        <v>6255</v>
      </c>
      <c r="C753" t="s">
        <v>7739</v>
      </c>
      <c r="D753" s="1">
        <v>7</v>
      </c>
      <c r="E753" s="1">
        <v>11</v>
      </c>
      <c r="F753" s="1">
        <v>403</v>
      </c>
      <c r="G753" s="1">
        <v>404</v>
      </c>
      <c r="H753" s="17" cm="1">
        <f t="array" ref="H753">_xlfn.LET(_xlpm.s,IFERROR(--F753,""),_xlpm.e,IFERROR(--G753,""),IF(OR(_xlpm.s="",_xlpm.e="",_xlpm.e&lt;_xlpm.s),"",_xlfn.LET(_xlpm.p,_xlfn.SEQUENCE(_xlpm.e-_xlpm.s+1,1,_xlpm.s,1),SUM(1/COUNTIFS($D:$D,D753,$E:$E,E753,$F:$F,"&lt;&gt;N/A",$G:$G,"&lt;&gt;N/A",$F:$F,"&lt;="&amp;_xlpm.p,$G:$G,"&gt;="&amp;_xlpm.p)))))</f>
        <v>1</v>
      </c>
      <c r="I753" t="s">
        <v>5436</v>
      </c>
      <c r="J753" t="s">
        <v>1888</v>
      </c>
      <c r="K753" t="s">
        <v>7</v>
      </c>
      <c r="L753" s="5" t="s">
        <v>7</v>
      </c>
      <c r="M753" s="5" t="s">
        <v>7</v>
      </c>
      <c r="N753" t="s">
        <v>7</v>
      </c>
      <c r="O753" s="5" t="s">
        <v>778</v>
      </c>
      <c r="P753" s="5" t="s">
        <v>7834</v>
      </c>
      <c r="R753" t="b">
        <v>0</v>
      </c>
    </row>
    <row r="754" spans="1:18">
      <c r="A754" t="s">
        <v>3017</v>
      </c>
      <c r="B754" t="s">
        <v>6256</v>
      </c>
      <c r="C754" t="s">
        <v>7739</v>
      </c>
      <c r="D754" s="1">
        <v>7</v>
      </c>
      <c r="E754" s="1">
        <v>11</v>
      </c>
      <c r="F754" s="1">
        <v>404</v>
      </c>
      <c r="G754" s="1">
        <v>404</v>
      </c>
      <c r="H754" s="17" cm="1">
        <f t="array" ref="H754">_xlfn.LET(_xlpm.s,IFERROR(--F754,""),_xlpm.e,IFERROR(--G754,""),IF(OR(_xlpm.s="",_xlpm.e="",_xlpm.e&lt;_xlpm.s),"",_xlfn.LET(_xlpm.p,_xlfn.SEQUENCE(_xlpm.e-_xlpm.s+1,1,_xlpm.s,1),SUM(1/COUNTIFS($D:$D,D754,$E:$E,E754,$F:$F,"&lt;&gt;N/A",$G:$G,"&lt;&gt;N/A",$F:$F,"&lt;="&amp;_xlpm.p,$G:$G,"&gt;="&amp;_xlpm.p)))))</f>
        <v>0.5</v>
      </c>
      <c r="I754" t="s">
        <v>7</v>
      </c>
      <c r="J754" t="s">
        <v>4455</v>
      </c>
      <c r="K754" t="s">
        <v>2464</v>
      </c>
      <c r="L754" s="5" t="s">
        <v>7</v>
      </c>
      <c r="M754" s="5" t="s">
        <v>7</v>
      </c>
      <c r="N754" t="s">
        <v>7</v>
      </c>
      <c r="O754" s="5" t="s">
        <v>778</v>
      </c>
      <c r="P754" s="5" t="s">
        <v>7834</v>
      </c>
      <c r="R754" t="b">
        <v>1</v>
      </c>
    </row>
    <row r="755" spans="1:18">
      <c r="A755" t="s">
        <v>3017</v>
      </c>
      <c r="B755" t="s">
        <v>6257</v>
      </c>
      <c r="C755" t="s">
        <v>7739</v>
      </c>
      <c r="D755" s="1">
        <v>7</v>
      </c>
      <c r="E755" s="1">
        <v>11</v>
      </c>
      <c r="F755" s="1">
        <v>405</v>
      </c>
      <c r="G755" s="1">
        <v>410</v>
      </c>
      <c r="H755" s="17" cm="1">
        <f t="array" ref="H755">_xlfn.LET(_xlpm.s,IFERROR(--F755,""),_xlpm.e,IFERROR(--G755,""),IF(OR(_xlpm.s="",_xlpm.e="",_xlpm.e&lt;_xlpm.s),"",_xlfn.LET(_xlpm.p,_xlfn.SEQUENCE(_xlpm.e-_xlpm.s+1,1,_xlpm.s,1),SUM(1/COUNTIFS($D:$D,D755,$E:$E,E755,$F:$F,"&lt;&gt;N/A",$G:$G,"&lt;&gt;N/A",$F:$F,"&lt;="&amp;_xlpm.p,$G:$G,"&gt;="&amp;_xlpm.p)))))</f>
        <v>6</v>
      </c>
      <c r="I755" t="s">
        <v>7</v>
      </c>
      <c r="J755" t="s">
        <v>4454</v>
      </c>
      <c r="K755" t="s">
        <v>7</v>
      </c>
      <c r="L755" s="5" t="s">
        <v>7</v>
      </c>
      <c r="M755" s="5" t="s">
        <v>7</v>
      </c>
      <c r="N755" t="s">
        <v>7</v>
      </c>
      <c r="O755" s="5" t="s">
        <v>778</v>
      </c>
      <c r="P755" s="5" t="s">
        <v>7834</v>
      </c>
      <c r="R755" t="b">
        <v>1</v>
      </c>
    </row>
    <row r="756" spans="1:18">
      <c r="A756" t="s">
        <v>3017</v>
      </c>
      <c r="B756" t="s">
        <v>6258</v>
      </c>
      <c r="C756" t="s">
        <v>7739</v>
      </c>
      <c r="D756" s="1">
        <v>7</v>
      </c>
      <c r="E756" s="1">
        <v>11</v>
      </c>
      <c r="F756" s="1">
        <v>411</v>
      </c>
      <c r="G756" s="1">
        <v>422</v>
      </c>
      <c r="H756" s="17" cm="1">
        <f t="array" ref="H756">_xlfn.LET(_xlpm.s,IFERROR(--F756,""),_xlpm.e,IFERROR(--G756,""),IF(OR(_xlpm.s="",_xlpm.e="",_xlpm.e&lt;_xlpm.s),"",_xlfn.LET(_xlpm.p,_xlfn.SEQUENCE(_xlpm.e-_xlpm.s+1,1,_xlpm.s,1),SUM(1/COUNTIFS($D:$D,D756,$E:$E,E756,$F:$F,"&lt;&gt;N/A",$G:$G,"&lt;&gt;N/A",$F:$F,"&lt;="&amp;_xlpm.p,$G:$G,"&gt;="&amp;_xlpm.p)))))</f>
        <v>12</v>
      </c>
      <c r="I756" t="s">
        <v>7</v>
      </c>
      <c r="J756" t="s">
        <v>5112</v>
      </c>
      <c r="K756" t="s">
        <v>4661</v>
      </c>
      <c r="L756" s="5" t="s">
        <v>4659</v>
      </c>
      <c r="M756" s="5" t="s">
        <v>5241</v>
      </c>
      <c r="N756" t="s">
        <v>5242</v>
      </c>
      <c r="O756" s="5" t="s">
        <v>10264</v>
      </c>
      <c r="P756" s="5" t="s">
        <v>8020</v>
      </c>
      <c r="R756" t="b">
        <v>1</v>
      </c>
    </row>
    <row r="757" spans="1:18">
      <c r="A757" t="s">
        <v>3017</v>
      </c>
      <c r="B757" t="s">
        <v>6259</v>
      </c>
      <c r="C757" t="s">
        <v>7739</v>
      </c>
      <c r="D757" s="1">
        <v>7</v>
      </c>
      <c r="E757" s="1">
        <v>11</v>
      </c>
      <c r="F757" s="1">
        <v>423</v>
      </c>
      <c r="G757" s="1">
        <v>432</v>
      </c>
      <c r="H757" s="17" cm="1">
        <f t="array" ref="H757">_xlfn.LET(_xlpm.s,IFERROR(--F757,""),_xlpm.e,IFERROR(--G757,""),IF(OR(_xlpm.s="",_xlpm.e="",_xlpm.e&lt;_xlpm.s),"",_xlfn.LET(_xlpm.p,_xlfn.SEQUENCE(_xlpm.e-_xlpm.s+1,1,_xlpm.s,1),SUM(1/COUNTIFS($D:$D,D757,$E:$E,E757,$F:$F,"&lt;&gt;N/A",$G:$G,"&lt;&gt;N/A",$F:$F,"&lt;="&amp;_xlpm.p,$G:$G,"&gt;="&amp;_xlpm.p)))))</f>
        <v>10</v>
      </c>
      <c r="I757" t="s">
        <v>7</v>
      </c>
      <c r="J757" t="s">
        <v>10455</v>
      </c>
      <c r="K757" t="s">
        <v>2461</v>
      </c>
      <c r="L757" s="5" t="s">
        <v>7</v>
      </c>
      <c r="M757" s="5" t="s">
        <v>7</v>
      </c>
      <c r="N757" t="s">
        <v>2463</v>
      </c>
      <c r="O757" s="5" t="s">
        <v>5072</v>
      </c>
      <c r="P757" s="5" t="s">
        <v>8021</v>
      </c>
      <c r="Q757" t="s">
        <v>2509</v>
      </c>
      <c r="R757" t="b">
        <v>1</v>
      </c>
    </row>
    <row r="758" spans="1:18">
      <c r="A758" t="s">
        <v>3017</v>
      </c>
      <c r="B758" t="s">
        <v>6843</v>
      </c>
      <c r="C758" t="s">
        <v>7739</v>
      </c>
      <c r="D758" s="1">
        <v>7</v>
      </c>
      <c r="E758" s="1">
        <v>11</v>
      </c>
      <c r="F758" s="1">
        <v>433</v>
      </c>
      <c r="G758" s="1">
        <v>439</v>
      </c>
      <c r="H758" s="17" cm="1">
        <f t="array" ref="H758">_xlfn.LET(_xlpm.s,IFERROR(--F758,""),_xlpm.e,IFERROR(--G758,""),IF(OR(_xlpm.s="",_xlpm.e="",_xlpm.e&lt;_xlpm.s),"",_xlfn.LET(_xlpm.p,_xlfn.SEQUENCE(_xlpm.e-_xlpm.s+1,1,_xlpm.s,1),SUM(1/COUNTIFS($D:$D,D758,$E:$E,E758,$F:$F,"&lt;&gt;N/A",$G:$G,"&lt;&gt;N/A",$F:$F,"&lt;="&amp;_xlpm.p,$G:$G,"&gt;="&amp;_xlpm.p)))))</f>
        <v>7</v>
      </c>
      <c r="I758" t="s">
        <v>170</v>
      </c>
      <c r="J758" t="s">
        <v>2792</v>
      </c>
      <c r="K758" t="s">
        <v>2462</v>
      </c>
      <c r="L758" s="5" t="s">
        <v>7</v>
      </c>
      <c r="M758" t="s">
        <v>5084</v>
      </c>
      <c r="N758" t="s">
        <v>10413</v>
      </c>
      <c r="O758" s="5" t="s">
        <v>5072</v>
      </c>
      <c r="P758" s="5" t="s">
        <v>8020</v>
      </c>
      <c r="R758" t="b">
        <v>1</v>
      </c>
    </row>
    <row r="759" spans="1:18">
      <c r="A759" t="s">
        <v>3017</v>
      </c>
      <c r="B759" t="s">
        <v>6844</v>
      </c>
      <c r="C759" t="s">
        <v>7739</v>
      </c>
      <c r="D759" s="1">
        <v>7</v>
      </c>
      <c r="E759" s="1">
        <v>11</v>
      </c>
      <c r="F759" s="1">
        <v>440</v>
      </c>
      <c r="G759" s="1">
        <v>440</v>
      </c>
      <c r="H759" s="17" cm="1">
        <f t="array" ref="H759">_xlfn.LET(_xlpm.s,IFERROR(--F759,""),_xlpm.e,IFERROR(--G759,""),IF(OR(_xlpm.s="",_xlpm.e="",_xlpm.e&lt;_xlpm.s),"",_xlfn.LET(_xlpm.p,_xlfn.SEQUENCE(_xlpm.e-_xlpm.s+1,1,_xlpm.s,1),SUM(1/COUNTIFS($D:$D,D759,$E:$E,E759,$F:$F,"&lt;&gt;N/A",$G:$G,"&lt;&gt;N/A",$F:$F,"&lt;="&amp;_xlpm.p,$G:$G,"&gt;="&amp;_xlpm.p)))))</f>
        <v>1</v>
      </c>
      <c r="I759" t="s">
        <v>170</v>
      </c>
      <c r="J759" t="s">
        <v>1889</v>
      </c>
      <c r="K759" t="s">
        <v>7</v>
      </c>
      <c r="L759" s="5" t="s">
        <v>7</v>
      </c>
      <c r="M759" s="5" t="s">
        <v>5082</v>
      </c>
      <c r="N759" t="s">
        <v>10417</v>
      </c>
      <c r="O759" s="5" t="s">
        <v>10264</v>
      </c>
      <c r="P759" s="5" t="s">
        <v>8020</v>
      </c>
      <c r="R759" t="b">
        <v>1</v>
      </c>
    </row>
    <row r="760" spans="1:18">
      <c r="A760" t="s">
        <v>3017</v>
      </c>
      <c r="B760" t="s">
        <v>6260</v>
      </c>
      <c r="C760" t="s">
        <v>7740</v>
      </c>
      <c r="D760" s="1">
        <v>7</v>
      </c>
      <c r="E760" s="1">
        <v>12</v>
      </c>
      <c r="F760" s="1">
        <v>441</v>
      </c>
      <c r="G760" s="1">
        <v>442</v>
      </c>
      <c r="H760" s="17" cm="1">
        <f t="array" ref="H760">_xlfn.LET(_xlpm.s,IFERROR(--F760,""),_xlpm.e,IFERROR(--G760,""),IF(OR(_xlpm.s="",_xlpm.e="",_xlpm.e&lt;_xlpm.s),"",_xlfn.LET(_xlpm.p,_xlfn.SEQUENCE(_xlpm.e-_xlpm.s+1,1,_xlpm.s,1),SUM(1/COUNTIFS($D:$D,D760,$E:$E,E760,$F:$F,"&lt;&gt;N/A",$G:$G,"&lt;&gt;N/A",$F:$F,"&lt;="&amp;_xlpm.p,$G:$G,"&gt;="&amp;_xlpm.p)))))</f>
        <v>1.5</v>
      </c>
      <c r="I760" t="s">
        <v>5436</v>
      </c>
      <c r="J760" t="s">
        <v>1890</v>
      </c>
      <c r="K760" t="s">
        <v>7</v>
      </c>
      <c r="L760" s="5" t="s">
        <v>7</v>
      </c>
      <c r="M760" t="s">
        <v>7</v>
      </c>
      <c r="N760" t="s">
        <v>7</v>
      </c>
      <c r="O760" s="5" t="s">
        <v>778</v>
      </c>
      <c r="P760" s="5" t="s">
        <v>7834</v>
      </c>
      <c r="R760" t="b">
        <v>0</v>
      </c>
    </row>
    <row r="761" spans="1:18">
      <c r="A761" t="s">
        <v>3017</v>
      </c>
      <c r="B761" t="s">
        <v>6261</v>
      </c>
      <c r="C761" t="s">
        <v>7740</v>
      </c>
      <c r="D761" s="1">
        <v>7</v>
      </c>
      <c r="E761" s="1">
        <v>12</v>
      </c>
      <c r="F761" s="1">
        <v>442</v>
      </c>
      <c r="G761" s="1">
        <v>442</v>
      </c>
      <c r="H761" s="17" cm="1">
        <f t="array" ref="H761">_xlfn.LET(_xlpm.s,IFERROR(--F761,""),_xlpm.e,IFERROR(--G761,""),IF(OR(_xlpm.s="",_xlpm.e="",_xlpm.e&lt;_xlpm.s),"",_xlfn.LET(_xlpm.p,_xlfn.SEQUENCE(_xlpm.e-_xlpm.s+1,1,_xlpm.s,1),SUM(1/COUNTIFS($D:$D,D761,$E:$E,E761,$F:$F,"&lt;&gt;N/A",$G:$G,"&lt;&gt;N/A",$F:$F,"&lt;="&amp;_xlpm.p,$G:$G,"&gt;="&amp;_xlpm.p)))))</f>
        <v>0.5</v>
      </c>
      <c r="I761" t="s">
        <v>5436</v>
      </c>
      <c r="J761" t="s">
        <v>10842</v>
      </c>
      <c r="K761" t="s">
        <v>7</v>
      </c>
      <c r="L761" s="5" t="s">
        <v>7</v>
      </c>
      <c r="M761" t="s">
        <v>7</v>
      </c>
      <c r="N761" t="s">
        <v>7</v>
      </c>
      <c r="O761" s="5" t="s">
        <v>778</v>
      </c>
      <c r="P761" s="5" t="s">
        <v>7834</v>
      </c>
      <c r="R761" t="b">
        <v>0</v>
      </c>
    </row>
    <row r="762" spans="1:18">
      <c r="A762" t="s">
        <v>3017</v>
      </c>
      <c r="B762" t="s">
        <v>6262</v>
      </c>
      <c r="C762" t="s">
        <v>7740</v>
      </c>
      <c r="D762" s="1">
        <v>7</v>
      </c>
      <c r="E762" s="1">
        <v>12</v>
      </c>
      <c r="F762" s="1">
        <v>443</v>
      </c>
      <c r="G762" s="1">
        <v>451</v>
      </c>
      <c r="H762" s="17" cm="1">
        <f t="array" ref="H762">_xlfn.LET(_xlpm.s,IFERROR(--F762,""),_xlpm.e,IFERROR(--G762,""),IF(OR(_xlpm.s="",_xlpm.e="",_xlpm.e&lt;_xlpm.s),"",_xlfn.LET(_xlpm.p,_xlfn.SEQUENCE(_xlpm.e-_xlpm.s+1,1,_xlpm.s,1),SUM(1/COUNTIFS($D:$D,D762,$E:$E,E762,$F:$F,"&lt;&gt;N/A",$G:$G,"&lt;&gt;N/A",$F:$F,"&lt;="&amp;_xlpm.p,$G:$G,"&gt;="&amp;_xlpm.p)))))</f>
        <v>9</v>
      </c>
      <c r="I762" t="s">
        <v>2573</v>
      </c>
      <c r="J762" t="s">
        <v>2469</v>
      </c>
      <c r="K762" t="s">
        <v>7</v>
      </c>
      <c r="L762" s="5" t="s">
        <v>7</v>
      </c>
      <c r="M762" s="5" t="s">
        <v>5191</v>
      </c>
      <c r="N762" t="s">
        <v>5254</v>
      </c>
      <c r="O762" s="5" t="s">
        <v>5072</v>
      </c>
      <c r="P762" s="5" t="s">
        <v>8021</v>
      </c>
      <c r="R762" t="b">
        <v>1</v>
      </c>
    </row>
    <row r="763" spans="1:18">
      <c r="A763" t="s">
        <v>3017</v>
      </c>
      <c r="B763" t="s">
        <v>6263</v>
      </c>
      <c r="C763" t="s">
        <v>7740</v>
      </c>
      <c r="D763" s="1">
        <v>7</v>
      </c>
      <c r="E763" s="1">
        <v>12</v>
      </c>
      <c r="F763" s="1">
        <v>452</v>
      </c>
      <c r="G763" s="1">
        <v>453</v>
      </c>
      <c r="H763" s="17" cm="1">
        <f t="array" ref="H763">_xlfn.LET(_xlpm.s,IFERROR(--F763,""),_xlpm.e,IFERROR(--G763,""),IF(OR(_xlpm.s="",_xlpm.e="",_xlpm.e&lt;_xlpm.s),"",_xlfn.LET(_xlpm.p,_xlfn.SEQUENCE(_xlpm.e-_xlpm.s+1,1,_xlpm.s,1),SUM(1/COUNTIFS($D:$D,D763,$E:$E,E763,$F:$F,"&lt;&gt;N/A",$G:$G,"&lt;&gt;N/A",$F:$F,"&lt;="&amp;_xlpm.p,$G:$G,"&gt;="&amp;_xlpm.p)))))</f>
        <v>2</v>
      </c>
      <c r="I763" t="s">
        <v>2573</v>
      </c>
      <c r="J763" t="s">
        <v>6465</v>
      </c>
      <c r="K763" t="s">
        <v>7</v>
      </c>
      <c r="L763" s="5" t="s">
        <v>7</v>
      </c>
      <c r="M763" s="5" t="s">
        <v>5255</v>
      </c>
      <c r="N763" t="s">
        <v>2468</v>
      </c>
      <c r="O763" s="5" t="s">
        <v>5072</v>
      </c>
      <c r="P763" s="5" t="s">
        <v>8021</v>
      </c>
      <c r="Q763" t="s">
        <v>2509</v>
      </c>
      <c r="R763" t="b">
        <v>1</v>
      </c>
    </row>
    <row r="764" spans="1:18">
      <c r="A764" t="s">
        <v>3017</v>
      </c>
      <c r="B764" t="s">
        <v>6264</v>
      </c>
      <c r="C764" t="s">
        <v>7740</v>
      </c>
      <c r="D764" s="1">
        <v>7</v>
      </c>
      <c r="E764" s="1">
        <v>12</v>
      </c>
      <c r="F764" s="1">
        <v>454</v>
      </c>
      <c r="G764" s="1">
        <v>458</v>
      </c>
      <c r="H764" s="17" cm="1">
        <f t="array" ref="H764">_xlfn.LET(_xlpm.s,IFERROR(--F764,""),_xlpm.e,IFERROR(--G764,""),IF(OR(_xlpm.s="",_xlpm.e="",_xlpm.e&lt;_xlpm.s),"",_xlfn.LET(_xlpm.p,_xlfn.SEQUENCE(_xlpm.e-_xlpm.s+1,1,_xlpm.s,1),SUM(1/COUNTIFS($D:$D,D764,$E:$E,E764,$F:$F,"&lt;&gt;N/A",$G:$G,"&lt;&gt;N/A",$F:$F,"&lt;="&amp;_xlpm.p,$G:$G,"&gt;="&amp;_xlpm.p)))))</f>
        <v>4.5</v>
      </c>
      <c r="I764" t="s">
        <v>7</v>
      </c>
      <c r="J764" t="s">
        <v>27</v>
      </c>
      <c r="K764" t="s">
        <v>4660</v>
      </c>
      <c r="L764" s="5" t="s">
        <v>7</v>
      </c>
      <c r="M764" s="5" t="s">
        <v>7</v>
      </c>
      <c r="N764" t="s">
        <v>7</v>
      </c>
      <c r="O764" s="5" t="s">
        <v>778</v>
      </c>
      <c r="P764" s="5" t="s">
        <v>7834</v>
      </c>
      <c r="R764" t="b">
        <v>1</v>
      </c>
    </row>
    <row r="765" spans="1:18">
      <c r="A765" t="s">
        <v>3017</v>
      </c>
      <c r="B765" t="s">
        <v>6265</v>
      </c>
      <c r="C765" t="s">
        <v>7740</v>
      </c>
      <c r="D765" s="1">
        <v>7</v>
      </c>
      <c r="E765" s="1">
        <v>12</v>
      </c>
      <c r="F765" s="1">
        <v>458</v>
      </c>
      <c r="G765" s="1">
        <v>467</v>
      </c>
      <c r="H765" s="17" cm="1">
        <f t="array" ref="H765">_xlfn.LET(_xlpm.s,IFERROR(--F765,""),_xlpm.e,IFERROR(--G765,""),IF(OR(_xlpm.s="",_xlpm.e="",_xlpm.e&lt;_xlpm.s),"",_xlfn.LET(_xlpm.p,_xlfn.SEQUENCE(_xlpm.e-_xlpm.s+1,1,_xlpm.s,1),SUM(1/COUNTIFS($D:$D,D765,$E:$E,E765,$F:$F,"&lt;&gt;N/A",$G:$G,"&lt;&gt;N/A",$F:$F,"&lt;="&amp;_xlpm.p,$G:$G,"&gt;="&amp;_xlpm.p)))))</f>
        <v>9.5</v>
      </c>
      <c r="I765" t="s">
        <v>7</v>
      </c>
      <c r="J765" t="s">
        <v>4453</v>
      </c>
      <c r="K765" t="s">
        <v>7</v>
      </c>
      <c r="L765" s="5" t="s">
        <v>7</v>
      </c>
      <c r="M765" s="5" t="s">
        <v>7</v>
      </c>
      <c r="N765" t="s">
        <v>2467</v>
      </c>
      <c r="O765" s="5" t="s">
        <v>5072</v>
      </c>
      <c r="P765" s="5" t="s">
        <v>8021</v>
      </c>
      <c r="R765" t="b">
        <v>1</v>
      </c>
    </row>
    <row r="766" spans="1:18">
      <c r="A766" t="s">
        <v>3017</v>
      </c>
      <c r="B766" t="s">
        <v>6266</v>
      </c>
      <c r="C766" t="s">
        <v>7740</v>
      </c>
      <c r="D766" s="1">
        <v>7</v>
      </c>
      <c r="E766" s="1">
        <v>12</v>
      </c>
      <c r="F766" s="1">
        <v>468</v>
      </c>
      <c r="G766" s="1">
        <v>473</v>
      </c>
      <c r="H766" s="17" cm="1">
        <f t="array" ref="H766">_xlfn.LET(_xlpm.s,IFERROR(--F766,""),_xlpm.e,IFERROR(--G766,""),IF(OR(_xlpm.s="",_xlpm.e="",_xlpm.e&lt;_xlpm.s),"",_xlfn.LET(_xlpm.p,_xlfn.SEQUENCE(_xlpm.e-_xlpm.s+1,1,_xlpm.s,1),SUM(1/COUNTIFS($D:$D,D766,$E:$E,E766,$F:$F,"&lt;&gt;N/A",$G:$G,"&lt;&gt;N/A",$F:$F,"&lt;="&amp;_xlpm.p,$G:$G,"&gt;="&amp;_xlpm.p)))))</f>
        <v>6</v>
      </c>
      <c r="I766" t="s">
        <v>624</v>
      </c>
      <c r="J766" t="s">
        <v>5113</v>
      </c>
      <c r="K766" t="s">
        <v>7</v>
      </c>
      <c r="L766" s="5" t="s">
        <v>5117</v>
      </c>
      <c r="M766" s="5" t="s">
        <v>5084</v>
      </c>
      <c r="N766" t="s">
        <v>5115</v>
      </c>
      <c r="O766" s="5" t="s">
        <v>10264</v>
      </c>
      <c r="P766" s="5" t="s">
        <v>8020</v>
      </c>
      <c r="R766" t="b">
        <v>1</v>
      </c>
    </row>
    <row r="767" spans="1:18">
      <c r="A767" t="s">
        <v>3017</v>
      </c>
      <c r="B767" t="s">
        <v>6267</v>
      </c>
      <c r="C767" t="s">
        <v>7740</v>
      </c>
      <c r="D767" s="1">
        <v>7</v>
      </c>
      <c r="E767" s="1">
        <v>12</v>
      </c>
      <c r="F767" s="1">
        <v>474</v>
      </c>
      <c r="G767" s="1">
        <v>474</v>
      </c>
      <c r="H767" s="17" cm="1">
        <f t="array" ref="H767">_xlfn.LET(_xlpm.s,IFERROR(--F767,""),_xlpm.e,IFERROR(--G767,""),IF(OR(_xlpm.s="",_xlpm.e="",_xlpm.e&lt;_xlpm.s),"",_xlfn.LET(_xlpm.p,_xlfn.SEQUENCE(_xlpm.e-_xlpm.s+1,1,_xlpm.s,1),SUM(1/COUNTIFS($D:$D,D767,$E:$E,E767,$F:$F,"&lt;&gt;N/A",$G:$G,"&lt;&gt;N/A",$F:$F,"&lt;="&amp;_xlpm.p,$G:$G,"&gt;="&amp;_xlpm.p)))))</f>
        <v>0.5</v>
      </c>
      <c r="I767" t="s">
        <v>624</v>
      </c>
      <c r="J767" t="s">
        <v>5114</v>
      </c>
      <c r="K767" t="s">
        <v>7</v>
      </c>
      <c r="L767" t="s">
        <v>7</v>
      </c>
      <c r="M767" s="5" t="s">
        <v>5082</v>
      </c>
      <c r="N767" t="s">
        <v>10414</v>
      </c>
      <c r="O767" s="5" t="s">
        <v>10264</v>
      </c>
      <c r="P767" s="5" t="s">
        <v>8020</v>
      </c>
      <c r="R767" t="b">
        <v>1</v>
      </c>
    </row>
    <row r="768" spans="1:18">
      <c r="A768" t="s">
        <v>3017</v>
      </c>
      <c r="B768" t="s">
        <v>6268</v>
      </c>
      <c r="C768" t="s">
        <v>7740</v>
      </c>
      <c r="D768" s="1">
        <v>7</v>
      </c>
      <c r="E768" s="1">
        <v>12</v>
      </c>
      <c r="F768" s="1">
        <v>474</v>
      </c>
      <c r="G768" s="1">
        <v>475</v>
      </c>
      <c r="H768" s="17" cm="1">
        <f t="array" ref="H768">_xlfn.LET(_xlpm.s,IFERROR(--F768,""),_xlpm.e,IFERROR(--G768,""),IF(OR(_xlpm.s="",_xlpm.e="",_xlpm.e&lt;_xlpm.s),"",_xlfn.LET(_xlpm.p,_xlfn.SEQUENCE(_xlpm.e-_xlpm.s+1,1,_xlpm.s,1),SUM(1/COUNTIFS($D:$D,D768,$E:$E,E768,$F:$F,"&lt;&gt;N/A",$G:$G,"&lt;&gt;N/A",$F:$F,"&lt;="&amp;_xlpm.p,$G:$G,"&gt;="&amp;_xlpm.p)))))</f>
        <v>0.83333333333333326</v>
      </c>
      <c r="I768" t="s">
        <v>624</v>
      </c>
      <c r="J768" t="s">
        <v>4448</v>
      </c>
      <c r="K768" t="s">
        <v>7</v>
      </c>
      <c r="L768" t="s">
        <v>7</v>
      </c>
      <c r="M768" s="5" t="s">
        <v>5082</v>
      </c>
      <c r="N768" t="s">
        <v>10418</v>
      </c>
      <c r="O768" s="5" t="s">
        <v>10264</v>
      </c>
      <c r="P768" s="5" t="s">
        <v>8020</v>
      </c>
      <c r="R768" t="b">
        <v>1</v>
      </c>
    </row>
    <row r="769" spans="1:18">
      <c r="A769" t="s">
        <v>3017</v>
      </c>
      <c r="B769" t="s">
        <v>6269</v>
      </c>
      <c r="C769" t="s">
        <v>7740</v>
      </c>
      <c r="D769" s="1">
        <v>7</v>
      </c>
      <c r="E769" s="1">
        <v>12</v>
      </c>
      <c r="F769" s="1">
        <v>475</v>
      </c>
      <c r="G769" s="1">
        <v>475</v>
      </c>
      <c r="H769" s="17" cm="1">
        <f t="array" ref="H769">_xlfn.LET(_xlpm.s,IFERROR(--F769,""),_xlpm.e,IFERROR(--G769,""),IF(OR(_xlpm.s="",_xlpm.e="",_xlpm.e&lt;_xlpm.s),"",_xlfn.LET(_xlpm.p,_xlfn.SEQUENCE(_xlpm.e-_xlpm.s+1,1,_xlpm.s,1),SUM(1/COUNTIFS($D:$D,D769,$E:$E,E769,$F:$F,"&lt;&gt;N/A",$G:$G,"&lt;&gt;N/A",$F:$F,"&lt;="&amp;_xlpm.p,$G:$G,"&gt;="&amp;_xlpm.p)))))</f>
        <v>0.33333333333333331</v>
      </c>
      <c r="I769" t="s">
        <v>624</v>
      </c>
      <c r="J769" t="s">
        <v>4449</v>
      </c>
      <c r="K769" t="s">
        <v>7</v>
      </c>
      <c r="L769" t="s">
        <v>7</v>
      </c>
      <c r="M769" s="5" t="s">
        <v>5084</v>
      </c>
      <c r="N769" t="s">
        <v>5116</v>
      </c>
      <c r="O769" s="5" t="s">
        <v>10264</v>
      </c>
      <c r="P769" s="5" t="s">
        <v>8020</v>
      </c>
      <c r="R769" t="b">
        <v>1</v>
      </c>
    </row>
    <row r="770" spans="1:18">
      <c r="A770" t="s">
        <v>3017</v>
      </c>
      <c r="B770" t="s">
        <v>6270</v>
      </c>
      <c r="C770" t="s">
        <v>7740</v>
      </c>
      <c r="D770" s="1">
        <v>7</v>
      </c>
      <c r="E770" s="1">
        <v>12</v>
      </c>
      <c r="F770" s="1">
        <v>475</v>
      </c>
      <c r="G770" s="1">
        <v>476</v>
      </c>
      <c r="H770" s="17" cm="1">
        <f t="array" ref="H770">_xlfn.LET(_xlpm.s,IFERROR(--F770,""),_xlpm.e,IFERROR(--G770,""),IF(OR(_xlpm.s="",_xlpm.e="",_xlpm.e&lt;_xlpm.s),"",_xlfn.LET(_xlpm.p,_xlfn.SEQUENCE(_xlpm.e-_xlpm.s+1,1,_xlpm.s,1),SUM(1/COUNTIFS($D:$D,D770,$E:$E,E770,$F:$F,"&lt;&gt;N/A",$G:$G,"&lt;&gt;N/A",$F:$F,"&lt;="&amp;_xlpm.p,$G:$G,"&gt;="&amp;_xlpm.p)))))</f>
        <v>0.58333333333333326</v>
      </c>
      <c r="I770" t="s">
        <v>624</v>
      </c>
      <c r="J770" t="s">
        <v>4450</v>
      </c>
      <c r="K770" t="s">
        <v>7</v>
      </c>
      <c r="L770" t="s">
        <v>7</v>
      </c>
      <c r="M770" s="5" t="s">
        <v>5082</v>
      </c>
      <c r="N770" t="s">
        <v>10419</v>
      </c>
      <c r="O770" s="5" t="s">
        <v>10264</v>
      </c>
      <c r="P770" s="5" t="s">
        <v>8020</v>
      </c>
      <c r="R770" t="b">
        <v>1</v>
      </c>
    </row>
    <row r="771" spans="1:18">
      <c r="A771" t="s">
        <v>3017</v>
      </c>
      <c r="B771" t="s">
        <v>6271</v>
      </c>
      <c r="C771" t="s">
        <v>7740</v>
      </c>
      <c r="D771" s="1">
        <v>7</v>
      </c>
      <c r="E771" s="1">
        <v>12</v>
      </c>
      <c r="F771" s="1">
        <v>476</v>
      </c>
      <c r="G771" s="1">
        <v>476</v>
      </c>
      <c r="H771" s="17" cm="1">
        <f t="array" ref="H771">_xlfn.LET(_xlpm.s,IFERROR(--F771,""),_xlpm.e,IFERROR(--G771,""),IF(OR(_xlpm.s="",_xlpm.e="",_xlpm.e&lt;_xlpm.s),"",_xlfn.LET(_xlpm.p,_xlfn.SEQUENCE(_xlpm.e-_xlpm.s+1,1,_xlpm.s,1),SUM(1/COUNTIFS($D:$D,D771,$E:$E,E771,$F:$F,"&lt;&gt;N/A",$G:$G,"&lt;&gt;N/A",$F:$F,"&lt;="&amp;_xlpm.p,$G:$G,"&gt;="&amp;_xlpm.p)))))</f>
        <v>0.25</v>
      </c>
      <c r="I771" t="s">
        <v>624</v>
      </c>
      <c r="J771" t="s">
        <v>4452</v>
      </c>
      <c r="K771" t="s">
        <v>7</v>
      </c>
      <c r="L771" t="s">
        <v>7</v>
      </c>
      <c r="M771" s="5" t="s">
        <v>5082</v>
      </c>
      <c r="N771" t="s">
        <v>10420</v>
      </c>
      <c r="O771" s="5" t="s">
        <v>10264</v>
      </c>
      <c r="P771" s="5" t="s">
        <v>8020</v>
      </c>
      <c r="R771" t="b">
        <v>1</v>
      </c>
    </row>
    <row r="772" spans="1:18">
      <c r="A772" t="s">
        <v>3017</v>
      </c>
      <c r="B772" t="s">
        <v>6272</v>
      </c>
      <c r="C772" t="s">
        <v>7740</v>
      </c>
      <c r="D772" s="1">
        <v>7</v>
      </c>
      <c r="E772" s="1">
        <v>12</v>
      </c>
      <c r="F772" s="1">
        <v>476</v>
      </c>
      <c r="G772" s="1">
        <v>476</v>
      </c>
      <c r="H772" s="17" cm="1">
        <f t="array" ref="H772">_xlfn.LET(_xlpm.s,IFERROR(--F772,""),_xlpm.e,IFERROR(--G772,""),IF(OR(_xlpm.s="",_xlpm.e="",_xlpm.e&lt;_xlpm.s),"",_xlfn.LET(_xlpm.p,_xlfn.SEQUENCE(_xlpm.e-_xlpm.s+1,1,_xlpm.s,1),SUM(1/COUNTIFS($D:$D,D772,$E:$E,E772,$F:$F,"&lt;&gt;N/A",$G:$G,"&lt;&gt;N/A",$F:$F,"&lt;="&amp;_xlpm.p,$G:$G,"&gt;="&amp;_xlpm.p)))))</f>
        <v>0.25</v>
      </c>
      <c r="I772" t="s">
        <v>624</v>
      </c>
      <c r="J772" t="s">
        <v>4451</v>
      </c>
      <c r="K772" t="s">
        <v>7</v>
      </c>
      <c r="L772" t="s">
        <v>7</v>
      </c>
      <c r="M772" s="5" t="s">
        <v>5082</v>
      </c>
      <c r="N772" t="s">
        <v>10412</v>
      </c>
      <c r="O772" s="5" t="s">
        <v>10264</v>
      </c>
      <c r="P772" s="5" t="s">
        <v>8020</v>
      </c>
      <c r="R772" t="b">
        <v>1</v>
      </c>
    </row>
    <row r="773" spans="1:18">
      <c r="A773" t="s">
        <v>3017</v>
      </c>
      <c r="B773" t="s">
        <v>6273</v>
      </c>
      <c r="C773" t="s">
        <v>7740</v>
      </c>
      <c r="D773" s="1">
        <v>7</v>
      </c>
      <c r="E773" s="1">
        <v>12</v>
      </c>
      <c r="F773" s="1">
        <v>476</v>
      </c>
      <c r="G773" s="1">
        <v>476</v>
      </c>
      <c r="H773" s="17" cm="1">
        <f t="array" ref="H773">_xlfn.LET(_xlpm.s,IFERROR(--F773,""),_xlpm.e,IFERROR(--G773,""),IF(OR(_xlpm.s="",_xlpm.e="",_xlpm.e&lt;_xlpm.s),"",_xlfn.LET(_xlpm.p,_xlfn.SEQUENCE(_xlpm.e-_xlpm.s+1,1,_xlpm.s,1),SUM(1/COUNTIFS($D:$D,D773,$E:$E,E773,$F:$F,"&lt;&gt;N/A",$G:$G,"&lt;&gt;N/A",$F:$F,"&lt;="&amp;_xlpm.p,$G:$G,"&gt;="&amp;_xlpm.p)))))</f>
        <v>0.25</v>
      </c>
      <c r="I773" t="s">
        <v>624</v>
      </c>
      <c r="J773" t="s">
        <v>5123</v>
      </c>
      <c r="K773" t="s">
        <v>7</v>
      </c>
      <c r="L773" t="s">
        <v>7</v>
      </c>
      <c r="M773" s="5" t="s">
        <v>5082</v>
      </c>
      <c r="N773" t="s">
        <v>10421</v>
      </c>
      <c r="O773" s="5" t="s">
        <v>10264</v>
      </c>
      <c r="P773" s="5" t="s">
        <v>8020</v>
      </c>
      <c r="R773" t="b">
        <v>1</v>
      </c>
    </row>
    <row r="774" spans="1:18">
      <c r="A774" t="s">
        <v>3017</v>
      </c>
      <c r="B774" t="s">
        <v>6845</v>
      </c>
      <c r="C774" t="s">
        <v>7740</v>
      </c>
      <c r="D774" s="1">
        <v>7</v>
      </c>
      <c r="E774" s="1">
        <v>12</v>
      </c>
      <c r="F774" s="1">
        <v>477</v>
      </c>
      <c r="G774" s="1">
        <v>477</v>
      </c>
      <c r="H774" s="17" cm="1">
        <f t="array" ref="H774">_xlfn.LET(_xlpm.s,IFERROR(--F774,""),_xlpm.e,IFERROR(--G774,""),IF(OR(_xlpm.s="",_xlpm.e="",_xlpm.e&lt;_xlpm.s),"",_xlfn.LET(_xlpm.p,_xlfn.SEQUENCE(_xlpm.e-_xlpm.s+1,1,_xlpm.s,1),SUM(1/COUNTIFS($D:$D,D774,$E:$E,E774,$F:$F,"&lt;&gt;N/A",$G:$G,"&lt;&gt;N/A",$F:$F,"&lt;="&amp;_xlpm.p,$G:$G,"&gt;="&amp;_xlpm.p)))))</f>
        <v>0.5</v>
      </c>
      <c r="I774" t="s">
        <v>624</v>
      </c>
      <c r="J774" t="s">
        <v>1891</v>
      </c>
      <c r="K774" t="s">
        <v>7</v>
      </c>
      <c r="L774" t="s">
        <v>7</v>
      </c>
      <c r="M774" s="5" t="s">
        <v>5082</v>
      </c>
      <c r="N774" t="s">
        <v>10422</v>
      </c>
      <c r="O774" s="5" t="s">
        <v>10264</v>
      </c>
      <c r="P774" s="5" t="s">
        <v>8020</v>
      </c>
      <c r="R774" t="b">
        <v>1</v>
      </c>
    </row>
    <row r="775" spans="1:18">
      <c r="A775" t="s">
        <v>3017</v>
      </c>
      <c r="B775" t="s">
        <v>6846</v>
      </c>
      <c r="C775" t="s">
        <v>7740</v>
      </c>
      <c r="D775" s="1">
        <v>7</v>
      </c>
      <c r="E775" s="1">
        <v>12</v>
      </c>
      <c r="F775" s="1">
        <v>477</v>
      </c>
      <c r="G775" s="1">
        <v>477</v>
      </c>
      <c r="H775" s="17" cm="1">
        <f t="array" ref="H775">_xlfn.LET(_xlpm.s,IFERROR(--F775,""),_xlpm.e,IFERROR(--G775,""),IF(OR(_xlpm.s="",_xlpm.e="",_xlpm.e&lt;_xlpm.s),"",_xlfn.LET(_xlpm.p,_xlfn.SEQUENCE(_xlpm.e-_xlpm.s+1,1,_xlpm.s,1),SUM(1/COUNTIFS($D:$D,D775,$E:$E,E775,$F:$F,"&lt;&gt;N/A",$G:$G,"&lt;&gt;N/A",$F:$F,"&lt;="&amp;_xlpm.p,$G:$G,"&gt;="&amp;_xlpm.p)))))</f>
        <v>0.5</v>
      </c>
      <c r="I775" t="s">
        <v>624</v>
      </c>
      <c r="J775" t="s">
        <v>4373</v>
      </c>
      <c r="K775" t="s">
        <v>7</v>
      </c>
      <c r="L775" s="5" t="s">
        <v>4659</v>
      </c>
      <c r="M775" s="5" t="s">
        <v>5082</v>
      </c>
      <c r="N775" t="s">
        <v>10423</v>
      </c>
      <c r="O775" s="5" t="s">
        <v>10264</v>
      </c>
      <c r="P775" s="5" t="s">
        <v>8020</v>
      </c>
      <c r="R775" t="b">
        <v>1</v>
      </c>
    </row>
    <row r="776" spans="1:18">
      <c r="A776" t="s">
        <v>3016</v>
      </c>
      <c r="B776" t="s">
        <v>6274</v>
      </c>
      <c r="C776" t="s">
        <v>7748</v>
      </c>
      <c r="D776" s="1">
        <v>8</v>
      </c>
      <c r="E776" s="1">
        <v>1</v>
      </c>
      <c r="F776" s="1">
        <v>3</v>
      </c>
      <c r="G776" s="1">
        <v>17</v>
      </c>
      <c r="H776" s="17" cm="1">
        <f t="array" ref="H776">_xlfn.LET(_xlpm.s,IFERROR(--F776,""),_xlpm.e,IFERROR(--G776,""),IF(OR(_xlpm.s="",_xlpm.e="",_xlpm.e&lt;_xlpm.s),"",_xlfn.LET(_xlpm.p,_xlfn.SEQUENCE(_xlpm.e-_xlpm.s+1,1,_xlpm.s,1),SUM(1/COUNTIFS($D:$D,D776,$E:$E,E776,$F:$F,"&lt;&gt;N/A",$G:$G,"&lt;&gt;N/A",$F:$F,"&lt;="&amp;_xlpm.p,$G:$G,"&gt;="&amp;_xlpm.p)))))</f>
        <v>15</v>
      </c>
      <c r="I776" t="s">
        <v>2573</v>
      </c>
      <c r="J776" t="s">
        <v>2666</v>
      </c>
      <c r="K776" t="s">
        <v>7</v>
      </c>
      <c r="L776" s="5" t="s">
        <v>7</v>
      </c>
      <c r="M776" s="5" t="s">
        <v>5397</v>
      </c>
      <c r="N776" t="s">
        <v>6577</v>
      </c>
      <c r="O776" s="5" t="s">
        <v>5072</v>
      </c>
      <c r="P776" s="5" t="s">
        <v>8021</v>
      </c>
      <c r="R776" t="b">
        <v>1</v>
      </c>
    </row>
    <row r="777" spans="1:18">
      <c r="A777" t="s">
        <v>3016</v>
      </c>
      <c r="B777" t="s">
        <v>6275</v>
      </c>
      <c r="C777" t="s">
        <v>7748</v>
      </c>
      <c r="D777" s="1">
        <v>8</v>
      </c>
      <c r="E777" s="1">
        <v>1</v>
      </c>
      <c r="F777" s="1">
        <v>18</v>
      </c>
      <c r="G777" s="1">
        <v>21</v>
      </c>
      <c r="H777" s="17" cm="1">
        <f t="array" ref="H777">_xlfn.LET(_xlpm.s,IFERROR(--F777,""),_xlpm.e,IFERROR(--G777,""),IF(OR(_xlpm.s="",_xlpm.e="",_xlpm.e&lt;_xlpm.s),"",_xlfn.LET(_xlpm.p,_xlfn.SEQUENCE(_xlpm.e-_xlpm.s+1,1,_xlpm.s,1),SUM(1/COUNTIFS($D:$D,D777,$E:$E,E777,$F:$F,"&lt;&gt;N/A",$G:$G,"&lt;&gt;N/A",$F:$F,"&lt;="&amp;_xlpm.p,$G:$G,"&gt;="&amp;_xlpm.p)))))</f>
        <v>4</v>
      </c>
      <c r="I777" t="s">
        <v>2573</v>
      </c>
      <c r="J777" t="s">
        <v>1892</v>
      </c>
      <c r="K777" t="s">
        <v>7</v>
      </c>
      <c r="L777" s="5" t="s">
        <v>7</v>
      </c>
      <c r="M777" s="5" t="s">
        <v>5119</v>
      </c>
      <c r="N777" t="s">
        <v>5118</v>
      </c>
      <c r="O777" s="5" t="s">
        <v>5072</v>
      </c>
      <c r="P777" s="5" t="s">
        <v>8021</v>
      </c>
      <c r="R777" t="b">
        <v>1</v>
      </c>
    </row>
    <row r="778" spans="1:18">
      <c r="A778" t="s">
        <v>3016</v>
      </c>
      <c r="B778" t="s">
        <v>6276</v>
      </c>
      <c r="C778" t="s">
        <v>7748</v>
      </c>
      <c r="D778" s="1">
        <v>8</v>
      </c>
      <c r="E778" s="1">
        <v>1</v>
      </c>
      <c r="F778" s="1">
        <v>22</v>
      </c>
      <c r="G778" s="1">
        <v>22</v>
      </c>
      <c r="H778" s="17" cm="1">
        <f t="array" ref="H778">_xlfn.LET(_xlpm.s,IFERROR(--F778,""),_xlpm.e,IFERROR(--G778,""),IF(OR(_xlpm.s="",_xlpm.e="",_xlpm.e&lt;_xlpm.s),"",_xlfn.LET(_xlpm.p,_xlfn.SEQUENCE(_xlpm.e-_xlpm.s+1,1,_xlpm.s,1),SUM(1/COUNTIFS($D:$D,D778,$E:$E,E778,$F:$F,"&lt;&gt;N/A",$G:$G,"&lt;&gt;N/A",$F:$F,"&lt;="&amp;_xlpm.p,$G:$G,"&gt;="&amp;_xlpm.p)))))</f>
        <v>1</v>
      </c>
      <c r="I778" t="s">
        <v>2573</v>
      </c>
      <c r="J778" t="s">
        <v>2442</v>
      </c>
      <c r="K778" t="s">
        <v>7</v>
      </c>
      <c r="L778" s="5" t="s">
        <v>7</v>
      </c>
      <c r="M778" s="5" t="s">
        <v>5119</v>
      </c>
      <c r="N778" t="s">
        <v>2445</v>
      </c>
      <c r="O778" s="5" t="s">
        <v>5072</v>
      </c>
      <c r="P778" s="5" t="s">
        <v>8021</v>
      </c>
      <c r="R778" t="b">
        <v>1</v>
      </c>
    </row>
    <row r="779" spans="1:18">
      <c r="A779" t="s">
        <v>3016</v>
      </c>
      <c r="B779" t="s">
        <v>6277</v>
      </c>
      <c r="C779" t="s">
        <v>7748</v>
      </c>
      <c r="D779" s="1">
        <v>8</v>
      </c>
      <c r="E779" s="1">
        <v>1</v>
      </c>
      <c r="F779" s="1">
        <v>23</v>
      </c>
      <c r="G779" s="1">
        <v>28</v>
      </c>
      <c r="H779" s="17" cm="1">
        <f t="array" ref="H779">_xlfn.LET(_xlpm.s,IFERROR(--F779,""),_xlpm.e,IFERROR(--G779,""),IF(OR(_xlpm.s="",_xlpm.e="",_xlpm.e&lt;_xlpm.s),"",_xlfn.LET(_xlpm.p,_xlfn.SEQUENCE(_xlpm.e-_xlpm.s+1,1,_xlpm.s,1),SUM(1/COUNTIFS($D:$D,D779,$E:$E,E779,$F:$F,"&lt;&gt;N/A",$G:$G,"&lt;&gt;N/A",$F:$F,"&lt;="&amp;_xlpm.p,$G:$G,"&gt;="&amp;_xlpm.p)))))</f>
        <v>6</v>
      </c>
      <c r="I779" t="s">
        <v>2573</v>
      </c>
      <c r="J779" t="s">
        <v>5108</v>
      </c>
      <c r="K779" t="s">
        <v>7</v>
      </c>
      <c r="L779" s="5" t="s">
        <v>7</v>
      </c>
      <c r="M779" s="5" t="s">
        <v>7</v>
      </c>
      <c r="N779" t="s">
        <v>8088</v>
      </c>
      <c r="O779" s="5" t="s">
        <v>5072</v>
      </c>
      <c r="P779" s="5" t="s">
        <v>8021</v>
      </c>
      <c r="Q779" t="s">
        <v>2509</v>
      </c>
      <c r="R779" t="b">
        <v>1</v>
      </c>
    </row>
    <row r="780" spans="1:18">
      <c r="A780" t="s">
        <v>3016</v>
      </c>
      <c r="B780" t="s">
        <v>6847</v>
      </c>
      <c r="C780" t="s">
        <v>7748</v>
      </c>
      <c r="D780" s="1">
        <v>8</v>
      </c>
      <c r="E780" s="1">
        <v>1</v>
      </c>
      <c r="F780" s="1">
        <v>29</v>
      </c>
      <c r="G780" s="1">
        <v>30</v>
      </c>
      <c r="H780" s="17" cm="1">
        <f t="array" ref="H780">_xlfn.LET(_xlpm.s,IFERROR(--F780,""),_xlpm.e,IFERROR(--G780,""),IF(OR(_xlpm.s="",_xlpm.e="",_xlpm.e&lt;_xlpm.s),"",_xlfn.LET(_xlpm.p,_xlfn.SEQUENCE(_xlpm.e-_xlpm.s+1,1,_xlpm.s,1),SUM(1/COUNTIFS($D:$D,D780,$E:$E,E780,$F:$F,"&lt;&gt;N/A",$G:$G,"&lt;&gt;N/A",$F:$F,"&lt;="&amp;_xlpm.p,$G:$G,"&gt;="&amp;_xlpm.p)))))</f>
        <v>2</v>
      </c>
      <c r="I780" t="s">
        <v>2581</v>
      </c>
      <c r="J780" t="s">
        <v>2667</v>
      </c>
      <c r="K780" t="s">
        <v>7</v>
      </c>
      <c r="L780" s="5" t="s">
        <v>7</v>
      </c>
      <c r="M780" s="5" t="s">
        <v>5120</v>
      </c>
      <c r="N780" t="s">
        <v>5121</v>
      </c>
      <c r="O780" s="5" t="s">
        <v>5072</v>
      </c>
      <c r="P780" s="5" t="s">
        <v>8021</v>
      </c>
      <c r="R780" t="b">
        <v>1</v>
      </c>
    </row>
    <row r="781" spans="1:18">
      <c r="A781" t="s">
        <v>3016</v>
      </c>
      <c r="B781" t="s">
        <v>6848</v>
      </c>
      <c r="C781" t="s">
        <v>7748</v>
      </c>
      <c r="D781" s="1">
        <v>8</v>
      </c>
      <c r="E781" s="1">
        <v>1</v>
      </c>
      <c r="F781" s="1">
        <v>31</v>
      </c>
      <c r="G781" s="1">
        <v>40</v>
      </c>
      <c r="H781" s="17" cm="1">
        <f t="array" ref="H781">_xlfn.LET(_xlpm.s,IFERROR(--F781,""),_xlpm.e,IFERROR(--G781,""),IF(OR(_xlpm.s="",_xlpm.e="",_xlpm.e&lt;_xlpm.s),"",_xlfn.LET(_xlpm.p,_xlfn.SEQUENCE(_xlpm.e-_xlpm.s+1,1,_xlpm.s,1),SUM(1/COUNTIFS($D:$D,D781,$E:$E,E781,$F:$F,"&lt;&gt;N/A",$G:$G,"&lt;&gt;N/A",$F:$F,"&lt;="&amp;_xlpm.p,$G:$G,"&gt;="&amp;_xlpm.p)))))</f>
        <v>10</v>
      </c>
      <c r="I781" t="s">
        <v>2581</v>
      </c>
      <c r="J781" t="s">
        <v>2443</v>
      </c>
      <c r="K781" t="s">
        <v>7</v>
      </c>
      <c r="L781" s="5" t="s">
        <v>7</v>
      </c>
      <c r="M781" s="5" t="s">
        <v>5120</v>
      </c>
      <c r="N781" t="s">
        <v>5122</v>
      </c>
      <c r="O781" s="5" t="s">
        <v>5072</v>
      </c>
      <c r="P781" s="5" t="s">
        <v>8021</v>
      </c>
      <c r="R781" t="b">
        <v>1</v>
      </c>
    </row>
    <row r="782" spans="1:18">
      <c r="A782" t="s">
        <v>3016</v>
      </c>
      <c r="B782" t="s">
        <v>6278</v>
      </c>
      <c r="C782" t="s">
        <v>7756</v>
      </c>
      <c r="D782" s="1">
        <v>8</v>
      </c>
      <c r="E782" s="1">
        <v>2</v>
      </c>
      <c r="F782" s="1">
        <v>41</v>
      </c>
      <c r="G782" s="1">
        <v>41</v>
      </c>
      <c r="H782" s="17" cm="1">
        <f t="array" ref="H782">_xlfn.LET(_xlpm.s,IFERROR(--F782,""),_xlpm.e,IFERROR(--G782,""),IF(OR(_xlpm.s="",_xlpm.e="",_xlpm.e&lt;_xlpm.s),"",_xlfn.LET(_xlpm.p,_xlfn.SEQUENCE(_xlpm.e-_xlpm.s+1,1,_xlpm.s,1),SUM(1/COUNTIFS($D:$D,D782,$E:$E,E782,$F:$F,"&lt;&gt;N/A",$G:$G,"&lt;&gt;N/A",$F:$F,"&lt;="&amp;_xlpm.p,$G:$G,"&gt;="&amp;_xlpm.p)))))</f>
        <v>1</v>
      </c>
      <c r="I782" t="s">
        <v>5436</v>
      </c>
      <c r="J782" t="s">
        <v>5512</v>
      </c>
      <c r="K782" t="s">
        <v>7</v>
      </c>
      <c r="L782" s="5" t="s">
        <v>7</v>
      </c>
      <c r="M782" t="s">
        <v>7</v>
      </c>
      <c r="N782" t="s">
        <v>7</v>
      </c>
      <c r="O782" s="5" t="s">
        <v>778</v>
      </c>
      <c r="P782" s="5" t="s">
        <v>7834</v>
      </c>
      <c r="R782" t="b">
        <v>0</v>
      </c>
    </row>
    <row r="783" spans="1:18">
      <c r="A783" t="s">
        <v>3016</v>
      </c>
      <c r="B783" t="s">
        <v>6279</v>
      </c>
      <c r="C783" t="s">
        <v>7756</v>
      </c>
      <c r="D783" s="1">
        <v>8</v>
      </c>
      <c r="E783" s="1">
        <v>2</v>
      </c>
      <c r="F783" s="1">
        <v>42</v>
      </c>
      <c r="G783" s="1">
        <v>42</v>
      </c>
      <c r="H783" s="17" cm="1">
        <f t="array" ref="H783">_xlfn.LET(_xlpm.s,IFERROR(--F783,""),_xlpm.e,IFERROR(--G783,""),IF(OR(_xlpm.s="",_xlpm.e="",_xlpm.e&lt;_xlpm.s),"",_xlfn.LET(_xlpm.p,_xlfn.SEQUENCE(_xlpm.e-_xlpm.s+1,1,_xlpm.s,1),SUM(1/COUNTIFS($D:$D,D783,$E:$E,E783,$F:$F,"&lt;&gt;N/A",$G:$G,"&lt;&gt;N/A",$F:$F,"&lt;="&amp;_xlpm.p,$G:$G,"&gt;="&amp;_xlpm.p)))))</f>
        <v>1</v>
      </c>
      <c r="I783" t="s">
        <v>5436</v>
      </c>
      <c r="J783" t="s">
        <v>5513</v>
      </c>
      <c r="K783" t="s">
        <v>7</v>
      </c>
      <c r="L783" s="5" t="s">
        <v>7</v>
      </c>
      <c r="M783" t="s">
        <v>7</v>
      </c>
      <c r="N783" t="s">
        <v>7</v>
      </c>
      <c r="O783" s="5" t="s">
        <v>778</v>
      </c>
      <c r="P783" s="5" t="s">
        <v>7834</v>
      </c>
      <c r="R783" t="b">
        <v>0</v>
      </c>
    </row>
    <row r="784" spans="1:18">
      <c r="A784" t="s">
        <v>3016</v>
      </c>
      <c r="B784" t="s">
        <v>6280</v>
      </c>
      <c r="C784" t="s">
        <v>7756</v>
      </c>
      <c r="D784" s="1">
        <v>8</v>
      </c>
      <c r="E784" s="1">
        <v>2</v>
      </c>
      <c r="F784" s="1">
        <v>43</v>
      </c>
      <c r="G784" s="1">
        <v>44</v>
      </c>
      <c r="H784" s="17" cm="1">
        <f t="array" ref="H784">_xlfn.LET(_xlpm.s,IFERROR(--F784,""),_xlpm.e,IFERROR(--G784,""),IF(OR(_xlpm.s="",_xlpm.e="",_xlpm.e&lt;_xlpm.s),"",_xlfn.LET(_xlpm.p,_xlfn.SEQUENCE(_xlpm.e-_xlpm.s+1,1,_xlpm.s,1),SUM(1/COUNTIFS($D:$D,D784,$E:$E,E784,$F:$F,"&lt;&gt;N/A",$G:$G,"&lt;&gt;N/A",$F:$F,"&lt;="&amp;_xlpm.p,$G:$G,"&gt;="&amp;_xlpm.p)))))</f>
        <v>2</v>
      </c>
      <c r="I784" t="s">
        <v>5436</v>
      </c>
      <c r="J784" t="s">
        <v>1893</v>
      </c>
      <c r="K784" t="s">
        <v>2440</v>
      </c>
      <c r="L784" s="5" t="s">
        <v>7</v>
      </c>
      <c r="M784" t="s">
        <v>7</v>
      </c>
      <c r="N784" t="s">
        <v>7</v>
      </c>
      <c r="O784" s="5" t="s">
        <v>778</v>
      </c>
      <c r="P784" s="5" t="s">
        <v>7834</v>
      </c>
      <c r="R784" t="b">
        <v>1</v>
      </c>
    </row>
    <row r="785" spans="1:18">
      <c r="A785" t="s">
        <v>3016</v>
      </c>
      <c r="B785" t="s">
        <v>6281</v>
      </c>
      <c r="C785" t="s">
        <v>7756</v>
      </c>
      <c r="D785" s="1">
        <v>8</v>
      </c>
      <c r="E785" s="1">
        <v>2</v>
      </c>
      <c r="F785" s="1">
        <v>45</v>
      </c>
      <c r="G785" s="1">
        <v>49</v>
      </c>
      <c r="H785" s="17" cm="1">
        <f t="array" ref="H785">_xlfn.LET(_xlpm.s,IFERROR(--F785,""),_xlpm.e,IFERROR(--G785,""),IF(OR(_xlpm.s="",_xlpm.e="",_xlpm.e&lt;_xlpm.s),"",_xlfn.LET(_xlpm.p,_xlfn.SEQUENCE(_xlpm.e-_xlpm.s+1,1,_xlpm.s,1),SUM(1/COUNTIFS($D:$D,D785,$E:$E,E785,$F:$F,"&lt;&gt;N/A",$G:$G,"&lt;&gt;N/A",$F:$F,"&lt;="&amp;_xlpm.p,$G:$G,"&gt;="&amp;_xlpm.p)))))</f>
        <v>5</v>
      </c>
      <c r="I785" t="s">
        <v>5436</v>
      </c>
      <c r="J785" t="s">
        <v>1894</v>
      </c>
      <c r="K785" t="s">
        <v>2439</v>
      </c>
      <c r="L785" s="5" t="s">
        <v>7</v>
      </c>
      <c r="M785" t="s">
        <v>7</v>
      </c>
      <c r="N785" t="s">
        <v>7</v>
      </c>
      <c r="O785" s="5" t="s">
        <v>778</v>
      </c>
      <c r="P785" s="5" t="s">
        <v>7834</v>
      </c>
      <c r="R785" t="b">
        <v>1</v>
      </c>
    </row>
    <row r="786" spans="1:18">
      <c r="A786" t="s">
        <v>3016</v>
      </c>
      <c r="B786" t="s">
        <v>6282</v>
      </c>
      <c r="C786" t="s">
        <v>7756</v>
      </c>
      <c r="D786" s="1">
        <v>8</v>
      </c>
      <c r="E786" s="1">
        <v>2</v>
      </c>
      <c r="F786" s="1">
        <v>50</v>
      </c>
      <c r="G786" s="1">
        <v>64</v>
      </c>
      <c r="H786" s="17" cm="1">
        <f t="array" ref="H786">_xlfn.LET(_xlpm.s,IFERROR(--F786,""),_xlpm.e,IFERROR(--G786,""),IF(OR(_xlpm.s="",_xlpm.e="",_xlpm.e&lt;_xlpm.s),"",_xlfn.LET(_xlpm.p,_xlfn.SEQUENCE(_xlpm.e-_xlpm.s+1,1,_xlpm.s,1),SUM(1/COUNTIFS($D:$D,D786,$E:$E,E786,$F:$F,"&lt;&gt;N/A",$G:$G,"&lt;&gt;N/A",$F:$F,"&lt;="&amp;_xlpm.p,$G:$G,"&gt;="&amp;_xlpm.p)))))</f>
        <v>15</v>
      </c>
      <c r="I786" t="s">
        <v>2573</v>
      </c>
      <c r="J786" t="s">
        <v>1895</v>
      </c>
      <c r="K786" t="s">
        <v>2438</v>
      </c>
      <c r="L786" s="5" t="s">
        <v>4662</v>
      </c>
      <c r="M786" t="s">
        <v>5119</v>
      </c>
      <c r="N786" t="s">
        <v>6464</v>
      </c>
      <c r="O786" s="5" t="s">
        <v>5072</v>
      </c>
      <c r="P786" s="5" t="s">
        <v>8021</v>
      </c>
      <c r="R786" t="b">
        <v>1</v>
      </c>
    </row>
    <row r="787" spans="1:18">
      <c r="A787" t="s">
        <v>3016</v>
      </c>
      <c r="B787" t="s">
        <v>6283</v>
      </c>
      <c r="C787" t="s">
        <v>7756</v>
      </c>
      <c r="D787" s="1">
        <v>8</v>
      </c>
      <c r="E787" s="1">
        <v>2</v>
      </c>
      <c r="F787" s="1">
        <v>65</v>
      </c>
      <c r="G787" s="1">
        <v>69</v>
      </c>
      <c r="H787" s="17" cm="1">
        <f t="array" ref="H787">_xlfn.LET(_xlpm.s,IFERROR(--F787,""),_xlpm.e,IFERROR(--G787,""),IF(OR(_xlpm.s="",_xlpm.e="",_xlpm.e&lt;_xlpm.s),"",_xlfn.LET(_xlpm.p,_xlfn.SEQUENCE(_xlpm.e-_xlpm.s+1,1,_xlpm.s,1),SUM(1/COUNTIFS($D:$D,D787,$E:$E,E787,$F:$F,"&lt;&gt;N/A",$G:$G,"&lt;&gt;N/A",$F:$F,"&lt;="&amp;_xlpm.p,$G:$G,"&gt;="&amp;_xlpm.p)))))</f>
        <v>5</v>
      </c>
      <c r="I787" t="s">
        <v>2580</v>
      </c>
      <c r="J787" t="s">
        <v>2668</v>
      </c>
      <c r="K787" t="s">
        <v>7</v>
      </c>
      <c r="L787" s="5" t="s">
        <v>7</v>
      </c>
      <c r="M787" s="5" t="s">
        <v>5397</v>
      </c>
      <c r="N787" t="s">
        <v>6578</v>
      </c>
      <c r="O787" s="5" t="s">
        <v>5072</v>
      </c>
      <c r="P787" s="5" t="s">
        <v>8021</v>
      </c>
      <c r="R787" t="b">
        <v>1</v>
      </c>
    </row>
    <row r="788" spans="1:18">
      <c r="A788" t="s">
        <v>3016</v>
      </c>
      <c r="B788" t="s">
        <v>6284</v>
      </c>
      <c r="C788" t="s">
        <v>7756</v>
      </c>
      <c r="D788" s="1">
        <v>8</v>
      </c>
      <c r="E788" s="1">
        <v>2</v>
      </c>
      <c r="F788" s="1">
        <v>70</v>
      </c>
      <c r="G788" s="1">
        <v>73</v>
      </c>
      <c r="H788" s="17" cm="1">
        <f t="array" ref="H788">_xlfn.LET(_xlpm.s,IFERROR(--F788,""),_xlpm.e,IFERROR(--G788,""),IF(OR(_xlpm.s="",_xlpm.e="",_xlpm.e&lt;_xlpm.s),"",_xlfn.LET(_xlpm.p,_xlfn.SEQUENCE(_xlpm.e-_xlpm.s+1,1,_xlpm.s,1),SUM(1/COUNTIFS($D:$D,D788,$E:$E,E788,$F:$F,"&lt;&gt;N/A",$G:$G,"&lt;&gt;N/A",$F:$F,"&lt;="&amp;_xlpm.p,$G:$G,"&gt;="&amp;_xlpm.p)))))</f>
        <v>4</v>
      </c>
      <c r="I788" t="s">
        <v>2580</v>
      </c>
      <c r="J788" t="s">
        <v>1896</v>
      </c>
      <c r="K788" t="s">
        <v>7</v>
      </c>
      <c r="L788" s="5" t="s">
        <v>7</v>
      </c>
      <c r="M788" t="s">
        <v>5120</v>
      </c>
      <c r="N788" t="s">
        <v>6569</v>
      </c>
      <c r="O788" s="5" t="s">
        <v>5072</v>
      </c>
      <c r="P788" s="5" t="s">
        <v>8021</v>
      </c>
      <c r="R788" t="b">
        <v>1</v>
      </c>
    </row>
    <row r="789" spans="1:18">
      <c r="A789" t="s">
        <v>3016</v>
      </c>
      <c r="B789" t="s">
        <v>6849</v>
      </c>
      <c r="C789" t="s">
        <v>7756</v>
      </c>
      <c r="D789" s="1">
        <v>8</v>
      </c>
      <c r="E789" s="1">
        <v>2</v>
      </c>
      <c r="F789" s="1">
        <v>74</v>
      </c>
      <c r="G789" s="1">
        <v>76</v>
      </c>
      <c r="H789" s="17" cm="1">
        <f t="array" ref="H789">_xlfn.LET(_xlpm.s,IFERROR(--F789,""),_xlpm.e,IFERROR(--G789,""),IF(OR(_xlpm.s="",_xlpm.e="",_xlpm.e&lt;_xlpm.s),"",_xlfn.LET(_xlpm.p,_xlfn.SEQUENCE(_xlpm.e-_xlpm.s+1,1,_xlpm.s,1),SUM(1/COUNTIFS($D:$D,D789,$E:$E,E789,$F:$F,"&lt;&gt;N/A",$G:$G,"&lt;&gt;N/A",$F:$F,"&lt;="&amp;_xlpm.p,$G:$G,"&gt;="&amp;_xlpm.p)))))</f>
        <v>3</v>
      </c>
      <c r="I789" t="s">
        <v>624</v>
      </c>
      <c r="J789" t="s">
        <v>2669</v>
      </c>
      <c r="K789" t="s">
        <v>7</v>
      </c>
      <c r="L789" s="5" t="s">
        <v>7</v>
      </c>
      <c r="M789" t="s">
        <v>5125</v>
      </c>
      <c r="N789" t="s">
        <v>2456</v>
      </c>
      <c r="O789" s="5" t="s">
        <v>5072</v>
      </c>
      <c r="P789" s="5" t="s">
        <v>8021</v>
      </c>
      <c r="R789" t="b">
        <v>1</v>
      </c>
    </row>
    <row r="790" spans="1:18">
      <c r="A790" t="s">
        <v>3016</v>
      </c>
      <c r="B790" t="s">
        <v>6850</v>
      </c>
      <c r="C790" t="s">
        <v>7756</v>
      </c>
      <c r="D790" s="1">
        <v>8</v>
      </c>
      <c r="E790" s="1">
        <v>2</v>
      </c>
      <c r="F790" s="1">
        <v>77</v>
      </c>
      <c r="G790" s="1">
        <v>80</v>
      </c>
      <c r="H790" s="17" cm="1">
        <f t="array" ref="H790">_xlfn.LET(_xlpm.s,IFERROR(--F790,""),_xlpm.e,IFERROR(--G790,""),IF(OR(_xlpm.s="",_xlpm.e="",_xlpm.e&lt;_xlpm.s),"",_xlfn.LET(_xlpm.p,_xlfn.SEQUENCE(_xlpm.e-_xlpm.s+1,1,_xlpm.s,1),SUM(1/COUNTIFS($D:$D,D790,$E:$E,E790,$F:$F,"&lt;&gt;N/A",$G:$G,"&lt;&gt;N/A",$F:$F,"&lt;="&amp;_xlpm.p,$G:$G,"&gt;="&amp;_xlpm.p)))))</f>
        <v>4</v>
      </c>
      <c r="I790" t="s">
        <v>624</v>
      </c>
      <c r="J790" t="s">
        <v>2444</v>
      </c>
      <c r="K790" t="s">
        <v>7</v>
      </c>
      <c r="L790" s="5" t="s">
        <v>4659</v>
      </c>
      <c r="M790" s="5" t="s">
        <v>5082</v>
      </c>
      <c r="N790" t="s">
        <v>10417</v>
      </c>
      <c r="O790" s="5" t="s">
        <v>10264</v>
      </c>
      <c r="P790" s="5" t="s">
        <v>8020</v>
      </c>
      <c r="R790" t="b">
        <v>1</v>
      </c>
    </row>
    <row r="791" spans="1:18">
      <c r="A791" t="s">
        <v>3016</v>
      </c>
      <c r="B791" t="s">
        <v>6285</v>
      </c>
      <c r="C791" t="s">
        <v>7764</v>
      </c>
      <c r="D791" s="1">
        <v>8</v>
      </c>
      <c r="E791" s="1">
        <v>3</v>
      </c>
      <c r="F791" s="1">
        <v>81</v>
      </c>
      <c r="G791" s="1">
        <v>82</v>
      </c>
      <c r="H791" s="17" cm="1">
        <f t="array" ref="H791">_xlfn.LET(_xlpm.s,IFERROR(--F791,""),_xlpm.e,IFERROR(--G791,""),IF(OR(_xlpm.s="",_xlpm.e="",_xlpm.e&lt;_xlpm.s),"",_xlfn.LET(_xlpm.p,_xlfn.SEQUENCE(_xlpm.e-_xlpm.s+1,1,_xlpm.s,1),SUM(1/COUNTIFS($D:$D,D791,$E:$E,E791,$F:$F,"&lt;&gt;N/A",$G:$G,"&lt;&gt;N/A",$F:$F,"&lt;="&amp;_xlpm.p,$G:$G,"&gt;="&amp;_xlpm.p)))))</f>
        <v>2</v>
      </c>
      <c r="I791" t="s">
        <v>5436</v>
      </c>
      <c r="J791" t="s">
        <v>5515</v>
      </c>
      <c r="K791" t="s">
        <v>7</v>
      </c>
      <c r="L791" s="5" t="s">
        <v>7</v>
      </c>
      <c r="M791" t="s">
        <v>7</v>
      </c>
      <c r="N791" t="s">
        <v>7</v>
      </c>
      <c r="O791" s="5" t="s">
        <v>778</v>
      </c>
      <c r="P791" s="5" t="s">
        <v>7834</v>
      </c>
      <c r="R791" t="b">
        <v>0</v>
      </c>
    </row>
    <row r="792" spans="1:18">
      <c r="A792" t="s">
        <v>3016</v>
      </c>
      <c r="B792" t="s">
        <v>6286</v>
      </c>
      <c r="C792" t="s">
        <v>7764</v>
      </c>
      <c r="D792" s="1">
        <v>8</v>
      </c>
      <c r="E792" s="1">
        <v>3</v>
      </c>
      <c r="F792" s="1">
        <v>83</v>
      </c>
      <c r="G792" s="1">
        <v>85</v>
      </c>
      <c r="H792" s="17" cm="1">
        <f t="array" ref="H792">_xlfn.LET(_xlpm.s,IFERROR(--F792,""),_xlpm.e,IFERROR(--G792,""),IF(OR(_xlpm.s="",_xlpm.e="",_xlpm.e&lt;_xlpm.s),"",_xlfn.LET(_xlpm.p,_xlfn.SEQUENCE(_xlpm.e-_xlpm.s+1,1,_xlpm.s,1),SUM(1/COUNTIFS($D:$D,D792,$E:$E,E792,$F:$F,"&lt;&gt;N/A",$G:$G,"&lt;&gt;N/A",$F:$F,"&lt;="&amp;_xlpm.p,$G:$G,"&gt;="&amp;_xlpm.p)))))</f>
        <v>2.5</v>
      </c>
      <c r="I792" t="s">
        <v>5436</v>
      </c>
      <c r="J792" t="s">
        <v>5514</v>
      </c>
      <c r="K792" t="s">
        <v>7</v>
      </c>
      <c r="L792" s="5" t="s">
        <v>7</v>
      </c>
      <c r="M792" t="s">
        <v>7</v>
      </c>
      <c r="N792" t="s">
        <v>7</v>
      </c>
      <c r="O792" s="5" t="s">
        <v>778</v>
      </c>
      <c r="P792" s="5" t="s">
        <v>7834</v>
      </c>
      <c r="R792" t="b">
        <v>0</v>
      </c>
    </row>
    <row r="793" spans="1:18">
      <c r="A793" t="s">
        <v>3016</v>
      </c>
      <c r="B793" t="s">
        <v>6287</v>
      </c>
      <c r="C793" t="s">
        <v>7764</v>
      </c>
      <c r="D793" s="1">
        <v>8</v>
      </c>
      <c r="E793" s="1">
        <v>3</v>
      </c>
      <c r="F793" s="1">
        <v>85</v>
      </c>
      <c r="G793" s="1">
        <v>89</v>
      </c>
      <c r="H793" s="17" cm="1">
        <f t="array" ref="H793">_xlfn.LET(_xlpm.s,IFERROR(--F793,""),_xlpm.e,IFERROR(--G793,""),IF(OR(_xlpm.s="",_xlpm.e="",_xlpm.e&lt;_xlpm.s),"",_xlfn.LET(_xlpm.p,_xlfn.SEQUENCE(_xlpm.e-_xlpm.s+1,1,_xlpm.s,1),SUM(1/COUNTIFS($D:$D,D793,$E:$E,E793,$F:$F,"&lt;&gt;N/A",$G:$G,"&lt;&gt;N/A",$F:$F,"&lt;="&amp;_xlpm.p,$G:$G,"&gt;="&amp;_xlpm.p)))))</f>
        <v>4</v>
      </c>
      <c r="I793" t="s">
        <v>5436</v>
      </c>
      <c r="J793" t="s">
        <v>1897</v>
      </c>
      <c r="K793" t="s">
        <v>2437</v>
      </c>
      <c r="L793" s="5" t="s">
        <v>7</v>
      </c>
      <c r="M793" t="s">
        <v>7</v>
      </c>
      <c r="N793" t="s">
        <v>7</v>
      </c>
      <c r="O793" s="5" t="s">
        <v>778</v>
      </c>
      <c r="P793" s="5" t="s">
        <v>7834</v>
      </c>
      <c r="R793" t="b">
        <v>1</v>
      </c>
    </row>
    <row r="794" spans="1:18">
      <c r="A794" t="s">
        <v>3016</v>
      </c>
      <c r="B794" t="s">
        <v>6288</v>
      </c>
      <c r="C794" t="s">
        <v>7764</v>
      </c>
      <c r="D794" s="1">
        <v>8</v>
      </c>
      <c r="E794" s="1">
        <v>3</v>
      </c>
      <c r="F794" s="1">
        <v>89</v>
      </c>
      <c r="G794" s="1">
        <v>90</v>
      </c>
      <c r="H794" s="17" cm="1">
        <f t="array" ref="H794">_xlfn.LET(_xlpm.s,IFERROR(--F794,""),_xlpm.e,IFERROR(--G794,""),IF(OR(_xlpm.s="",_xlpm.e="",_xlpm.e&lt;_xlpm.s),"",_xlfn.LET(_xlpm.p,_xlfn.SEQUENCE(_xlpm.e-_xlpm.s+1,1,_xlpm.s,1),SUM(1/COUNTIFS($D:$D,D794,$E:$E,E794,$F:$F,"&lt;&gt;N/A",$G:$G,"&lt;&gt;N/A",$F:$F,"&lt;="&amp;_xlpm.p,$G:$G,"&gt;="&amp;_xlpm.p)))))</f>
        <v>1.5</v>
      </c>
      <c r="I794" t="s">
        <v>5436</v>
      </c>
      <c r="J794" t="s">
        <v>2791</v>
      </c>
      <c r="K794" t="s">
        <v>7</v>
      </c>
      <c r="L794" t="s">
        <v>7</v>
      </c>
      <c r="M794" t="s">
        <v>7</v>
      </c>
      <c r="N794" t="s">
        <v>7</v>
      </c>
      <c r="O794" s="5" t="s">
        <v>11522</v>
      </c>
      <c r="P794" s="5" t="s">
        <v>7</v>
      </c>
      <c r="Q794" t="s">
        <v>2509</v>
      </c>
      <c r="R794" t="b">
        <v>1</v>
      </c>
    </row>
    <row r="795" spans="1:18">
      <c r="A795" t="s">
        <v>3016</v>
      </c>
      <c r="B795" t="s">
        <v>6289</v>
      </c>
      <c r="C795" t="s">
        <v>7764</v>
      </c>
      <c r="D795" s="1">
        <v>8</v>
      </c>
      <c r="E795" s="1">
        <v>3</v>
      </c>
      <c r="F795" s="1">
        <v>91</v>
      </c>
      <c r="G795" s="1">
        <v>99</v>
      </c>
      <c r="H795" s="17" cm="1">
        <f t="array" ref="H795">_xlfn.LET(_xlpm.s,IFERROR(--F795,""),_xlpm.e,IFERROR(--G795,""),IF(OR(_xlpm.s="",_xlpm.e="",_xlpm.e&lt;_xlpm.s),"",_xlfn.LET(_xlpm.p,_xlfn.SEQUENCE(_xlpm.e-_xlpm.s+1,1,_xlpm.s,1),SUM(1/COUNTIFS($D:$D,D795,$E:$E,E795,$F:$F,"&lt;&gt;N/A",$G:$G,"&lt;&gt;N/A",$F:$F,"&lt;="&amp;_xlpm.p,$G:$G,"&gt;="&amp;_xlpm.p)))))</f>
        <v>9</v>
      </c>
      <c r="I795" t="s">
        <v>2573</v>
      </c>
      <c r="J795" t="s">
        <v>1898</v>
      </c>
      <c r="K795" t="s">
        <v>2438</v>
      </c>
      <c r="L795" s="5" t="s">
        <v>4662</v>
      </c>
      <c r="M795" t="s">
        <v>5119</v>
      </c>
      <c r="N795" t="s">
        <v>6464</v>
      </c>
      <c r="O795" s="5" t="s">
        <v>5072</v>
      </c>
      <c r="P795" s="5" t="s">
        <v>8021</v>
      </c>
      <c r="R795" t="b">
        <v>1</v>
      </c>
    </row>
    <row r="796" spans="1:18">
      <c r="A796" t="s">
        <v>3016</v>
      </c>
      <c r="B796" t="s">
        <v>6290</v>
      </c>
      <c r="C796" t="s">
        <v>7764</v>
      </c>
      <c r="D796" s="1">
        <v>8</v>
      </c>
      <c r="E796" s="1">
        <v>3</v>
      </c>
      <c r="F796" s="1">
        <v>100</v>
      </c>
      <c r="G796" s="1">
        <v>106</v>
      </c>
      <c r="H796" s="17" cm="1">
        <f t="array" ref="H796">_xlfn.LET(_xlpm.s,IFERROR(--F796,""),_xlpm.e,IFERROR(--G796,""),IF(OR(_xlpm.s="",_xlpm.e="",_xlpm.e&lt;_xlpm.s),"",_xlfn.LET(_xlpm.p,_xlfn.SEQUENCE(_xlpm.e-_xlpm.s+1,1,_xlpm.s,1),SUM(1/COUNTIFS($D:$D,D796,$E:$E,E796,$F:$F,"&lt;&gt;N/A",$G:$G,"&lt;&gt;N/A",$F:$F,"&lt;="&amp;_xlpm.p,$G:$G,"&gt;="&amp;_xlpm.p)))))</f>
        <v>7</v>
      </c>
      <c r="I796" t="s">
        <v>2573</v>
      </c>
      <c r="J796" t="s">
        <v>1899</v>
      </c>
      <c r="K796" t="s">
        <v>2437</v>
      </c>
      <c r="L796" s="5" t="s">
        <v>7</v>
      </c>
      <c r="M796" t="s">
        <v>7</v>
      </c>
      <c r="N796" t="s">
        <v>7</v>
      </c>
      <c r="O796" s="5" t="s">
        <v>778</v>
      </c>
      <c r="P796" s="5" t="s">
        <v>7834</v>
      </c>
      <c r="R796" t="b">
        <v>1</v>
      </c>
    </row>
    <row r="797" spans="1:18">
      <c r="A797" t="s">
        <v>3016</v>
      </c>
      <c r="B797" t="s">
        <v>6291</v>
      </c>
      <c r="C797" t="s">
        <v>7764</v>
      </c>
      <c r="D797" s="1">
        <v>8</v>
      </c>
      <c r="E797" s="1">
        <v>3</v>
      </c>
      <c r="F797" s="1">
        <v>107</v>
      </c>
      <c r="G797" s="1">
        <v>109</v>
      </c>
      <c r="H797" s="17" cm="1">
        <f t="array" ref="H797">_xlfn.LET(_xlpm.s,IFERROR(--F797,""),_xlpm.e,IFERROR(--G797,""),IF(OR(_xlpm.s="",_xlpm.e="",_xlpm.e&lt;_xlpm.s),"",_xlfn.LET(_xlpm.p,_xlfn.SEQUENCE(_xlpm.e-_xlpm.s+1,1,_xlpm.s,1),SUM(1/COUNTIFS($D:$D,D797,$E:$E,E797,$F:$F,"&lt;&gt;N/A",$G:$G,"&lt;&gt;N/A",$F:$F,"&lt;="&amp;_xlpm.p,$G:$G,"&gt;="&amp;_xlpm.p)))))</f>
        <v>3</v>
      </c>
      <c r="I797" t="s">
        <v>2580</v>
      </c>
      <c r="J797" t="s">
        <v>10771</v>
      </c>
      <c r="K797" t="s">
        <v>7</v>
      </c>
      <c r="L797" s="5" t="s">
        <v>7</v>
      </c>
      <c r="M797" s="5" t="s">
        <v>5191</v>
      </c>
      <c r="N797" t="s">
        <v>5190</v>
      </c>
      <c r="O797" s="5" t="s">
        <v>5072</v>
      </c>
      <c r="P797" s="5" t="s">
        <v>8021</v>
      </c>
      <c r="R797" t="b">
        <v>1</v>
      </c>
    </row>
    <row r="798" spans="1:18">
      <c r="A798" t="s">
        <v>3016</v>
      </c>
      <c r="B798" t="s">
        <v>6292</v>
      </c>
      <c r="C798" t="s">
        <v>7764</v>
      </c>
      <c r="D798" s="1">
        <v>8</v>
      </c>
      <c r="E798" s="1">
        <v>3</v>
      </c>
      <c r="F798" s="1">
        <v>110</v>
      </c>
      <c r="G798" s="1">
        <v>112</v>
      </c>
      <c r="H798" s="17" cm="1">
        <f t="array" ref="H798">_xlfn.LET(_xlpm.s,IFERROR(--F798,""),_xlpm.e,IFERROR(--G798,""),IF(OR(_xlpm.s="",_xlpm.e="",_xlpm.e&lt;_xlpm.s),"",_xlfn.LET(_xlpm.p,_xlfn.SEQUENCE(_xlpm.e-_xlpm.s+1,1,_xlpm.s,1),SUM(1/COUNTIFS($D:$D,D798,$E:$E,E798,$F:$F,"&lt;&gt;N/A",$G:$G,"&lt;&gt;N/A",$F:$F,"&lt;="&amp;_xlpm.p,$G:$G,"&gt;="&amp;_xlpm.p)))))</f>
        <v>3</v>
      </c>
      <c r="I798" t="s">
        <v>2573</v>
      </c>
      <c r="J798" t="s">
        <v>6440</v>
      </c>
      <c r="K798" t="s">
        <v>7</v>
      </c>
      <c r="L798" s="5" t="s">
        <v>7</v>
      </c>
      <c r="M798" t="s">
        <v>5191</v>
      </c>
      <c r="N798" t="s">
        <v>6441</v>
      </c>
      <c r="O798" s="5" t="s">
        <v>5072</v>
      </c>
      <c r="P798" s="5" t="s">
        <v>8021</v>
      </c>
      <c r="R798" t="b">
        <v>1</v>
      </c>
    </row>
    <row r="799" spans="1:18">
      <c r="A799" t="s">
        <v>3016</v>
      </c>
      <c r="B799" t="s">
        <v>6851</v>
      </c>
      <c r="C799" t="s">
        <v>7764</v>
      </c>
      <c r="D799" s="1">
        <v>8</v>
      </c>
      <c r="E799" s="1">
        <v>3</v>
      </c>
      <c r="F799" s="1">
        <v>113</v>
      </c>
      <c r="G799" s="1">
        <v>114</v>
      </c>
      <c r="H799" s="17" cm="1">
        <f t="array" ref="H799">_xlfn.LET(_xlpm.s,IFERROR(--F799,""),_xlpm.e,IFERROR(--G799,""),IF(OR(_xlpm.s="",_xlpm.e="",_xlpm.e&lt;_xlpm.s),"",_xlfn.LET(_xlpm.p,_xlfn.SEQUENCE(_xlpm.e-_xlpm.s+1,1,_xlpm.s,1),SUM(1/COUNTIFS($D:$D,D799,$E:$E,E799,$F:$F,"&lt;&gt;N/A",$G:$G,"&lt;&gt;N/A",$F:$F,"&lt;="&amp;_xlpm.p,$G:$G,"&gt;="&amp;_xlpm.p)))))</f>
        <v>1.5</v>
      </c>
      <c r="I799" t="s">
        <v>2573</v>
      </c>
      <c r="J799" t="s">
        <v>1900</v>
      </c>
      <c r="K799" t="s">
        <v>2436</v>
      </c>
      <c r="L799" s="5" t="s">
        <v>7</v>
      </c>
      <c r="M799" t="s">
        <v>6439</v>
      </c>
      <c r="N799" t="s">
        <v>6438</v>
      </c>
      <c r="O799" s="5" t="s">
        <v>5072</v>
      </c>
      <c r="P799" s="5" t="s">
        <v>8021</v>
      </c>
      <c r="R799" t="b">
        <v>1</v>
      </c>
    </row>
    <row r="800" spans="1:18">
      <c r="A800" t="s">
        <v>3016</v>
      </c>
      <c r="B800" t="s">
        <v>6852</v>
      </c>
      <c r="C800" t="s">
        <v>7764</v>
      </c>
      <c r="D800" s="1">
        <v>8</v>
      </c>
      <c r="E800" s="1">
        <v>3</v>
      </c>
      <c r="F800" s="1">
        <v>114</v>
      </c>
      <c r="G800" s="1">
        <v>114</v>
      </c>
      <c r="H800" s="17" cm="1">
        <f t="array" ref="H800">_xlfn.LET(_xlpm.s,IFERROR(--F800,""),_xlpm.e,IFERROR(--G800,""),IF(OR(_xlpm.s="",_xlpm.e="",_xlpm.e&lt;_xlpm.s),"",_xlfn.LET(_xlpm.p,_xlfn.SEQUENCE(_xlpm.e-_xlpm.s+1,1,_xlpm.s,1),SUM(1/COUNTIFS($D:$D,D800,$E:$E,E800,$F:$F,"&lt;&gt;N/A",$G:$G,"&lt;&gt;N/A",$F:$F,"&lt;="&amp;_xlpm.p,$G:$G,"&gt;="&amp;_xlpm.p)))))</f>
        <v>0.5</v>
      </c>
      <c r="I800" t="s">
        <v>2573</v>
      </c>
      <c r="J800" t="s">
        <v>10770</v>
      </c>
      <c r="K800" s="5" t="s">
        <v>7</v>
      </c>
      <c r="L800" s="5" t="s">
        <v>7</v>
      </c>
      <c r="M800" t="s">
        <v>5120</v>
      </c>
      <c r="N800" t="s">
        <v>10772</v>
      </c>
      <c r="O800" s="5" t="s">
        <v>5072</v>
      </c>
      <c r="P800" s="5" t="s">
        <v>8021</v>
      </c>
      <c r="R800" t="b">
        <v>1</v>
      </c>
    </row>
    <row r="801" spans="1:18">
      <c r="A801" t="s">
        <v>3016</v>
      </c>
      <c r="B801" t="s">
        <v>10774</v>
      </c>
      <c r="C801" t="s">
        <v>7764</v>
      </c>
      <c r="D801" s="1">
        <v>8</v>
      </c>
      <c r="E801" s="1">
        <v>3</v>
      </c>
      <c r="F801" s="1">
        <v>116</v>
      </c>
      <c r="G801" s="1">
        <v>120</v>
      </c>
      <c r="H801" s="17" cm="1">
        <f t="array" ref="H801">_xlfn.LET(_xlpm.s,IFERROR(--F801,""),_xlpm.e,IFERROR(--G801,""),IF(OR(_xlpm.s="",_xlpm.e="",_xlpm.e&lt;_xlpm.s),"",_xlfn.LET(_xlpm.p,_xlfn.SEQUENCE(_xlpm.e-_xlpm.s+1,1,_xlpm.s,1),SUM(1/COUNTIFS($D:$D,D801,$E:$E,E801,$F:$F,"&lt;&gt;N/A",$G:$G,"&lt;&gt;N/A",$F:$F,"&lt;="&amp;_xlpm.p,$G:$G,"&gt;="&amp;_xlpm.p)))))</f>
        <v>5</v>
      </c>
      <c r="I801" t="s">
        <v>170</v>
      </c>
      <c r="J801" t="s">
        <v>5192</v>
      </c>
      <c r="K801" t="s">
        <v>7</v>
      </c>
      <c r="L801" s="5" t="s">
        <v>7</v>
      </c>
      <c r="M801" t="s">
        <v>6472</v>
      </c>
      <c r="N801" t="s">
        <v>10773</v>
      </c>
      <c r="O801" s="5" t="s">
        <v>5072</v>
      </c>
      <c r="P801" s="5" t="s">
        <v>8021</v>
      </c>
      <c r="R801" t="b">
        <v>1</v>
      </c>
    </row>
    <row r="802" spans="1:18">
      <c r="A802" t="s">
        <v>3016</v>
      </c>
      <c r="B802" t="s">
        <v>6293</v>
      </c>
      <c r="C802" t="s">
        <v>7772</v>
      </c>
      <c r="D802" s="1">
        <v>8</v>
      </c>
      <c r="E802" s="1">
        <v>4</v>
      </c>
      <c r="F802" s="1">
        <v>121</v>
      </c>
      <c r="G802" s="1">
        <v>121</v>
      </c>
      <c r="H802" s="17" cm="1">
        <f t="array" ref="H802">_xlfn.LET(_xlpm.s,IFERROR(--F802,""),_xlpm.e,IFERROR(--G802,""),IF(OR(_xlpm.s="",_xlpm.e="",_xlpm.e&lt;_xlpm.s),"",_xlfn.LET(_xlpm.p,_xlfn.SEQUENCE(_xlpm.e-_xlpm.s+1,1,_xlpm.s,1),SUM(1/COUNTIFS($D:$D,D802,$E:$E,E802,$F:$F,"&lt;&gt;N/A",$G:$G,"&lt;&gt;N/A",$F:$F,"&lt;="&amp;_xlpm.p,$G:$G,"&gt;="&amp;_xlpm.p)))))</f>
        <v>1</v>
      </c>
      <c r="I802" t="s">
        <v>5436</v>
      </c>
      <c r="J802" t="s">
        <v>5516</v>
      </c>
      <c r="K802" t="s">
        <v>7</v>
      </c>
      <c r="L802" s="5" t="s">
        <v>7</v>
      </c>
      <c r="M802" s="5" t="s">
        <v>7</v>
      </c>
      <c r="N802" t="s">
        <v>7</v>
      </c>
      <c r="O802" s="5" t="s">
        <v>778</v>
      </c>
      <c r="P802" s="5" t="s">
        <v>7834</v>
      </c>
      <c r="R802" t="b">
        <v>0</v>
      </c>
    </row>
    <row r="803" spans="1:18">
      <c r="A803" t="s">
        <v>3016</v>
      </c>
      <c r="B803" t="s">
        <v>6294</v>
      </c>
      <c r="C803" t="s">
        <v>7772</v>
      </c>
      <c r="D803" s="1">
        <v>8</v>
      </c>
      <c r="E803" s="1">
        <v>4</v>
      </c>
      <c r="F803" s="1">
        <v>122</v>
      </c>
      <c r="G803" s="1">
        <v>122</v>
      </c>
      <c r="H803" s="17" cm="1">
        <f t="array" ref="H803">_xlfn.LET(_xlpm.s,IFERROR(--F803,""),_xlpm.e,IFERROR(--G803,""),IF(OR(_xlpm.s="",_xlpm.e="",_xlpm.e&lt;_xlpm.s),"",_xlfn.LET(_xlpm.p,_xlfn.SEQUENCE(_xlpm.e-_xlpm.s+1,1,_xlpm.s,1),SUM(1/COUNTIFS($D:$D,D803,$E:$E,E803,$F:$F,"&lt;&gt;N/A",$G:$G,"&lt;&gt;N/A",$F:$F,"&lt;="&amp;_xlpm.p,$G:$G,"&gt;="&amp;_xlpm.p)))))</f>
        <v>1</v>
      </c>
      <c r="I803" t="s">
        <v>5436</v>
      </c>
      <c r="J803" t="s">
        <v>5517</v>
      </c>
      <c r="K803" t="s">
        <v>7</v>
      </c>
      <c r="L803" s="5" t="s">
        <v>7</v>
      </c>
      <c r="M803" s="5" t="s">
        <v>7</v>
      </c>
      <c r="N803" t="s">
        <v>7</v>
      </c>
      <c r="O803" s="5" t="s">
        <v>778</v>
      </c>
      <c r="P803" s="5" t="s">
        <v>7834</v>
      </c>
      <c r="R803" t="b">
        <v>0</v>
      </c>
    </row>
    <row r="804" spans="1:18">
      <c r="A804" t="s">
        <v>3016</v>
      </c>
      <c r="B804" t="s">
        <v>6295</v>
      </c>
      <c r="C804" t="s">
        <v>7772</v>
      </c>
      <c r="D804" s="1">
        <v>8</v>
      </c>
      <c r="E804" s="1">
        <v>4</v>
      </c>
      <c r="F804" s="1">
        <v>123</v>
      </c>
      <c r="G804" s="1">
        <v>123</v>
      </c>
      <c r="H804" s="17" cm="1">
        <f t="array" ref="H804">_xlfn.LET(_xlpm.s,IFERROR(--F804,""),_xlpm.e,IFERROR(--G804,""),IF(OR(_xlpm.s="",_xlpm.e="",_xlpm.e&lt;_xlpm.s),"",_xlfn.LET(_xlpm.p,_xlfn.SEQUENCE(_xlpm.e-_xlpm.s+1,1,_xlpm.s,1),SUM(1/COUNTIFS($D:$D,D804,$E:$E,E804,$F:$F,"&lt;&gt;N/A",$G:$G,"&lt;&gt;N/A",$F:$F,"&lt;="&amp;_xlpm.p,$G:$G,"&gt;="&amp;_xlpm.p)))))</f>
        <v>1</v>
      </c>
      <c r="I804" t="s">
        <v>5436</v>
      </c>
      <c r="J804" t="s">
        <v>5518</v>
      </c>
      <c r="K804" t="s">
        <v>2441</v>
      </c>
      <c r="L804" s="5" t="s">
        <v>7</v>
      </c>
      <c r="M804" s="5" t="s">
        <v>7</v>
      </c>
      <c r="N804" t="s">
        <v>7</v>
      </c>
      <c r="O804" s="5" t="s">
        <v>778</v>
      </c>
      <c r="P804" s="5" t="s">
        <v>7834</v>
      </c>
      <c r="R804" t="b">
        <v>1</v>
      </c>
    </row>
    <row r="805" spans="1:18">
      <c r="A805" t="s">
        <v>3016</v>
      </c>
      <c r="B805" t="s">
        <v>6296</v>
      </c>
      <c r="C805" t="s">
        <v>7772</v>
      </c>
      <c r="D805" s="1">
        <v>8</v>
      </c>
      <c r="E805" s="1">
        <v>4</v>
      </c>
      <c r="F805" s="1">
        <v>124</v>
      </c>
      <c r="G805" s="1">
        <v>138</v>
      </c>
      <c r="H805" s="17" cm="1">
        <f t="array" ref="H805">_xlfn.LET(_xlpm.s,IFERROR(--F805,""),_xlpm.e,IFERROR(--G805,""),IF(OR(_xlpm.s="",_xlpm.e="",_xlpm.e&lt;_xlpm.s),"",_xlfn.LET(_xlpm.p,_xlfn.SEQUENCE(_xlpm.e-_xlpm.s+1,1,_xlpm.s,1),SUM(1/COUNTIFS($D:$D,D805,$E:$E,E805,$F:$F,"&lt;&gt;N/A",$G:$G,"&lt;&gt;N/A",$F:$F,"&lt;="&amp;_xlpm.p,$G:$G,"&gt;="&amp;_xlpm.p)))))</f>
        <v>15</v>
      </c>
      <c r="I805" t="s">
        <v>2573</v>
      </c>
      <c r="J805" t="s">
        <v>2446</v>
      </c>
      <c r="K805" t="s">
        <v>7</v>
      </c>
      <c r="L805" s="5" t="s">
        <v>4663</v>
      </c>
      <c r="M805" s="5" t="s">
        <v>5130</v>
      </c>
      <c r="N805" t="s">
        <v>2455</v>
      </c>
      <c r="O805" s="5" t="s">
        <v>10264</v>
      </c>
      <c r="P805" s="5" t="s">
        <v>8020</v>
      </c>
      <c r="R805" t="b">
        <v>1</v>
      </c>
    </row>
    <row r="806" spans="1:18">
      <c r="A806" t="s">
        <v>3016</v>
      </c>
      <c r="B806" t="s">
        <v>6297</v>
      </c>
      <c r="C806" t="s">
        <v>7772</v>
      </c>
      <c r="D806" s="1">
        <v>8</v>
      </c>
      <c r="E806" s="1">
        <v>4</v>
      </c>
      <c r="F806" s="1">
        <v>139</v>
      </c>
      <c r="G806" s="1">
        <v>142</v>
      </c>
      <c r="H806" s="17" cm="1">
        <f t="array" ref="H806">_xlfn.LET(_xlpm.s,IFERROR(--F806,""),_xlpm.e,IFERROR(--G806,""),IF(OR(_xlpm.s="",_xlpm.e="",_xlpm.e&lt;_xlpm.s),"",_xlfn.LET(_xlpm.p,_xlfn.SEQUENCE(_xlpm.e-_xlpm.s+1,1,_xlpm.s,1),SUM(1/COUNTIFS($D:$D,D806,$E:$E,E806,$F:$F,"&lt;&gt;N/A",$G:$G,"&lt;&gt;N/A",$F:$F,"&lt;="&amp;_xlpm.p,$G:$G,"&gt;="&amp;_xlpm.p)))))</f>
        <v>3.5</v>
      </c>
      <c r="I806" t="s">
        <v>2580</v>
      </c>
      <c r="J806" t="s">
        <v>2447</v>
      </c>
      <c r="K806" t="s">
        <v>7</v>
      </c>
      <c r="L806" s="5" t="s">
        <v>7</v>
      </c>
      <c r="M806" s="5" t="s">
        <v>5119</v>
      </c>
      <c r="N806" t="s">
        <v>5193</v>
      </c>
      <c r="O806" s="5" t="s">
        <v>5072</v>
      </c>
      <c r="P806" s="5" t="s">
        <v>8021</v>
      </c>
      <c r="R806" t="b">
        <v>1</v>
      </c>
    </row>
    <row r="807" spans="1:18">
      <c r="A807" t="s">
        <v>3016</v>
      </c>
      <c r="B807" t="s">
        <v>6298</v>
      </c>
      <c r="C807" t="s">
        <v>7772</v>
      </c>
      <c r="D807" s="1">
        <v>8</v>
      </c>
      <c r="E807" s="1">
        <v>4</v>
      </c>
      <c r="F807" s="1">
        <v>142</v>
      </c>
      <c r="G807" s="1">
        <v>143</v>
      </c>
      <c r="H807" s="17" cm="1">
        <f t="array" ref="H807">_xlfn.LET(_xlpm.s,IFERROR(--F807,""),_xlpm.e,IFERROR(--G807,""),IF(OR(_xlpm.s="",_xlpm.e="",_xlpm.e&lt;_xlpm.s),"",_xlfn.LET(_xlpm.p,_xlfn.SEQUENCE(_xlpm.e-_xlpm.s+1,1,_xlpm.s,1),SUM(1/COUNTIFS($D:$D,D807,$E:$E,E807,$F:$F,"&lt;&gt;N/A",$G:$G,"&lt;&gt;N/A",$F:$F,"&lt;="&amp;_xlpm.p,$G:$G,"&gt;="&amp;_xlpm.p)))))</f>
        <v>1.5</v>
      </c>
      <c r="I807" t="s">
        <v>2580</v>
      </c>
      <c r="J807" t="s">
        <v>2448</v>
      </c>
      <c r="K807" t="s">
        <v>7</v>
      </c>
      <c r="L807" s="5" t="s">
        <v>7</v>
      </c>
      <c r="M807" s="5" t="s">
        <v>5120</v>
      </c>
      <c r="N807" t="s">
        <v>5194</v>
      </c>
      <c r="O807" s="5" t="s">
        <v>5072</v>
      </c>
      <c r="P807" s="5" t="s">
        <v>8021</v>
      </c>
      <c r="R807" t="b">
        <v>1</v>
      </c>
    </row>
    <row r="808" spans="1:18">
      <c r="A808" t="s">
        <v>3016</v>
      </c>
      <c r="B808" t="s">
        <v>6299</v>
      </c>
      <c r="C808" t="s">
        <v>7772</v>
      </c>
      <c r="D808" s="1">
        <v>8</v>
      </c>
      <c r="E808" s="1">
        <v>4</v>
      </c>
      <c r="F808" s="1">
        <v>144</v>
      </c>
      <c r="G808" s="1">
        <v>145</v>
      </c>
      <c r="H808" s="17" cm="1">
        <f t="array" ref="H808">_xlfn.LET(_xlpm.s,IFERROR(--F808,""),_xlpm.e,IFERROR(--G808,""),IF(OR(_xlpm.s="",_xlpm.e="",_xlpm.e&lt;_xlpm.s),"",_xlfn.LET(_xlpm.p,_xlfn.SEQUENCE(_xlpm.e-_xlpm.s+1,1,_xlpm.s,1),SUM(1/COUNTIFS($D:$D,D808,$E:$E,E808,$F:$F,"&lt;&gt;N/A",$G:$G,"&lt;&gt;N/A",$F:$F,"&lt;="&amp;_xlpm.p,$G:$G,"&gt;="&amp;_xlpm.p)))))</f>
        <v>2</v>
      </c>
      <c r="I808" t="s">
        <v>2580</v>
      </c>
      <c r="J808" t="s">
        <v>2449</v>
      </c>
      <c r="K808" t="s">
        <v>7</v>
      </c>
      <c r="L808" s="5" t="s">
        <v>7</v>
      </c>
      <c r="M808" t="s">
        <v>5119</v>
      </c>
      <c r="N808" t="s">
        <v>6454</v>
      </c>
      <c r="O808" s="5" t="s">
        <v>5072</v>
      </c>
      <c r="P808" s="5" t="s">
        <v>8021</v>
      </c>
      <c r="Q808" t="s">
        <v>2509</v>
      </c>
      <c r="R808" t="b">
        <v>1</v>
      </c>
    </row>
    <row r="809" spans="1:18">
      <c r="A809" t="s">
        <v>3016</v>
      </c>
      <c r="B809" t="s">
        <v>6300</v>
      </c>
      <c r="C809" t="s">
        <v>7772</v>
      </c>
      <c r="D809" s="1">
        <v>8</v>
      </c>
      <c r="E809" s="1">
        <v>4</v>
      </c>
      <c r="F809" s="1">
        <v>146</v>
      </c>
      <c r="G809" s="1">
        <v>151</v>
      </c>
      <c r="H809" s="17" cm="1">
        <f t="array" ref="H809">_xlfn.LET(_xlpm.s,IFERROR(--F809,""),_xlpm.e,IFERROR(--G809,""),IF(OR(_xlpm.s="",_xlpm.e="",_xlpm.e&lt;_xlpm.s),"",_xlfn.LET(_xlpm.p,_xlfn.SEQUENCE(_xlpm.e-_xlpm.s+1,1,_xlpm.s,1),SUM(1/COUNTIFS($D:$D,D809,$E:$E,E809,$F:$F,"&lt;&gt;N/A",$G:$G,"&lt;&gt;N/A",$F:$F,"&lt;="&amp;_xlpm.p,$G:$G,"&gt;="&amp;_xlpm.p)))))</f>
        <v>5.5</v>
      </c>
      <c r="I809" t="s">
        <v>2658</v>
      </c>
      <c r="J809" t="s">
        <v>2450</v>
      </c>
      <c r="K809" t="s">
        <v>7</v>
      </c>
      <c r="L809" s="5" t="s">
        <v>7</v>
      </c>
      <c r="M809" s="5" t="s">
        <v>7</v>
      </c>
      <c r="N809" s="5" t="s">
        <v>7</v>
      </c>
      <c r="O809" s="5" t="s">
        <v>778</v>
      </c>
      <c r="P809" s="5" t="s">
        <v>7834</v>
      </c>
      <c r="R809" t="b">
        <v>1</v>
      </c>
    </row>
    <row r="810" spans="1:18">
      <c r="A810" t="s">
        <v>3016</v>
      </c>
      <c r="B810" t="s">
        <v>6301</v>
      </c>
      <c r="C810" t="s">
        <v>7772</v>
      </c>
      <c r="D810" s="1">
        <v>8</v>
      </c>
      <c r="E810" s="1">
        <v>4</v>
      </c>
      <c r="F810" s="1">
        <v>151</v>
      </c>
      <c r="G810" s="1">
        <v>152</v>
      </c>
      <c r="H810" s="17" cm="1">
        <f t="array" ref="H810">_xlfn.LET(_xlpm.s,IFERROR(--F810,""),_xlpm.e,IFERROR(--G810,""),IF(OR(_xlpm.s="",_xlpm.e="",_xlpm.e&lt;_xlpm.s),"",_xlfn.LET(_xlpm.p,_xlfn.SEQUENCE(_xlpm.e-_xlpm.s+1,1,_xlpm.s,1),SUM(1/COUNTIFS($D:$D,D810,$E:$E,E810,$F:$F,"&lt;&gt;N/A",$G:$G,"&lt;&gt;N/A",$F:$F,"&lt;="&amp;_xlpm.p,$G:$G,"&gt;="&amp;_xlpm.p)))))</f>
        <v>1.5</v>
      </c>
      <c r="I810" t="s">
        <v>2602</v>
      </c>
      <c r="J810" t="s">
        <v>2451</v>
      </c>
      <c r="K810" t="s">
        <v>7</v>
      </c>
      <c r="L810" s="5" t="s">
        <v>7</v>
      </c>
      <c r="M810" s="5" t="s">
        <v>5125</v>
      </c>
      <c r="N810" t="s">
        <v>5124</v>
      </c>
      <c r="O810" s="5" t="s">
        <v>5072</v>
      </c>
      <c r="P810" s="5" t="s">
        <v>8021</v>
      </c>
      <c r="R810" t="b">
        <v>1</v>
      </c>
    </row>
    <row r="811" spans="1:18">
      <c r="A811" t="s">
        <v>3016</v>
      </c>
      <c r="B811" t="s">
        <v>6302</v>
      </c>
      <c r="C811" t="s">
        <v>7772</v>
      </c>
      <c r="D811" s="1">
        <v>8</v>
      </c>
      <c r="E811" s="1">
        <v>4</v>
      </c>
      <c r="F811" s="1">
        <v>153</v>
      </c>
      <c r="G811" s="1">
        <v>154</v>
      </c>
      <c r="H811" s="17" cm="1">
        <f t="array" ref="H811">_xlfn.LET(_xlpm.s,IFERROR(--F811,""),_xlpm.e,IFERROR(--G811,""),IF(OR(_xlpm.s="",_xlpm.e="",_xlpm.e&lt;_xlpm.s),"",_xlfn.LET(_xlpm.p,_xlfn.SEQUENCE(_xlpm.e-_xlpm.s+1,1,_xlpm.s,1),SUM(1/COUNTIFS($D:$D,D811,$E:$E,E811,$F:$F,"&lt;&gt;N/A",$G:$G,"&lt;&gt;N/A",$F:$F,"&lt;="&amp;_xlpm.p,$G:$G,"&gt;="&amp;_xlpm.p)))))</f>
        <v>1.5</v>
      </c>
      <c r="I811" t="s">
        <v>2581</v>
      </c>
      <c r="J811" t="s">
        <v>2452</v>
      </c>
      <c r="K811" t="s">
        <v>4664</v>
      </c>
      <c r="L811" s="5" t="s">
        <v>7</v>
      </c>
      <c r="M811" s="5" t="s">
        <v>5125</v>
      </c>
      <c r="N811" t="s">
        <v>5126</v>
      </c>
      <c r="O811" s="5" t="s">
        <v>5072</v>
      </c>
      <c r="P811" s="5" t="s">
        <v>8021</v>
      </c>
      <c r="R811" t="b">
        <v>1</v>
      </c>
    </row>
    <row r="812" spans="1:18">
      <c r="A812" t="s">
        <v>3016</v>
      </c>
      <c r="B812" t="s">
        <v>6303</v>
      </c>
      <c r="C812" t="s">
        <v>7772</v>
      </c>
      <c r="D812" s="1">
        <v>8</v>
      </c>
      <c r="E812" s="1">
        <v>4</v>
      </c>
      <c r="F812" s="1">
        <v>154</v>
      </c>
      <c r="G812" s="1">
        <v>155</v>
      </c>
      <c r="H812" s="17" cm="1">
        <f t="array" ref="H812">_xlfn.LET(_xlpm.s,IFERROR(--F812,""),_xlpm.e,IFERROR(--G812,""),IF(OR(_xlpm.s="",_xlpm.e="",_xlpm.e&lt;_xlpm.s),"",_xlfn.LET(_xlpm.p,_xlfn.SEQUENCE(_xlpm.e-_xlpm.s+1,1,_xlpm.s,1),SUM(1/COUNTIFS($D:$D,D812,$E:$E,E812,$F:$F,"&lt;&gt;N/A",$G:$G,"&lt;&gt;N/A",$F:$F,"&lt;="&amp;_xlpm.p,$G:$G,"&gt;="&amp;_xlpm.p)))))</f>
        <v>1</v>
      </c>
      <c r="I812" t="s">
        <v>2581</v>
      </c>
      <c r="J812" t="s">
        <v>2453</v>
      </c>
      <c r="K812" t="s">
        <v>4665</v>
      </c>
      <c r="L812" s="5" t="s">
        <v>7</v>
      </c>
      <c r="M812" s="5" t="s">
        <v>5125</v>
      </c>
      <c r="N812" t="s">
        <v>5127</v>
      </c>
      <c r="O812" s="5" t="s">
        <v>5072</v>
      </c>
      <c r="P812" s="5" t="s">
        <v>8021</v>
      </c>
      <c r="R812" t="b">
        <v>1</v>
      </c>
    </row>
    <row r="813" spans="1:18">
      <c r="A813" t="s">
        <v>3016</v>
      </c>
      <c r="B813" t="s">
        <v>6853</v>
      </c>
      <c r="C813" t="s">
        <v>7772</v>
      </c>
      <c r="D813" s="1">
        <v>8</v>
      </c>
      <c r="E813" s="1">
        <v>4</v>
      </c>
      <c r="F813" s="1">
        <v>155</v>
      </c>
      <c r="G813" s="1">
        <v>156</v>
      </c>
      <c r="H813" s="17" cm="1">
        <f t="array" ref="H813">_xlfn.LET(_xlpm.s,IFERROR(--F813,""),_xlpm.e,IFERROR(--G813,""),IF(OR(_xlpm.s="",_xlpm.e="",_xlpm.e&lt;_xlpm.s),"",_xlfn.LET(_xlpm.p,_xlfn.SEQUENCE(_xlpm.e-_xlpm.s+1,1,_xlpm.s,1),SUM(1/COUNTIFS($D:$D,D813,$E:$E,E813,$F:$F,"&lt;&gt;N/A",$G:$G,"&lt;&gt;N/A",$F:$F,"&lt;="&amp;_xlpm.p,$G:$G,"&gt;="&amp;_xlpm.p)))))</f>
        <v>1</v>
      </c>
      <c r="I813" t="s">
        <v>2581</v>
      </c>
      <c r="J813" t="s">
        <v>2454</v>
      </c>
      <c r="K813" t="s">
        <v>4666</v>
      </c>
      <c r="L813" s="5" t="s">
        <v>7</v>
      </c>
      <c r="M813" s="5" t="s">
        <v>5125</v>
      </c>
      <c r="N813" t="s">
        <v>2457</v>
      </c>
      <c r="O813" s="5" t="s">
        <v>5072</v>
      </c>
      <c r="P813" s="5" t="s">
        <v>8021</v>
      </c>
      <c r="R813" t="b">
        <v>1</v>
      </c>
    </row>
    <row r="814" spans="1:18">
      <c r="A814" t="s">
        <v>3016</v>
      </c>
      <c r="B814" t="s">
        <v>6854</v>
      </c>
      <c r="C814" t="s">
        <v>7772</v>
      </c>
      <c r="D814" s="1">
        <v>8</v>
      </c>
      <c r="E814" s="1">
        <v>4</v>
      </c>
      <c r="F814" s="1">
        <v>156</v>
      </c>
      <c r="G814" s="1">
        <v>157</v>
      </c>
      <c r="H814" s="17" cm="1">
        <f t="array" ref="H814">_xlfn.LET(_xlpm.s,IFERROR(--F814,""),_xlpm.e,IFERROR(--G814,""),IF(OR(_xlpm.s="",_xlpm.e="",_xlpm.e&lt;_xlpm.s),"",_xlfn.LET(_xlpm.p,_xlfn.SEQUENCE(_xlpm.e-_xlpm.s+1,1,_xlpm.s,1),SUM(1/COUNTIFS($D:$D,D814,$E:$E,E814,$F:$F,"&lt;&gt;N/A",$G:$G,"&lt;&gt;N/A",$F:$F,"&lt;="&amp;_xlpm.p,$G:$G,"&gt;="&amp;_xlpm.p)))))</f>
        <v>1</v>
      </c>
      <c r="I814" t="s">
        <v>2581</v>
      </c>
      <c r="J814" t="s">
        <v>1901</v>
      </c>
      <c r="K814" t="s">
        <v>4667</v>
      </c>
      <c r="L814" s="5" t="s">
        <v>7</v>
      </c>
      <c r="M814" s="5" t="s">
        <v>5125</v>
      </c>
      <c r="N814" t="s">
        <v>5128</v>
      </c>
      <c r="O814" s="5" t="s">
        <v>5072</v>
      </c>
      <c r="P814" s="5" t="s">
        <v>8021</v>
      </c>
      <c r="R814" t="b">
        <v>1</v>
      </c>
    </row>
    <row r="815" spans="1:18">
      <c r="A815" t="s">
        <v>3016</v>
      </c>
      <c r="B815" t="s">
        <v>10775</v>
      </c>
      <c r="C815" t="s">
        <v>7772</v>
      </c>
      <c r="D815" s="1">
        <v>8</v>
      </c>
      <c r="E815" s="1">
        <v>4</v>
      </c>
      <c r="F815" s="1">
        <v>157</v>
      </c>
      <c r="G815" s="1">
        <v>160</v>
      </c>
      <c r="H815" s="17" cm="1">
        <f t="array" ref="H815">_xlfn.LET(_xlpm.s,IFERROR(--F815,""),_xlpm.e,IFERROR(--G815,""),IF(OR(_xlpm.s="",_xlpm.e="",_xlpm.e&lt;_xlpm.s),"",_xlfn.LET(_xlpm.p,_xlfn.SEQUENCE(_xlpm.e-_xlpm.s+1,1,_xlpm.s,1),SUM(1/COUNTIFS($D:$D,D815,$E:$E,E815,$F:$F,"&lt;&gt;N/A",$G:$G,"&lt;&gt;N/A",$F:$F,"&lt;="&amp;_xlpm.p,$G:$G,"&gt;="&amp;_xlpm.p)))))</f>
        <v>3.5</v>
      </c>
      <c r="I815" t="s">
        <v>2581</v>
      </c>
      <c r="J815" t="s">
        <v>1902</v>
      </c>
      <c r="K815" t="s">
        <v>4668</v>
      </c>
      <c r="L815" s="5" t="s">
        <v>7</v>
      </c>
      <c r="M815" s="5" t="s">
        <v>5125</v>
      </c>
      <c r="N815" t="s">
        <v>5129</v>
      </c>
      <c r="O815" s="5" t="s">
        <v>5072</v>
      </c>
      <c r="P815" s="5" t="s">
        <v>8021</v>
      </c>
      <c r="Q815" s="5" t="s">
        <v>2509</v>
      </c>
      <c r="R815" t="b">
        <v>1</v>
      </c>
    </row>
    <row r="816" spans="1:18">
      <c r="A816" t="s">
        <v>3016</v>
      </c>
      <c r="B816" t="s">
        <v>6304</v>
      </c>
      <c r="C816" t="s">
        <v>7780</v>
      </c>
      <c r="D816" s="1">
        <v>8</v>
      </c>
      <c r="E816" s="1">
        <v>5</v>
      </c>
      <c r="F816" s="1">
        <v>161</v>
      </c>
      <c r="G816" s="1">
        <v>161</v>
      </c>
      <c r="H816" s="17" cm="1">
        <f t="array" ref="H816">_xlfn.LET(_xlpm.s,IFERROR(--F816,""),_xlpm.e,IFERROR(--G816,""),IF(OR(_xlpm.s="",_xlpm.e="",_xlpm.e&lt;_xlpm.s),"",_xlfn.LET(_xlpm.p,_xlfn.SEQUENCE(_xlpm.e-_xlpm.s+1,1,_xlpm.s,1),SUM(1/COUNTIFS($D:$D,D816,$E:$E,E816,$F:$F,"&lt;&gt;N/A",$G:$G,"&lt;&gt;N/A",$F:$F,"&lt;="&amp;_xlpm.p,$G:$G,"&gt;="&amp;_xlpm.p)))))</f>
        <v>1</v>
      </c>
      <c r="I816" t="s">
        <v>5436</v>
      </c>
      <c r="J816" t="s">
        <v>5519</v>
      </c>
      <c r="K816" t="s">
        <v>7</v>
      </c>
      <c r="L816" s="5" t="s">
        <v>7</v>
      </c>
      <c r="M816" t="s">
        <v>7</v>
      </c>
      <c r="N816" t="s">
        <v>7</v>
      </c>
      <c r="O816" s="5" t="s">
        <v>778</v>
      </c>
      <c r="P816" s="5" t="s">
        <v>7834</v>
      </c>
      <c r="R816" t="b">
        <v>0</v>
      </c>
    </row>
    <row r="817" spans="1:18">
      <c r="A817" t="s">
        <v>3016</v>
      </c>
      <c r="B817" t="s">
        <v>6305</v>
      </c>
      <c r="C817" t="s">
        <v>7780</v>
      </c>
      <c r="D817" s="1">
        <v>8</v>
      </c>
      <c r="E817" s="1">
        <v>5</v>
      </c>
      <c r="F817" s="1">
        <v>162</v>
      </c>
      <c r="G817" s="1">
        <v>163</v>
      </c>
      <c r="H817" s="17" cm="1">
        <f t="array" ref="H817">_xlfn.LET(_xlpm.s,IFERROR(--F817,""),_xlpm.e,IFERROR(--G817,""),IF(OR(_xlpm.s="",_xlpm.e="",_xlpm.e&lt;_xlpm.s),"",_xlfn.LET(_xlpm.p,_xlfn.SEQUENCE(_xlpm.e-_xlpm.s+1,1,_xlpm.s,1),SUM(1/COUNTIFS($D:$D,D817,$E:$E,E817,$F:$F,"&lt;&gt;N/A",$G:$G,"&lt;&gt;N/A",$F:$F,"&lt;="&amp;_xlpm.p,$G:$G,"&gt;="&amp;_xlpm.p)))))</f>
        <v>2</v>
      </c>
      <c r="I817" t="s">
        <v>5436</v>
      </c>
      <c r="J817" t="s">
        <v>5520</v>
      </c>
      <c r="K817" t="s">
        <v>7</v>
      </c>
      <c r="L817" s="5" t="s">
        <v>7</v>
      </c>
      <c r="M817" t="s">
        <v>7</v>
      </c>
      <c r="N817" t="s">
        <v>7</v>
      </c>
      <c r="O817" s="5" t="s">
        <v>778</v>
      </c>
      <c r="P817" s="5" t="s">
        <v>7834</v>
      </c>
      <c r="R817" t="b">
        <v>0</v>
      </c>
    </row>
    <row r="818" spans="1:18">
      <c r="A818" t="s">
        <v>3016</v>
      </c>
      <c r="B818" t="s">
        <v>6306</v>
      </c>
      <c r="C818" t="s">
        <v>7780</v>
      </c>
      <c r="D818" s="1">
        <v>8</v>
      </c>
      <c r="E818" s="1">
        <v>5</v>
      </c>
      <c r="F818" s="1">
        <v>164</v>
      </c>
      <c r="G818" s="1">
        <v>179</v>
      </c>
      <c r="H818" s="17" cm="1">
        <f t="array" ref="H818">_xlfn.LET(_xlpm.s,IFERROR(--F818,""),_xlpm.e,IFERROR(--G818,""),IF(OR(_xlpm.s="",_xlpm.e="",_xlpm.e&lt;_xlpm.s),"",_xlfn.LET(_xlpm.p,_xlfn.SEQUENCE(_xlpm.e-_xlpm.s+1,1,_xlpm.s,1),SUM(1/COUNTIFS($D:$D,D818,$E:$E,E818,$F:$F,"&lt;&gt;N/A",$G:$G,"&lt;&gt;N/A",$F:$F,"&lt;="&amp;_xlpm.p,$G:$G,"&gt;="&amp;_xlpm.p)))))</f>
        <v>16</v>
      </c>
      <c r="I818" t="s">
        <v>2573</v>
      </c>
      <c r="J818" t="s">
        <v>1905</v>
      </c>
      <c r="K818" t="s">
        <v>7</v>
      </c>
      <c r="L818" s="5" t="s">
        <v>4663</v>
      </c>
      <c r="M818" s="5" t="s">
        <v>5130</v>
      </c>
      <c r="N818" t="s">
        <v>2455</v>
      </c>
      <c r="O818" s="5" t="s">
        <v>10264</v>
      </c>
      <c r="P818" s="5" t="s">
        <v>8020</v>
      </c>
      <c r="R818" t="b">
        <v>1</v>
      </c>
    </row>
    <row r="819" spans="1:18">
      <c r="A819" t="s">
        <v>3016</v>
      </c>
      <c r="B819" t="s">
        <v>6855</v>
      </c>
      <c r="C819" t="s">
        <v>7780</v>
      </c>
      <c r="D819" s="1">
        <v>8</v>
      </c>
      <c r="E819" s="1">
        <v>5</v>
      </c>
      <c r="F819" s="1">
        <v>180</v>
      </c>
      <c r="G819" s="1">
        <v>195</v>
      </c>
      <c r="H819" s="17" cm="1">
        <f t="array" ref="H819">_xlfn.LET(_xlpm.s,IFERROR(--F819,""),_xlpm.e,IFERROR(--G819,""),IF(OR(_xlpm.s="",_xlpm.e="",_xlpm.e&lt;_xlpm.s),"",_xlfn.LET(_xlpm.p,_xlfn.SEQUENCE(_xlpm.e-_xlpm.s+1,1,_xlpm.s,1),SUM(1/COUNTIFS($D:$D,D819,$E:$E,E819,$F:$F,"&lt;&gt;N/A",$G:$G,"&lt;&gt;N/A",$F:$F,"&lt;="&amp;_xlpm.p,$G:$G,"&gt;="&amp;_xlpm.p)))))</f>
        <v>16</v>
      </c>
      <c r="I819" t="s">
        <v>2573</v>
      </c>
      <c r="J819" t="s">
        <v>1903</v>
      </c>
      <c r="K819" t="s">
        <v>7</v>
      </c>
      <c r="L819" s="5" t="s">
        <v>7</v>
      </c>
      <c r="M819" s="5" t="s">
        <v>5397</v>
      </c>
      <c r="N819" t="s">
        <v>6463</v>
      </c>
      <c r="O819" s="5" t="s">
        <v>5072</v>
      </c>
      <c r="P819" s="5" t="s">
        <v>8021</v>
      </c>
      <c r="R819" t="b">
        <v>1</v>
      </c>
    </row>
    <row r="820" spans="1:18">
      <c r="A820" t="s">
        <v>3016</v>
      </c>
      <c r="B820" t="s">
        <v>6856</v>
      </c>
      <c r="C820" t="s">
        <v>7780</v>
      </c>
      <c r="D820" s="1">
        <v>8</v>
      </c>
      <c r="E820" s="1">
        <v>5</v>
      </c>
      <c r="F820" s="1">
        <v>196</v>
      </c>
      <c r="G820" s="1">
        <v>197</v>
      </c>
      <c r="H820" s="17" cm="1">
        <f t="array" ref="H820">_xlfn.LET(_xlpm.s,IFERROR(--F820,""),_xlpm.e,IFERROR(--G820,""),IF(OR(_xlpm.s="",_xlpm.e="",_xlpm.e&lt;_xlpm.s),"",_xlfn.LET(_xlpm.p,_xlfn.SEQUENCE(_xlpm.e-_xlpm.s+1,1,_xlpm.s,1),SUM(1/COUNTIFS($D:$D,D820,$E:$E,E820,$F:$F,"&lt;&gt;N/A",$G:$G,"&lt;&gt;N/A",$F:$F,"&lt;="&amp;_xlpm.p,$G:$G,"&gt;="&amp;_xlpm.p)))))</f>
        <v>2</v>
      </c>
      <c r="I820" t="s">
        <v>8</v>
      </c>
      <c r="J820" t="s">
        <v>10504</v>
      </c>
      <c r="K820" t="s">
        <v>7</v>
      </c>
      <c r="L820" s="5" t="s">
        <v>7</v>
      </c>
      <c r="M820" t="s">
        <v>5125</v>
      </c>
      <c r="N820" t="s">
        <v>6457</v>
      </c>
      <c r="O820" s="5" t="s">
        <v>5072</v>
      </c>
      <c r="P820" s="5" t="s">
        <v>8021</v>
      </c>
      <c r="R820" t="b">
        <v>1</v>
      </c>
    </row>
    <row r="821" spans="1:18">
      <c r="A821" t="s">
        <v>3016</v>
      </c>
      <c r="B821" t="s">
        <v>10776</v>
      </c>
      <c r="C821" t="s">
        <v>7780</v>
      </c>
      <c r="D821" s="1">
        <v>8</v>
      </c>
      <c r="E821" s="1">
        <v>5</v>
      </c>
      <c r="F821" s="1">
        <v>198</v>
      </c>
      <c r="G821" s="1">
        <v>200</v>
      </c>
      <c r="H821" s="17" cm="1">
        <f t="array" ref="H821">_xlfn.LET(_xlpm.s,IFERROR(--F821,""),_xlpm.e,IFERROR(--G821,""),IF(OR(_xlpm.s="",_xlpm.e="",_xlpm.e&lt;_xlpm.s),"",_xlfn.LET(_xlpm.p,_xlfn.SEQUENCE(_xlpm.e-_xlpm.s+1,1,_xlpm.s,1),SUM(1/COUNTIFS($D:$D,D821,$E:$E,E821,$F:$F,"&lt;&gt;N/A",$G:$G,"&lt;&gt;N/A",$F:$F,"&lt;="&amp;_xlpm.p,$G:$G,"&gt;="&amp;_xlpm.p)))))</f>
        <v>3</v>
      </c>
      <c r="I821" t="s">
        <v>8</v>
      </c>
      <c r="J821" t="s">
        <v>1904</v>
      </c>
      <c r="K821" t="s">
        <v>7</v>
      </c>
      <c r="L821" s="5" t="s">
        <v>7</v>
      </c>
      <c r="M821" t="s">
        <v>5191</v>
      </c>
      <c r="N821" t="s">
        <v>6458</v>
      </c>
      <c r="O821" s="5" t="s">
        <v>5072</v>
      </c>
      <c r="P821" s="5" t="s">
        <v>8021</v>
      </c>
      <c r="R821" t="b">
        <v>1</v>
      </c>
    </row>
    <row r="822" spans="1:18">
      <c r="A822" t="s">
        <v>3016</v>
      </c>
      <c r="B822" t="s">
        <v>6307</v>
      </c>
      <c r="C822" t="s">
        <v>7788</v>
      </c>
      <c r="D822" s="1">
        <v>8</v>
      </c>
      <c r="E822" s="1">
        <v>6</v>
      </c>
      <c r="F822" s="1">
        <v>201</v>
      </c>
      <c r="G822" s="1">
        <v>201</v>
      </c>
      <c r="H822" s="17" cm="1">
        <f t="array" ref="H822">_xlfn.LET(_xlpm.s,IFERROR(--F822,""),_xlpm.e,IFERROR(--G822,""),IF(OR(_xlpm.s="",_xlpm.e="",_xlpm.e&lt;_xlpm.s),"",_xlfn.LET(_xlpm.p,_xlfn.SEQUENCE(_xlpm.e-_xlpm.s+1,1,_xlpm.s,1),SUM(1/COUNTIFS($D:$D,D822,$E:$E,E822,$F:$F,"&lt;&gt;N/A",$G:$G,"&lt;&gt;N/A",$F:$F,"&lt;="&amp;_xlpm.p,$G:$G,"&gt;="&amp;_xlpm.p)))))</f>
        <v>1</v>
      </c>
      <c r="I822" t="s">
        <v>5436</v>
      </c>
      <c r="J822" t="s">
        <v>5521</v>
      </c>
      <c r="K822" t="s">
        <v>7</v>
      </c>
      <c r="L822" s="5" t="s">
        <v>7</v>
      </c>
      <c r="M822" t="s">
        <v>7</v>
      </c>
      <c r="N822" t="s">
        <v>7</v>
      </c>
      <c r="O822" s="5" t="s">
        <v>778</v>
      </c>
      <c r="P822" s="5" t="s">
        <v>7834</v>
      </c>
      <c r="R822" t="b">
        <v>0</v>
      </c>
    </row>
    <row r="823" spans="1:18">
      <c r="A823" t="s">
        <v>3016</v>
      </c>
      <c r="B823" t="s">
        <v>6308</v>
      </c>
      <c r="C823" t="s">
        <v>7788</v>
      </c>
      <c r="D823" s="1">
        <v>8</v>
      </c>
      <c r="E823" s="1">
        <v>6</v>
      </c>
      <c r="F823" s="1">
        <v>202</v>
      </c>
      <c r="G823" s="1">
        <v>208</v>
      </c>
      <c r="H823" s="17" cm="1">
        <f t="array" ref="H823">_xlfn.LET(_xlpm.s,IFERROR(--F823,""),_xlpm.e,IFERROR(--G823,""),IF(OR(_xlpm.s="",_xlpm.e="",_xlpm.e&lt;_xlpm.s),"",_xlfn.LET(_xlpm.p,_xlfn.SEQUENCE(_xlpm.e-_xlpm.s+1,1,_xlpm.s,1),SUM(1/COUNTIFS($D:$D,D823,$E:$E,E823,$F:$F,"&lt;&gt;N/A",$G:$G,"&lt;&gt;N/A",$F:$F,"&lt;="&amp;_xlpm.p,$G:$G,"&gt;="&amp;_xlpm.p)))))</f>
        <v>7</v>
      </c>
      <c r="I823" t="s">
        <v>5436</v>
      </c>
      <c r="J823" t="s">
        <v>5522</v>
      </c>
      <c r="K823" t="s">
        <v>7</v>
      </c>
      <c r="L823" s="5" t="s">
        <v>7</v>
      </c>
      <c r="M823" t="s">
        <v>7</v>
      </c>
      <c r="N823" t="s">
        <v>7</v>
      </c>
      <c r="O823" s="5" t="s">
        <v>778</v>
      </c>
      <c r="P823" s="5" t="s">
        <v>7834</v>
      </c>
      <c r="R823" t="b">
        <v>0</v>
      </c>
    </row>
    <row r="824" spans="1:18">
      <c r="A824" t="s">
        <v>3016</v>
      </c>
      <c r="B824" t="s">
        <v>6857</v>
      </c>
      <c r="C824" t="s">
        <v>7788</v>
      </c>
      <c r="D824" s="1">
        <v>8</v>
      </c>
      <c r="E824" s="1">
        <v>6</v>
      </c>
      <c r="F824" s="1">
        <v>209</v>
      </c>
      <c r="G824" s="1">
        <v>224</v>
      </c>
      <c r="H824" s="17" cm="1">
        <f t="array" ref="H824">_xlfn.LET(_xlpm.s,IFERROR(--F824,""),_xlpm.e,IFERROR(--G824,""),IF(OR(_xlpm.s="",_xlpm.e="",_xlpm.e&lt;_xlpm.s),"",_xlfn.LET(_xlpm.p,_xlfn.SEQUENCE(_xlpm.e-_xlpm.s+1,1,_xlpm.s,1),SUM(1/COUNTIFS($D:$D,D824,$E:$E,E824,$F:$F,"&lt;&gt;N/A",$G:$G,"&lt;&gt;N/A",$F:$F,"&lt;="&amp;_xlpm.p,$G:$G,"&gt;="&amp;_xlpm.p)))))</f>
        <v>16</v>
      </c>
      <c r="I824" t="s">
        <v>2573</v>
      </c>
      <c r="J824" t="s">
        <v>1905</v>
      </c>
      <c r="K824" t="s">
        <v>7</v>
      </c>
      <c r="L824" s="5" t="s">
        <v>4663</v>
      </c>
      <c r="M824" s="5" t="s">
        <v>5130</v>
      </c>
      <c r="N824" t="s">
        <v>2455</v>
      </c>
      <c r="O824" s="5" t="s">
        <v>10264</v>
      </c>
      <c r="P824" s="5" t="s">
        <v>8020</v>
      </c>
      <c r="R824" t="b">
        <v>1</v>
      </c>
    </row>
    <row r="825" spans="1:18">
      <c r="A825" t="s">
        <v>3016</v>
      </c>
      <c r="B825" t="s">
        <v>6858</v>
      </c>
      <c r="C825" t="s">
        <v>7788</v>
      </c>
      <c r="D825" s="1">
        <v>8</v>
      </c>
      <c r="E825" s="1">
        <v>6</v>
      </c>
      <c r="F825" s="1">
        <v>225</v>
      </c>
      <c r="G825" s="1">
        <v>233</v>
      </c>
      <c r="H825" s="17" cm="1">
        <f t="array" ref="H825">_xlfn.LET(_xlpm.s,IFERROR(--F825,""),_xlpm.e,IFERROR(--G825,""),IF(OR(_xlpm.s="",_xlpm.e="",_xlpm.e&lt;_xlpm.s),"",_xlfn.LET(_xlpm.p,_xlfn.SEQUENCE(_xlpm.e-_xlpm.s+1,1,_xlpm.s,1),SUM(1/COUNTIFS($D:$D,D825,$E:$E,E825,$F:$F,"&lt;&gt;N/A",$G:$G,"&lt;&gt;N/A",$F:$F,"&lt;="&amp;_xlpm.p,$G:$G,"&gt;="&amp;_xlpm.p)))))</f>
        <v>9</v>
      </c>
      <c r="I825" t="s">
        <v>624</v>
      </c>
      <c r="J825" t="s">
        <v>5523</v>
      </c>
      <c r="K825" t="s">
        <v>7</v>
      </c>
      <c r="L825" s="5" t="s">
        <v>7</v>
      </c>
      <c r="M825" t="s">
        <v>5120</v>
      </c>
      <c r="N825" t="s">
        <v>6455</v>
      </c>
      <c r="O825" s="5" t="s">
        <v>5072</v>
      </c>
      <c r="P825" s="5" t="s">
        <v>8021</v>
      </c>
      <c r="Q825" t="s">
        <v>2509</v>
      </c>
      <c r="R825" t="b">
        <v>1</v>
      </c>
    </row>
    <row r="826" spans="1:18">
      <c r="A826" t="s">
        <v>3016</v>
      </c>
      <c r="B826" t="s">
        <v>10777</v>
      </c>
      <c r="C826" t="s">
        <v>7788</v>
      </c>
      <c r="D826" s="1">
        <v>8</v>
      </c>
      <c r="E826" s="1">
        <v>6</v>
      </c>
      <c r="F826" s="1">
        <v>234</v>
      </c>
      <c r="G826" s="1">
        <v>240</v>
      </c>
      <c r="H826" s="17" cm="1">
        <f t="array" ref="H826">_xlfn.LET(_xlpm.s,IFERROR(--F826,""),_xlpm.e,IFERROR(--G826,""),IF(OR(_xlpm.s="",_xlpm.e="",_xlpm.e&lt;_xlpm.s),"",_xlfn.LET(_xlpm.p,_xlfn.SEQUENCE(_xlpm.e-_xlpm.s+1,1,_xlpm.s,1),SUM(1/COUNTIFS($D:$D,D826,$E:$E,E826,$F:$F,"&lt;&gt;N/A",$G:$G,"&lt;&gt;N/A",$F:$F,"&lt;="&amp;_xlpm.p,$G:$G,"&gt;="&amp;_xlpm.p)))))</f>
        <v>7</v>
      </c>
      <c r="I826" t="s">
        <v>170</v>
      </c>
      <c r="J826" t="s">
        <v>6453</v>
      </c>
      <c r="K826" t="s">
        <v>2459</v>
      </c>
      <c r="L826" s="5" t="s">
        <v>7</v>
      </c>
      <c r="M826" t="s">
        <v>7</v>
      </c>
      <c r="N826" t="s">
        <v>6452</v>
      </c>
      <c r="O826" s="5" t="s">
        <v>7</v>
      </c>
      <c r="P826" s="5" t="s">
        <v>7</v>
      </c>
      <c r="R826" t="b">
        <v>1</v>
      </c>
    </row>
    <row r="827" spans="1:18">
      <c r="A827" t="s">
        <v>3016</v>
      </c>
      <c r="B827" t="s">
        <v>6859</v>
      </c>
      <c r="C827" s="5" t="s">
        <v>2523</v>
      </c>
      <c r="D827" s="1">
        <v>8</v>
      </c>
      <c r="E827" s="1" t="s">
        <v>1923</v>
      </c>
      <c r="F827" s="1">
        <v>241</v>
      </c>
      <c r="G827" s="1">
        <v>241</v>
      </c>
      <c r="H827" s="17" cm="1">
        <f t="array" ref="H827">_xlfn.LET(_xlpm.s,IFERROR(--F827,""),_xlpm.e,IFERROR(--G827,""),IF(OR(_xlpm.s="",_xlpm.e="",_xlpm.e&lt;_xlpm.s),"",_xlfn.LET(_xlpm.p,_xlfn.SEQUENCE(_xlpm.e-_xlpm.s+1,1,_xlpm.s,1),SUM(1/COUNTIFS($D:$D,D827,$E:$E,E827,$F:$F,"&lt;&gt;N/A",$G:$G,"&lt;&gt;N/A",$F:$F,"&lt;="&amp;_xlpm.p,$G:$G,"&gt;="&amp;_xlpm.p)))))</f>
        <v>1</v>
      </c>
      <c r="I827" t="s">
        <v>5436</v>
      </c>
      <c r="J827" t="s">
        <v>5524</v>
      </c>
      <c r="K827" t="s">
        <v>7</v>
      </c>
      <c r="L827" s="5" t="s">
        <v>7</v>
      </c>
      <c r="M827" t="s">
        <v>7</v>
      </c>
      <c r="N827" t="s">
        <v>7</v>
      </c>
      <c r="O827" s="5" t="s">
        <v>778</v>
      </c>
      <c r="P827" s="5" t="s">
        <v>7834</v>
      </c>
      <c r="R827" t="b">
        <v>0</v>
      </c>
    </row>
    <row r="828" spans="1:18">
      <c r="A828" t="s">
        <v>3016</v>
      </c>
      <c r="B828" t="s">
        <v>6860</v>
      </c>
      <c r="C828" s="5" t="s">
        <v>2523</v>
      </c>
      <c r="D828" s="1">
        <v>8</v>
      </c>
      <c r="E828" s="1" t="s">
        <v>1923</v>
      </c>
      <c r="F828" s="1">
        <v>242</v>
      </c>
      <c r="G828" s="1">
        <v>243</v>
      </c>
      <c r="H828" s="17" cm="1">
        <f t="array" ref="H828">_xlfn.LET(_xlpm.s,IFERROR(--F828,""),_xlpm.e,IFERROR(--G828,""),IF(OR(_xlpm.s="",_xlpm.e="",_xlpm.e&lt;_xlpm.s),"",_xlfn.LET(_xlpm.p,_xlfn.SEQUENCE(_xlpm.e-_xlpm.s+1,1,_xlpm.s,1),SUM(1/COUNTIFS($D:$D,D828,$E:$E,E828,$F:$F,"&lt;&gt;N/A",$G:$G,"&lt;&gt;N/A",$F:$F,"&lt;="&amp;_xlpm.p,$G:$G,"&gt;="&amp;_xlpm.p)))))</f>
        <v>1.5</v>
      </c>
      <c r="I828" t="s">
        <v>5436</v>
      </c>
      <c r="J828" t="s">
        <v>5525</v>
      </c>
      <c r="K828" t="s">
        <v>7</v>
      </c>
      <c r="L828" s="5" t="s">
        <v>7</v>
      </c>
      <c r="M828" t="s">
        <v>7</v>
      </c>
      <c r="N828" t="s">
        <v>7</v>
      </c>
      <c r="O828" s="5" t="s">
        <v>778</v>
      </c>
      <c r="P828" s="5" t="s">
        <v>7834</v>
      </c>
      <c r="R828" t="b">
        <v>0</v>
      </c>
    </row>
    <row r="829" spans="1:18">
      <c r="A829" t="s">
        <v>3016</v>
      </c>
      <c r="B829" t="s">
        <v>6861</v>
      </c>
      <c r="C829" s="5" t="s">
        <v>2523</v>
      </c>
      <c r="D829" s="1">
        <v>8</v>
      </c>
      <c r="E829" s="1" t="s">
        <v>1923</v>
      </c>
      <c r="F829" s="1">
        <v>243</v>
      </c>
      <c r="G829" s="1">
        <v>245</v>
      </c>
      <c r="H829" s="17" cm="1">
        <f t="array" ref="H829">_xlfn.LET(_xlpm.s,IFERROR(--F829,""),_xlpm.e,IFERROR(--G829,""),IF(OR(_xlpm.s="",_xlpm.e="",_xlpm.e&lt;_xlpm.s),"",_xlfn.LET(_xlpm.p,_xlfn.SEQUENCE(_xlpm.e-_xlpm.s+1,1,_xlpm.s,1),SUM(1/COUNTIFS($D:$D,D829,$E:$E,E829,$F:$F,"&lt;&gt;N/A",$G:$G,"&lt;&gt;N/A",$F:$F,"&lt;="&amp;_xlpm.p,$G:$G,"&gt;="&amp;_xlpm.p)))))</f>
        <v>2</v>
      </c>
      <c r="I829" t="s">
        <v>5436</v>
      </c>
      <c r="J829" t="s">
        <v>5526</v>
      </c>
      <c r="K829" t="s">
        <v>7</v>
      </c>
      <c r="L829" s="5" t="s">
        <v>7</v>
      </c>
      <c r="M829" t="s">
        <v>7</v>
      </c>
      <c r="N829" t="s">
        <v>7</v>
      </c>
      <c r="O829" s="5" t="s">
        <v>778</v>
      </c>
      <c r="P829" s="5" t="s">
        <v>7834</v>
      </c>
      <c r="R829" t="b">
        <v>0</v>
      </c>
    </row>
    <row r="830" spans="1:18">
      <c r="A830" t="s">
        <v>3016</v>
      </c>
      <c r="B830" t="s">
        <v>6862</v>
      </c>
      <c r="C830" s="5" t="s">
        <v>2523</v>
      </c>
      <c r="D830" s="1">
        <v>8</v>
      </c>
      <c r="E830" s="1" t="s">
        <v>1923</v>
      </c>
      <c r="F830" s="1">
        <v>245</v>
      </c>
      <c r="G830" s="1">
        <v>246</v>
      </c>
      <c r="H830" s="17" cm="1">
        <f t="array" ref="H830">_xlfn.LET(_xlpm.s,IFERROR(--F830,""),_xlpm.e,IFERROR(--G830,""),IF(OR(_xlpm.s="",_xlpm.e="",_xlpm.e&lt;_xlpm.s),"",_xlfn.LET(_xlpm.p,_xlfn.SEQUENCE(_xlpm.e-_xlpm.s+1,1,_xlpm.s,1),SUM(1/COUNTIFS($D:$D,D830,$E:$E,E830,$F:$F,"&lt;&gt;N/A",$G:$G,"&lt;&gt;N/A",$F:$F,"&lt;="&amp;_xlpm.p,$G:$G,"&gt;="&amp;_xlpm.p)))))</f>
        <v>1</v>
      </c>
      <c r="I830" t="s">
        <v>5436</v>
      </c>
      <c r="J830" t="s">
        <v>1906</v>
      </c>
      <c r="K830" t="s">
        <v>7</v>
      </c>
      <c r="L830" s="5" t="s">
        <v>7</v>
      </c>
      <c r="M830" t="s">
        <v>7</v>
      </c>
      <c r="N830" t="s">
        <v>7</v>
      </c>
      <c r="O830" s="5" t="s">
        <v>778</v>
      </c>
      <c r="P830" s="5" t="s">
        <v>7834</v>
      </c>
      <c r="R830" t="b">
        <v>0</v>
      </c>
    </row>
    <row r="831" spans="1:18">
      <c r="A831" t="s">
        <v>3016</v>
      </c>
      <c r="B831" t="s">
        <v>6863</v>
      </c>
      <c r="C831" s="5" t="s">
        <v>2523</v>
      </c>
      <c r="D831" s="1">
        <v>8</v>
      </c>
      <c r="E831" s="1" t="s">
        <v>1923</v>
      </c>
      <c r="F831" s="1">
        <v>246</v>
      </c>
      <c r="G831" s="1">
        <v>247</v>
      </c>
      <c r="H831" s="17" cm="1">
        <f t="array" ref="H831">_xlfn.LET(_xlpm.s,IFERROR(--F831,""),_xlpm.e,IFERROR(--G831,""),IF(OR(_xlpm.s="",_xlpm.e="",_xlpm.e&lt;_xlpm.s),"",_xlfn.LET(_xlpm.p,_xlfn.SEQUENCE(_xlpm.e-_xlpm.s+1,1,_xlpm.s,1),SUM(1/COUNTIFS($D:$D,D831,$E:$E,E831,$F:$F,"&lt;&gt;N/A",$G:$G,"&lt;&gt;N/A",$F:$F,"&lt;="&amp;_xlpm.p,$G:$G,"&gt;="&amp;_xlpm.p)))))</f>
        <v>1.5</v>
      </c>
      <c r="I831" t="s">
        <v>5436</v>
      </c>
      <c r="J831" t="s">
        <v>5527</v>
      </c>
      <c r="K831" t="s">
        <v>7</v>
      </c>
      <c r="L831" s="5" t="s">
        <v>7</v>
      </c>
      <c r="M831" t="s">
        <v>7</v>
      </c>
      <c r="N831" t="s">
        <v>7</v>
      </c>
      <c r="O831" s="5" t="s">
        <v>778</v>
      </c>
      <c r="P831" s="5" t="s">
        <v>7834</v>
      </c>
      <c r="R831" t="b">
        <v>0</v>
      </c>
    </row>
    <row r="832" spans="1:18">
      <c r="A832" t="s">
        <v>3016</v>
      </c>
      <c r="B832" t="s">
        <v>6864</v>
      </c>
      <c r="C832" s="5" t="s">
        <v>2523</v>
      </c>
      <c r="D832" s="1">
        <v>8</v>
      </c>
      <c r="E832" s="1" t="s">
        <v>1923</v>
      </c>
      <c r="F832" s="1">
        <v>248</v>
      </c>
      <c r="G832" s="1">
        <v>254</v>
      </c>
      <c r="H832" s="17" cm="1">
        <f t="array" ref="H832">_xlfn.LET(_xlpm.s,IFERROR(--F832,""),_xlpm.e,IFERROR(--G832,""),IF(OR(_xlpm.s="",_xlpm.e="",_xlpm.e&lt;_xlpm.s),"",_xlfn.LET(_xlpm.p,_xlfn.SEQUENCE(_xlpm.e-_xlpm.s+1,1,_xlpm.s,1),SUM(1/COUNTIFS($D:$D,D832,$E:$E,E832,$F:$F,"&lt;&gt;N/A",$G:$G,"&lt;&gt;N/A",$F:$F,"&lt;="&amp;_xlpm.p,$G:$G,"&gt;="&amp;_xlpm.p)))))</f>
        <v>6.5</v>
      </c>
      <c r="I832" t="s">
        <v>5436</v>
      </c>
      <c r="J832" t="s">
        <v>1907</v>
      </c>
      <c r="K832" t="s">
        <v>7</v>
      </c>
      <c r="L832" s="5" t="s">
        <v>7</v>
      </c>
      <c r="M832" t="s">
        <v>7</v>
      </c>
      <c r="N832" t="s">
        <v>7</v>
      </c>
      <c r="O832" s="5" t="s">
        <v>778</v>
      </c>
      <c r="P832" s="5" t="s">
        <v>7834</v>
      </c>
      <c r="R832" t="b">
        <v>0</v>
      </c>
    </row>
    <row r="833" spans="1:18">
      <c r="A833" t="s">
        <v>3016</v>
      </c>
      <c r="B833" t="s">
        <v>6865</v>
      </c>
      <c r="C833" s="5" t="s">
        <v>2523</v>
      </c>
      <c r="D833" s="1">
        <v>8</v>
      </c>
      <c r="E833" s="1" t="s">
        <v>1923</v>
      </c>
      <c r="F833" s="1">
        <v>254</v>
      </c>
      <c r="G833" s="1">
        <v>255</v>
      </c>
      <c r="H833" s="17" cm="1">
        <f t="array" ref="H833">_xlfn.LET(_xlpm.s,IFERROR(--F833,""),_xlpm.e,IFERROR(--G833,""),IF(OR(_xlpm.s="",_xlpm.e="",_xlpm.e&lt;_xlpm.s),"",_xlfn.LET(_xlpm.p,_xlfn.SEQUENCE(_xlpm.e-_xlpm.s+1,1,_xlpm.s,1),SUM(1/COUNTIFS($D:$D,D833,$E:$E,E833,$F:$F,"&lt;&gt;N/A",$G:$G,"&lt;&gt;N/A",$F:$F,"&lt;="&amp;_xlpm.p,$G:$G,"&gt;="&amp;_xlpm.p)))))</f>
        <v>1.5</v>
      </c>
      <c r="I833" t="s">
        <v>5436</v>
      </c>
      <c r="J833" t="s">
        <v>5528</v>
      </c>
      <c r="K833" t="s">
        <v>7</v>
      </c>
      <c r="L833" s="5" t="s">
        <v>7</v>
      </c>
      <c r="M833" t="s">
        <v>7</v>
      </c>
      <c r="N833" t="s">
        <v>7</v>
      </c>
      <c r="O833" s="5" t="s">
        <v>778</v>
      </c>
      <c r="P833" s="5" t="s">
        <v>7834</v>
      </c>
      <c r="R833" t="b">
        <v>0</v>
      </c>
    </row>
    <row r="834" spans="1:18">
      <c r="A834" t="s">
        <v>3016</v>
      </c>
      <c r="B834" t="s">
        <v>6866</v>
      </c>
      <c r="C834" s="5" t="s">
        <v>2523</v>
      </c>
      <c r="D834" s="1">
        <v>8</v>
      </c>
      <c r="E834" s="1" t="s">
        <v>1923</v>
      </c>
      <c r="F834" s="1">
        <v>256</v>
      </c>
      <c r="G834" s="1">
        <v>275</v>
      </c>
      <c r="H834" s="17" cm="1">
        <f t="array" ref="H834">_xlfn.LET(_xlpm.s,IFERROR(--F834,""),_xlpm.e,IFERROR(--G834,""),IF(OR(_xlpm.s="",_xlpm.e="",_xlpm.e&lt;_xlpm.s),"",_xlfn.LET(_xlpm.p,_xlfn.SEQUENCE(_xlpm.e-_xlpm.s+1,1,_xlpm.s,1),SUM(1/COUNTIFS($D:$D,D834,$E:$E,E834,$F:$F,"&lt;&gt;N/A",$G:$G,"&lt;&gt;N/A",$F:$F,"&lt;="&amp;_xlpm.p,$G:$G,"&gt;="&amp;_xlpm.p)))))</f>
        <v>19.5</v>
      </c>
      <c r="I834" t="s">
        <v>2573</v>
      </c>
      <c r="J834" t="s">
        <v>1908</v>
      </c>
      <c r="K834" t="s">
        <v>2458</v>
      </c>
      <c r="L834" s="5" t="s">
        <v>7</v>
      </c>
      <c r="M834" t="s">
        <v>7</v>
      </c>
      <c r="N834" t="s">
        <v>7</v>
      </c>
      <c r="O834" s="5" t="s">
        <v>778</v>
      </c>
      <c r="P834" s="5" t="s">
        <v>7834</v>
      </c>
      <c r="R834" t="b">
        <v>1</v>
      </c>
    </row>
    <row r="835" spans="1:18">
      <c r="A835" t="s">
        <v>3016</v>
      </c>
      <c r="B835" t="s">
        <v>6867</v>
      </c>
      <c r="C835" s="5" t="s">
        <v>2523</v>
      </c>
      <c r="D835" s="1">
        <v>8</v>
      </c>
      <c r="E835" s="1" t="s">
        <v>1923</v>
      </c>
      <c r="F835" s="1">
        <v>275</v>
      </c>
      <c r="G835" s="1">
        <v>275</v>
      </c>
      <c r="H835" s="17" cm="1">
        <f t="array" ref="H835">_xlfn.LET(_xlpm.s,IFERROR(--F835,""),_xlpm.e,IFERROR(--G835,""),IF(OR(_xlpm.s="",_xlpm.e="",_xlpm.e&lt;_xlpm.s),"",_xlfn.LET(_xlpm.p,_xlfn.SEQUENCE(_xlpm.e-_xlpm.s+1,1,_xlpm.s,1),SUM(1/COUNTIFS($D:$D,D835,$E:$E,E835,$F:$F,"&lt;&gt;N/A",$G:$G,"&lt;&gt;N/A",$F:$F,"&lt;="&amp;_xlpm.p,$G:$G,"&gt;="&amp;_xlpm.p)))))</f>
        <v>0.5</v>
      </c>
      <c r="I835" t="s">
        <v>2573</v>
      </c>
      <c r="J835" t="s">
        <v>453</v>
      </c>
      <c r="K835" t="s">
        <v>7</v>
      </c>
      <c r="L835" s="5" t="s">
        <v>7</v>
      </c>
      <c r="M835" t="s">
        <v>7</v>
      </c>
      <c r="N835" t="s">
        <v>7</v>
      </c>
      <c r="O835" s="5" t="s">
        <v>778</v>
      </c>
      <c r="P835" s="5" t="s">
        <v>7834</v>
      </c>
      <c r="R835" t="b">
        <v>1</v>
      </c>
    </row>
    <row r="836" spans="1:18">
      <c r="A836" t="s">
        <v>3016</v>
      </c>
      <c r="B836" t="s">
        <v>6868</v>
      </c>
      <c r="C836" s="5" t="s">
        <v>2523</v>
      </c>
      <c r="D836" s="1">
        <v>8</v>
      </c>
      <c r="E836" s="1" t="s">
        <v>1923</v>
      </c>
      <c r="F836" s="1">
        <v>276</v>
      </c>
      <c r="G836" s="1">
        <v>304</v>
      </c>
      <c r="H836" s="17" cm="1">
        <f t="array" ref="H836">_xlfn.LET(_xlpm.s,IFERROR(--F836,""),_xlpm.e,IFERROR(--G836,""),IF(OR(_xlpm.s="",_xlpm.e="",_xlpm.e&lt;_xlpm.s),"",_xlfn.LET(_xlpm.p,_xlfn.SEQUENCE(_xlpm.e-_xlpm.s+1,1,_xlpm.s,1),SUM(1/COUNTIFS($D:$D,D836,$E:$E,E836,$F:$F,"&lt;&gt;N/A",$G:$G,"&lt;&gt;N/A",$F:$F,"&lt;="&amp;_xlpm.p,$G:$G,"&gt;="&amp;_xlpm.p)))))</f>
        <v>29</v>
      </c>
      <c r="I836" t="s">
        <v>2573</v>
      </c>
      <c r="J836" t="s">
        <v>1909</v>
      </c>
      <c r="K836" t="s">
        <v>9</v>
      </c>
      <c r="L836" s="5" t="s">
        <v>7</v>
      </c>
      <c r="M836" t="s">
        <v>7</v>
      </c>
      <c r="N836" t="s">
        <v>2431</v>
      </c>
      <c r="O836" s="5" t="s">
        <v>778</v>
      </c>
      <c r="P836" s="5" t="s">
        <v>7834</v>
      </c>
      <c r="R836" t="b">
        <v>1</v>
      </c>
    </row>
    <row r="837" spans="1:18">
      <c r="A837" t="s">
        <v>3016</v>
      </c>
      <c r="B837" t="s">
        <v>6869</v>
      </c>
      <c r="C837" s="5" t="s">
        <v>2523</v>
      </c>
      <c r="D837" s="1">
        <v>8</v>
      </c>
      <c r="E837" s="1" t="s">
        <v>1923</v>
      </c>
      <c r="F837" s="1">
        <v>305</v>
      </c>
      <c r="G837" s="1">
        <v>311</v>
      </c>
      <c r="H837" s="17" cm="1">
        <f t="array" ref="H837">_xlfn.LET(_xlpm.s,IFERROR(--F837,""),_xlpm.e,IFERROR(--G837,""),IF(OR(_xlpm.s="",_xlpm.e="",_xlpm.e&lt;_xlpm.s),"",_xlfn.LET(_xlpm.p,_xlfn.SEQUENCE(_xlpm.e-_xlpm.s+1,1,_xlpm.s,1),SUM(1/COUNTIFS($D:$D,D837,$E:$E,E837,$F:$F,"&lt;&gt;N/A",$G:$G,"&lt;&gt;N/A",$F:$F,"&lt;="&amp;_xlpm.p,$G:$G,"&gt;="&amp;_xlpm.p)))))</f>
        <v>6.5</v>
      </c>
      <c r="I837" t="s">
        <v>170</v>
      </c>
      <c r="J837" t="s">
        <v>2656</v>
      </c>
      <c r="K837" t="s">
        <v>2459</v>
      </c>
      <c r="L837" s="5" t="s">
        <v>7</v>
      </c>
      <c r="M837" t="s">
        <v>7</v>
      </c>
      <c r="N837" t="s">
        <v>6452</v>
      </c>
      <c r="O837" s="5" t="s">
        <v>778</v>
      </c>
      <c r="P837" s="5" t="s">
        <v>7834</v>
      </c>
      <c r="R837" t="b">
        <v>1</v>
      </c>
    </row>
    <row r="838" spans="1:18">
      <c r="A838" t="s">
        <v>3016</v>
      </c>
      <c r="B838" t="s">
        <v>6870</v>
      </c>
      <c r="C838" s="5" t="s">
        <v>2523</v>
      </c>
      <c r="D838" s="1">
        <v>8</v>
      </c>
      <c r="E838" s="1" t="s">
        <v>1923</v>
      </c>
      <c r="F838" s="1">
        <v>311</v>
      </c>
      <c r="G838" s="1">
        <v>318</v>
      </c>
      <c r="H838" s="17" cm="1">
        <f t="array" ref="H838">_xlfn.LET(_xlpm.s,IFERROR(--F838,""),_xlpm.e,IFERROR(--G838,""),IF(OR(_xlpm.s="",_xlpm.e="",_xlpm.e&lt;_xlpm.s),"",_xlfn.LET(_xlpm.p,_xlfn.SEQUENCE(_xlpm.e-_xlpm.s+1,1,_xlpm.s,1),SUM(1/COUNTIFS($D:$D,D838,$E:$E,E838,$F:$F,"&lt;&gt;N/A",$G:$G,"&lt;&gt;N/A",$F:$F,"&lt;="&amp;_xlpm.p,$G:$G,"&gt;="&amp;_xlpm.p)))))</f>
        <v>7.5</v>
      </c>
      <c r="I838" t="s">
        <v>7</v>
      </c>
      <c r="J838" t="s">
        <v>1910</v>
      </c>
      <c r="K838" t="s">
        <v>2460</v>
      </c>
      <c r="L838" s="5" t="s">
        <v>7</v>
      </c>
      <c r="M838" t="s">
        <v>7</v>
      </c>
      <c r="N838" t="s">
        <v>8089</v>
      </c>
      <c r="O838" s="5" t="s">
        <v>10264</v>
      </c>
      <c r="P838" s="5" t="s">
        <v>8020</v>
      </c>
      <c r="R838" t="b">
        <v>1</v>
      </c>
    </row>
    <row r="839" spans="1:18">
      <c r="A839" t="s">
        <v>3016</v>
      </c>
      <c r="B839" t="s">
        <v>6871</v>
      </c>
      <c r="C839" s="5" t="s">
        <v>2523</v>
      </c>
      <c r="D839" s="1">
        <v>8</v>
      </c>
      <c r="E839" s="1" t="s">
        <v>1923</v>
      </c>
      <c r="F839" s="1">
        <v>319</v>
      </c>
      <c r="G839" s="1">
        <v>320</v>
      </c>
      <c r="H839" s="17" cm="1">
        <f t="array" ref="H839">_xlfn.LET(_xlpm.s,IFERROR(--F839,""),_xlpm.e,IFERROR(--G839,""),IF(OR(_xlpm.s="",_xlpm.e="",_xlpm.e&lt;_xlpm.s),"",_xlfn.LET(_xlpm.p,_xlfn.SEQUENCE(_xlpm.e-_xlpm.s+1,1,_xlpm.s,1),SUM(1/COUNTIFS($D:$D,D839,$E:$E,E839,$F:$F,"&lt;&gt;N/A",$G:$G,"&lt;&gt;N/A",$F:$F,"&lt;="&amp;_xlpm.p,$G:$G,"&gt;="&amp;_xlpm.p)))))</f>
        <v>1.5</v>
      </c>
      <c r="I839" t="s">
        <v>7</v>
      </c>
      <c r="J839" t="s">
        <v>5576</v>
      </c>
      <c r="K839" t="s">
        <v>5577</v>
      </c>
      <c r="L839" s="5" t="s">
        <v>5574</v>
      </c>
      <c r="M839" t="s">
        <v>7</v>
      </c>
      <c r="N839" t="s">
        <v>6461</v>
      </c>
      <c r="O839" s="5" t="s">
        <v>5072</v>
      </c>
      <c r="P839" s="5" t="s">
        <v>8021</v>
      </c>
      <c r="R839" t="b">
        <v>1</v>
      </c>
    </row>
    <row r="840" spans="1:18">
      <c r="A840" t="s">
        <v>3016</v>
      </c>
      <c r="B840" t="s">
        <v>6872</v>
      </c>
      <c r="C840" s="5" t="s">
        <v>2523</v>
      </c>
      <c r="D840" s="1">
        <v>8</v>
      </c>
      <c r="E840" s="1" t="s">
        <v>1923</v>
      </c>
      <c r="F840" s="1">
        <v>320</v>
      </c>
      <c r="G840" s="1">
        <v>322</v>
      </c>
      <c r="H840" s="17" cm="1">
        <f t="array" ref="H840">_xlfn.LET(_xlpm.s,IFERROR(--F840,""),_xlpm.e,IFERROR(--G840,""),IF(OR(_xlpm.s="",_xlpm.e="",_xlpm.e&lt;_xlpm.s),"",_xlfn.LET(_xlpm.p,_xlfn.SEQUENCE(_xlpm.e-_xlpm.s+1,1,_xlpm.s,1),SUM(1/COUNTIFS($D:$D,D840,$E:$E,E840,$F:$F,"&lt;&gt;N/A",$G:$G,"&lt;&gt;N/A",$F:$F,"&lt;="&amp;_xlpm.p,$G:$G,"&gt;="&amp;_xlpm.p)))))</f>
        <v>2</v>
      </c>
      <c r="I840" t="s">
        <v>7</v>
      </c>
      <c r="J840" t="s">
        <v>5578</v>
      </c>
      <c r="K840" t="s">
        <v>5579</v>
      </c>
      <c r="L840" s="5" t="s">
        <v>5580</v>
      </c>
      <c r="M840" t="s">
        <v>7</v>
      </c>
      <c r="N840" t="s">
        <v>6460</v>
      </c>
      <c r="O840" s="5" t="s">
        <v>5072</v>
      </c>
      <c r="P840" s="5" t="s">
        <v>8021</v>
      </c>
      <c r="R840" t="b">
        <v>1</v>
      </c>
    </row>
    <row r="841" spans="1:18">
      <c r="A841" t="s">
        <v>3016</v>
      </c>
      <c r="B841" t="s">
        <v>6873</v>
      </c>
      <c r="C841" s="5" t="s">
        <v>2523</v>
      </c>
      <c r="D841" s="1">
        <v>8</v>
      </c>
      <c r="E841" s="1" t="s">
        <v>1923</v>
      </c>
      <c r="F841" s="1">
        <v>322</v>
      </c>
      <c r="G841" s="1">
        <v>332</v>
      </c>
      <c r="H841" s="17" cm="1">
        <f t="array" ref="H841">_xlfn.LET(_xlpm.s,IFERROR(--F841,""),_xlpm.e,IFERROR(--G841,""),IF(OR(_xlpm.s="",_xlpm.e="",_xlpm.e&lt;_xlpm.s),"",_xlfn.LET(_xlpm.p,_xlfn.SEQUENCE(_xlpm.e-_xlpm.s+1,1,_xlpm.s,1),SUM(1/COUNTIFS($D:$D,D841,$E:$E,E841,$F:$F,"&lt;&gt;N/A",$G:$G,"&lt;&gt;N/A",$F:$F,"&lt;="&amp;_xlpm.p,$G:$G,"&gt;="&amp;_xlpm.p)))))</f>
        <v>10.5</v>
      </c>
      <c r="I841" t="s">
        <v>7</v>
      </c>
      <c r="J841" t="s">
        <v>5581</v>
      </c>
      <c r="K841" t="s">
        <v>5579</v>
      </c>
      <c r="L841" s="5" t="s">
        <v>5582</v>
      </c>
      <c r="M841" t="s">
        <v>7</v>
      </c>
      <c r="N841" t="s">
        <v>6459</v>
      </c>
      <c r="O841" s="5" t="s">
        <v>5072</v>
      </c>
      <c r="P841" s="5" t="s">
        <v>8021</v>
      </c>
      <c r="R841" t="b">
        <v>1</v>
      </c>
    </row>
    <row r="842" spans="1:18">
      <c r="A842" t="s">
        <v>3016</v>
      </c>
      <c r="B842" t="s">
        <v>6874</v>
      </c>
      <c r="C842" s="5" t="s">
        <v>2523</v>
      </c>
      <c r="D842" s="1">
        <v>8</v>
      </c>
      <c r="E842" s="1" t="s">
        <v>1923</v>
      </c>
      <c r="F842" s="1">
        <v>333</v>
      </c>
      <c r="G842" s="1">
        <v>339</v>
      </c>
      <c r="H842" s="17" cm="1">
        <f t="array" ref="H842">_xlfn.LET(_xlpm.s,IFERROR(--F842,""),_xlpm.e,IFERROR(--G842,""),IF(OR(_xlpm.s="",_xlpm.e="",_xlpm.e&lt;_xlpm.s),"",_xlfn.LET(_xlpm.p,_xlfn.SEQUENCE(_xlpm.e-_xlpm.s+1,1,_xlpm.s,1),SUM(1/COUNTIFS($D:$D,D842,$E:$E,E842,$F:$F,"&lt;&gt;N/A",$G:$G,"&lt;&gt;N/A",$F:$F,"&lt;="&amp;_xlpm.p,$G:$G,"&gt;="&amp;_xlpm.p)))))</f>
        <v>7</v>
      </c>
      <c r="I842" t="s">
        <v>7</v>
      </c>
      <c r="J842" t="s">
        <v>1911</v>
      </c>
      <c r="K842" t="s">
        <v>2494</v>
      </c>
      <c r="L842" s="5" t="s">
        <v>7</v>
      </c>
      <c r="M842" t="s">
        <v>7</v>
      </c>
      <c r="N842" t="s">
        <v>5573</v>
      </c>
      <c r="O842" s="5" t="s">
        <v>10264</v>
      </c>
      <c r="P842" s="5" t="s">
        <v>8020</v>
      </c>
      <c r="R842" t="b">
        <v>1</v>
      </c>
    </row>
    <row r="843" spans="1:18">
      <c r="A843" t="s">
        <v>3016</v>
      </c>
      <c r="B843" t="s">
        <v>6875</v>
      </c>
      <c r="C843" s="5" t="s">
        <v>2523</v>
      </c>
      <c r="D843" s="1">
        <v>8</v>
      </c>
      <c r="E843" s="1" t="s">
        <v>1923</v>
      </c>
      <c r="F843" s="1">
        <v>340</v>
      </c>
      <c r="G843" s="1">
        <v>352</v>
      </c>
      <c r="H843" s="17" cm="1">
        <f t="array" ref="H843">_xlfn.LET(_xlpm.s,IFERROR(--F843,""),_xlpm.e,IFERROR(--G843,""),IF(OR(_xlpm.s="",_xlpm.e="",_xlpm.e&lt;_xlpm.s),"",_xlfn.LET(_xlpm.p,_xlfn.SEQUENCE(_xlpm.e-_xlpm.s+1,1,_xlpm.s,1),SUM(1/COUNTIFS($D:$D,D843,$E:$E,E843,$F:$F,"&lt;&gt;N/A",$G:$G,"&lt;&gt;N/A",$F:$F,"&lt;="&amp;_xlpm.p,$G:$G,"&gt;="&amp;_xlpm.p)))))</f>
        <v>13</v>
      </c>
      <c r="I843" t="s">
        <v>7</v>
      </c>
      <c r="J843" t="s">
        <v>1912</v>
      </c>
      <c r="K843" t="s">
        <v>152</v>
      </c>
      <c r="L843" s="5" t="s">
        <v>7</v>
      </c>
      <c r="M843" t="s">
        <v>7</v>
      </c>
      <c r="N843" t="s">
        <v>6462</v>
      </c>
      <c r="O843" s="5" t="s">
        <v>10264</v>
      </c>
      <c r="P843" s="5" t="s">
        <v>8020</v>
      </c>
      <c r="R843" t="b">
        <v>1</v>
      </c>
    </row>
    <row r="844" spans="1:18">
      <c r="A844" t="s">
        <v>3016</v>
      </c>
      <c r="B844" t="s">
        <v>6876</v>
      </c>
      <c r="C844" s="5" t="s">
        <v>2523</v>
      </c>
      <c r="D844" s="1">
        <v>8</v>
      </c>
      <c r="E844" s="1" t="s">
        <v>1923</v>
      </c>
      <c r="F844" s="1">
        <v>353</v>
      </c>
      <c r="G844" s="1">
        <v>357</v>
      </c>
      <c r="H844" s="17" cm="1">
        <f t="array" ref="H844">_xlfn.LET(_xlpm.s,IFERROR(--F844,""),_xlpm.e,IFERROR(--G844,""),IF(OR(_xlpm.s="",_xlpm.e="",_xlpm.e&lt;_xlpm.s),"",_xlfn.LET(_xlpm.p,_xlfn.SEQUENCE(_xlpm.e-_xlpm.s+1,1,_xlpm.s,1),SUM(1/COUNTIFS($D:$D,D844,$E:$E,E844,$F:$F,"&lt;&gt;N/A",$G:$G,"&lt;&gt;N/A",$F:$F,"&lt;="&amp;_xlpm.p,$G:$G,"&gt;="&amp;_xlpm.p)))))</f>
        <v>4.5</v>
      </c>
      <c r="I844" t="s">
        <v>7</v>
      </c>
      <c r="J844" t="s">
        <v>1913</v>
      </c>
      <c r="K844" t="s">
        <v>2070</v>
      </c>
      <c r="L844" s="5" t="s">
        <v>7</v>
      </c>
      <c r="M844" t="s">
        <v>7</v>
      </c>
      <c r="N844" t="s">
        <v>7</v>
      </c>
      <c r="O844" s="5" t="s">
        <v>778</v>
      </c>
      <c r="P844" s="5" t="s">
        <v>7834</v>
      </c>
      <c r="R844" t="b">
        <v>1</v>
      </c>
    </row>
    <row r="845" spans="1:18">
      <c r="A845" t="s">
        <v>3016</v>
      </c>
      <c r="B845" t="s">
        <v>6877</v>
      </c>
      <c r="C845" s="5" t="s">
        <v>2523</v>
      </c>
      <c r="D845" s="1">
        <v>8</v>
      </c>
      <c r="E845" s="1" t="s">
        <v>1923</v>
      </c>
      <c r="F845" s="1">
        <v>357</v>
      </c>
      <c r="G845" s="1">
        <v>361</v>
      </c>
      <c r="H845" s="17" cm="1">
        <f t="array" ref="H845">_xlfn.LET(_xlpm.s,IFERROR(--F845,""),_xlpm.e,IFERROR(--G845,""),IF(OR(_xlpm.s="",_xlpm.e="",_xlpm.e&lt;_xlpm.s),"",_xlfn.LET(_xlpm.p,_xlfn.SEQUENCE(_xlpm.e-_xlpm.s+1,1,_xlpm.s,1),SUM(1/COUNTIFS($D:$D,D845,$E:$E,E845,$F:$F,"&lt;&gt;N/A",$G:$G,"&lt;&gt;N/A",$F:$F,"&lt;="&amp;_xlpm.p,$G:$G,"&gt;="&amp;_xlpm.p)))))</f>
        <v>4</v>
      </c>
      <c r="I845" t="s">
        <v>7</v>
      </c>
      <c r="J845" t="s">
        <v>1914</v>
      </c>
      <c r="K845" t="s">
        <v>7</v>
      </c>
      <c r="L845" s="5" t="s">
        <v>7</v>
      </c>
      <c r="M845" t="s">
        <v>7</v>
      </c>
      <c r="N845" t="s">
        <v>7</v>
      </c>
      <c r="O845" s="5" t="s">
        <v>778</v>
      </c>
      <c r="P845" s="5" t="s">
        <v>7834</v>
      </c>
      <c r="R845" t="b">
        <v>1</v>
      </c>
    </row>
    <row r="846" spans="1:18">
      <c r="A846" t="s">
        <v>3016</v>
      </c>
      <c r="B846" t="s">
        <v>6878</v>
      </c>
      <c r="C846" s="5" t="s">
        <v>2523</v>
      </c>
      <c r="D846" s="1">
        <v>8</v>
      </c>
      <c r="E846" s="1" t="s">
        <v>1923</v>
      </c>
      <c r="F846" s="1">
        <v>361</v>
      </c>
      <c r="G846" s="1">
        <v>364</v>
      </c>
      <c r="H846" s="17" cm="1">
        <f t="array" ref="H846">_xlfn.LET(_xlpm.s,IFERROR(--F846,""),_xlpm.e,IFERROR(--G846,""),IF(OR(_xlpm.s="",_xlpm.e="",_xlpm.e&lt;_xlpm.s),"",_xlfn.LET(_xlpm.p,_xlfn.SEQUENCE(_xlpm.e-_xlpm.s+1,1,_xlpm.s,1),SUM(1/COUNTIFS($D:$D,D846,$E:$E,E846,$F:$F,"&lt;&gt;N/A",$G:$G,"&lt;&gt;N/A",$F:$F,"&lt;="&amp;_xlpm.p,$G:$G,"&gt;="&amp;_xlpm.p)))))</f>
        <v>3.5</v>
      </c>
      <c r="I846" t="s">
        <v>7</v>
      </c>
      <c r="J846" t="s">
        <v>1915</v>
      </c>
      <c r="K846" t="s">
        <v>4669</v>
      </c>
      <c r="L846" s="5" t="s">
        <v>4659</v>
      </c>
      <c r="M846" t="s">
        <v>5048</v>
      </c>
      <c r="N846" t="s">
        <v>10416</v>
      </c>
      <c r="O846" s="5" t="s">
        <v>10264</v>
      </c>
      <c r="P846" s="5" t="s">
        <v>8020</v>
      </c>
      <c r="R846" t="b">
        <v>1</v>
      </c>
    </row>
    <row r="847" spans="1:18">
      <c r="A847" t="s">
        <v>3016</v>
      </c>
      <c r="B847" t="s">
        <v>6879</v>
      </c>
      <c r="C847" s="5" t="s">
        <v>2523</v>
      </c>
      <c r="D847" s="1">
        <v>8</v>
      </c>
      <c r="E847" s="1" t="s">
        <v>1923</v>
      </c>
      <c r="F847" s="1">
        <v>365</v>
      </c>
      <c r="G847" s="1">
        <v>365</v>
      </c>
      <c r="H847" s="17" cm="1">
        <f t="array" ref="H847">_xlfn.LET(_xlpm.s,IFERROR(--F847,""),_xlpm.e,IFERROR(--G847,""),IF(OR(_xlpm.s="",_xlpm.e="",_xlpm.e&lt;_xlpm.s),"",_xlfn.LET(_xlpm.p,_xlfn.SEQUENCE(_xlpm.e-_xlpm.s+1,1,_xlpm.s,1),SUM(1/COUNTIFS($D:$D,D847,$E:$E,E847,$F:$F,"&lt;&gt;N/A",$G:$G,"&lt;&gt;N/A",$F:$F,"&lt;="&amp;_xlpm.p,$G:$G,"&gt;="&amp;_xlpm.p)))))</f>
        <v>0.5</v>
      </c>
      <c r="I847" t="s">
        <v>7</v>
      </c>
      <c r="J847" t="s">
        <v>1916</v>
      </c>
      <c r="K847" t="s">
        <v>7</v>
      </c>
      <c r="L847" s="5" t="s">
        <v>7</v>
      </c>
      <c r="M847" t="s">
        <v>5048</v>
      </c>
      <c r="N847" t="s">
        <v>10415</v>
      </c>
      <c r="O847" s="5" t="s">
        <v>10264</v>
      </c>
      <c r="P847" s="5" t="s">
        <v>8020</v>
      </c>
      <c r="R847" t="b">
        <v>1</v>
      </c>
    </row>
    <row r="848" spans="1:18">
      <c r="A848" t="s">
        <v>3016</v>
      </c>
      <c r="B848" t="s">
        <v>6880</v>
      </c>
      <c r="C848" s="5" t="s">
        <v>2523</v>
      </c>
      <c r="D848" s="1">
        <v>8</v>
      </c>
      <c r="E848" s="1" t="s">
        <v>1923</v>
      </c>
      <c r="F848" s="1">
        <v>365</v>
      </c>
      <c r="G848" s="1">
        <v>366</v>
      </c>
      <c r="H848" s="17" cm="1">
        <f t="array" ref="H848">_xlfn.LET(_xlpm.s,IFERROR(--F848,""),_xlpm.e,IFERROR(--G848,""),IF(OR(_xlpm.s="",_xlpm.e="",_xlpm.e&lt;_xlpm.s),"",_xlfn.LET(_xlpm.p,_xlfn.SEQUENCE(_xlpm.e-_xlpm.s+1,1,_xlpm.s,1),SUM(1/COUNTIFS($D:$D,D848,$E:$E,E848,$F:$F,"&lt;&gt;N/A",$G:$G,"&lt;&gt;N/A",$F:$F,"&lt;="&amp;_xlpm.p,$G:$G,"&gt;="&amp;_xlpm.p)))))</f>
        <v>1</v>
      </c>
      <c r="I848" t="s">
        <v>7</v>
      </c>
      <c r="J848" t="s">
        <v>1917</v>
      </c>
      <c r="K848" t="s">
        <v>7</v>
      </c>
      <c r="L848" s="5" t="s">
        <v>7</v>
      </c>
      <c r="M848" t="s">
        <v>5048</v>
      </c>
      <c r="N848" t="s">
        <v>3044</v>
      </c>
      <c r="O848" s="5" t="s">
        <v>10264</v>
      </c>
      <c r="P848" s="5" t="s">
        <v>8020</v>
      </c>
      <c r="R848" t="b">
        <v>1</v>
      </c>
    </row>
    <row r="849" spans="1:18">
      <c r="A849" t="s">
        <v>3016</v>
      </c>
      <c r="B849" t="s">
        <v>6881</v>
      </c>
      <c r="C849" s="5" t="s">
        <v>2523</v>
      </c>
      <c r="D849" s="1">
        <v>8</v>
      </c>
      <c r="E849" s="1" t="s">
        <v>1923</v>
      </c>
      <c r="F849" s="1">
        <v>366</v>
      </c>
      <c r="G849" s="1">
        <v>368</v>
      </c>
      <c r="H849" s="17" cm="1">
        <f t="array" ref="H849">_xlfn.LET(_xlpm.s,IFERROR(--F849,""),_xlpm.e,IFERROR(--G849,""),IF(OR(_xlpm.s="",_xlpm.e="",_xlpm.e&lt;_xlpm.s),"",_xlfn.LET(_xlpm.p,_xlfn.SEQUENCE(_xlpm.e-_xlpm.s+1,1,_xlpm.s,1),SUM(1/COUNTIFS($D:$D,D849,$E:$E,E849,$F:$F,"&lt;&gt;N/A",$G:$G,"&lt;&gt;N/A",$F:$F,"&lt;="&amp;_xlpm.p,$G:$G,"&gt;="&amp;_xlpm.p)))))</f>
        <v>1.8333333333333333</v>
      </c>
      <c r="I849" t="s">
        <v>7</v>
      </c>
      <c r="J849" t="s">
        <v>1918</v>
      </c>
      <c r="K849" t="s">
        <v>7</v>
      </c>
      <c r="L849" s="5" t="s">
        <v>4670</v>
      </c>
      <c r="M849" t="s">
        <v>5048</v>
      </c>
      <c r="N849" t="s">
        <v>5078</v>
      </c>
      <c r="O849" s="5" t="s">
        <v>10264</v>
      </c>
      <c r="P849" s="5" t="s">
        <v>8020</v>
      </c>
      <c r="R849" t="b">
        <v>1</v>
      </c>
    </row>
    <row r="850" spans="1:18">
      <c r="A850" t="s">
        <v>3016</v>
      </c>
      <c r="B850" t="s">
        <v>6882</v>
      </c>
      <c r="C850" s="5" t="s">
        <v>2523</v>
      </c>
      <c r="D850" s="1">
        <v>8</v>
      </c>
      <c r="E850" s="1" t="s">
        <v>1923</v>
      </c>
      <c r="F850" s="1">
        <v>368</v>
      </c>
      <c r="G850" s="1">
        <v>368</v>
      </c>
      <c r="H850" s="17" cm="1">
        <f t="array" ref="H850">_xlfn.LET(_xlpm.s,IFERROR(--F850,""),_xlpm.e,IFERROR(--G850,""),IF(OR(_xlpm.s="",_xlpm.e="",_xlpm.e&lt;_xlpm.s),"",_xlfn.LET(_xlpm.p,_xlfn.SEQUENCE(_xlpm.e-_xlpm.s+1,1,_xlpm.s,1),SUM(1/COUNTIFS($D:$D,D850,$E:$E,E850,$F:$F,"&lt;&gt;N/A",$G:$G,"&lt;&gt;N/A",$F:$F,"&lt;="&amp;_xlpm.p,$G:$G,"&gt;="&amp;_xlpm.p)))))</f>
        <v>0.33333333333333331</v>
      </c>
      <c r="I850" t="s">
        <v>7</v>
      </c>
      <c r="J850" t="s">
        <v>5080</v>
      </c>
      <c r="K850" t="s">
        <v>7</v>
      </c>
      <c r="L850" s="5" t="s">
        <v>4671</v>
      </c>
      <c r="M850" t="s">
        <v>6456</v>
      </c>
      <c r="N850" t="s">
        <v>6936</v>
      </c>
      <c r="O850" s="5" t="s">
        <v>11522</v>
      </c>
      <c r="P850" s="5" t="s">
        <v>8021</v>
      </c>
      <c r="R850" t="b">
        <v>1</v>
      </c>
    </row>
    <row r="851" spans="1:18">
      <c r="A851" t="s">
        <v>3016</v>
      </c>
      <c r="B851" t="s">
        <v>10778</v>
      </c>
      <c r="C851" s="5" t="s">
        <v>2523</v>
      </c>
      <c r="D851" s="1">
        <v>8</v>
      </c>
      <c r="E851" s="1" t="s">
        <v>1923</v>
      </c>
      <c r="F851" s="1">
        <v>368</v>
      </c>
      <c r="G851" s="1">
        <v>368</v>
      </c>
      <c r="H851" s="17" cm="1">
        <f t="array" ref="H851">_xlfn.LET(_xlpm.s,IFERROR(--F851,""),_xlpm.e,IFERROR(--G851,""),IF(OR(_xlpm.s="",_xlpm.e="",_xlpm.e&lt;_xlpm.s),"",_xlfn.LET(_xlpm.p,_xlfn.SEQUENCE(_xlpm.e-_xlpm.s+1,1,_xlpm.s,1),SUM(1/COUNTIFS($D:$D,D851,$E:$E,E851,$F:$F,"&lt;&gt;N/A",$G:$G,"&lt;&gt;N/A",$F:$F,"&lt;="&amp;_xlpm.p,$G:$G,"&gt;="&amp;_xlpm.p)))))</f>
        <v>0.33333333333333331</v>
      </c>
      <c r="I851" t="s">
        <v>7</v>
      </c>
      <c r="J851" t="s">
        <v>5077</v>
      </c>
      <c r="K851" t="s">
        <v>7</v>
      </c>
      <c r="L851" s="5" t="s">
        <v>7</v>
      </c>
      <c r="M851" t="s">
        <v>5048</v>
      </c>
      <c r="N851" t="s">
        <v>5079</v>
      </c>
      <c r="O851" s="5" t="s">
        <v>10264</v>
      </c>
      <c r="P851" s="5" t="s">
        <v>8020</v>
      </c>
      <c r="R851" t="b">
        <v>1</v>
      </c>
    </row>
    <row r="852" spans="1:18">
      <c r="A852" t="s">
        <v>3016</v>
      </c>
      <c r="B852" t="s">
        <v>6883</v>
      </c>
      <c r="C852" s="5" t="s">
        <v>2523</v>
      </c>
      <c r="D852" s="1">
        <v>8</v>
      </c>
      <c r="E852" s="1" t="s">
        <v>1924</v>
      </c>
      <c r="F852" s="1">
        <v>369</v>
      </c>
      <c r="G852" s="1">
        <v>369</v>
      </c>
      <c r="H852" s="17" cm="1">
        <f t="array" ref="H852">_xlfn.LET(_xlpm.s,IFERROR(--F852,""),_xlpm.e,IFERROR(--G852,""),IF(OR(_xlpm.s="",_xlpm.e="",_xlpm.e&lt;_xlpm.s),"",_xlfn.LET(_xlpm.p,_xlfn.SEQUENCE(_xlpm.e-_xlpm.s+1,1,_xlpm.s,1),SUM(1/COUNTIFS($D:$D,D852,$E:$E,E852,$F:$F,"&lt;&gt;N/A",$G:$G,"&lt;&gt;N/A",$F:$F,"&lt;="&amp;_xlpm.p,$G:$G,"&gt;="&amp;_xlpm.p)))))</f>
        <v>0.5</v>
      </c>
      <c r="I852" t="s">
        <v>5436</v>
      </c>
      <c r="J852" t="s">
        <v>5529</v>
      </c>
      <c r="K852" t="s">
        <v>7</v>
      </c>
      <c r="L852" s="5" t="s">
        <v>7</v>
      </c>
      <c r="M852" t="s">
        <v>7</v>
      </c>
      <c r="N852" t="s">
        <v>7</v>
      </c>
      <c r="O852" s="5" t="s">
        <v>778</v>
      </c>
      <c r="P852" s="5" t="s">
        <v>7834</v>
      </c>
      <c r="R852" t="b">
        <v>0</v>
      </c>
    </row>
    <row r="853" spans="1:18">
      <c r="A853" t="s">
        <v>3016</v>
      </c>
      <c r="B853" t="s">
        <v>6884</v>
      </c>
      <c r="C853" s="5" t="s">
        <v>2523</v>
      </c>
      <c r="D853" s="1">
        <v>8</v>
      </c>
      <c r="E853" s="1" t="s">
        <v>1924</v>
      </c>
      <c r="F853" s="1">
        <v>369</v>
      </c>
      <c r="G853" s="1">
        <v>371</v>
      </c>
      <c r="H853" s="17" cm="1">
        <f t="array" ref="H853">_xlfn.LET(_xlpm.s,IFERROR(--F853,""),_xlpm.e,IFERROR(--G853,""),IF(OR(_xlpm.s="",_xlpm.e="",_xlpm.e&lt;_xlpm.s),"",_xlfn.LET(_xlpm.p,_xlfn.SEQUENCE(_xlpm.e-_xlpm.s+1,1,_xlpm.s,1),SUM(1/COUNTIFS($D:$D,D853,$E:$E,E853,$F:$F,"&lt;&gt;N/A",$G:$G,"&lt;&gt;N/A",$F:$F,"&lt;="&amp;_xlpm.p,$G:$G,"&gt;="&amp;_xlpm.p)))))</f>
        <v>2.5</v>
      </c>
      <c r="I853" t="s">
        <v>5436</v>
      </c>
      <c r="J853" t="s">
        <v>5530</v>
      </c>
      <c r="K853" t="s">
        <v>7</v>
      </c>
      <c r="L853" s="5" t="s">
        <v>7</v>
      </c>
      <c r="M853" t="s">
        <v>7</v>
      </c>
      <c r="N853" t="s">
        <v>7</v>
      </c>
      <c r="O853" s="5" t="s">
        <v>778</v>
      </c>
      <c r="P853" s="5" t="s">
        <v>7834</v>
      </c>
      <c r="R853" t="b">
        <v>0</v>
      </c>
    </row>
    <row r="854" spans="1:18">
      <c r="A854" t="s">
        <v>3016</v>
      </c>
      <c r="B854" t="s">
        <v>6885</v>
      </c>
      <c r="C854" s="5" t="s">
        <v>2523</v>
      </c>
      <c r="D854" s="1">
        <v>8</v>
      </c>
      <c r="E854" s="1" t="s">
        <v>1924</v>
      </c>
      <c r="F854" s="1">
        <v>372</v>
      </c>
      <c r="G854" s="1">
        <v>379</v>
      </c>
      <c r="H854" s="17" cm="1">
        <f t="array" ref="H854">_xlfn.LET(_xlpm.s,IFERROR(--F854,""),_xlpm.e,IFERROR(--G854,""),IF(OR(_xlpm.s="",_xlpm.e="",_xlpm.e&lt;_xlpm.s),"",_xlfn.LET(_xlpm.p,_xlfn.SEQUENCE(_xlpm.e-_xlpm.s+1,1,_xlpm.s,1),SUM(1/COUNTIFS($D:$D,D854,$E:$E,E854,$F:$F,"&lt;&gt;N/A",$G:$G,"&lt;&gt;N/A",$F:$F,"&lt;="&amp;_xlpm.p,$G:$G,"&gt;="&amp;_xlpm.p)))))</f>
        <v>7.5</v>
      </c>
      <c r="I854" t="s">
        <v>5436</v>
      </c>
      <c r="J854" t="s">
        <v>1919</v>
      </c>
      <c r="K854" t="s">
        <v>2440</v>
      </c>
      <c r="L854" s="5" t="s">
        <v>7</v>
      </c>
      <c r="M854" t="s">
        <v>7</v>
      </c>
      <c r="N854" t="s">
        <v>7</v>
      </c>
      <c r="O854" s="5" t="s">
        <v>778</v>
      </c>
      <c r="P854" s="5" t="s">
        <v>7834</v>
      </c>
      <c r="R854" t="b">
        <v>0</v>
      </c>
    </row>
    <row r="855" spans="1:18">
      <c r="A855" t="s">
        <v>3016</v>
      </c>
      <c r="B855" t="s">
        <v>6886</v>
      </c>
      <c r="C855" s="5" t="s">
        <v>2523</v>
      </c>
      <c r="D855" s="1">
        <v>8</v>
      </c>
      <c r="E855" s="1" t="s">
        <v>1924</v>
      </c>
      <c r="F855" s="1">
        <v>379</v>
      </c>
      <c r="G855" s="1">
        <v>390</v>
      </c>
      <c r="H855" s="17" cm="1">
        <f t="array" ref="H855">_xlfn.LET(_xlpm.s,IFERROR(--F855,""),_xlpm.e,IFERROR(--G855,""),IF(OR(_xlpm.s="",_xlpm.e="",_xlpm.e&lt;_xlpm.s),"",_xlfn.LET(_xlpm.p,_xlfn.SEQUENCE(_xlpm.e-_xlpm.s+1,1,_xlpm.s,1),SUM(1/COUNTIFS($D:$D,D855,$E:$E,E855,$F:$F,"&lt;&gt;N/A",$G:$G,"&lt;&gt;N/A",$F:$F,"&lt;="&amp;_xlpm.p,$G:$G,"&gt;="&amp;_xlpm.p)))))</f>
        <v>11</v>
      </c>
      <c r="I855" t="s">
        <v>7</v>
      </c>
      <c r="J855" t="s">
        <v>1920</v>
      </c>
      <c r="K855" t="s">
        <v>2465</v>
      </c>
      <c r="L855" s="5" t="s">
        <v>7</v>
      </c>
      <c r="M855" t="s">
        <v>7</v>
      </c>
      <c r="N855" t="s">
        <v>7</v>
      </c>
      <c r="O855" s="5" t="s">
        <v>778</v>
      </c>
      <c r="P855" s="5" t="s">
        <v>7834</v>
      </c>
      <c r="R855" t="b">
        <v>1</v>
      </c>
    </row>
    <row r="856" spans="1:18">
      <c r="A856" t="s">
        <v>3016</v>
      </c>
      <c r="B856" t="s">
        <v>6887</v>
      </c>
      <c r="C856" s="5" t="s">
        <v>2523</v>
      </c>
      <c r="D856" s="1">
        <v>8</v>
      </c>
      <c r="E856" s="1" t="s">
        <v>1924</v>
      </c>
      <c r="F856" s="1">
        <v>390</v>
      </c>
      <c r="G856" s="1">
        <v>419</v>
      </c>
      <c r="H856" s="17" cm="1">
        <f t="array" ref="H856">_xlfn.LET(_xlpm.s,IFERROR(--F856,""),_xlpm.e,IFERROR(--G856,""),IF(OR(_xlpm.s="",_xlpm.e="",_xlpm.e&lt;_xlpm.s),"",_xlfn.LET(_xlpm.p,_xlfn.SEQUENCE(_xlpm.e-_xlpm.s+1,1,_xlpm.s,1),SUM(1/COUNTIFS($D:$D,D856,$E:$E,E856,$F:$F,"&lt;&gt;N/A",$G:$G,"&lt;&gt;N/A",$F:$F,"&lt;="&amp;_xlpm.p,$G:$G,"&gt;="&amp;_xlpm.p)))))</f>
        <v>29</v>
      </c>
      <c r="I856" t="s">
        <v>7</v>
      </c>
      <c r="J856" t="s">
        <v>3220</v>
      </c>
      <c r="K856" t="s">
        <v>2471</v>
      </c>
      <c r="L856" s="5" t="s">
        <v>7</v>
      </c>
      <c r="M856" t="s">
        <v>7</v>
      </c>
      <c r="N856" t="s">
        <v>4410</v>
      </c>
      <c r="O856" s="5" t="s">
        <v>778</v>
      </c>
      <c r="P856" s="5" t="s">
        <v>7834</v>
      </c>
      <c r="R856" t="b">
        <v>1</v>
      </c>
    </row>
    <row r="857" spans="1:18">
      <c r="A857" t="s">
        <v>3016</v>
      </c>
      <c r="B857" t="s">
        <v>6888</v>
      </c>
      <c r="C857" s="5" t="s">
        <v>2523</v>
      </c>
      <c r="D857" s="1">
        <v>8</v>
      </c>
      <c r="E857" s="1" t="s">
        <v>1924</v>
      </c>
      <c r="F857" s="1">
        <v>419</v>
      </c>
      <c r="G857" s="1">
        <v>425</v>
      </c>
      <c r="H857" s="17" cm="1">
        <f t="array" ref="H857">_xlfn.LET(_xlpm.s,IFERROR(--F857,""),_xlpm.e,IFERROR(--G857,""),IF(OR(_xlpm.s="",_xlpm.e="",_xlpm.e&lt;_xlpm.s),"",_xlfn.LET(_xlpm.p,_xlfn.SEQUENCE(_xlpm.e-_xlpm.s+1,1,_xlpm.s,1),SUM(1/COUNTIFS($D:$D,D857,$E:$E,E857,$F:$F,"&lt;&gt;N/A",$G:$G,"&lt;&gt;N/A",$F:$F,"&lt;="&amp;_xlpm.p,$G:$G,"&gt;="&amp;_xlpm.p)))))</f>
        <v>6.5</v>
      </c>
      <c r="I857" t="s">
        <v>7</v>
      </c>
      <c r="J857" t="s">
        <v>1921</v>
      </c>
      <c r="K857" t="s">
        <v>2471</v>
      </c>
      <c r="L857" s="5" t="s">
        <v>7</v>
      </c>
      <c r="M857" t="s">
        <v>7</v>
      </c>
      <c r="N857" t="s">
        <v>4411</v>
      </c>
      <c r="O857" s="5" t="s">
        <v>778</v>
      </c>
      <c r="P857" s="5" t="s">
        <v>7834</v>
      </c>
      <c r="R857" t="b">
        <v>1</v>
      </c>
    </row>
    <row r="858" spans="1:18">
      <c r="A858" t="s">
        <v>3016</v>
      </c>
      <c r="B858" t="s">
        <v>10779</v>
      </c>
      <c r="C858" s="5" t="s">
        <v>2523</v>
      </c>
      <c r="D858" s="1">
        <v>8</v>
      </c>
      <c r="E858" s="1" t="s">
        <v>1924</v>
      </c>
      <c r="F858" s="1">
        <v>426</v>
      </c>
      <c r="G858" s="1">
        <v>432</v>
      </c>
      <c r="H858" s="17" cm="1">
        <f t="array" ref="H858">_xlfn.LET(_xlpm.s,IFERROR(--F858,""),_xlpm.e,IFERROR(--G858,""),IF(OR(_xlpm.s="",_xlpm.e="",_xlpm.e&lt;_xlpm.s),"",_xlfn.LET(_xlpm.p,_xlfn.SEQUENCE(_xlpm.e-_xlpm.s+1,1,_xlpm.s,1),SUM(1/COUNTIFS($D:$D,D858,$E:$E,E858,$F:$F,"&lt;&gt;N/A",$G:$G,"&lt;&gt;N/A",$F:$F,"&lt;="&amp;_xlpm.p,$G:$G,"&gt;="&amp;_xlpm.p)))))</f>
        <v>7</v>
      </c>
      <c r="I858" t="s">
        <v>7</v>
      </c>
      <c r="J858" t="s">
        <v>1922</v>
      </c>
      <c r="K858" t="s">
        <v>2472</v>
      </c>
      <c r="L858" s="5" t="s">
        <v>7</v>
      </c>
      <c r="M858" t="s">
        <v>7</v>
      </c>
      <c r="N858" t="s">
        <v>10780</v>
      </c>
      <c r="O858" s="5" t="s">
        <v>10264</v>
      </c>
      <c r="P858" s="5" t="s">
        <v>8020</v>
      </c>
      <c r="R858" t="b">
        <v>1</v>
      </c>
    </row>
  </sheetData>
  <phoneticPr fontId="1"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6FE8-E2DD-4614-AFA6-6FBCA3E38512}">
  <sheetPr codeName="Sheet9"/>
  <dimension ref="A1:R17"/>
  <sheetViews>
    <sheetView workbookViewId="0">
      <selection activeCell="J21" sqref="J21:K21"/>
    </sheetView>
  </sheetViews>
  <sheetFormatPr defaultColWidth="8.77734375" defaultRowHeight="14.4"/>
  <cols>
    <col min="1" max="2" width="5.77734375" customWidth="1"/>
    <col min="3" max="3" width="5.77734375" style="5" customWidth="1"/>
    <col min="4" max="8" width="5.77734375" style="1" customWidth="1"/>
    <col min="9" max="14" width="5.77734375" customWidth="1"/>
    <col min="15" max="16" width="5.77734375" style="5" customWidth="1"/>
    <col min="17" max="18" width="5.77734375" customWidth="1"/>
    <col min="19" max="19" width="8.77734375" customWidth="1"/>
  </cols>
  <sheetData>
    <row r="1" spans="1:18">
      <c r="A1" t="s">
        <v>3032</v>
      </c>
      <c r="B1" t="s">
        <v>3281</v>
      </c>
      <c r="C1" s="4" t="s">
        <v>41</v>
      </c>
      <c r="D1" s="2" t="s">
        <v>3282</v>
      </c>
      <c r="E1" s="2" t="s">
        <v>34</v>
      </c>
      <c r="F1" s="2" t="s">
        <v>8031</v>
      </c>
      <c r="G1" s="2" t="s">
        <v>8032</v>
      </c>
      <c r="H1" s="2" t="s">
        <v>2530</v>
      </c>
      <c r="I1" s="2" t="s">
        <v>5</v>
      </c>
      <c r="J1" s="2" t="s">
        <v>4</v>
      </c>
      <c r="K1" s="4" t="s">
        <v>11402</v>
      </c>
      <c r="L1" s="5" t="s">
        <v>11401</v>
      </c>
      <c r="M1" s="4" t="s">
        <v>11400</v>
      </c>
      <c r="N1" s="4" t="s">
        <v>5006</v>
      </c>
      <c r="O1" s="4" t="s">
        <v>11506</v>
      </c>
      <c r="P1" s="4" t="s">
        <v>11403</v>
      </c>
      <c r="Q1" t="s">
        <v>1948</v>
      </c>
      <c r="R1" t="s">
        <v>2062</v>
      </c>
    </row>
    <row r="2" spans="1:18">
      <c r="A2" t="s">
        <v>3027</v>
      </c>
      <c r="B2" t="s">
        <v>3623</v>
      </c>
      <c r="C2" s="5" t="s">
        <v>7837</v>
      </c>
      <c r="D2" s="1">
        <v>1</v>
      </c>
      <c r="E2" s="1">
        <v>2</v>
      </c>
      <c r="F2" s="1">
        <v>1</v>
      </c>
      <c r="G2" s="1">
        <v>1</v>
      </c>
      <c r="H2" s="10" cm="1">
        <f t="array" ref="H2">_xlfn.LET(_xlpm.s,IFERROR(--F2,""),_xlpm.e,IFERROR(--G2,""),IF(OR(_xlpm.s="",_xlpm.e="",_xlpm.e&lt;_xlpm.s),"",_xlfn.LET(_xlpm.p,_xlfn.SEQUENCE(_xlpm.e-_xlpm.s+1,1,_xlpm.s,1),SUM(1/COUNTIFS($D:$D,D2,$E:$E,E2,$F:$F,"&lt;&gt;N/A",$G:$G,"&lt;&gt;N/A",$F:$F,"&lt;="&amp;_xlpm.p,$G:$G,"&gt;="&amp;_xlpm.p)))))</f>
        <v>0.5</v>
      </c>
      <c r="I2" t="s">
        <v>7</v>
      </c>
      <c r="J2" t="s">
        <v>11415</v>
      </c>
      <c r="K2" s="5" t="s">
        <v>7</v>
      </c>
      <c r="L2" s="5" t="s">
        <v>7</v>
      </c>
      <c r="M2" s="5" t="s">
        <v>7</v>
      </c>
      <c r="N2" s="5" t="s">
        <v>7</v>
      </c>
      <c r="O2" s="5" t="s">
        <v>778</v>
      </c>
      <c r="P2" s="5" t="s">
        <v>7834</v>
      </c>
      <c r="R2" s="5" t="b">
        <v>1</v>
      </c>
    </row>
    <row r="3" spans="1:18">
      <c r="A3" t="s">
        <v>3027</v>
      </c>
      <c r="B3" t="s">
        <v>3624</v>
      </c>
      <c r="C3" s="5" t="s">
        <v>7837</v>
      </c>
      <c r="D3" s="1">
        <v>1</v>
      </c>
      <c r="E3" s="1">
        <v>2</v>
      </c>
      <c r="F3" s="1">
        <v>1</v>
      </c>
      <c r="G3" s="1">
        <v>2</v>
      </c>
      <c r="H3" s="10" cm="1">
        <f t="array" ref="H3">_xlfn.LET(_xlpm.s,IFERROR(--F3,""),_xlpm.e,IFERROR(--G3,""),IF(OR(_xlpm.s="",_xlpm.e="",_xlpm.e&lt;_xlpm.s),"",_xlfn.LET(_xlpm.p,_xlfn.SEQUENCE(_xlpm.e-_xlpm.s+1,1,_xlpm.s,1),SUM(1/COUNTIFS($D:$D,D3,$E:$E,E3,$F:$F,"&lt;&gt;N/A",$G:$G,"&lt;&gt;N/A",$F:$F,"&lt;="&amp;_xlpm.p,$G:$G,"&gt;="&amp;_xlpm.p)))))</f>
        <v>1</v>
      </c>
      <c r="I3" t="s">
        <v>7</v>
      </c>
      <c r="J3" t="s">
        <v>504</v>
      </c>
      <c r="K3" s="5" t="s">
        <v>515</v>
      </c>
      <c r="L3" s="5" t="s">
        <v>7</v>
      </c>
      <c r="M3" s="5" t="s">
        <v>5034</v>
      </c>
      <c r="N3" s="5" t="s">
        <v>2830</v>
      </c>
      <c r="O3" s="5" t="s">
        <v>5072</v>
      </c>
      <c r="P3" s="5" t="s">
        <v>8019</v>
      </c>
      <c r="R3" s="5" t="b">
        <v>1</v>
      </c>
    </row>
    <row r="4" spans="1:18">
      <c r="A4" t="s">
        <v>3027</v>
      </c>
      <c r="B4" t="s">
        <v>3625</v>
      </c>
      <c r="C4" s="5" t="s">
        <v>7837</v>
      </c>
      <c r="D4" s="1">
        <v>1</v>
      </c>
      <c r="E4" s="1">
        <v>2</v>
      </c>
      <c r="F4" s="1">
        <v>2</v>
      </c>
      <c r="G4" s="1">
        <v>3</v>
      </c>
      <c r="H4" s="10" cm="1">
        <f t="array" ref="H4">_xlfn.LET(_xlpm.s,IFERROR(--F4,""),_xlpm.e,IFERROR(--G4,""),IF(OR(_xlpm.s="",_xlpm.e="",_xlpm.e&lt;_xlpm.s),"",_xlfn.LET(_xlpm.p,_xlfn.SEQUENCE(_xlpm.e-_xlpm.s+1,1,_xlpm.s,1),SUM(1/COUNTIFS($D:$D,D4,$E:$E,E4,$F:$F,"&lt;&gt;N/A",$G:$G,"&lt;&gt;N/A",$F:$F,"&lt;="&amp;_xlpm.p,$G:$G,"&gt;="&amp;_xlpm.p)))))</f>
        <v>0.83333333333333326</v>
      </c>
      <c r="I4" t="s">
        <v>7</v>
      </c>
      <c r="J4" t="s">
        <v>505</v>
      </c>
      <c r="K4" s="5" t="s">
        <v>515</v>
      </c>
      <c r="L4" s="5" t="s">
        <v>7</v>
      </c>
      <c r="M4" s="5" t="s">
        <v>5034</v>
      </c>
      <c r="N4" s="5" t="s">
        <v>2830</v>
      </c>
      <c r="O4" s="5" t="s">
        <v>5072</v>
      </c>
      <c r="P4" s="5" t="s">
        <v>8019</v>
      </c>
      <c r="R4" s="5" t="b">
        <v>1</v>
      </c>
    </row>
    <row r="5" spans="1:18">
      <c r="A5" t="s">
        <v>3027</v>
      </c>
      <c r="B5" t="s">
        <v>3626</v>
      </c>
      <c r="C5" s="5" t="s">
        <v>7837</v>
      </c>
      <c r="D5" s="1">
        <v>1</v>
      </c>
      <c r="E5" s="1">
        <v>2</v>
      </c>
      <c r="F5" s="1">
        <v>3</v>
      </c>
      <c r="G5" s="1">
        <v>3</v>
      </c>
      <c r="H5" s="10" cm="1">
        <f t="array" ref="H5">_xlfn.LET(_xlpm.s,IFERROR(--F5,""),_xlpm.e,IFERROR(--G5,""),IF(OR(_xlpm.s="",_xlpm.e="",_xlpm.e&lt;_xlpm.s),"",_xlfn.LET(_xlpm.p,_xlfn.SEQUENCE(_xlpm.e-_xlpm.s+1,1,_xlpm.s,1),SUM(1/COUNTIFS($D:$D,D5,$E:$E,E5,$F:$F,"&lt;&gt;N/A",$G:$G,"&lt;&gt;N/A",$F:$F,"&lt;="&amp;_xlpm.p,$G:$G,"&gt;="&amp;_xlpm.p)))))</f>
        <v>0.33333333333333331</v>
      </c>
      <c r="I5" t="s">
        <v>7</v>
      </c>
      <c r="J5" t="s">
        <v>6718</v>
      </c>
      <c r="K5" s="5" t="s">
        <v>7</v>
      </c>
      <c r="L5" s="5" t="s">
        <v>7</v>
      </c>
      <c r="M5" s="5" t="s">
        <v>5034</v>
      </c>
      <c r="N5" s="5" t="s">
        <v>5042</v>
      </c>
      <c r="O5" s="5" t="s">
        <v>5072</v>
      </c>
      <c r="P5" s="5" t="s">
        <v>8019</v>
      </c>
      <c r="R5" s="5" t="b">
        <v>1</v>
      </c>
    </row>
    <row r="6" spans="1:18">
      <c r="A6" t="s">
        <v>3027</v>
      </c>
      <c r="B6" t="s">
        <v>3627</v>
      </c>
      <c r="C6" s="5" t="s">
        <v>7837</v>
      </c>
      <c r="D6" s="1">
        <v>1</v>
      </c>
      <c r="E6" s="1">
        <v>2</v>
      </c>
      <c r="F6" s="1">
        <v>3</v>
      </c>
      <c r="G6" s="1">
        <v>4</v>
      </c>
      <c r="H6" s="10" cm="1">
        <f t="array" ref="H6">_xlfn.LET(_xlpm.s,IFERROR(--F6,""),_xlpm.e,IFERROR(--G6,""),IF(OR(_xlpm.s="",_xlpm.e="",_xlpm.e&lt;_xlpm.s),"",_xlfn.LET(_xlpm.p,_xlfn.SEQUENCE(_xlpm.e-_xlpm.s+1,1,_xlpm.s,1),SUM(1/COUNTIFS($D:$D,D6,$E:$E,E6,$F:$F,"&lt;&gt;N/A",$G:$G,"&lt;&gt;N/A",$F:$F,"&lt;="&amp;_xlpm.p,$G:$G,"&gt;="&amp;_xlpm.p)))))</f>
        <v>0.83333333333333326</v>
      </c>
      <c r="I6" t="s">
        <v>7</v>
      </c>
      <c r="J6" t="s">
        <v>6736</v>
      </c>
      <c r="K6" s="5" t="s">
        <v>7</v>
      </c>
      <c r="L6" s="5" t="s">
        <v>7</v>
      </c>
      <c r="M6" s="5" t="s">
        <v>7</v>
      </c>
      <c r="N6" s="5" t="s">
        <v>3211</v>
      </c>
      <c r="O6" s="5" t="s">
        <v>11522</v>
      </c>
      <c r="P6" s="5" t="s">
        <v>8021</v>
      </c>
      <c r="Q6" s="5" t="s">
        <v>11501</v>
      </c>
      <c r="R6" s="5" t="b">
        <v>1</v>
      </c>
    </row>
    <row r="7" spans="1:18">
      <c r="A7" t="s">
        <v>3027</v>
      </c>
      <c r="B7" t="s">
        <v>3628</v>
      </c>
      <c r="C7" s="5" t="s">
        <v>7837</v>
      </c>
      <c r="D7" s="1">
        <v>1</v>
      </c>
      <c r="E7" s="1">
        <v>2</v>
      </c>
      <c r="F7" s="1">
        <v>4</v>
      </c>
      <c r="G7" s="1">
        <v>5</v>
      </c>
      <c r="H7" s="10" cm="1">
        <f t="array" ref="H7">_xlfn.LET(_xlpm.s,IFERROR(--F7,""),_xlpm.e,IFERROR(--G7,""),IF(OR(_xlpm.s="",_xlpm.e="",_xlpm.e&lt;_xlpm.s),"",_xlfn.LET(_xlpm.p,_xlfn.SEQUENCE(_xlpm.e-_xlpm.s+1,1,_xlpm.s,1),SUM(1/COUNTIFS($D:$D,D7,$E:$E,E7,$F:$F,"&lt;&gt;N/A",$G:$G,"&lt;&gt;N/A",$F:$F,"&lt;="&amp;_xlpm.p,$G:$G,"&gt;="&amp;_xlpm.p)))))</f>
        <v>1</v>
      </c>
      <c r="I7" t="s">
        <v>7</v>
      </c>
      <c r="J7" t="s">
        <v>507</v>
      </c>
      <c r="K7" s="5" t="s">
        <v>7</v>
      </c>
      <c r="L7" s="5" t="s">
        <v>7</v>
      </c>
      <c r="M7" s="5" t="s">
        <v>7</v>
      </c>
      <c r="N7" s="5" t="s">
        <v>3212</v>
      </c>
      <c r="O7" s="5" t="s">
        <v>11522</v>
      </c>
      <c r="P7" s="5" t="s">
        <v>8021</v>
      </c>
      <c r="Q7" s="5" t="s">
        <v>11501</v>
      </c>
      <c r="R7" s="5" t="b">
        <v>1</v>
      </c>
    </row>
    <row r="8" spans="1:18">
      <c r="A8" t="s">
        <v>3027</v>
      </c>
      <c r="B8" t="s">
        <v>3629</v>
      </c>
      <c r="C8" s="5" t="s">
        <v>7837</v>
      </c>
      <c r="D8" s="1">
        <v>1</v>
      </c>
      <c r="E8" s="1">
        <v>2</v>
      </c>
      <c r="F8" s="1">
        <v>5</v>
      </c>
      <c r="G8" s="1">
        <v>6</v>
      </c>
      <c r="H8" s="10" cm="1">
        <f t="array" ref="H8">_xlfn.LET(_xlpm.s,IFERROR(--F8,""),_xlpm.e,IFERROR(--G8,""),IF(OR(_xlpm.s="",_xlpm.e="",_xlpm.e&lt;_xlpm.s),"",_xlfn.LET(_xlpm.p,_xlfn.SEQUENCE(_xlpm.e-_xlpm.s+1,1,_xlpm.s,1),SUM(1/COUNTIFS($D:$D,D8,$E:$E,E8,$F:$F,"&lt;&gt;N/A",$G:$G,"&lt;&gt;N/A",$F:$F,"&lt;="&amp;_xlpm.p,$G:$G,"&gt;="&amp;_xlpm.p)))))</f>
        <v>1.5</v>
      </c>
      <c r="I8" t="s">
        <v>7</v>
      </c>
      <c r="J8" t="s">
        <v>506</v>
      </c>
      <c r="K8" s="5" t="s">
        <v>7</v>
      </c>
      <c r="L8" s="5" t="s">
        <v>7</v>
      </c>
      <c r="M8" t="s">
        <v>5035</v>
      </c>
      <c r="N8" s="5" t="s">
        <v>5041</v>
      </c>
      <c r="O8" s="5" t="s">
        <v>5072</v>
      </c>
      <c r="P8" s="5" t="s">
        <v>8019</v>
      </c>
      <c r="R8" s="5" t="b">
        <v>1</v>
      </c>
    </row>
    <row r="9" spans="1:18">
      <c r="A9" t="s">
        <v>3027</v>
      </c>
      <c r="B9" t="s">
        <v>3630</v>
      </c>
      <c r="C9" s="5" t="s">
        <v>7837</v>
      </c>
      <c r="D9" s="1">
        <v>1</v>
      </c>
      <c r="E9" s="1">
        <v>2</v>
      </c>
      <c r="F9" s="1">
        <v>7</v>
      </c>
      <c r="G9" s="1">
        <v>7</v>
      </c>
      <c r="H9" s="10" cm="1">
        <f t="array" ref="H9">_xlfn.LET(_xlpm.s,IFERROR(--F9,""),_xlpm.e,IFERROR(--G9,""),IF(OR(_xlpm.s="",_xlpm.e="",_xlpm.e&lt;_xlpm.s),"",_xlfn.LET(_xlpm.p,_xlfn.SEQUENCE(_xlpm.e-_xlpm.s+1,1,_xlpm.s,1),SUM(1/COUNTIFS($D:$D,D9,$E:$E,E9,$F:$F,"&lt;&gt;N/A",$G:$G,"&lt;&gt;N/A",$F:$F,"&lt;="&amp;_xlpm.p,$G:$G,"&gt;="&amp;_xlpm.p)))))</f>
        <v>1</v>
      </c>
      <c r="I9" t="s">
        <v>7</v>
      </c>
      <c r="J9" t="s">
        <v>514</v>
      </c>
      <c r="K9" s="5" t="s">
        <v>7</v>
      </c>
      <c r="L9" s="5" t="s">
        <v>7</v>
      </c>
      <c r="M9" s="5" t="s">
        <v>7</v>
      </c>
      <c r="N9" s="5" t="s">
        <v>7</v>
      </c>
      <c r="O9" s="5" t="s">
        <v>778</v>
      </c>
      <c r="P9" s="5" t="s">
        <v>7834</v>
      </c>
      <c r="R9" s="5" t="b">
        <v>0</v>
      </c>
    </row>
    <row r="10" spans="1:18">
      <c r="A10" t="s">
        <v>3027</v>
      </c>
      <c r="B10" t="s">
        <v>3631</v>
      </c>
      <c r="C10" s="5" t="s">
        <v>7838</v>
      </c>
      <c r="D10" s="1">
        <v>1</v>
      </c>
      <c r="E10" s="1">
        <v>3</v>
      </c>
      <c r="F10" s="1">
        <v>13</v>
      </c>
      <c r="G10" s="1">
        <v>13</v>
      </c>
      <c r="H10" s="10" cm="1">
        <f t="array" ref="H10">_xlfn.LET(_xlpm.s,IFERROR(--F10,""),_xlpm.e,IFERROR(--G10,""),IF(OR(_xlpm.s="",_xlpm.e="",_xlpm.e&lt;_xlpm.s),"",_xlfn.LET(_xlpm.p,_xlfn.SEQUENCE(_xlpm.e-_xlpm.s+1,1,_xlpm.s,1),SUM(1/COUNTIFS($D:$D,D10,$E:$E,E10,$F:$F,"&lt;&gt;N/A",$G:$G,"&lt;&gt;N/A",$F:$F,"&lt;="&amp;_xlpm.p,$G:$G,"&gt;="&amp;_xlpm.p)))))</f>
        <v>0.5</v>
      </c>
      <c r="I10" t="s">
        <v>7</v>
      </c>
      <c r="J10" t="s">
        <v>508</v>
      </c>
      <c r="K10" s="5" t="s">
        <v>7</v>
      </c>
      <c r="L10" s="5" t="s">
        <v>7</v>
      </c>
      <c r="M10" t="s">
        <v>5035</v>
      </c>
      <c r="N10" s="5" t="s">
        <v>5041</v>
      </c>
      <c r="O10" s="5" t="s">
        <v>5072</v>
      </c>
      <c r="P10" s="5" t="s">
        <v>8019</v>
      </c>
      <c r="R10" s="5" t="b">
        <v>1</v>
      </c>
    </row>
    <row r="11" spans="1:18">
      <c r="A11" t="s">
        <v>3027</v>
      </c>
      <c r="B11" t="s">
        <v>3632</v>
      </c>
      <c r="C11" s="5" t="s">
        <v>7838</v>
      </c>
      <c r="D11" s="1">
        <v>1</v>
      </c>
      <c r="E11" s="1">
        <v>3</v>
      </c>
      <c r="F11" s="1">
        <v>13</v>
      </c>
      <c r="G11" s="1">
        <v>15</v>
      </c>
      <c r="H11" s="10" cm="1">
        <f t="array" ref="H11">_xlfn.LET(_xlpm.s,IFERROR(--F11,""),_xlpm.e,IFERROR(--G11,""),IF(OR(_xlpm.s="",_xlpm.e="",_xlpm.e&lt;_xlpm.s),"",_xlfn.LET(_xlpm.p,_xlfn.SEQUENCE(_xlpm.e-_xlpm.s+1,1,_xlpm.s,1),SUM(1/COUNTIFS($D:$D,D11,$E:$E,E11,$F:$F,"&lt;&gt;N/A",$G:$G,"&lt;&gt;N/A",$F:$F,"&lt;="&amp;_xlpm.p,$G:$G,"&gt;="&amp;_xlpm.p)))))</f>
        <v>2</v>
      </c>
      <c r="I11" t="s">
        <v>7</v>
      </c>
      <c r="J11" t="s">
        <v>509</v>
      </c>
      <c r="K11" s="5" t="s">
        <v>7</v>
      </c>
      <c r="L11" s="5" t="s">
        <v>7</v>
      </c>
      <c r="M11" s="5" t="s">
        <v>5036</v>
      </c>
      <c r="N11" s="5" t="s">
        <v>516</v>
      </c>
      <c r="O11" s="5" t="s">
        <v>5072</v>
      </c>
      <c r="P11" s="5" t="s">
        <v>8019</v>
      </c>
      <c r="R11" s="5" t="b">
        <v>1</v>
      </c>
    </row>
    <row r="12" spans="1:18">
      <c r="A12" t="s">
        <v>3027</v>
      </c>
      <c r="B12" t="s">
        <v>3633</v>
      </c>
      <c r="C12" s="5" t="s">
        <v>7838</v>
      </c>
      <c r="D12" s="1">
        <v>1</v>
      </c>
      <c r="E12" s="1">
        <v>3</v>
      </c>
      <c r="F12" s="1">
        <v>15</v>
      </c>
      <c r="G12" s="1">
        <v>16</v>
      </c>
      <c r="H12" s="10" cm="1">
        <f t="array" ref="H12">_xlfn.LET(_xlpm.s,IFERROR(--F12,""),_xlpm.e,IFERROR(--G12,""),IF(OR(_xlpm.s="",_xlpm.e="",_xlpm.e&lt;_xlpm.s),"",_xlfn.LET(_xlpm.p,_xlfn.SEQUENCE(_xlpm.e-_xlpm.s+1,1,_xlpm.s,1),SUM(1/COUNTIFS($D:$D,D12,$E:$E,E12,$F:$F,"&lt;&gt;N/A",$G:$G,"&lt;&gt;N/A",$F:$F,"&lt;="&amp;_xlpm.p,$G:$G,"&gt;="&amp;_xlpm.p)))))</f>
        <v>1</v>
      </c>
      <c r="I12" t="s">
        <v>7</v>
      </c>
      <c r="J12" t="s">
        <v>513</v>
      </c>
      <c r="K12" s="5" t="s">
        <v>7</v>
      </c>
      <c r="L12" s="5" t="s">
        <v>7</v>
      </c>
      <c r="M12" s="5" t="s">
        <v>5034</v>
      </c>
      <c r="N12" s="5" t="s">
        <v>517</v>
      </c>
      <c r="O12" s="5" t="s">
        <v>5072</v>
      </c>
      <c r="P12" s="5" t="s">
        <v>8019</v>
      </c>
      <c r="R12" s="5" t="b">
        <v>1</v>
      </c>
    </row>
    <row r="13" spans="1:18">
      <c r="A13" t="s">
        <v>3027</v>
      </c>
      <c r="B13" t="s">
        <v>3634</v>
      </c>
      <c r="C13" s="5" t="s">
        <v>7838</v>
      </c>
      <c r="D13" s="1">
        <v>1</v>
      </c>
      <c r="E13" s="1">
        <v>3</v>
      </c>
      <c r="F13" s="1">
        <v>16</v>
      </c>
      <c r="G13" s="1">
        <v>17</v>
      </c>
      <c r="H13" s="10" cm="1">
        <f t="array" ref="H13">_xlfn.LET(_xlpm.s,IFERROR(--F13,""),_xlpm.e,IFERROR(--G13,""),IF(OR(_xlpm.s="",_xlpm.e="",_xlpm.e&lt;_xlpm.s),"",_xlfn.LET(_xlpm.p,_xlfn.SEQUENCE(_xlpm.e-_xlpm.s+1,1,_xlpm.s,1),SUM(1/COUNTIFS($D:$D,D13,$E:$E,E13,$F:$F,"&lt;&gt;N/A",$G:$G,"&lt;&gt;N/A",$F:$F,"&lt;="&amp;_xlpm.p,$G:$G,"&gt;="&amp;_xlpm.p)))))</f>
        <v>1</v>
      </c>
      <c r="I13" t="s">
        <v>7</v>
      </c>
      <c r="J13" t="s">
        <v>512</v>
      </c>
      <c r="K13" s="5" t="s">
        <v>7</v>
      </c>
      <c r="L13" s="5" t="s">
        <v>7</v>
      </c>
      <c r="M13" s="5" t="s">
        <v>5037</v>
      </c>
      <c r="N13" s="5" t="s">
        <v>5040</v>
      </c>
      <c r="O13" s="5" t="s">
        <v>5072</v>
      </c>
      <c r="P13" s="5" t="s">
        <v>8019</v>
      </c>
      <c r="R13" s="5" t="b">
        <v>1</v>
      </c>
    </row>
    <row r="14" spans="1:18">
      <c r="A14" t="s">
        <v>3027</v>
      </c>
      <c r="B14" t="s">
        <v>3635</v>
      </c>
      <c r="C14" s="5" t="s">
        <v>7838</v>
      </c>
      <c r="D14" s="1">
        <v>1</v>
      </c>
      <c r="E14" s="1">
        <v>3</v>
      </c>
      <c r="F14" s="1">
        <v>17</v>
      </c>
      <c r="G14" s="1">
        <v>18</v>
      </c>
      <c r="H14" s="10" cm="1">
        <f t="array" ref="H14">_xlfn.LET(_xlpm.s,IFERROR(--F14,""),_xlpm.e,IFERROR(--G14,""),IF(OR(_xlpm.s="",_xlpm.e="",_xlpm.e&lt;_xlpm.s),"",_xlfn.LET(_xlpm.p,_xlfn.SEQUENCE(_xlpm.e-_xlpm.s+1,1,_xlpm.s,1),SUM(1/COUNTIFS($D:$D,D14,$E:$E,E14,$F:$F,"&lt;&gt;N/A",$G:$G,"&lt;&gt;N/A",$F:$F,"&lt;="&amp;_xlpm.p,$G:$G,"&gt;="&amp;_xlpm.p)))))</f>
        <v>1</v>
      </c>
      <c r="I14" t="s">
        <v>7</v>
      </c>
      <c r="J14" t="s">
        <v>511</v>
      </c>
      <c r="K14" s="5" t="s">
        <v>7</v>
      </c>
      <c r="L14" s="5" t="s">
        <v>7</v>
      </c>
      <c r="M14" s="5" t="s">
        <v>5037</v>
      </c>
      <c r="N14" s="5" t="s">
        <v>5038</v>
      </c>
      <c r="O14" s="5" t="s">
        <v>5072</v>
      </c>
      <c r="P14" s="5" t="s">
        <v>8019</v>
      </c>
      <c r="R14" s="5" t="b">
        <v>1</v>
      </c>
    </row>
    <row r="15" spans="1:18">
      <c r="A15" t="s">
        <v>3027</v>
      </c>
      <c r="B15" t="s">
        <v>3636</v>
      </c>
      <c r="C15" s="5" t="s">
        <v>7838</v>
      </c>
      <c r="D15" s="1">
        <v>1</v>
      </c>
      <c r="E15" s="1">
        <v>3</v>
      </c>
      <c r="F15" s="1">
        <v>18</v>
      </c>
      <c r="G15" s="1">
        <v>18</v>
      </c>
      <c r="H15" s="10" cm="1">
        <f t="array" ref="H15">_xlfn.LET(_xlpm.s,IFERROR(--F15,""),_xlpm.e,IFERROR(--G15,""),IF(OR(_xlpm.s="",_xlpm.e="",_xlpm.e&lt;_xlpm.s),"",_xlfn.LET(_xlpm.p,_xlfn.SEQUENCE(_xlpm.e-_xlpm.s+1,1,_xlpm.s,1),SUM(1/COUNTIFS($D:$D,D15,$E:$E,E15,$F:$F,"&lt;&gt;N/A",$G:$G,"&lt;&gt;N/A",$F:$F,"&lt;="&amp;_xlpm.p,$G:$G,"&gt;="&amp;_xlpm.p)))))</f>
        <v>0.5</v>
      </c>
      <c r="I15" t="s">
        <v>7</v>
      </c>
      <c r="J15" t="s">
        <v>510</v>
      </c>
      <c r="K15" s="5" t="s">
        <v>7</v>
      </c>
      <c r="L15" s="5" t="s">
        <v>7</v>
      </c>
      <c r="M15" s="5" t="s">
        <v>5034</v>
      </c>
      <c r="N15" s="5" t="s">
        <v>5039</v>
      </c>
      <c r="O15" s="5" t="s">
        <v>5072</v>
      </c>
      <c r="P15" s="5" t="s">
        <v>8019</v>
      </c>
      <c r="R15" s="5" t="b">
        <v>1</v>
      </c>
    </row>
    <row r="16" spans="1:18">
      <c r="A16" t="s">
        <v>3027</v>
      </c>
      <c r="B16" t="s">
        <v>3637</v>
      </c>
      <c r="C16" s="5" t="s">
        <v>7838</v>
      </c>
      <c r="D16" s="1">
        <v>1</v>
      </c>
      <c r="E16" s="1">
        <v>3</v>
      </c>
      <c r="F16" s="1">
        <v>19</v>
      </c>
      <c r="G16" s="1">
        <v>19</v>
      </c>
      <c r="H16" s="10" cm="1">
        <f t="array" ref="H16">_xlfn.LET(_xlpm.s,IFERROR(--F16,""),_xlpm.e,IFERROR(--G16,""),IF(OR(_xlpm.s="",_xlpm.e="",_xlpm.e&lt;_xlpm.s),"",_xlfn.LET(_xlpm.p,_xlfn.SEQUENCE(_xlpm.e-_xlpm.s+1,1,_xlpm.s,1),SUM(1/COUNTIFS($D:$D,D16,$E:$E,E16,$F:$F,"&lt;&gt;N/A",$G:$G,"&lt;&gt;N/A",$F:$F,"&lt;="&amp;_xlpm.p,$G:$G,"&gt;="&amp;_xlpm.p)))))</f>
        <v>0.5</v>
      </c>
      <c r="I16" t="s">
        <v>7</v>
      </c>
      <c r="J16" t="s">
        <v>514</v>
      </c>
      <c r="K16" s="5" t="s">
        <v>7</v>
      </c>
      <c r="L16" s="5" t="s">
        <v>7</v>
      </c>
      <c r="M16" s="5" t="s">
        <v>7</v>
      </c>
      <c r="N16" s="5" t="s">
        <v>7</v>
      </c>
      <c r="O16" s="5" t="s">
        <v>778</v>
      </c>
      <c r="P16" s="5" t="s">
        <v>7834</v>
      </c>
      <c r="R16" s="5" t="b">
        <v>0</v>
      </c>
    </row>
    <row r="17" spans="1:18">
      <c r="A17" t="s">
        <v>3027</v>
      </c>
      <c r="B17" t="s">
        <v>6721</v>
      </c>
      <c r="C17" s="5" t="s">
        <v>7838</v>
      </c>
      <c r="D17" s="1">
        <v>1</v>
      </c>
      <c r="E17" s="1">
        <v>3</v>
      </c>
      <c r="F17" s="1">
        <v>19</v>
      </c>
      <c r="G17" s="1">
        <v>19</v>
      </c>
      <c r="H17" s="10" cm="1">
        <f t="array" ref="H17">_xlfn.LET(_xlpm.s,IFERROR(--F17,""),_xlpm.e,IFERROR(--G17,""),IF(OR(_xlpm.s="",_xlpm.e="",_xlpm.e&lt;_xlpm.s),"",_xlfn.LET(_xlpm.p,_xlfn.SEQUENCE(_xlpm.e-_xlpm.s+1,1,_xlpm.s,1),SUM(1/COUNTIFS($D:$D,D17,$E:$E,E17,$F:$F,"&lt;&gt;N/A",$G:$G,"&lt;&gt;N/A",$F:$F,"&lt;="&amp;_xlpm.p,$G:$G,"&gt;="&amp;_xlpm.p)))))</f>
        <v>0.5</v>
      </c>
      <c r="I17" t="s">
        <v>7</v>
      </c>
      <c r="J17" t="s">
        <v>6719</v>
      </c>
      <c r="K17" s="5" t="s">
        <v>6720</v>
      </c>
      <c r="L17" s="5" t="s">
        <v>7</v>
      </c>
      <c r="M17" s="5" t="s">
        <v>7</v>
      </c>
      <c r="N17" s="5" t="s">
        <v>7</v>
      </c>
      <c r="O17" s="5" t="s">
        <v>778</v>
      </c>
      <c r="P17" s="5" t="s">
        <v>7834</v>
      </c>
      <c r="R17" s="5" t="b">
        <v>0</v>
      </c>
    </row>
  </sheetData>
  <phoneticPr fontId="1"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259D-9A12-4572-A5BA-5BCAAB9B6711}">
  <sheetPr codeName="Sheet10"/>
  <dimension ref="A1:R385"/>
  <sheetViews>
    <sheetView topLeftCell="A250" workbookViewId="0">
      <selection activeCell="L276" sqref="L276"/>
    </sheetView>
  </sheetViews>
  <sheetFormatPr defaultColWidth="8.77734375" defaultRowHeight="14.4"/>
  <cols>
    <col min="1" max="2" width="5.77734375" customWidth="1"/>
    <col min="3" max="3" width="5.77734375" style="5" customWidth="1"/>
    <col min="4" max="7" width="5.77734375" style="1" customWidth="1"/>
    <col min="8" max="8" width="5.77734375" style="10" customWidth="1"/>
    <col min="9" max="11" width="5.77734375" customWidth="1"/>
    <col min="12" max="14" width="5.77734375" style="5" customWidth="1"/>
    <col min="15" max="18" width="5.77734375" customWidth="1"/>
    <col min="19" max="19" width="8.77734375" customWidth="1"/>
  </cols>
  <sheetData>
    <row r="1" spans="1:18">
      <c r="A1" t="s">
        <v>3032</v>
      </c>
      <c r="B1" t="s">
        <v>3281</v>
      </c>
      <c r="C1" s="4" t="s">
        <v>41</v>
      </c>
      <c r="D1" s="2" t="s">
        <v>3282</v>
      </c>
      <c r="E1" s="2" t="s">
        <v>34</v>
      </c>
      <c r="F1" s="2" t="s">
        <v>8031</v>
      </c>
      <c r="G1" s="2" t="s">
        <v>8032</v>
      </c>
      <c r="H1" s="8" t="s">
        <v>2530</v>
      </c>
      <c r="I1" s="2" t="s">
        <v>5</v>
      </c>
      <c r="J1" s="2" t="s">
        <v>4</v>
      </c>
      <c r="K1" s="4" t="s">
        <v>11402</v>
      </c>
      <c r="L1" s="5" t="s">
        <v>11401</v>
      </c>
      <c r="M1" s="4" t="s">
        <v>11400</v>
      </c>
      <c r="N1" s="4" t="s">
        <v>5006</v>
      </c>
      <c r="O1" s="3" t="s">
        <v>11506</v>
      </c>
      <c r="P1" s="4" t="s">
        <v>11403</v>
      </c>
      <c r="Q1" t="s">
        <v>1948</v>
      </c>
      <c r="R1" t="s">
        <v>2062</v>
      </c>
    </row>
    <row r="2" spans="1:18">
      <c r="A2" t="s">
        <v>3026</v>
      </c>
      <c r="B2" t="s">
        <v>3638</v>
      </c>
      <c r="C2" s="5" t="s">
        <v>7839</v>
      </c>
      <c r="D2" s="1">
        <v>1</v>
      </c>
      <c r="E2" s="1">
        <v>1</v>
      </c>
      <c r="F2" s="2">
        <v>1</v>
      </c>
      <c r="G2" s="1">
        <v>2</v>
      </c>
      <c r="H2" s="8" cm="1">
        <f t="array" ref="H2">_xlfn.LET(_xlpm.s,IFERROR(--F2,""),_xlpm.e,IFERROR(--G2,""),IF(OR(_xlpm.s="",_xlpm.e="",_xlpm.e&lt;_xlpm.s),"",_xlfn.LET(_xlpm.p,_xlfn.SEQUENCE(_xlpm.e-_xlpm.s+1,1,_xlpm.s,1),SUM(1/COUNTIFS($D:$D,D2,$E:$E,E2,$F:$F,"&lt;&gt;N/A",$G:$G,"&lt;&gt;N/A",$F:$F,"&lt;="&amp;_xlpm.p,$G:$G,"&gt;="&amp;_xlpm.p)))))</f>
        <v>1.5</v>
      </c>
      <c r="I2" s="4" t="s">
        <v>7</v>
      </c>
      <c r="J2" s="4" t="s">
        <v>503</v>
      </c>
      <c r="K2" s="4" t="s">
        <v>627</v>
      </c>
      <c r="L2" s="5" t="s">
        <v>7</v>
      </c>
      <c r="M2" t="s">
        <v>7</v>
      </c>
      <c r="N2" t="s">
        <v>7</v>
      </c>
      <c r="O2" s="3" t="s">
        <v>778</v>
      </c>
      <c r="P2" s="3" t="s">
        <v>7834</v>
      </c>
      <c r="R2" t="b">
        <v>1</v>
      </c>
    </row>
    <row r="3" spans="1:18">
      <c r="A3" t="s">
        <v>3026</v>
      </c>
      <c r="B3" t="s">
        <v>3639</v>
      </c>
      <c r="C3" s="5" t="s">
        <v>7839</v>
      </c>
      <c r="D3" s="1">
        <v>1</v>
      </c>
      <c r="E3" s="1">
        <v>1</v>
      </c>
      <c r="F3" s="1">
        <v>2</v>
      </c>
      <c r="G3" s="1">
        <v>4</v>
      </c>
      <c r="H3" s="8" cm="1">
        <f t="array" ref="H3">_xlfn.LET(_xlpm.s,IFERROR(--F3,""),_xlpm.e,IFERROR(--G3,""),IF(OR(_xlpm.s="",_xlpm.e="",_xlpm.e&lt;_xlpm.s),"",_xlfn.LET(_xlpm.p,_xlfn.SEQUENCE(_xlpm.e-_xlpm.s+1,1,_xlpm.s,1),SUM(1/COUNTIFS($D:$D,D3,$E:$E,E3,$F:$F,"&lt;&gt;N/A",$G:$G,"&lt;&gt;N/A",$F:$F,"&lt;="&amp;_xlpm.p,$G:$G,"&gt;="&amp;_xlpm.p)))))</f>
        <v>2.5</v>
      </c>
      <c r="I3" t="s">
        <v>14</v>
      </c>
      <c r="J3" t="s">
        <v>626</v>
      </c>
      <c r="K3" s="5" t="s">
        <v>7</v>
      </c>
      <c r="L3" s="5" t="s">
        <v>7</v>
      </c>
      <c r="M3" t="s">
        <v>7</v>
      </c>
      <c r="N3" t="s">
        <v>7</v>
      </c>
      <c r="O3" s="3" t="s">
        <v>778</v>
      </c>
      <c r="P3" s="3" t="s">
        <v>7834</v>
      </c>
      <c r="R3" t="b">
        <v>1</v>
      </c>
    </row>
    <row r="4" spans="1:18">
      <c r="A4" t="s">
        <v>3026</v>
      </c>
      <c r="B4" t="s">
        <v>3640</v>
      </c>
      <c r="C4" s="5" t="s">
        <v>7839</v>
      </c>
      <c r="D4" s="1">
        <v>1</v>
      </c>
      <c r="E4" s="1">
        <v>1</v>
      </c>
      <c r="F4" s="1">
        <v>5</v>
      </c>
      <c r="G4" s="1">
        <v>6</v>
      </c>
      <c r="H4" s="8" cm="1">
        <f t="array" ref="H4">_xlfn.LET(_xlpm.s,IFERROR(--F4,""),_xlpm.e,IFERROR(--G4,""),IF(OR(_xlpm.s="",_xlpm.e="",_xlpm.e&lt;_xlpm.s),"",_xlfn.LET(_xlpm.p,_xlfn.SEQUENCE(_xlpm.e-_xlpm.s+1,1,_xlpm.s,1),SUM(1/COUNTIFS($D:$D,D4,$E:$E,E4,$F:$F,"&lt;&gt;N/A",$G:$G,"&lt;&gt;N/A",$F:$F,"&lt;="&amp;_xlpm.p,$G:$G,"&gt;="&amp;_xlpm.p)))))</f>
        <v>1.5</v>
      </c>
      <c r="I4" t="s">
        <v>14</v>
      </c>
      <c r="J4" t="s">
        <v>628</v>
      </c>
      <c r="K4" t="s">
        <v>7</v>
      </c>
      <c r="L4" s="5" t="s">
        <v>7</v>
      </c>
      <c r="M4" t="s">
        <v>5043</v>
      </c>
      <c r="N4" s="5" t="s">
        <v>2798</v>
      </c>
      <c r="O4" t="s">
        <v>5072</v>
      </c>
      <c r="P4" t="s">
        <v>8021</v>
      </c>
      <c r="R4" t="b">
        <v>1</v>
      </c>
    </row>
    <row r="5" spans="1:18">
      <c r="A5" t="s">
        <v>3026</v>
      </c>
      <c r="B5" t="s">
        <v>3641</v>
      </c>
      <c r="C5" s="5" t="s">
        <v>7839</v>
      </c>
      <c r="D5" s="1">
        <v>1</v>
      </c>
      <c r="E5" s="1">
        <v>1</v>
      </c>
      <c r="F5" s="1">
        <v>6</v>
      </c>
      <c r="G5" s="1">
        <v>8</v>
      </c>
      <c r="H5" s="8" cm="1">
        <f t="array" ref="H5">_xlfn.LET(_xlpm.s,IFERROR(--F5,""),_xlpm.e,IFERROR(--G5,""),IF(OR(_xlpm.s="",_xlpm.e="",_xlpm.e&lt;_xlpm.s),"",_xlfn.LET(_xlpm.p,_xlfn.SEQUENCE(_xlpm.e-_xlpm.s+1,1,_xlpm.s,1),SUM(1/COUNTIFS($D:$D,D5,$E:$E,E5,$F:$F,"&lt;&gt;N/A",$G:$G,"&lt;&gt;N/A",$F:$F,"&lt;="&amp;_xlpm.p,$G:$G,"&gt;="&amp;_xlpm.p)))))</f>
        <v>2.5</v>
      </c>
      <c r="I5" t="s">
        <v>14</v>
      </c>
      <c r="J5" t="s">
        <v>629</v>
      </c>
      <c r="K5" t="s">
        <v>644</v>
      </c>
      <c r="L5" s="5" t="s">
        <v>7</v>
      </c>
      <c r="M5" t="s">
        <v>7</v>
      </c>
      <c r="N5" t="s">
        <v>7</v>
      </c>
      <c r="O5" s="3" t="s">
        <v>778</v>
      </c>
      <c r="P5" s="3" t="s">
        <v>7834</v>
      </c>
      <c r="R5" t="b">
        <v>1</v>
      </c>
    </row>
    <row r="6" spans="1:18">
      <c r="A6" t="s">
        <v>3026</v>
      </c>
      <c r="B6" t="s">
        <v>10622</v>
      </c>
      <c r="C6" s="5" t="s">
        <v>7840</v>
      </c>
      <c r="D6" s="1">
        <v>1</v>
      </c>
      <c r="E6" s="1">
        <v>2</v>
      </c>
      <c r="F6" s="1">
        <v>9</v>
      </c>
      <c r="G6" s="1">
        <v>12</v>
      </c>
      <c r="H6" s="8" cm="1">
        <f t="array" ref="H6">_xlfn.LET(_xlpm.s,IFERROR(--F6,""),_xlpm.e,IFERROR(--G6,""),IF(OR(_xlpm.s="",_xlpm.e="",_xlpm.e&lt;_xlpm.s),"",_xlfn.LET(_xlpm.p,_xlfn.SEQUENCE(_xlpm.e-_xlpm.s+1,1,_xlpm.s,1),SUM(1/COUNTIFS($D:$D,D6,$E:$E,E6,$F:$F,"&lt;&gt;N/A",$G:$G,"&lt;&gt;N/A",$F:$F,"&lt;="&amp;_xlpm.p,$G:$G,"&gt;="&amp;_xlpm.p)))))</f>
        <v>3.5</v>
      </c>
      <c r="I6" t="s">
        <v>14</v>
      </c>
      <c r="J6" t="s">
        <v>630</v>
      </c>
      <c r="K6" t="s">
        <v>639</v>
      </c>
      <c r="L6" s="5" t="s">
        <v>7</v>
      </c>
      <c r="M6" t="s">
        <v>7</v>
      </c>
      <c r="N6" t="s">
        <v>7</v>
      </c>
      <c r="O6" s="3" t="s">
        <v>778</v>
      </c>
      <c r="P6" s="3" t="s">
        <v>7834</v>
      </c>
      <c r="R6" t="b">
        <v>1</v>
      </c>
    </row>
    <row r="7" spans="1:18">
      <c r="A7" t="s">
        <v>3026</v>
      </c>
      <c r="B7" t="s">
        <v>10623</v>
      </c>
      <c r="C7" s="5" t="s">
        <v>7840</v>
      </c>
      <c r="D7" s="1">
        <v>1</v>
      </c>
      <c r="E7" s="1">
        <v>2</v>
      </c>
      <c r="F7" s="1">
        <v>12</v>
      </c>
      <c r="G7" s="1">
        <v>13</v>
      </c>
      <c r="H7" s="8" cm="1">
        <f t="array" ref="H7">_xlfn.LET(_xlpm.s,IFERROR(--F7,""),_xlpm.e,IFERROR(--G7,""),IF(OR(_xlpm.s="",_xlpm.e="",_xlpm.e&lt;_xlpm.s),"",_xlfn.LET(_xlpm.p,_xlfn.SEQUENCE(_xlpm.e-_xlpm.s+1,1,_xlpm.s,1),SUM(1/COUNTIFS($D:$D,D7,$E:$E,E7,$F:$F,"&lt;&gt;N/A",$G:$G,"&lt;&gt;N/A",$F:$F,"&lt;="&amp;_xlpm.p,$G:$G,"&gt;="&amp;_xlpm.p)))))</f>
        <v>1</v>
      </c>
      <c r="I7" t="s">
        <v>200</v>
      </c>
      <c r="J7" t="s">
        <v>631</v>
      </c>
      <c r="K7" t="s">
        <v>7</v>
      </c>
      <c r="L7" s="5" t="s">
        <v>4672</v>
      </c>
      <c r="M7" t="s">
        <v>5044</v>
      </c>
      <c r="N7" t="s">
        <v>2951</v>
      </c>
      <c r="O7" t="s">
        <v>5072</v>
      </c>
      <c r="P7" t="s">
        <v>8021</v>
      </c>
      <c r="Q7" t="s">
        <v>2950</v>
      </c>
      <c r="R7" t="b">
        <v>1</v>
      </c>
    </row>
    <row r="8" spans="1:18">
      <c r="A8" t="s">
        <v>3026</v>
      </c>
      <c r="B8" t="s">
        <v>3642</v>
      </c>
      <c r="C8" s="5" t="s">
        <v>7840</v>
      </c>
      <c r="D8" s="1">
        <v>1</v>
      </c>
      <c r="E8" s="1">
        <v>2</v>
      </c>
      <c r="F8" s="1">
        <v>13</v>
      </c>
      <c r="G8" s="1">
        <v>14</v>
      </c>
      <c r="H8" s="8" cm="1">
        <f t="array" ref="H8">_xlfn.LET(_xlpm.s,IFERROR(--F8,""),_xlpm.e,IFERROR(--G8,""),IF(OR(_xlpm.s="",_xlpm.e="",_xlpm.e&lt;_xlpm.s),"",_xlfn.LET(_xlpm.p,_xlfn.SEQUENCE(_xlpm.e-_xlpm.s+1,1,_xlpm.s,1),SUM(1/COUNTIFS($D:$D,D8,$E:$E,E8,$F:$F,"&lt;&gt;N/A",$G:$G,"&lt;&gt;N/A",$F:$F,"&lt;="&amp;_xlpm.p,$G:$G,"&gt;="&amp;_xlpm.p)))))</f>
        <v>0.83333333333333326</v>
      </c>
      <c r="I8" t="s">
        <v>632</v>
      </c>
      <c r="J8" t="s">
        <v>2952</v>
      </c>
      <c r="K8" t="s">
        <v>7</v>
      </c>
      <c r="L8" s="5" t="s">
        <v>4673</v>
      </c>
      <c r="M8" s="5" t="s">
        <v>5009</v>
      </c>
      <c r="N8" t="s">
        <v>3031</v>
      </c>
      <c r="O8" t="s">
        <v>5072</v>
      </c>
      <c r="P8" t="s">
        <v>8021</v>
      </c>
      <c r="R8" t="b">
        <v>1</v>
      </c>
    </row>
    <row r="9" spans="1:18">
      <c r="A9" t="s">
        <v>3026</v>
      </c>
      <c r="B9" t="s">
        <v>3643</v>
      </c>
      <c r="C9" s="5" t="s">
        <v>7840</v>
      </c>
      <c r="D9" s="1">
        <v>1</v>
      </c>
      <c r="E9" s="1">
        <v>2</v>
      </c>
      <c r="F9" s="1">
        <v>14</v>
      </c>
      <c r="G9" s="1">
        <v>14</v>
      </c>
      <c r="H9" s="8" cm="1">
        <f t="array" ref="H9">_xlfn.LET(_xlpm.s,IFERROR(--F9,""),_xlpm.e,IFERROR(--G9,""),IF(OR(_xlpm.s="",_xlpm.e="",_xlpm.e&lt;_xlpm.s),"",_xlfn.LET(_xlpm.p,_xlfn.SEQUENCE(_xlpm.e-_xlpm.s+1,1,_xlpm.s,1),SUM(1/COUNTIFS($D:$D,D9,$E:$E,E9,$F:$F,"&lt;&gt;N/A",$G:$G,"&lt;&gt;N/A",$F:$F,"&lt;="&amp;_xlpm.p,$G:$G,"&gt;="&amp;_xlpm.p)))))</f>
        <v>0.33333333333333331</v>
      </c>
      <c r="I9" t="s">
        <v>632</v>
      </c>
      <c r="J9" s="38" t="s">
        <v>11504</v>
      </c>
      <c r="K9" t="s">
        <v>7</v>
      </c>
      <c r="L9" s="5" t="s">
        <v>4674</v>
      </c>
      <c r="M9" t="s">
        <v>7</v>
      </c>
      <c r="N9" t="s">
        <v>7</v>
      </c>
      <c r="O9" t="s">
        <v>11522</v>
      </c>
      <c r="P9" t="s">
        <v>8021</v>
      </c>
      <c r="R9" t="b">
        <v>1</v>
      </c>
    </row>
    <row r="10" spans="1:18">
      <c r="A10" t="s">
        <v>3026</v>
      </c>
      <c r="B10" t="s">
        <v>3644</v>
      </c>
      <c r="C10" s="5" t="s">
        <v>7840</v>
      </c>
      <c r="D10" s="1">
        <v>1</v>
      </c>
      <c r="E10" s="1">
        <v>2</v>
      </c>
      <c r="F10" s="1">
        <v>14</v>
      </c>
      <c r="G10" s="1">
        <v>15</v>
      </c>
      <c r="H10" s="8" cm="1">
        <f t="array" ref="H10">_xlfn.LET(_xlpm.s,IFERROR(--F10,""),_xlpm.e,IFERROR(--G10,""),IF(OR(_xlpm.s="",_xlpm.e="",_xlpm.e&lt;_xlpm.s),"",_xlfn.LET(_xlpm.p,_xlfn.SEQUENCE(_xlpm.e-_xlpm.s+1,1,_xlpm.s,1),SUM(1/COUNTIFS($D:$D,D10,$E:$E,E10,$F:$F,"&lt;&gt;N/A",$G:$G,"&lt;&gt;N/A",$F:$F,"&lt;="&amp;_xlpm.p,$G:$G,"&gt;="&amp;_xlpm.p)))))</f>
        <v>0.58333333333333326</v>
      </c>
      <c r="I10" t="s">
        <v>632</v>
      </c>
      <c r="J10" t="s">
        <v>2953</v>
      </c>
      <c r="K10" t="s">
        <v>7</v>
      </c>
      <c r="L10" s="5" t="s">
        <v>4675</v>
      </c>
      <c r="M10" t="s">
        <v>7267</v>
      </c>
      <c r="N10" t="s">
        <v>3189</v>
      </c>
      <c r="O10" t="s">
        <v>5072</v>
      </c>
      <c r="P10" t="s">
        <v>8034</v>
      </c>
      <c r="R10" t="b">
        <v>1</v>
      </c>
    </row>
    <row r="11" spans="1:18">
      <c r="A11" t="s">
        <v>3026</v>
      </c>
      <c r="B11" t="s">
        <v>3645</v>
      </c>
      <c r="C11" s="5" t="s">
        <v>7840</v>
      </c>
      <c r="D11" s="1">
        <v>1</v>
      </c>
      <c r="E11" s="1">
        <v>2</v>
      </c>
      <c r="F11" s="1">
        <v>15</v>
      </c>
      <c r="G11" s="1">
        <v>15</v>
      </c>
      <c r="H11" s="8" cm="1">
        <f t="array" ref="H11">_xlfn.LET(_xlpm.s,IFERROR(--F11,""),_xlpm.e,IFERROR(--G11,""),IF(OR(_xlpm.s="",_xlpm.e="",_xlpm.e&lt;_xlpm.s),"",_xlfn.LET(_xlpm.p,_xlfn.SEQUENCE(_xlpm.e-_xlpm.s+1,1,_xlpm.s,1),SUM(1/COUNTIFS($D:$D,D11,$E:$E,E11,$F:$F,"&lt;&gt;N/A",$G:$G,"&lt;&gt;N/A",$F:$F,"&lt;="&amp;_xlpm.p,$G:$G,"&gt;="&amp;_xlpm.p)))))</f>
        <v>0.25</v>
      </c>
      <c r="I11" t="s">
        <v>632</v>
      </c>
      <c r="J11" t="s">
        <v>3188</v>
      </c>
      <c r="K11" t="s">
        <v>7</v>
      </c>
      <c r="L11" s="5" t="s">
        <v>4676</v>
      </c>
      <c r="M11" s="5" t="s">
        <v>6489</v>
      </c>
      <c r="N11" t="s">
        <v>3190</v>
      </c>
      <c r="O11" t="s">
        <v>5072</v>
      </c>
      <c r="P11" t="s">
        <v>8021</v>
      </c>
      <c r="R11" t="b">
        <v>1</v>
      </c>
    </row>
    <row r="12" spans="1:18">
      <c r="A12" t="s">
        <v>3026</v>
      </c>
      <c r="B12" t="s">
        <v>3646</v>
      </c>
      <c r="C12" s="5" t="s">
        <v>7840</v>
      </c>
      <c r="D12" s="1">
        <v>1</v>
      </c>
      <c r="E12" s="1">
        <v>2</v>
      </c>
      <c r="F12" s="1">
        <v>15</v>
      </c>
      <c r="G12" s="1">
        <v>15</v>
      </c>
      <c r="H12" s="8" cm="1">
        <f t="array" ref="H12">_xlfn.LET(_xlpm.s,IFERROR(--F12,""),_xlpm.e,IFERROR(--G12,""),IF(OR(_xlpm.s="",_xlpm.e="",_xlpm.e&lt;_xlpm.s),"",_xlfn.LET(_xlpm.p,_xlfn.SEQUENCE(_xlpm.e-_xlpm.s+1,1,_xlpm.s,1),SUM(1/COUNTIFS($D:$D,D12,$E:$E,E12,$F:$F,"&lt;&gt;N/A",$G:$G,"&lt;&gt;N/A",$F:$F,"&lt;="&amp;_xlpm.p,$G:$G,"&gt;="&amp;_xlpm.p)))))</f>
        <v>0.25</v>
      </c>
      <c r="I12" t="s">
        <v>632</v>
      </c>
      <c r="J12" t="s">
        <v>2954</v>
      </c>
      <c r="K12" t="s">
        <v>7</v>
      </c>
      <c r="L12" s="5" t="s">
        <v>4677</v>
      </c>
      <c r="M12" t="s">
        <v>7268</v>
      </c>
      <c r="N12" t="s">
        <v>7358</v>
      </c>
      <c r="O12" t="s">
        <v>11522</v>
      </c>
      <c r="P12" t="s">
        <v>8021</v>
      </c>
      <c r="R12" t="b">
        <v>1</v>
      </c>
    </row>
    <row r="13" spans="1:18">
      <c r="A13" t="s">
        <v>3026</v>
      </c>
      <c r="B13" t="s">
        <v>3647</v>
      </c>
      <c r="C13" s="5" t="s">
        <v>7840</v>
      </c>
      <c r="D13" s="1">
        <v>1</v>
      </c>
      <c r="E13" s="1">
        <v>2</v>
      </c>
      <c r="F13" s="1">
        <v>15</v>
      </c>
      <c r="G13" s="1">
        <v>16</v>
      </c>
      <c r="H13" s="8" cm="1">
        <f t="array" ref="H13">_xlfn.LET(_xlpm.s,IFERROR(--F13,""),_xlpm.e,IFERROR(--G13,""),IF(OR(_xlpm.s="",_xlpm.e="",_xlpm.e&lt;_xlpm.s),"",_xlfn.LET(_xlpm.p,_xlfn.SEQUENCE(_xlpm.e-_xlpm.s+1,1,_xlpm.s,1),SUM(1/COUNTIFS($D:$D,D13,$E:$E,E13,$F:$F,"&lt;&gt;N/A",$G:$G,"&lt;&gt;N/A",$F:$F,"&lt;="&amp;_xlpm.p,$G:$G,"&gt;="&amp;_xlpm.p)))))</f>
        <v>0.75</v>
      </c>
      <c r="I13" t="s">
        <v>632</v>
      </c>
      <c r="J13" t="s">
        <v>2955</v>
      </c>
      <c r="K13" t="s">
        <v>7</v>
      </c>
      <c r="L13" s="5" t="s">
        <v>4678</v>
      </c>
      <c r="M13" t="s">
        <v>7268</v>
      </c>
      <c r="N13" t="s">
        <v>7359</v>
      </c>
      <c r="O13" t="s">
        <v>11522</v>
      </c>
      <c r="P13" t="s">
        <v>8021</v>
      </c>
      <c r="R13" t="b">
        <v>1</v>
      </c>
    </row>
    <row r="14" spans="1:18">
      <c r="A14" t="s">
        <v>3026</v>
      </c>
      <c r="B14" t="s">
        <v>3648</v>
      </c>
      <c r="C14" s="5" t="s">
        <v>7840</v>
      </c>
      <c r="D14" s="1">
        <v>1</v>
      </c>
      <c r="E14" s="1">
        <v>2</v>
      </c>
      <c r="F14" s="1">
        <v>16</v>
      </c>
      <c r="G14" s="1">
        <v>16</v>
      </c>
      <c r="H14" s="8" cm="1">
        <f t="array" ref="H14">_xlfn.LET(_xlpm.s,IFERROR(--F14,""),_xlpm.e,IFERROR(--G14,""),IF(OR(_xlpm.s="",_xlpm.e="",_xlpm.e&lt;_xlpm.s),"",_xlfn.LET(_xlpm.p,_xlfn.SEQUENCE(_xlpm.e-_xlpm.s+1,1,_xlpm.s,1),SUM(1/COUNTIFS($D:$D,D14,$E:$E,E14,$F:$F,"&lt;&gt;N/A",$G:$G,"&lt;&gt;N/A",$F:$F,"&lt;="&amp;_xlpm.p,$G:$G,"&gt;="&amp;_xlpm.p)))))</f>
        <v>0.5</v>
      </c>
      <c r="I14" t="s">
        <v>632</v>
      </c>
      <c r="J14" t="s">
        <v>2956</v>
      </c>
      <c r="K14" t="s">
        <v>7</v>
      </c>
      <c r="L14" s="5" t="s">
        <v>4679</v>
      </c>
      <c r="M14" s="5" t="s">
        <v>7</v>
      </c>
      <c r="N14" t="s">
        <v>3185</v>
      </c>
      <c r="O14" t="s">
        <v>5072</v>
      </c>
      <c r="P14" t="s">
        <v>8021</v>
      </c>
      <c r="R14" t="b">
        <v>1</v>
      </c>
    </row>
    <row r="15" spans="1:18">
      <c r="A15" t="s">
        <v>3026</v>
      </c>
      <c r="B15" t="s">
        <v>10624</v>
      </c>
      <c r="C15" s="5" t="s">
        <v>7877</v>
      </c>
      <c r="D15" s="1">
        <v>1</v>
      </c>
      <c r="E15" s="1">
        <v>3</v>
      </c>
      <c r="F15" s="1">
        <v>17</v>
      </c>
      <c r="G15" s="1">
        <v>18</v>
      </c>
      <c r="H15" s="8" cm="1">
        <f t="array" ref="H15">_xlfn.LET(_xlpm.s,IFERROR(--F15,""),_xlpm.e,IFERROR(--G15,""),IF(OR(_xlpm.s="",_xlpm.e="",_xlpm.e&lt;_xlpm.s),"",_xlfn.LET(_xlpm.p,_xlfn.SEQUENCE(_xlpm.e-_xlpm.s+1,1,_xlpm.s,1),SUM(1/COUNTIFS($D:$D,D15,$E:$E,E15,$F:$F,"&lt;&gt;N/A",$G:$G,"&lt;&gt;N/A",$F:$F,"&lt;="&amp;_xlpm.p,$G:$G,"&gt;="&amp;_xlpm.p)))))</f>
        <v>1.5</v>
      </c>
      <c r="I15" t="s">
        <v>200</v>
      </c>
      <c r="J15" t="s">
        <v>633</v>
      </c>
      <c r="K15" t="s">
        <v>7</v>
      </c>
      <c r="L15" s="5" t="s">
        <v>4680</v>
      </c>
      <c r="M15" t="s">
        <v>5044</v>
      </c>
      <c r="N15" t="s">
        <v>2951</v>
      </c>
      <c r="O15" t="s">
        <v>5072</v>
      </c>
      <c r="P15" t="s">
        <v>8021</v>
      </c>
      <c r="Q15" t="s">
        <v>2950</v>
      </c>
      <c r="R15" t="b">
        <v>1</v>
      </c>
    </row>
    <row r="16" spans="1:18">
      <c r="A16" t="s">
        <v>3026</v>
      </c>
      <c r="B16" t="s">
        <v>10625</v>
      </c>
      <c r="C16" s="5" t="s">
        <v>7877</v>
      </c>
      <c r="D16" s="1">
        <v>1</v>
      </c>
      <c r="E16" s="1">
        <v>3</v>
      </c>
      <c r="F16" s="1">
        <v>18</v>
      </c>
      <c r="G16" s="1">
        <v>20</v>
      </c>
      <c r="H16" s="8" cm="1">
        <f t="array" ref="H16">_xlfn.LET(_xlpm.s,IFERROR(--F16,""),_xlpm.e,IFERROR(--G16,""),IF(OR(_xlpm.s="",_xlpm.e="",_xlpm.e&lt;_xlpm.s),"",_xlfn.LET(_xlpm.p,_xlfn.SEQUENCE(_xlpm.e-_xlpm.s+1,1,_xlpm.s,1),SUM(1/COUNTIFS($D:$D,D16,$E:$E,E16,$F:$F,"&lt;&gt;N/A",$G:$G,"&lt;&gt;N/A",$F:$F,"&lt;="&amp;_xlpm.p,$G:$G,"&gt;="&amp;_xlpm.p)))))</f>
        <v>2</v>
      </c>
      <c r="I16" t="s">
        <v>205</v>
      </c>
      <c r="J16" t="s">
        <v>634</v>
      </c>
      <c r="K16" t="s">
        <v>644</v>
      </c>
      <c r="L16" s="5" t="s">
        <v>7</v>
      </c>
      <c r="M16" s="5" t="s">
        <v>7</v>
      </c>
      <c r="N16" t="s">
        <v>7</v>
      </c>
      <c r="O16" s="3" t="s">
        <v>778</v>
      </c>
      <c r="P16" s="3" t="s">
        <v>7834</v>
      </c>
      <c r="R16" t="b">
        <v>1</v>
      </c>
    </row>
    <row r="17" spans="1:18">
      <c r="A17" t="s">
        <v>3026</v>
      </c>
      <c r="B17" t="s">
        <v>3649</v>
      </c>
      <c r="C17" s="5" t="s">
        <v>7877</v>
      </c>
      <c r="D17" s="1">
        <v>1</v>
      </c>
      <c r="E17" s="1">
        <v>3</v>
      </c>
      <c r="F17" s="1">
        <v>20</v>
      </c>
      <c r="G17" s="1">
        <v>22</v>
      </c>
      <c r="H17" s="8" cm="1">
        <f t="array" ref="H17">_xlfn.LET(_xlpm.s,IFERROR(--F17,""),_xlpm.e,IFERROR(--G17,""),IF(OR(_xlpm.s="",_xlpm.e="",_xlpm.e&lt;_xlpm.s),"",_xlfn.LET(_xlpm.p,_xlfn.SEQUENCE(_xlpm.e-_xlpm.s+1,1,_xlpm.s,1),SUM(1/COUNTIFS($D:$D,D17,$E:$E,E17,$F:$F,"&lt;&gt;N/A",$G:$G,"&lt;&gt;N/A",$F:$F,"&lt;="&amp;_xlpm.p,$G:$G,"&gt;="&amp;_xlpm.p)))))</f>
        <v>2</v>
      </c>
      <c r="I17" t="s">
        <v>635</v>
      </c>
      <c r="J17" t="s">
        <v>636</v>
      </c>
      <c r="K17" t="s">
        <v>639</v>
      </c>
      <c r="L17" s="5" t="s">
        <v>7</v>
      </c>
      <c r="M17" s="5" t="s">
        <v>7</v>
      </c>
      <c r="N17" t="s">
        <v>7</v>
      </c>
      <c r="O17" s="3" t="s">
        <v>778</v>
      </c>
      <c r="P17" s="3" t="s">
        <v>7834</v>
      </c>
      <c r="R17" t="b">
        <v>1</v>
      </c>
    </row>
    <row r="18" spans="1:18">
      <c r="A18" t="s">
        <v>3026</v>
      </c>
      <c r="B18" t="s">
        <v>3650</v>
      </c>
      <c r="C18" s="5" t="s">
        <v>7877</v>
      </c>
      <c r="D18" s="1">
        <v>1</v>
      </c>
      <c r="E18" s="1">
        <v>3</v>
      </c>
      <c r="F18" s="1">
        <v>22</v>
      </c>
      <c r="G18" s="1">
        <v>23</v>
      </c>
      <c r="H18" s="8" cm="1">
        <f t="array" ref="H18">_xlfn.LET(_xlpm.s,IFERROR(--F18,""),_xlpm.e,IFERROR(--G18,""),IF(OR(_xlpm.s="",_xlpm.e="",_xlpm.e&lt;_xlpm.s),"",_xlfn.LET(_xlpm.p,_xlfn.SEQUENCE(_xlpm.e-_xlpm.s+1,1,_xlpm.s,1),SUM(1/COUNTIFS($D:$D,D18,$E:$E,E18,$F:$F,"&lt;&gt;N/A",$G:$G,"&lt;&gt;N/A",$F:$F,"&lt;="&amp;_xlpm.p,$G:$G,"&gt;="&amp;_xlpm.p)))))</f>
        <v>0.83333333333333326</v>
      </c>
      <c r="I18" t="s">
        <v>632</v>
      </c>
      <c r="J18" t="s">
        <v>2799</v>
      </c>
      <c r="K18" t="s">
        <v>7</v>
      </c>
      <c r="L18" s="5" t="s">
        <v>7</v>
      </c>
      <c r="M18" s="5" t="s">
        <v>6523</v>
      </c>
      <c r="N18" t="s">
        <v>2800</v>
      </c>
      <c r="O18" t="s">
        <v>5072</v>
      </c>
      <c r="P18" s="5" t="s">
        <v>8092</v>
      </c>
      <c r="Q18" t="s">
        <v>2950</v>
      </c>
      <c r="R18" t="b">
        <v>1</v>
      </c>
    </row>
    <row r="19" spans="1:18">
      <c r="A19" t="s">
        <v>3026</v>
      </c>
      <c r="B19" t="s">
        <v>3651</v>
      </c>
      <c r="C19" s="5" t="s">
        <v>7877</v>
      </c>
      <c r="D19" s="1">
        <v>1</v>
      </c>
      <c r="E19" s="1">
        <v>3</v>
      </c>
      <c r="F19" s="1">
        <v>23</v>
      </c>
      <c r="G19" s="1">
        <v>23</v>
      </c>
      <c r="H19" s="8" cm="1">
        <f t="array" ref="H19">_xlfn.LET(_xlpm.s,IFERROR(--F19,""),_xlpm.e,IFERROR(--G19,""),IF(OR(_xlpm.s="",_xlpm.e="",_xlpm.e&lt;_xlpm.s),"",_xlfn.LET(_xlpm.p,_xlfn.SEQUENCE(_xlpm.e-_xlpm.s+1,1,_xlpm.s,1),SUM(1/COUNTIFS($D:$D,D19,$E:$E,E19,$F:$F,"&lt;&gt;N/A",$G:$G,"&lt;&gt;N/A",$F:$F,"&lt;="&amp;_xlpm.p,$G:$G,"&gt;="&amp;_xlpm.p)))))</f>
        <v>0.33333333333333331</v>
      </c>
      <c r="I19" t="s">
        <v>632</v>
      </c>
      <c r="J19" t="s">
        <v>3277</v>
      </c>
      <c r="K19" t="s">
        <v>7</v>
      </c>
      <c r="L19" s="5" t="s">
        <v>4681</v>
      </c>
      <c r="M19" s="5" t="s">
        <v>6523</v>
      </c>
      <c r="N19" t="s">
        <v>3186</v>
      </c>
      <c r="O19" t="s">
        <v>5072</v>
      </c>
      <c r="P19" s="5" t="s">
        <v>8092</v>
      </c>
      <c r="Q19" t="s">
        <v>2950</v>
      </c>
      <c r="R19" t="b">
        <v>1</v>
      </c>
    </row>
    <row r="20" spans="1:18">
      <c r="A20" t="s">
        <v>3026</v>
      </c>
      <c r="B20" t="s">
        <v>3652</v>
      </c>
      <c r="C20" s="5" t="s">
        <v>7877</v>
      </c>
      <c r="D20" s="1">
        <v>1</v>
      </c>
      <c r="E20" s="1">
        <v>3</v>
      </c>
      <c r="F20" s="1">
        <v>23</v>
      </c>
      <c r="G20" s="1">
        <v>24</v>
      </c>
      <c r="H20" s="8" cm="1">
        <f t="array" ref="H20">_xlfn.LET(_xlpm.s,IFERROR(--F20,""),_xlpm.e,IFERROR(--G20,""),IF(OR(_xlpm.s="",_xlpm.e="",_xlpm.e&lt;_xlpm.s),"",_xlfn.LET(_xlpm.p,_xlfn.SEQUENCE(_xlpm.e-_xlpm.s+1,1,_xlpm.s,1),SUM(1/COUNTIFS($D:$D,D20,$E:$E,E20,$F:$F,"&lt;&gt;N/A",$G:$G,"&lt;&gt;N/A",$F:$F,"&lt;="&amp;_xlpm.p,$G:$G,"&gt;="&amp;_xlpm.p)))))</f>
        <v>0.83333333333333326</v>
      </c>
      <c r="I20" t="s">
        <v>74</v>
      </c>
      <c r="J20" t="s">
        <v>121</v>
      </c>
      <c r="K20" t="s">
        <v>7</v>
      </c>
      <c r="L20" s="5" t="s">
        <v>4682</v>
      </c>
      <c r="M20" t="s">
        <v>7</v>
      </c>
      <c r="N20" t="s">
        <v>7</v>
      </c>
      <c r="O20" t="s">
        <v>11522</v>
      </c>
      <c r="P20" t="s">
        <v>8021</v>
      </c>
      <c r="R20" t="b">
        <v>1</v>
      </c>
    </row>
    <row r="21" spans="1:18">
      <c r="A21" t="s">
        <v>3026</v>
      </c>
      <c r="B21" t="s">
        <v>3653</v>
      </c>
      <c r="C21" s="5" t="s">
        <v>7877</v>
      </c>
      <c r="D21" s="1">
        <v>1</v>
      </c>
      <c r="E21" s="1">
        <v>3</v>
      </c>
      <c r="F21" s="1">
        <v>24</v>
      </c>
      <c r="G21" s="1">
        <v>24</v>
      </c>
      <c r="H21" s="8" cm="1">
        <f t="array" ref="H21">_xlfn.LET(_xlpm.s,IFERROR(--F21,""),_xlpm.e,IFERROR(--G21,""),IF(OR(_xlpm.s="",_xlpm.e="",_xlpm.e&lt;_xlpm.s),"",_xlfn.LET(_xlpm.p,_xlfn.SEQUENCE(_xlpm.e-_xlpm.s+1,1,_xlpm.s,1),SUM(1/COUNTIFS($D:$D,D21,$E:$E,E21,$F:$F,"&lt;&gt;N/A",$G:$G,"&lt;&gt;N/A",$F:$F,"&lt;="&amp;_xlpm.p,$G:$G,"&gt;="&amp;_xlpm.p)))))</f>
        <v>0.5</v>
      </c>
      <c r="I21" t="s">
        <v>637</v>
      </c>
      <c r="J21" t="s">
        <v>638</v>
      </c>
      <c r="K21" t="s">
        <v>7</v>
      </c>
      <c r="L21" s="5" t="s">
        <v>7</v>
      </c>
      <c r="M21" t="s">
        <v>7</v>
      </c>
      <c r="N21" t="s">
        <v>7</v>
      </c>
      <c r="O21" s="3" t="s">
        <v>778</v>
      </c>
      <c r="P21" s="3" t="s">
        <v>7834</v>
      </c>
      <c r="R21" t="b">
        <v>1</v>
      </c>
    </row>
    <row r="22" spans="1:18">
      <c r="A22" t="s">
        <v>3026</v>
      </c>
      <c r="B22" t="s">
        <v>10626</v>
      </c>
      <c r="C22" s="5" t="s">
        <v>7878</v>
      </c>
      <c r="D22" s="1">
        <v>1</v>
      </c>
      <c r="E22" s="1">
        <v>4</v>
      </c>
      <c r="F22" s="1">
        <v>25</v>
      </c>
      <c r="G22" s="1">
        <v>28</v>
      </c>
      <c r="H22" s="8" cm="1">
        <f t="array" ref="H22">_xlfn.LET(_xlpm.s,IFERROR(--F22,""),_xlpm.e,IFERROR(--G22,""),IF(OR(_xlpm.s="",_xlpm.e="",_xlpm.e&lt;_xlpm.s),"",_xlfn.LET(_xlpm.p,_xlfn.SEQUENCE(_xlpm.e-_xlpm.s+1,1,_xlpm.s,1),SUM(1/COUNTIFS($D:$D,D22,$E:$E,E22,$F:$F,"&lt;&gt;N/A",$G:$G,"&lt;&gt;N/A",$F:$F,"&lt;="&amp;_xlpm.p,$G:$G,"&gt;="&amp;_xlpm.p)))))</f>
        <v>4</v>
      </c>
      <c r="I22" t="s">
        <v>14</v>
      </c>
      <c r="J22" t="s">
        <v>11502</v>
      </c>
      <c r="K22" t="s">
        <v>7</v>
      </c>
      <c r="L22" s="5" t="s">
        <v>4683</v>
      </c>
      <c r="M22" t="s">
        <v>8157</v>
      </c>
      <c r="N22" t="s">
        <v>2801</v>
      </c>
      <c r="O22" t="s">
        <v>5072</v>
      </c>
      <c r="P22" t="s">
        <v>8021</v>
      </c>
      <c r="R22" t="b">
        <v>1</v>
      </c>
    </row>
    <row r="23" spans="1:18">
      <c r="A23" t="s">
        <v>3026</v>
      </c>
      <c r="B23" t="s">
        <v>10627</v>
      </c>
      <c r="C23" s="5" t="s">
        <v>7878</v>
      </c>
      <c r="D23" s="1">
        <v>1</v>
      </c>
      <c r="E23" s="1">
        <v>4</v>
      </c>
      <c r="F23" s="1">
        <v>29</v>
      </c>
      <c r="G23" s="1">
        <v>31</v>
      </c>
      <c r="H23" s="8" cm="1">
        <f t="array" ref="H23">_xlfn.LET(_xlpm.s,IFERROR(--F23,""),_xlpm.e,IFERROR(--G23,""),IF(OR(_xlpm.s="",_xlpm.e="",_xlpm.e&lt;_xlpm.s),"",_xlfn.LET(_xlpm.p,_xlfn.SEQUENCE(_xlpm.e-_xlpm.s+1,1,_xlpm.s,1),SUM(1/COUNTIFS($D:$D,D23,$E:$E,E23,$F:$F,"&lt;&gt;N/A",$G:$G,"&lt;&gt;N/A",$F:$F,"&lt;="&amp;_xlpm.p,$G:$G,"&gt;="&amp;_xlpm.p)))))</f>
        <v>2.5</v>
      </c>
      <c r="I23" t="s">
        <v>205</v>
      </c>
      <c r="J23" t="s">
        <v>2807</v>
      </c>
      <c r="K23" t="s">
        <v>639</v>
      </c>
      <c r="L23" s="5" t="s">
        <v>7</v>
      </c>
      <c r="M23" t="s">
        <v>7</v>
      </c>
      <c r="N23" t="s">
        <v>7</v>
      </c>
      <c r="O23" s="3" t="s">
        <v>778</v>
      </c>
      <c r="P23" s="3" t="s">
        <v>7834</v>
      </c>
      <c r="R23" t="b">
        <v>1</v>
      </c>
    </row>
    <row r="24" spans="1:18">
      <c r="A24" t="s">
        <v>3026</v>
      </c>
      <c r="B24" t="s">
        <v>3654</v>
      </c>
      <c r="C24" s="5" t="s">
        <v>7878</v>
      </c>
      <c r="D24" s="1">
        <v>1</v>
      </c>
      <c r="E24" s="1">
        <v>4</v>
      </c>
      <c r="F24" s="1">
        <v>31</v>
      </c>
      <c r="G24" s="1">
        <v>32</v>
      </c>
      <c r="H24" s="8" cm="1">
        <f t="array" ref="H24">_xlfn.LET(_xlpm.s,IFERROR(--F24,""),_xlpm.e,IFERROR(--G24,""),IF(OR(_xlpm.s="",_xlpm.e="",_xlpm.e&lt;_xlpm.s),"",_xlfn.LET(_xlpm.p,_xlfn.SEQUENCE(_xlpm.e-_xlpm.s+1,1,_xlpm.s,1),SUM(1/COUNTIFS($D:$D,D24,$E:$E,E24,$F:$F,"&lt;&gt;N/A",$G:$G,"&lt;&gt;N/A",$F:$F,"&lt;="&amp;_xlpm.p,$G:$G,"&gt;="&amp;_xlpm.p)))))</f>
        <v>1.5</v>
      </c>
      <c r="I24" t="s">
        <v>208</v>
      </c>
      <c r="J24" t="s">
        <v>640</v>
      </c>
      <c r="K24" t="s">
        <v>7</v>
      </c>
      <c r="L24" s="5" t="s">
        <v>7</v>
      </c>
      <c r="M24" t="s">
        <v>7</v>
      </c>
      <c r="N24" t="s">
        <v>7</v>
      </c>
      <c r="O24" s="3" t="s">
        <v>778</v>
      </c>
      <c r="P24" s="3" t="s">
        <v>7834</v>
      </c>
      <c r="R24" t="b">
        <v>1</v>
      </c>
    </row>
    <row r="25" spans="1:18">
      <c r="A25" t="s">
        <v>3026</v>
      </c>
      <c r="B25" t="s">
        <v>10628</v>
      </c>
      <c r="C25" s="5" t="s">
        <v>7845</v>
      </c>
      <c r="D25" s="1">
        <v>1</v>
      </c>
      <c r="E25" s="1">
        <v>5</v>
      </c>
      <c r="F25" s="1">
        <v>33</v>
      </c>
      <c r="G25" s="1">
        <v>36</v>
      </c>
      <c r="H25" s="8" cm="1">
        <f t="array" ref="H25">_xlfn.LET(_xlpm.s,IFERROR(--F25,""),_xlpm.e,IFERROR(--G25,""),IF(OR(_xlpm.s="",_xlpm.e="",_xlpm.e&lt;_xlpm.s),"",_xlfn.LET(_xlpm.p,_xlfn.SEQUENCE(_xlpm.e-_xlpm.s+1,1,_xlpm.s,1),SUM(1/COUNTIFS($D:$D,D25,$E:$E,E25,$F:$F,"&lt;&gt;N/A",$G:$G,"&lt;&gt;N/A",$F:$F,"&lt;="&amp;_xlpm.p,$G:$G,"&gt;="&amp;_xlpm.p)))))</f>
        <v>3.5</v>
      </c>
      <c r="I25" t="s">
        <v>200</v>
      </c>
      <c r="J25" t="s">
        <v>641</v>
      </c>
      <c r="K25" t="s">
        <v>644</v>
      </c>
      <c r="L25" s="5" t="s">
        <v>7</v>
      </c>
      <c r="M25" t="s">
        <v>7</v>
      </c>
      <c r="N25" t="s">
        <v>7</v>
      </c>
      <c r="O25" s="3" t="s">
        <v>778</v>
      </c>
      <c r="P25" s="3" t="s">
        <v>7834</v>
      </c>
      <c r="R25" t="b">
        <v>1</v>
      </c>
    </row>
    <row r="26" spans="1:18">
      <c r="A26" t="s">
        <v>3026</v>
      </c>
      <c r="B26" t="s">
        <v>10629</v>
      </c>
      <c r="C26" s="5" t="s">
        <v>7845</v>
      </c>
      <c r="D26" s="1">
        <v>1</v>
      </c>
      <c r="E26" s="1">
        <v>5</v>
      </c>
      <c r="F26" s="1">
        <v>36</v>
      </c>
      <c r="G26" s="1">
        <v>39</v>
      </c>
      <c r="H26" s="8" cm="1">
        <f t="array" ref="H26">_xlfn.LET(_xlpm.s,IFERROR(--F26,""),_xlpm.e,IFERROR(--G26,""),IF(OR(_xlpm.s="",_xlpm.e="",_xlpm.e&lt;_xlpm.s),"",_xlfn.LET(_xlpm.p,_xlfn.SEQUENCE(_xlpm.e-_xlpm.s+1,1,_xlpm.s,1),SUM(1/COUNTIFS($D:$D,D26,$E:$E,E26,$F:$F,"&lt;&gt;N/A",$G:$G,"&lt;&gt;N/A",$F:$F,"&lt;="&amp;_xlpm.p,$G:$G,"&gt;="&amp;_xlpm.p)))))</f>
        <v>3</v>
      </c>
      <c r="I26" t="s">
        <v>632</v>
      </c>
      <c r="J26" t="s">
        <v>2804</v>
      </c>
      <c r="K26" t="s">
        <v>7</v>
      </c>
      <c r="L26" s="5" t="s">
        <v>7</v>
      </c>
      <c r="M26" s="5" t="s">
        <v>7</v>
      </c>
      <c r="N26" t="s">
        <v>7</v>
      </c>
      <c r="O26" s="3" t="s">
        <v>778</v>
      </c>
      <c r="P26" s="3" t="s">
        <v>7834</v>
      </c>
      <c r="R26" t="b">
        <v>1</v>
      </c>
    </row>
    <row r="27" spans="1:18">
      <c r="A27" t="s">
        <v>3026</v>
      </c>
      <c r="B27" t="s">
        <v>3655</v>
      </c>
      <c r="C27" s="5" t="s">
        <v>7845</v>
      </c>
      <c r="D27" s="1">
        <v>1</v>
      </c>
      <c r="E27" s="1">
        <v>5</v>
      </c>
      <c r="F27" s="1">
        <v>39</v>
      </c>
      <c r="G27" s="1">
        <v>40</v>
      </c>
      <c r="H27" s="8" cm="1">
        <f t="array" ref="H27">_xlfn.LET(_xlpm.s,IFERROR(--F27,""),_xlpm.e,IFERROR(--G27,""),IF(OR(_xlpm.s="",_xlpm.e="",_xlpm.e&lt;_xlpm.s),"",_xlfn.LET(_xlpm.p,_xlfn.SEQUENCE(_xlpm.e-_xlpm.s+1,1,_xlpm.s,1),SUM(1/COUNTIFS($D:$D,D27,$E:$E,E27,$F:$F,"&lt;&gt;N/A",$G:$G,"&lt;&gt;N/A",$F:$F,"&lt;="&amp;_xlpm.p,$G:$G,"&gt;="&amp;_xlpm.p)))))</f>
        <v>0.83333333333333326</v>
      </c>
      <c r="I27" t="s">
        <v>632</v>
      </c>
      <c r="J27" t="s">
        <v>2803</v>
      </c>
      <c r="K27" t="s">
        <v>7</v>
      </c>
      <c r="L27" s="5" t="s">
        <v>7</v>
      </c>
      <c r="M27" s="5" t="s">
        <v>7</v>
      </c>
      <c r="N27" t="s">
        <v>7</v>
      </c>
      <c r="O27" s="3" t="s">
        <v>778</v>
      </c>
      <c r="P27" s="3" t="s">
        <v>7834</v>
      </c>
      <c r="R27" t="b">
        <v>1</v>
      </c>
    </row>
    <row r="28" spans="1:18">
      <c r="A28" t="s">
        <v>3026</v>
      </c>
      <c r="B28" t="s">
        <v>3656</v>
      </c>
      <c r="C28" s="5" t="s">
        <v>7845</v>
      </c>
      <c r="D28" s="1">
        <v>1</v>
      </c>
      <c r="E28" s="1">
        <v>5</v>
      </c>
      <c r="F28" s="1">
        <v>40</v>
      </c>
      <c r="G28" s="1">
        <v>40</v>
      </c>
      <c r="H28" s="8" cm="1">
        <f t="array" ref="H28">_xlfn.LET(_xlpm.s,IFERROR(--F28,""),_xlpm.e,IFERROR(--G28,""),IF(OR(_xlpm.s="",_xlpm.e="",_xlpm.e&lt;_xlpm.s),"",_xlfn.LET(_xlpm.p,_xlfn.SEQUENCE(_xlpm.e-_xlpm.s+1,1,_xlpm.s,1),SUM(1/COUNTIFS($D:$D,D28,$E:$E,E28,$F:$F,"&lt;&gt;N/A",$G:$G,"&lt;&gt;N/A",$F:$F,"&lt;="&amp;_xlpm.p,$G:$G,"&gt;="&amp;_xlpm.p)))))</f>
        <v>0.33333333333333331</v>
      </c>
      <c r="I28" t="s">
        <v>632</v>
      </c>
      <c r="J28" t="s">
        <v>2805</v>
      </c>
      <c r="K28" t="s">
        <v>7</v>
      </c>
      <c r="L28" s="5" t="s">
        <v>7</v>
      </c>
      <c r="M28" t="s">
        <v>7</v>
      </c>
      <c r="N28" t="s">
        <v>2806</v>
      </c>
      <c r="O28" t="s">
        <v>5072</v>
      </c>
      <c r="P28" t="s">
        <v>8021</v>
      </c>
      <c r="R28" t="b">
        <v>1</v>
      </c>
    </row>
    <row r="29" spans="1:18">
      <c r="A29" t="s">
        <v>3026</v>
      </c>
      <c r="B29" t="s">
        <v>3657</v>
      </c>
      <c r="C29" s="5" t="s">
        <v>7845</v>
      </c>
      <c r="D29" s="1">
        <v>1</v>
      </c>
      <c r="E29" s="1">
        <v>5</v>
      </c>
      <c r="F29" s="1">
        <v>40</v>
      </c>
      <c r="G29" s="1">
        <v>40</v>
      </c>
      <c r="H29" s="8" cm="1">
        <f t="array" ref="H29">_xlfn.LET(_xlpm.s,IFERROR(--F29,""),_xlpm.e,IFERROR(--G29,""),IF(OR(_xlpm.s="",_xlpm.e="",_xlpm.e&lt;_xlpm.s),"",_xlfn.LET(_xlpm.p,_xlfn.SEQUENCE(_xlpm.e-_xlpm.s+1,1,_xlpm.s,1),SUM(1/COUNTIFS($D:$D,D29,$E:$E,E29,$F:$F,"&lt;&gt;N/A",$G:$G,"&lt;&gt;N/A",$F:$F,"&lt;="&amp;_xlpm.p,$G:$G,"&gt;="&amp;_xlpm.p)))))</f>
        <v>0.33333333333333331</v>
      </c>
      <c r="I29" t="s">
        <v>632</v>
      </c>
      <c r="J29" t="s">
        <v>3274</v>
      </c>
      <c r="K29" t="s">
        <v>4684</v>
      </c>
      <c r="L29" s="5" t="s">
        <v>4685</v>
      </c>
      <c r="M29" t="s">
        <v>7</v>
      </c>
      <c r="N29" t="s">
        <v>3191</v>
      </c>
      <c r="O29" t="s">
        <v>11522</v>
      </c>
      <c r="P29" t="s">
        <v>8021</v>
      </c>
      <c r="Q29" t="s">
        <v>2950</v>
      </c>
      <c r="R29" t="b">
        <v>1</v>
      </c>
    </row>
    <row r="30" spans="1:18">
      <c r="A30" t="s">
        <v>3026</v>
      </c>
      <c r="B30" t="s">
        <v>10630</v>
      </c>
      <c r="C30" s="5" t="s">
        <v>7846</v>
      </c>
      <c r="D30" s="1">
        <v>1</v>
      </c>
      <c r="E30" s="1">
        <v>6</v>
      </c>
      <c r="F30" s="1">
        <v>41</v>
      </c>
      <c r="G30" s="1">
        <v>44</v>
      </c>
      <c r="H30" s="8" cm="1">
        <f t="array" ref="H30">_xlfn.LET(_xlpm.s,IFERROR(--F30,""),_xlpm.e,IFERROR(--G30,""),IF(OR(_xlpm.s="",_xlpm.e="",_xlpm.e&lt;_xlpm.s),"",_xlfn.LET(_xlpm.p,_xlfn.SEQUENCE(_xlpm.e-_xlpm.s+1,1,_xlpm.s,1),SUM(1/COUNTIFS($D:$D,D30,$E:$E,E30,$F:$F,"&lt;&gt;N/A",$G:$G,"&lt;&gt;N/A",$F:$F,"&lt;="&amp;_xlpm.p,$G:$G,"&gt;="&amp;_xlpm.p)))))</f>
        <v>3.5</v>
      </c>
      <c r="I30" t="s">
        <v>14</v>
      </c>
      <c r="J30" t="s">
        <v>642</v>
      </c>
      <c r="K30" t="s">
        <v>639</v>
      </c>
      <c r="L30" s="5" t="s">
        <v>7</v>
      </c>
      <c r="M30" t="s">
        <v>7</v>
      </c>
      <c r="N30" t="s">
        <v>7</v>
      </c>
      <c r="O30" s="3" t="s">
        <v>778</v>
      </c>
      <c r="P30" s="3" t="s">
        <v>7834</v>
      </c>
      <c r="R30" t="b">
        <v>1</v>
      </c>
    </row>
    <row r="31" spans="1:18">
      <c r="A31" t="s">
        <v>3026</v>
      </c>
      <c r="B31" t="s">
        <v>10631</v>
      </c>
      <c r="C31" s="5" t="s">
        <v>7846</v>
      </c>
      <c r="D31" s="1">
        <v>1</v>
      </c>
      <c r="E31" s="1">
        <v>6</v>
      </c>
      <c r="F31" s="1">
        <v>44</v>
      </c>
      <c r="G31" s="1">
        <v>47</v>
      </c>
      <c r="H31" s="8" cm="1">
        <f t="array" ref="H31">_xlfn.LET(_xlpm.s,IFERROR(--F31,""),_xlpm.e,IFERROR(--G31,""),IF(OR(_xlpm.s="",_xlpm.e="",_xlpm.e&lt;_xlpm.s),"",_xlfn.LET(_xlpm.p,_xlfn.SEQUENCE(_xlpm.e-_xlpm.s+1,1,_xlpm.s,1),SUM(1/COUNTIFS($D:$D,D31,$E:$E,E31,$F:$F,"&lt;&gt;N/A",$G:$G,"&lt;&gt;N/A",$F:$F,"&lt;="&amp;_xlpm.p,$G:$G,"&gt;="&amp;_xlpm.p)))))</f>
        <v>2.8333333333333335</v>
      </c>
      <c r="I31" t="s">
        <v>632</v>
      </c>
      <c r="J31" t="s">
        <v>2802</v>
      </c>
      <c r="K31" t="s">
        <v>7</v>
      </c>
      <c r="L31" s="5" t="s">
        <v>7</v>
      </c>
      <c r="M31" t="s">
        <v>7</v>
      </c>
      <c r="N31" t="s">
        <v>7</v>
      </c>
      <c r="O31" s="3" t="s">
        <v>778</v>
      </c>
      <c r="P31" s="3" t="s">
        <v>7834</v>
      </c>
      <c r="R31" t="b">
        <v>1</v>
      </c>
    </row>
    <row r="32" spans="1:18">
      <c r="A32" t="s">
        <v>3026</v>
      </c>
      <c r="B32" t="s">
        <v>3658</v>
      </c>
      <c r="C32" s="5" t="s">
        <v>7846</v>
      </c>
      <c r="D32" s="1">
        <v>1</v>
      </c>
      <c r="E32" s="1">
        <v>6</v>
      </c>
      <c r="F32" s="1">
        <v>47</v>
      </c>
      <c r="G32" s="1">
        <v>47</v>
      </c>
      <c r="H32" s="8" cm="1">
        <f t="array" ref="H32">_xlfn.LET(_xlpm.s,IFERROR(--F32,""),_xlpm.e,IFERROR(--G32,""),IF(OR(_xlpm.s="",_xlpm.e="",_xlpm.e&lt;_xlpm.s),"",_xlfn.LET(_xlpm.p,_xlfn.SEQUENCE(_xlpm.e-_xlpm.s+1,1,_xlpm.s,1),SUM(1/COUNTIFS($D:$D,D32,$E:$E,E32,$F:$F,"&lt;&gt;N/A",$G:$G,"&lt;&gt;N/A",$F:$F,"&lt;="&amp;_xlpm.p,$G:$G,"&gt;="&amp;_xlpm.p)))))</f>
        <v>0.33333333333333331</v>
      </c>
      <c r="I32" t="s">
        <v>632</v>
      </c>
      <c r="J32" t="s">
        <v>2808</v>
      </c>
      <c r="K32" t="s">
        <v>7</v>
      </c>
      <c r="L32" s="5" t="s">
        <v>7</v>
      </c>
      <c r="M32" t="s">
        <v>7</v>
      </c>
      <c r="N32" t="s">
        <v>2809</v>
      </c>
      <c r="O32" t="s">
        <v>5072</v>
      </c>
      <c r="P32" t="s">
        <v>8021</v>
      </c>
      <c r="R32" t="b">
        <v>1</v>
      </c>
    </row>
    <row r="33" spans="1:18">
      <c r="A33" t="s">
        <v>3026</v>
      </c>
      <c r="B33" t="s">
        <v>3659</v>
      </c>
      <c r="C33" s="5" t="s">
        <v>7846</v>
      </c>
      <c r="D33" s="1">
        <v>1</v>
      </c>
      <c r="E33" s="1">
        <v>6</v>
      </c>
      <c r="F33" s="1">
        <v>47</v>
      </c>
      <c r="G33" s="1">
        <v>48</v>
      </c>
      <c r="H33" s="8" cm="1">
        <f t="array" ref="H33">_xlfn.LET(_xlpm.s,IFERROR(--F33,""),_xlpm.e,IFERROR(--G33,""),IF(OR(_xlpm.s="",_xlpm.e="",_xlpm.e&lt;_xlpm.s),"",_xlfn.LET(_xlpm.p,_xlfn.SEQUENCE(_xlpm.e-_xlpm.s+1,1,_xlpm.s,1),SUM(1/COUNTIFS($D:$D,D33,$E:$E,E33,$F:$F,"&lt;&gt;N/A",$G:$G,"&lt;&gt;N/A",$F:$F,"&lt;="&amp;_xlpm.p,$G:$G,"&gt;="&amp;_xlpm.p)))))</f>
        <v>0.58333333333333326</v>
      </c>
      <c r="I33" t="s">
        <v>632</v>
      </c>
      <c r="J33" t="s">
        <v>3183</v>
      </c>
      <c r="K33" t="s">
        <v>7</v>
      </c>
      <c r="L33" s="5" t="s">
        <v>4686</v>
      </c>
      <c r="M33" t="s">
        <v>7</v>
      </c>
      <c r="N33" t="s">
        <v>7269</v>
      </c>
      <c r="O33" t="s">
        <v>5072</v>
      </c>
      <c r="P33" t="s">
        <v>8021</v>
      </c>
      <c r="R33" t="b">
        <v>1</v>
      </c>
    </row>
    <row r="34" spans="1:18">
      <c r="A34" t="s">
        <v>3026</v>
      </c>
      <c r="B34" t="s">
        <v>3660</v>
      </c>
      <c r="C34" s="5" t="s">
        <v>7846</v>
      </c>
      <c r="D34" s="1">
        <v>1</v>
      </c>
      <c r="E34" s="1">
        <v>6</v>
      </c>
      <c r="F34" s="1">
        <v>48</v>
      </c>
      <c r="G34" s="1">
        <v>48</v>
      </c>
      <c r="H34" s="8" cm="1">
        <f t="array" ref="H34">_xlfn.LET(_xlpm.s,IFERROR(--F34,""),_xlpm.e,IFERROR(--G34,""),IF(OR(_xlpm.s="",_xlpm.e="",_xlpm.e&lt;_xlpm.s),"",_xlfn.LET(_xlpm.p,_xlfn.SEQUENCE(_xlpm.e-_xlpm.s+1,1,_xlpm.s,1),SUM(1/COUNTIFS($D:$D,D34,$E:$E,E34,$F:$F,"&lt;&gt;N/A",$G:$G,"&lt;&gt;N/A",$F:$F,"&lt;="&amp;_xlpm.p,$G:$G,"&gt;="&amp;_xlpm.p)))))</f>
        <v>0.25</v>
      </c>
      <c r="I34" t="s">
        <v>632</v>
      </c>
      <c r="J34" t="s">
        <v>3180</v>
      </c>
      <c r="K34" t="s">
        <v>7</v>
      </c>
      <c r="L34" s="5" t="s">
        <v>4687</v>
      </c>
      <c r="M34" t="s">
        <v>7</v>
      </c>
      <c r="N34" t="s">
        <v>7685</v>
      </c>
      <c r="O34" t="s">
        <v>5072</v>
      </c>
      <c r="P34" t="s">
        <v>8021</v>
      </c>
      <c r="R34" t="b">
        <v>1</v>
      </c>
    </row>
    <row r="35" spans="1:18">
      <c r="A35" t="s">
        <v>3026</v>
      </c>
      <c r="B35" t="s">
        <v>3661</v>
      </c>
      <c r="C35" s="5" t="s">
        <v>7846</v>
      </c>
      <c r="D35" s="1">
        <v>1</v>
      </c>
      <c r="E35" s="1">
        <v>6</v>
      </c>
      <c r="F35" s="1">
        <v>48</v>
      </c>
      <c r="G35" s="1">
        <v>48</v>
      </c>
      <c r="H35" s="8" cm="1">
        <f t="array" ref="H35">_xlfn.LET(_xlpm.s,IFERROR(--F35,""),_xlpm.e,IFERROR(--G35,""),IF(OR(_xlpm.s="",_xlpm.e="",_xlpm.e&lt;_xlpm.s),"",_xlfn.LET(_xlpm.p,_xlfn.SEQUENCE(_xlpm.e-_xlpm.s+1,1,_xlpm.s,1),SUM(1/COUNTIFS($D:$D,D35,$E:$E,E35,$F:$F,"&lt;&gt;N/A",$G:$G,"&lt;&gt;N/A",$F:$F,"&lt;="&amp;_xlpm.p,$G:$G,"&gt;="&amp;_xlpm.p)))))</f>
        <v>0.25</v>
      </c>
      <c r="I35" t="s">
        <v>632</v>
      </c>
      <c r="J35" t="s">
        <v>3181</v>
      </c>
      <c r="K35" t="s">
        <v>7</v>
      </c>
      <c r="L35" s="5" t="s">
        <v>4688</v>
      </c>
      <c r="M35" t="s">
        <v>7270</v>
      </c>
      <c r="N35" t="s">
        <v>7430</v>
      </c>
      <c r="O35" t="s">
        <v>11522</v>
      </c>
      <c r="P35" t="s">
        <v>8021</v>
      </c>
      <c r="R35" t="b">
        <v>1</v>
      </c>
    </row>
    <row r="36" spans="1:18">
      <c r="A36" t="s">
        <v>3026</v>
      </c>
      <c r="B36" t="s">
        <v>3662</v>
      </c>
      <c r="C36" s="5" t="s">
        <v>7846</v>
      </c>
      <c r="D36" s="1">
        <v>1</v>
      </c>
      <c r="E36" s="1">
        <v>6</v>
      </c>
      <c r="F36" s="1">
        <v>48</v>
      </c>
      <c r="G36" s="1">
        <v>48</v>
      </c>
      <c r="H36" s="8" cm="1">
        <f t="array" ref="H36">_xlfn.LET(_xlpm.s,IFERROR(--F36,""),_xlpm.e,IFERROR(--G36,""),IF(OR(_xlpm.s="",_xlpm.e="",_xlpm.e&lt;_xlpm.s),"",_xlfn.LET(_xlpm.p,_xlfn.SEQUENCE(_xlpm.e-_xlpm.s+1,1,_xlpm.s,1),SUM(1/COUNTIFS($D:$D,D36,$E:$E,E36,$F:$F,"&lt;&gt;N/A",$G:$G,"&lt;&gt;N/A",$F:$F,"&lt;="&amp;_xlpm.p,$G:$G,"&gt;="&amp;_xlpm.p)))))</f>
        <v>0.25</v>
      </c>
      <c r="I36" t="s">
        <v>632</v>
      </c>
      <c r="J36" t="s">
        <v>3182</v>
      </c>
      <c r="K36" t="s">
        <v>7</v>
      </c>
      <c r="L36" s="5" t="s">
        <v>4689</v>
      </c>
      <c r="M36" t="s">
        <v>7271</v>
      </c>
      <c r="N36" t="s">
        <v>7384</v>
      </c>
      <c r="O36" t="s">
        <v>5072</v>
      </c>
      <c r="P36" t="s">
        <v>8021</v>
      </c>
      <c r="R36" t="b">
        <v>1</v>
      </c>
    </row>
    <row r="37" spans="1:18">
      <c r="A37" t="s">
        <v>3026</v>
      </c>
      <c r="B37" t="s">
        <v>10632</v>
      </c>
      <c r="C37" s="5" t="s">
        <v>7847</v>
      </c>
      <c r="D37" s="1">
        <v>1</v>
      </c>
      <c r="E37" s="1">
        <v>7</v>
      </c>
      <c r="F37" s="1">
        <v>49</v>
      </c>
      <c r="G37" s="1">
        <v>52</v>
      </c>
      <c r="H37" s="8" cm="1">
        <f t="array" ref="H37">_xlfn.LET(_xlpm.s,IFERROR(--F37,""),_xlpm.e,IFERROR(--G37,""),IF(OR(_xlpm.s="",_xlpm.e="",_xlpm.e&lt;_xlpm.s),"",_xlfn.LET(_xlpm.p,_xlfn.SEQUENCE(_xlpm.e-_xlpm.s+1,1,_xlpm.s,1),SUM(1/COUNTIFS($D:$D,D37,$E:$E,E37,$F:$F,"&lt;&gt;N/A",$G:$G,"&lt;&gt;N/A",$F:$F,"&lt;="&amp;_xlpm.p,$G:$G,"&gt;="&amp;_xlpm.p)))))</f>
        <v>3.3333333333333335</v>
      </c>
      <c r="I37" t="s">
        <v>14</v>
      </c>
      <c r="J37" t="s">
        <v>643</v>
      </c>
      <c r="K37" t="s">
        <v>644</v>
      </c>
      <c r="L37" s="5" t="s">
        <v>7</v>
      </c>
      <c r="M37" s="5" t="s">
        <v>7</v>
      </c>
      <c r="N37" t="s">
        <v>7</v>
      </c>
      <c r="O37" s="3" t="s">
        <v>778</v>
      </c>
      <c r="P37" s="3" t="s">
        <v>7834</v>
      </c>
      <c r="R37" t="b">
        <v>1</v>
      </c>
    </row>
    <row r="38" spans="1:18">
      <c r="A38" t="s">
        <v>3026</v>
      </c>
      <c r="B38" t="s">
        <v>10633</v>
      </c>
      <c r="C38" s="5" t="s">
        <v>7847</v>
      </c>
      <c r="D38" s="1">
        <v>1</v>
      </c>
      <c r="E38" s="1">
        <v>7</v>
      </c>
      <c r="F38" s="1">
        <v>52</v>
      </c>
      <c r="G38" s="1">
        <v>52</v>
      </c>
      <c r="H38" s="8" cm="1">
        <f t="array" ref="H38">_xlfn.LET(_xlpm.s,IFERROR(--F38,""),_xlpm.e,IFERROR(--G38,""),IF(OR(_xlpm.s="",_xlpm.e="",_xlpm.e&lt;_xlpm.s),"",_xlfn.LET(_xlpm.p,_xlfn.SEQUENCE(_xlpm.e-_xlpm.s+1,1,_xlpm.s,1),SUM(1/COUNTIFS($D:$D,D38,$E:$E,E38,$F:$F,"&lt;&gt;N/A",$G:$G,"&lt;&gt;N/A",$F:$F,"&lt;="&amp;_xlpm.p,$G:$G,"&gt;="&amp;_xlpm.p)))))</f>
        <v>0.33333333333333331</v>
      </c>
      <c r="I38" t="s">
        <v>632</v>
      </c>
      <c r="J38" t="s">
        <v>646</v>
      </c>
      <c r="K38" t="s">
        <v>647</v>
      </c>
      <c r="L38" s="5" t="s">
        <v>7</v>
      </c>
      <c r="M38" s="5" t="s">
        <v>7</v>
      </c>
      <c r="N38" t="s">
        <v>7</v>
      </c>
      <c r="O38" s="3" t="s">
        <v>778</v>
      </c>
      <c r="P38" s="3" t="s">
        <v>7834</v>
      </c>
      <c r="R38" t="b">
        <v>1</v>
      </c>
    </row>
    <row r="39" spans="1:18">
      <c r="A39" t="s">
        <v>3026</v>
      </c>
      <c r="B39" t="s">
        <v>3663</v>
      </c>
      <c r="C39" s="5" t="s">
        <v>7847</v>
      </c>
      <c r="D39" s="1">
        <v>1</v>
      </c>
      <c r="E39" s="1">
        <v>7</v>
      </c>
      <c r="F39" s="1">
        <v>52</v>
      </c>
      <c r="G39" s="1">
        <v>56</v>
      </c>
      <c r="H39" s="8" cm="1">
        <f t="array" ref="H39">_xlfn.LET(_xlpm.s,IFERROR(--F39,""),_xlpm.e,IFERROR(--G39,""),IF(OR(_xlpm.s="",_xlpm.e="",_xlpm.e&lt;_xlpm.s),"",_xlfn.LET(_xlpm.p,_xlfn.SEQUENCE(_xlpm.e-_xlpm.s+1,1,_xlpm.s,1),SUM(1/COUNTIFS($D:$D,D39,$E:$E,E39,$F:$F,"&lt;&gt;N/A",$G:$G,"&lt;&gt;N/A",$F:$F,"&lt;="&amp;_xlpm.p,$G:$G,"&gt;="&amp;_xlpm.p)))))</f>
        <v>4.333333333333333</v>
      </c>
      <c r="I39" t="s">
        <v>645</v>
      </c>
      <c r="J39" t="s">
        <v>649</v>
      </c>
      <c r="K39" t="s">
        <v>648</v>
      </c>
      <c r="L39" s="5" t="s">
        <v>4690</v>
      </c>
      <c r="M39" t="s">
        <v>7</v>
      </c>
      <c r="N39" t="s">
        <v>7</v>
      </c>
      <c r="O39" t="s">
        <v>5072</v>
      </c>
      <c r="P39" t="s">
        <v>8021</v>
      </c>
      <c r="R39" t="b">
        <v>1</v>
      </c>
    </row>
    <row r="40" spans="1:18">
      <c r="A40" t="s">
        <v>3026</v>
      </c>
      <c r="B40" t="s">
        <v>10634</v>
      </c>
      <c r="C40" s="5" t="s">
        <v>7880</v>
      </c>
      <c r="D40" s="1">
        <v>1</v>
      </c>
      <c r="E40" s="1">
        <v>8</v>
      </c>
      <c r="F40" s="1">
        <v>57</v>
      </c>
      <c r="G40" s="1">
        <v>58</v>
      </c>
      <c r="H40" s="8" cm="1">
        <f t="array" ref="H40">_xlfn.LET(_xlpm.s,IFERROR(--F40,""),_xlpm.e,IFERROR(--G40,""),IF(OR(_xlpm.s="",_xlpm.e="",_xlpm.e&lt;_xlpm.s),"",_xlfn.LET(_xlpm.p,_xlfn.SEQUENCE(_xlpm.e-_xlpm.s+1,1,_xlpm.s,1),SUM(1/COUNTIFS($D:$D,D40,$E:$E,E40,$F:$F,"&lt;&gt;N/A",$G:$G,"&lt;&gt;N/A",$F:$F,"&lt;="&amp;_xlpm.p,$G:$G,"&gt;="&amp;_xlpm.p)))))</f>
        <v>1.5</v>
      </c>
      <c r="I40" t="s">
        <v>14</v>
      </c>
      <c r="J40" t="s">
        <v>7211</v>
      </c>
      <c r="K40" t="s">
        <v>644</v>
      </c>
      <c r="L40" s="5" t="s">
        <v>7</v>
      </c>
      <c r="M40" s="5" t="s">
        <v>7</v>
      </c>
      <c r="N40" t="s">
        <v>7</v>
      </c>
      <c r="O40" s="3" t="s">
        <v>778</v>
      </c>
      <c r="P40" s="3" t="s">
        <v>7834</v>
      </c>
      <c r="R40" t="b">
        <v>1</v>
      </c>
    </row>
    <row r="41" spans="1:18">
      <c r="A41" t="s">
        <v>3026</v>
      </c>
      <c r="B41" t="s">
        <v>10635</v>
      </c>
      <c r="C41" s="5" t="s">
        <v>7880</v>
      </c>
      <c r="D41" s="1">
        <v>1</v>
      </c>
      <c r="E41" s="1">
        <v>8</v>
      </c>
      <c r="F41" s="1">
        <v>58</v>
      </c>
      <c r="G41" s="1">
        <v>59</v>
      </c>
      <c r="H41" s="8" cm="1">
        <f t="array" ref="H41">_xlfn.LET(_xlpm.s,IFERROR(--F41,""),_xlpm.e,IFERROR(--G41,""),IF(OR(_xlpm.s="",_xlpm.e="",_xlpm.e&lt;_xlpm.s),"",_xlfn.LET(_xlpm.p,_xlfn.SEQUENCE(_xlpm.e-_xlpm.s+1,1,_xlpm.s,1),SUM(1/COUNTIFS($D:$D,D41,$E:$E,E41,$F:$F,"&lt;&gt;N/A",$G:$G,"&lt;&gt;N/A",$F:$F,"&lt;="&amp;_xlpm.p,$G:$G,"&gt;="&amp;_xlpm.p)))))</f>
        <v>1</v>
      </c>
      <c r="I41" t="s">
        <v>14</v>
      </c>
      <c r="J41" t="s">
        <v>3192</v>
      </c>
      <c r="K41" t="s">
        <v>650</v>
      </c>
      <c r="L41" s="5" t="s">
        <v>4691</v>
      </c>
      <c r="M41" t="s">
        <v>7274</v>
      </c>
      <c r="N41" t="s">
        <v>2813</v>
      </c>
      <c r="O41" s="3" t="s">
        <v>10264</v>
      </c>
      <c r="P41" s="3" t="s">
        <v>8020</v>
      </c>
      <c r="R41" t="b">
        <v>1</v>
      </c>
    </row>
    <row r="42" spans="1:18">
      <c r="A42" t="s">
        <v>3026</v>
      </c>
      <c r="B42" t="s">
        <v>3664</v>
      </c>
      <c r="C42" s="5" t="s">
        <v>7880</v>
      </c>
      <c r="D42" s="1">
        <v>1</v>
      </c>
      <c r="E42" s="1">
        <v>8</v>
      </c>
      <c r="F42" s="1">
        <v>59</v>
      </c>
      <c r="G42" s="1">
        <v>60</v>
      </c>
      <c r="H42" s="8" cm="1">
        <f t="array" ref="H42">_xlfn.LET(_xlpm.s,IFERROR(--F42,""),_xlpm.e,IFERROR(--G42,""),IF(OR(_xlpm.s="",_xlpm.e="",_xlpm.e&lt;_xlpm.s),"",_xlfn.LET(_xlpm.p,_xlfn.SEQUENCE(_xlpm.e-_xlpm.s+1,1,_xlpm.s,1),SUM(1/COUNTIFS($D:$D,D42,$E:$E,E42,$F:$F,"&lt;&gt;N/A",$G:$G,"&lt;&gt;N/A",$F:$F,"&lt;="&amp;_xlpm.p,$G:$G,"&gt;="&amp;_xlpm.p)))))</f>
        <v>1</v>
      </c>
      <c r="I42" t="s">
        <v>14</v>
      </c>
      <c r="J42" t="s">
        <v>651</v>
      </c>
      <c r="K42" t="s">
        <v>652</v>
      </c>
      <c r="L42" s="5" t="s">
        <v>7547</v>
      </c>
      <c r="M42" s="5" t="s">
        <v>7</v>
      </c>
      <c r="N42" t="s">
        <v>7</v>
      </c>
      <c r="O42" t="s">
        <v>11522</v>
      </c>
      <c r="P42" t="s">
        <v>8021</v>
      </c>
      <c r="R42" t="b">
        <v>1</v>
      </c>
    </row>
    <row r="43" spans="1:18">
      <c r="A43" t="s">
        <v>3026</v>
      </c>
      <c r="B43" t="s">
        <v>3665</v>
      </c>
      <c r="C43" s="5" t="s">
        <v>7880</v>
      </c>
      <c r="D43" s="1">
        <v>1</v>
      </c>
      <c r="E43" s="1">
        <v>8</v>
      </c>
      <c r="F43" s="1">
        <v>60</v>
      </c>
      <c r="G43" s="1">
        <v>61</v>
      </c>
      <c r="H43" s="8" cm="1">
        <f t="array" ref="H43">_xlfn.LET(_xlpm.s,IFERROR(--F43,""),_xlpm.e,IFERROR(--G43,""),IF(OR(_xlpm.s="",_xlpm.e="",_xlpm.e&lt;_xlpm.s),"",_xlfn.LET(_xlpm.p,_xlfn.SEQUENCE(_xlpm.e-_xlpm.s+1,1,_xlpm.s,1),SUM(1/COUNTIFS($D:$D,D43,$E:$E,E43,$F:$F,"&lt;&gt;N/A",$G:$G,"&lt;&gt;N/A",$F:$F,"&lt;="&amp;_xlpm.p,$G:$G,"&gt;="&amp;_xlpm.p)))))</f>
        <v>0.64285714285714279</v>
      </c>
      <c r="I43" t="s">
        <v>205</v>
      </c>
      <c r="J43" t="s">
        <v>2810</v>
      </c>
      <c r="K43" t="s">
        <v>7</v>
      </c>
      <c r="L43" s="5" t="s">
        <v>7</v>
      </c>
      <c r="M43" t="s">
        <v>6548</v>
      </c>
      <c r="N43" s="5" t="s">
        <v>2814</v>
      </c>
      <c r="O43" t="s">
        <v>5072</v>
      </c>
      <c r="P43" t="s">
        <v>8021</v>
      </c>
      <c r="R43" t="b">
        <v>1</v>
      </c>
    </row>
    <row r="44" spans="1:18">
      <c r="A44" t="s">
        <v>3026</v>
      </c>
      <c r="B44" t="s">
        <v>3666</v>
      </c>
      <c r="C44" s="5" t="s">
        <v>7880</v>
      </c>
      <c r="D44" s="1">
        <v>1</v>
      </c>
      <c r="E44" s="1">
        <v>8</v>
      </c>
      <c r="F44" s="1">
        <v>61</v>
      </c>
      <c r="G44" s="1">
        <v>61</v>
      </c>
      <c r="H44" s="8" cm="1">
        <f t="array" ref="H44">_xlfn.LET(_xlpm.s,IFERROR(--F44,""),_xlpm.e,IFERROR(--G44,""),IF(OR(_xlpm.s="",_xlpm.e="",_xlpm.e&lt;_xlpm.s),"",_xlfn.LET(_xlpm.p,_xlfn.SEQUENCE(_xlpm.e-_xlpm.s+1,1,_xlpm.s,1),SUM(1/COUNTIFS($D:$D,D44,$E:$E,E44,$F:$F,"&lt;&gt;N/A",$G:$G,"&lt;&gt;N/A",$F:$F,"&lt;="&amp;_xlpm.p,$G:$G,"&gt;="&amp;_xlpm.p)))))</f>
        <v>0.14285714285714285</v>
      </c>
      <c r="I44" t="s">
        <v>205</v>
      </c>
      <c r="J44" t="s">
        <v>2811</v>
      </c>
      <c r="K44" t="s">
        <v>7</v>
      </c>
      <c r="L44" s="5" t="s">
        <v>7</v>
      </c>
      <c r="M44" t="s">
        <v>6548</v>
      </c>
      <c r="N44" t="s">
        <v>7546</v>
      </c>
      <c r="O44" t="s">
        <v>11522</v>
      </c>
      <c r="P44" t="s">
        <v>8021</v>
      </c>
      <c r="R44" t="b">
        <v>1</v>
      </c>
    </row>
    <row r="45" spans="1:18">
      <c r="A45" t="s">
        <v>3026</v>
      </c>
      <c r="B45" t="s">
        <v>3667</v>
      </c>
      <c r="C45" s="5" t="s">
        <v>7880</v>
      </c>
      <c r="D45" s="1">
        <v>1</v>
      </c>
      <c r="E45" s="1">
        <v>8</v>
      </c>
      <c r="F45" s="1">
        <v>61</v>
      </c>
      <c r="G45" s="1">
        <v>61</v>
      </c>
      <c r="H45" s="8" cm="1">
        <f t="array" ref="H45">_xlfn.LET(_xlpm.s,IFERROR(--F45,""),_xlpm.e,IFERROR(--G45,""),IF(OR(_xlpm.s="",_xlpm.e="",_xlpm.e&lt;_xlpm.s),"",_xlfn.LET(_xlpm.p,_xlfn.SEQUENCE(_xlpm.e-_xlpm.s+1,1,_xlpm.s,1),SUM(1/COUNTIFS($D:$D,D45,$E:$E,E45,$F:$F,"&lt;&gt;N/A",$G:$G,"&lt;&gt;N/A",$F:$F,"&lt;="&amp;_xlpm.p,$G:$G,"&gt;="&amp;_xlpm.p)))))</f>
        <v>0.14285714285714285</v>
      </c>
      <c r="I45" t="s">
        <v>205</v>
      </c>
      <c r="J45" t="s">
        <v>2812</v>
      </c>
      <c r="K45" t="s">
        <v>7</v>
      </c>
      <c r="L45" s="5" t="s">
        <v>7</v>
      </c>
      <c r="M45" t="s">
        <v>6548</v>
      </c>
      <c r="N45" s="5" t="s">
        <v>7549</v>
      </c>
      <c r="O45" t="s">
        <v>11522</v>
      </c>
      <c r="P45" t="s">
        <v>8021</v>
      </c>
      <c r="R45" t="b">
        <v>1</v>
      </c>
    </row>
    <row r="46" spans="1:18">
      <c r="A46" t="s">
        <v>3026</v>
      </c>
      <c r="B46" t="s">
        <v>3668</v>
      </c>
      <c r="C46" s="5" t="s">
        <v>7880</v>
      </c>
      <c r="D46" s="1">
        <v>1</v>
      </c>
      <c r="E46" s="1">
        <v>8</v>
      </c>
      <c r="F46" s="1">
        <v>61</v>
      </c>
      <c r="G46" s="1">
        <v>61</v>
      </c>
      <c r="H46" s="8" cm="1">
        <f t="array" ref="H46">_xlfn.LET(_xlpm.s,IFERROR(--F46,""),_xlpm.e,IFERROR(--G46,""),IF(OR(_xlpm.s="",_xlpm.e="",_xlpm.e&lt;_xlpm.s),"",_xlfn.LET(_xlpm.p,_xlfn.SEQUENCE(_xlpm.e-_xlpm.s+1,1,_xlpm.s,1),SUM(1/COUNTIFS($D:$D,D46,$E:$E,E46,$F:$F,"&lt;&gt;N/A",$G:$G,"&lt;&gt;N/A",$F:$F,"&lt;="&amp;_xlpm.p,$G:$G,"&gt;="&amp;_xlpm.p)))))</f>
        <v>0.14285714285714285</v>
      </c>
      <c r="I46" t="s">
        <v>205</v>
      </c>
      <c r="J46" t="s">
        <v>2815</v>
      </c>
      <c r="K46" t="s">
        <v>7</v>
      </c>
      <c r="L46" s="5" t="s">
        <v>7</v>
      </c>
      <c r="M46" t="s">
        <v>6548</v>
      </c>
      <c r="N46" t="s">
        <v>7548</v>
      </c>
      <c r="O46" t="s">
        <v>11522</v>
      </c>
      <c r="P46" t="s">
        <v>8021</v>
      </c>
      <c r="R46" t="b">
        <v>1</v>
      </c>
    </row>
    <row r="47" spans="1:18">
      <c r="A47" t="s">
        <v>3026</v>
      </c>
      <c r="B47" t="s">
        <v>3669</v>
      </c>
      <c r="C47" s="5" t="s">
        <v>7880</v>
      </c>
      <c r="D47" s="1">
        <v>1</v>
      </c>
      <c r="E47" s="1">
        <v>8</v>
      </c>
      <c r="F47" s="1">
        <v>61</v>
      </c>
      <c r="G47" s="1">
        <v>61</v>
      </c>
      <c r="H47" s="8" cm="1">
        <f t="array" ref="H47">_xlfn.LET(_xlpm.s,IFERROR(--F47,""),_xlpm.e,IFERROR(--G47,""),IF(OR(_xlpm.s="",_xlpm.e="",_xlpm.e&lt;_xlpm.s),"",_xlfn.LET(_xlpm.p,_xlfn.SEQUENCE(_xlpm.e-_xlpm.s+1,1,_xlpm.s,1),SUM(1/COUNTIFS($D:$D,D47,$E:$E,E47,$F:$F,"&lt;&gt;N/A",$G:$G,"&lt;&gt;N/A",$F:$F,"&lt;="&amp;_xlpm.p,$G:$G,"&gt;="&amp;_xlpm.p)))))</f>
        <v>0.14285714285714285</v>
      </c>
      <c r="I47" t="s">
        <v>205</v>
      </c>
      <c r="J47" t="s">
        <v>2816</v>
      </c>
      <c r="K47" t="s">
        <v>7</v>
      </c>
      <c r="L47" s="5" t="s">
        <v>7</v>
      </c>
      <c r="M47" t="s">
        <v>7273</v>
      </c>
      <c r="N47" s="5" t="s">
        <v>2818</v>
      </c>
      <c r="O47" t="s">
        <v>5072</v>
      </c>
      <c r="P47" t="s">
        <v>8021</v>
      </c>
      <c r="R47" t="b">
        <v>1</v>
      </c>
    </row>
    <row r="48" spans="1:18">
      <c r="A48" t="s">
        <v>3026</v>
      </c>
      <c r="B48" t="s">
        <v>3670</v>
      </c>
      <c r="C48" s="5" t="s">
        <v>7880</v>
      </c>
      <c r="D48" s="1">
        <v>1</v>
      </c>
      <c r="E48" s="1">
        <v>8</v>
      </c>
      <c r="F48" s="1">
        <v>61</v>
      </c>
      <c r="G48" s="1">
        <v>61</v>
      </c>
      <c r="H48" s="8" cm="1">
        <f t="array" ref="H48">_xlfn.LET(_xlpm.s,IFERROR(--F48,""),_xlpm.e,IFERROR(--G48,""),IF(OR(_xlpm.s="",_xlpm.e="",_xlpm.e&lt;_xlpm.s),"",_xlfn.LET(_xlpm.p,_xlfn.SEQUENCE(_xlpm.e-_xlpm.s+1,1,_xlpm.s,1),SUM(1/COUNTIFS($D:$D,D48,$E:$E,E48,$F:$F,"&lt;&gt;N/A",$G:$G,"&lt;&gt;N/A",$F:$F,"&lt;="&amp;_xlpm.p,$G:$G,"&gt;="&amp;_xlpm.p)))))</f>
        <v>0.14285714285714285</v>
      </c>
      <c r="I48" t="s">
        <v>205</v>
      </c>
      <c r="J48" t="s">
        <v>2817</v>
      </c>
      <c r="K48" t="s">
        <v>7</v>
      </c>
      <c r="L48" s="5" t="s">
        <v>7</v>
      </c>
      <c r="M48" t="s">
        <v>7273</v>
      </c>
      <c r="N48" s="5" t="s">
        <v>7356</v>
      </c>
      <c r="O48" t="s">
        <v>5072</v>
      </c>
      <c r="P48" t="s">
        <v>8021</v>
      </c>
      <c r="R48" t="b">
        <v>1</v>
      </c>
    </row>
    <row r="49" spans="1:18">
      <c r="A49" t="s">
        <v>3026</v>
      </c>
      <c r="B49" t="s">
        <v>3671</v>
      </c>
      <c r="C49" s="5" t="s">
        <v>7880</v>
      </c>
      <c r="D49" s="1">
        <v>1</v>
      </c>
      <c r="E49" s="1">
        <v>8</v>
      </c>
      <c r="F49" s="1">
        <v>61</v>
      </c>
      <c r="G49" s="1">
        <v>61</v>
      </c>
      <c r="H49" s="8" cm="1">
        <f t="array" ref="H49">_xlfn.LET(_xlpm.s,IFERROR(--F49,""),_xlpm.e,IFERROR(--G49,""),IF(OR(_xlpm.s="",_xlpm.e="",_xlpm.e&lt;_xlpm.s),"",_xlfn.LET(_xlpm.p,_xlfn.SEQUENCE(_xlpm.e-_xlpm.s+1,1,_xlpm.s,1),SUM(1/COUNTIFS($D:$D,D49,$E:$E,E49,$F:$F,"&lt;&gt;N/A",$G:$G,"&lt;&gt;N/A",$F:$F,"&lt;="&amp;_xlpm.p,$G:$G,"&gt;="&amp;_xlpm.p)))))</f>
        <v>0.14285714285714285</v>
      </c>
      <c r="I49" t="s">
        <v>205</v>
      </c>
      <c r="J49" t="s">
        <v>5053</v>
      </c>
      <c r="K49" t="s">
        <v>7</v>
      </c>
      <c r="L49" s="5" t="s">
        <v>4692</v>
      </c>
      <c r="M49" t="s">
        <v>7272</v>
      </c>
      <c r="N49" t="s">
        <v>7357</v>
      </c>
      <c r="O49" t="s">
        <v>5072</v>
      </c>
      <c r="P49" t="s">
        <v>8021</v>
      </c>
      <c r="Q49" t="s">
        <v>2950</v>
      </c>
      <c r="R49" t="b">
        <v>1</v>
      </c>
    </row>
    <row r="50" spans="1:18">
      <c r="A50" t="s">
        <v>3026</v>
      </c>
      <c r="B50" t="s">
        <v>3672</v>
      </c>
      <c r="C50" s="5" t="s">
        <v>7880</v>
      </c>
      <c r="D50" s="1">
        <v>1</v>
      </c>
      <c r="E50" s="1">
        <v>8</v>
      </c>
      <c r="F50" s="1">
        <v>62</v>
      </c>
      <c r="G50" s="1">
        <v>64</v>
      </c>
      <c r="H50" s="8" cm="1">
        <f t="array" ref="H50">_xlfn.LET(_xlpm.s,IFERROR(--F50,""),_xlpm.e,IFERROR(--G50,""),IF(OR(_xlpm.s="",_xlpm.e="",_xlpm.e&lt;_xlpm.s),"",_xlfn.LET(_xlpm.p,_xlfn.SEQUENCE(_xlpm.e-_xlpm.s+1,1,_xlpm.s,1),SUM(1/COUNTIFS($D:$D,D50,$E:$E,E50,$F:$F,"&lt;&gt;N/A",$G:$G,"&lt;&gt;N/A",$F:$F,"&lt;="&amp;_xlpm.p,$G:$G,"&gt;="&amp;_xlpm.p)))))</f>
        <v>2.5</v>
      </c>
      <c r="I50" t="s">
        <v>632</v>
      </c>
      <c r="J50" t="s">
        <v>653</v>
      </c>
      <c r="K50" t="s">
        <v>7</v>
      </c>
      <c r="L50" s="5" t="s">
        <v>4693</v>
      </c>
      <c r="M50" t="s">
        <v>7</v>
      </c>
      <c r="N50" t="s">
        <v>7</v>
      </c>
      <c r="O50" t="s">
        <v>5072</v>
      </c>
      <c r="P50" t="s">
        <v>8021</v>
      </c>
      <c r="R50" t="b">
        <v>1</v>
      </c>
    </row>
    <row r="51" spans="1:18">
      <c r="A51" t="s">
        <v>3026</v>
      </c>
      <c r="B51" t="s">
        <v>3673</v>
      </c>
      <c r="C51" s="5" t="s">
        <v>7880</v>
      </c>
      <c r="D51" s="1">
        <v>1</v>
      </c>
      <c r="E51" s="1">
        <v>8</v>
      </c>
      <c r="F51" s="1">
        <v>64</v>
      </c>
      <c r="G51" s="1">
        <v>64</v>
      </c>
      <c r="H51" s="8" cm="1">
        <f t="array" ref="H51">_xlfn.LET(_xlpm.s,IFERROR(--F51,""),_xlpm.e,IFERROR(--G51,""),IF(OR(_xlpm.s="",_xlpm.e="",_xlpm.e&lt;_xlpm.s),"",_xlfn.LET(_xlpm.p,_xlfn.SEQUENCE(_xlpm.e-_xlpm.s+1,1,_xlpm.s,1),SUM(1/COUNTIFS($D:$D,D51,$E:$E,E51,$F:$F,"&lt;&gt;N/A",$G:$G,"&lt;&gt;N/A",$F:$F,"&lt;="&amp;_xlpm.p,$G:$G,"&gt;="&amp;_xlpm.p)))))</f>
        <v>0.5</v>
      </c>
      <c r="I51" t="s">
        <v>637</v>
      </c>
      <c r="J51" t="s">
        <v>654</v>
      </c>
      <c r="K51" t="s">
        <v>7</v>
      </c>
      <c r="L51" s="5" t="s">
        <v>7</v>
      </c>
      <c r="M51" t="s">
        <v>7</v>
      </c>
      <c r="N51" t="s">
        <v>7</v>
      </c>
      <c r="O51" t="s">
        <v>11522</v>
      </c>
      <c r="P51" t="s">
        <v>8019</v>
      </c>
      <c r="Q51" t="s">
        <v>3177</v>
      </c>
      <c r="R51" t="b">
        <v>1</v>
      </c>
    </row>
    <row r="52" spans="1:18">
      <c r="A52" t="s">
        <v>3026</v>
      </c>
      <c r="B52" t="s">
        <v>10636</v>
      </c>
      <c r="C52" s="5" t="s">
        <v>7848</v>
      </c>
      <c r="D52" s="1">
        <v>1</v>
      </c>
      <c r="E52" s="1">
        <v>9</v>
      </c>
      <c r="F52" s="1">
        <v>65</v>
      </c>
      <c r="G52" s="1">
        <v>68</v>
      </c>
      <c r="H52" s="8" cm="1">
        <f t="array" ref="H52">_xlfn.LET(_xlpm.s,IFERROR(--F52,""),_xlpm.e,IFERROR(--G52,""),IF(OR(_xlpm.s="",_xlpm.e="",_xlpm.e&lt;_xlpm.s),"",_xlfn.LET(_xlpm.p,_xlfn.SEQUENCE(_xlpm.e-_xlpm.s+1,1,_xlpm.s,1),SUM(1/COUNTIFS($D:$D,D52,$E:$E,E52,$F:$F,"&lt;&gt;N/A",$G:$G,"&lt;&gt;N/A",$F:$F,"&lt;="&amp;_xlpm.p,$G:$G,"&gt;="&amp;_xlpm.p)))))</f>
        <v>3.5</v>
      </c>
      <c r="I52" t="s">
        <v>14</v>
      </c>
      <c r="J52" t="s">
        <v>655</v>
      </c>
      <c r="K52" t="s">
        <v>639</v>
      </c>
      <c r="L52" s="5" t="s">
        <v>7</v>
      </c>
      <c r="M52" s="5" t="s">
        <v>7</v>
      </c>
      <c r="N52" t="s">
        <v>7</v>
      </c>
      <c r="O52" s="3" t="s">
        <v>778</v>
      </c>
      <c r="P52" s="3" t="s">
        <v>7834</v>
      </c>
      <c r="R52" t="b">
        <v>1</v>
      </c>
    </row>
    <row r="53" spans="1:18">
      <c r="A53" t="s">
        <v>3026</v>
      </c>
      <c r="B53" t="s">
        <v>10637</v>
      </c>
      <c r="C53" s="5" t="s">
        <v>7848</v>
      </c>
      <c r="D53" s="1">
        <v>1</v>
      </c>
      <c r="E53" s="1">
        <v>9</v>
      </c>
      <c r="F53" s="1">
        <v>68</v>
      </c>
      <c r="G53" s="1">
        <v>69</v>
      </c>
      <c r="H53" s="8" cm="1">
        <f t="array" ref="H53">_xlfn.LET(_xlpm.s,IFERROR(--F53,""),_xlpm.e,IFERROR(--G53,""),IF(OR(_xlpm.s="",_xlpm.e="",_xlpm.e&lt;_xlpm.s),"",_xlfn.LET(_xlpm.p,_xlfn.SEQUENCE(_xlpm.e-_xlpm.s+1,1,_xlpm.s,1),SUM(1/COUNTIFS($D:$D,D53,$E:$E,E53,$F:$F,"&lt;&gt;N/A",$G:$G,"&lt;&gt;N/A",$F:$F,"&lt;="&amp;_xlpm.p,$G:$G,"&gt;="&amp;_xlpm.p)))))</f>
        <v>1</v>
      </c>
      <c r="I53" t="s">
        <v>200</v>
      </c>
      <c r="J53" t="s">
        <v>7212</v>
      </c>
      <c r="K53" t="s">
        <v>656</v>
      </c>
      <c r="L53" s="5" t="s">
        <v>4680</v>
      </c>
      <c r="M53" t="s">
        <v>5044</v>
      </c>
      <c r="N53" t="s">
        <v>7380</v>
      </c>
      <c r="O53" t="s">
        <v>5072</v>
      </c>
      <c r="P53" t="s">
        <v>8021</v>
      </c>
      <c r="Q53" t="s">
        <v>2950</v>
      </c>
      <c r="R53" t="b">
        <v>1</v>
      </c>
    </row>
    <row r="54" spans="1:18">
      <c r="A54" t="s">
        <v>3026</v>
      </c>
      <c r="B54" t="s">
        <v>3674</v>
      </c>
      <c r="C54" s="5" t="s">
        <v>7848</v>
      </c>
      <c r="D54" s="1">
        <v>1</v>
      </c>
      <c r="E54" s="1">
        <v>9</v>
      </c>
      <c r="F54" s="1">
        <v>69</v>
      </c>
      <c r="G54" s="1">
        <v>71</v>
      </c>
      <c r="H54" s="8" cm="1">
        <f t="array" ref="H54">_xlfn.LET(_xlpm.s,IFERROR(--F54,""),_xlpm.e,IFERROR(--G54,""),IF(OR(_xlpm.s="",_xlpm.e="",_xlpm.e&lt;_xlpm.s),"",_xlfn.LET(_xlpm.p,_xlfn.SEQUENCE(_xlpm.e-_xlpm.s+1,1,_xlpm.s,1),SUM(1/COUNTIFS($D:$D,D54,$E:$E,E54,$F:$F,"&lt;&gt;N/A",$G:$G,"&lt;&gt;N/A",$F:$F,"&lt;="&amp;_xlpm.p,$G:$G,"&gt;="&amp;_xlpm.p)))))</f>
        <v>2</v>
      </c>
      <c r="I54" t="s">
        <v>632</v>
      </c>
      <c r="J54" t="s">
        <v>7660</v>
      </c>
      <c r="K54" t="s">
        <v>7</v>
      </c>
      <c r="L54" s="5" t="s">
        <v>4694</v>
      </c>
      <c r="M54" t="s">
        <v>7</v>
      </c>
      <c r="N54" t="s">
        <v>7</v>
      </c>
      <c r="O54" t="s">
        <v>5072</v>
      </c>
      <c r="P54" t="s">
        <v>10179</v>
      </c>
      <c r="Q54" t="s">
        <v>2950</v>
      </c>
      <c r="R54" t="b">
        <v>1</v>
      </c>
    </row>
    <row r="55" spans="1:18">
      <c r="A55" t="s">
        <v>3026</v>
      </c>
      <c r="B55" t="s">
        <v>3675</v>
      </c>
      <c r="C55" s="5" t="s">
        <v>7848</v>
      </c>
      <c r="D55" s="1">
        <v>1</v>
      </c>
      <c r="E55" s="1">
        <v>9</v>
      </c>
      <c r="F55" s="1">
        <v>71</v>
      </c>
      <c r="G55" s="1">
        <v>72</v>
      </c>
      <c r="H55" s="8" cm="1">
        <f t="array" ref="H55">_xlfn.LET(_xlpm.s,IFERROR(--F55,""),_xlpm.e,IFERROR(--G55,""),IF(OR(_xlpm.s="",_xlpm.e="",_xlpm.e&lt;_xlpm.s),"",_xlfn.LET(_xlpm.p,_xlfn.SEQUENCE(_xlpm.e-_xlpm.s+1,1,_xlpm.s,1),SUM(1/COUNTIFS($D:$D,D55,$E:$E,E55,$F:$F,"&lt;&gt;N/A",$G:$G,"&lt;&gt;N/A",$F:$F,"&lt;="&amp;_xlpm.p,$G:$G,"&gt;="&amp;_xlpm.p)))))</f>
        <v>1</v>
      </c>
      <c r="I55" t="s">
        <v>632</v>
      </c>
      <c r="J55" t="s">
        <v>7661</v>
      </c>
      <c r="K55" t="s">
        <v>7</v>
      </c>
      <c r="L55" s="5" t="s">
        <v>4695</v>
      </c>
      <c r="M55" t="s">
        <v>5044</v>
      </c>
      <c r="N55" t="s">
        <v>7381</v>
      </c>
      <c r="O55" t="s">
        <v>5072</v>
      </c>
      <c r="P55" t="s">
        <v>8021</v>
      </c>
      <c r="R55" t="b">
        <v>1</v>
      </c>
    </row>
    <row r="56" spans="1:18">
      <c r="A56" t="s">
        <v>3026</v>
      </c>
      <c r="B56" t="s">
        <v>3676</v>
      </c>
      <c r="C56" s="5" t="s">
        <v>7848</v>
      </c>
      <c r="D56" s="1">
        <v>1</v>
      </c>
      <c r="E56" s="1">
        <v>9</v>
      </c>
      <c r="F56" s="1">
        <v>72</v>
      </c>
      <c r="G56" s="1">
        <v>72</v>
      </c>
      <c r="H56" s="8" cm="1">
        <f t="array" ref="H56">_xlfn.LET(_xlpm.s,IFERROR(--F56,""),_xlpm.e,IFERROR(--G56,""),IF(OR(_xlpm.s="",_xlpm.e="",_xlpm.e&lt;_xlpm.s),"",_xlfn.LET(_xlpm.p,_xlfn.SEQUENCE(_xlpm.e-_xlpm.s+1,1,_xlpm.s,1),SUM(1/COUNTIFS($D:$D,D56,$E:$E,E56,$F:$F,"&lt;&gt;N/A",$G:$G,"&lt;&gt;N/A",$F:$F,"&lt;="&amp;_xlpm.p,$G:$G,"&gt;="&amp;_xlpm.p)))))</f>
        <v>0.5</v>
      </c>
      <c r="I56" t="s">
        <v>632</v>
      </c>
      <c r="J56" t="s">
        <v>7385</v>
      </c>
      <c r="K56" t="s">
        <v>7</v>
      </c>
      <c r="L56" s="5" t="s">
        <v>4696</v>
      </c>
      <c r="M56" t="s">
        <v>7</v>
      </c>
      <c r="N56" t="s">
        <v>7</v>
      </c>
      <c r="O56" t="s">
        <v>5072</v>
      </c>
      <c r="P56" t="s">
        <v>8021</v>
      </c>
      <c r="R56" t="b">
        <v>1</v>
      </c>
    </row>
    <row r="57" spans="1:18">
      <c r="A57" t="s">
        <v>3026</v>
      </c>
      <c r="B57" t="s">
        <v>10638</v>
      </c>
      <c r="C57" s="5" t="s">
        <v>7849</v>
      </c>
      <c r="D57" s="1">
        <v>1</v>
      </c>
      <c r="E57" s="1">
        <v>10</v>
      </c>
      <c r="F57" s="1">
        <v>73</v>
      </c>
      <c r="G57" s="1">
        <v>74</v>
      </c>
      <c r="H57" s="8" cm="1">
        <f t="array" ref="H57">_xlfn.LET(_xlpm.s,IFERROR(--F57,""),_xlpm.e,IFERROR(--G57,""),IF(OR(_xlpm.s="",_xlpm.e="",_xlpm.e&lt;_xlpm.s),"",_xlfn.LET(_xlpm.p,_xlfn.SEQUENCE(_xlpm.e-_xlpm.s+1,1,_xlpm.s,1),SUM(1/COUNTIFS($D:$D,D57,$E:$E,E57,$F:$F,"&lt;&gt;N/A",$G:$G,"&lt;&gt;N/A",$F:$F,"&lt;="&amp;_xlpm.p,$G:$G,"&gt;="&amp;_xlpm.p)))))</f>
        <v>1.5</v>
      </c>
      <c r="I57" t="s">
        <v>14</v>
      </c>
      <c r="J57" t="s">
        <v>657</v>
      </c>
      <c r="K57" t="s">
        <v>644</v>
      </c>
      <c r="L57" s="5" t="s">
        <v>7</v>
      </c>
      <c r="M57" s="5" t="s">
        <v>7</v>
      </c>
      <c r="N57" t="s">
        <v>7</v>
      </c>
      <c r="O57" s="3" t="s">
        <v>778</v>
      </c>
      <c r="P57" s="3" t="s">
        <v>7834</v>
      </c>
      <c r="R57" t="b">
        <v>1</v>
      </c>
    </row>
    <row r="58" spans="1:18">
      <c r="A58" t="s">
        <v>3026</v>
      </c>
      <c r="B58" t="s">
        <v>10639</v>
      </c>
      <c r="C58" s="5" t="s">
        <v>7849</v>
      </c>
      <c r="D58" s="1">
        <v>1</v>
      </c>
      <c r="E58" s="1">
        <v>10</v>
      </c>
      <c r="F58" s="1">
        <v>74</v>
      </c>
      <c r="G58" s="1">
        <v>75</v>
      </c>
      <c r="H58" s="8" cm="1">
        <f t="array" ref="H58">_xlfn.LET(_xlpm.s,IFERROR(--F58,""),_xlpm.e,IFERROR(--G58,""),IF(OR(_xlpm.s="",_xlpm.e="",_xlpm.e&lt;_xlpm.s),"",_xlfn.LET(_xlpm.p,_xlfn.SEQUENCE(_xlpm.e-_xlpm.s+1,1,_xlpm.s,1),SUM(1/COUNTIFS($D:$D,D58,$E:$E,E58,$F:$F,"&lt;&gt;N/A",$G:$G,"&lt;&gt;N/A",$F:$F,"&lt;="&amp;_xlpm.p,$G:$G,"&gt;="&amp;_xlpm.p)))))</f>
        <v>1</v>
      </c>
      <c r="I58" t="s">
        <v>14</v>
      </c>
      <c r="J58" t="s">
        <v>658</v>
      </c>
      <c r="K58" t="s">
        <v>650</v>
      </c>
      <c r="L58" s="5" t="s">
        <v>4697</v>
      </c>
      <c r="M58" t="s">
        <v>7274</v>
      </c>
      <c r="N58" t="s">
        <v>2813</v>
      </c>
      <c r="O58" s="3" t="s">
        <v>10264</v>
      </c>
      <c r="P58" s="3" t="s">
        <v>8020</v>
      </c>
      <c r="R58" t="b">
        <v>1</v>
      </c>
    </row>
    <row r="59" spans="1:18">
      <c r="A59" t="s">
        <v>3026</v>
      </c>
      <c r="B59" t="s">
        <v>3677</v>
      </c>
      <c r="C59" s="5" t="s">
        <v>7849</v>
      </c>
      <c r="D59" s="1">
        <v>1</v>
      </c>
      <c r="E59" s="1">
        <v>10</v>
      </c>
      <c r="F59" s="1">
        <v>75</v>
      </c>
      <c r="G59" s="1">
        <v>76</v>
      </c>
      <c r="H59" s="8" cm="1">
        <f t="array" ref="H59">_xlfn.LET(_xlpm.s,IFERROR(--F59,""),_xlpm.e,IFERROR(--G59,""),IF(OR(_xlpm.s="",_xlpm.e="",_xlpm.e&lt;_xlpm.s),"",_xlfn.LET(_xlpm.p,_xlfn.SEQUENCE(_xlpm.e-_xlpm.s+1,1,_xlpm.s,1),SUM(1/COUNTIFS($D:$D,D59,$E:$E,E59,$F:$F,"&lt;&gt;N/A",$G:$G,"&lt;&gt;N/A",$F:$F,"&lt;="&amp;_xlpm.p,$G:$G,"&gt;="&amp;_xlpm.p)))))</f>
        <v>1</v>
      </c>
      <c r="I59" t="s">
        <v>200</v>
      </c>
      <c r="J59" t="s">
        <v>7213</v>
      </c>
      <c r="K59" t="s">
        <v>7</v>
      </c>
      <c r="L59" s="5" t="s">
        <v>7</v>
      </c>
      <c r="M59" t="s">
        <v>7275</v>
      </c>
      <c r="N59" t="s">
        <v>7382</v>
      </c>
      <c r="O59" t="s">
        <v>5072</v>
      </c>
      <c r="P59" t="s">
        <v>8021</v>
      </c>
      <c r="R59" t="b">
        <v>1</v>
      </c>
    </row>
    <row r="60" spans="1:18">
      <c r="A60" t="s">
        <v>3026</v>
      </c>
      <c r="B60" t="s">
        <v>3678</v>
      </c>
      <c r="C60" s="5" t="s">
        <v>7849</v>
      </c>
      <c r="D60" s="1">
        <v>1</v>
      </c>
      <c r="E60" s="1">
        <v>10</v>
      </c>
      <c r="F60" s="1">
        <v>76</v>
      </c>
      <c r="G60" s="1">
        <v>77</v>
      </c>
      <c r="H60" s="8" cm="1">
        <f t="array" ref="H60">_xlfn.LET(_xlpm.s,IFERROR(--F60,""),_xlpm.e,IFERROR(--G60,""),IF(OR(_xlpm.s="",_xlpm.e="",_xlpm.e&lt;_xlpm.s),"",_xlfn.LET(_xlpm.p,_xlfn.SEQUENCE(_xlpm.e-_xlpm.s+1,1,_xlpm.s,1),SUM(1/COUNTIFS($D:$D,D60,$E:$E,E60,$F:$F,"&lt;&gt;N/A",$G:$G,"&lt;&gt;N/A",$F:$F,"&lt;="&amp;_xlpm.p,$G:$G,"&gt;="&amp;_xlpm.p)))))</f>
        <v>1</v>
      </c>
      <c r="I60" t="s">
        <v>200</v>
      </c>
      <c r="J60" t="s">
        <v>7214</v>
      </c>
      <c r="K60" t="s">
        <v>7</v>
      </c>
      <c r="L60" s="5" t="s">
        <v>4698</v>
      </c>
      <c r="M60" t="s">
        <v>7275</v>
      </c>
      <c r="N60" t="s">
        <v>7383</v>
      </c>
      <c r="O60" t="s">
        <v>5072</v>
      </c>
      <c r="P60" t="s">
        <v>8021</v>
      </c>
      <c r="Q60" t="s">
        <v>2509</v>
      </c>
      <c r="R60" t="b">
        <v>1</v>
      </c>
    </row>
    <row r="61" spans="1:18">
      <c r="A61" t="s">
        <v>3026</v>
      </c>
      <c r="B61" t="s">
        <v>3679</v>
      </c>
      <c r="C61" s="5" t="s">
        <v>7849</v>
      </c>
      <c r="D61" s="1">
        <v>1</v>
      </c>
      <c r="E61" s="1">
        <v>10</v>
      </c>
      <c r="F61" s="1">
        <v>77</v>
      </c>
      <c r="G61" s="1">
        <v>78</v>
      </c>
      <c r="H61" s="8" cm="1">
        <f t="array" ref="H61">_xlfn.LET(_xlpm.s,IFERROR(--F61,""),_xlpm.e,IFERROR(--G61,""),IF(OR(_xlpm.s="",_xlpm.e="",_xlpm.e&lt;_xlpm.s),"",_xlfn.LET(_xlpm.p,_xlfn.SEQUENCE(_xlpm.e-_xlpm.s+1,1,_xlpm.s,1),SUM(1/COUNTIFS($D:$D,D61,$E:$E,E61,$F:$F,"&lt;&gt;N/A",$G:$G,"&lt;&gt;N/A",$F:$F,"&lt;="&amp;_xlpm.p,$G:$G,"&gt;="&amp;_xlpm.p)))))</f>
        <v>0.83333333333333326</v>
      </c>
      <c r="I61" t="s">
        <v>632</v>
      </c>
      <c r="J61" t="s">
        <v>2825</v>
      </c>
      <c r="K61" t="s">
        <v>7</v>
      </c>
      <c r="L61" s="5" t="s">
        <v>7</v>
      </c>
      <c r="M61" t="s">
        <v>7</v>
      </c>
      <c r="N61" t="s">
        <v>7</v>
      </c>
      <c r="O61" s="3" t="s">
        <v>778</v>
      </c>
      <c r="P61" s="3" t="s">
        <v>7834</v>
      </c>
      <c r="R61" t="b">
        <v>1</v>
      </c>
    </row>
    <row r="62" spans="1:18">
      <c r="A62" t="s">
        <v>3026</v>
      </c>
      <c r="B62" t="s">
        <v>3680</v>
      </c>
      <c r="C62" s="5" t="s">
        <v>7849</v>
      </c>
      <c r="D62" s="1">
        <v>1</v>
      </c>
      <c r="E62" s="1">
        <v>10</v>
      </c>
      <c r="F62" s="1">
        <v>78</v>
      </c>
      <c r="G62" s="1">
        <v>78</v>
      </c>
      <c r="H62" s="8" cm="1">
        <f t="array" ref="H62">_xlfn.LET(_xlpm.s,IFERROR(--F62,""),_xlpm.e,IFERROR(--G62,""),IF(OR(_xlpm.s="",_xlpm.e="",_xlpm.e&lt;_xlpm.s),"",_xlfn.LET(_xlpm.p,_xlfn.SEQUENCE(_xlpm.e-_xlpm.s+1,1,_xlpm.s,1),SUM(1/COUNTIFS($D:$D,D62,$E:$E,E62,$F:$F,"&lt;&gt;N/A",$G:$G,"&lt;&gt;N/A",$F:$F,"&lt;="&amp;_xlpm.p,$G:$G,"&gt;="&amp;_xlpm.p)))))</f>
        <v>0.33333333333333331</v>
      </c>
      <c r="I62" t="s">
        <v>632</v>
      </c>
      <c r="J62" t="s">
        <v>2824</v>
      </c>
      <c r="K62" t="s">
        <v>7</v>
      </c>
      <c r="L62" s="5" t="s">
        <v>7</v>
      </c>
      <c r="M62" s="5" t="s">
        <v>7</v>
      </c>
      <c r="N62" t="s">
        <v>7</v>
      </c>
      <c r="O62" s="3" t="s">
        <v>778</v>
      </c>
      <c r="P62" s="3" t="s">
        <v>7834</v>
      </c>
      <c r="R62" t="b">
        <v>1</v>
      </c>
    </row>
    <row r="63" spans="1:18">
      <c r="A63" t="s">
        <v>3026</v>
      </c>
      <c r="B63" t="s">
        <v>3681</v>
      </c>
      <c r="C63" s="5" t="s">
        <v>7849</v>
      </c>
      <c r="D63" s="1">
        <v>1</v>
      </c>
      <c r="E63" s="1">
        <v>10</v>
      </c>
      <c r="F63" s="1">
        <v>78</v>
      </c>
      <c r="G63" s="1">
        <v>79</v>
      </c>
      <c r="H63" s="8" cm="1">
        <f t="array" ref="H63">_xlfn.LET(_xlpm.s,IFERROR(--F63,""),_xlpm.e,IFERROR(--G63,""),IF(OR(_xlpm.s="",_xlpm.e="",_xlpm.e&lt;_xlpm.s),"",_xlfn.LET(_xlpm.p,_xlfn.SEQUENCE(_xlpm.e-_xlpm.s+1,1,_xlpm.s,1),SUM(1/COUNTIFS($D:$D,D63,$E:$E,E63,$F:$F,"&lt;&gt;N/A",$G:$G,"&lt;&gt;N/A",$F:$F,"&lt;="&amp;_xlpm.p,$G:$G,"&gt;="&amp;_xlpm.p)))))</f>
        <v>0.66666666666666663</v>
      </c>
      <c r="I63" t="s">
        <v>632</v>
      </c>
      <c r="J63" t="s">
        <v>2823</v>
      </c>
      <c r="K63" t="s">
        <v>7</v>
      </c>
      <c r="L63" s="5" t="s">
        <v>7</v>
      </c>
      <c r="M63" s="5" t="s">
        <v>7</v>
      </c>
      <c r="N63" t="s">
        <v>7</v>
      </c>
      <c r="O63" s="3" t="s">
        <v>778</v>
      </c>
      <c r="P63" s="3" t="s">
        <v>7834</v>
      </c>
      <c r="R63" t="b">
        <v>1</v>
      </c>
    </row>
    <row r="64" spans="1:18">
      <c r="A64" t="s">
        <v>3026</v>
      </c>
      <c r="B64" t="s">
        <v>3682</v>
      </c>
      <c r="C64" s="5" t="s">
        <v>7849</v>
      </c>
      <c r="D64" s="1">
        <v>1</v>
      </c>
      <c r="E64" s="1">
        <v>10</v>
      </c>
      <c r="F64" s="1">
        <v>79</v>
      </c>
      <c r="G64" s="1">
        <v>79</v>
      </c>
      <c r="H64" s="8" cm="1">
        <f t="array" ref="H64">_xlfn.LET(_xlpm.s,IFERROR(--F64,""),_xlpm.e,IFERROR(--G64,""),IF(OR(_xlpm.s="",_xlpm.e="",_xlpm.e&lt;_xlpm.s),"",_xlfn.LET(_xlpm.p,_xlfn.SEQUENCE(_xlpm.e-_xlpm.s+1,1,_xlpm.s,1),SUM(1/COUNTIFS($D:$D,D64,$E:$E,E64,$F:$F,"&lt;&gt;N/A",$G:$G,"&lt;&gt;N/A",$F:$F,"&lt;="&amp;_xlpm.p,$G:$G,"&gt;="&amp;_xlpm.p)))))</f>
        <v>0.33333333333333331</v>
      </c>
      <c r="I64" t="s">
        <v>632</v>
      </c>
      <c r="J64" t="s">
        <v>2822</v>
      </c>
      <c r="K64" t="s">
        <v>7</v>
      </c>
      <c r="L64" s="5" t="s">
        <v>7</v>
      </c>
      <c r="M64" s="5" t="s">
        <v>7</v>
      </c>
      <c r="N64" t="s">
        <v>7</v>
      </c>
      <c r="O64" s="3" t="s">
        <v>778</v>
      </c>
      <c r="P64" s="3" t="s">
        <v>7834</v>
      </c>
      <c r="R64" t="b">
        <v>1</v>
      </c>
    </row>
    <row r="65" spans="1:18">
      <c r="A65" t="s">
        <v>3026</v>
      </c>
      <c r="B65" t="s">
        <v>3683</v>
      </c>
      <c r="C65" s="5" t="s">
        <v>7849</v>
      </c>
      <c r="D65" s="1">
        <v>1</v>
      </c>
      <c r="E65" s="1">
        <v>10</v>
      </c>
      <c r="F65" s="1">
        <v>79</v>
      </c>
      <c r="G65" s="1">
        <v>80</v>
      </c>
      <c r="H65" s="8" cm="1">
        <f t="array" ref="H65">_xlfn.LET(_xlpm.s,IFERROR(--F65,""),_xlpm.e,IFERROR(--G65,""),IF(OR(_xlpm.s="",_xlpm.e="",_xlpm.e&lt;_xlpm.s),"",_xlfn.LET(_xlpm.p,_xlfn.SEQUENCE(_xlpm.e-_xlpm.s+1,1,_xlpm.s,1),SUM(1/COUNTIFS($D:$D,D65,$E:$E,E65,$F:$F,"&lt;&gt;N/A",$G:$G,"&lt;&gt;N/A",$F:$F,"&lt;="&amp;_xlpm.p,$G:$G,"&gt;="&amp;_xlpm.p)))))</f>
        <v>0.66666666666666663</v>
      </c>
      <c r="I65" t="s">
        <v>632</v>
      </c>
      <c r="J65" t="s">
        <v>2821</v>
      </c>
      <c r="K65" t="s">
        <v>7</v>
      </c>
      <c r="L65" s="5" t="s">
        <v>7</v>
      </c>
      <c r="M65" s="5" t="s">
        <v>7</v>
      </c>
      <c r="N65" t="s">
        <v>7</v>
      </c>
      <c r="O65" s="3" t="s">
        <v>778</v>
      </c>
      <c r="P65" s="3" t="s">
        <v>7834</v>
      </c>
      <c r="R65" t="b">
        <v>1</v>
      </c>
    </row>
    <row r="66" spans="1:18">
      <c r="A66" t="s">
        <v>3026</v>
      </c>
      <c r="B66" t="s">
        <v>3684</v>
      </c>
      <c r="C66" s="5" t="s">
        <v>7849</v>
      </c>
      <c r="D66" s="1">
        <v>1</v>
      </c>
      <c r="E66" s="1">
        <v>10</v>
      </c>
      <c r="F66" s="1">
        <v>80</v>
      </c>
      <c r="G66" s="1">
        <v>80</v>
      </c>
      <c r="H66" s="8" cm="1">
        <f t="array" ref="H66">_xlfn.LET(_xlpm.s,IFERROR(--F66,""),_xlpm.e,IFERROR(--G66,""),IF(OR(_xlpm.s="",_xlpm.e="",_xlpm.e&lt;_xlpm.s),"",_xlfn.LET(_xlpm.p,_xlfn.SEQUENCE(_xlpm.e-_xlpm.s+1,1,_xlpm.s,1),SUM(1/COUNTIFS($D:$D,D66,$E:$E,E66,$F:$F,"&lt;&gt;N/A",$G:$G,"&lt;&gt;N/A",$F:$F,"&lt;="&amp;_xlpm.p,$G:$G,"&gt;="&amp;_xlpm.p)))))</f>
        <v>0.33333333333333331</v>
      </c>
      <c r="I66" t="s">
        <v>632</v>
      </c>
      <c r="J66" t="s">
        <v>2820</v>
      </c>
      <c r="K66" t="s">
        <v>7</v>
      </c>
      <c r="L66" s="5" t="s">
        <v>7</v>
      </c>
      <c r="M66" s="5" t="s">
        <v>7</v>
      </c>
      <c r="N66" t="s">
        <v>7</v>
      </c>
      <c r="O66" s="3" t="s">
        <v>778</v>
      </c>
      <c r="P66" s="3" t="s">
        <v>7834</v>
      </c>
      <c r="R66" t="b">
        <v>1</v>
      </c>
    </row>
    <row r="67" spans="1:18">
      <c r="A67" t="s">
        <v>3026</v>
      </c>
      <c r="B67" t="s">
        <v>3685</v>
      </c>
      <c r="C67" s="5" t="s">
        <v>7849</v>
      </c>
      <c r="D67" s="1">
        <v>1</v>
      </c>
      <c r="E67" s="1">
        <v>10</v>
      </c>
      <c r="F67" s="1">
        <v>80</v>
      </c>
      <c r="G67" s="1">
        <v>80</v>
      </c>
      <c r="H67" s="8" cm="1">
        <f t="array" ref="H67">_xlfn.LET(_xlpm.s,IFERROR(--F67,""),_xlpm.e,IFERROR(--G67,""),IF(OR(_xlpm.s="",_xlpm.e="",_xlpm.e&lt;_xlpm.s),"",_xlfn.LET(_xlpm.p,_xlfn.SEQUENCE(_xlpm.e-_xlpm.s+1,1,_xlpm.s,1),SUM(1/COUNTIFS($D:$D,D67,$E:$E,E67,$F:$F,"&lt;&gt;N/A",$G:$G,"&lt;&gt;N/A",$F:$F,"&lt;="&amp;_xlpm.p,$G:$G,"&gt;="&amp;_xlpm.p)))))</f>
        <v>0.33333333333333331</v>
      </c>
      <c r="I67" t="s">
        <v>632</v>
      </c>
      <c r="J67" t="s">
        <v>2819</v>
      </c>
      <c r="K67" t="s">
        <v>7</v>
      </c>
      <c r="L67" s="5" t="s">
        <v>7</v>
      </c>
      <c r="M67" s="5" t="s">
        <v>7</v>
      </c>
      <c r="N67" t="s">
        <v>7</v>
      </c>
      <c r="O67" s="3" t="s">
        <v>778</v>
      </c>
      <c r="P67" s="3" t="s">
        <v>7834</v>
      </c>
      <c r="R67" t="b">
        <v>1</v>
      </c>
    </row>
    <row r="68" spans="1:18">
      <c r="A68" t="s">
        <v>3026</v>
      </c>
      <c r="B68" t="s">
        <v>10640</v>
      </c>
      <c r="C68" s="5" t="s">
        <v>7850</v>
      </c>
      <c r="D68" s="1">
        <v>1</v>
      </c>
      <c r="E68" s="1">
        <v>11</v>
      </c>
      <c r="F68" s="1">
        <v>81</v>
      </c>
      <c r="G68" s="1">
        <v>84</v>
      </c>
      <c r="H68" s="8" cm="1">
        <f t="array" ref="H68">_xlfn.LET(_xlpm.s,IFERROR(--F68,""),_xlpm.e,IFERROR(--G68,""),IF(OR(_xlpm.s="",_xlpm.e="",_xlpm.e&lt;_xlpm.s),"",_xlfn.LET(_xlpm.p,_xlfn.SEQUENCE(_xlpm.e-_xlpm.s+1,1,_xlpm.s,1),SUM(1/COUNTIFS($D:$D,D68,$E:$E,E68,$F:$F,"&lt;&gt;N/A",$G:$G,"&lt;&gt;N/A",$F:$F,"&lt;="&amp;_xlpm.p,$G:$G,"&gt;="&amp;_xlpm.p)))))</f>
        <v>3.5</v>
      </c>
      <c r="I68" t="s">
        <v>200</v>
      </c>
      <c r="J68" t="s">
        <v>2837</v>
      </c>
      <c r="K68" t="s">
        <v>7</v>
      </c>
      <c r="L68" s="5" t="s">
        <v>4699</v>
      </c>
      <c r="M68" t="s">
        <v>7275</v>
      </c>
      <c r="N68" t="s">
        <v>7526</v>
      </c>
      <c r="O68" t="s">
        <v>11522</v>
      </c>
      <c r="P68" t="s">
        <v>8021</v>
      </c>
      <c r="R68" t="b">
        <v>1</v>
      </c>
    </row>
    <row r="69" spans="1:18">
      <c r="A69" t="s">
        <v>3026</v>
      </c>
      <c r="B69" t="s">
        <v>10641</v>
      </c>
      <c r="C69" s="5" t="s">
        <v>7850</v>
      </c>
      <c r="D69" s="1">
        <v>1</v>
      </c>
      <c r="E69" s="1">
        <v>11</v>
      </c>
      <c r="F69" s="1">
        <v>84</v>
      </c>
      <c r="G69" s="1">
        <v>85</v>
      </c>
      <c r="H69" s="8" cm="1">
        <f t="array" ref="H69">_xlfn.LET(_xlpm.s,IFERROR(--F69,""),_xlpm.e,IFERROR(--G69,""),IF(OR(_xlpm.s="",_xlpm.e="",_xlpm.e&lt;_xlpm.s),"",_xlfn.LET(_xlpm.p,_xlfn.SEQUENCE(_xlpm.e-_xlpm.s+1,1,_xlpm.s,1),SUM(1/COUNTIFS($D:$D,D69,$E:$E,E69,$F:$F,"&lt;&gt;N/A",$G:$G,"&lt;&gt;N/A",$F:$F,"&lt;="&amp;_xlpm.p,$G:$G,"&gt;="&amp;_xlpm.p)))))</f>
        <v>1</v>
      </c>
      <c r="I69" t="s">
        <v>632</v>
      </c>
      <c r="J69" t="s">
        <v>3184</v>
      </c>
      <c r="K69" t="s">
        <v>7</v>
      </c>
      <c r="L69" s="5" t="s">
        <v>4700</v>
      </c>
      <c r="M69" t="s">
        <v>7</v>
      </c>
      <c r="N69" t="s">
        <v>7</v>
      </c>
      <c r="O69" s="3" t="s">
        <v>11522</v>
      </c>
      <c r="P69" s="3" t="s">
        <v>8020</v>
      </c>
      <c r="R69" t="b">
        <v>1</v>
      </c>
    </row>
    <row r="70" spans="1:18">
      <c r="A70" t="s">
        <v>3026</v>
      </c>
      <c r="B70" t="s">
        <v>3686</v>
      </c>
      <c r="C70" s="5" t="s">
        <v>7850</v>
      </c>
      <c r="D70" s="1">
        <v>1</v>
      </c>
      <c r="E70" s="1">
        <v>11</v>
      </c>
      <c r="F70" s="1">
        <v>85</v>
      </c>
      <c r="G70" s="1">
        <v>87</v>
      </c>
      <c r="H70" s="8" cm="1">
        <f t="array" ref="H70">_xlfn.LET(_xlpm.s,IFERROR(--F70,""),_xlpm.e,IFERROR(--G70,""),IF(OR(_xlpm.s="",_xlpm.e="",_xlpm.e&lt;_xlpm.s),"",_xlfn.LET(_xlpm.p,_xlfn.SEQUENCE(_xlpm.e-_xlpm.s+1,1,_xlpm.s,1),SUM(1/COUNTIFS($D:$D,D70,$E:$E,E70,$F:$F,"&lt;&gt;N/A",$G:$G,"&lt;&gt;N/A",$F:$F,"&lt;="&amp;_xlpm.p,$G:$G,"&gt;="&amp;_xlpm.p)))))</f>
        <v>1.625</v>
      </c>
      <c r="I70" t="s">
        <v>632</v>
      </c>
      <c r="J70" t="s">
        <v>2966</v>
      </c>
      <c r="K70" t="s">
        <v>7</v>
      </c>
      <c r="L70" s="5" t="s">
        <v>4701</v>
      </c>
      <c r="M70" t="s">
        <v>7</v>
      </c>
      <c r="N70" t="s">
        <v>7</v>
      </c>
      <c r="O70" t="s">
        <v>11522</v>
      </c>
      <c r="P70" t="s">
        <v>10179</v>
      </c>
      <c r="R70" t="b">
        <v>1</v>
      </c>
    </row>
    <row r="71" spans="1:18">
      <c r="A71" t="s">
        <v>3026</v>
      </c>
      <c r="B71" t="s">
        <v>3687</v>
      </c>
      <c r="C71" s="5" t="s">
        <v>7850</v>
      </c>
      <c r="D71" s="1">
        <v>1</v>
      </c>
      <c r="E71" s="1">
        <v>11</v>
      </c>
      <c r="F71" s="1">
        <v>87</v>
      </c>
      <c r="G71" s="1">
        <v>87</v>
      </c>
      <c r="H71" s="8" cm="1">
        <f t="array" ref="H71">_xlfn.LET(_xlpm.s,IFERROR(--F71,""),_xlpm.e,IFERROR(--G71,""),IF(OR(_xlpm.s="",_xlpm.e="",_xlpm.e&lt;_xlpm.s),"",_xlfn.LET(_xlpm.p,_xlfn.SEQUENCE(_xlpm.e-_xlpm.s+1,1,_xlpm.s,1),SUM(1/COUNTIFS($D:$D,D71,$E:$E,E71,$F:$F,"&lt;&gt;N/A",$G:$G,"&lt;&gt;N/A",$F:$F,"&lt;="&amp;_xlpm.p,$G:$G,"&gt;="&amp;_xlpm.p)))))</f>
        <v>0.125</v>
      </c>
      <c r="I71" t="s">
        <v>632</v>
      </c>
      <c r="J71" t="s">
        <v>3193</v>
      </c>
      <c r="K71" t="s">
        <v>7</v>
      </c>
      <c r="L71" s="5" t="s">
        <v>4702</v>
      </c>
      <c r="M71" t="s">
        <v>7</v>
      </c>
      <c r="N71" t="s">
        <v>7</v>
      </c>
      <c r="O71" t="s">
        <v>11522</v>
      </c>
      <c r="P71" t="s">
        <v>8019</v>
      </c>
      <c r="R71" t="b">
        <v>1</v>
      </c>
    </row>
    <row r="72" spans="1:18">
      <c r="A72" t="s">
        <v>3026</v>
      </c>
      <c r="B72" t="s">
        <v>3688</v>
      </c>
      <c r="C72" s="5" t="s">
        <v>7850</v>
      </c>
      <c r="D72" s="1">
        <v>1</v>
      </c>
      <c r="E72" s="1">
        <v>11</v>
      </c>
      <c r="F72" s="1">
        <v>87</v>
      </c>
      <c r="G72" s="1">
        <v>87</v>
      </c>
      <c r="H72" s="8" cm="1">
        <f t="array" ref="H72">_xlfn.LET(_xlpm.s,IFERROR(--F72,""),_xlpm.e,IFERROR(--G72,""),IF(OR(_xlpm.s="",_xlpm.e="",_xlpm.e&lt;_xlpm.s),"",_xlfn.LET(_xlpm.p,_xlfn.SEQUENCE(_xlpm.e-_xlpm.s+1,1,_xlpm.s,1),SUM(1/COUNTIFS($D:$D,D72,$E:$E,E72,$F:$F,"&lt;&gt;N/A",$G:$G,"&lt;&gt;N/A",$F:$F,"&lt;="&amp;_xlpm.p,$G:$G,"&gt;="&amp;_xlpm.p)))))</f>
        <v>0.125</v>
      </c>
      <c r="I72" t="s">
        <v>632</v>
      </c>
      <c r="J72" t="s">
        <v>2960</v>
      </c>
      <c r="K72" t="s">
        <v>7</v>
      </c>
      <c r="L72" s="5" t="s">
        <v>4703</v>
      </c>
      <c r="M72" t="s">
        <v>7</v>
      </c>
      <c r="N72" t="s">
        <v>7</v>
      </c>
      <c r="O72" t="s">
        <v>11522</v>
      </c>
      <c r="P72" t="s">
        <v>8021</v>
      </c>
      <c r="R72" t="b">
        <v>1</v>
      </c>
    </row>
    <row r="73" spans="1:18">
      <c r="A73" t="s">
        <v>3026</v>
      </c>
      <c r="B73" t="s">
        <v>3689</v>
      </c>
      <c r="C73" s="5" t="s">
        <v>7850</v>
      </c>
      <c r="D73" s="1">
        <v>1</v>
      </c>
      <c r="E73" s="1">
        <v>11</v>
      </c>
      <c r="F73" s="1">
        <v>87</v>
      </c>
      <c r="G73" s="1">
        <v>87</v>
      </c>
      <c r="H73" s="8" cm="1">
        <f t="array" ref="H73">_xlfn.LET(_xlpm.s,IFERROR(--F73,""),_xlpm.e,IFERROR(--G73,""),IF(OR(_xlpm.s="",_xlpm.e="",_xlpm.e&lt;_xlpm.s),"",_xlfn.LET(_xlpm.p,_xlfn.SEQUENCE(_xlpm.e-_xlpm.s+1,1,_xlpm.s,1),SUM(1/COUNTIFS($D:$D,D73,$E:$E,E73,$F:$F,"&lt;&gt;N/A",$G:$G,"&lt;&gt;N/A",$F:$F,"&lt;="&amp;_xlpm.p,$G:$G,"&gt;="&amp;_xlpm.p)))))</f>
        <v>0.125</v>
      </c>
      <c r="I73" t="s">
        <v>632</v>
      </c>
      <c r="J73" t="s">
        <v>2961</v>
      </c>
      <c r="K73" t="s">
        <v>7</v>
      </c>
      <c r="L73" s="5" t="s">
        <v>4704</v>
      </c>
      <c r="M73" t="s">
        <v>7</v>
      </c>
      <c r="N73" t="s">
        <v>7</v>
      </c>
      <c r="O73" t="s">
        <v>11522</v>
      </c>
      <c r="P73" t="s">
        <v>7</v>
      </c>
      <c r="R73" t="b">
        <v>1</v>
      </c>
    </row>
    <row r="74" spans="1:18">
      <c r="A74" t="s">
        <v>3026</v>
      </c>
      <c r="B74" t="s">
        <v>3690</v>
      </c>
      <c r="C74" s="5" t="s">
        <v>7850</v>
      </c>
      <c r="D74" s="1">
        <v>1</v>
      </c>
      <c r="E74" s="1">
        <v>11</v>
      </c>
      <c r="F74" s="1">
        <v>87</v>
      </c>
      <c r="G74" s="1">
        <v>87</v>
      </c>
      <c r="H74" s="8" cm="1">
        <f t="array" ref="H74">_xlfn.LET(_xlpm.s,IFERROR(--F74,""),_xlpm.e,IFERROR(--G74,""),IF(OR(_xlpm.s="",_xlpm.e="",_xlpm.e&lt;_xlpm.s),"",_xlfn.LET(_xlpm.p,_xlfn.SEQUENCE(_xlpm.e-_xlpm.s+1,1,_xlpm.s,1),SUM(1/COUNTIFS($D:$D,D74,$E:$E,E74,$F:$F,"&lt;&gt;N/A",$G:$G,"&lt;&gt;N/A",$F:$F,"&lt;="&amp;_xlpm.p,$G:$G,"&gt;="&amp;_xlpm.p)))))</f>
        <v>0.125</v>
      </c>
      <c r="I74" t="s">
        <v>632</v>
      </c>
      <c r="J74" t="s">
        <v>2962</v>
      </c>
      <c r="K74" t="s">
        <v>7</v>
      </c>
      <c r="L74" s="5" t="s">
        <v>4705</v>
      </c>
      <c r="M74" t="s">
        <v>7</v>
      </c>
      <c r="N74" t="s">
        <v>7</v>
      </c>
      <c r="O74" t="s">
        <v>11522</v>
      </c>
      <c r="P74" t="s">
        <v>7</v>
      </c>
      <c r="R74" t="b">
        <v>1</v>
      </c>
    </row>
    <row r="75" spans="1:18">
      <c r="A75" t="s">
        <v>3026</v>
      </c>
      <c r="B75" t="s">
        <v>3691</v>
      </c>
      <c r="C75" s="5" t="s">
        <v>7850</v>
      </c>
      <c r="D75" s="1">
        <v>1</v>
      </c>
      <c r="E75" s="1">
        <v>11</v>
      </c>
      <c r="F75" s="1">
        <v>87</v>
      </c>
      <c r="G75" s="1">
        <v>87</v>
      </c>
      <c r="H75" s="8" cm="1">
        <f t="array" ref="H75">_xlfn.LET(_xlpm.s,IFERROR(--F75,""),_xlpm.e,IFERROR(--G75,""),IF(OR(_xlpm.s="",_xlpm.e="",_xlpm.e&lt;_xlpm.s),"",_xlfn.LET(_xlpm.p,_xlfn.SEQUENCE(_xlpm.e-_xlpm.s+1,1,_xlpm.s,1),SUM(1/COUNTIFS($D:$D,D75,$E:$E,E75,$F:$F,"&lt;&gt;N/A",$G:$G,"&lt;&gt;N/A",$F:$F,"&lt;="&amp;_xlpm.p,$G:$G,"&gt;="&amp;_xlpm.p)))))</f>
        <v>0.125</v>
      </c>
      <c r="I75" t="s">
        <v>632</v>
      </c>
      <c r="J75" t="s">
        <v>2963</v>
      </c>
      <c r="K75" t="s">
        <v>7</v>
      </c>
      <c r="L75" s="5" t="s">
        <v>4706</v>
      </c>
      <c r="M75" t="s">
        <v>7</v>
      </c>
      <c r="N75" t="s">
        <v>7</v>
      </c>
      <c r="O75" t="s">
        <v>11522</v>
      </c>
      <c r="P75" t="s">
        <v>7</v>
      </c>
      <c r="R75" t="b">
        <v>1</v>
      </c>
    </row>
    <row r="76" spans="1:18">
      <c r="A76" t="s">
        <v>3026</v>
      </c>
      <c r="B76" t="s">
        <v>3692</v>
      </c>
      <c r="C76" s="5" t="s">
        <v>7850</v>
      </c>
      <c r="D76" s="1">
        <v>1</v>
      </c>
      <c r="E76" s="1">
        <v>11</v>
      </c>
      <c r="F76" s="1">
        <v>87</v>
      </c>
      <c r="G76" s="1">
        <v>87</v>
      </c>
      <c r="H76" s="8" cm="1">
        <f t="array" ref="H76">_xlfn.LET(_xlpm.s,IFERROR(--F76,""),_xlpm.e,IFERROR(--G76,""),IF(OR(_xlpm.s="",_xlpm.e="",_xlpm.e&lt;_xlpm.s),"",_xlfn.LET(_xlpm.p,_xlfn.SEQUENCE(_xlpm.e-_xlpm.s+1,1,_xlpm.s,1),SUM(1/COUNTIFS($D:$D,D76,$E:$E,E76,$F:$F,"&lt;&gt;N/A",$G:$G,"&lt;&gt;N/A",$F:$F,"&lt;="&amp;_xlpm.p,$G:$G,"&gt;="&amp;_xlpm.p)))))</f>
        <v>0.125</v>
      </c>
      <c r="I76" t="s">
        <v>632</v>
      </c>
      <c r="J76" t="s">
        <v>2964</v>
      </c>
      <c r="K76" t="s">
        <v>7</v>
      </c>
      <c r="L76" s="5" t="s">
        <v>4707</v>
      </c>
      <c r="M76" t="s">
        <v>7</v>
      </c>
      <c r="N76" t="s">
        <v>7</v>
      </c>
      <c r="O76" t="s">
        <v>11522</v>
      </c>
      <c r="P76" t="s">
        <v>8021</v>
      </c>
      <c r="R76" t="b">
        <v>1</v>
      </c>
    </row>
    <row r="77" spans="1:18">
      <c r="A77" t="s">
        <v>3026</v>
      </c>
      <c r="B77" t="s">
        <v>3693</v>
      </c>
      <c r="C77" s="5" t="s">
        <v>7850</v>
      </c>
      <c r="D77" s="1">
        <v>1</v>
      </c>
      <c r="E77" s="1">
        <v>11</v>
      </c>
      <c r="F77" s="1">
        <v>87</v>
      </c>
      <c r="G77" s="1">
        <v>88</v>
      </c>
      <c r="H77" s="8" cm="1">
        <f t="array" ref="H77">_xlfn.LET(_xlpm.s,IFERROR(--F77,""),_xlpm.e,IFERROR(--G77,""),IF(OR(_xlpm.s="",_xlpm.e="",_xlpm.e&lt;_xlpm.s),"",_xlfn.LET(_xlpm.p,_xlfn.SEQUENCE(_xlpm.e-_xlpm.s+1,1,_xlpm.s,1),SUM(1/COUNTIFS($D:$D,D77,$E:$E,E77,$F:$F,"&lt;&gt;N/A",$G:$G,"&lt;&gt;N/A",$F:$F,"&lt;="&amp;_xlpm.p,$G:$G,"&gt;="&amp;_xlpm.p)))))</f>
        <v>0.26785714285714285</v>
      </c>
      <c r="I77" t="s">
        <v>632</v>
      </c>
      <c r="J77" t="s">
        <v>2828</v>
      </c>
      <c r="K77" t="s">
        <v>7</v>
      </c>
      <c r="L77" s="5" t="s">
        <v>7</v>
      </c>
      <c r="M77" s="5" t="s">
        <v>7</v>
      </c>
      <c r="N77" s="5" t="s">
        <v>7</v>
      </c>
      <c r="O77" t="s">
        <v>11522</v>
      </c>
      <c r="P77" t="s">
        <v>8021</v>
      </c>
      <c r="Q77" t="s">
        <v>7684</v>
      </c>
      <c r="R77" t="b">
        <v>1</v>
      </c>
    </row>
    <row r="78" spans="1:18">
      <c r="A78" t="s">
        <v>3026</v>
      </c>
      <c r="B78" t="s">
        <v>3694</v>
      </c>
      <c r="C78" s="5" t="s">
        <v>7850</v>
      </c>
      <c r="D78" s="1">
        <v>1</v>
      </c>
      <c r="E78" s="1">
        <v>11</v>
      </c>
      <c r="F78" s="1">
        <v>88</v>
      </c>
      <c r="G78" s="1">
        <v>88</v>
      </c>
      <c r="H78" s="8" cm="1">
        <f t="array" ref="H78">_xlfn.LET(_xlpm.s,IFERROR(--F78,""),_xlpm.e,IFERROR(--G78,""),IF(OR(_xlpm.s="",_xlpm.e="",_xlpm.e&lt;_xlpm.s),"",_xlfn.LET(_xlpm.p,_xlfn.SEQUENCE(_xlpm.e-_xlpm.s+1,1,_xlpm.s,1),SUM(1/COUNTIFS($D:$D,D78,$E:$E,E78,$F:$F,"&lt;&gt;N/A",$G:$G,"&lt;&gt;N/A",$F:$F,"&lt;="&amp;_xlpm.p,$G:$G,"&gt;="&amp;_xlpm.p)))))</f>
        <v>0.14285714285714285</v>
      </c>
      <c r="I78" t="s">
        <v>632</v>
      </c>
      <c r="J78" t="s">
        <v>2965</v>
      </c>
      <c r="K78" t="s">
        <v>7</v>
      </c>
      <c r="L78" s="5" t="s">
        <v>4708</v>
      </c>
      <c r="M78" t="s">
        <v>7</v>
      </c>
      <c r="N78" t="s">
        <v>7</v>
      </c>
      <c r="O78" t="s">
        <v>11522</v>
      </c>
      <c r="P78" t="s">
        <v>8021</v>
      </c>
      <c r="R78" t="b">
        <v>1</v>
      </c>
    </row>
    <row r="79" spans="1:18">
      <c r="A79" t="s">
        <v>3026</v>
      </c>
      <c r="B79" t="s">
        <v>3695</v>
      </c>
      <c r="C79" s="5" t="s">
        <v>7850</v>
      </c>
      <c r="D79" s="1">
        <v>1</v>
      </c>
      <c r="E79" s="1">
        <v>11</v>
      </c>
      <c r="F79" s="1">
        <v>88</v>
      </c>
      <c r="G79" s="1">
        <v>88</v>
      </c>
      <c r="H79" s="8" cm="1">
        <f t="array" ref="H79">_xlfn.LET(_xlpm.s,IFERROR(--F79,""),_xlpm.e,IFERROR(--G79,""),IF(OR(_xlpm.s="",_xlpm.e="",_xlpm.e&lt;_xlpm.s),"",_xlfn.LET(_xlpm.p,_xlfn.SEQUENCE(_xlpm.e-_xlpm.s+1,1,_xlpm.s,1),SUM(1/COUNTIFS($D:$D,D79,$E:$E,E79,$F:$F,"&lt;&gt;N/A",$G:$G,"&lt;&gt;N/A",$F:$F,"&lt;="&amp;_xlpm.p,$G:$G,"&gt;="&amp;_xlpm.p)))))</f>
        <v>0.14285714285714285</v>
      </c>
      <c r="I79" t="s">
        <v>632</v>
      </c>
      <c r="J79" t="s">
        <v>3179</v>
      </c>
      <c r="K79" t="s">
        <v>7</v>
      </c>
      <c r="L79" s="5" t="s">
        <v>4708</v>
      </c>
      <c r="M79" t="s">
        <v>7</v>
      </c>
      <c r="N79" t="s">
        <v>7</v>
      </c>
      <c r="O79" t="s">
        <v>11522</v>
      </c>
      <c r="P79" t="s">
        <v>8021</v>
      </c>
      <c r="R79" t="b">
        <v>1</v>
      </c>
    </row>
    <row r="80" spans="1:18">
      <c r="A80" t="s">
        <v>3026</v>
      </c>
      <c r="B80" t="s">
        <v>3696</v>
      </c>
      <c r="C80" s="5" t="s">
        <v>7850</v>
      </c>
      <c r="D80" s="1">
        <v>1</v>
      </c>
      <c r="E80" s="1">
        <v>11</v>
      </c>
      <c r="F80" s="1">
        <v>88</v>
      </c>
      <c r="G80" s="1">
        <v>88</v>
      </c>
      <c r="H80" s="8" cm="1">
        <f t="array" ref="H80">_xlfn.LET(_xlpm.s,IFERROR(--F80,""),_xlpm.e,IFERROR(--G80,""),IF(OR(_xlpm.s="",_xlpm.e="",_xlpm.e&lt;_xlpm.s),"",_xlfn.LET(_xlpm.p,_xlfn.SEQUENCE(_xlpm.e-_xlpm.s+1,1,_xlpm.s,1),SUM(1/COUNTIFS($D:$D,D80,$E:$E,E80,$F:$F,"&lt;&gt;N/A",$G:$G,"&lt;&gt;N/A",$F:$F,"&lt;="&amp;_xlpm.p,$G:$G,"&gt;="&amp;_xlpm.p)))))</f>
        <v>0.14285714285714285</v>
      </c>
      <c r="I80" t="s">
        <v>632</v>
      </c>
      <c r="J80" t="s">
        <v>2958</v>
      </c>
      <c r="K80" t="s">
        <v>7</v>
      </c>
      <c r="L80" s="5" t="s">
        <v>4709</v>
      </c>
      <c r="M80" t="s">
        <v>7</v>
      </c>
      <c r="N80" t="s">
        <v>3178</v>
      </c>
      <c r="O80" t="s">
        <v>5072</v>
      </c>
      <c r="P80" t="s">
        <v>8021</v>
      </c>
      <c r="R80" t="b">
        <v>1</v>
      </c>
    </row>
    <row r="81" spans="1:18">
      <c r="A81" t="s">
        <v>3026</v>
      </c>
      <c r="B81" t="s">
        <v>3697</v>
      </c>
      <c r="C81" s="5" t="s">
        <v>7850</v>
      </c>
      <c r="D81" s="1">
        <v>1</v>
      </c>
      <c r="E81" s="1">
        <v>11</v>
      </c>
      <c r="F81" s="1">
        <v>88</v>
      </c>
      <c r="G81" s="1">
        <v>88</v>
      </c>
      <c r="H81" s="8" cm="1">
        <f t="array" ref="H81">_xlfn.LET(_xlpm.s,IFERROR(--F81,""),_xlpm.e,IFERROR(--G81,""),IF(OR(_xlpm.s="",_xlpm.e="",_xlpm.e&lt;_xlpm.s),"",_xlfn.LET(_xlpm.p,_xlfn.SEQUENCE(_xlpm.e-_xlpm.s+1,1,_xlpm.s,1),SUM(1/COUNTIFS($D:$D,D81,$E:$E,E81,$F:$F,"&lt;&gt;N/A",$G:$G,"&lt;&gt;N/A",$F:$F,"&lt;="&amp;_xlpm.p,$G:$G,"&gt;="&amp;_xlpm.p)))))</f>
        <v>0.14285714285714285</v>
      </c>
      <c r="I81" t="s">
        <v>632</v>
      </c>
      <c r="J81" t="s">
        <v>2826</v>
      </c>
      <c r="K81" t="s">
        <v>7</v>
      </c>
      <c r="L81" s="5" t="s">
        <v>7</v>
      </c>
      <c r="M81" t="s">
        <v>7</v>
      </c>
      <c r="N81" t="s">
        <v>7</v>
      </c>
      <c r="O81" t="s">
        <v>778</v>
      </c>
      <c r="P81" t="s">
        <v>7834</v>
      </c>
      <c r="R81" t="b">
        <v>1</v>
      </c>
    </row>
    <row r="82" spans="1:18">
      <c r="A82" t="s">
        <v>3026</v>
      </c>
      <c r="B82" t="s">
        <v>3698</v>
      </c>
      <c r="C82" s="5" t="s">
        <v>7850</v>
      </c>
      <c r="D82" s="1">
        <v>1</v>
      </c>
      <c r="E82" s="1">
        <v>11</v>
      </c>
      <c r="F82" s="1">
        <v>88</v>
      </c>
      <c r="G82" s="1">
        <v>88</v>
      </c>
      <c r="H82" s="8" cm="1">
        <f t="array" ref="H82">_xlfn.LET(_xlpm.s,IFERROR(--F82,""),_xlpm.e,IFERROR(--G82,""),IF(OR(_xlpm.s="",_xlpm.e="",_xlpm.e&lt;_xlpm.s),"",_xlfn.LET(_xlpm.p,_xlfn.SEQUENCE(_xlpm.e-_xlpm.s+1,1,_xlpm.s,1),SUM(1/COUNTIFS($D:$D,D82,$E:$E,E82,$F:$F,"&lt;&gt;N/A",$G:$G,"&lt;&gt;N/A",$F:$F,"&lt;="&amp;_xlpm.p,$G:$G,"&gt;="&amp;_xlpm.p)))))</f>
        <v>0.14285714285714285</v>
      </c>
      <c r="I82" t="s">
        <v>632</v>
      </c>
      <c r="J82" t="s">
        <v>2957</v>
      </c>
      <c r="K82" t="s">
        <v>7</v>
      </c>
      <c r="L82" s="5" t="s">
        <v>7</v>
      </c>
      <c r="M82" t="s">
        <v>7</v>
      </c>
      <c r="N82" t="s">
        <v>7</v>
      </c>
      <c r="O82" t="s">
        <v>778</v>
      </c>
      <c r="P82" t="s">
        <v>7834</v>
      </c>
      <c r="R82" t="b">
        <v>1</v>
      </c>
    </row>
    <row r="83" spans="1:18">
      <c r="A83" t="s">
        <v>3026</v>
      </c>
      <c r="B83" t="s">
        <v>3699</v>
      </c>
      <c r="C83" s="5" t="s">
        <v>7850</v>
      </c>
      <c r="D83" s="1">
        <v>1</v>
      </c>
      <c r="E83" s="1">
        <v>11</v>
      </c>
      <c r="F83" s="1">
        <v>88</v>
      </c>
      <c r="G83" s="1">
        <v>88</v>
      </c>
      <c r="H83" s="8" cm="1">
        <f t="array" ref="H83">_xlfn.LET(_xlpm.s,IFERROR(--F83,""),_xlpm.e,IFERROR(--G83,""),IF(OR(_xlpm.s="",_xlpm.e="",_xlpm.e&lt;_xlpm.s),"",_xlfn.LET(_xlpm.p,_xlfn.SEQUENCE(_xlpm.e-_xlpm.s+1,1,_xlpm.s,1),SUM(1/COUNTIFS($D:$D,D83,$E:$E,E83,$F:$F,"&lt;&gt;N/A",$G:$G,"&lt;&gt;N/A",$F:$F,"&lt;="&amp;_xlpm.p,$G:$G,"&gt;="&amp;_xlpm.p)))))</f>
        <v>0.14285714285714285</v>
      </c>
      <c r="I83" t="s">
        <v>632</v>
      </c>
      <c r="J83" t="s">
        <v>2827</v>
      </c>
      <c r="K83" t="s">
        <v>7</v>
      </c>
      <c r="L83" s="5" t="s">
        <v>7</v>
      </c>
      <c r="M83" t="s">
        <v>7</v>
      </c>
      <c r="N83" t="s">
        <v>7</v>
      </c>
      <c r="O83" t="s">
        <v>778</v>
      </c>
      <c r="P83" t="s">
        <v>7834</v>
      </c>
      <c r="R83" t="b">
        <v>1</v>
      </c>
    </row>
    <row r="84" spans="1:18">
      <c r="A84" t="s">
        <v>3026</v>
      </c>
      <c r="B84" t="s">
        <v>10642</v>
      </c>
      <c r="C84" s="5" t="s">
        <v>7881</v>
      </c>
      <c r="D84" s="1">
        <v>1</v>
      </c>
      <c r="E84" s="1">
        <v>12</v>
      </c>
      <c r="F84" s="1">
        <v>89</v>
      </c>
      <c r="G84" s="1">
        <v>91</v>
      </c>
      <c r="H84" s="8" cm="1">
        <f t="array" ref="H84">_xlfn.LET(_xlpm.s,IFERROR(--F84,""),_xlpm.e,IFERROR(--G84,""),IF(OR(_xlpm.s="",_xlpm.e="",_xlpm.e&lt;_xlpm.s),"",_xlfn.LET(_xlpm.p,_xlfn.SEQUENCE(_xlpm.e-_xlpm.s+1,1,_xlpm.s,1),SUM(1/COUNTIFS($D:$D,D84,$E:$E,E84,$F:$F,"&lt;&gt;N/A",$G:$G,"&lt;&gt;N/A",$F:$F,"&lt;="&amp;_xlpm.p,$G:$G,"&gt;="&amp;_xlpm.p)))))</f>
        <v>2.5</v>
      </c>
      <c r="I84" t="s">
        <v>14</v>
      </c>
      <c r="J84" t="s">
        <v>659</v>
      </c>
      <c r="K84" t="s">
        <v>50</v>
      </c>
      <c r="L84" s="5" t="s">
        <v>10729</v>
      </c>
      <c r="M84" t="s">
        <v>7</v>
      </c>
      <c r="N84" t="s">
        <v>7</v>
      </c>
      <c r="O84" s="3" t="s">
        <v>11522</v>
      </c>
      <c r="P84" s="3" t="s">
        <v>8020</v>
      </c>
      <c r="R84" t="b">
        <v>1</v>
      </c>
    </row>
    <row r="85" spans="1:18">
      <c r="A85" t="s">
        <v>3026</v>
      </c>
      <c r="B85" t="s">
        <v>10643</v>
      </c>
      <c r="C85" s="5" t="s">
        <v>7881</v>
      </c>
      <c r="D85" s="1">
        <v>1</v>
      </c>
      <c r="E85" s="1">
        <v>12</v>
      </c>
      <c r="F85" s="1">
        <v>91</v>
      </c>
      <c r="G85" s="1">
        <v>93</v>
      </c>
      <c r="H85" s="8" cm="1">
        <f t="array" ref="H85">_xlfn.LET(_xlpm.s,IFERROR(--F85,""),_xlpm.e,IFERROR(--G85,""),IF(OR(_xlpm.s="",_xlpm.e="",_xlpm.e&lt;_xlpm.s),"",_xlfn.LET(_xlpm.p,_xlfn.SEQUENCE(_xlpm.e-_xlpm.s+1,1,_xlpm.s,1),SUM(1/COUNTIFS($D:$D,D85,$E:$E,E85,$F:$F,"&lt;&gt;N/A",$G:$G,"&lt;&gt;N/A",$F:$F,"&lt;="&amp;_xlpm.p,$G:$G,"&gt;="&amp;_xlpm.p)))))</f>
        <v>2.5</v>
      </c>
      <c r="I85" t="s">
        <v>14</v>
      </c>
      <c r="J85" t="s">
        <v>2959</v>
      </c>
      <c r="K85" t="s">
        <v>660</v>
      </c>
      <c r="L85" s="5" t="s">
        <v>4710</v>
      </c>
      <c r="M85" t="s">
        <v>7</v>
      </c>
      <c r="N85" t="s">
        <v>7</v>
      </c>
      <c r="O85" t="s">
        <v>11522</v>
      </c>
      <c r="P85" t="s">
        <v>8092</v>
      </c>
      <c r="R85" t="b">
        <v>1</v>
      </c>
    </row>
    <row r="86" spans="1:18">
      <c r="A86" t="s">
        <v>3026</v>
      </c>
      <c r="B86" t="s">
        <v>3700</v>
      </c>
      <c r="C86" s="5" t="s">
        <v>7881</v>
      </c>
      <c r="D86" s="1">
        <v>1</v>
      </c>
      <c r="E86" s="1">
        <v>12</v>
      </c>
      <c r="F86" s="1">
        <v>94</v>
      </c>
      <c r="G86" s="1">
        <v>95</v>
      </c>
      <c r="H86" s="8" cm="1">
        <f t="array" ref="H86">_xlfn.LET(_xlpm.s,IFERROR(--F86,""),_xlpm.e,IFERROR(--G86,""),IF(OR(_xlpm.s="",_xlpm.e="",_xlpm.e&lt;_xlpm.s),"",_xlfn.LET(_xlpm.p,_xlfn.SEQUENCE(_xlpm.e-_xlpm.s+1,1,_xlpm.s,1),SUM(1/COUNTIFS($D:$D,D86,$E:$E,E86,$F:$F,"&lt;&gt;N/A",$G:$G,"&lt;&gt;N/A",$F:$F,"&lt;="&amp;_xlpm.p,$G:$G,"&gt;="&amp;_xlpm.p)))))</f>
        <v>1.25</v>
      </c>
      <c r="I86" t="s">
        <v>632</v>
      </c>
      <c r="J86" t="s">
        <v>2967</v>
      </c>
      <c r="K86" t="s">
        <v>4711</v>
      </c>
      <c r="L86" s="5" t="s">
        <v>7</v>
      </c>
      <c r="M86" s="5" t="s">
        <v>7</v>
      </c>
      <c r="N86" t="s">
        <v>7</v>
      </c>
      <c r="O86" t="s">
        <v>11522</v>
      </c>
      <c r="P86" t="s">
        <v>10179</v>
      </c>
      <c r="R86" t="b">
        <v>1</v>
      </c>
    </row>
    <row r="87" spans="1:18">
      <c r="A87" t="s">
        <v>3026</v>
      </c>
      <c r="B87" t="s">
        <v>3701</v>
      </c>
      <c r="C87" s="5" t="s">
        <v>7881</v>
      </c>
      <c r="D87" s="1">
        <v>1</v>
      </c>
      <c r="E87" s="1">
        <v>12</v>
      </c>
      <c r="F87" s="1">
        <v>95</v>
      </c>
      <c r="G87" s="1">
        <v>95</v>
      </c>
      <c r="H87" s="8" cm="1">
        <f t="array" ref="H87">_xlfn.LET(_xlpm.s,IFERROR(--F87,""),_xlpm.e,IFERROR(--G87,""),IF(OR(_xlpm.s="",_xlpm.e="",_xlpm.e&lt;_xlpm.s),"",_xlfn.LET(_xlpm.p,_xlfn.SEQUENCE(_xlpm.e-_xlpm.s+1,1,_xlpm.s,1),SUM(1/COUNTIFS($D:$D,D87,$E:$E,E87,$F:$F,"&lt;&gt;N/A",$G:$G,"&lt;&gt;N/A",$F:$F,"&lt;="&amp;_xlpm.p,$G:$G,"&gt;="&amp;_xlpm.p)))))</f>
        <v>0.25</v>
      </c>
      <c r="I87" t="s">
        <v>632</v>
      </c>
      <c r="J87" t="s">
        <v>2970</v>
      </c>
      <c r="K87" t="s">
        <v>4712</v>
      </c>
      <c r="L87" s="5" t="s">
        <v>7</v>
      </c>
      <c r="M87" s="5" t="s">
        <v>7</v>
      </c>
      <c r="N87" t="s">
        <v>7</v>
      </c>
      <c r="O87" t="s">
        <v>11522</v>
      </c>
      <c r="P87" t="s">
        <v>8092</v>
      </c>
      <c r="R87" t="b">
        <v>1</v>
      </c>
    </row>
    <row r="88" spans="1:18">
      <c r="A88" t="s">
        <v>3026</v>
      </c>
      <c r="B88" t="s">
        <v>3702</v>
      </c>
      <c r="C88" s="5" t="s">
        <v>7881</v>
      </c>
      <c r="D88" s="1">
        <v>1</v>
      </c>
      <c r="E88" s="1">
        <v>12</v>
      </c>
      <c r="F88" s="1">
        <v>95</v>
      </c>
      <c r="G88" s="1">
        <v>95</v>
      </c>
      <c r="H88" s="8" cm="1">
        <f t="array" ref="H88">_xlfn.LET(_xlpm.s,IFERROR(--F88,""),_xlpm.e,IFERROR(--G88,""),IF(OR(_xlpm.s="",_xlpm.e="",_xlpm.e&lt;_xlpm.s),"",_xlfn.LET(_xlpm.p,_xlfn.SEQUENCE(_xlpm.e-_xlpm.s+1,1,_xlpm.s,1),SUM(1/COUNTIFS($D:$D,D88,$E:$E,E88,$F:$F,"&lt;&gt;N/A",$G:$G,"&lt;&gt;N/A",$F:$F,"&lt;="&amp;_xlpm.p,$G:$G,"&gt;="&amp;_xlpm.p)))))</f>
        <v>0.25</v>
      </c>
      <c r="I88" t="s">
        <v>632</v>
      </c>
      <c r="J88" t="s">
        <v>2968</v>
      </c>
      <c r="K88" t="s">
        <v>7</v>
      </c>
      <c r="L88" s="5" t="s">
        <v>7</v>
      </c>
      <c r="M88" t="s">
        <v>7</v>
      </c>
      <c r="N88" t="s">
        <v>7</v>
      </c>
      <c r="O88" t="s">
        <v>778</v>
      </c>
      <c r="P88" t="s">
        <v>7834</v>
      </c>
      <c r="Q88" s="5" t="s">
        <v>7680</v>
      </c>
      <c r="R88" t="b">
        <v>1</v>
      </c>
    </row>
    <row r="89" spans="1:18">
      <c r="A89" t="s">
        <v>3026</v>
      </c>
      <c r="B89" t="s">
        <v>3703</v>
      </c>
      <c r="C89" s="5" t="s">
        <v>7881</v>
      </c>
      <c r="D89" s="1">
        <v>1</v>
      </c>
      <c r="E89" s="1">
        <v>12</v>
      </c>
      <c r="F89" s="1">
        <v>95</v>
      </c>
      <c r="G89" s="1">
        <v>96</v>
      </c>
      <c r="H89" s="8" cm="1">
        <f t="array" ref="H89">_xlfn.LET(_xlpm.s,IFERROR(--F89,""),_xlpm.e,IFERROR(--G89,""),IF(OR(_xlpm.s="",_xlpm.e="",_xlpm.e&lt;_xlpm.s),"",_xlfn.LET(_xlpm.p,_xlfn.SEQUENCE(_xlpm.e-_xlpm.s+1,1,_xlpm.s,1),SUM(1/COUNTIFS($D:$D,D89,$E:$E,E89,$F:$F,"&lt;&gt;N/A",$G:$G,"&lt;&gt;N/A",$F:$F,"&lt;="&amp;_xlpm.p,$G:$G,"&gt;="&amp;_xlpm.p)))))</f>
        <v>0.58333333333333326</v>
      </c>
      <c r="I89" t="s">
        <v>632</v>
      </c>
      <c r="J89" t="s">
        <v>2969</v>
      </c>
      <c r="K89" t="s">
        <v>4713</v>
      </c>
      <c r="L89" s="5" t="s">
        <v>7</v>
      </c>
      <c r="M89" s="5" t="s">
        <v>7</v>
      </c>
      <c r="N89" t="s">
        <v>7</v>
      </c>
      <c r="O89" t="s">
        <v>11522</v>
      </c>
      <c r="P89" t="s">
        <v>8021</v>
      </c>
      <c r="Q89" t="s">
        <v>2509</v>
      </c>
      <c r="R89" t="b">
        <v>1</v>
      </c>
    </row>
    <row r="90" spans="1:18">
      <c r="A90" t="s">
        <v>3026</v>
      </c>
      <c r="B90" t="s">
        <v>3704</v>
      </c>
      <c r="C90" s="5" t="s">
        <v>7881</v>
      </c>
      <c r="D90" s="1">
        <v>1</v>
      </c>
      <c r="E90" s="1">
        <v>12</v>
      </c>
      <c r="F90" s="1">
        <v>96</v>
      </c>
      <c r="G90" s="1">
        <v>96</v>
      </c>
      <c r="H90" s="8" cm="1">
        <f t="array" ref="H90">_xlfn.LET(_xlpm.s,IFERROR(--F90,""),_xlpm.e,IFERROR(--G90,""),IF(OR(_xlpm.s="",_xlpm.e="",_xlpm.e&lt;_xlpm.s),"",_xlfn.LET(_xlpm.p,_xlfn.SEQUENCE(_xlpm.e-_xlpm.s+1,1,_xlpm.s,1),SUM(1/COUNTIFS($D:$D,D90,$E:$E,E90,$F:$F,"&lt;&gt;N/A",$G:$G,"&lt;&gt;N/A",$F:$F,"&lt;="&amp;_xlpm.p,$G:$G,"&gt;="&amp;_xlpm.p)))))</f>
        <v>0.33333333333333331</v>
      </c>
      <c r="I90" t="s">
        <v>637</v>
      </c>
      <c r="J90" t="s">
        <v>661</v>
      </c>
      <c r="K90" t="s">
        <v>7</v>
      </c>
      <c r="L90" s="5" t="s">
        <v>7</v>
      </c>
      <c r="M90" s="5" t="s">
        <v>7</v>
      </c>
      <c r="N90" t="s">
        <v>7</v>
      </c>
      <c r="O90" t="s">
        <v>11522</v>
      </c>
      <c r="P90" t="s">
        <v>8021</v>
      </c>
      <c r="Q90" t="s">
        <v>3177</v>
      </c>
      <c r="R90" t="b">
        <v>1</v>
      </c>
    </row>
    <row r="91" spans="1:18">
      <c r="A91" t="s">
        <v>3026</v>
      </c>
      <c r="B91" t="s">
        <v>3705</v>
      </c>
      <c r="C91" s="5" t="s">
        <v>7881</v>
      </c>
      <c r="D91" s="1">
        <v>1</v>
      </c>
      <c r="E91" s="1">
        <v>12</v>
      </c>
      <c r="F91" s="1">
        <v>96</v>
      </c>
      <c r="G91" s="1">
        <v>96</v>
      </c>
      <c r="H91" s="8" cm="1">
        <f t="array" ref="H91">_xlfn.LET(_xlpm.s,IFERROR(--F91,""),_xlpm.e,IFERROR(--G91,""),IF(OR(_xlpm.s="",_xlpm.e="",_xlpm.e&lt;_xlpm.s),"",_xlfn.LET(_xlpm.p,_xlfn.SEQUENCE(_xlpm.e-_xlpm.s+1,1,_xlpm.s,1),SUM(1/COUNTIFS($D:$D,D91,$E:$E,E91,$F:$F,"&lt;&gt;N/A",$G:$G,"&lt;&gt;N/A",$F:$F,"&lt;="&amp;_xlpm.p,$G:$G,"&gt;="&amp;_xlpm.p)))))</f>
        <v>0.33333333333333331</v>
      </c>
      <c r="I91" t="s">
        <v>637</v>
      </c>
      <c r="J91" t="s">
        <v>662</v>
      </c>
      <c r="K91" t="s">
        <v>7</v>
      </c>
      <c r="L91" s="5" t="s">
        <v>7</v>
      </c>
      <c r="M91" s="5" t="s">
        <v>7</v>
      </c>
      <c r="N91" t="s">
        <v>7</v>
      </c>
      <c r="O91" s="3" t="s">
        <v>778</v>
      </c>
      <c r="P91" s="3" t="s">
        <v>7834</v>
      </c>
      <c r="R91" t="b">
        <v>1</v>
      </c>
    </row>
    <row r="92" spans="1:18">
      <c r="A92" t="s">
        <v>3026</v>
      </c>
      <c r="B92" t="s">
        <v>10644</v>
      </c>
      <c r="C92" s="5" t="s">
        <v>7851</v>
      </c>
      <c r="D92" s="1">
        <v>1</v>
      </c>
      <c r="E92" s="1">
        <v>13</v>
      </c>
      <c r="F92" s="1">
        <v>97</v>
      </c>
      <c r="G92" s="1">
        <v>99</v>
      </c>
      <c r="H92" s="8" cm="1">
        <f t="array" ref="H92">_xlfn.LET(_xlpm.s,IFERROR(--F92,""),_xlpm.e,IFERROR(--G92,""),IF(OR(_xlpm.s="",_xlpm.e="",_xlpm.e&lt;_xlpm.s),"",_xlfn.LET(_xlpm.p,_xlfn.SEQUENCE(_xlpm.e-_xlpm.s+1,1,_xlpm.s,1),SUM(1/COUNTIFS($D:$D,D92,$E:$E,E92,$F:$F,"&lt;&gt;N/A",$G:$G,"&lt;&gt;N/A",$F:$F,"&lt;="&amp;_xlpm.p,$G:$G,"&gt;="&amp;_xlpm.p)))))</f>
        <v>3</v>
      </c>
      <c r="I92" t="s">
        <v>14</v>
      </c>
      <c r="J92" t="s">
        <v>663</v>
      </c>
      <c r="K92" t="s">
        <v>644</v>
      </c>
      <c r="L92" s="5" t="s">
        <v>7</v>
      </c>
      <c r="M92" s="5" t="s">
        <v>7</v>
      </c>
      <c r="N92" t="s">
        <v>7</v>
      </c>
      <c r="O92" s="3" t="s">
        <v>778</v>
      </c>
      <c r="P92" s="3" t="s">
        <v>7834</v>
      </c>
      <c r="R92" t="b">
        <v>1</v>
      </c>
    </row>
    <row r="93" spans="1:18">
      <c r="A93" t="s">
        <v>3026</v>
      </c>
      <c r="B93" t="s">
        <v>10645</v>
      </c>
      <c r="C93" s="5" t="s">
        <v>7851</v>
      </c>
      <c r="D93" s="1">
        <v>1</v>
      </c>
      <c r="E93" s="1">
        <v>13</v>
      </c>
      <c r="F93" s="1">
        <v>100</v>
      </c>
      <c r="G93" s="1">
        <v>102</v>
      </c>
      <c r="H93" s="8" cm="1">
        <f t="array" ref="H93">_xlfn.LET(_xlpm.s,IFERROR(--F93,""),_xlpm.e,IFERROR(--G93,""),IF(OR(_xlpm.s="",_xlpm.e="",_xlpm.e&lt;_xlpm.s),"",_xlfn.LET(_xlpm.p,_xlfn.SEQUENCE(_xlpm.e-_xlpm.s+1,1,_xlpm.s,1),SUM(1/COUNTIFS($D:$D,D93,$E:$E,E93,$F:$F,"&lt;&gt;N/A",$G:$G,"&lt;&gt;N/A",$F:$F,"&lt;="&amp;_xlpm.p,$G:$G,"&gt;="&amp;_xlpm.p)))))</f>
        <v>2.5</v>
      </c>
      <c r="I93" t="s">
        <v>14</v>
      </c>
      <c r="J93" t="s">
        <v>664</v>
      </c>
      <c r="K93" t="s">
        <v>7</v>
      </c>
      <c r="L93" s="5" t="s">
        <v>7461</v>
      </c>
      <c r="M93" t="s">
        <v>5044</v>
      </c>
      <c r="N93" t="s">
        <v>7613</v>
      </c>
      <c r="O93" t="s">
        <v>5072</v>
      </c>
      <c r="P93" t="s">
        <v>8021</v>
      </c>
      <c r="R93" t="b">
        <v>1</v>
      </c>
    </row>
    <row r="94" spans="1:18">
      <c r="A94" t="s">
        <v>3026</v>
      </c>
      <c r="B94" t="s">
        <v>3706</v>
      </c>
      <c r="C94" s="5" t="s">
        <v>7851</v>
      </c>
      <c r="D94" s="1">
        <v>1</v>
      </c>
      <c r="E94" s="1">
        <v>13</v>
      </c>
      <c r="F94" s="1">
        <v>102</v>
      </c>
      <c r="G94" s="1">
        <v>104</v>
      </c>
      <c r="H94" s="8" cm="1">
        <f t="array" ref="H94">_xlfn.LET(_xlpm.s,IFERROR(--F94,""),_xlpm.e,IFERROR(--G94,""),IF(OR(_xlpm.s="",_xlpm.e="",_xlpm.e&lt;_xlpm.s),"",_xlfn.LET(_xlpm.p,_xlfn.SEQUENCE(_xlpm.e-_xlpm.s+1,1,_xlpm.s,1),SUM(1/COUNTIFS($D:$D,D94,$E:$E,E94,$F:$F,"&lt;&gt;N/A",$G:$G,"&lt;&gt;N/A",$F:$F,"&lt;="&amp;_xlpm.p,$G:$G,"&gt;="&amp;_xlpm.p)))))</f>
        <v>2.5</v>
      </c>
      <c r="I94" t="s">
        <v>632</v>
      </c>
      <c r="J94" t="s">
        <v>665</v>
      </c>
      <c r="K94" t="s">
        <v>7</v>
      </c>
      <c r="L94" s="5" t="s">
        <v>4714</v>
      </c>
      <c r="M94" s="5" t="s">
        <v>7</v>
      </c>
      <c r="N94" t="s">
        <v>7</v>
      </c>
      <c r="O94" t="s">
        <v>11522</v>
      </c>
      <c r="P94" t="s">
        <v>8092</v>
      </c>
      <c r="R94" t="b">
        <v>1</v>
      </c>
    </row>
    <row r="95" spans="1:18">
      <c r="A95" t="s">
        <v>3026</v>
      </c>
      <c r="B95" t="s">
        <v>10646</v>
      </c>
      <c r="C95" s="5" t="s">
        <v>7852</v>
      </c>
      <c r="D95" s="1">
        <v>1</v>
      </c>
      <c r="E95" s="1">
        <v>14</v>
      </c>
      <c r="F95" s="1">
        <v>105</v>
      </c>
      <c r="G95" s="1">
        <v>106</v>
      </c>
      <c r="H95" s="8" cm="1">
        <f t="array" ref="H95">_xlfn.LET(_xlpm.s,IFERROR(--F95,""),_xlpm.e,IFERROR(--G95,""),IF(OR(_xlpm.s="",_xlpm.e="",_xlpm.e&lt;_xlpm.s),"",_xlfn.LET(_xlpm.p,_xlfn.SEQUENCE(_xlpm.e-_xlpm.s+1,1,_xlpm.s,1),SUM(1/COUNTIFS($D:$D,D95,$E:$E,E95,$F:$F,"&lt;&gt;N/A",$G:$G,"&lt;&gt;N/A",$F:$F,"&lt;="&amp;_xlpm.p,$G:$G,"&gt;="&amp;_xlpm.p)))))</f>
        <v>2</v>
      </c>
      <c r="I95" t="s">
        <v>14</v>
      </c>
      <c r="J95" t="s">
        <v>666</v>
      </c>
      <c r="K95" t="s">
        <v>639</v>
      </c>
      <c r="L95" s="5" t="s">
        <v>7</v>
      </c>
      <c r="M95" s="5" t="s">
        <v>7</v>
      </c>
      <c r="N95" t="s">
        <v>7</v>
      </c>
      <c r="O95" s="3" t="s">
        <v>778</v>
      </c>
      <c r="P95" s="3" t="s">
        <v>7834</v>
      </c>
      <c r="R95" t="b">
        <v>1</v>
      </c>
    </row>
    <row r="96" spans="1:18">
      <c r="A96" t="s">
        <v>3026</v>
      </c>
      <c r="B96" t="s">
        <v>10647</v>
      </c>
      <c r="C96" s="5" t="s">
        <v>7852</v>
      </c>
      <c r="D96" s="1">
        <v>1</v>
      </c>
      <c r="E96" s="1">
        <v>14</v>
      </c>
      <c r="F96" s="1">
        <v>107</v>
      </c>
      <c r="G96" s="1">
        <v>110</v>
      </c>
      <c r="H96" s="8" cm="1">
        <f t="array" ref="H96">_xlfn.LET(_xlpm.s,IFERROR(--F96,""),_xlpm.e,IFERROR(--G96,""),IF(OR(_xlpm.s="",_xlpm.e="",_xlpm.e&lt;_xlpm.s),"",_xlfn.LET(_xlpm.p,_xlfn.SEQUENCE(_xlpm.e-_xlpm.s+1,1,_xlpm.s,1),SUM(1/COUNTIFS($D:$D,D96,$E:$E,E96,$F:$F,"&lt;&gt;N/A",$G:$G,"&lt;&gt;N/A",$F:$F,"&lt;="&amp;_xlpm.p,$G:$G,"&gt;="&amp;_xlpm.p)))))</f>
        <v>3.5</v>
      </c>
      <c r="I96" t="s">
        <v>14</v>
      </c>
      <c r="J96" t="s">
        <v>667</v>
      </c>
      <c r="K96" t="s">
        <v>7</v>
      </c>
      <c r="L96" s="5" t="s">
        <v>4715</v>
      </c>
      <c r="M96" s="5" t="s">
        <v>7</v>
      </c>
      <c r="N96" s="5" t="s">
        <v>7</v>
      </c>
      <c r="O96" t="s">
        <v>11522</v>
      </c>
      <c r="P96" t="s">
        <v>8092</v>
      </c>
      <c r="R96" t="b">
        <v>1</v>
      </c>
    </row>
    <row r="97" spans="1:18">
      <c r="A97" t="s">
        <v>3026</v>
      </c>
      <c r="B97" t="s">
        <v>3707</v>
      </c>
      <c r="C97" s="5" t="s">
        <v>7852</v>
      </c>
      <c r="D97" s="1">
        <v>1</v>
      </c>
      <c r="E97" s="1">
        <v>14</v>
      </c>
      <c r="F97" s="1">
        <v>110</v>
      </c>
      <c r="G97" s="1">
        <v>111</v>
      </c>
      <c r="H97" s="8" cm="1">
        <f t="array" ref="H97">_xlfn.LET(_xlpm.s,IFERROR(--F97,""),_xlpm.e,IFERROR(--G97,""),IF(OR(_xlpm.s="",_xlpm.e="",_xlpm.e&lt;_xlpm.s),"",_xlfn.LET(_xlpm.p,_xlfn.SEQUENCE(_xlpm.e-_xlpm.s+1,1,_xlpm.s,1),SUM(1/COUNTIFS($D:$D,D97,$E:$E,E97,$F:$F,"&lt;&gt;N/A",$G:$G,"&lt;&gt;N/A",$F:$F,"&lt;="&amp;_xlpm.p,$G:$G,"&gt;="&amp;_xlpm.p)))))</f>
        <v>0.83333333333333326</v>
      </c>
      <c r="I97" t="s">
        <v>632</v>
      </c>
      <c r="J97" t="s">
        <v>2997</v>
      </c>
      <c r="K97" t="s">
        <v>7</v>
      </c>
      <c r="L97" s="5" t="s">
        <v>7461</v>
      </c>
      <c r="M97" t="s">
        <v>5044</v>
      </c>
      <c r="N97" t="s">
        <v>7613</v>
      </c>
      <c r="O97" t="s">
        <v>5072</v>
      </c>
      <c r="P97" t="s">
        <v>8021</v>
      </c>
      <c r="R97" t="b">
        <v>1</v>
      </c>
    </row>
    <row r="98" spans="1:18">
      <c r="A98" t="s">
        <v>3026</v>
      </c>
      <c r="B98" t="s">
        <v>3708</v>
      </c>
      <c r="C98" s="5" t="s">
        <v>7852</v>
      </c>
      <c r="D98" s="1">
        <v>1</v>
      </c>
      <c r="E98" s="1">
        <v>14</v>
      </c>
      <c r="F98" s="1">
        <v>111</v>
      </c>
      <c r="G98" s="1">
        <v>111</v>
      </c>
      <c r="H98" s="8" cm="1">
        <f t="array" ref="H98">_xlfn.LET(_xlpm.s,IFERROR(--F98,""),_xlpm.e,IFERROR(--G98,""),IF(OR(_xlpm.s="",_xlpm.e="",_xlpm.e&lt;_xlpm.s),"",_xlfn.LET(_xlpm.p,_xlfn.SEQUENCE(_xlpm.e-_xlpm.s+1,1,_xlpm.s,1),SUM(1/COUNTIFS($D:$D,D98,$E:$E,E98,$F:$F,"&lt;&gt;N/A",$G:$G,"&lt;&gt;N/A",$F:$F,"&lt;="&amp;_xlpm.p,$G:$G,"&gt;="&amp;_xlpm.p)))))</f>
        <v>0.33333333333333331</v>
      </c>
      <c r="I98" t="s">
        <v>632</v>
      </c>
      <c r="J98" t="s">
        <v>2996</v>
      </c>
      <c r="K98" t="s">
        <v>7</v>
      </c>
      <c r="L98" s="5" t="s">
        <v>4716</v>
      </c>
      <c r="M98" s="5" t="s">
        <v>7</v>
      </c>
      <c r="N98" s="5" t="s">
        <v>7</v>
      </c>
      <c r="O98" t="s">
        <v>11522</v>
      </c>
      <c r="P98" t="s">
        <v>8021</v>
      </c>
      <c r="R98" t="b">
        <v>1</v>
      </c>
    </row>
    <row r="99" spans="1:18">
      <c r="A99" t="s">
        <v>3026</v>
      </c>
      <c r="B99" t="s">
        <v>3709</v>
      </c>
      <c r="C99" s="5" t="s">
        <v>7852</v>
      </c>
      <c r="D99" s="1">
        <v>1</v>
      </c>
      <c r="E99" s="1">
        <v>14</v>
      </c>
      <c r="F99" s="1">
        <v>111</v>
      </c>
      <c r="G99" s="1">
        <v>112</v>
      </c>
      <c r="H99" s="8" cm="1">
        <f t="array" ref="H99">_xlfn.LET(_xlpm.s,IFERROR(--F99,""),_xlpm.e,IFERROR(--G99,""),IF(OR(_xlpm.s="",_xlpm.e="",_xlpm.e&lt;_xlpm.s),"",_xlfn.LET(_xlpm.p,_xlfn.SEQUENCE(_xlpm.e-_xlpm.s+1,1,_xlpm.s,1),SUM(1/COUNTIFS($D:$D,D99,$E:$E,E99,$F:$F,"&lt;&gt;N/A",$G:$G,"&lt;&gt;N/A",$F:$F,"&lt;="&amp;_xlpm.p,$G:$G,"&gt;="&amp;_xlpm.p)))))</f>
        <v>0.83333333333333326</v>
      </c>
      <c r="I99" t="s">
        <v>632</v>
      </c>
      <c r="J99" t="s">
        <v>121</v>
      </c>
      <c r="K99" t="s">
        <v>644</v>
      </c>
      <c r="L99" s="5" t="s">
        <v>7</v>
      </c>
      <c r="M99" s="5" t="s">
        <v>7</v>
      </c>
      <c r="N99" t="s">
        <v>7</v>
      </c>
      <c r="O99" s="3" t="s">
        <v>778</v>
      </c>
      <c r="P99" s="3" t="s">
        <v>7834</v>
      </c>
      <c r="R99" t="b">
        <v>1</v>
      </c>
    </row>
    <row r="100" spans="1:18">
      <c r="A100" t="s">
        <v>3026</v>
      </c>
      <c r="B100" t="s">
        <v>3710</v>
      </c>
      <c r="C100" s="5" t="s">
        <v>7852</v>
      </c>
      <c r="D100" s="1">
        <v>1</v>
      </c>
      <c r="E100" s="1">
        <v>14</v>
      </c>
      <c r="F100" s="1">
        <v>112</v>
      </c>
      <c r="G100" s="1">
        <v>112</v>
      </c>
      <c r="H100" s="8" cm="1">
        <f t="array" ref="H100">_xlfn.LET(_xlpm.s,IFERROR(--F100,""),_xlpm.e,IFERROR(--G100,""),IF(OR(_xlpm.s="",_xlpm.e="",_xlpm.e&lt;_xlpm.s),"",_xlfn.LET(_xlpm.p,_xlfn.SEQUENCE(_xlpm.e-_xlpm.s+1,1,_xlpm.s,1),SUM(1/COUNTIFS($D:$D,D100,$E:$E,E100,$F:$F,"&lt;&gt;N/A",$G:$G,"&lt;&gt;N/A",$F:$F,"&lt;="&amp;_xlpm.p,$G:$G,"&gt;="&amp;_xlpm.p)))))</f>
        <v>0.5</v>
      </c>
      <c r="I100" t="s">
        <v>637</v>
      </c>
      <c r="J100" t="s">
        <v>668</v>
      </c>
      <c r="K100" t="s">
        <v>7</v>
      </c>
      <c r="L100" s="5" t="s">
        <v>7</v>
      </c>
      <c r="M100" s="5" t="s">
        <v>7</v>
      </c>
      <c r="N100" t="s">
        <v>7</v>
      </c>
      <c r="O100" s="3" t="s">
        <v>778</v>
      </c>
      <c r="P100" s="3" t="s">
        <v>7834</v>
      </c>
      <c r="R100" t="b">
        <v>1</v>
      </c>
    </row>
    <row r="101" spans="1:18">
      <c r="A101" t="s">
        <v>3026</v>
      </c>
      <c r="B101" t="s">
        <v>10648</v>
      </c>
      <c r="C101" s="5" t="s">
        <v>7853</v>
      </c>
      <c r="D101" s="1">
        <v>1</v>
      </c>
      <c r="E101" s="1">
        <v>15</v>
      </c>
      <c r="F101" s="1">
        <v>113</v>
      </c>
      <c r="G101" s="1">
        <v>116</v>
      </c>
      <c r="H101" s="8" cm="1">
        <f t="array" ref="H101">_xlfn.LET(_xlpm.s,IFERROR(--F101,""),_xlpm.e,IFERROR(--G101,""),IF(OR(_xlpm.s="",_xlpm.e="",_xlpm.e&lt;_xlpm.s),"",_xlfn.LET(_xlpm.p,_xlfn.SEQUENCE(_xlpm.e-_xlpm.s+1,1,_xlpm.s,1),SUM(1/COUNTIFS($D:$D,D101,$E:$E,E101,$F:$F,"&lt;&gt;N/A",$G:$G,"&lt;&gt;N/A",$F:$F,"&lt;="&amp;_xlpm.p,$G:$G,"&gt;="&amp;_xlpm.p)))))</f>
        <v>4</v>
      </c>
      <c r="I101" t="s">
        <v>14</v>
      </c>
      <c r="J101" t="s">
        <v>669</v>
      </c>
      <c r="K101" t="s">
        <v>644</v>
      </c>
      <c r="L101" s="5" t="s">
        <v>7</v>
      </c>
      <c r="M101" t="s">
        <v>7</v>
      </c>
      <c r="N101" t="s">
        <v>7</v>
      </c>
      <c r="O101" s="3" t="s">
        <v>778</v>
      </c>
      <c r="P101" s="3" t="s">
        <v>7834</v>
      </c>
      <c r="R101" t="b">
        <v>1</v>
      </c>
    </row>
    <row r="102" spans="1:18">
      <c r="A102" t="s">
        <v>3026</v>
      </c>
      <c r="B102" t="s">
        <v>10649</v>
      </c>
      <c r="C102" s="5" t="s">
        <v>7853</v>
      </c>
      <c r="D102" s="1">
        <v>1</v>
      </c>
      <c r="E102" s="1">
        <v>15</v>
      </c>
      <c r="F102" s="1">
        <v>117</v>
      </c>
      <c r="G102" s="1">
        <v>118</v>
      </c>
      <c r="H102" s="8" cm="1">
        <f t="array" ref="H102">_xlfn.LET(_xlpm.s,IFERROR(--F102,""),_xlpm.e,IFERROR(--G102,""),IF(OR(_xlpm.s="",_xlpm.e="",_xlpm.e&lt;_xlpm.s),"",_xlfn.LET(_xlpm.p,_xlfn.SEQUENCE(_xlpm.e-_xlpm.s+1,1,_xlpm.s,1),SUM(1/COUNTIFS($D:$D,D102,$E:$E,E102,$F:$F,"&lt;&gt;N/A",$G:$G,"&lt;&gt;N/A",$F:$F,"&lt;="&amp;_xlpm.p,$G:$G,"&gt;="&amp;_xlpm.p)))))</f>
        <v>1.5</v>
      </c>
      <c r="I102" t="s">
        <v>14</v>
      </c>
      <c r="J102" t="s">
        <v>670</v>
      </c>
      <c r="K102" t="s">
        <v>7</v>
      </c>
      <c r="L102" s="5" t="s">
        <v>4717</v>
      </c>
      <c r="M102" t="s">
        <v>5017</v>
      </c>
      <c r="N102" t="s">
        <v>7681</v>
      </c>
      <c r="O102" t="s">
        <v>5072</v>
      </c>
      <c r="P102" t="s">
        <v>8021</v>
      </c>
      <c r="Q102" t="s">
        <v>2509</v>
      </c>
      <c r="R102" t="b">
        <v>1</v>
      </c>
    </row>
    <row r="103" spans="1:18">
      <c r="A103" t="s">
        <v>3026</v>
      </c>
      <c r="B103" t="s">
        <v>3711</v>
      </c>
      <c r="C103" s="5" t="s">
        <v>7853</v>
      </c>
      <c r="D103" s="1">
        <v>1</v>
      </c>
      <c r="E103" s="1">
        <v>15</v>
      </c>
      <c r="F103" s="1">
        <v>118</v>
      </c>
      <c r="G103" s="1">
        <v>120</v>
      </c>
      <c r="H103" s="8" cm="1">
        <f t="array" ref="H103">_xlfn.LET(_xlpm.s,IFERROR(--F103,""),_xlpm.e,IFERROR(--G103,""),IF(OR(_xlpm.s="",_xlpm.e="",_xlpm.e&lt;_xlpm.s),"",_xlfn.LET(_xlpm.p,_xlfn.SEQUENCE(_xlpm.e-_xlpm.s+1,1,_xlpm.s,1),SUM(1/COUNTIFS($D:$D,D103,$E:$E,E103,$F:$F,"&lt;&gt;N/A",$G:$G,"&lt;&gt;N/A",$F:$F,"&lt;="&amp;_xlpm.p,$G:$G,"&gt;="&amp;_xlpm.p)))))</f>
        <v>1.8333333333333333</v>
      </c>
      <c r="I103" t="s">
        <v>632</v>
      </c>
      <c r="J103" t="s">
        <v>7353</v>
      </c>
      <c r="K103" t="s">
        <v>7</v>
      </c>
      <c r="L103" s="5" t="s">
        <v>7352</v>
      </c>
      <c r="M103" t="s">
        <v>7</v>
      </c>
      <c r="N103" t="s">
        <v>7682</v>
      </c>
      <c r="O103" t="s">
        <v>5072</v>
      </c>
      <c r="P103" t="s">
        <v>8021</v>
      </c>
      <c r="R103" t="b">
        <v>1</v>
      </c>
    </row>
    <row r="104" spans="1:18">
      <c r="A104" t="s">
        <v>3026</v>
      </c>
      <c r="B104" t="s">
        <v>3712</v>
      </c>
      <c r="C104" s="5" t="s">
        <v>7853</v>
      </c>
      <c r="D104" s="1">
        <v>1</v>
      </c>
      <c r="E104" s="1">
        <v>15</v>
      </c>
      <c r="F104" s="1">
        <v>120</v>
      </c>
      <c r="G104" s="1">
        <v>120</v>
      </c>
      <c r="H104" s="8" cm="1">
        <f t="array" ref="H104">_xlfn.LET(_xlpm.s,IFERROR(--F104,""),_xlpm.e,IFERROR(--G104,""),IF(OR(_xlpm.s="",_xlpm.e="",_xlpm.e&lt;_xlpm.s),"",_xlfn.LET(_xlpm.p,_xlfn.SEQUENCE(_xlpm.e-_xlpm.s+1,1,_xlpm.s,1),SUM(1/COUNTIFS($D:$D,D104,$E:$E,E104,$F:$F,"&lt;&gt;N/A",$G:$G,"&lt;&gt;N/A",$F:$F,"&lt;="&amp;_xlpm.p,$G:$G,"&gt;="&amp;_xlpm.p)))))</f>
        <v>0.33333333333333331</v>
      </c>
      <c r="I104" t="s">
        <v>632</v>
      </c>
      <c r="J104" t="s">
        <v>671</v>
      </c>
      <c r="K104" t="s">
        <v>644</v>
      </c>
      <c r="L104" s="5" t="s">
        <v>7</v>
      </c>
      <c r="M104" s="5" t="s">
        <v>7</v>
      </c>
      <c r="N104" t="s">
        <v>7</v>
      </c>
      <c r="O104" s="3" t="s">
        <v>778</v>
      </c>
      <c r="P104" s="3" t="s">
        <v>7834</v>
      </c>
      <c r="R104" t="b">
        <v>1</v>
      </c>
    </row>
    <row r="105" spans="1:18">
      <c r="A105" t="s">
        <v>3026</v>
      </c>
      <c r="B105" t="s">
        <v>3713</v>
      </c>
      <c r="C105" s="5" t="s">
        <v>7853</v>
      </c>
      <c r="D105" s="1">
        <v>1</v>
      </c>
      <c r="E105" s="1">
        <v>15</v>
      </c>
      <c r="F105" s="1">
        <v>120</v>
      </c>
      <c r="G105" s="1">
        <v>120</v>
      </c>
      <c r="H105" s="8" cm="1">
        <f t="array" ref="H105">_xlfn.LET(_xlpm.s,IFERROR(--F105,""),_xlpm.e,IFERROR(--G105,""),IF(OR(_xlpm.s="",_xlpm.e="",_xlpm.e&lt;_xlpm.s),"",_xlfn.LET(_xlpm.p,_xlfn.SEQUENCE(_xlpm.e-_xlpm.s+1,1,_xlpm.s,1),SUM(1/COUNTIFS($D:$D,D105,$E:$E,E105,$F:$F,"&lt;&gt;N/A",$G:$G,"&lt;&gt;N/A",$F:$F,"&lt;="&amp;_xlpm.p,$G:$G,"&gt;="&amp;_xlpm.p)))))</f>
        <v>0.33333333333333331</v>
      </c>
      <c r="I105" t="s">
        <v>632</v>
      </c>
      <c r="J105" t="s">
        <v>10621</v>
      </c>
      <c r="K105" t="s">
        <v>7</v>
      </c>
      <c r="L105" s="5" t="s">
        <v>7</v>
      </c>
      <c r="M105" s="5" t="s">
        <v>7</v>
      </c>
      <c r="N105" t="s">
        <v>7</v>
      </c>
      <c r="O105" s="3" t="s">
        <v>778</v>
      </c>
      <c r="P105" s="3" t="s">
        <v>7834</v>
      </c>
      <c r="R105" t="b">
        <v>1</v>
      </c>
    </row>
    <row r="106" spans="1:18">
      <c r="A106" t="s">
        <v>3026</v>
      </c>
      <c r="B106" t="s">
        <v>10650</v>
      </c>
      <c r="C106" s="5" t="s">
        <v>7879</v>
      </c>
      <c r="D106" s="1">
        <v>1</v>
      </c>
      <c r="E106" s="1">
        <v>16</v>
      </c>
      <c r="F106" s="1">
        <v>121</v>
      </c>
      <c r="G106" s="1">
        <v>124</v>
      </c>
      <c r="H106" s="8" cm="1">
        <f t="array" ref="H106">_xlfn.LET(_xlpm.s,IFERROR(--F106,""),_xlpm.e,IFERROR(--G106,""),IF(OR(_xlpm.s="",_xlpm.e="",_xlpm.e&lt;_xlpm.s),"",_xlfn.LET(_xlpm.p,_xlfn.SEQUENCE(_xlpm.e-_xlpm.s+1,1,_xlpm.s,1),SUM(1/COUNTIFS($D:$D,D106,$E:$E,E106,$F:$F,"&lt;&gt;N/A",$G:$G,"&lt;&gt;N/A",$F:$F,"&lt;="&amp;_xlpm.p,$G:$G,"&gt;="&amp;_xlpm.p)))))</f>
        <v>3.5</v>
      </c>
      <c r="I106" t="s">
        <v>14</v>
      </c>
      <c r="J106" t="s">
        <v>672</v>
      </c>
      <c r="K106" t="s">
        <v>4718</v>
      </c>
      <c r="L106" s="5" t="s">
        <v>7</v>
      </c>
      <c r="M106" t="s">
        <v>7</v>
      </c>
      <c r="N106" t="s">
        <v>7</v>
      </c>
      <c r="O106" s="3" t="s">
        <v>778</v>
      </c>
      <c r="P106" s="3" t="s">
        <v>7834</v>
      </c>
      <c r="R106" t="b">
        <v>1</v>
      </c>
    </row>
    <row r="107" spans="1:18">
      <c r="A107" t="s">
        <v>3026</v>
      </c>
      <c r="B107" t="s">
        <v>10651</v>
      </c>
      <c r="C107" s="5" t="s">
        <v>7879</v>
      </c>
      <c r="D107" s="1">
        <v>1</v>
      </c>
      <c r="E107" s="1">
        <v>16</v>
      </c>
      <c r="F107" s="1">
        <v>124</v>
      </c>
      <c r="G107" s="1">
        <v>125</v>
      </c>
      <c r="H107" s="8" cm="1">
        <f t="array" ref="H107">_xlfn.LET(_xlpm.s,IFERROR(--F107,""),_xlpm.e,IFERROR(--G107,""),IF(OR(_xlpm.s="",_xlpm.e="",_xlpm.e&lt;_xlpm.s),"",_xlfn.LET(_xlpm.p,_xlfn.SEQUENCE(_xlpm.e-_xlpm.s+1,1,_xlpm.s,1),SUM(1/COUNTIFS($D:$D,D107,$E:$E,E107,$F:$F,"&lt;&gt;N/A",$G:$G,"&lt;&gt;N/A",$F:$F,"&lt;="&amp;_xlpm.p,$G:$G,"&gt;="&amp;_xlpm.p)))))</f>
        <v>1</v>
      </c>
      <c r="I107" t="s">
        <v>14</v>
      </c>
      <c r="J107" t="s">
        <v>674</v>
      </c>
      <c r="K107" t="s">
        <v>673</v>
      </c>
      <c r="L107" s="5" t="s">
        <v>7</v>
      </c>
      <c r="M107" s="5" t="s">
        <v>7</v>
      </c>
      <c r="N107" t="s">
        <v>7</v>
      </c>
      <c r="O107" s="3" t="s">
        <v>778</v>
      </c>
      <c r="P107" s="3" t="s">
        <v>7834</v>
      </c>
      <c r="R107" t="b">
        <v>1</v>
      </c>
    </row>
    <row r="108" spans="1:18">
      <c r="A108" t="s">
        <v>3026</v>
      </c>
      <c r="B108" t="s">
        <v>3714</v>
      </c>
      <c r="C108" s="5" t="s">
        <v>7879</v>
      </c>
      <c r="D108" s="1">
        <v>1</v>
      </c>
      <c r="E108" s="1">
        <v>16</v>
      </c>
      <c r="F108" s="1">
        <v>125</v>
      </c>
      <c r="G108" s="1">
        <v>126</v>
      </c>
      <c r="H108" s="8" cm="1">
        <f t="array" ref="H108">_xlfn.LET(_xlpm.s,IFERROR(--F108,""),_xlpm.e,IFERROR(--G108,""),IF(OR(_xlpm.s="",_xlpm.e="",_xlpm.e&lt;_xlpm.s),"",_xlfn.LET(_xlpm.p,_xlfn.SEQUENCE(_xlpm.e-_xlpm.s+1,1,_xlpm.s,1),SUM(1/COUNTIFS($D:$D,D108,$E:$E,E108,$F:$F,"&lt;&gt;N/A",$G:$G,"&lt;&gt;N/A",$F:$F,"&lt;="&amp;_xlpm.p,$G:$G,"&gt;="&amp;_xlpm.p)))))</f>
        <v>1</v>
      </c>
      <c r="I108" t="s">
        <v>632</v>
      </c>
      <c r="J108" t="s">
        <v>7235</v>
      </c>
      <c r="K108" t="s">
        <v>7</v>
      </c>
      <c r="L108" s="5" t="s">
        <v>4719</v>
      </c>
      <c r="M108" t="s">
        <v>7</v>
      </c>
      <c r="N108" t="s">
        <v>7683</v>
      </c>
      <c r="O108" t="s">
        <v>5072</v>
      </c>
      <c r="P108" t="s">
        <v>8021</v>
      </c>
      <c r="R108" t="b">
        <v>1</v>
      </c>
    </row>
    <row r="109" spans="1:18">
      <c r="A109" t="s">
        <v>3026</v>
      </c>
      <c r="B109" t="s">
        <v>3715</v>
      </c>
      <c r="C109" s="5" t="s">
        <v>7879</v>
      </c>
      <c r="D109" s="1">
        <v>1</v>
      </c>
      <c r="E109" s="1">
        <v>16</v>
      </c>
      <c r="F109" s="1">
        <v>126</v>
      </c>
      <c r="G109" s="1">
        <v>126</v>
      </c>
      <c r="H109" s="8" cm="1">
        <f t="array" ref="H109">_xlfn.LET(_xlpm.s,IFERROR(--F109,""),_xlpm.e,IFERROR(--G109,""),IF(OR(_xlpm.s="",_xlpm.e="",_xlpm.e&lt;_xlpm.s),"",_xlfn.LET(_xlpm.p,_xlfn.SEQUENCE(_xlpm.e-_xlpm.s+1,1,_xlpm.s,1),SUM(1/COUNTIFS($D:$D,D109,$E:$E,E109,$F:$F,"&lt;&gt;N/A",$G:$G,"&lt;&gt;N/A",$F:$F,"&lt;="&amp;_xlpm.p,$G:$G,"&gt;="&amp;_xlpm.p)))))</f>
        <v>0.5</v>
      </c>
      <c r="I109" t="s">
        <v>632</v>
      </c>
      <c r="J109" t="s">
        <v>2842</v>
      </c>
      <c r="K109" t="s">
        <v>7</v>
      </c>
      <c r="L109" s="5" t="s">
        <v>4720</v>
      </c>
      <c r="M109" t="s">
        <v>5017</v>
      </c>
      <c r="N109" t="s">
        <v>7545</v>
      </c>
      <c r="O109" t="s">
        <v>5072</v>
      </c>
      <c r="P109" t="s">
        <v>8021</v>
      </c>
      <c r="R109" t="b">
        <v>1</v>
      </c>
    </row>
    <row r="110" spans="1:18">
      <c r="A110" t="s">
        <v>3026</v>
      </c>
      <c r="B110" t="s">
        <v>3716</v>
      </c>
      <c r="C110" s="5" t="s">
        <v>7879</v>
      </c>
      <c r="D110" s="1">
        <v>1</v>
      </c>
      <c r="E110" s="1">
        <v>16</v>
      </c>
      <c r="F110" s="1">
        <v>127</v>
      </c>
      <c r="G110" s="1">
        <v>127</v>
      </c>
      <c r="H110" s="8" cm="1">
        <f t="array" ref="H110">_xlfn.LET(_xlpm.s,IFERROR(--F110,""),_xlpm.e,IFERROR(--G110,""),IF(OR(_xlpm.s="",_xlpm.e="",_xlpm.e&lt;_xlpm.s),"",_xlfn.LET(_xlpm.p,_xlfn.SEQUENCE(_xlpm.e-_xlpm.s+1,1,_xlpm.s,1),SUM(1/COUNTIFS($D:$D,D110,$E:$E,E110,$F:$F,"&lt;&gt;N/A",$G:$G,"&lt;&gt;N/A",$F:$F,"&lt;="&amp;_xlpm.p,$G:$G,"&gt;="&amp;_xlpm.p)))))</f>
        <v>0.33333333333333331</v>
      </c>
      <c r="I110" t="s">
        <v>632</v>
      </c>
      <c r="J110" t="s">
        <v>2841</v>
      </c>
      <c r="K110" t="s">
        <v>7</v>
      </c>
      <c r="L110" s="5" t="s">
        <v>4720</v>
      </c>
      <c r="M110" t="s">
        <v>5017</v>
      </c>
      <c r="N110" t="s">
        <v>7544</v>
      </c>
      <c r="O110" t="s">
        <v>5072</v>
      </c>
      <c r="P110" t="s">
        <v>8021</v>
      </c>
      <c r="R110" t="b">
        <v>1</v>
      </c>
    </row>
    <row r="111" spans="1:18">
      <c r="A111" t="s">
        <v>3026</v>
      </c>
      <c r="B111" t="s">
        <v>3717</v>
      </c>
      <c r="C111" s="5" t="s">
        <v>7879</v>
      </c>
      <c r="D111" s="1">
        <v>1</v>
      </c>
      <c r="E111" s="1">
        <v>16</v>
      </c>
      <c r="F111" s="1">
        <v>127</v>
      </c>
      <c r="G111" s="1">
        <v>127</v>
      </c>
      <c r="H111" s="8" cm="1">
        <f t="array" ref="H111">_xlfn.LET(_xlpm.s,IFERROR(--F111,""),_xlpm.e,IFERROR(--G111,""),IF(OR(_xlpm.s="",_xlpm.e="",_xlpm.e&lt;_xlpm.s),"",_xlfn.LET(_xlpm.p,_xlfn.SEQUENCE(_xlpm.e-_xlpm.s+1,1,_xlpm.s,1),SUM(1/COUNTIFS($D:$D,D111,$E:$E,E111,$F:$F,"&lt;&gt;N/A",$G:$G,"&lt;&gt;N/A",$F:$F,"&lt;="&amp;_xlpm.p,$G:$G,"&gt;="&amp;_xlpm.p)))))</f>
        <v>0.33333333333333331</v>
      </c>
      <c r="I111" t="s">
        <v>632</v>
      </c>
      <c r="J111" t="s">
        <v>2840</v>
      </c>
      <c r="K111" t="s">
        <v>7</v>
      </c>
      <c r="L111" s="5" t="s">
        <v>4721</v>
      </c>
      <c r="M111" t="s">
        <v>5017</v>
      </c>
      <c r="N111" t="s">
        <v>7543</v>
      </c>
      <c r="O111" t="s">
        <v>5072</v>
      </c>
      <c r="P111" t="s">
        <v>8021</v>
      </c>
      <c r="R111" t="b">
        <v>1</v>
      </c>
    </row>
    <row r="112" spans="1:18">
      <c r="A112" t="s">
        <v>3026</v>
      </c>
      <c r="B112" t="s">
        <v>3718</v>
      </c>
      <c r="C112" s="5" t="s">
        <v>7879</v>
      </c>
      <c r="D112" s="1">
        <v>1</v>
      </c>
      <c r="E112" s="1">
        <v>16</v>
      </c>
      <c r="F112" s="1">
        <v>127</v>
      </c>
      <c r="G112" s="1">
        <v>128</v>
      </c>
      <c r="H112" s="8" cm="1">
        <f t="array" ref="H112">_xlfn.LET(_xlpm.s,IFERROR(--F112,""),_xlpm.e,IFERROR(--G112,""),IF(OR(_xlpm.s="",_xlpm.e="",_xlpm.e&lt;_xlpm.s),"",_xlfn.LET(_xlpm.p,_xlfn.SEQUENCE(_xlpm.e-_xlpm.s+1,1,_xlpm.s,1),SUM(1/COUNTIFS($D:$D,D112,$E:$E,E112,$F:$F,"&lt;&gt;N/A",$G:$G,"&lt;&gt;N/A",$F:$F,"&lt;="&amp;_xlpm.p,$G:$G,"&gt;="&amp;_xlpm.p)))))</f>
        <v>0.66666666666666663</v>
      </c>
      <c r="I112" t="s">
        <v>632</v>
      </c>
      <c r="J112" t="s">
        <v>2839</v>
      </c>
      <c r="K112" t="s">
        <v>7</v>
      </c>
      <c r="L112" s="5" t="s">
        <v>4720</v>
      </c>
      <c r="M112" t="s">
        <v>5017</v>
      </c>
      <c r="N112" t="s">
        <v>7542</v>
      </c>
      <c r="O112" t="s">
        <v>5072</v>
      </c>
      <c r="P112" t="s">
        <v>8021</v>
      </c>
      <c r="R112" t="b">
        <v>1</v>
      </c>
    </row>
    <row r="113" spans="1:18">
      <c r="A113" t="s">
        <v>3026</v>
      </c>
      <c r="B113" t="s">
        <v>3719</v>
      </c>
      <c r="C113" s="5" t="s">
        <v>7879</v>
      </c>
      <c r="D113" s="1">
        <v>1</v>
      </c>
      <c r="E113" s="1">
        <v>16</v>
      </c>
      <c r="F113" s="1">
        <v>128</v>
      </c>
      <c r="G113" s="1">
        <v>128</v>
      </c>
      <c r="H113" s="8" cm="1">
        <f t="array" ref="H113">_xlfn.LET(_xlpm.s,IFERROR(--F113,""),_xlpm.e,IFERROR(--G113,""),IF(OR(_xlpm.s="",_xlpm.e="",_xlpm.e&lt;_xlpm.s),"",_xlfn.LET(_xlpm.p,_xlfn.SEQUENCE(_xlpm.e-_xlpm.s+1,1,_xlpm.s,1),SUM(1/COUNTIFS($D:$D,D113,$E:$E,E113,$F:$F,"&lt;&gt;N/A",$G:$G,"&lt;&gt;N/A",$F:$F,"&lt;="&amp;_xlpm.p,$G:$G,"&gt;="&amp;_xlpm.p)))))</f>
        <v>0.33333333333333331</v>
      </c>
      <c r="I113" t="s">
        <v>632</v>
      </c>
      <c r="J113" t="s">
        <v>2838</v>
      </c>
      <c r="K113" t="s">
        <v>7</v>
      </c>
      <c r="L113" s="5" t="s">
        <v>4720</v>
      </c>
      <c r="M113" t="s">
        <v>5017</v>
      </c>
      <c r="N113" t="s">
        <v>7541</v>
      </c>
      <c r="O113" t="s">
        <v>5072</v>
      </c>
      <c r="P113" t="s">
        <v>8021</v>
      </c>
      <c r="R113" t="b">
        <v>1</v>
      </c>
    </row>
    <row r="114" spans="1:18">
      <c r="A114" t="s">
        <v>3026</v>
      </c>
      <c r="B114" t="s">
        <v>3720</v>
      </c>
      <c r="C114" s="5" t="s">
        <v>7879</v>
      </c>
      <c r="D114" s="1">
        <v>1</v>
      </c>
      <c r="E114" s="1">
        <v>16</v>
      </c>
      <c r="F114" s="1">
        <v>128</v>
      </c>
      <c r="G114" s="1">
        <v>128</v>
      </c>
      <c r="H114" s="8" cm="1">
        <f t="array" ref="H114">_xlfn.LET(_xlpm.s,IFERROR(--F114,""),_xlpm.e,IFERROR(--G114,""),IF(OR(_xlpm.s="",_xlpm.e="",_xlpm.e&lt;_xlpm.s),"",_xlfn.LET(_xlpm.p,_xlfn.SEQUENCE(_xlpm.e-_xlpm.s+1,1,_xlpm.s,1),SUM(1/COUNTIFS($D:$D,D114,$E:$E,E114,$F:$F,"&lt;&gt;N/A",$G:$G,"&lt;&gt;N/A",$F:$F,"&lt;="&amp;_xlpm.p,$G:$G,"&gt;="&amp;_xlpm.p)))))</f>
        <v>0.33333333333333331</v>
      </c>
      <c r="I114" t="s">
        <v>632</v>
      </c>
      <c r="J114" t="s">
        <v>10725</v>
      </c>
      <c r="K114" t="s">
        <v>7</v>
      </c>
      <c r="L114" s="5" t="s">
        <v>4720</v>
      </c>
      <c r="M114" t="s">
        <v>5017</v>
      </c>
      <c r="N114" t="s">
        <v>7540</v>
      </c>
      <c r="O114" t="s">
        <v>5072</v>
      </c>
      <c r="P114" t="s">
        <v>8021</v>
      </c>
      <c r="Q114" t="s">
        <v>2509</v>
      </c>
      <c r="R114" t="b">
        <v>1</v>
      </c>
    </row>
    <row r="115" spans="1:18">
      <c r="A115" t="s">
        <v>3026</v>
      </c>
      <c r="B115" t="s">
        <v>10652</v>
      </c>
      <c r="C115" s="5" t="s">
        <v>7837</v>
      </c>
      <c r="D115" s="1">
        <v>1</v>
      </c>
      <c r="E115" s="1">
        <v>17</v>
      </c>
      <c r="F115" s="1">
        <v>129</v>
      </c>
      <c r="G115" s="1">
        <v>132</v>
      </c>
      <c r="H115" s="8" cm="1">
        <f t="array" ref="H115">_xlfn.LET(_xlpm.s,IFERROR(--F115,""),_xlpm.e,IFERROR(--G115,""),IF(OR(_xlpm.s="",_xlpm.e="",_xlpm.e&lt;_xlpm.s),"",_xlfn.LET(_xlpm.p,_xlfn.SEQUENCE(_xlpm.e-_xlpm.s+1,1,_xlpm.s,1),SUM(1/COUNTIFS($D:$D,D115,$E:$E,E115,$F:$F,"&lt;&gt;N/A",$G:$G,"&lt;&gt;N/A",$F:$F,"&lt;="&amp;_xlpm.p,$G:$G,"&gt;="&amp;_xlpm.p)))))</f>
        <v>3.5</v>
      </c>
      <c r="I115" t="s">
        <v>14</v>
      </c>
      <c r="J115" t="s">
        <v>675</v>
      </c>
      <c r="K115" t="s">
        <v>4722</v>
      </c>
      <c r="L115" s="5" t="s">
        <v>7</v>
      </c>
      <c r="M115" t="s">
        <v>7</v>
      </c>
      <c r="N115" t="s">
        <v>7</v>
      </c>
      <c r="O115" t="s">
        <v>778</v>
      </c>
      <c r="P115" t="s">
        <v>7834</v>
      </c>
      <c r="Q115" t="s">
        <v>3029</v>
      </c>
      <c r="R115" t="b">
        <v>1</v>
      </c>
    </row>
    <row r="116" spans="1:18">
      <c r="A116" t="s">
        <v>3026</v>
      </c>
      <c r="B116" t="s">
        <v>10653</v>
      </c>
      <c r="C116" s="5" t="s">
        <v>7837</v>
      </c>
      <c r="D116" s="1">
        <v>1</v>
      </c>
      <c r="E116" s="1">
        <v>17</v>
      </c>
      <c r="F116" s="1">
        <v>132</v>
      </c>
      <c r="G116" s="1">
        <v>136</v>
      </c>
      <c r="H116" s="8" cm="1">
        <f t="array" ref="H116">_xlfn.LET(_xlpm.s,IFERROR(--F116,""),_xlpm.e,IFERROR(--G116,""),IF(OR(_xlpm.s="",_xlpm.e="",_xlpm.e&lt;_xlpm.s),"",_xlfn.LET(_xlpm.p,_xlfn.SEQUENCE(_xlpm.e-_xlpm.s+1,1,_xlpm.s,1),SUM(1/COUNTIFS($D:$D,D116,$E:$E,E116,$F:$F,"&lt;&gt;N/A",$G:$G,"&lt;&gt;N/A",$F:$F,"&lt;="&amp;_xlpm.p,$G:$G,"&gt;="&amp;_xlpm.p)))))</f>
        <v>4</v>
      </c>
      <c r="I116" t="s">
        <v>632</v>
      </c>
      <c r="J116" t="s">
        <v>3030</v>
      </c>
      <c r="K116" t="s">
        <v>676</v>
      </c>
      <c r="L116" s="5" t="s">
        <v>7</v>
      </c>
      <c r="M116" t="s">
        <v>7</v>
      </c>
      <c r="N116" s="5" t="s">
        <v>10424</v>
      </c>
      <c r="O116" t="s">
        <v>11522</v>
      </c>
      <c r="P116" t="s">
        <v>8021</v>
      </c>
      <c r="Q116" t="s">
        <v>7459</v>
      </c>
      <c r="R116" t="b">
        <v>1</v>
      </c>
    </row>
    <row r="117" spans="1:18">
      <c r="A117" t="s">
        <v>3026</v>
      </c>
      <c r="B117" t="s">
        <v>3721</v>
      </c>
      <c r="C117" s="5" t="s">
        <v>7837</v>
      </c>
      <c r="D117" s="1">
        <v>1</v>
      </c>
      <c r="E117" s="1">
        <v>17</v>
      </c>
      <c r="F117" s="1">
        <v>136</v>
      </c>
      <c r="G117" s="1">
        <v>136</v>
      </c>
      <c r="H117" s="8" cm="1">
        <f t="array" ref="H117">_xlfn.LET(_xlpm.s,IFERROR(--F117,""),_xlpm.e,IFERROR(--G117,""),IF(OR(_xlpm.s="",_xlpm.e="",_xlpm.e&lt;_xlpm.s),"",_xlfn.LET(_xlpm.p,_xlfn.SEQUENCE(_xlpm.e-_xlpm.s+1,1,_xlpm.s,1),SUM(1/COUNTIFS($D:$D,D117,$E:$E,E117,$F:$F,"&lt;&gt;N/A",$G:$G,"&lt;&gt;N/A",$F:$F,"&lt;="&amp;_xlpm.p,$G:$G,"&gt;="&amp;_xlpm.p)))))</f>
        <v>0.5</v>
      </c>
      <c r="I117" t="s">
        <v>632</v>
      </c>
      <c r="J117" t="s">
        <v>677</v>
      </c>
      <c r="K117" t="s">
        <v>7</v>
      </c>
      <c r="L117" s="5" t="s">
        <v>4723</v>
      </c>
      <c r="M117" t="s">
        <v>5017</v>
      </c>
      <c r="N117" t="s">
        <v>7588</v>
      </c>
      <c r="O117" t="s">
        <v>5072</v>
      </c>
      <c r="P117" t="s">
        <v>8021</v>
      </c>
      <c r="Q117" t="s">
        <v>2509</v>
      </c>
      <c r="R117" t="b">
        <v>1</v>
      </c>
    </row>
    <row r="118" spans="1:18">
      <c r="A118" t="s">
        <v>3026</v>
      </c>
      <c r="B118" t="s">
        <v>10654</v>
      </c>
      <c r="C118" s="5" t="s">
        <v>7838</v>
      </c>
      <c r="D118" s="1">
        <v>1</v>
      </c>
      <c r="E118" s="1">
        <v>18</v>
      </c>
      <c r="F118" s="1">
        <v>137</v>
      </c>
      <c r="G118" s="1">
        <v>139</v>
      </c>
      <c r="H118" s="8" cm="1">
        <f t="array" ref="H118">_xlfn.LET(_xlpm.s,IFERROR(--F118,""),_xlpm.e,IFERROR(--G118,""),IF(OR(_xlpm.s="",_xlpm.e="",_xlpm.e&lt;_xlpm.s),"",_xlfn.LET(_xlpm.p,_xlfn.SEQUENCE(_xlpm.e-_xlpm.s+1,1,_xlpm.s,1),SUM(1/COUNTIFS($D:$D,D118,$E:$E,E118,$F:$F,"&lt;&gt;N/A",$G:$G,"&lt;&gt;N/A",$F:$F,"&lt;="&amp;_xlpm.p,$G:$G,"&gt;="&amp;_xlpm.p)))))</f>
        <v>2.3333333333333335</v>
      </c>
      <c r="I118" t="s">
        <v>14</v>
      </c>
      <c r="J118" t="s">
        <v>678</v>
      </c>
      <c r="K118" t="s">
        <v>644</v>
      </c>
      <c r="L118" s="5" t="s">
        <v>7</v>
      </c>
      <c r="M118" s="5" t="s">
        <v>7</v>
      </c>
      <c r="N118" t="s">
        <v>7</v>
      </c>
      <c r="O118" t="s">
        <v>778</v>
      </c>
      <c r="P118" t="s">
        <v>7834</v>
      </c>
      <c r="R118" t="b">
        <v>1</v>
      </c>
    </row>
    <row r="119" spans="1:18">
      <c r="A119" t="s">
        <v>3026</v>
      </c>
      <c r="B119" t="s">
        <v>10655</v>
      </c>
      <c r="C119" s="5" t="s">
        <v>7838</v>
      </c>
      <c r="D119" s="1">
        <v>1</v>
      </c>
      <c r="E119" s="1">
        <v>18</v>
      </c>
      <c r="F119" s="1">
        <v>139</v>
      </c>
      <c r="G119" s="1">
        <v>139</v>
      </c>
      <c r="H119" s="8" cm="1">
        <f t="array" ref="H119">_xlfn.LET(_xlpm.s,IFERROR(--F119,""),_xlpm.e,IFERROR(--G119,""),IF(OR(_xlpm.s="",_xlpm.e="",_xlpm.e&lt;_xlpm.s),"",_xlfn.LET(_xlpm.p,_xlfn.SEQUENCE(_xlpm.e-_xlpm.s+1,1,_xlpm.s,1),SUM(1/COUNTIFS($D:$D,D119,$E:$E,E119,$F:$F,"&lt;&gt;N/A",$G:$G,"&lt;&gt;N/A",$F:$F,"&lt;="&amp;_xlpm.p,$G:$G,"&gt;="&amp;_xlpm.p)))))</f>
        <v>0.33333333333333331</v>
      </c>
      <c r="I119" t="s">
        <v>632</v>
      </c>
      <c r="J119" t="s">
        <v>10724</v>
      </c>
      <c r="K119" t="s">
        <v>7</v>
      </c>
      <c r="L119" s="5" t="s">
        <v>7</v>
      </c>
      <c r="M119" s="5" t="s">
        <v>7</v>
      </c>
      <c r="N119" t="s">
        <v>7</v>
      </c>
      <c r="O119" t="s">
        <v>778</v>
      </c>
      <c r="P119" t="s">
        <v>7834</v>
      </c>
      <c r="R119" t="b">
        <v>1</v>
      </c>
    </row>
    <row r="120" spans="1:18">
      <c r="A120" t="s">
        <v>3026</v>
      </c>
      <c r="B120" t="s">
        <v>3722</v>
      </c>
      <c r="C120" s="5" t="s">
        <v>7838</v>
      </c>
      <c r="D120" s="1">
        <v>1</v>
      </c>
      <c r="E120" s="1">
        <v>18</v>
      </c>
      <c r="F120" s="1">
        <v>139</v>
      </c>
      <c r="G120" s="1">
        <v>140</v>
      </c>
      <c r="H120" s="8" cm="1">
        <f t="array" ref="H120">_xlfn.LET(_xlpm.s,IFERROR(--F120,""),_xlpm.e,IFERROR(--G120,""),IF(OR(_xlpm.s="",_xlpm.e="",_xlpm.e&lt;_xlpm.s),"",_xlfn.LET(_xlpm.p,_xlfn.SEQUENCE(_xlpm.e-_xlpm.s+1,1,_xlpm.s,1),SUM(1/COUNTIFS($D:$D,D120,$E:$E,E120,$F:$F,"&lt;&gt;N/A",$G:$G,"&lt;&gt;N/A",$F:$F,"&lt;="&amp;_xlpm.p,$G:$G,"&gt;="&amp;_xlpm.p)))))</f>
        <v>0.5</v>
      </c>
      <c r="I120" t="s">
        <v>632</v>
      </c>
      <c r="J120" t="s">
        <v>2862</v>
      </c>
      <c r="K120" t="s">
        <v>7</v>
      </c>
      <c r="L120" s="5" t="s">
        <v>7</v>
      </c>
      <c r="M120" s="5" t="s">
        <v>7</v>
      </c>
      <c r="N120" t="s">
        <v>7</v>
      </c>
      <c r="O120" t="s">
        <v>778</v>
      </c>
      <c r="P120" t="s">
        <v>7834</v>
      </c>
      <c r="R120" t="b">
        <v>1</v>
      </c>
    </row>
    <row r="121" spans="1:18">
      <c r="A121" t="s">
        <v>3026</v>
      </c>
      <c r="B121" t="s">
        <v>3723</v>
      </c>
      <c r="C121" s="5" t="s">
        <v>7838</v>
      </c>
      <c r="D121" s="1">
        <v>1</v>
      </c>
      <c r="E121" s="1">
        <v>18</v>
      </c>
      <c r="F121" s="1">
        <v>140</v>
      </c>
      <c r="G121" s="1">
        <v>140</v>
      </c>
      <c r="H121" s="8" cm="1">
        <f t="array" ref="H121">_xlfn.LET(_xlpm.s,IFERROR(--F121,""),_xlpm.e,IFERROR(--G121,""),IF(OR(_xlpm.s="",_xlpm.e="",_xlpm.e&lt;_xlpm.s),"",_xlfn.LET(_xlpm.p,_xlfn.SEQUENCE(_xlpm.e-_xlpm.s+1,1,_xlpm.s,1),SUM(1/COUNTIFS($D:$D,D121,$E:$E,E121,$F:$F,"&lt;&gt;N/A",$G:$G,"&lt;&gt;N/A",$F:$F,"&lt;="&amp;_xlpm.p,$G:$G,"&gt;="&amp;_xlpm.p)))))</f>
        <v>0.16666666666666666</v>
      </c>
      <c r="I121" t="s">
        <v>632</v>
      </c>
      <c r="J121" t="s">
        <v>2863</v>
      </c>
      <c r="K121" t="s">
        <v>7</v>
      </c>
      <c r="L121" s="5" t="s">
        <v>7</v>
      </c>
      <c r="M121" s="5" t="s">
        <v>7</v>
      </c>
      <c r="N121" t="s">
        <v>7</v>
      </c>
      <c r="O121" t="s">
        <v>778</v>
      </c>
      <c r="P121" t="s">
        <v>7834</v>
      </c>
      <c r="R121" t="b">
        <v>1</v>
      </c>
    </row>
    <row r="122" spans="1:18">
      <c r="A122" t="s">
        <v>3026</v>
      </c>
      <c r="B122" t="s">
        <v>3724</v>
      </c>
      <c r="C122" s="5" t="s">
        <v>7838</v>
      </c>
      <c r="D122" s="1">
        <v>1</v>
      </c>
      <c r="E122" s="1">
        <v>18</v>
      </c>
      <c r="F122" s="1">
        <v>140</v>
      </c>
      <c r="G122" s="1">
        <v>140</v>
      </c>
      <c r="H122" s="8" cm="1">
        <f t="array" ref="H122">_xlfn.LET(_xlpm.s,IFERROR(--F122,""),_xlpm.e,IFERROR(--G122,""),IF(OR(_xlpm.s="",_xlpm.e="",_xlpm.e&lt;_xlpm.s),"",_xlfn.LET(_xlpm.p,_xlfn.SEQUENCE(_xlpm.e-_xlpm.s+1,1,_xlpm.s,1),SUM(1/COUNTIFS($D:$D,D122,$E:$E,E122,$F:$F,"&lt;&gt;N/A",$G:$G,"&lt;&gt;N/A",$F:$F,"&lt;="&amp;_xlpm.p,$G:$G,"&gt;="&amp;_xlpm.p)))))</f>
        <v>0.16666666666666666</v>
      </c>
      <c r="I122" t="s">
        <v>632</v>
      </c>
      <c r="J122" t="s">
        <v>2864</v>
      </c>
      <c r="K122" t="s">
        <v>7</v>
      </c>
      <c r="L122" s="5" t="s">
        <v>7</v>
      </c>
      <c r="M122" s="5" t="s">
        <v>7</v>
      </c>
      <c r="N122" t="s">
        <v>7</v>
      </c>
      <c r="O122" t="s">
        <v>778</v>
      </c>
      <c r="P122" t="s">
        <v>7834</v>
      </c>
      <c r="R122" t="b">
        <v>1</v>
      </c>
    </row>
    <row r="123" spans="1:18">
      <c r="A123" t="s">
        <v>3026</v>
      </c>
      <c r="B123" t="s">
        <v>3725</v>
      </c>
      <c r="C123" s="5" t="s">
        <v>7838</v>
      </c>
      <c r="D123" s="1">
        <v>1</v>
      </c>
      <c r="E123" s="1">
        <v>18</v>
      </c>
      <c r="F123" s="1">
        <v>140</v>
      </c>
      <c r="G123" s="1">
        <v>140</v>
      </c>
      <c r="H123" s="8" cm="1">
        <f t="array" ref="H123">_xlfn.LET(_xlpm.s,IFERROR(--F123,""),_xlpm.e,IFERROR(--G123,""),IF(OR(_xlpm.s="",_xlpm.e="",_xlpm.e&lt;_xlpm.s),"",_xlfn.LET(_xlpm.p,_xlfn.SEQUENCE(_xlpm.e-_xlpm.s+1,1,_xlpm.s,1),SUM(1/COUNTIFS($D:$D,D123,$E:$E,E123,$F:$F,"&lt;&gt;N/A",$G:$G,"&lt;&gt;N/A",$F:$F,"&lt;="&amp;_xlpm.p,$G:$G,"&gt;="&amp;_xlpm.p)))))</f>
        <v>0.16666666666666666</v>
      </c>
      <c r="I123" t="s">
        <v>632</v>
      </c>
      <c r="J123" t="s">
        <v>2865</v>
      </c>
      <c r="K123" t="s">
        <v>7</v>
      </c>
      <c r="L123" s="5" t="s">
        <v>7</v>
      </c>
      <c r="M123" s="5" t="s">
        <v>7</v>
      </c>
      <c r="N123" t="s">
        <v>7</v>
      </c>
      <c r="O123" t="s">
        <v>778</v>
      </c>
      <c r="P123" t="s">
        <v>7834</v>
      </c>
      <c r="R123" t="b">
        <v>1</v>
      </c>
    </row>
    <row r="124" spans="1:18">
      <c r="A124" t="s">
        <v>3026</v>
      </c>
      <c r="B124" t="s">
        <v>3726</v>
      </c>
      <c r="C124" s="5" t="s">
        <v>7838</v>
      </c>
      <c r="D124" s="1">
        <v>1</v>
      </c>
      <c r="E124" s="1">
        <v>18</v>
      </c>
      <c r="F124" s="1">
        <v>140</v>
      </c>
      <c r="G124" s="1">
        <v>140</v>
      </c>
      <c r="H124" s="8" cm="1">
        <f t="array" ref="H124">_xlfn.LET(_xlpm.s,IFERROR(--F124,""),_xlpm.e,IFERROR(--G124,""),IF(OR(_xlpm.s="",_xlpm.e="",_xlpm.e&lt;_xlpm.s),"",_xlfn.LET(_xlpm.p,_xlfn.SEQUENCE(_xlpm.e-_xlpm.s+1,1,_xlpm.s,1),SUM(1/COUNTIFS($D:$D,D124,$E:$E,E124,$F:$F,"&lt;&gt;N/A",$G:$G,"&lt;&gt;N/A",$F:$F,"&lt;="&amp;_xlpm.p,$G:$G,"&gt;="&amp;_xlpm.p)))))</f>
        <v>0.16666666666666666</v>
      </c>
      <c r="I124" t="s">
        <v>632</v>
      </c>
      <c r="J124" t="s">
        <v>2866</v>
      </c>
      <c r="K124" t="s">
        <v>7</v>
      </c>
      <c r="L124" s="5" t="s">
        <v>7</v>
      </c>
      <c r="M124" s="5" t="s">
        <v>7</v>
      </c>
      <c r="N124" t="s">
        <v>7</v>
      </c>
      <c r="O124" t="s">
        <v>778</v>
      </c>
      <c r="P124" t="s">
        <v>7834</v>
      </c>
      <c r="R124" t="b">
        <v>1</v>
      </c>
    </row>
    <row r="125" spans="1:18">
      <c r="A125" t="s">
        <v>3026</v>
      </c>
      <c r="B125" t="s">
        <v>3727</v>
      </c>
      <c r="C125" s="5" t="s">
        <v>7838</v>
      </c>
      <c r="D125" s="1">
        <v>1</v>
      </c>
      <c r="E125" s="1">
        <v>18</v>
      </c>
      <c r="F125" s="1">
        <v>140</v>
      </c>
      <c r="G125" s="1">
        <v>141</v>
      </c>
      <c r="H125" s="8" cm="1">
        <f t="array" ref="H125">_xlfn.LET(_xlpm.s,IFERROR(--F125,""),_xlpm.e,IFERROR(--G125,""),IF(OR(_xlpm.s="",_xlpm.e="",_xlpm.e&lt;_xlpm.s),"",_xlfn.LET(_xlpm.p,_xlfn.SEQUENCE(_xlpm.e-_xlpm.s+1,1,_xlpm.s,1),SUM(1/COUNTIFS($D:$D,D125,$E:$E,E125,$F:$F,"&lt;&gt;N/A",$G:$G,"&lt;&gt;N/A",$F:$F,"&lt;="&amp;_xlpm.p,$G:$G,"&gt;="&amp;_xlpm.p)))))</f>
        <v>0.66666666666666663</v>
      </c>
      <c r="I125" t="s">
        <v>632</v>
      </c>
      <c r="J125" t="s">
        <v>2867</v>
      </c>
      <c r="K125" t="s">
        <v>644</v>
      </c>
      <c r="L125" s="5" t="s">
        <v>7</v>
      </c>
      <c r="M125" s="5" t="s">
        <v>7</v>
      </c>
      <c r="N125" t="s">
        <v>7</v>
      </c>
      <c r="O125" t="s">
        <v>778</v>
      </c>
      <c r="P125" t="s">
        <v>7834</v>
      </c>
      <c r="R125" t="b">
        <v>1</v>
      </c>
    </row>
    <row r="126" spans="1:18">
      <c r="A126" t="s">
        <v>3026</v>
      </c>
      <c r="B126" t="s">
        <v>3728</v>
      </c>
      <c r="C126" s="5" t="s">
        <v>7838</v>
      </c>
      <c r="D126" s="1">
        <v>1</v>
      </c>
      <c r="E126" s="1">
        <v>18</v>
      </c>
      <c r="F126" s="1">
        <v>141</v>
      </c>
      <c r="G126" s="1">
        <v>142</v>
      </c>
      <c r="H126" s="8" cm="1">
        <f t="array" ref="H126">_xlfn.LET(_xlpm.s,IFERROR(--F126,""),_xlpm.e,IFERROR(--G126,""),IF(OR(_xlpm.s="",_xlpm.e="",_xlpm.e&lt;_xlpm.s),"",_xlfn.LET(_xlpm.p,_xlfn.SEQUENCE(_xlpm.e-_xlpm.s+1,1,_xlpm.s,1),SUM(1/COUNTIFS($D:$D,D126,$E:$E,E126,$F:$F,"&lt;&gt;N/A",$G:$G,"&lt;&gt;N/A",$F:$F,"&lt;="&amp;_xlpm.p,$G:$G,"&gt;="&amp;_xlpm.p)))))</f>
        <v>0.83333333333333326</v>
      </c>
      <c r="I126" t="s">
        <v>632</v>
      </c>
      <c r="J126" t="s">
        <v>7449</v>
      </c>
      <c r="K126" t="s">
        <v>7</v>
      </c>
      <c r="L126" s="5" t="s">
        <v>7448</v>
      </c>
      <c r="M126" t="s">
        <v>5017</v>
      </c>
      <c r="N126" t="s">
        <v>7447</v>
      </c>
      <c r="O126" t="s">
        <v>5072</v>
      </c>
      <c r="P126" t="s">
        <v>8021</v>
      </c>
      <c r="R126" t="b">
        <v>1</v>
      </c>
    </row>
    <row r="127" spans="1:18">
      <c r="A127" t="s">
        <v>3026</v>
      </c>
      <c r="B127" t="s">
        <v>3729</v>
      </c>
      <c r="C127" s="5" t="s">
        <v>7838</v>
      </c>
      <c r="D127" s="1">
        <v>1</v>
      </c>
      <c r="E127" s="1">
        <v>18</v>
      </c>
      <c r="F127" s="1">
        <v>142</v>
      </c>
      <c r="G127" s="1">
        <v>142</v>
      </c>
      <c r="H127" s="8" cm="1">
        <f t="array" ref="H127">_xlfn.LET(_xlpm.s,IFERROR(--F127,""),_xlpm.e,IFERROR(--G127,""),IF(OR(_xlpm.s="",_xlpm.e="",_xlpm.e&lt;_xlpm.s),"",_xlfn.LET(_xlpm.p,_xlfn.SEQUENCE(_xlpm.e-_xlpm.s+1,1,_xlpm.s,1),SUM(1/COUNTIFS($D:$D,D127,$E:$E,E127,$F:$F,"&lt;&gt;N/A",$G:$G,"&lt;&gt;N/A",$F:$F,"&lt;="&amp;_xlpm.p,$G:$G,"&gt;="&amp;_xlpm.p)))))</f>
        <v>0.33333333333333331</v>
      </c>
      <c r="I127" t="s">
        <v>632</v>
      </c>
      <c r="J127" t="s">
        <v>2868</v>
      </c>
      <c r="K127" t="s">
        <v>7</v>
      </c>
      <c r="L127" s="5" t="s">
        <v>7348</v>
      </c>
      <c r="M127" t="s">
        <v>5017</v>
      </c>
      <c r="N127" t="s">
        <v>7446</v>
      </c>
      <c r="O127" t="s">
        <v>5072</v>
      </c>
      <c r="P127" t="s">
        <v>8021</v>
      </c>
      <c r="R127" t="b">
        <v>1</v>
      </c>
    </row>
    <row r="128" spans="1:18">
      <c r="A128" t="s">
        <v>3026</v>
      </c>
      <c r="B128" t="s">
        <v>3730</v>
      </c>
      <c r="C128" s="5" t="s">
        <v>7838</v>
      </c>
      <c r="D128" s="1">
        <v>1</v>
      </c>
      <c r="E128" s="1">
        <v>18</v>
      </c>
      <c r="F128" s="1">
        <v>142</v>
      </c>
      <c r="G128" s="1">
        <v>143</v>
      </c>
      <c r="H128" s="8" cm="1">
        <f t="array" ref="H128">_xlfn.LET(_xlpm.s,IFERROR(--F128,""),_xlpm.e,IFERROR(--G128,""),IF(OR(_xlpm.s="",_xlpm.e="",_xlpm.e&lt;_xlpm.s),"",_xlfn.LET(_xlpm.p,_xlfn.SEQUENCE(_xlpm.e-_xlpm.s+1,1,_xlpm.s,1),SUM(1/COUNTIFS($D:$D,D128,$E:$E,E128,$F:$F,"&lt;&gt;N/A",$G:$G,"&lt;&gt;N/A",$F:$F,"&lt;="&amp;_xlpm.p,$G:$G,"&gt;="&amp;_xlpm.p)))))</f>
        <v>0.83333333333333326</v>
      </c>
      <c r="I128" t="s">
        <v>632</v>
      </c>
      <c r="J128" t="s">
        <v>679</v>
      </c>
      <c r="K128" t="s">
        <v>4724</v>
      </c>
      <c r="L128" s="5" t="s">
        <v>4725</v>
      </c>
      <c r="M128" t="s">
        <v>5017</v>
      </c>
      <c r="N128" t="s">
        <v>7445</v>
      </c>
      <c r="O128" t="s">
        <v>5072</v>
      </c>
      <c r="P128" t="s">
        <v>8021</v>
      </c>
      <c r="R128" t="b">
        <v>1</v>
      </c>
    </row>
    <row r="129" spans="1:18">
      <c r="A129" t="s">
        <v>3026</v>
      </c>
      <c r="B129" t="s">
        <v>3731</v>
      </c>
      <c r="C129" s="5" t="s">
        <v>7838</v>
      </c>
      <c r="D129" s="1">
        <v>1</v>
      </c>
      <c r="E129" s="1">
        <v>18</v>
      </c>
      <c r="F129" s="1">
        <v>143</v>
      </c>
      <c r="G129" s="1">
        <v>144</v>
      </c>
      <c r="H129" s="8" cm="1">
        <f t="array" ref="H129">_xlfn.LET(_xlpm.s,IFERROR(--F129,""),_xlpm.e,IFERROR(--G129,""),IF(OR(_xlpm.s="",_xlpm.e="",_xlpm.e&lt;_xlpm.s),"",_xlfn.LET(_xlpm.p,_xlfn.SEQUENCE(_xlpm.e-_xlpm.s+1,1,_xlpm.s,1),SUM(1/COUNTIFS($D:$D,D129,$E:$E,E129,$F:$F,"&lt;&gt;N/A",$G:$G,"&lt;&gt;N/A",$F:$F,"&lt;="&amp;_xlpm.p,$G:$G,"&gt;="&amp;_xlpm.p)))))</f>
        <v>0.83333333333333326</v>
      </c>
      <c r="I129" t="s">
        <v>632</v>
      </c>
      <c r="J129" t="s">
        <v>680</v>
      </c>
      <c r="K129" t="s">
        <v>681</v>
      </c>
      <c r="L129" s="5" t="s">
        <v>4726</v>
      </c>
      <c r="M129" t="s">
        <v>5017</v>
      </c>
      <c r="N129" t="s">
        <v>7551</v>
      </c>
      <c r="O129" t="s">
        <v>5072</v>
      </c>
      <c r="P129" t="s">
        <v>8021</v>
      </c>
      <c r="R129" t="b">
        <v>1</v>
      </c>
    </row>
    <row r="130" spans="1:18">
      <c r="A130" t="s">
        <v>3026</v>
      </c>
      <c r="B130" t="s">
        <v>3732</v>
      </c>
      <c r="C130" s="5" t="s">
        <v>7838</v>
      </c>
      <c r="D130" s="1">
        <v>1</v>
      </c>
      <c r="E130" s="1">
        <v>18</v>
      </c>
      <c r="F130" s="1">
        <v>144</v>
      </c>
      <c r="G130" s="1">
        <v>144</v>
      </c>
      <c r="H130" s="8" cm="1">
        <f t="array" ref="H130">_xlfn.LET(_xlpm.s,IFERROR(--F130,""),_xlpm.e,IFERROR(--G130,""),IF(OR(_xlpm.s="",_xlpm.e="",_xlpm.e&lt;_xlpm.s),"",_xlfn.LET(_xlpm.p,_xlfn.SEQUENCE(_xlpm.e-_xlpm.s+1,1,_xlpm.s,1),SUM(1/COUNTIFS($D:$D,D130,$E:$E,E130,$F:$F,"&lt;&gt;N/A",$G:$G,"&lt;&gt;N/A",$F:$F,"&lt;="&amp;_xlpm.p,$G:$G,"&gt;="&amp;_xlpm.p)))))</f>
        <v>0.33333333333333331</v>
      </c>
      <c r="I130" t="s">
        <v>632</v>
      </c>
      <c r="J130" t="s">
        <v>3275</v>
      </c>
      <c r="K130" t="s">
        <v>7</v>
      </c>
      <c r="L130" s="5" t="s">
        <v>7</v>
      </c>
      <c r="M130" t="s">
        <v>5017</v>
      </c>
      <c r="N130" t="s">
        <v>7450</v>
      </c>
      <c r="O130" t="s">
        <v>5072</v>
      </c>
      <c r="P130" t="s">
        <v>8021</v>
      </c>
      <c r="R130" t="b">
        <v>1</v>
      </c>
    </row>
    <row r="131" spans="1:18">
      <c r="A131" t="s">
        <v>3026</v>
      </c>
      <c r="B131" t="s">
        <v>3733</v>
      </c>
      <c r="C131" s="5" t="s">
        <v>7838</v>
      </c>
      <c r="D131" s="1">
        <v>1</v>
      </c>
      <c r="E131" s="1">
        <v>18</v>
      </c>
      <c r="F131" s="1">
        <v>144</v>
      </c>
      <c r="G131" s="1">
        <v>144</v>
      </c>
      <c r="H131" s="8" cm="1">
        <f t="array" ref="H131">_xlfn.LET(_xlpm.s,IFERROR(--F131,""),_xlpm.e,IFERROR(--G131,""),IF(OR(_xlpm.s="",_xlpm.e="",_xlpm.e&lt;_xlpm.s),"",_xlfn.LET(_xlpm.p,_xlfn.SEQUENCE(_xlpm.e-_xlpm.s+1,1,_xlpm.s,1),SUM(1/COUNTIFS($D:$D,D131,$E:$E,E131,$F:$F,"&lt;&gt;N/A",$G:$G,"&lt;&gt;N/A",$F:$F,"&lt;="&amp;_xlpm.p,$G:$G,"&gt;="&amp;_xlpm.p)))))</f>
        <v>0.33333333333333331</v>
      </c>
      <c r="I131" t="s">
        <v>632</v>
      </c>
      <c r="J131" t="s">
        <v>3276</v>
      </c>
      <c r="K131" t="s">
        <v>7</v>
      </c>
      <c r="L131" s="5" t="s">
        <v>7451</v>
      </c>
      <c r="M131" t="s">
        <v>5017</v>
      </c>
      <c r="N131" t="s">
        <v>7552</v>
      </c>
      <c r="O131" t="s">
        <v>5072</v>
      </c>
      <c r="P131" t="s">
        <v>8021</v>
      </c>
      <c r="Q131" t="s">
        <v>2509</v>
      </c>
      <c r="R131" t="b">
        <v>1</v>
      </c>
    </row>
    <row r="132" spans="1:18">
      <c r="A132" t="s">
        <v>3026</v>
      </c>
      <c r="B132" t="s">
        <v>10656</v>
      </c>
      <c r="C132" s="5" t="s">
        <v>7854</v>
      </c>
      <c r="D132" s="1">
        <v>1</v>
      </c>
      <c r="E132" s="1">
        <v>19</v>
      </c>
      <c r="F132" s="1">
        <v>145</v>
      </c>
      <c r="G132" s="1">
        <v>148</v>
      </c>
      <c r="H132" s="8" cm="1">
        <f t="array" ref="H132">_xlfn.LET(_xlpm.s,IFERROR(--F132,""),_xlpm.e,IFERROR(--G132,""),IF(OR(_xlpm.s="",_xlpm.e="",_xlpm.e&lt;_xlpm.s),"",_xlfn.LET(_xlpm.p,_xlfn.SEQUENCE(_xlpm.e-_xlpm.s+1,1,_xlpm.s,1),SUM(1/COUNTIFS($D:$D,D132,$E:$E,E132,$F:$F,"&lt;&gt;N/A",$G:$G,"&lt;&gt;N/A",$F:$F,"&lt;="&amp;_xlpm.p,$G:$G,"&gt;="&amp;_xlpm.p)))))</f>
        <v>3.5</v>
      </c>
      <c r="I132" t="s">
        <v>14</v>
      </c>
      <c r="J132" t="s">
        <v>682</v>
      </c>
      <c r="K132" t="s">
        <v>676</v>
      </c>
      <c r="L132" s="5" t="s">
        <v>4727</v>
      </c>
      <c r="M132" t="s">
        <v>7</v>
      </c>
      <c r="N132" t="s">
        <v>7</v>
      </c>
      <c r="O132" t="s">
        <v>10264</v>
      </c>
      <c r="P132" t="s">
        <v>8020</v>
      </c>
      <c r="R132" t="b">
        <v>1</v>
      </c>
    </row>
    <row r="133" spans="1:18">
      <c r="A133" t="s">
        <v>3026</v>
      </c>
      <c r="B133" t="s">
        <v>10657</v>
      </c>
      <c r="C133" s="5" t="s">
        <v>7854</v>
      </c>
      <c r="D133" s="1">
        <v>1</v>
      </c>
      <c r="E133" s="1">
        <v>19</v>
      </c>
      <c r="F133" s="1">
        <v>148</v>
      </c>
      <c r="G133" s="1">
        <v>150</v>
      </c>
      <c r="H133" s="8" cm="1">
        <f t="array" ref="H133">_xlfn.LET(_xlpm.s,IFERROR(--F133,""),_xlpm.e,IFERROR(--G133,""),IF(OR(_xlpm.s="",_xlpm.e="",_xlpm.e&lt;_xlpm.s),"",_xlfn.LET(_xlpm.p,_xlfn.SEQUENCE(_xlpm.e-_xlpm.s+1,1,_xlpm.s,1),SUM(1/COUNTIFS($D:$D,D133,$E:$E,E133,$F:$F,"&lt;&gt;N/A",$G:$G,"&lt;&gt;N/A",$F:$F,"&lt;="&amp;_xlpm.p,$G:$G,"&gt;="&amp;_xlpm.p)))))</f>
        <v>1.8333333333333333</v>
      </c>
      <c r="I133" t="s">
        <v>14</v>
      </c>
      <c r="J133" t="s">
        <v>683</v>
      </c>
      <c r="K133" t="s">
        <v>7</v>
      </c>
      <c r="L133" s="5" t="s">
        <v>4728</v>
      </c>
      <c r="M133" s="5" t="s">
        <v>7</v>
      </c>
      <c r="N133" t="s">
        <v>7</v>
      </c>
      <c r="O133" t="s">
        <v>11522</v>
      </c>
      <c r="P133" t="s">
        <v>10179</v>
      </c>
      <c r="R133" t="b">
        <v>1</v>
      </c>
    </row>
    <row r="134" spans="1:18">
      <c r="A134" t="s">
        <v>3026</v>
      </c>
      <c r="B134" t="s">
        <v>3734</v>
      </c>
      <c r="C134" s="5" t="s">
        <v>7854</v>
      </c>
      <c r="D134" s="1">
        <v>1</v>
      </c>
      <c r="E134" s="1">
        <v>19</v>
      </c>
      <c r="F134" s="1">
        <v>150</v>
      </c>
      <c r="G134" s="1">
        <v>150</v>
      </c>
      <c r="H134" s="8" cm="1">
        <f t="array" ref="H134">_xlfn.LET(_xlpm.s,IFERROR(--F134,""),_xlpm.e,IFERROR(--G134,""),IF(OR(_xlpm.s="",_xlpm.e="",_xlpm.e&lt;_xlpm.s),"",_xlfn.LET(_xlpm.p,_xlfn.SEQUENCE(_xlpm.e-_xlpm.s+1,1,_xlpm.s,1),SUM(1/COUNTIFS($D:$D,D134,$E:$E,E134,$F:$F,"&lt;&gt;N/A",$G:$G,"&lt;&gt;N/A",$F:$F,"&lt;="&amp;_xlpm.p,$G:$G,"&gt;="&amp;_xlpm.p)))))</f>
        <v>0.33333333333333331</v>
      </c>
      <c r="I134" t="s">
        <v>632</v>
      </c>
      <c r="J134" t="s">
        <v>10728</v>
      </c>
      <c r="K134" t="s">
        <v>7</v>
      </c>
      <c r="L134" s="5" t="s">
        <v>7</v>
      </c>
      <c r="M134" s="5" t="s">
        <v>7</v>
      </c>
      <c r="N134" t="s">
        <v>7</v>
      </c>
      <c r="O134" t="s">
        <v>778</v>
      </c>
      <c r="P134" t="s">
        <v>7834</v>
      </c>
      <c r="R134" t="b">
        <v>1</v>
      </c>
    </row>
    <row r="135" spans="1:18">
      <c r="A135" t="s">
        <v>3026</v>
      </c>
      <c r="B135" t="s">
        <v>3735</v>
      </c>
      <c r="C135" s="5" t="s">
        <v>7854</v>
      </c>
      <c r="D135" s="1">
        <v>1</v>
      </c>
      <c r="E135" s="1">
        <v>19</v>
      </c>
      <c r="F135" s="1">
        <v>150</v>
      </c>
      <c r="G135" s="1">
        <v>151</v>
      </c>
      <c r="H135" s="8" cm="1">
        <f t="array" ref="H135">_xlfn.LET(_xlpm.s,IFERROR(--F135,""),_xlpm.e,IFERROR(--G135,""),IF(OR(_xlpm.s="",_xlpm.e="",_xlpm.e&lt;_xlpm.s),"",_xlfn.LET(_xlpm.p,_xlfn.SEQUENCE(_xlpm.e-_xlpm.s+1,1,_xlpm.s,1),SUM(1/COUNTIFS($D:$D,D135,$E:$E,E135,$F:$F,"&lt;&gt;N/A",$G:$G,"&lt;&gt;N/A",$F:$F,"&lt;="&amp;_xlpm.p,$G:$G,"&gt;="&amp;_xlpm.p)))))</f>
        <v>0.66666666666666663</v>
      </c>
      <c r="I135" t="s">
        <v>632</v>
      </c>
      <c r="J135" t="s">
        <v>2869</v>
      </c>
      <c r="K135" t="s">
        <v>7</v>
      </c>
      <c r="L135" s="5" t="s">
        <v>7</v>
      </c>
      <c r="M135" s="5" t="s">
        <v>7</v>
      </c>
      <c r="N135" t="s">
        <v>7</v>
      </c>
      <c r="O135" t="s">
        <v>778</v>
      </c>
      <c r="P135" t="s">
        <v>7834</v>
      </c>
      <c r="R135" t="b">
        <v>1</v>
      </c>
    </row>
    <row r="136" spans="1:18">
      <c r="A136" t="s">
        <v>3026</v>
      </c>
      <c r="B136" t="s">
        <v>3736</v>
      </c>
      <c r="C136" s="5" t="s">
        <v>7854</v>
      </c>
      <c r="D136" s="1">
        <v>1</v>
      </c>
      <c r="E136" s="1">
        <v>19</v>
      </c>
      <c r="F136" s="1">
        <v>151</v>
      </c>
      <c r="G136" s="1">
        <v>151</v>
      </c>
      <c r="H136" s="8" cm="1">
        <f t="array" ref="H136">_xlfn.LET(_xlpm.s,IFERROR(--F136,""),_xlpm.e,IFERROR(--G136,""),IF(OR(_xlpm.s="",_xlpm.e="",_xlpm.e&lt;_xlpm.s),"",_xlfn.LET(_xlpm.p,_xlfn.SEQUENCE(_xlpm.e-_xlpm.s+1,1,_xlpm.s,1),SUM(1/COUNTIFS($D:$D,D136,$E:$E,E136,$F:$F,"&lt;&gt;N/A",$G:$G,"&lt;&gt;N/A",$F:$F,"&lt;="&amp;_xlpm.p,$G:$G,"&gt;="&amp;_xlpm.p)))))</f>
        <v>0.33333333333333331</v>
      </c>
      <c r="I136" t="s">
        <v>632</v>
      </c>
      <c r="J136" t="s">
        <v>2870</v>
      </c>
      <c r="K136" t="s">
        <v>7</v>
      </c>
      <c r="L136" s="5" t="s">
        <v>7</v>
      </c>
      <c r="M136" s="5" t="s">
        <v>7</v>
      </c>
      <c r="N136" t="s">
        <v>7</v>
      </c>
      <c r="O136" t="s">
        <v>778</v>
      </c>
      <c r="P136" t="s">
        <v>7834</v>
      </c>
      <c r="R136" t="b">
        <v>1</v>
      </c>
    </row>
    <row r="137" spans="1:18">
      <c r="A137" t="s">
        <v>3026</v>
      </c>
      <c r="B137" t="s">
        <v>3737</v>
      </c>
      <c r="C137" s="5" t="s">
        <v>7854</v>
      </c>
      <c r="D137" s="1">
        <v>1</v>
      </c>
      <c r="E137" s="1">
        <v>19</v>
      </c>
      <c r="F137" s="1">
        <v>151</v>
      </c>
      <c r="G137" s="1">
        <v>152</v>
      </c>
      <c r="H137" s="8" cm="1">
        <f t="array" ref="H137">_xlfn.LET(_xlpm.s,IFERROR(--F137,""),_xlpm.e,IFERROR(--G137,""),IF(OR(_xlpm.s="",_xlpm.e="",_xlpm.e&lt;_xlpm.s),"",_xlfn.LET(_xlpm.p,_xlfn.SEQUENCE(_xlpm.e-_xlpm.s+1,1,_xlpm.s,1),SUM(1/COUNTIFS($D:$D,D137,$E:$E,E137,$F:$F,"&lt;&gt;N/A",$G:$G,"&lt;&gt;N/A",$F:$F,"&lt;="&amp;_xlpm.p,$G:$G,"&gt;="&amp;_xlpm.p)))))</f>
        <v>0.58333333333333326</v>
      </c>
      <c r="I137" t="s">
        <v>632</v>
      </c>
      <c r="J137" t="s">
        <v>2871</v>
      </c>
      <c r="K137" t="s">
        <v>7</v>
      </c>
      <c r="L137" s="5" t="s">
        <v>7</v>
      </c>
      <c r="M137" s="5" t="s">
        <v>7</v>
      </c>
      <c r="N137" t="s">
        <v>7</v>
      </c>
      <c r="O137" t="s">
        <v>778</v>
      </c>
      <c r="P137" t="s">
        <v>7834</v>
      </c>
      <c r="R137" t="b">
        <v>1</v>
      </c>
    </row>
    <row r="138" spans="1:18">
      <c r="A138" t="s">
        <v>3026</v>
      </c>
      <c r="B138" t="s">
        <v>3738</v>
      </c>
      <c r="C138" s="5" t="s">
        <v>7854</v>
      </c>
      <c r="D138" s="1">
        <v>1</v>
      </c>
      <c r="E138" s="1">
        <v>19</v>
      </c>
      <c r="F138" s="1">
        <v>152</v>
      </c>
      <c r="G138" s="1">
        <v>152</v>
      </c>
      <c r="H138" s="8" cm="1">
        <f t="array" ref="H138">_xlfn.LET(_xlpm.s,IFERROR(--F138,""),_xlpm.e,IFERROR(--G138,""),IF(OR(_xlpm.s="",_xlpm.e="",_xlpm.e&lt;_xlpm.s),"",_xlfn.LET(_xlpm.p,_xlfn.SEQUENCE(_xlpm.e-_xlpm.s+1,1,_xlpm.s,1),SUM(1/COUNTIFS($D:$D,D138,$E:$E,E138,$F:$F,"&lt;&gt;N/A",$G:$G,"&lt;&gt;N/A",$F:$F,"&lt;="&amp;_xlpm.p,$G:$G,"&gt;="&amp;_xlpm.p)))))</f>
        <v>0.25</v>
      </c>
      <c r="I138" t="s">
        <v>632</v>
      </c>
      <c r="J138" t="s">
        <v>2872</v>
      </c>
      <c r="K138" t="s">
        <v>7</v>
      </c>
      <c r="L138" s="5" t="s">
        <v>7</v>
      </c>
      <c r="M138" s="5" t="s">
        <v>7</v>
      </c>
      <c r="N138" t="s">
        <v>7</v>
      </c>
      <c r="O138" t="s">
        <v>778</v>
      </c>
      <c r="P138" t="s">
        <v>7834</v>
      </c>
      <c r="R138" t="b">
        <v>1</v>
      </c>
    </row>
    <row r="139" spans="1:18">
      <c r="A139" t="s">
        <v>3026</v>
      </c>
      <c r="B139" t="s">
        <v>3739</v>
      </c>
      <c r="C139" s="5" t="s">
        <v>7854</v>
      </c>
      <c r="D139" s="1">
        <v>1</v>
      </c>
      <c r="E139" s="1">
        <v>19</v>
      </c>
      <c r="F139" s="1">
        <v>152</v>
      </c>
      <c r="G139" s="1">
        <v>152</v>
      </c>
      <c r="H139" s="8" cm="1">
        <f t="array" ref="H139">_xlfn.LET(_xlpm.s,IFERROR(--F139,""),_xlpm.e,IFERROR(--G139,""),IF(OR(_xlpm.s="",_xlpm.e="",_xlpm.e&lt;_xlpm.s),"",_xlfn.LET(_xlpm.p,_xlfn.SEQUENCE(_xlpm.e-_xlpm.s+1,1,_xlpm.s,1),SUM(1/COUNTIFS($D:$D,D139,$E:$E,E139,$F:$F,"&lt;&gt;N/A",$G:$G,"&lt;&gt;N/A",$F:$F,"&lt;="&amp;_xlpm.p,$G:$G,"&gt;="&amp;_xlpm.p)))))</f>
        <v>0.25</v>
      </c>
      <c r="I139" t="s">
        <v>632</v>
      </c>
      <c r="J139" t="s">
        <v>2873</v>
      </c>
      <c r="K139" t="s">
        <v>7</v>
      </c>
      <c r="L139" s="5" t="s">
        <v>7</v>
      </c>
      <c r="M139" s="5" t="s">
        <v>7</v>
      </c>
      <c r="N139" t="s">
        <v>7</v>
      </c>
      <c r="O139" t="s">
        <v>778</v>
      </c>
      <c r="P139" t="s">
        <v>7834</v>
      </c>
      <c r="R139" t="b">
        <v>1</v>
      </c>
    </row>
    <row r="140" spans="1:18">
      <c r="A140" t="s">
        <v>3026</v>
      </c>
      <c r="B140" t="s">
        <v>3740</v>
      </c>
      <c r="C140" s="5" t="s">
        <v>7854</v>
      </c>
      <c r="D140" s="1">
        <v>1</v>
      </c>
      <c r="E140" s="1">
        <v>19</v>
      </c>
      <c r="F140" s="1">
        <v>152</v>
      </c>
      <c r="G140" s="1">
        <v>152</v>
      </c>
      <c r="H140" s="8" cm="1">
        <f t="array" ref="H140">_xlfn.LET(_xlpm.s,IFERROR(--F140,""),_xlpm.e,IFERROR(--G140,""),IF(OR(_xlpm.s="",_xlpm.e="",_xlpm.e&lt;_xlpm.s),"",_xlfn.LET(_xlpm.p,_xlfn.SEQUENCE(_xlpm.e-_xlpm.s+1,1,_xlpm.s,1),SUM(1/COUNTIFS($D:$D,D140,$E:$E,E140,$F:$F,"&lt;&gt;N/A",$G:$G,"&lt;&gt;N/A",$F:$F,"&lt;="&amp;_xlpm.p,$G:$G,"&gt;="&amp;_xlpm.p)))))</f>
        <v>0.25</v>
      </c>
      <c r="I140" t="s">
        <v>632</v>
      </c>
      <c r="J140" t="s">
        <v>2874</v>
      </c>
      <c r="K140" t="s">
        <v>644</v>
      </c>
      <c r="L140" s="5" t="s">
        <v>7</v>
      </c>
      <c r="M140" s="5" t="s">
        <v>7</v>
      </c>
      <c r="N140" t="s">
        <v>7</v>
      </c>
      <c r="O140" t="s">
        <v>778</v>
      </c>
      <c r="P140" t="s">
        <v>7834</v>
      </c>
      <c r="R140" t="b">
        <v>1</v>
      </c>
    </row>
    <row r="141" spans="1:18">
      <c r="A141" t="s">
        <v>3026</v>
      </c>
      <c r="B141" t="s">
        <v>10658</v>
      </c>
      <c r="C141" s="5" t="s">
        <v>7855</v>
      </c>
      <c r="D141" s="1">
        <v>1</v>
      </c>
      <c r="E141" s="1">
        <v>20</v>
      </c>
      <c r="F141" s="1">
        <v>153</v>
      </c>
      <c r="G141" s="1">
        <v>156</v>
      </c>
      <c r="H141" s="8" cm="1">
        <f t="array" ref="H141">_xlfn.LET(_xlpm.s,IFERROR(--F141,""),_xlpm.e,IFERROR(--G141,""),IF(OR(_xlpm.s="",_xlpm.e="",_xlpm.e&lt;_xlpm.s),"",_xlfn.LET(_xlpm.p,_xlfn.SEQUENCE(_xlpm.e-_xlpm.s+1,1,_xlpm.s,1),SUM(1/COUNTIFS($D:$D,D141,$E:$E,E141,$F:$F,"&lt;&gt;N/A",$G:$G,"&lt;&gt;N/A",$F:$F,"&lt;="&amp;_xlpm.p,$G:$G,"&gt;="&amp;_xlpm.p)))))</f>
        <v>3.5</v>
      </c>
      <c r="I141" t="s">
        <v>14</v>
      </c>
      <c r="J141" t="s">
        <v>684</v>
      </c>
      <c r="K141" t="s">
        <v>676</v>
      </c>
      <c r="L141" s="5" t="s">
        <v>4727</v>
      </c>
      <c r="M141" s="5" t="s">
        <v>7</v>
      </c>
      <c r="N141" t="s">
        <v>7</v>
      </c>
      <c r="O141" t="s">
        <v>10264</v>
      </c>
      <c r="P141" t="s">
        <v>8020</v>
      </c>
      <c r="R141" t="b">
        <v>1</v>
      </c>
    </row>
    <row r="142" spans="1:18">
      <c r="A142" t="s">
        <v>3026</v>
      </c>
      <c r="B142" t="s">
        <v>10659</v>
      </c>
      <c r="C142" s="5" t="s">
        <v>7855</v>
      </c>
      <c r="D142" s="1">
        <v>1</v>
      </c>
      <c r="E142" s="1">
        <v>20</v>
      </c>
      <c r="F142" s="1">
        <v>156</v>
      </c>
      <c r="G142" s="1">
        <v>157</v>
      </c>
      <c r="H142" s="8" cm="1">
        <f t="array" ref="H142">_xlfn.LET(_xlpm.s,IFERROR(--F142,""),_xlpm.e,IFERROR(--G142,""),IF(OR(_xlpm.s="",_xlpm.e="",_xlpm.e&lt;_xlpm.s),"",_xlfn.LET(_xlpm.p,_xlfn.SEQUENCE(_xlpm.e-_xlpm.s+1,1,_xlpm.s,1),SUM(1/COUNTIFS($D:$D,D142,$E:$E,E142,$F:$F,"&lt;&gt;N/A",$G:$G,"&lt;&gt;N/A",$F:$F,"&lt;="&amp;_xlpm.p,$G:$G,"&gt;="&amp;_xlpm.p)))))</f>
        <v>1</v>
      </c>
      <c r="I142" t="s">
        <v>205</v>
      </c>
      <c r="J142" t="s">
        <v>685</v>
      </c>
      <c r="K142" t="s">
        <v>7</v>
      </c>
      <c r="L142" s="5" t="s">
        <v>4729</v>
      </c>
      <c r="M142" t="s">
        <v>7</v>
      </c>
      <c r="N142" t="s">
        <v>7</v>
      </c>
      <c r="O142" t="s">
        <v>11522</v>
      </c>
      <c r="P142" t="s">
        <v>8021</v>
      </c>
      <c r="R142" t="b">
        <v>1</v>
      </c>
    </row>
    <row r="143" spans="1:18">
      <c r="A143" t="s">
        <v>3026</v>
      </c>
      <c r="B143" t="s">
        <v>3741</v>
      </c>
      <c r="C143" s="5" t="s">
        <v>7855</v>
      </c>
      <c r="D143" s="1">
        <v>1</v>
      </c>
      <c r="E143" s="1">
        <v>20</v>
      </c>
      <c r="F143" s="1">
        <v>157</v>
      </c>
      <c r="G143" s="1">
        <v>158</v>
      </c>
      <c r="H143" s="8" cm="1">
        <f t="array" ref="H143">_xlfn.LET(_xlpm.s,IFERROR(--F143,""),_xlpm.e,IFERROR(--G143,""),IF(OR(_xlpm.s="",_xlpm.e="",_xlpm.e&lt;_xlpm.s),"",_xlfn.LET(_xlpm.p,_xlfn.SEQUENCE(_xlpm.e-_xlpm.s+1,1,_xlpm.s,1),SUM(1/COUNTIFS($D:$D,D143,$E:$E,E143,$F:$F,"&lt;&gt;N/A",$G:$G,"&lt;&gt;N/A",$F:$F,"&lt;="&amp;_xlpm.p,$G:$G,"&gt;="&amp;_xlpm.p)))))</f>
        <v>1</v>
      </c>
      <c r="I143" t="s">
        <v>632</v>
      </c>
      <c r="J143" t="s">
        <v>2843</v>
      </c>
      <c r="K143" t="s">
        <v>7</v>
      </c>
      <c r="L143" s="5" t="s">
        <v>4730</v>
      </c>
      <c r="M143" t="s">
        <v>7349</v>
      </c>
      <c r="N143" t="s">
        <v>7360</v>
      </c>
      <c r="O143" t="s">
        <v>5072</v>
      </c>
      <c r="P143" t="s">
        <v>8021</v>
      </c>
      <c r="R143" t="b">
        <v>1</v>
      </c>
    </row>
    <row r="144" spans="1:18">
      <c r="A144" t="s">
        <v>3026</v>
      </c>
      <c r="B144" t="s">
        <v>3742</v>
      </c>
      <c r="C144" s="5" t="s">
        <v>7855</v>
      </c>
      <c r="D144" s="1">
        <v>1</v>
      </c>
      <c r="E144" s="1">
        <v>20</v>
      </c>
      <c r="F144" s="1">
        <v>158</v>
      </c>
      <c r="G144" s="1">
        <v>159</v>
      </c>
      <c r="H144" s="8" cm="1">
        <f t="array" ref="H144">_xlfn.LET(_xlpm.s,IFERROR(--F144,""),_xlpm.e,IFERROR(--G144,""),IF(OR(_xlpm.s="",_xlpm.e="",_xlpm.e&lt;_xlpm.s),"",_xlfn.LET(_xlpm.p,_xlfn.SEQUENCE(_xlpm.e-_xlpm.s+1,1,_xlpm.s,1),SUM(1/COUNTIFS($D:$D,D144,$E:$E,E144,$F:$F,"&lt;&gt;N/A",$G:$G,"&lt;&gt;N/A",$F:$F,"&lt;="&amp;_xlpm.p,$G:$G,"&gt;="&amp;_xlpm.p)))))</f>
        <v>0.83333333333333326</v>
      </c>
      <c r="I144" t="s">
        <v>632</v>
      </c>
      <c r="J144" t="s">
        <v>2844</v>
      </c>
      <c r="K144" t="s">
        <v>7</v>
      </c>
      <c r="L144" s="5" t="s">
        <v>4643</v>
      </c>
      <c r="M144" t="s">
        <v>7349</v>
      </c>
      <c r="N144" t="s">
        <v>7361</v>
      </c>
      <c r="O144" t="s">
        <v>5072</v>
      </c>
      <c r="P144" t="s">
        <v>8021</v>
      </c>
      <c r="Q144" t="s">
        <v>2509</v>
      </c>
      <c r="R144" t="b">
        <v>1</v>
      </c>
    </row>
    <row r="145" spans="1:18">
      <c r="A145" t="s">
        <v>3026</v>
      </c>
      <c r="B145" t="s">
        <v>3743</v>
      </c>
      <c r="C145" s="5" t="s">
        <v>7855</v>
      </c>
      <c r="D145" s="1">
        <v>1</v>
      </c>
      <c r="E145" s="1">
        <v>20</v>
      </c>
      <c r="F145" s="1">
        <v>159</v>
      </c>
      <c r="G145" s="1">
        <v>159</v>
      </c>
      <c r="H145" s="8" cm="1">
        <f t="array" ref="H145">_xlfn.LET(_xlpm.s,IFERROR(--F145,""),_xlpm.e,IFERROR(--G145,""),IF(OR(_xlpm.s="",_xlpm.e="",_xlpm.e&lt;_xlpm.s),"",_xlfn.LET(_xlpm.p,_xlfn.SEQUENCE(_xlpm.e-_xlpm.s+1,1,_xlpm.s,1),SUM(1/COUNTIFS($D:$D,D145,$E:$E,E145,$F:$F,"&lt;&gt;N/A",$G:$G,"&lt;&gt;N/A",$F:$F,"&lt;="&amp;_xlpm.p,$G:$G,"&gt;="&amp;_xlpm.p)))))</f>
        <v>0.33333333333333331</v>
      </c>
      <c r="I145" t="s">
        <v>632</v>
      </c>
      <c r="J145" t="s">
        <v>2845</v>
      </c>
      <c r="K145" t="s">
        <v>7</v>
      </c>
      <c r="L145" s="5" t="s">
        <v>4730</v>
      </c>
      <c r="M145" t="s">
        <v>7349</v>
      </c>
      <c r="N145" t="s">
        <v>7362</v>
      </c>
      <c r="O145" t="s">
        <v>5072</v>
      </c>
      <c r="P145" t="s">
        <v>8021</v>
      </c>
      <c r="R145" t="b">
        <v>1</v>
      </c>
    </row>
    <row r="146" spans="1:18">
      <c r="A146" t="s">
        <v>3026</v>
      </c>
      <c r="B146" t="s">
        <v>3744</v>
      </c>
      <c r="C146" s="5" t="s">
        <v>7855</v>
      </c>
      <c r="D146" s="1">
        <v>1</v>
      </c>
      <c r="E146" s="1">
        <v>20</v>
      </c>
      <c r="F146" s="1">
        <v>159</v>
      </c>
      <c r="G146" s="1">
        <v>160</v>
      </c>
      <c r="H146" s="8" cm="1">
        <f t="array" ref="H146">_xlfn.LET(_xlpm.s,IFERROR(--F146,""),_xlpm.e,IFERROR(--G146,""),IF(OR(_xlpm.s="",_xlpm.e="",_xlpm.e&lt;_xlpm.s),"",_xlfn.LET(_xlpm.p,_xlfn.SEQUENCE(_xlpm.e-_xlpm.s+1,1,_xlpm.s,1),SUM(1/COUNTIFS($D:$D,D146,$E:$E,E146,$F:$F,"&lt;&gt;N/A",$G:$G,"&lt;&gt;N/A",$F:$F,"&lt;="&amp;_xlpm.p,$G:$G,"&gt;="&amp;_xlpm.p)))))</f>
        <v>0.53333333333333333</v>
      </c>
      <c r="I146" t="s">
        <v>632</v>
      </c>
      <c r="J146" t="s">
        <v>2846</v>
      </c>
      <c r="K146" t="s">
        <v>7</v>
      </c>
      <c r="L146" s="5" t="s">
        <v>4731</v>
      </c>
      <c r="M146" t="s">
        <v>7349</v>
      </c>
      <c r="N146" t="s">
        <v>7363</v>
      </c>
      <c r="O146" t="s">
        <v>5072</v>
      </c>
      <c r="P146" t="s">
        <v>8021</v>
      </c>
      <c r="R146" t="b">
        <v>1</v>
      </c>
    </row>
    <row r="147" spans="1:18">
      <c r="A147" t="s">
        <v>3026</v>
      </c>
      <c r="B147" t="s">
        <v>3745</v>
      </c>
      <c r="C147" s="5" t="s">
        <v>7855</v>
      </c>
      <c r="D147" s="1">
        <v>1</v>
      </c>
      <c r="E147" s="1">
        <v>20</v>
      </c>
      <c r="F147" s="1">
        <v>160</v>
      </c>
      <c r="G147" s="1">
        <v>160</v>
      </c>
      <c r="H147" s="8" cm="1">
        <f t="array" ref="H147">_xlfn.LET(_xlpm.s,IFERROR(--F147,""),_xlpm.e,IFERROR(--G147,""),IF(OR(_xlpm.s="",_xlpm.e="",_xlpm.e&lt;_xlpm.s),"",_xlfn.LET(_xlpm.p,_xlfn.SEQUENCE(_xlpm.e-_xlpm.s+1,1,_xlpm.s,1),SUM(1/COUNTIFS($D:$D,D147,$E:$E,E147,$F:$F,"&lt;&gt;N/A",$G:$G,"&lt;&gt;N/A",$F:$F,"&lt;="&amp;_xlpm.p,$G:$G,"&gt;="&amp;_xlpm.p)))))</f>
        <v>0.2</v>
      </c>
      <c r="I147" t="s">
        <v>632</v>
      </c>
      <c r="J147" t="s">
        <v>2847</v>
      </c>
      <c r="K147" t="s">
        <v>7</v>
      </c>
      <c r="L147" s="5" t="s">
        <v>4731</v>
      </c>
      <c r="M147" t="s">
        <v>7349</v>
      </c>
      <c r="N147" t="s">
        <v>7364</v>
      </c>
      <c r="O147" t="s">
        <v>5072</v>
      </c>
      <c r="P147" t="s">
        <v>8021</v>
      </c>
      <c r="R147" t="b">
        <v>1</v>
      </c>
    </row>
    <row r="148" spans="1:18">
      <c r="A148" t="s">
        <v>3026</v>
      </c>
      <c r="B148" t="s">
        <v>3746</v>
      </c>
      <c r="C148" s="5" t="s">
        <v>7855</v>
      </c>
      <c r="D148" s="1">
        <v>1</v>
      </c>
      <c r="E148" s="1">
        <v>20</v>
      </c>
      <c r="F148" s="1">
        <v>160</v>
      </c>
      <c r="G148" s="1">
        <v>160</v>
      </c>
      <c r="H148" s="8" cm="1">
        <f t="array" ref="H148">_xlfn.LET(_xlpm.s,IFERROR(--F148,""),_xlpm.e,IFERROR(--G148,""),IF(OR(_xlpm.s="",_xlpm.e="",_xlpm.e&lt;_xlpm.s),"",_xlfn.LET(_xlpm.p,_xlfn.SEQUENCE(_xlpm.e-_xlpm.s+1,1,_xlpm.s,1),SUM(1/COUNTIFS($D:$D,D148,$E:$E,E148,$F:$F,"&lt;&gt;N/A",$G:$G,"&lt;&gt;N/A",$F:$F,"&lt;="&amp;_xlpm.p,$G:$G,"&gt;="&amp;_xlpm.p)))))</f>
        <v>0.2</v>
      </c>
      <c r="I148" t="s">
        <v>632</v>
      </c>
      <c r="J148" t="s">
        <v>2848</v>
      </c>
      <c r="K148" t="s">
        <v>7</v>
      </c>
      <c r="L148" s="5" t="s">
        <v>4731</v>
      </c>
      <c r="M148" t="s">
        <v>7349</v>
      </c>
      <c r="N148" t="s">
        <v>7365</v>
      </c>
      <c r="O148" t="s">
        <v>5072</v>
      </c>
      <c r="P148" t="s">
        <v>8021</v>
      </c>
      <c r="R148" t="b">
        <v>1</v>
      </c>
    </row>
    <row r="149" spans="1:18">
      <c r="A149" t="s">
        <v>3026</v>
      </c>
      <c r="B149" t="s">
        <v>3747</v>
      </c>
      <c r="C149" s="5" t="s">
        <v>7855</v>
      </c>
      <c r="D149" s="1">
        <v>1</v>
      </c>
      <c r="E149" s="1">
        <v>20</v>
      </c>
      <c r="F149" s="1">
        <v>160</v>
      </c>
      <c r="G149" s="1">
        <v>160</v>
      </c>
      <c r="H149" s="8" cm="1">
        <f t="array" ref="H149">_xlfn.LET(_xlpm.s,IFERROR(--F149,""),_xlpm.e,IFERROR(--G149,""),IF(OR(_xlpm.s="",_xlpm.e="",_xlpm.e&lt;_xlpm.s),"",_xlfn.LET(_xlpm.p,_xlfn.SEQUENCE(_xlpm.e-_xlpm.s+1,1,_xlpm.s,1),SUM(1/COUNTIFS($D:$D,D149,$E:$E,E149,$F:$F,"&lt;&gt;N/A",$G:$G,"&lt;&gt;N/A",$F:$F,"&lt;="&amp;_xlpm.p,$G:$G,"&gt;="&amp;_xlpm.p)))))</f>
        <v>0.2</v>
      </c>
      <c r="I149" t="s">
        <v>632</v>
      </c>
      <c r="J149" t="s">
        <v>3256</v>
      </c>
      <c r="K149" t="s">
        <v>7</v>
      </c>
      <c r="L149" s="5" t="s">
        <v>4732</v>
      </c>
      <c r="M149" t="s">
        <v>7349</v>
      </c>
      <c r="N149" t="s">
        <v>7366</v>
      </c>
      <c r="O149" t="s">
        <v>5072</v>
      </c>
      <c r="P149" t="s">
        <v>8021</v>
      </c>
      <c r="R149" t="b">
        <v>1</v>
      </c>
    </row>
    <row r="150" spans="1:18">
      <c r="A150" t="s">
        <v>3026</v>
      </c>
      <c r="B150" t="s">
        <v>3748</v>
      </c>
      <c r="C150" s="5" t="s">
        <v>7855</v>
      </c>
      <c r="D150" s="1">
        <v>1</v>
      </c>
      <c r="E150" s="1">
        <v>20</v>
      </c>
      <c r="F150" s="1">
        <v>160</v>
      </c>
      <c r="G150" s="1">
        <v>160</v>
      </c>
      <c r="H150" s="8" cm="1">
        <f t="array" ref="H150">_xlfn.LET(_xlpm.s,IFERROR(--F150,""),_xlpm.e,IFERROR(--G150,""),IF(OR(_xlpm.s="",_xlpm.e="",_xlpm.e&lt;_xlpm.s),"",_xlfn.LET(_xlpm.p,_xlfn.SEQUENCE(_xlpm.e-_xlpm.s+1,1,_xlpm.s,1),SUM(1/COUNTIFS($D:$D,D150,$E:$E,E150,$F:$F,"&lt;&gt;N/A",$G:$G,"&lt;&gt;N/A",$F:$F,"&lt;="&amp;_xlpm.p,$G:$G,"&gt;="&amp;_xlpm.p)))))</f>
        <v>0.2</v>
      </c>
      <c r="I150" t="s">
        <v>632</v>
      </c>
      <c r="J150" t="s">
        <v>3257</v>
      </c>
      <c r="K150" t="s">
        <v>7</v>
      </c>
      <c r="L150" s="5" t="s">
        <v>7376</v>
      </c>
      <c r="M150" t="s">
        <v>7378</v>
      </c>
      <c r="N150" t="s">
        <v>7379</v>
      </c>
      <c r="O150" t="s">
        <v>5072</v>
      </c>
      <c r="P150" t="s">
        <v>8021</v>
      </c>
      <c r="R150" t="b">
        <v>1</v>
      </c>
    </row>
    <row r="151" spans="1:18">
      <c r="A151" t="s">
        <v>3026</v>
      </c>
      <c r="B151" t="s">
        <v>10660</v>
      </c>
      <c r="C151" s="5" t="s">
        <v>7882</v>
      </c>
      <c r="D151" s="1">
        <v>1</v>
      </c>
      <c r="E151" s="1">
        <v>21</v>
      </c>
      <c r="F151" s="1">
        <v>161</v>
      </c>
      <c r="G151" s="1">
        <v>163</v>
      </c>
      <c r="H151" s="8" cm="1">
        <f t="array" ref="H151">_xlfn.LET(_xlpm.s,IFERROR(--F151,""),_xlpm.e,IFERROR(--G151,""),IF(OR(_xlpm.s="",_xlpm.e="",_xlpm.e&lt;_xlpm.s),"",_xlfn.LET(_xlpm.p,_xlfn.SEQUENCE(_xlpm.e-_xlpm.s+1,1,_xlpm.s,1),SUM(1/COUNTIFS($D:$D,D151,$E:$E,E151,$F:$F,"&lt;&gt;N/A",$G:$G,"&lt;&gt;N/A",$F:$F,"&lt;="&amp;_xlpm.p,$G:$G,"&gt;="&amp;_xlpm.p)))))</f>
        <v>2.5</v>
      </c>
      <c r="I151" t="s">
        <v>14</v>
      </c>
      <c r="J151" t="s">
        <v>686</v>
      </c>
      <c r="K151" t="s">
        <v>676</v>
      </c>
      <c r="L151" s="5" t="s">
        <v>4727</v>
      </c>
      <c r="M151" t="s">
        <v>7</v>
      </c>
      <c r="N151" t="s">
        <v>7</v>
      </c>
      <c r="O151" t="s">
        <v>10264</v>
      </c>
      <c r="P151" t="s">
        <v>8020</v>
      </c>
      <c r="R151" t="b">
        <v>1</v>
      </c>
    </row>
    <row r="152" spans="1:18">
      <c r="A152" t="s">
        <v>3026</v>
      </c>
      <c r="B152" t="s">
        <v>10661</v>
      </c>
      <c r="C152" s="5" t="s">
        <v>7882</v>
      </c>
      <c r="D152" s="1">
        <v>1</v>
      </c>
      <c r="E152" s="1">
        <v>21</v>
      </c>
      <c r="F152" s="1">
        <v>163</v>
      </c>
      <c r="G152" s="1">
        <v>165</v>
      </c>
      <c r="H152" s="8" cm="1">
        <f t="array" ref="H152">_xlfn.LET(_xlpm.s,IFERROR(--F152,""),_xlpm.e,IFERROR(--G152,""),IF(OR(_xlpm.s="",_xlpm.e="",_xlpm.e&lt;_xlpm.s),"",_xlfn.LET(_xlpm.p,_xlfn.SEQUENCE(_xlpm.e-_xlpm.s+1,1,_xlpm.s,1),SUM(1/COUNTIFS($D:$D,D152,$E:$E,E152,$F:$F,"&lt;&gt;N/A",$G:$G,"&lt;&gt;N/A",$F:$F,"&lt;="&amp;_xlpm.p,$G:$G,"&gt;="&amp;_xlpm.p)))))</f>
        <v>2</v>
      </c>
      <c r="I152" t="s">
        <v>14</v>
      </c>
      <c r="J152" t="s">
        <v>10726</v>
      </c>
      <c r="K152" t="s">
        <v>7</v>
      </c>
      <c r="L152" s="5" t="s">
        <v>4733</v>
      </c>
      <c r="M152" t="s">
        <v>7347</v>
      </c>
      <c r="N152" t="s">
        <v>7377</v>
      </c>
      <c r="O152" t="s">
        <v>5072</v>
      </c>
      <c r="P152" t="s">
        <v>8021</v>
      </c>
      <c r="R152" t="b">
        <v>1</v>
      </c>
    </row>
    <row r="153" spans="1:18">
      <c r="A153" t="s">
        <v>3026</v>
      </c>
      <c r="B153" t="s">
        <v>4401</v>
      </c>
      <c r="C153" s="5" t="s">
        <v>7882</v>
      </c>
      <c r="D153" s="1">
        <v>1</v>
      </c>
      <c r="E153" s="1">
        <v>21</v>
      </c>
      <c r="F153" s="1">
        <v>165</v>
      </c>
      <c r="G153" s="1">
        <v>168</v>
      </c>
      <c r="H153" s="8" cm="1">
        <f t="array" ref="H153">_xlfn.LET(_xlpm.s,IFERROR(--F153,""),_xlpm.e,IFERROR(--G153,""),IF(OR(_xlpm.s="",_xlpm.e="",_xlpm.e&lt;_xlpm.s),"",_xlfn.LET(_xlpm.p,_xlfn.SEQUENCE(_xlpm.e-_xlpm.s+1,1,_xlpm.s,1),SUM(1/COUNTIFS($D:$D,D153,$E:$E,E153,$F:$F,"&lt;&gt;N/A",$G:$G,"&lt;&gt;N/A",$F:$F,"&lt;="&amp;_xlpm.p,$G:$G,"&gt;="&amp;_xlpm.p)))))</f>
        <v>3</v>
      </c>
      <c r="I153" t="s">
        <v>687</v>
      </c>
      <c r="J153" t="s">
        <v>3258</v>
      </c>
      <c r="K153" t="s">
        <v>3259</v>
      </c>
      <c r="L153" s="5" t="s">
        <v>4734</v>
      </c>
      <c r="M153" t="s">
        <v>7</v>
      </c>
      <c r="N153" t="s">
        <v>7</v>
      </c>
      <c r="O153" t="s">
        <v>5072</v>
      </c>
      <c r="P153" t="s">
        <v>8021</v>
      </c>
      <c r="Q153" t="s">
        <v>2509</v>
      </c>
      <c r="R153" t="b">
        <v>1</v>
      </c>
    </row>
    <row r="154" spans="1:18">
      <c r="A154" t="s">
        <v>3026</v>
      </c>
      <c r="B154" t="s">
        <v>3749</v>
      </c>
      <c r="C154" s="5" t="s">
        <v>7882</v>
      </c>
      <c r="D154" s="1">
        <v>1</v>
      </c>
      <c r="E154" s="1">
        <v>21</v>
      </c>
      <c r="F154" s="1">
        <v>168</v>
      </c>
      <c r="G154" s="1">
        <v>168</v>
      </c>
      <c r="H154" s="8" cm="1">
        <f t="array" ref="H154">_xlfn.LET(_xlpm.s,IFERROR(--F154,""),_xlpm.e,IFERROR(--G154,""),IF(OR(_xlpm.s="",_xlpm.e="",_xlpm.e&lt;_xlpm.s),"",_xlfn.LET(_xlpm.p,_xlfn.SEQUENCE(_xlpm.e-_xlpm.s+1,1,_xlpm.s,1),SUM(1/COUNTIFS($D:$D,D154,$E:$E,E154,$F:$F,"&lt;&gt;N/A",$G:$G,"&lt;&gt;N/A",$F:$F,"&lt;="&amp;_xlpm.p,$G:$G,"&gt;="&amp;_xlpm.p)))))</f>
        <v>0.5</v>
      </c>
      <c r="I154" t="s">
        <v>687</v>
      </c>
      <c r="J154" t="s">
        <v>688</v>
      </c>
      <c r="K154" t="s">
        <v>4735</v>
      </c>
      <c r="L154" s="5" t="s">
        <v>4736</v>
      </c>
      <c r="M154" t="s">
        <v>7344</v>
      </c>
      <c r="N154" t="s">
        <v>7375</v>
      </c>
      <c r="O154" t="s">
        <v>5072</v>
      </c>
      <c r="P154" t="s">
        <v>8021</v>
      </c>
      <c r="R154" t="b">
        <v>1</v>
      </c>
    </row>
    <row r="155" spans="1:18">
      <c r="A155" t="s">
        <v>3026</v>
      </c>
      <c r="B155" t="s">
        <v>10662</v>
      </c>
      <c r="C155" s="5" t="s">
        <v>7856</v>
      </c>
      <c r="D155" s="1">
        <v>1</v>
      </c>
      <c r="E155" s="1">
        <v>22</v>
      </c>
      <c r="F155" s="1">
        <v>169</v>
      </c>
      <c r="G155" s="1">
        <v>170</v>
      </c>
      <c r="H155" s="8" cm="1">
        <f t="array" ref="H155">_xlfn.LET(_xlpm.s,IFERROR(--F155,""),_xlpm.e,IFERROR(--G155,""),IF(OR(_xlpm.s="",_xlpm.e="",_xlpm.e&lt;_xlpm.s),"",_xlfn.LET(_xlpm.p,_xlfn.SEQUENCE(_xlpm.e-_xlpm.s+1,1,_xlpm.s,1),SUM(1/COUNTIFS($D:$D,D155,$E:$E,E155,$F:$F,"&lt;&gt;N/A",$G:$G,"&lt;&gt;N/A",$F:$F,"&lt;="&amp;_xlpm.p,$G:$G,"&gt;="&amp;_xlpm.p)))))</f>
        <v>1.5</v>
      </c>
      <c r="I155" t="s">
        <v>14</v>
      </c>
      <c r="J155" t="s">
        <v>689</v>
      </c>
      <c r="K155" t="s">
        <v>690</v>
      </c>
      <c r="L155" s="5" t="s">
        <v>4737</v>
      </c>
      <c r="M155" s="5" t="s">
        <v>6939</v>
      </c>
      <c r="N155" t="s">
        <v>7374</v>
      </c>
      <c r="O155" t="s">
        <v>5072</v>
      </c>
      <c r="P155" t="s">
        <v>8021</v>
      </c>
      <c r="R155" t="b">
        <v>1</v>
      </c>
    </row>
    <row r="156" spans="1:18">
      <c r="A156" t="s">
        <v>3026</v>
      </c>
      <c r="B156" t="s">
        <v>10663</v>
      </c>
      <c r="C156" s="5" t="s">
        <v>7856</v>
      </c>
      <c r="D156" s="1">
        <v>1</v>
      </c>
      <c r="E156" s="1">
        <v>22</v>
      </c>
      <c r="F156" s="1">
        <v>170</v>
      </c>
      <c r="G156" s="1">
        <v>173</v>
      </c>
      <c r="H156" s="8" cm="1">
        <f t="array" ref="H156">_xlfn.LET(_xlpm.s,IFERROR(--F156,""),_xlpm.e,IFERROR(--G156,""),IF(OR(_xlpm.s="",_xlpm.e="",_xlpm.e&lt;_xlpm.s),"",_xlfn.LET(_xlpm.p,_xlfn.SEQUENCE(_xlpm.e-_xlpm.s+1,1,_xlpm.s,1),SUM(1/COUNTIFS($D:$D,D156,$E:$E,E156,$F:$F,"&lt;&gt;N/A",$G:$G,"&lt;&gt;N/A",$F:$F,"&lt;="&amp;_xlpm.p,$G:$G,"&gt;="&amp;_xlpm.p)))))</f>
        <v>3</v>
      </c>
      <c r="I156" t="s">
        <v>687</v>
      </c>
      <c r="J156" t="s">
        <v>691</v>
      </c>
      <c r="K156" t="s">
        <v>3259</v>
      </c>
      <c r="L156" s="5" t="s">
        <v>4734</v>
      </c>
      <c r="M156" t="s">
        <v>7</v>
      </c>
      <c r="N156" t="s">
        <v>7</v>
      </c>
      <c r="O156" t="s">
        <v>5072</v>
      </c>
      <c r="P156" t="s">
        <v>8021</v>
      </c>
      <c r="Q156" t="s">
        <v>2509</v>
      </c>
      <c r="R156" t="b">
        <v>1</v>
      </c>
    </row>
    <row r="157" spans="1:18">
      <c r="A157" t="s">
        <v>3026</v>
      </c>
      <c r="B157" t="s">
        <v>4402</v>
      </c>
      <c r="C157" s="5" t="s">
        <v>7856</v>
      </c>
      <c r="D157" s="1">
        <v>1</v>
      </c>
      <c r="E157" s="1">
        <v>22</v>
      </c>
      <c r="F157" s="1">
        <v>173</v>
      </c>
      <c r="G157" s="1">
        <v>174</v>
      </c>
      <c r="H157" s="8" cm="1">
        <f t="array" ref="H157">_xlfn.LET(_xlpm.s,IFERROR(--F157,""),_xlpm.e,IFERROR(--G157,""),IF(OR(_xlpm.s="",_xlpm.e="",_xlpm.e&lt;_xlpm.s),"",_xlfn.LET(_xlpm.p,_xlfn.SEQUENCE(_xlpm.e-_xlpm.s+1,1,_xlpm.s,1),SUM(1/COUNTIFS($D:$D,D157,$E:$E,E157,$F:$F,"&lt;&gt;N/A",$G:$G,"&lt;&gt;N/A",$F:$F,"&lt;="&amp;_xlpm.p,$G:$G,"&gt;="&amp;_xlpm.p)))))</f>
        <v>1</v>
      </c>
      <c r="I157" t="s">
        <v>687</v>
      </c>
      <c r="J157" t="s">
        <v>692</v>
      </c>
      <c r="K157" t="s">
        <v>7</v>
      </c>
      <c r="L157" s="5" t="s">
        <v>4643</v>
      </c>
      <c r="M157" t="s">
        <v>7346</v>
      </c>
      <c r="N157" t="s">
        <v>7371</v>
      </c>
      <c r="O157" t="s">
        <v>5072</v>
      </c>
      <c r="P157" t="s">
        <v>8021</v>
      </c>
      <c r="R157" t="b">
        <v>1</v>
      </c>
    </row>
    <row r="158" spans="1:18">
      <c r="A158" t="s">
        <v>3026</v>
      </c>
      <c r="B158" t="s">
        <v>3750</v>
      </c>
      <c r="C158" s="5" t="s">
        <v>7856</v>
      </c>
      <c r="D158" s="1">
        <v>1</v>
      </c>
      <c r="E158" s="1">
        <v>22</v>
      </c>
      <c r="F158" s="1">
        <v>174</v>
      </c>
      <c r="G158" s="1">
        <v>175</v>
      </c>
      <c r="H158" s="8" cm="1">
        <f t="array" ref="H158">_xlfn.LET(_xlpm.s,IFERROR(--F158,""),_xlpm.e,IFERROR(--G158,""),IF(OR(_xlpm.s="",_xlpm.e="",_xlpm.e&lt;_xlpm.s),"",_xlfn.LET(_xlpm.p,_xlfn.SEQUENCE(_xlpm.e-_xlpm.s+1,1,_xlpm.s,1),SUM(1/COUNTIFS($D:$D,D158,$E:$E,E158,$F:$F,"&lt;&gt;N/A",$G:$G,"&lt;&gt;N/A",$F:$F,"&lt;="&amp;_xlpm.p,$G:$G,"&gt;="&amp;_xlpm.p)))))</f>
        <v>0.83333333333333326</v>
      </c>
      <c r="I158" t="s">
        <v>687</v>
      </c>
      <c r="J158" t="s">
        <v>2849</v>
      </c>
      <c r="K158" t="s">
        <v>7</v>
      </c>
      <c r="L158" s="5" t="s">
        <v>4643</v>
      </c>
      <c r="M158" t="s">
        <v>7345</v>
      </c>
      <c r="N158" t="s">
        <v>7372</v>
      </c>
      <c r="O158" t="s">
        <v>5072</v>
      </c>
      <c r="P158" t="s">
        <v>8021</v>
      </c>
      <c r="R158" t="b">
        <v>1</v>
      </c>
    </row>
    <row r="159" spans="1:18">
      <c r="A159" t="s">
        <v>3026</v>
      </c>
      <c r="B159" t="s">
        <v>3751</v>
      </c>
      <c r="C159" s="5" t="s">
        <v>7856</v>
      </c>
      <c r="D159" s="1">
        <v>1</v>
      </c>
      <c r="E159" s="1">
        <v>22</v>
      </c>
      <c r="F159" s="1">
        <v>175</v>
      </c>
      <c r="G159" s="1">
        <v>175</v>
      </c>
      <c r="H159" s="8" cm="1">
        <f t="array" ref="H159">_xlfn.LET(_xlpm.s,IFERROR(--F159,""),_xlpm.e,IFERROR(--G159,""),IF(OR(_xlpm.s="",_xlpm.e="",_xlpm.e&lt;_xlpm.s),"",_xlfn.LET(_xlpm.p,_xlfn.SEQUENCE(_xlpm.e-_xlpm.s+1,1,_xlpm.s,1),SUM(1/COUNTIFS($D:$D,D159,$E:$E,E159,$F:$F,"&lt;&gt;N/A",$G:$G,"&lt;&gt;N/A",$F:$F,"&lt;="&amp;_xlpm.p,$G:$G,"&gt;="&amp;_xlpm.p)))))</f>
        <v>0.33333333333333331</v>
      </c>
      <c r="I159" t="s">
        <v>687</v>
      </c>
      <c r="J159" t="s">
        <v>693</v>
      </c>
      <c r="K159" t="s">
        <v>4738</v>
      </c>
      <c r="L159" s="5" t="s">
        <v>4739</v>
      </c>
      <c r="M159" t="s">
        <v>7344</v>
      </c>
      <c r="N159" t="s">
        <v>7373</v>
      </c>
      <c r="O159" t="s">
        <v>5072</v>
      </c>
      <c r="P159" t="s">
        <v>8021</v>
      </c>
      <c r="R159" t="b">
        <v>1</v>
      </c>
    </row>
    <row r="160" spans="1:18">
      <c r="A160" t="s">
        <v>3026</v>
      </c>
      <c r="B160" t="s">
        <v>3752</v>
      </c>
      <c r="C160" s="5" t="s">
        <v>7856</v>
      </c>
      <c r="D160" s="1">
        <v>1</v>
      </c>
      <c r="E160" s="1">
        <v>22</v>
      </c>
      <c r="F160" s="1">
        <v>175</v>
      </c>
      <c r="G160" s="1">
        <v>176</v>
      </c>
      <c r="H160" s="8" cm="1">
        <f t="array" ref="H160">_xlfn.LET(_xlpm.s,IFERROR(--F160,""),_xlpm.e,IFERROR(--G160,""),IF(OR(_xlpm.s="",_xlpm.e="",_xlpm.e&lt;_xlpm.s),"",_xlfn.LET(_xlpm.p,_xlfn.SEQUENCE(_xlpm.e-_xlpm.s+1,1,_xlpm.s,1),SUM(1/COUNTIFS($D:$D,D160,$E:$E,E160,$F:$F,"&lt;&gt;N/A",$G:$G,"&lt;&gt;N/A",$F:$F,"&lt;="&amp;_xlpm.p,$G:$G,"&gt;="&amp;_xlpm.p)))))</f>
        <v>0.66666666666666663</v>
      </c>
      <c r="I160" t="s">
        <v>632</v>
      </c>
      <c r="J160" t="s">
        <v>2851</v>
      </c>
      <c r="K160" t="s">
        <v>7</v>
      </c>
      <c r="L160" s="5" t="s">
        <v>7</v>
      </c>
      <c r="M160" s="5" t="s">
        <v>7</v>
      </c>
      <c r="N160" s="5" t="s">
        <v>7</v>
      </c>
      <c r="O160" t="s">
        <v>11522</v>
      </c>
      <c r="P160" t="s">
        <v>8021</v>
      </c>
      <c r="Q160" s="5" t="s">
        <v>11525</v>
      </c>
      <c r="R160" t="b">
        <v>1</v>
      </c>
    </row>
    <row r="161" spans="1:18">
      <c r="A161" t="s">
        <v>3026</v>
      </c>
      <c r="B161" t="s">
        <v>3753</v>
      </c>
      <c r="C161" s="5" t="s">
        <v>7856</v>
      </c>
      <c r="D161" s="1">
        <v>1</v>
      </c>
      <c r="E161" s="1">
        <v>22</v>
      </c>
      <c r="F161" s="1">
        <v>176</v>
      </c>
      <c r="G161" s="1">
        <v>176</v>
      </c>
      <c r="H161" s="8" cm="1">
        <f t="array" ref="H161">_xlfn.LET(_xlpm.s,IFERROR(--F161,""),_xlpm.e,IFERROR(--G161,""),IF(OR(_xlpm.s="",_xlpm.e="",_xlpm.e&lt;_xlpm.s),"",_xlfn.LET(_xlpm.p,_xlfn.SEQUENCE(_xlpm.e-_xlpm.s+1,1,_xlpm.s,1),SUM(1/COUNTIFS($D:$D,D161,$E:$E,E161,$F:$F,"&lt;&gt;N/A",$G:$G,"&lt;&gt;N/A",$F:$F,"&lt;="&amp;_xlpm.p,$G:$G,"&gt;="&amp;_xlpm.p)))))</f>
        <v>0.33333333333333331</v>
      </c>
      <c r="I161" t="s">
        <v>632</v>
      </c>
      <c r="J161" t="s">
        <v>2850</v>
      </c>
      <c r="K161" t="s">
        <v>7</v>
      </c>
      <c r="L161" s="5" t="s">
        <v>7</v>
      </c>
      <c r="M161" s="5" t="s">
        <v>7</v>
      </c>
      <c r="N161" s="5" t="s">
        <v>7</v>
      </c>
      <c r="O161" s="5" t="s">
        <v>11522</v>
      </c>
      <c r="P161" s="5" t="s">
        <v>8021</v>
      </c>
      <c r="Q161" s="5" t="s">
        <v>11525</v>
      </c>
      <c r="R161" t="b">
        <v>1</v>
      </c>
    </row>
    <row r="162" spans="1:18">
      <c r="A162" t="s">
        <v>3026</v>
      </c>
      <c r="B162" t="s">
        <v>3754</v>
      </c>
      <c r="C162" s="5" t="s">
        <v>7856</v>
      </c>
      <c r="D162" s="1">
        <v>1</v>
      </c>
      <c r="E162" s="1">
        <v>22</v>
      </c>
      <c r="F162" s="1">
        <v>176</v>
      </c>
      <c r="G162" s="1">
        <v>176</v>
      </c>
      <c r="H162" s="8" cm="1">
        <f t="array" ref="H162">_xlfn.LET(_xlpm.s,IFERROR(--F162,""),_xlpm.e,IFERROR(--G162,""),IF(OR(_xlpm.s="",_xlpm.e="",_xlpm.e&lt;_xlpm.s),"",_xlfn.LET(_xlpm.p,_xlfn.SEQUENCE(_xlpm.e-_xlpm.s+1,1,_xlpm.s,1),SUM(1/COUNTIFS($D:$D,D162,$E:$E,E162,$F:$F,"&lt;&gt;N/A",$G:$G,"&lt;&gt;N/A",$F:$F,"&lt;="&amp;_xlpm.p,$G:$G,"&gt;="&amp;_xlpm.p)))))</f>
        <v>0.33333333333333331</v>
      </c>
      <c r="I162" t="s">
        <v>632</v>
      </c>
      <c r="J162" t="s">
        <v>10727</v>
      </c>
      <c r="K162" t="s">
        <v>7</v>
      </c>
      <c r="L162" s="5" t="s">
        <v>7</v>
      </c>
      <c r="M162" t="s">
        <v>7344</v>
      </c>
      <c r="N162" s="5" t="s">
        <v>7550</v>
      </c>
      <c r="O162" t="s">
        <v>5072</v>
      </c>
      <c r="P162" t="s">
        <v>8021</v>
      </c>
      <c r="R162" t="b">
        <v>1</v>
      </c>
    </row>
    <row r="163" spans="1:18">
      <c r="A163" t="s">
        <v>3026</v>
      </c>
      <c r="B163" t="s">
        <v>10664</v>
      </c>
      <c r="C163" s="5" t="s">
        <v>7857</v>
      </c>
      <c r="D163" s="1">
        <v>1</v>
      </c>
      <c r="E163" s="1">
        <v>23</v>
      </c>
      <c r="F163" s="1">
        <v>177</v>
      </c>
      <c r="G163" s="1">
        <v>180</v>
      </c>
      <c r="H163" s="8" cm="1">
        <f t="array" ref="H163">_xlfn.LET(_xlpm.s,IFERROR(--F163,""),_xlpm.e,IFERROR(--G163,""),IF(OR(_xlpm.s="",_xlpm.e="",_xlpm.e&lt;_xlpm.s),"",_xlfn.LET(_xlpm.p,_xlfn.SEQUENCE(_xlpm.e-_xlpm.s+1,1,_xlpm.s,1),SUM(1/COUNTIFS($D:$D,D163,$E:$E,E163,$F:$F,"&lt;&gt;N/A",$G:$G,"&lt;&gt;N/A",$F:$F,"&lt;="&amp;_xlpm.p,$G:$G,"&gt;="&amp;_xlpm.p)))))</f>
        <v>3.5</v>
      </c>
      <c r="I163" t="s">
        <v>14</v>
      </c>
      <c r="J163" t="s">
        <v>694</v>
      </c>
      <c r="K163" t="s">
        <v>4740</v>
      </c>
      <c r="L163" s="5" t="s">
        <v>4741</v>
      </c>
      <c r="M163" t="s">
        <v>6939</v>
      </c>
      <c r="N163" t="s">
        <v>10431</v>
      </c>
      <c r="O163" t="s">
        <v>5072</v>
      </c>
      <c r="P163" t="s">
        <v>8021</v>
      </c>
      <c r="Q163" t="s">
        <v>2509</v>
      </c>
      <c r="R163" t="b">
        <v>1</v>
      </c>
    </row>
    <row r="164" spans="1:18">
      <c r="A164" t="s">
        <v>3026</v>
      </c>
      <c r="B164" t="s">
        <v>10665</v>
      </c>
      <c r="C164" s="5" t="s">
        <v>7857</v>
      </c>
      <c r="D164" s="1">
        <v>1</v>
      </c>
      <c r="E164" s="1">
        <v>23</v>
      </c>
      <c r="F164" s="1">
        <v>180</v>
      </c>
      <c r="G164" s="1">
        <v>181</v>
      </c>
      <c r="H164" s="8" cm="1">
        <f t="array" ref="H164">_xlfn.LET(_xlpm.s,IFERROR(--F164,""),_xlpm.e,IFERROR(--G164,""),IF(OR(_xlpm.s="",_xlpm.e="",_xlpm.e&lt;_xlpm.s),"",_xlfn.LET(_xlpm.p,_xlfn.SEQUENCE(_xlpm.e-_xlpm.s+1,1,_xlpm.s,1),SUM(1/COUNTIFS($D:$D,D164,$E:$E,E164,$F:$F,"&lt;&gt;N/A",$G:$G,"&lt;&gt;N/A",$F:$F,"&lt;="&amp;_xlpm.p,$G:$G,"&gt;="&amp;_xlpm.p)))))</f>
        <v>1</v>
      </c>
      <c r="I164" t="s">
        <v>687</v>
      </c>
      <c r="J164" t="s">
        <v>695</v>
      </c>
      <c r="K164" t="s">
        <v>7</v>
      </c>
      <c r="L164" s="5" t="s">
        <v>4742</v>
      </c>
      <c r="M164" t="s">
        <v>7</v>
      </c>
      <c r="N164" t="s">
        <v>7</v>
      </c>
      <c r="O164" t="s">
        <v>10264</v>
      </c>
      <c r="P164" t="s">
        <v>8020</v>
      </c>
      <c r="R164" t="b">
        <v>1</v>
      </c>
    </row>
    <row r="165" spans="1:18">
      <c r="A165" t="s">
        <v>3026</v>
      </c>
      <c r="B165" t="s">
        <v>4403</v>
      </c>
      <c r="C165" s="5" t="s">
        <v>7857</v>
      </c>
      <c r="D165" s="1">
        <v>1</v>
      </c>
      <c r="E165" s="1">
        <v>23</v>
      </c>
      <c r="F165" s="1">
        <v>181</v>
      </c>
      <c r="G165" s="1">
        <v>183</v>
      </c>
      <c r="H165" s="8" cm="1">
        <f t="array" ref="H165">_xlfn.LET(_xlpm.s,IFERROR(--F165,""),_xlpm.e,IFERROR(--G165,""),IF(OR(_xlpm.s="",_xlpm.e="",_xlpm.e&lt;_xlpm.s),"",_xlfn.LET(_xlpm.p,_xlfn.SEQUENCE(_xlpm.e-_xlpm.s+1,1,_xlpm.s,1),SUM(1/COUNTIFS($D:$D,D165,$E:$E,E165,$F:$F,"&lt;&gt;N/A",$G:$G,"&lt;&gt;N/A",$F:$F,"&lt;="&amp;_xlpm.p,$G:$G,"&gt;="&amp;_xlpm.p)))))</f>
        <v>1.6666666666666667</v>
      </c>
      <c r="I165" t="s">
        <v>687</v>
      </c>
      <c r="J165" t="s">
        <v>696</v>
      </c>
      <c r="K165" t="s">
        <v>4743</v>
      </c>
      <c r="L165" s="5" t="s">
        <v>7</v>
      </c>
      <c r="M165" t="s">
        <v>7</v>
      </c>
      <c r="N165" t="s">
        <v>7</v>
      </c>
      <c r="O165" t="s">
        <v>778</v>
      </c>
      <c r="P165" t="s">
        <v>7834</v>
      </c>
      <c r="Q165" s="5" t="s">
        <v>2852</v>
      </c>
      <c r="R165" t="b">
        <v>1</v>
      </c>
    </row>
    <row r="166" spans="1:18">
      <c r="A166" t="s">
        <v>3026</v>
      </c>
      <c r="B166" t="s">
        <v>3755</v>
      </c>
      <c r="C166" s="5" t="s">
        <v>7857</v>
      </c>
      <c r="D166" s="1">
        <v>1</v>
      </c>
      <c r="E166" s="1">
        <v>23</v>
      </c>
      <c r="F166" s="1">
        <v>183</v>
      </c>
      <c r="G166" s="1">
        <v>183</v>
      </c>
      <c r="H166" s="8" cm="1">
        <f t="array" ref="H166">_xlfn.LET(_xlpm.s,IFERROR(--F166,""),_xlpm.e,IFERROR(--G166,""),IF(OR(_xlpm.s="",_xlpm.e="",_xlpm.e&lt;_xlpm.s),"",_xlfn.LET(_xlpm.p,_xlfn.SEQUENCE(_xlpm.e-_xlpm.s+1,1,_xlpm.s,1),SUM(1/COUNTIFS($D:$D,D166,$E:$E,E166,$F:$F,"&lt;&gt;N/A",$G:$G,"&lt;&gt;N/A",$F:$F,"&lt;="&amp;_xlpm.p,$G:$G,"&gt;="&amp;_xlpm.p)))))</f>
        <v>0.16666666666666666</v>
      </c>
      <c r="I166" t="s">
        <v>205</v>
      </c>
      <c r="J166" t="s">
        <v>2857</v>
      </c>
      <c r="K166" t="s">
        <v>7</v>
      </c>
      <c r="L166" s="5" t="s">
        <v>4744</v>
      </c>
      <c r="M166" t="s">
        <v>7</v>
      </c>
      <c r="N166" t="s">
        <v>7</v>
      </c>
      <c r="O166" t="s">
        <v>11522</v>
      </c>
      <c r="P166" t="s">
        <v>8021</v>
      </c>
      <c r="R166" t="b">
        <v>1</v>
      </c>
    </row>
    <row r="167" spans="1:18">
      <c r="A167" t="s">
        <v>3026</v>
      </c>
      <c r="B167" t="s">
        <v>3756</v>
      </c>
      <c r="C167" s="5" t="s">
        <v>7857</v>
      </c>
      <c r="D167" s="1">
        <v>1</v>
      </c>
      <c r="E167" s="1">
        <v>23</v>
      </c>
      <c r="F167" s="1">
        <v>183</v>
      </c>
      <c r="G167" s="1">
        <v>183</v>
      </c>
      <c r="H167" s="8" cm="1">
        <f t="array" ref="H167">_xlfn.LET(_xlpm.s,IFERROR(--F167,""),_xlpm.e,IFERROR(--G167,""),IF(OR(_xlpm.s="",_xlpm.e="",_xlpm.e&lt;_xlpm.s),"",_xlfn.LET(_xlpm.p,_xlfn.SEQUENCE(_xlpm.e-_xlpm.s+1,1,_xlpm.s,1),SUM(1/COUNTIFS($D:$D,D167,$E:$E,E167,$F:$F,"&lt;&gt;N/A",$G:$G,"&lt;&gt;N/A",$F:$F,"&lt;="&amp;_xlpm.p,$G:$G,"&gt;="&amp;_xlpm.p)))))</f>
        <v>0.16666666666666666</v>
      </c>
      <c r="I167" t="s">
        <v>205</v>
      </c>
      <c r="J167" t="s">
        <v>2853</v>
      </c>
      <c r="K167" t="s">
        <v>7</v>
      </c>
      <c r="L167" s="5" t="s">
        <v>4745</v>
      </c>
      <c r="M167" t="s">
        <v>7694</v>
      </c>
      <c r="N167" t="s">
        <v>7693</v>
      </c>
      <c r="O167" t="s">
        <v>11522</v>
      </c>
      <c r="P167" t="s">
        <v>8021</v>
      </c>
      <c r="R167" t="b">
        <v>1</v>
      </c>
    </row>
    <row r="168" spans="1:18">
      <c r="A168" t="s">
        <v>3026</v>
      </c>
      <c r="B168" t="s">
        <v>3757</v>
      </c>
      <c r="C168" s="5" t="s">
        <v>7857</v>
      </c>
      <c r="D168" s="1">
        <v>1</v>
      </c>
      <c r="E168" s="1">
        <v>23</v>
      </c>
      <c r="F168" s="1">
        <v>183</v>
      </c>
      <c r="G168" s="1">
        <v>183</v>
      </c>
      <c r="H168" s="8" cm="1">
        <f t="array" ref="H168">_xlfn.LET(_xlpm.s,IFERROR(--F168,""),_xlpm.e,IFERROR(--G168,""),IF(OR(_xlpm.s="",_xlpm.e="",_xlpm.e&lt;_xlpm.s),"",_xlfn.LET(_xlpm.p,_xlfn.SEQUENCE(_xlpm.e-_xlpm.s+1,1,_xlpm.s,1),SUM(1/COUNTIFS($D:$D,D168,$E:$E,E168,$F:$F,"&lt;&gt;N/A",$G:$G,"&lt;&gt;N/A",$F:$F,"&lt;="&amp;_xlpm.p,$G:$G,"&gt;="&amp;_xlpm.p)))))</f>
        <v>0.16666666666666666</v>
      </c>
      <c r="I168" t="s">
        <v>205</v>
      </c>
      <c r="J168" t="s">
        <v>7434</v>
      </c>
      <c r="K168" t="s">
        <v>7</v>
      </c>
      <c r="L168" s="5" t="s">
        <v>4745</v>
      </c>
      <c r="M168" t="s">
        <v>6939</v>
      </c>
      <c r="N168" t="s">
        <v>10432</v>
      </c>
      <c r="O168" t="s">
        <v>11522</v>
      </c>
      <c r="P168" t="s">
        <v>8021</v>
      </c>
      <c r="R168" t="b">
        <v>1</v>
      </c>
    </row>
    <row r="169" spans="1:18">
      <c r="A169" t="s">
        <v>3026</v>
      </c>
      <c r="B169" t="s">
        <v>3758</v>
      </c>
      <c r="C169" s="5" t="s">
        <v>7857</v>
      </c>
      <c r="D169" s="1">
        <v>1</v>
      </c>
      <c r="E169" s="1">
        <v>23</v>
      </c>
      <c r="F169" s="1">
        <v>183</v>
      </c>
      <c r="G169" s="1">
        <v>183</v>
      </c>
      <c r="H169" s="8" cm="1">
        <f t="array" ref="H169">_xlfn.LET(_xlpm.s,IFERROR(--F169,""),_xlpm.e,IFERROR(--G169,""),IF(OR(_xlpm.s="",_xlpm.e="",_xlpm.e&lt;_xlpm.s),"",_xlfn.LET(_xlpm.p,_xlfn.SEQUENCE(_xlpm.e-_xlpm.s+1,1,_xlpm.s,1),SUM(1/COUNTIFS($D:$D,D169,$E:$E,E169,$F:$F,"&lt;&gt;N/A",$G:$G,"&lt;&gt;N/A",$F:$F,"&lt;="&amp;_xlpm.p,$G:$G,"&gt;="&amp;_xlpm.p)))))</f>
        <v>0.16666666666666666</v>
      </c>
      <c r="I169" t="s">
        <v>632</v>
      </c>
      <c r="J169" t="s">
        <v>7435</v>
      </c>
      <c r="K169" t="s">
        <v>7</v>
      </c>
      <c r="L169" s="5" t="s">
        <v>4746</v>
      </c>
      <c r="M169" t="s">
        <v>7344</v>
      </c>
      <c r="N169" t="s">
        <v>7678</v>
      </c>
      <c r="O169" t="s">
        <v>5072</v>
      </c>
      <c r="P169" t="s">
        <v>8021</v>
      </c>
      <c r="R169" t="b">
        <v>1</v>
      </c>
    </row>
    <row r="170" spans="1:18">
      <c r="A170" t="s">
        <v>3026</v>
      </c>
      <c r="B170" t="s">
        <v>3759</v>
      </c>
      <c r="C170" s="5" t="s">
        <v>7857</v>
      </c>
      <c r="D170" s="1">
        <v>1</v>
      </c>
      <c r="E170" s="1">
        <v>23</v>
      </c>
      <c r="F170" s="1">
        <v>183</v>
      </c>
      <c r="G170" s="1">
        <v>184</v>
      </c>
      <c r="H170" s="8" cm="1">
        <f t="array" ref="H170">_xlfn.LET(_xlpm.s,IFERROR(--F170,""),_xlpm.e,IFERROR(--G170,""),IF(OR(_xlpm.s="",_xlpm.e="",_xlpm.e&lt;_xlpm.s),"",_xlfn.LET(_xlpm.p,_xlfn.SEQUENCE(_xlpm.e-_xlpm.s+1,1,_xlpm.s,1),SUM(1/COUNTIFS($D:$D,D170,$E:$E,E170,$F:$F,"&lt;&gt;N/A",$G:$G,"&lt;&gt;N/A",$F:$F,"&lt;="&amp;_xlpm.p,$G:$G,"&gt;="&amp;_xlpm.p)))))</f>
        <v>0.5</v>
      </c>
      <c r="I170" t="s">
        <v>632</v>
      </c>
      <c r="J170" t="s">
        <v>2856</v>
      </c>
      <c r="K170" t="s">
        <v>7</v>
      </c>
      <c r="L170" t="s">
        <v>7455</v>
      </c>
      <c r="M170" t="s">
        <v>7</v>
      </c>
      <c r="N170" t="s">
        <v>7</v>
      </c>
      <c r="O170" t="s">
        <v>11522</v>
      </c>
      <c r="P170" t="s">
        <v>8019</v>
      </c>
      <c r="Q170" t="s">
        <v>7456</v>
      </c>
      <c r="R170" t="b">
        <v>1</v>
      </c>
    </row>
    <row r="171" spans="1:18">
      <c r="A171" t="s">
        <v>3026</v>
      </c>
      <c r="B171" t="s">
        <v>3760</v>
      </c>
      <c r="C171" s="5" t="s">
        <v>7857</v>
      </c>
      <c r="D171" s="1">
        <v>1</v>
      </c>
      <c r="E171" s="1">
        <v>23</v>
      </c>
      <c r="F171" s="1">
        <v>184</v>
      </c>
      <c r="G171" s="1">
        <v>184</v>
      </c>
      <c r="H171" s="8" cm="1">
        <f t="array" ref="H171">_xlfn.LET(_xlpm.s,IFERROR(--F171,""),_xlpm.e,IFERROR(--G171,""),IF(OR(_xlpm.s="",_xlpm.e="",_xlpm.e&lt;_xlpm.s),"",_xlfn.LET(_xlpm.p,_xlfn.SEQUENCE(_xlpm.e-_xlpm.s+1,1,_xlpm.s,1),SUM(1/COUNTIFS($D:$D,D171,$E:$E,E171,$F:$F,"&lt;&gt;N/A",$G:$G,"&lt;&gt;N/A",$F:$F,"&lt;="&amp;_xlpm.p,$G:$G,"&gt;="&amp;_xlpm.p)))))</f>
        <v>0.33333333333333331</v>
      </c>
      <c r="I171" t="s">
        <v>632</v>
      </c>
      <c r="J171" t="s">
        <v>2855</v>
      </c>
      <c r="K171" t="s">
        <v>7</v>
      </c>
      <c r="L171" s="5" t="s">
        <v>4747</v>
      </c>
      <c r="M171" t="s">
        <v>7</v>
      </c>
      <c r="N171" t="s">
        <v>7</v>
      </c>
      <c r="O171" t="s">
        <v>10264</v>
      </c>
      <c r="P171" t="s">
        <v>8020</v>
      </c>
      <c r="R171" t="b">
        <v>1</v>
      </c>
    </row>
    <row r="172" spans="1:18">
      <c r="A172" t="s">
        <v>3026</v>
      </c>
      <c r="B172" t="s">
        <v>3761</v>
      </c>
      <c r="C172" s="5" t="s">
        <v>7857</v>
      </c>
      <c r="D172" s="1">
        <v>1</v>
      </c>
      <c r="E172" s="1">
        <v>23</v>
      </c>
      <c r="F172" s="1">
        <v>184</v>
      </c>
      <c r="G172" s="1">
        <v>184</v>
      </c>
      <c r="H172" s="8" cm="1">
        <f t="array" ref="H172">_xlfn.LET(_xlpm.s,IFERROR(--F172,""),_xlpm.e,IFERROR(--G172,""),IF(OR(_xlpm.s="",_xlpm.e="",_xlpm.e&lt;_xlpm.s),"",_xlfn.LET(_xlpm.p,_xlfn.SEQUENCE(_xlpm.e-_xlpm.s+1,1,_xlpm.s,1),SUM(1/COUNTIFS($D:$D,D172,$E:$E,E172,$F:$F,"&lt;&gt;N/A",$G:$G,"&lt;&gt;N/A",$F:$F,"&lt;="&amp;_xlpm.p,$G:$G,"&gt;="&amp;_xlpm.p)))))</f>
        <v>0.33333333333333331</v>
      </c>
      <c r="I172" t="s">
        <v>632</v>
      </c>
      <c r="J172" t="s">
        <v>2854</v>
      </c>
      <c r="K172" t="s">
        <v>7</v>
      </c>
      <c r="L172" s="5" t="s">
        <v>7</v>
      </c>
      <c r="M172" s="5" t="s">
        <v>7</v>
      </c>
      <c r="N172" t="s">
        <v>7</v>
      </c>
      <c r="O172" t="s">
        <v>778</v>
      </c>
      <c r="P172" t="s">
        <v>7834</v>
      </c>
      <c r="R172" t="b">
        <v>1</v>
      </c>
    </row>
    <row r="173" spans="1:18">
      <c r="A173" t="s">
        <v>3026</v>
      </c>
      <c r="B173" t="s">
        <v>10666</v>
      </c>
      <c r="C173" s="5" t="s">
        <v>7858</v>
      </c>
      <c r="D173" s="1">
        <v>1</v>
      </c>
      <c r="E173" s="1">
        <v>24</v>
      </c>
      <c r="F173" s="1">
        <v>185</v>
      </c>
      <c r="G173" s="1">
        <v>186</v>
      </c>
      <c r="H173" s="8" cm="1">
        <f t="array" ref="H173">_xlfn.LET(_xlpm.s,IFERROR(--F173,""),_xlpm.e,IFERROR(--G173,""),IF(OR(_xlpm.s="",_xlpm.e="",_xlpm.e&lt;_xlpm.s),"",_xlfn.LET(_xlpm.p,_xlfn.SEQUENCE(_xlpm.e-_xlpm.s+1,1,_xlpm.s,1),SUM(1/COUNTIFS($D:$D,D173,$E:$E,E173,$F:$F,"&lt;&gt;N/A",$G:$G,"&lt;&gt;N/A",$F:$F,"&lt;="&amp;_xlpm.p,$G:$G,"&gt;="&amp;_xlpm.p)))))</f>
        <v>1.5</v>
      </c>
      <c r="I173" t="s">
        <v>14</v>
      </c>
      <c r="J173" t="s">
        <v>697</v>
      </c>
      <c r="K173" t="s">
        <v>7</v>
      </c>
      <c r="L173" s="5" t="s">
        <v>7</v>
      </c>
      <c r="M173" s="5" t="s">
        <v>7</v>
      </c>
      <c r="N173" t="s">
        <v>7</v>
      </c>
      <c r="O173" t="s">
        <v>778</v>
      </c>
      <c r="P173" t="s">
        <v>7834</v>
      </c>
      <c r="R173" t="b">
        <v>1</v>
      </c>
    </row>
    <row r="174" spans="1:18">
      <c r="A174" t="s">
        <v>3026</v>
      </c>
      <c r="B174" t="s">
        <v>10667</v>
      </c>
      <c r="C174" s="5" t="s">
        <v>7858</v>
      </c>
      <c r="D174" s="1">
        <v>1</v>
      </c>
      <c r="E174" s="1">
        <v>24</v>
      </c>
      <c r="F174" s="1">
        <v>186</v>
      </c>
      <c r="G174" s="1">
        <v>187</v>
      </c>
      <c r="H174" s="8" cm="1">
        <f t="array" ref="H174">_xlfn.LET(_xlpm.s,IFERROR(--F174,""),_xlpm.e,IFERROR(--G174,""),IF(OR(_xlpm.s="",_xlpm.e="",_xlpm.e&lt;_xlpm.s),"",_xlfn.LET(_xlpm.p,_xlfn.SEQUENCE(_xlpm.e-_xlpm.s+1,1,_xlpm.s,1),SUM(1/COUNTIFS($D:$D,D174,$E:$E,E174,$F:$F,"&lt;&gt;N/A",$G:$G,"&lt;&gt;N/A",$F:$F,"&lt;="&amp;_xlpm.p,$G:$G,"&gt;="&amp;_xlpm.p)))))</f>
        <v>1</v>
      </c>
      <c r="I174" t="s">
        <v>14</v>
      </c>
      <c r="J174" t="s">
        <v>4400</v>
      </c>
      <c r="K174" t="s">
        <v>698</v>
      </c>
      <c r="L174" s="5" t="s">
        <v>4748</v>
      </c>
      <c r="M174" s="5" t="s">
        <v>7</v>
      </c>
      <c r="N174" t="s">
        <v>7</v>
      </c>
      <c r="O174" t="s">
        <v>778</v>
      </c>
      <c r="P174" t="s">
        <v>7834</v>
      </c>
      <c r="R174" t="b">
        <v>1</v>
      </c>
    </row>
    <row r="175" spans="1:18">
      <c r="A175" t="s">
        <v>3026</v>
      </c>
      <c r="B175" t="s">
        <v>4404</v>
      </c>
      <c r="C175" s="5" t="s">
        <v>7858</v>
      </c>
      <c r="D175" s="1">
        <v>1</v>
      </c>
      <c r="E175" s="1">
        <v>24</v>
      </c>
      <c r="F175" s="1">
        <v>187</v>
      </c>
      <c r="G175" s="1">
        <v>191</v>
      </c>
      <c r="H175" s="8" cm="1">
        <f t="array" ref="H175">_xlfn.LET(_xlpm.s,IFERROR(--F175,""),_xlpm.e,IFERROR(--G175,""),IF(OR(_xlpm.s="",_xlpm.e="",_xlpm.e&lt;_xlpm.s),"",_xlfn.LET(_xlpm.p,_xlfn.SEQUENCE(_xlpm.e-_xlpm.s+1,1,_xlpm.s,1),SUM(1/COUNTIFS($D:$D,D175,$E:$E,E175,$F:$F,"&lt;&gt;N/A",$G:$G,"&lt;&gt;N/A",$F:$F,"&lt;="&amp;_xlpm.p,$G:$G,"&gt;="&amp;_xlpm.p)))))</f>
        <v>4</v>
      </c>
      <c r="I175" t="s">
        <v>200</v>
      </c>
      <c r="J175" t="s">
        <v>699</v>
      </c>
      <c r="K175" t="s">
        <v>4749</v>
      </c>
      <c r="L175" s="5" t="s">
        <v>4750</v>
      </c>
      <c r="M175" t="s">
        <v>6939</v>
      </c>
      <c r="N175" t="s">
        <v>7651</v>
      </c>
      <c r="O175" t="s">
        <v>5072</v>
      </c>
      <c r="P175" t="s">
        <v>8021</v>
      </c>
      <c r="Q175" t="s">
        <v>2509</v>
      </c>
      <c r="R175" t="b">
        <v>1</v>
      </c>
    </row>
    <row r="176" spans="1:18">
      <c r="A176" t="s">
        <v>3026</v>
      </c>
      <c r="B176" t="s">
        <v>3762</v>
      </c>
      <c r="C176" s="5" t="s">
        <v>7858</v>
      </c>
      <c r="D176" s="1">
        <v>1</v>
      </c>
      <c r="E176" s="1">
        <v>24</v>
      </c>
      <c r="F176" s="1">
        <v>191</v>
      </c>
      <c r="G176" s="1">
        <v>192</v>
      </c>
      <c r="H176" s="8" cm="1">
        <f t="array" ref="H176">_xlfn.LET(_xlpm.s,IFERROR(--F176,""),_xlpm.e,IFERROR(--G176,""),IF(OR(_xlpm.s="",_xlpm.e="",_xlpm.e&lt;_xlpm.s),"",_xlfn.LET(_xlpm.p,_xlfn.SEQUENCE(_xlpm.e-_xlpm.s+1,1,_xlpm.s,1),SUM(1/COUNTIFS($D:$D,D176,$E:$E,E176,$F:$F,"&lt;&gt;N/A",$G:$G,"&lt;&gt;N/A",$F:$F,"&lt;="&amp;_xlpm.p,$G:$G,"&gt;="&amp;_xlpm.p)))))</f>
        <v>1</v>
      </c>
      <c r="I176" t="s">
        <v>205</v>
      </c>
      <c r="J176" t="s">
        <v>7662</v>
      </c>
      <c r="K176" t="s">
        <v>644</v>
      </c>
      <c r="L176" s="5" t="s">
        <v>7236</v>
      </c>
      <c r="M176" t="s">
        <v>7270</v>
      </c>
      <c r="N176" t="s">
        <v>7663</v>
      </c>
      <c r="O176" t="s">
        <v>11522</v>
      </c>
      <c r="P176" t="s">
        <v>8021</v>
      </c>
      <c r="R176" t="b">
        <v>1</v>
      </c>
    </row>
    <row r="177" spans="1:18">
      <c r="A177" t="s">
        <v>3026</v>
      </c>
      <c r="B177" t="s">
        <v>3763</v>
      </c>
      <c r="C177" s="5" t="s">
        <v>7858</v>
      </c>
      <c r="D177" s="1">
        <v>1</v>
      </c>
      <c r="E177" s="1">
        <v>24</v>
      </c>
      <c r="F177" s="1">
        <v>192</v>
      </c>
      <c r="G177" s="1">
        <v>192</v>
      </c>
      <c r="H177" s="8" cm="1">
        <f t="array" ref="H177">_xlfn.LET(_xlpm.s,IFERROR(--F177,""),_xlpm.e,IFERROR(--G177,""),IF(OR(_xlpm.s="",_xlpm.e="",_xlpm.e&lt;_xlpm.s),"",_xlfn.LET(_xlpm.p,_xlfn.SEQUENCE(_xlpm.e-_xlpm.s+1,1,_xlpm.s,1),SUM(1/COUNTIFS($D:$D,D177,$E:$E,E177,$F:$F,"&lt;&gt;N/A",$G:$G,"&lt;&gt;N/A",$F:$F,"&lt;="&amp;_xlpm.p,$G:$G,"&gt;="&amp;_xlpm.p)))))</f>
        <v>0.5</v>
      </c>
      <c r="I177" t="s">
        <v>414</v>
      </c>
      <c r="J177" t="s">
        <v>3254</v>
      </c>
      <c r="K177" t="s">
        <v>644</v>
      </c>
      <c r="L177" s="5" t="s">
        <v>7</v>
      </c>
      <c r="M177" t="s">
        <v>7</v>
      </c>
      <c r="N177" t="s">
        <v>7</v>
      </c>
      <c r="O177" t="s">
        <v>778</v>
      </c>
      <c r="P177" t="s">
        <v>7834</v>
      </c>
      <c r="R177" t="b">
        <v>1</v>
      </c>
    </row>
    <row r="178" spans="1:18">
      <c r="A178" t="s">
        <v>3026</v>
      </c>
      <c r="B178" t="s">
        <v>10668</v>
      </c>
      <c r="C178" s="5" t="s">
        <v>7883</v>
      </c>
      <c r="D178" s="1">
        <v>1</v>
      </c>
      <c r="E178" s="1">
        <v>25</v>
      </c>
      <c r="F178" s="1">
        <v>193</v>
      </c>
      <c r="G178" s="1">
        <v>195</v>
      </c>
      <c r="H178" s="8" cm="1">
        <f t="array" ref="H178">_xlfn.LET(_xlpm.s,IFERROR(--F178,""),_xlpm.e,IFERROR(--G178,""),IF(OR(_xlpm.s="",_xlpm.e="",_xlpm.e&lt;_xlpm.s),"",_xlfn.LET(_xlpm.p,_xlfn.SEQUENCE(_xlpm.e-_xlpm.s+1,1,_xlpm.s,1),SUM(1/COUNTIFS($D:$D,D178,$E:$E,E178,$F:$F,"&lt;&gt;N/A",$G:$G,"&lt;&gt;N/A",$F:$F,"&lt;="&amp;_xlpm.p,$G:$G,"&gt;="&amp;_xlpm.p)))))</f>
        <v>2.5</v>
      </c>
      <c r="I178" t="s">
        <v>14</v>
      </c>
      <c r="J178" t="s">
        <v>700</v>
      </c>
      <c r="K178" t="s">
        <v>4751</v>
      </c>
      <c r="L178" s="5" t="s">
        <v>4752</v>
      </c>
      <c r="M178" s="5" t="s">
        <v>6944</v>
      </c>
      <c r="N178" s="5" t="s">
        <v>3255</v>
      </c>
      <c r="O178" t="s">
        <v>10264</v>
      </c>
      <c r="P178" t="s">
        <v>8021</v>
      </c>
      <c r="R178" t="b">
        <v>1</v>
      </c>
    </row>
    <row r="179" spans="1:18">
      <c r="A179" t="s">
        <v>3026</v>
      </c>
      <c r="B179" t="s">
        <v>10669</v>
      </c>
      <c r="C179" s="5" t="s">
        <v>7883</v>
      </c>
      <c r="D179" s="1">
        <v>1</v>
      </c>
      <c r="E179" s="1">
        <v>25</v>
      </c>
      <c r="F179" s="1">
        <v>195</v>
      </c>
      <c r="G179" s="1">
        <v>196</v>
      </c>
      <c r="H179" s="8" cm="1">
        <f t="array" ref="H179">_xlfn.LET(_xlpm.s,IFERROR(--F179,""),_xlpm.e,IFERROR(--G179,""),IF(OR(_xlpm.s="",_xlpm.e="",_xlpm.e&lt;_xlpm.s),"",_xlfn.LET(_xlpm.p,_xlfn.SEQUENCE(_xlpm.e-_xlpm.s+1,1,_xlpm.s,1),SUM(1/COUNTIFS($D:$D,D179,$E:$E,E179,$F:$F,"&lt;&gt;N/A",$G:$G,"&lt;&gt;N/A",$F:$F,"&lt;="&amp;_xlpm.p,$G:$G,"&gt;="&amp;_xlpm.p)))))</f>
        <v>1</v>
      </c>
      <c r="I179" t="s">
        <v>632</v>
      </c>
      <c r="J179" t="s">
        <v>701</v>
      </c>
      <c r="K179" t="s">
        <v>7</v>
      </c>
      <c r="L179" s="5" t="s">
        <v>4753</v>
      </c>
      <c r="M179" t="s">
        <v>6939</v>
      </c>
      <c r="N179" t="s">
        <v>7532</v>
      </c>
      <c r="O179" t="s">
        <v>5072</v>
      </c>
      <c r="P179" t="s">
        <v>8021</v>
      </c>
      <c r="R179" t="b">
        <v>1</v>
      </c>
    </row>
    <row r="180" spans="1:18">
      <c r="A180" t="s">
        <v>3026</v>
      </c>
      <c r="B180" t="s">
        <v>4405</v>
      </c>
      <c r="C180" s="5" t="s">
        <v>7883</v>
      </c>
      <c r="D180" s="1">
        <v>1</v>
      </c>
      <c r="E180" s="1">
        <v>25</v>
      </c>
      <c r="F180" s="1">
        <v>196</v>
      </c>
      <c r="G180" s="1">
        <v>196</v>
      </c>
      <c r="H180" s="8" cm="1">
        <f t="array" ref="H180">_xlfn.LET(_xlpm.s,IFERROR(--F180,""),_xlpm.e,IFERROR(--G180,""),IF(OR(_xlpm.s="",_xlpm.e="",_xlpm.e&lt;_xlpm.s),"",_xlfn.LET(_xlpm.p,_xlfn.SEQUENCE(_xlpm.e-_xlpm.s+1,1,_xlpm.s,1),SUM(1/COUNTIFS($D:$D,D180,$E:$E,E180,$F:$F,"&lt;&gt;N/A",$G:$G,"&lt;&gt;N/A",$F:$F,"&lt;="&amp;_xlpm.p,$G:$G,"&gt;="&amp;_xlpm.p)))))</f>
        <v>0.5</v>
      </c>
      <c r="I180" t="s">
        <v>632</v>
      </c>
      <c r="J180" t="s">
        <v>702</v>
      </c>
      <c r="K180" t="s">
        <v>7</v>
      </c>
      <c r="L180" s="5" t="s">
        <v>4753</v>
      </c>
      <c r="M180" t="s">
        <v>6939</v>
      </c>
      <c r="N180" t="s">
        <v>7533</v>
      </c>
      <c r="O180" t="s">
        <v>5072</v>
      </c>
      <c r="P180" t="s">
        <v>8021</v>
      </c>
      <c r="R180" t="b">
        <v>1</v>
      </c>
    </row>
    <row r="181" spans="1:18">
      <c r="A181" t="s">
        <v>3026</v>
      </c>
      <c r="B181" t="s">
        <v>3764</v>
      </c>
      <c r="C181" s="5" t="s">
        <v>7883</v>
      </c>
      <c r="D181" s="1">
        <v>1</v>
      </c>
      <c r="E181" s="1">
        <v>25</v>
      </c>
      <c r="F181" s="1">
        <v>197</v>
      </c>
      <c r="G181" s="1">
        <v>197</v>
      </c>
      <c r="H181" s="8" cm="1">
        <f t="array" ref="H181">_xlfn.LET(_xlpm.s,IFERROR(--F181,""),_xlpm.e,IFERROR(--G181,""),IF(OR(_xlpm.s="",_xlpm.e="",_xlpm.e&lt;_xlpm.s),"",_xlfn.LET(_xlpm.p,_xlfn.SEQUENCE(_xlpm.e-_xlpm.s+1,1,_xlpm.s,1),SUM(1/COUNTIFS($D:$D,D181,$E:$E,E181,$F:$F,"&lt;&gt;N/A",$G:$G,"&lt;&gt;N/A",$F:$F,"&lt;="&amp;_xlpm.p,$G:$G,"&gt;="&amp;_xlpm.p)))))</f>
        <v>0.5</v>
      </c>
      <c r="I181" t="s">
        <v>632</v>
      </c>
      <c r="J181" t="s">
        <v>705</v>
      </c>
      <c r="K181" t="s">
        <v>7</v>
      </c>
      <c r="L181" s="5" t="s">
        <v>4753</v>
      </c>
      <c r="M181" t="s">
        <v>6939</v>
      </c>
      <c r="N181" t="s">
        <v>7534</v>
      </c>
      <c r="O181" t="s">
        <v>5072</v>
      </c>
      <c r="P181" t="s">
        <v>8021</v>
      </c>
      <c r="R181" t="b">
        <v>1</v>
      </c>
    </row>
    <row r="182" spans="1:18">
      <c r="A182" t="s">
        <v>3026</v>
      </c>
      <c r="B182" t="s">
        <v>3765</v>
      </c>
      <c r="C182" s="5" t="s">
        <v>7883</v>
      </c>
      <c r="D182" s="1">
        <v>1</v>
      </c>
      <c r="E182" s="1">
        <v>25</v>
      </c>
      <c r="F182" s="1">
        <v>197</v>
      </c>
      <c r="G182" s="1">
        <v>197</v>
      </c>
      <c r="H182" s="8" cm="1">
        <f t="array" ref="H182">_xlfn.LET(_xlpm.s,IFERROR(--F182,""),_xlpm.e,IFERROR(--G182,""),IF(OR(_xlpm.s="",_xlpm.e="",_xlpm.e&lt;_xlpm.s),"",_xlfn.LET(_xlpm.p,_xlfn.SEQUENCE(_xlpm.e-_xlpm.s+1,1,_xlpm.s,1),SUM(1/COUNTIFS($D:$D,D182,$E:$E,E182,$F:$F,"&lt;&gt;N/A",$G:$G,"&lt;&gt;N/A",$F:$F,"&lt;="&amp;_xlpm.p,$G:$G,"&gt;="&amp;_xlpm.p)))))</f>
        <v>0.5</v>
      </c>
      <c r="I182" t="s">
        <v>632</v>
      </c>
      <c r="J182" t="s">
        <v>703</v>
      </c>
      <c r="K182" t="s">
        <v>7</v>
      </c>
      <c r="L182" s="5" t="s">
        <v>7</v>
      </c>
      <c r="M182" t="s">
        <v>6939</v>
      </c>
      <c r="N182" s="5" t="s">
        <v>3252</v>
      </c>
      <c r="O182" t="s">
        <v>5072</v>
      </c>
      <c r="P182" t="s">
        <v>8021</v>
      </c>
      <c r="R182" t="b">
        <v>1</v>
      </c>
    </row>
    <row r="183" spans="1:18">
      <c r="A183" t="s">
        <v>3026</v>
      </c>
      <c r="B183" t="s">
        <v>3766</v>
      </c>
      <c r="C183" s="5" t="s">
        <v>7883</v>
      </c>
      <c r="D183" s="1">
        <v>1</v>
      </c>
      <c r="E183" s="1">
        <v>25</v>
      </c>
      <c r="F183" s="1">
        <v>198</v>
      </c>
      <c r="G183" s="1">
        <v>198</v>
      </c>
      <c r="H183" s="8" cm="1">
        <f t="array" ref="H183">_xlfn.LET(_xlpm.s,IFERROR(--F183,""),_xlpm.e,IFERROR(--G183,""),IF(OR(_xlpm.s="",_xlpm.e="",_xlpm.e&lt;_xlpm.s),"",_xlfn.LET(_xlpm.p,_xlfn.SEQUENCE(_xlpm.e-_xlpm.s+1,1,_xlpm.s,1),SUM(1/COUNTIFS($D:$D,D183,$E:$E,E183,$F:$F,"&lt;&gt;N/A",$G:$G,"&lt;&gt;N/A",$F:$F,"&lt;="&amp;_xlpm.p,$G:$G,"&gt;="&amp;_xlpm.p)))))</f>
        <v>1</v>
      </c>
      <c r="I183" t="s">
        <v>632</v>
      </c>
      <c r="J183" t="s">
        <v>704</v>
      </c>
      <c r="K183" t="s">
        <v>7</v>
      </c>
      <c r="L183" s="5" t="s">
        <v>7</v>
      </c>
      <c r="M183" t="s">
        <v>6939</v>
      </c>
      <c r="N183" s="5" t="s">
        <v>3253</v>
      </c>
      <c r="O183" t="s">
        <v>5072</v>
      </c>
      <c r="P183" t="s">
        <v>8021</v>
      </c>
      <c r="R183" t="b">
        <v>1</v>
      </c>
    </row>
    <row r="184" spans="1:18">
      <c r="A184" t="s">
        <v>3026</v>
      </c>
      <c r="B184" t="s">
        <v>3767</v>
      </c>
      <c r="C184" s="5" t="s">
        <v>7883</v>
      </c>
      <c r="D184" s="1">
        <v>1</v>
      </c>
      <c r="E184" s="1">
        <v>25</v>
      </c>
      <c r="F184" s="1">
        <v>199</v>
      </c>
      <c r="G184" s="1">
        <v>199</v>
      </c>
      <c r="H184" s="8" cm="1">
        <f t="array" ref="H184">_xlfn.LET(_xlpm.s,IFERROR(--F184,""),_xlpm.e,IFERROR(--G184,""),IF(OR(_xlpm.s="",_xlpm.e="",_xlpm.e&lt;_xlpm.s),"",_xlfn.LET(_xlpm.p,_xlfn.SEQUENCE(_xlpm.e-_xlpm.s+1,1,_xlpm.s,1),SUM(1/COUNTIFS($D:$D,D184,$E:$E,E184,$F:$F,"&lt;&gt;N/A",$G:$G,"&lt;&gt;N/A",$F:$F,"&lt;="&amp;_xlpm.p,$G:$G,"&gt;="&amp;_xlpm.p)))))</f>
        <v>0.5</v>
      </c>
      <c r="I184" t="s">
        <v>632</v>
      </c>
      <c r="J184" t="s">
        <v>7238</v>
      </c>
      <c r="K184" t="s">
        <v>4754</v>
      </c>
      <c r="L184" s="5" t="s">
        <v>7</v>
      </c>
      <c r="M184" t="s">
        <v>6939</v>
      </c>
      <c r="N184" s="5" t="s">
        <v>7443</v>
      </c>
      <c r="O184" t="s">
        <v>5072</v>
      </c>
      <c r="P184" t="s">
        <v>8021</v>
      </c>
      <c r="R184" t="b">
        <v>1</v>
      </c>
    </row>
    <row r="185" spans="1:18">
      <c r="A185" t="s">
        <v>3026</v>
      </c>
      <c r="B185" t="s">
        <v>3768</v>
      </c>
      <c r="C185" s="5" t="s">
        <v>7883</v>
      </c>
      <c r="D185" s="1">
        <v>1</v>
      </c>
      <c r="E185" s="1">
        <v>25</v>
      </c>
      <c r="F185" s="1">
        <v>199</v>
      </c>
      <c r="G185" s="1">
        <v>199</v>
      </c>
      <c r="H185" s="8" cm="1">
        <f t="array" ref="H185">_xlfn.LET(_xlpm.s,IFERROR(--F185,""),_xlpm.e,IFERROR(--G185,""),IF(OR(_xlpm.s="",_xlpm.e="",_xlpm.e&lt;_xlpm.s),"",_xlfn.LET(_xlpm.p,_xlfn.SEQUENCE(_xlpm.e-_xlpm.s+1,1,_xlpm.s,1),SUM(1/COUNTIFS($D:$D,D185,$E:$E,E185,$F:$F,"&lt;&gt;N/A",$G:$G,"&lt;&gt;N/A",$F:$F,"&lt;="&amp;_xlpm.p,$G:$G,"&gt;="&amp;_xlpm.p)))))</f>
        <v>0.5</v>
      </c>
      <c r="I185" t="s">
        <v>632</v>
      </c>
      <c r="J185" t="s">
        <v>7237</v>
      </c>
      <c r="K185" s="5" t="s">
        <v>7</v>
      </c>
      <c r="L185" s="5" t="s">
        <v>7</v>
      </c>
      <c r="M185" t="s">
        <v>6939</v>
      </c>
      <c r="N185" s="5" t="s">
        <v>7443</v>
      </c>
      <c r="O185" t="s">
        <v>5072</v>
      </c>
      <c r="P185" t="s">
        <v>8021</v>
      </c>
      <c r="R185" t="b">
        <v>1</v>
      </c>
    </row>
    <row r="186" spans="1:18">
      <c r="A186" t="s">
        <v>3026</v>
      </c>
      <c r="B186" t="s">
        <v>3769</v>
      </c>
      <c r="C186" s="5" t="s">
        <v>7883</v>
      </c>
      <c r="D186" s="1">
        <v>1</v>
      </c>
      <c r="E186" s="1">
        <v>25</v>
      </c>
      <c r="F186" s="1">
        <v>200</v>
      </c>
      <c r="G186" s="1">
        <v>200</v>
      </c>
      <c r="H186" s="8" cm="1">
        <f t="array" ref="H186">_xlfn.LET(_xlpm.s,IFERROR(--F186,""),_xlpm.e,IFERROR(--G186,""),IF(OR(_xlpm.s="",_xlpm.e="",_xlpm.e&lt;_xlpm.s),"",_xlfn.LET(_xlpm.p,_xlfn.SEQUENCE(_xlpm.e-_xlpm.s+1,1,_xlpm.s,1),SUM(1/COUNTIFS($D:$D,D186,$E:$E,E186,$F:$F,"&lt;&gt;N/A",$G:$G,"&lt;&gt;N/A",$F:$F,"&lt;="&amp;_xlpm.p,$G:$G,"&gt;="&amp;_xlpm.p)))))</f>
        <v>0.5</v>
      </c>
      <c r="I186" t="s">
        <v>632</v>
      </c>
      <c r="J186" t="s">
        <v>706</v>
      </c>
      <c r="K186" t="s">
        <v>7</v>
      </c>
      <c r="L186" s="5" t="s">
        <v>4755</v>
      </c>
      <c r="M186" t="s">
        <v>7</v>
      </c>
      <c r="N186" t="s">
        <v>7</v>
      </c>
      <c r="O186" t="s">
        <v>5072</v>
      </c>
      <c r="P186" t="s">
        <v>10164</v>
      </c>
      <c r="Q186" t="s">
        <v>2509</v>
      </c>
      <c r="R186" t="b">
        <v>1</v>
      </c>
    </row>
    <row r="187" spans="1:18">
      <c r="A187" t="s">
        <v>3026</v>
      </c>
      <c r="B187" t="s">
        <v>3770</v>
      </c>
      <c r="C187" s="5" t="s">
        <v>7883</v>
      </c>
      <c r="D187" s="1">
        <v>1</v>
      </c>
      <c r="E187" s="1">
        <v>25</v>
      </c>
      <c r="F187" s="1">
        <v>200</v>
      </c>
      <c r="G187" s="1">
        <v>200</v>
      </c>
      <c r="H187" s="8" cm="1">
        <f t="array" ref="H187">_xlfn.LET(_xlpm.s,IFERROR(--F187,""),_xlpm.e,IFERROR(--G187,""),IF(OR(_xlpm.s="",_xlpm.e="",_xlpm.e&lt;_xlpm.s),"",_xlfn.LET(_xlpm.p,_xlfn.SEQUENCE(_xlpm.e-_xlpm.s+1,1,_xlpm.s,1),SUM(1/COUNTIFS($D:$D,D187,$E:$E,E187,$F:$F,"&lt;&gt;N/A",$G:$G,"&lt;&gt;N/A",$F:$F,"&lt;="&amp;_xlpm.p,$G:$G,"&gt;="&amp;_xlpm.p)))))</f>
        <v>0.5</v>
      </c>
      <c r="I187" t="s">
        <v>637</v>
      </c>
      <c r="J187" t="s">
        <v>707</v>
      </c>
      <c r="K187" t="s">
        <v>7</v>
      </c>
      <c r="L187" s="5" t="s">
        <v>7</v>
      </c>
      <c r="M187" t="s">
        <v>7</v>
      </c>
      <c r="N187" t="s">
        <v>7</v>
      </c>
      <c r="O187" t="s">
        <v>778</v>
      </c>
      <c r="P187" t="s">
        <v>7834</v>
      </c>
      <c r="R187" t="b">
        <v>1</v>
      </c>
    </row>
    <row r="188" spans="1:18">
      <c r="A188" t="s">
        <v>3026</v>
      </c>
      <c r="B188" t="s">
        <v>10670</v>
      </c>
      <c r="C188" s="5" t="s">
        <v>7859</v>
      </c>
      <c r="D188" s="1">
        <v>1</v>
      </c>
      <c r="E188" s="1">
        <v>26</v>
      </c>
      <c r="F188" s="1">
        <v>201</v>
      </c>
      <c r="G188" s="1">
        <v>204</v>
      </c>
      <c r="H188" s="8" cm="1">
        <f t="array" ref="H188">_xlfn.LET(_xlpm.s,IFERROR(--F188,""),_xlpm.e,IFERROR(--G188,""),IF(OR(_xlpm.s="",_xlpm.e="",_xlpm.e&lt;_xlpm.s),"",_xlfn.LET(_xlpm.p,_xlfn.SEQUENCE(_xlpm.e-_xlpm.s+1,1,_xlpm.s,1),SUM(1/COUNTIFS($D:$D,D188,$E:$E,E188,$F:$F,"&lt;&gt;N/A",$G:$G,"&lt;&gt;N/A",$F:$F,"&lt;="&amp;_xlpm.p,$G:$G,"&gt;="&amp;_xlpm.p)))))</f>
        <v>3.5</v>
      </c>
      <c r="I188" t="s">
        <v>14</v>
      </c>
      <c r="J188" t="s">
        <v>708</v>
      </c>
      <c r="K188" t="s">
        <v>4751</v>
      </c>
      <c r="L188" s="5" t="s">
        <v>4752</v>
      </c>
      <c r="M188" s="5" t="s">
        <v>6944</v>
      </c>
      <c r="N188" t="s">
        <v>3255</v>
      </c>
      <c r="O188" t="s">
        <v>10264</v>
      </c>
      <c r="P188" t="s">
        <v>8021</v>
      </c>
      <c r="R188" t="b">
        <v>1</v>
      </c>
    </row>
    <row r="189" spans="1:18">
      <c r="A189" t="s">
        <v>3026</v>
      </c>
      <c r="B189" t="s">
        <v>10671</v>
      </c>
      <c r="C189" s="5" t="s">
        <v>7859</v>
      </c>
      <c r="D189" s="1">
        <v>1</v>
      </c>
      <c r="E189" s="1">
        <v>26</v>
      </c>
      <c r="F189" s="1">
        <v>204</v>
      </c>
      <c r="G189" s="1">
        <v>205</v>
      </c>
      <c r="H189" s="8" cm="1">
        <f t="array" ref="H189">_xlfn.LET(_xlpm.s,IFERROR(--F189,""),_xlpm.e,IFERROR(--G189,""),IF(OR(_xlpm.s="",_xlpm.e="",_xlpm.e&lt;_xlpm.s),"",_xlfn.LET(_xlpm.p,_xlfn.SEQUENCE(_xlpm.e-_xlpm.s+1,1,_xlpm.s,1),SUM(1/COUNTIFS($D:$D,D189,$E:$E,E189,$F:$F,"&lt;&gt;N/A",$G:$G,"&lt;&gt;N/A",$F:$F,"&lt;="&amp;_xlpm.p,$G:$G,"&gt;="&amp;_xlpm.p)))))</f>
        <v>1</v>
      </c>
      <c r="I189" t="s">
        <v>14</v>
      </c>
      <c r="J189" t="s">
        <v>709</v>
      </c>
      <c r="K189" t="s">
        <v>7</v>
      </c>
      <c r="L189" s="5" t="s">
        <v>7</v>
      </c>
      <c r="M189" t="s">
        <v>7</v>
      </c>
      <c r="N189" t="s">
        <v>7</v>
      </c>
      <c r="O189" t="s">
        <v>778</v>
      </c>
      <c r="P189" t="s">
        <v>7834</v>
      </c>
      <c r="R189" t="b">
        <v>1</v>
      </c>
    </row>
    <row r="190" spans="1:18">
      <c r="A190" t="s">
        <v>3026</v>
      </c>
      <c r="B190" t="s">
        <v>3771</v>
      </c>
      <c r="C190" s="5" t="s">
        <v>7859</v>
      </c>
      <c r="D190" s="1">
        <v>1</v>
      </c>
      <c r="E190" s="1">
        <v>26</v>
      </c>
      <c r="F190" s="1">
        <v>205</v>
      </c>
      <c r="G190" s="1">
        <v>206</v>
      </c>
      <c r="H190" s="8" cm="1">
        <f t="array" ref="H190">_xlfn.LET(_xlpm.s,IFERROR(--F190,""),_xlpm.e,IFERROR(--G190,""),IF(OR(_xlpm.s="",_xlpm.e="",_xlpm.e&lt;_xlpm.s),"",_xlfn.LET(_xlpm.p,_xlfn.SEQUENCE(_xlpm.e-_xlpm.s+1,1,_xlpm.s,1),SUM(1/COUNTIFS($D:$D,D190,$E:$E,E190,$F:$F,"&lt;&gt;N/A",$G:$G,"&lt;&gt;N/A",$F:$F,"&lt;="&amp;_xlpm.p,$G:$G,"&gt;="&amp;_xlpm.p)))))</f>
        <v>1</v>
      </c>
      <c r="I190" t="s">
        <v>687</v>
      </c>
      <c r="J190" t="s">
        <v>710</v>
      </c>
      <c r="K190" t="s">
        <v>1227</v>
      </c>
      <c r="L190" s="5" t="s">
        <v>4756</v>
      </c>
      <c r="M190" t="s">
        <v>7</v>
      </c>
      <c r="N190" t="s">
        <v>7</v>
      </c>
      <c r="O190" t="s">
        <v>5072</v>
      </c>
      <c r="P190" t="s">
        <v>8021</v>
      </c>
      <c r="R190" t="b">
        <v>1</v>
      </c>
    </row>
    <row r="191" spans="1:18">
      <c r="A191" t="s">
        <v>3026</v>
      </c>
      <c r="B191" t="s">
        <v>3772</v>
      </c>
      <c r="C191" s="5" t="s">
        <v>7859</v>
      </c>
      <c r="D191" s="1">
        <v>1</v>
      </c>
      <c r="E191" s="1">
        <v>26</v>
      </c>
      <c r="F191" s="1">
        <v>206</v>
      </c>
      <c r="G191" s="1">
        <v>208</v>
      </c>
      <c r="H191" s="8" cm="1">
        <f t="array" ref="H191">_xlfn.LET(_xlpm.s,IFERROR(--F191,""),_xlpm.e,IFERROR(--G191,""),IF(OR(_xlpm.s="",_xlpm.e="",_xlpm.e&lt;_xlpm.s),"",_xlfn.LET(_xlpm.p,_xlfn.SEQUENCE(_xlpm.e-_xlpm.s+1,1,_xlpm.s,1),SUM(1/COUNTIFS($D:$D,D191,$E:$E,E191,$F:$F,"&lt;&gt;N/A",$G:$G,"&lt;&gt;N/A",$F:$F,"&lt;="&amp;_xlpm.p,$G:$G,"&gt;="&amp;_xlpm.p)))))</f>
        <v>2</v>
      </c>
      <c r="I191" t="s">
        <v>632</v>
      </c>
      <c r="J191" t="s">
        <v>7243</v>
      </c>
      <c r="K191" t="s">
        <v>7</v>
      </c>
      <c r="L191" s="5" t="s">
        <v>4757</v>
      </c>
      <c r="M191" t="s">
        <v>6939</v>
      </c>
      <c r="N191" t="s">
        <v>7530</v>
      </c>
      <c r="O191" t="s">
        <v>5072</v>
      </c>
      <c r="P191" t="s">
        <v>8021</v>
      </c>
      <c r="R191" t="b">
        <v>1</v>
      </c>
    </row>
    <row r="192" spans="1:18">
      <c r="A192" t="s">
        <v>3026</v>
      </c>
      <c r="B192" t="s">
        <v>3773</v>
      </c>
      <c r="C192" s="5" t="s">
        <v>7859</v>
      </c>
      <c r="D192" s="1">
        <v>1</v>
      </c>
      <c r="E192" s="1">
        <v>26</v>
      </c>
      <c r="F192" s="1">
        <v>208</v>
      </c>
      <c r="G192" s="1">
        <v>208</v>
      </c>
      <c r="H192" s="8" cm="1">
        <f t="array" ref="H192">_xlfn.LET(_xlpm.s,IFERROR(--F192,""),_xlpm.e,IFERROR(--G192,""),IF(OR(_xlpm.s="",_xlpm.e="",_xlpm.e&lt;_xlpm.s),"",_xlfn.LET(_xlpm.p,_xlfn.SEQUENCE(_xlpm.e-_xlpm.s+1,1,_xlpm.s,1),SUM(1/COUNTIFS($D:$D,D192,$E:$E,E192,$F:$F,"&lt;&gt;N/A",$G:$G,"&lt;&gt;N/A",$F:$F,"&lt;="&amp;_xlpm.p,$G:$G,"&gt;="&amp;_xlpm.p)))))</f>
        <v>0.5</v>
      </c>
      <c r="I192" t="s">
        <v>632</v>
      </c>
      <c r="J192" t="s">
        <v>7454</v>
      </c>
      <c r="K192" t="s">
        <v>7</v>
      </c>
      <c r="L192" s="5" t="s">
        <v>4758</v>
      </c>
      <c r="M192" t="s">
        <v>6939</v>
      </c>
      <c r="N192" t="s">
        <v>7531</v>
      </c>
      <c r="O192" t="s">
        <v>5072</v>
      </c>
      <c r="P192" t="s">
        <v>8021</v>
      </c>
      <c r="R192" t="b">
        <v>1</v>
      </c>
    </row>
    <row r="193" spans="1:18">
      <c r="A193" t="s">
        <v>3026</v>
      </c>
      <c r="B193" t="s">
        <v>10672</v>
      </c>
      <c r="C193" s="5" t="s">
        <v>7860</v>
      </c>
      <c r="D193" s="1">
        <v>1</v>
      </c>
      <c r="E193" s="1">
        <v>27</v>
      </c>
      <c r="F193" s="1">
        <v>208</v>
      </c>
      <c r="G193" s="1">
        <v>209</v>
      </c>
      <c r="H193" s="8" cm="1">
        <f t="array" ref="H193">_xlfn.LET(_xlpm.s,IFERROR(--F193,""),_xlpm.e,IFERROR(--G193,""),IF(OR(_xlpm.s="",_xlpm.e="",_xlpm.e&lt;_xlpm.s),"",_xlfn.LET(_xlpm.p,_xlfn.SEQUENCE(_xlpm.e-_xlpm.s+1,1,_xlpm.s,1),SUM(1/COUNTIFS($D:$D,D193,$E:$E,E193,$F:$F,"&lt;&gt;N/A",$G:$G,"&lt;&gt;N/A",$F:$F,"&lt;="&amp;_xlpm.p,$G:$G,"&gt;="&amp;_xlpm.p)))))</f>
        <v>1.5</v>
      </c>
      <c r="I193" t="s">
        <v>711</v>
      </c>
      <c r="J193" t="s">
        <v>712</v>
      </c>
      <c r="K193" t="s">
        <v>7</v>
      </c>
      <c r="L193" s="5" t="s">
        <v>7</v>
      </c>
      <c r="M193" s="5" t="s">
        <v>7</v>
      </c>
      <c r="N193" t="s">
        <v>7</v>
      </c>
      <c r="O193" t="s">
        <v>778</v>
      </c>
      <c r="P193" t="s">
        <v>7834</v>
      </c>
      <c r="R193" t="b">
        <v>1</v>
      </c>
    </row>
    <row r="194" spans="1:18">
      <c r="A194" t="s">
        <v>3026</v>
      </c>
      <c r="B194" t="s">
        <v>10673</v>
      </c>
      <c r="C194" s="5" t="s">
        <v>7860</v>
      </c>
      <c r="D194" s="1">
        <v>1</v>
      </c>
      <c r="E194" s="1">
        <v>27</v>
      </c>
      <c r="F194" s="1">
        <v>209</v>
      </c>
      <c r="G194" s="1">
        <v>213</v>
      </c>
      <c r="H194" s="8" cm="1">
        <f t="array" ref="H194">_xlfn.LET(_xlpm.s,IFERROR(--F194,""),_xlpm.e,IFERROR(--G194,""),IF(OR(_xlpm.s="",_xlpm.e="",_xlpm.e&lt;_xlpm.s),"",_xlfn.LET(_xlpm.p,_xlfn.SEQUENCE(_xlpm.e-_xlpm.s+1,1,_xlpm.s,1),SUM(1/COUNTIFS($D:$D,D194,$E:$E,E194,$F:$F,"&lt;&gt;N/A",$G:$G,"&lt;&gt;N/A",$F:$F,"&lt;="&amp;_xlpm.p,$G:$G,"&gt;="&amp;_xlpm.p)))))</f>
        <v>4</v>
      </c>
      <c r="I194" t="s">
        <v>713</v>
      </c>
      <c r="J194" t="s">
        <v>714</v>
      </c>
      <c r="K194" t="s">
        <v>7</v>
      </c>
      <c r="L194" s="5" t="s">
        <v>4759</v>
      </c>
      <c r="M194" t="s">
        <v>6946</v>
      </c>
      <c r="N194" t="s">
        <v>7657</v>
      </c>
      <c r="O194" t="s">
        <v>5072</v>
      </c>
      <c r="P194" s="5" t="s">
        <v>8092</v>
      </c>
      <c r="Q194" t="s">
        <v>2509</v>
      </c>
      <c r="R194" t="b">
        <v>1</v>
      </c>
    </row>
    <row r="195" spans="1:18">
      <c r="A195" t="s">
        <v>3026</v>
      </c>
      <c r="B195" t="s">
        <v>3774</v>
      </c>
      <c r="C195" s="5" t="s">
        <v>7860</v>
      </c>
      <c r="D195" s="1">
        <v>1</v>
      </c>
      <c r="E195" s="1">
        <v>27</v>
      </c>
      <c r="F195" s="1">
        <v>213</v>
      </c>
      <c r="G195" s="1">
        <v>213</v>
      </c>
      <c r="H195" s="8" cm="1">
        <f t="array" ref="H195">_xlfn.LET(_xlpm.s,IFERROR(--F195,""),_xlpm.e,IFERROR(--G195,""),IF(OR(_xlpm.s="",_xlpm.e="",_xlpm.e&lt;_xlpm.s),"",_xlfn.LET(_xlpm.p,_xlfn.SEQUENCE(_xlpm.e-_xlpm.s+1,1,_xlpm.s,1),SUM(1/COUNTIFS($D:$D,D195,$E:$E,E195,$F:$F,"&lt;&gt;N/A",$G:$G,"&lt;&gt;N/A",$F:$F,"&lt;="&amp;_xlpm.p,$G:$G,"&gt;="&amp;_xlpm.p)))))</f>
        <v>0.5</v>
      </c>
      <c r="I195" t="s">
        <v>200</v>
      </c>
      <c r="J195" t="s">
        <v>715</v>
      </c>
      <c r="K195" t="s">
        <v>7</v>
      </c>
      <c r="L195" s="5" t="s">
        <v>4760</v>
      </c>
      <c r="M195" t="s">
        <v>6939</v>
      </c>
      <c r="N195" t="s">
        <v>7528</v>
      </c>
      <c r="O195" t="s">
        <v>5072</v>
      </c>
      <c r="P195" t="s">
        <v>8021</v>
      </c>
      <c r="Q195" t="s">
        <v>2509</v>
      </c>
      <c r="R195" t="b">
        <v>1</v>
      </c>
    </row>
    <row r="196" spans="1:18">
      <c r="A196" t="s">
        <v>3026</v>
      </c>
      <c r="B196" t="s">
        <v>3775</v>
      </c>
      <c r="C196" s="5" t="s">
        <v>7860</v>
      </c>
      <c r="D196" s="1">
        <v>1</v>
      </c>
      <c r="E196" s="1">
        <v>27</v>
      </c>
      <c r="F196" s="1">
        <v>214</v>
      </c>
      <c r="G196" s="1">
        <v>215</v>
      </c>
      <c r="H196" s="8" cm="1">
        <f t="array" ref="H196">_xlfn.LET(_xlpm.s,IFERROR(--F196,""),_xlpm.e,IFERROR(--G196,""),IF(OR(_xlpm.s="",_xlpm.e="",_xlpm.e&lt;_xlpm.s),"",_xlfn.LET(_xlpm.p,_xlfn.SEQUENCE(_xlpm.e-_xlpm.s+1,1,_xlpm.s,1),SUM(1/COUNTIFS($D:$D,D196,$E:$E,E196,$F:$F,"&lt;&gt;N/A",$G:$G,"&lt;&gt;N/A",$F:$F,"&lt;="&amp;_xlpm.p,$G:$G,"&gt;="&amp;_xlpm.p)))))</f>
        <v>1.5</v>
      </c>
      <c r="I196" t="s">
        <v>200</v>
      </c>
      <c r="J196" t="s">
        <v>716</v>
      </c>
      <c r="K196" t="s">
        <v>717</v>
      </c>
      <c r="L196" s="5" t="s">
        <v>4761</v>
      </c>
      <c r="M196" t="s">
        <v>6939</v>
      </c>
      <c r="N196" t="s">
        <v>7529</v>
      </c>
      <c r="O196" t="s">
        <v>5072</v>
      </c>
      <c r="P196" t="s">
        <v>8021</v>
      </c>
      <c r="R196" t="b">
        <v>1</v>
      </c>
    </row>
    <row r="197" spans="1:18">
      <c r="A197" t="s">
        <v>3026</v>
      </c>
      <c r="B197" t="s">
        <v>3776</v>
      </c>
      <c r="C197" s="5" t="s">
        <v>7860</v>
      </c>
      <c r="D197" s="1">
        <v>1</v>
      </c>
      <c r="E197" s="1">
        <v>27</v>
      </c>
      <c r="F197" s="1">
        <v>215</v>
      </c>
      <c r="G197" s="1">
        <v>215</v>
      </c>
      <c r="H197" s="8" cm="1">
        <f t="array" ref="H197">_xlfn.LET(_xlpm.s,IFERROR(--F197,""),_xlpm.e,IFERROR(--G197,""),IF(OR(_xlpm.s="",_xlpm.e="",_xlpm.e&lt;_xlpm.s),"",_xlfn.LET(_xlpm.p,_xlfn.SEQUENCE(_xlpm.e-_xlpm.s+1,1,_xlpm.s,1),SUM(1/COUNTIFS($D:$D,D197,$E:$E,E197,$F:$F,"&lt;&gt;N/A",$G:$G,"&lt;&gt;N/A",$F:$F,"&lt;="&amp;_xlpm.p,$G:$G,"&gt;="&amp;_xlpm.p)))))</f>
        <v>0.5</v>
      </c>
      <c r="I197" t="s">
        <v>637</v>
      </c>
      <c r="J197" t="s">
        <v>2877</v>
      </c>
      <c r="K197" t="s">
        <v>7</v>
      </c>
      <c r="L197" s="5" t="s">
        <v>7</v>
      </c>
      <c r="M197" s="5" t="s">
        <v>7</v>
      </c>
      <c r="N197" t="s">
        <v>7</v>
      </c>
      <c r="O197" t="s">
        <v>778</v>
      </c>
      <c r="P197" t="s">
        <v>7834</v>
      </c>
      <c r="R197" t="b">
        <v>1</v>
      </c>
    </row>
    <row r="198" spans="1:18">
      <c r="A198" t="s">
        <v>3026</v>
      </c>
      <c r="B198" t="s">
        <v>3777</v>
      </c>
      <c r="C198" s="5" t="s">
        <v>7860</v>
      </c>
      <c r="D198" s="1">
        <v>1</v>
      </c>
      <c r="E198" s="1">
        <v>27</v>
      </c>
      <c r="F198" s="1">
        <v>216</v>
      </c>
      <c r="G198" s="1">
        <v>216</v>
      </c>
      <c r="H198" s="8" cm="1">
        <f t="array" ref="H198">_xlfn.LET(_xlpm.s,IFERROR(--F198,""),_xlpm.e,IFERROR(--G198,""),IF(OR(_xlpm.s="",_xlpm.e="",_xlpm.e&lt;_xlpm.s),"",_xlfn.LET(_xlpm.p,_xlfn.SEQUENCE(_xlpm.e-_xlpm.s+1,1,_xlpm.s,1),SUM(1/COUNTIFS($D:$D,D198,$E:$E,E198,$F:$F,"&lt;&gt;N/A",$G:$G,"&lt;&gt;N/A",$F:$F,"&lt;="&amp;_xlpm.p,$G:$G,"&gt;="&amp;_xlpm.p)))))</f>
        <v>0.25</v>
      </c>
      <c r="I198" t="s">
        <v>637</v>
      </c>
      <c r="J198" t="s">
        <v>2876</v>
      </c>
      <c r="K198" t="s">
        <v>7</v>
      </c>
      <c r="L198" s="5" t="s">
        <v>7</v>
      </c>
      <c r="M198" s="5" t="s">
        <v>7</v>
      </c>
      <c r="N198" t="s">
        <v>7</v>
      </c>
      <c r="O198" t="s">
        <v>778</v>
      </c>
      <c r="P198" t="s">
        <v>7834</v>
      </c>
      <c r="R198" t="b">
        <v>1</v>
      </c>
    </row>
    <row r="199" spans="1:18">
      <c r="A199" t="s">
        <v>3026</v>
      </c>
      <c r="B199" t="s">
        <v>3778</v>
      </c>
      <c r="C199" s="5" t="s">
        <v>7860</v>
      </c>
      <c r="D199" s="1">
        <v>1</v>
      </c>
      <c r="E199" s="1">
        <v>27</v>
      </c>
      <c r="F199" s="1">
        <v>216</v>
      </c>
      <c r="G199" s="1">
        <v>216</v>
      </c>
      <c r="H199" s="8" cm="1">
        <f t="array" ref="H199">_xlfn.LET(_xlpm.s,IFERROR(--F199,""),_xlpm.e,IFERROR(--G199,""),IF(OR(_xlpm.s="",_xlpm.e="",_xlpm.e&lt;_xlpm.s),"",_xlfn.LET(_xlpm.p,_xlfn.SEQUENCE(_xlpm.e-_xlpm.s+1,1,_xlpm.s,1),SUM(1/COUNTIFS($D:$D,D199,$E:$E,E199,$F:$F,"&lt;&gt;N/A",$G:$G,"&lt;&gt;N/A",$F:$F,"&lt;="&amp;_xlpm.p,$G:$G,"&gt;="&amp;_xlpm.p)))))</f>
        <v>0.25</v>
      </c>
      <c r="I199" t="s">
        <v>637</v>
      </c>
      <c r="J199" t="s">
        <v>2875</v>
      </c>
      <c r="K199" t="s">
        <v>644</v>
      </c>
      <c r="L199" s="5" t="s">
        <v>7</v>
      </c>
      <c r="M199" s="5" t="s">
        <v>7</v>
      </c>
      <c r="N199" t="s">
        <v>7</v>
      </c>
      <c r="O199" t="s">
        <v>778</v>
      </c>
      <c r="P199" t="s">
        <v>7834</v>
      </c>
      <c r="R199" t="b">
        <v>1</v>
      </c>
    </row>
    <row r="200" spans="1:18">
      <c r="A200" t="s">
        <v>3026</v>
      </c>
      <c r="B200" t="s">
        <v>3779</v>
      </c>
      <c r="C200" s="5" t="s">
        <v>7860</v>
      </c>
      <c r="D200" s="1">
        <v>1</v>
      </c>
      <c r="E200" s="1">
        <v>27</v>
      </c>
      <c r="F200" s="1">
        <v>216</v>
      </c>
      <c r="G200" s="1">
        <v>216</v>
      </c>
      <c r="H200" s="8" cm="1">
        <f t="array" ref="H200">_xlfn.LET(_xlpm.s,IFERROR(--F200,""),_xlpm.e,IFERROR(--G200,""),IF(OR(_xlpm.s="",_xlpm.e="",_xlpm.e&lt;_xlpm.s),"",_xlfn.LET(_xlpm.p,_xlfn.SEQUENCE(_xlpm.e-_xlpm.s+1,1,_xlpm.s,1),SUM(1/COUNTIFS($D:$D,D200,$E:$E,E200,$F:$F,"&lt;&gt;N/A",$G:$G,"&lt;&gt;N/A",$F:$F,"&lt;="&amp;_xlpm.p,$G:$G,"&gt;="&amp;_xlpm.p)))))</f>
        <v>0.25</v>
      </c>
      <c r="I200" t="s">
        <v>637</v>
      </c>
      <c r="J200" t="s">
        <v>718</v>
      </c>
      <c r="K200" t="s">
        <v>7</v>
      </c>
      <c r="L200" s="5" t="s">
        <v>7</v>
      </c>
      <c r="M200" t="s">
        <v>7</v>
      </c>
      <c r="N200" t="s">
        <v>7</v>
      </c>
      <c r="O200" t="s">
        <v>11522</v>
      </c>
      <c r="P200" t="s">
        <v>8021</v>
      </c>
      <c r="Q200" t="s">
        <v>3243</v>
      </c>
      <c r="R200" t="b">
        <v>1</v>
      </c>
    </row>
    <row r="201" spans="1:18">
      <c r="A201" t="s">
        <v>3026</v>
      </c>
      <c r="B201" t="s">
        <v>3780</v>
      </c>
      <c r="C201" s="5" t="s">
        <v>7860</v>
      </c>
      <c r="D201" s="1">
        <v>1</v>
      </c>
      <c r="E201" s="1">
        <v>27</v>
      </c>
      <c r="F201" s="1">
        <v>216</v>
      </c>
      <c r="G201" s="1">
        <v>216</v>
      </c>
      <c r="H201" s="8" cm="1">
        <f t="array" ref="H201">_xlfn.LET(_xlpm.s,IFERROR(--F201,""),_xlpm.e,IFERROR(--G201,""),IF(OR(_xlpm.s="",_xlpm.e="",_xlpm.e&lt;_xlpm.s),"",_xlfn.LET(_xlpm.p,_xlfn.SEQUENCE(_xlpm.e-_xlpm.s+1,1,_xlpm.s,1),SUM(1/COUNTIFS($D:$D,D201,$E:$E,E201,$F:$F,"&lt;&gt;N/A",$G:$G,"&lt;&gt;N/A",$F:$F,"&lt;="&amp;_xlpm.p,$G:$G,"&gt;="&amp;_xlpm.p)))))</f>
        <v>0.25</v>
      </c>
      <c r="I201" t="s">
        <v>637</v>
      </c>
      <c r="J201" t="s">
        <v>719</v>
      </c>
      <c r="K201" t="s">
        <v>7</v>
      </c>
      <c r="L201" s="5" t="s">
        <v>7</v>
      </c>
      <c r="M201" s="5" t="s">
        <v>7</v>
      </c>
      <c r="N201" t="s">
        <v>7</v>
      </c>
      <c r="O201" t="s">
        <v>778</v>
      </c>
      <c r="P201" t="s">
        <v>7834</v>
      </c>
      <c r="R201" t="b">
        <v>1</v>
      </c>
    </row>
    <row r="202" spans="1:18">
      <c r="A202" t="s">
        <v>3026</v>
      </c>
      <c r="B202" t="s">
        <v>10674</v>
      </c>
      <c r="C202" s="5" t="s">
        <v>7861</v>
      </c>
      <c r="D202" s="1">
        <v>1</v>
      </c>
      <c r="E202" s="1">
        <v>28</v>
      </c>
      <c r="F202" s="1">
        <v>217</v>
      </c>
      <c r="G202" s="1">
        <v>220</v>
      </c>
      <c r="H202" s="8" cm="1">
        <f t="array" ref="H202">_xlfn.LET(_xlpm.s,IFERROR(--F202,""),_xlpm.e,IFERROR(--G202,""),IF(OR(_xlpm.s="",_xlpm.e="",_xlpm.e&lt;_xlpm.s),"",_xlfn.LET(_xlpm.p,_xlfn.SEQUENCE(_xlpm.e-_xlpm.s+1,1,_xlpm.s,1),SUM(1/COUNTIFS($D:$D,D202,$E:$E,E202,$F:$F,"&lt;&gt;N/A",$G:$G,"&lt;&gt;N/A",$F:$F,"&lt;="&amp;_xlpm.p,$G:$G,"&gt;="&amp;_xlpm.p)))))</f>
        <v>3.5</v>
      </c>
      <c r="I202" t="s">
        <v>713</v>
      </c>
      <c r="J202" t="s">
        <v>720</v>
      </c>
      <c r="K202" t="s">
        <v>644</v>
      </c>
      <c r="L202" s="5" t="s">
        <v>7</v>
      </c>
      <c r="M202" s="5" t="s">
        <v>7</v>
      </c>
      <c r="N202" t="s">
        <v>7</v>
      </c>
      <c r="O202" t="s">
        <v>778</v>
      </c>
      <c r="P202" t="s">
        <v>7834</v>
      </c>
      <c r="R202" t="b">
        <v>1</v>
      </c>
    </row>
    <row r="203" spans="1:18">
      <c r="A203" t="s">
        <v>3026</v>
      </c>
      <c r="B203" t="s">
        <v>10675</v>
      </c>
      <c r="C203" s="5" t="s">
        <v>7861</v>
      </c>
      <c r="D203" s="1">
        <v>1</v>
      </c>
      <c r="E203" s="1">
        <v>28</v>
      </c>
      <c r="F203" s="1">
        <v>220</v>
      </c>
      <c r="G203" s="1">
        <v>221</v>
      </c>
      <c r="H203" s="8" cm="1">
        <f t="array" ref="H203">_xlfn.LET(_xlpm.s,IFERROR(--F203,""),_xlpm.e,IFERROR(--G203,""),IF(OR(_xlpm.s="",_xlpm.e="",_xlpm.e&lt;_xlpm.s),"",_xlfn.LET(_xlpm.p,_xlfn.SEQUENCE(_xlpm.e-_xlpm.s+1,1,_xlpm.s,1),SUM(1/COUNTIFS($D:$D,D203,$E:$E,E203,$F:$F,"&lt;&gt;N/A",$G:$G,"&lt;&gt;N/A",$F:$F,"&lt;="&amp;_xlpm.p,$G:$G,"&gt;="&amp;_xlpm.p)))))</f>
        <v>1.5</v>
      </c>
      <c r="I203" t="s">
        <v>721</v>
      </c>
      <c r="J203" t="s">
        <v>7246</v>
      </c>
      <c r="K203" t="s">
        <v>722</v>
      </c>
      <c r="L203" s="5" t="s">
        <v>4762</v>
      </c>
      <c r="M203" s="5" t="s">
        <v>7511</v>
      </c>
      <c r="N203" t="s">
        <v>7665</v>
      </c>
      <c r="O203" t="s">
        <v>5072</v>
      </c>
      <c r="P203" t="s">
        <v>8021</v>
      </c>
      <c r="Q203" t="s">
        <v>2509</v>
      </c>
      <c r="R203" t="b">
        <v>1</v>
      </c>
    </row>
    <row r="204" spans="1:18">
      <c r="A204" t="s">
        <v>3026</v>
      </c>
      <c r="B204" t="s">
        <v>3781</v>
      </c>
      <c r="C204" s="5" t="s">
        <v>7861</v>
      </c>
      <c r="D204" s="1">
        <v>1</v>
      </c>
      <c r="E204" s="1">
        <v>28</v>
      </c>
      <c r="F204" s="1">
        <v>222</v>
      </c>
      <c r="G204" s="1">
        <v>222</v>
      </c>
      <c r="H204" s="8" cm="1">
        <f t="array" ref="H204">_xlfn.LET(_xlpm.s,IFERROR(--F204,""),_xlpm.e,IFERROR(--G204,""),IF(OR(_xlpm.s="",_xlpm.e="",_xlpm.e&lt;_xlpm.s),"",_xlfn.LET(_xlpm.p,_xlfn.SEQUENCE(_xlpm.e-_xlpm.s+1,1,_xlpm.s,1),SUM(1/COUNTIFS($D:$D,D204,$E:$E,E204,$F:$F,"&lt;&gt;N/A",$G:$G,"&lt;&gt;N/A",$F:$F,"&lt;="&amp;_xlpm.p,$G:$G,"&gt;="&amp;_xlpm.p)))))</f>
        <v>0.16666666666666666</v>
      </c>
      <c r="I204" t="s">
        <v>205</v>
      </c>
      <c r="J204" t="s">
        <v>2878</v>
      </c>
      <c r="K204" t="s">
        <v>7</v>
      </c>
      <c r="L204" s="5" t="s">
        <v>4763</v>
      </c>
      <c r="M204" t="s">
        <v>7</v>
      </c>
      <c r="N204" t="s">
        <v>7</v>
      </c>
      <c r="O204" t="s">
        <v>11522</v>
      </c>
      <c r="P204" t="s">
        <v>8021</v>
      </c>
      <c r="R204" t="b">
        <v>1</v>
      </c>
    </row>
    <row r="205" spans="1:18">
      <c r="A205" t="s">
        <v>3026</v>
      </c>
      <c r="B205" t="s">
        <v>3782</v>
      </c>
      <c r="C205" s="5" t="s">
        <v>7861</v>
      </c>
      <c r="D205" s="1">
        <v>1</v>
      </c>
      <c r="E205" s="1">
        <v>28</v>
      </c>
      <c r="F205" s="1">
        <v>222</v>
      </c>
      <c r="G205" s="1">
        <v>222</v>
      </c>
      <c r="H205" s="8" cm="1">
        <f t="array" ref="H205">_xlfn.LET(_xlpm.s,IFERROR(--F205,""),_xlpm.e,IFERROR(--G205,""),IF(OR(_xlpm.s="",_xlpm.e="",_xlpm.e&lt;_xlpm.s),"",_xlfn.LET(_xlpm.p,_xlfn.SEQUENCE(_xlpm.e-_xlpm.s+1,1,_xlpm.s,1),SUM(1/COUNTIFS($D:$D,D205,$E:$E,E205,$F:$F,"&lt;&gt;N/A",$G:$G,"&lt;&gt;N/A",$F:$F,"&lt;="&amp;_xlpm.p,$G:$G,"&gt;="&amp;_xlpm.p)))))</f>
        <v>0.16666666666666666</v>
      </c>
      <c r="I205" t="s">
        <v>205</v>
      </c>
      <c r="J205" t="s">
        <v>2879</v>
      </c>
      <c r="K205" t="s">
        <v>7</v>
      </c>
      <c r="L205" s="5" t="s">
        <v>4764</v>
      </c>
      <c r="M205" t="s">
        <v>7270</v>
      </c>
      <c r="N205" t="s">
        <v>7407</v>
      </c>
      <c r="O205" t="s">
        <v>11522</v>
      </c>
      <c r="P205" t="s">
        <v>8021</v>
      </c>
      <c r="R205" t="b">
        <v>1</v>
      </c>
    </row>
    <row r="206" spans="1:18">
      <c r="A206" t="s">
        <v>3026</v>
      </c>
      <c r="B206" t="s">
        <v>3783</v>
      </c>
      <c r="C206" s="5" t="s">
        <v>7861</v>
      </c>
      <c r="D206" s="1">
        <v>1</v>
      </c>
      <c r="E206" s="1">
        <v>28</v>
      </c>
      <c r="F206" s="1">
        <v>222</v>
      </c>
      <c r="G206" s="1">
        <v>222</v>
      </c>
      <c r="H206" s="8" cm="1">
        <f t="array" ref="H206">_xlfn.LET(_xlpm.s,IFERROR(--F206,""),_xlpm.e,IFERROR(--G206,""),IF(OR(_xlpm.s="",_xlpm.e="",_xlpm.e&lt;_xlpm.s),"",_xlfn.LET(_xlpm.p,_xlfn.SEQUENCE(_xlpm.e-_xlpm.s+1,1,_xlpm.s,1),SUM(1/COUNTIFS($D:$D,D206,$E:$E,E206,$F:$F,"&lt;&gt;N/A",$G:$G,"&lt;&gt;N/A",$F:$F,"&lt;="&amp;_xlpm.p,$G:$G,"&gt;="&amp;_xlpm.p)))))</f>
        <v>0.16666666666666666</v>
      </c>
      <c r="I206" t="s">
        <v>205</v>
      </c>
      <c r="J206" t="s">
        <v>2880</v>
      </c>
      <c r="K206" t="s">
        <v>7</v>
      </c>
      <c r="L206" s="5" t="s">
        <v>4764</v>
      </c>
      <c r="M206" t="s">
        <v>7270</v>
      </c>
      <c r="N206" t="s">
        <v>7408</v>
      </c>
      <c r="O206" t="s">
        <v>11522</v>
      </c>
      <c r="P206" t="s">
        <v>8021</v>
      </c>
      <c r="R206" t="b">
        <v>1</v>
      </c>
    </row>
    <row r="207" spans="1:18">
      <c r="A207" t="s">
        <v>3026</v>
      </c>
      <c r="B207" t="s">
        <v>3784</v>
      </c>
      <c r="C207" s="5" t="s">
        <v>7861</v>
      </c>
      <c r="D207" s="1">
        <v>1</v>
      </c>
      <c r="E207" s="1">
        <v>28</v>
      </c>
      <c r="F207" s="1">
        <v>222</v>
      </c>
      <c r="G207" s="1">
        <v>222</v>
      </c>
      <c r="H207" s="8" cm="1">
        <f t="array" ref="H207">_xlfn.LET(_xlpm.s,IFERROR(--F207,""),_xlpm.e,IFERROR(--G207,""),IF(OR(_xlpm.s="",_xlpm.e="",_xlpm.e&lt;_xlpm.s),"",_xlfn.LET(_xlpm.p,_xlfn.SEQUENCE(_xlpm.e-_xlpm.s+1,1,_xlpm.s,1),SUM(1/COUNTIFS($D:$D,D207,$E:$E,E207,$F:$F,"&lt;&gt;N/A",$G:$G,"&lt;&gt;N/A",$F:$F,"&lt;="&amp;_xlpm.p,$G:$G,"&gt;="&amp;_xlpm.p)))))</f>
        <v>0.16666666666666666</v>
      </c>
      <c r="I207" t="s">
        <v>205</v>
      </c>
      <c r="J207" t="s">
        <v>2881</v>
      </c>
      <c r="K207" t="s">
        <v>7</v>
      </c>
      <c r="L207" s="5" t="s">
        <v>4764</v>
      </c>
      <c r="M207" t="s">
        <v>7270</v>
      </c>
      <c r="N207" t="s">
        <v>7409</v>
      </c>
      <c r="O207" t="s">
        <v>11522</v>
      </c>
      <c r="P207" t="s">
        <v>8021</v>
      </c>
      <c r="R207" t="b">
        <v>1</v>
      </c>
    </row>
    <row r="208" spans="1:18">
      <c r="A208" t="s">
        <v>3026</v>
      </c>
      <c r="B208" t="s">
        <v>3785</v>
      </c>
      <c r="C208" s="5" t="s">
        <v>7861</v>
      </c>
      <c r="D208" s="1">
        <v>1</v>
      </c>
      <c r="E208" s="1">
        <v>28</v>
      </c>
      <c r="F208" s="1">
        <v>222</v>
      </c>
      <c r="G208" s="1">
        <v>222</v>
      </c>
      <c r="H208" s="8" cm="1">
        <f t="array" ref="H208">_xlfn.LET(_xlpm.s,IFERROR(--F208,""),_xlpm.e,IFERROR(--G208,""),IF(OR(_xlpm.s="",_xlpm.e="",_xlpm.e&lt;_xlpm.s),"",_xlfn.LET(_xlpm.p,_xlfn.SEQUENCE(_xlpm.e-_xlpm.s+1,1,_xlpm.s,1),SUM(1/COUNTIFS($D:$D,D208,$E:$E,E208,$F:$F,"&lt;&gt;N/A",$G:$G,"&lt;&gt;N/A",$F:$F,"&lt;="&amp;_xlpm.p,$G:$G,"&gt;="&amp;_xlpm.p)))))</f>
        <v>0.16666666666666666</v>
      </c>
      <c r="I208" t="s">
        <v>205</v>
      </c>
      <c r="J208" t="s">
        <v>2884</v>
      </c>
      <c r="K208" t="s">
        <v>7</v>
      </c>
      <c r="L208" s="5" t="s">
        <v>4765</v>
      </c>
      <c r="M208" t="s">
        <v>7410</v>
      </c>
      <c r="N208" t="s">
        <v>7691</v>
      </c>
      <c r="O208" t="s">
        <v>5072</v>
      </c>
      <c r="P208" t="s">
        <v>8021</v>
      </c>
      <c r="R208" t="b">
        <v>1</v>
      </c>
    </row>
    <row r="209" spans="1:18">
      <c r="A209" t="s">
        <v>3026</v>
      </c>
      <c r="B209" t="s">
        <v>3786</v>
      </c>
      <c r="C209" s="5" t="s">
        <v>7861</v>
      </c>
      <c r="D209" s="1">
        <v>1</v>
      </c>
      <c r="E209" s="1">
        <v>28</v>
      </c>
      <c r="F209" s="1">
        <v>222</v>
      </c>
      <c r="G209" s="1">
        <v>222</v>
      </c>
      <c r="H209" s="8" cm="1">
        <f t="array" ref="H209">_xlfn.LET(_xlpm.s,IFERROR(--F209,""),_xlpm.e,IFERROR(--G209,""),IF(OR(_xlpm.s="",_xlpm.e="",_xlpm.e&lt;_xlpm.s),"",_xlfn.LET(_xlpm.p,_xlfn.SEQUENCE(_xlpm.e-_xlpm.s+1,1,_xlpm.s,1),SUM(1/COUNTIFS($D:$D,D209,$E:$E,E209,$F:$F,"&lt;&gt;N/A",$G:$G,"&lt;&gt;N/A",$F:$F,"&lt;="&amp;_xlpm.p,$G:$G,"&gt;="&amp;_xlpm.p)))))</f>
        <v>0.16666666666666666</v>
      </c>
      <c r="I209" t="s">
        <v>205</v>
      </c>
      <c r="J209" t="s">
        <v>7247</v>
      </c>
      <c r="K209" t="s">
        <v>7</v>
      </c>
      <c r="L209" s="5" t="s">
        <v>4766</v>
      </c>
      <c r="M209" t="s">
        <v>7</v>
      </c>
      <c r="N209" t="s">
        <v>7</v>
      </c>
      <c r="O209" t="s">
        <v>11522</v>
      </c>
      <c r="P209" t="s">
        <v>8021</v>
      </c>
      <c r="R209" t="b">
        <v>1</v>
      </c>
    </row>
    <row r="210" spans="1:18">
      <c r="A210" t="s">
        <v>3026</v>
      </c>
      <c r="B210" t="s">
        <v>3787</v>
      </c>
      <c r="C210" s="5" t="s">
        <v>7861</v>
      </c>
      <c r="D210" s="1">
        <v>1</v>
      </c>
      <c r="E210" s="1">
        <v>28</v>
      </c>
      <c r="F210" s="1">
        <v>223</v>
      </c>
      <c r="G210" s="1">
        <v>223</v>
      </c>
      <c r="H210" s="8" cm="1">
        <f t="array" ref="H210">_xlfn.LET(_xlpm.s,IFERROR(--F210,""),_xlpm.e,IFERROR(--G210,""),IF(OR(_xlpm.s="",_xlpm.e="",_xlpm.e&lt;_xlpm.s),"",_xlfn.LET(_xlpm.p,_xlfn.SEQUENCE(_xlpm.e-_xlpm.s+1,1,_xlpm.s,1),SUM(1/COUNTIFS($D:$D,D210,$E:$E,E210,$F:$F,"&lt;&gt;N/A",$G:$G,"&lt;&gt;N/A",$F:$F,"&lt;="&amp;_xlpm.p,$G:$G,"&gt;="&amp;_xlpm.p)))))</f>
        <v>0.25</v>
      </c>
      <c r="I210" t="s">
        <v>205</v>
      </c>
      <c r="J210" t="s">
        <v>2883</v>
      </c>
      <c r="K210" t="s">
        <v>7</v>
      </c>
      <c r="L210" s="5" t="s">
        <v>4766</v>
      </c>
      <c r="M210" t="s">
        <v>7</v>
      </c>
      <c r="N210" t="s">
        <v>7</v>
      </c>
      <c r="O210" t="s">
        <v>11522</v>
      </c>
      <c r="P210" t="s">
        <v>8021</v>
      </c>
      <c r="R210" t="b">
        <v>1</v>
      </c>
    </row>
    <row r="211" spans="1:18">
      <c r="A211" t="s">
        <v>3026</v>
      </c>
      <c r="B211" t="s">
        <v>3788</v>
      </c>
      <c r="C211" s="5" t="s">
        <v>7861</v>
      </c>
      <c r="D211" s="1">
        <v>1</v>
      </c>
      <c r="E211" s="1">
        <v>28</v>
      </c>
      <c r="F211" s="1">
        <v>223</v>
      </c>
      <c r="G211" s="1">
        <v>223</v>
      </c>
      <c r="H211" s="8" cm="1">
        <f t="array" ref="H211">_xlfn.LET(_xlpm.s,IFERROR(--F211,""),_xlpm.e,IFERROR(--G211,""),IF(OR(_xlpm.s="",_xlpm.e="",_xlpm.e&lt;_xlpm.s),"",_xlfn.LET(_xlpm.p,_xlfn.SEQUENCE(_xlpm.e-_xlpm.s+1,1,_xlpm.s,1),SUM(1/COUNTIFS($D:$D,D211,$E:$E,E211,$F:$F,"&lt;&gt;N/A",$G:$G,"&lt;&gt;N/A",$F:$F,"&lt;="&amp;_xlpm.p,$G:$G,"&gt;="&amp;_xlpm.p)))))</f>
        <v>0.25</v>
      </c>
      <c r="I211" t="s">
        <v>205</v>
      </c>
      <c r="J211" t="s">
        <v>2882</v>
      </c>
      <c r="K211" t="s">
        <v>644</v>
      </c>
      <c r="L211" s="5" t="s">
        <v>4767</v>
      </c>
      <c r="M211" s="5" t="s">
        <v>7441</v>
      </c>
      <c r="N211" t="s">
        <v>7442</v>
      </c>
      <c r="O211" t="s">
        <v>11522</v>
      </c>
      <c r="P211" t="s">
        <v>8019</v>
      </c>
      <c r="R211" t="b">
        <v>1</v>
      </c>
    </row>
    <row r="212" spans="1:18">
      <c r="A212" t="s">
        <v>3026</v>
      </c>
      <c r="B212" t="s">
        <v>3789</v>
      </c>
      <c r="C212" s="5" t="s">
        <v>7861</v>
      </c>
      <c r="D212" s="1">
        <v>1</v>
      </c>
      <c r="E212" s="1">
        <v>28</v>
      </c>
      <c r="F212" s="1">
        <v>223</v>
      </c>
      <c r="G212" s="1">
        <v>223</v>
      </c>
      <c r="H212" s="8" cm="1">
        <f t="array" ref="H212">_xlfn.LET(_xlpm.s,IFERROR(--F212,""),_xlpm.e,IFERROR(--G212,""),IF(OR(_xlpm.s="",_xlpm.e="",_xlpm.e&lt;_xlpm.s),"",_xlfn.LET(_xlpm.p,_xlfn.SEQUENCE(_xlpm.e-_xlpm.s+1,1,_xlpm.s,1),SUM(1/COUNTIFS($D:$D,D212,$E:$E,E212,$F:$F,"&lt;&gt;N/A",$G:$G,"&lt;&gt;N/A",$F:$F,"&lt;="&amp;_xlpm.p,$G:$G,"&gt;="&amp;_xlpm.p)))))</f>
        <v>0.25</v>
      </c>
      <c r="I212" t="s">
        <v>632</v>
      </c>
      <c r="J212" t="s">
        <v>2886</v>
      </c>
      <c r="K212" t="s">
        <v>7</v>
      </c>
      <c r="L212" t="s">
        <v>7</v>
      </c>
      <c r="M212" t="s">
        <v>6939</v>
      </c>
      <c r="N212" t="s">
        <v>7535</v>
      </c>
      <c r="O212" t="s">
        <v>5072</v>
      </c>
      <c r="P212" t="s">
        <v>8021</v>
      </c>
      <c r="R212" t="b">
        <v>1</v>
      </c>
    </row>
    <row r="213" spans="1:18">
      <c r="A213" t="s">
        <v>3026</v>
      </c>
      <c r="B213" t="s">
        <v>3790</v>
      </c>
      <c r="C213" s="5" t="s">
        <v>7861</v>
      </c>
      <c r="D213" s="1">
        <v>1</v>
      </c>
      <c r="E213" s="1">
        <v>28</v>
      </c>
      <c r="F213" s="1">
        <v>223</v>
      </c>
      <c r="G213" s="1">
        <v>224</v>
      </c>
      <c r="H213" s="8" cm="1">
        <f t="array" ref="H213">_xlfn.LET(_xlpm.s,IFERROR(--F213,""),_xlpm.e,IFERROR(--G213,""),IF(OR(_xlpm.s="",_xlpm.e="",_xlpm.e&lt;_xlpm.s),"",_xlfn.LET(_xlpm.p,_xlfn.SEQUENCE(_xlpm.e-_xlpm.s+1,1,_xlpm.s,1),SUM(1/COUNTIFS($D:$D,D213,$E:$E,E213,$F:$F,"&lt;&gt;N/A",$G:$G,"&lt;&gt;N/A",$F:$F,"&lt;="&amp;_xlpm.p,$G:$G,"&gt;="&amp;_xlpm.p)))))</f>
        <v>0.58333333333333326</v>
      </c>
      <c r="I213" t="s">
        <v>632</v>
      </c>
      <c r="J213" t="s">
        <v>2885</v>
      </c>
      <c r="K213" t="s">
        <v>7</v>
      </c>
      <c r="L213" s="5" t="s">
        <v>4768</v>
      </c>
      <c r="M213" t="s">
        <v>6939</v>
      </c>
      <c r="N213" t="s">
        <v>7536</v>
      </c>
      <c r="O213" t="s">
        <v>5072</v>
      </c>
      <c r="P213" t="s">
        <v>8021</v>
      </c>
      <c r="R213" t="b">
        <v>1</v>
      </c>
    </row>
    <row r="214" spans="1:18">
      <c r="A214" t="s">
        <v>3026</v>
      </c>
      <c r="B214" t="s">
        <v>3791</v>
      </c>
      <c r="C214" s="5" t="s">
        <v>7861</v>
      </c>
      <c r="D214" s="1">
        <v>1</v>
      </c>
      <c r="E214" s="1">
        <v>28</v>
      </c>
      <c r="F214" s="1">
        <v>224</v>
      </c>
      <c r="G214" s="1">
        <v>224</v>
      </c>
      <c r="H214" s="8" cm="1">
        <f t="array" ref="H214">_xlfn.LET(_xlpm.s,IFERROR(--F214,""),_xlpm.e,IFERROR(--G214,""),IF(OR(_xlpm.s="",_xlpm.e="",_xlpm.e&lt;_xlpm.s),"",_xlfn.LET(_xlpm.p,_xlfn.SEQUENCE(_xlpm.e-_xlpm.s+1,1,_xlpm.s,1),SUM(1/COUNTIFS($D:$D,D214,$E:$E,E214,$F:$F,"&lt;&gt;N/A",$G:$G,"&lt;&gt;N/A",$F:$F,"&lt;="&amp;_xlpm.p,$G:$G,"&gt;="&amp;_xlpm.p)))))</f>
        <v>0.33333333333333331</v>
      </c>
      <c r="I214" t="s">
        <v>632</v>
      </c>
      <c r="J214" t="s">
        <v>2994</v>
      </c>
      <c r="K214" t="s">
        <v>7</v>
      </c>
      <c r="L214" s="5" t="s">
        <v>4728</v>
      </c>
      <c r="M214" t="s">
        <v>7</v>
      </c>
      <c r="N214" t="s">
        <v>7</v>
      </c>
      <c r="O214" t="s">
        <v>11522</v>
      </c>
      <c r="P214" t="s">
        <v>10179</v>
      </c>
      <c r="R214" t="b">
        <v>1</v>
      </c>
    </row>
    <row r="215" spans="1:18">
      <c r="A215" t="s">
        <v>3026</v>
      </c>
      <c r="B215" t="s">
        <v>3792</v>
      </c>
      <c r="C215" s="5" t="s">
        <v>7861</v>
      </c>
      <c r="D215" s="1">
        <v>1</v>
      </c>
      <c r="E215" s="1">
        <v>28</v>
      </c>
      <c r="F215" s="1">
        <v>224</v>
      </c>
      <c r="G215" s="1">
        <v>225</v>
      </c>
      <c r="H215" s="8" cm="1">
        <f t="array" ref="H215">_xlfn.LET(_xlpm.s,IFERROR(--F215,""),_xlpm.e,IFERROR(--G215,""),IF(OR(_xlpm.s="",_xlpm.e="",_xlpm.e&lt;_xlpm.s),"",_xlfn.LET(_xlpm.p,_xlfn.SEQUENCE(_xlpm.e-_xlpm.s+1,1,_xlpm.s,1),SUM(1/COUNTIFS($D:$D,D215,$E:$E,E215,$F:$F,"&lt;&gt;N/A",$G:$G,"&lt;&gt;N/A",$F:$F,"&lt;="&amp;_xlpm.p,$G:$G,"&gt;="&amp;_xlpm.p)))))</f>
        <v>1.3333333333333333</v>
      </c>
      <c r="I215" t="s">
        <v>632</v>
      </c>
      <c r="J215" t="s">
        <v>2995</v>
      </c>
      <c r="K215" t="s">
        <v>7</v>
      </c>
      <c r="L215" s="5" t="s">
        <v>4769</v>
      </c>
      <c r="M215" t="s">
        <v>7</v>
      </c>
      <c r="N215" t="s">
        <v>7</v>
      </c>
      <c r="O215" t="s">
        <v>11522</v>
      </c>
      <c r="P215" t="s">
        <v>8021</v>
      </c>
      <c r="Q215" t="s">
        <v>2509</v>
      </c>
      <c r="R215" t="b">
        <v>1</v>
      </c>
    </row>
    <row r="216" spans="1:18">
      <c r="A216" t="s">
        <v>3026</v>
      </c>
      <c r="B216" t="s">
        <v>10730</v>
      </c>
      <c r="C216" s="5" t="s">
        <v>7861</v>
      </c>
      <c r="D216" s="1">
        <v>1</v>
      </c>
      <c r="E216" s="1">
        <v>29</v>
      </c>
      <c r="F216" s="1">
        <v>225</v>
      </c>
      <c r="G216" s="1">
        <v>226</v>
      </c>
      <c r="H216" s="8" cm="1">
        <f t="array" ref="H216">_xlfn.LET(_xlpm.s,IFERROR(--F216,""),_xlpm.e,IFERROR(--G216,""),IF(OR(_xlpm.s="",_xlpm.e="",_xlpm.e&lt;_xlpm.s),"",_xlfn.LET(_xlpm.p,_xlfn.SEQUENCE(_xlpm.e-_xlpm.s+1,1,_xlpm.s,1),SUM(1/COUNTIFS($D:$D,D216,$E:$E,E216,$F:$F,"&lt;&gt;N/A",$G:$G,"&lt;&gt;N/A",$F:$F,"&lt;="&amp;_xlpm.p,$G:$G,"&gt;="&amp;_xlpm.p)))))</f>
        <v>2</v>
      </c>
      <c r="I216" t="s">
        <v>713</v>
      </c>
      <c r="J216" t="s">
        <v>723</v>
      </c>
      <c r="K216" t="s">
        <v>7</v>
      </c>
      <c r="L216" s="5" t="s">
        <v>4770</v>
      </c>
      <c r="M216" t="s">
        <v>7</v>
      </c>
      <c r="N216" t="s">
        <v>7</v>
      </c>
      <c r="O216" t="s">
        <v>11522</v>
      </c>
      <c r="P216" t="s">
        <v>8021</v>
      </c>
      <c r="Q216" t="s">
        <v>2509</v>
      </c>
      <c r="R216" t="b">
        <v>1</v>
      </c>
    </row>
    <row r="217" spans="1:18">
      <c r="A217" t="s">
        <v>3026</v>
      </c>
      <c r="B217" t="s">
        <v>10676</v>
      </c>
      <c r="C217" s="5" t="s">
        <v>7862</v>
      </c>
      <c r="D217" s="1">
        <v>1</v>
      </c>
      <c r="E217" s="1">
        <v>29</v>
      </c>
      <c r="F217" s="1">
        <v>227</v>
      </c>
      <c r="G217" s="1">
        <v>227</v>
      </c>
      <c r="H217" s="8" cm="1">
        <f t="array" ref="H217">_xlfn.LET(_xlpm.s,IFERROR(--F217,""),_xlpm.e,IFERROR(--G217,""),IF(OR(_xlpm.s="",_xlpm.e="",_xlpm.e&lt;_xlpm.s),"",_xlfn.LET(_xlpm.p,_xlfn.SEQUENCE(_xlpm.e-_xlpm.s+1,1,_xlpm.s,1),SUM(1/COUNTIFS($D:$D,D217,$E:$E,E217,$F:$F,"&lt;&gt;N/A",$G:$G,"&lt;&gt;N/A",$F:$F,"&lt;="&amp;_xlpm.p,$G:$G,"&gt;="&amp;_xlpm.p)))))</f>
        <v>0.5</v>
      </c>
      <c r="I217" t="s">
        <v>205</v>
      </c>
      <c r="J217" t="s">
        <v>2889</v>
      </c>
      <c r="K217" t="s">
        <v>7</v>
      </c>
      <c r="L217" s="5" t="s">
        <v>4771</v>
      </c>
      <c r="M217" t="s">
        <v>7411</v>
      </c>
      <c r="N217" t="s">
        <v>7686</v>
      </c>
      <c r="O217" t="s">
        <v>5072</v>
      </c>
      <c r="P217" t="s">
        <v>8021</v>
      </c>
      <c r="R217" t="b">
        <v>1</v>
      </c>
    </row>
    <row r="218" spans="1:18">
      <c r="A218" t="s">
        <v>3026</v>
      </c>
      <c r="B218" t="s">
        <v>10677</v>
      </c>
      <c r="C218" s="5" t="s">
        <v>7862</v>
      </c>
      <c r="D218" s="1">
        <v>1</v>
      </c>
      <c r="E218" s="1">
        <v>29</v>
      </c>
      <c r="F218" s="1">
        <v>227</v>
      </c>
      <c r="G218" s="1">
        <v>228</v>
      </c>
      <c r="H218" s="8" cm="1">
        <f t="array" ref="H218">_xlfn.LET(_xlpm.s,IFERROR(--F218,""),_xlpm.e,IFERROR(--G218,""),IF(OR(_xlpm.s="",_xlpm.e="",_xlpm.e&lt;_xlpm.s),"",_xlfn.LET(_xlpm.p,_xlfn.SEQUENCE(_xlpm.e-_xlpm.s+1,1,_xlpm.s,1),SUM(1/COUNTIFS($D:$D,D218,$E:$E,E218,$F:$F,"&lt;&gt;N/A",$G:$G,"&lt;&gt;N/A",$F:$F,"&lt;="&amp;_xlpm.p,$G:$G,"&gt;="&amp;_xlpm.p)))))</f>
        <v>0.75</v>
      </c>
      <c r="I218" t="s">
        <v>205</v>
      </c>
      <c r="J218" t="s">
        <v>2888</v>
      </c>
      <c r="K218" t="s">
        <v>7</v>
      </c>
      <c r="L218" s="5" t="s">
        <v>4771</v>
      </c>
      <c r="M218" t="s">
        <v>7440</v>
      </c>
      <c r="N218" t="s">
        <v>3250</v>
      </c>
      <c r="O218" t="s">
        <v>11522</v>
      </c>
      <c r="P218" t="s">
        <v>8021</v>
      </c>
      <c r="R218" t="b">
        <v>1</v>
      </c>
    </row>
    <row r="219" spans="1:18">
      <c r="A219" t="s">
        <v>3026</v>
      </c>
      <c r="B219" t="s">
        <v>3793</v>
      </c>
      <c r="C219" s="5" t="s">
        <v>7862</v>
      </c>
      <c r="D219" s="1">
        <v>1</v>
      </c>
      <c r="E219" s="1">
        <v>29</v>
      </c>
      <c r="F219" s="1">
        <v>228</v>
      </c>
      <c r="G219" s="1">
        <v>228</v>
      </c>
      <c r="H219" s="8" cm="1">
        <f t="array" ref="H219">_xlfn.LET(_xlpm.s,IFERROR(--F219,""),_xlpm.e,IFERROR(--G219,""),IF(OR(_xlpm.s="",_xlpm.e="",_xlpm.e&lt;_xlpm.s),"",_xlfn.LET(_xlpm.p,_xlfn.SEQUENCE(_xlpm.e-_xlpm.s+1,1,_xlpm.s,1),SUM(1/COUNTIFS($D:$D,D219,$E:$E,E219,$F:$F,"&lt;&gt;N/A",$G:$G,"&lt;&gt;N/A",$F:$F,"&lt;="&amp;_xlpm.p,$G:$G,"&gt;="&amp;_xlpm.p)))))</f>
        <v>0.25</v>
      </c>
      <c r="I219" t="s">
        <v>205</v>
      </c>
      <c r="J219" t="s">
        <v>2887</v>
      </c>
      <c r="K219" t="s">
        <v>7</v>
      </c>
      <c r="L219" s="5" t="s">
        <v>2153</v>
      </c>
      <c r="M219" s="5" t="s">
        <v>7349</v>
      </c>
      <c r="N219" t="s">
        <v>3249</v>
      </c>
      <c r="O219" t="s">
        <v>11522</v>
      </c>
      <c r="P219" t="s">
        <v>8021</v>
      </c>
      <c r="R219" t="b">
        <v>1</v>
      </c>
    </row>
    <row r="220" spans="1:18">
      <c r="A220" t="s">
        <v>3026</v>
      </c>
      <c r="B220" t="s">
        <v>3794</v>
      </c>
      <c r="C220" s="5" t="s">
        <v>7862</v>
      </c>
      <c r="D220" s="1">
        <v>1</v>
      </c>
      <c r="E220" s="1">
        <v>29</v>
      </c>
      <c r="F220" s="1">
        <v>228</v>
      </c>
      <c r="G220" s="1">
        <v>228</v>
      </c>
      <c r="H220" s="8" cm="1">
        <f t="array" ref="H220">_xlfn.LET(_xlpm.s,IFERROR(--F220,""),_xlpm.e,IFERROR(--G220,""),IF(OR(_xlpm.s="",_xlpm.e="",_xlpm.e&lt;_xlpm.s),"",_xlfn.LET(_xlpm.p,_xlfn.SEQUENCE(_xlpm.e-_xlpm.s+1,1,_xlpm.s,1),SUM(1/COUNTIFS($D:$D,D220,$E:$E,E220,$F:$F,"&lt;&gt;N/A",$G:$G,"&lt;&gt;N/A",$F:$F,"&lt;="&amp;_xlpm.p,$G:$G,"&gt;="&amp;_xlpm.p)))))</f>
        <v>0.25</v>
      </c>
      <c r="I220" t="s">
        <v>632</v>
      </c>
      <c r="J220" t="s">
        <v>2890</v>
      </c>
      <c r="K220" t="s">
        <v>7</v>
      </c>
      <c r="L220" s="5" t="s">
        <v>7</v>
      </c>
      <c r="M220" t="s">
        <v>7</v>
      </c>
      <c r="N220" t="s">
        <v>7</v>
      </c>
      <c r="O220" t="s">
        <v>778</v>
      </c>
      <c r="P220" t="s">
        <v>7834</v>
      </c>
      <c r="R220" t="b">
        <v>1</v>
      </c>
    </row>
    <row r="221" spans="1:18">
      <c r="A221" t="s">
        <v>3026</v>
      </c>
      <c r="B221" t="s">
        <v>3795</v>
      </c>
      <c r="C221" s="5" t="s">
        <v>7862</v>
      </c>
      <c r="D221" s="1">
        <v>1</v>
      </c>
      <c r="E221" s="1">
        <v>29</v>
      </c>
      <c r="F221" s="1">
        <v>228</v>
      </c>
      <c r="G221" s="1">
        <v>228</v>
      </c>
      <c r="H221" s="8" cm="1">
        <f t="array" ref="H221">_xlfn.LET(_xlpm.s,IFERROR(--F221,""),_xlpm.e,IFERROR(--G221,""),IF(OR(_xlpm.s="",_xlpm.e="",_xlpm.e&lt;_xlpm.s),"",_xlfn.LET(_xlpm.p,_xlfn.SEQUENCE(_xlpm.e-_xlpm.s+1,1,_xlpm.s,1),SUM(1/COUNTIFS($D:$D,D221,$E:$E,E221,$F:$F,"&lt;&gt;N/A",$G:$G,"&lt;&gt;N/A",$F:$F,"&lt;="&amp;_xlpm.p,$G:$G,"&gt;="&amp;_xlpm.p)))))</f>
        <v>0.25</v>
      </c>
      <c r="I221" t="s">
        <v>632</v>
      </c>
      <c r="J221" t="s">
        <v>2891</v>
      </c>
      <c r="K221" t="s">
        <v>7</v>
      </c>
      <c r="L221" s="5" t="s">
        <v>7</v>
      </c>
      <c r="M221" t="s">
        <v>7</v>
      </c>
      <c r="N221" t="s">
        <v>7</v>
      </c>
      <c r="O221" t="s">
        <v>778</v>
      </c>
      <c r="P221" t="s">
        <v>7834</v>
      </c>
      <c r="R221" t="b">
        <v>1</v>
      </c>
    </row>
    <row r="222" spans="1:18">
      <c r="A222" t="s">
        <v>3026</v>
      </c>
      <c r="B222" t="s">
        <v>3796</v>
      </c>
      <c r="C222" s="5" t="s">
        <v>7862</v>
      </c>
      <c r="D222" s="1">
        <v>1</v>
      </c>
      <c r="E222" s="1">
        <v>29</v>
      </c>
      <c r="F222" s="1">
        <v>229</v>
      </c>
      <c r="G222" s="1">
        <v>229</v>
      </c>
      <c r="H222" s="8" cm="1">
        <f t="array" ref="H222">_xlfn.LET(_xlpm.s,IFERROR(--F222,""),_xlpm.e,IFERROR(--G222,""),IF(OR(_xlpm.s="",_xlpm.e="",_xlpm.e&lt;_xlpm.s),"",_xlfn.LET(_xlpm.p,_xlfn.SEQUENCE(_xlpm.e-_xlpm.s+1,1,_xlpm.s,1),SUM(1/COUNTIFS($D:$D,D222,$E:$E,E222,$F:$F,"&lt;&gt;N/A",$G:$G,"&lt;&gt;N/A",$F:$F,"&lt;="&amp;_xlpm.p,$G:$G,"&gt;="&amp;_xlpm.p)))))</f>
        <v>0.5</v>
      </c>
      <c r="I222" t="s">
        <v>632</v>
      </c>
      <c r="J222" t="s">
        <v>2892</v>
      </c>
      <c r="K222" t="s">
        <v>7</v>
      </c>
      <c r="L222" s="5" t="s">
        <v>7</v>
      </c>
      <c r="M222" t="s">
        <v>7</v>
      </c>
      <c r="N222" t="s">
        <v>7</v>
      </c>
      <c r="O222" t="s">
        <v>778</v>
      </c>
      <c r="P222" t="s">
        <v>7834</v>
      </c>
      <c r="R222" t="b">
        <v>1</v>
      </c>
    </row>
    <row r="223" spans="1:18">
      <c r="A223" t="s">
        <v>3026</v>
      </c>
      <c r="B223" t="s">
        <v>3797</v>
      </c>
      <c r="C223" s="5" t="s">
        <v>7862</v>
      </c>
      <c r="D223" s="1">
        <v>1</v>
      </c>
      <c r="E223" s="1">
        <v>29</v>
      </c>
      <c r="F223" s="1">
        <v>229</v>
      </c>
      <c r="G223" s="1">
        <v>231</v>
      </c>
      <c r="H223" s="8" cm="1">
        <f t="array" ref="H223">_xlfn.LET(_xlpm.s,IFERROR(--F223,""),_xlpm.e,IFERROR(--G223,""),IF(OR(_xlpm.s="",_xlpm.e="",_xlpm.e&lt;_xlpm.s),"",_xlfn.LET(_xlpm.p,_xlfn.SEQUENCE(_xlpm.e-_xlpm.s+1,1,_xlpm.s,1),SUM(1/COUNTIFS($D:$D,D223,$E:$E,E223,$F:$F,"&lt;&gt;N/A",$G:$G,"&lt;&gt;N/A",$F:$F,"&lt;="&amp;_xlpm.p,$G:$G,"&gt;="&amp;_xlpm.p)))))</f>
        <v>2</v>
      </c>
      <c r="I223" t="s">
        <v>632</v>
      </c>
      <c r="J223" t="s">
        <v>726</v>
      </c>
      <c r="K223" t="s">
        <v>7</v>
      </c>
      <c r="L223" s="5" t="s">
        <v>7</v>
      </c>
      <c r="M223" t="s">
        <v>7</v>
      </c>
      <c r="N223" t="s">
        <v>3251</v>
      </c>
      <c r="O223" t="s">
        <v>5072</v>
      </c>
      <c r="P223" t="s">
        <v>8021</v>
      </c>
      <c r="Q223" s="5" t="s">
        <v>2509</v>
      </c>
      <c r="R223" t="b">
        <v>1</v>
      </c>
    </row>
    <row r="224" spans="1:18">
      <c r="A224" t="s">
        <v>3026</v>
      </c>
      <c r="B224" t="s">
        <v>3798</v>
      </c>
      <c r="C224" s="5" t="s">
        <v>7862</v>
      </c>
      <c r="D224" s="1">
        <v>1</v>
      </c>
      <c r="E224" s="1">
        <v>29</v>
      </c>
      <c r="F224" s="1">
        <v>231</v>
      </c>
      <c r="G224" s="1">
        <v>232</v>
      </c>
      <c r="H224" s="8" cm="1">
        <f t="array" ref="H224">_xlfn.LET(_xlpm.s,IFERROR(--F224,""),_xlpm.e,IFERROR(--G224,""),IF(OR(_xlpm.s="",_xlpm.e="",_xlpm.e&lt;_xlpm.s),"",_xlfn.LET(_xlpm.p,_xlfn.SEQUENCE(_xlpm.e-_xlpm.s+1,1,_xlpm.s,1),SUM(1/COUNTIFS($D:$D,D224,$E:$E,E224,$F:$F,"&lt;&gt;N/A",$G:$G,"&lt;&gt;N/A",$F:$F,"&lt;="&amp;_xlpm.p,$G:$G,"&gt;="&amp;_xlpm.p)))))</f>
        <v>1</v>
      </c>
      <c r="I224" t="s">
        <v>632</v>
      </c>
      <c r="J224" t="s">
        <v>724</v>
      </c>
      <c r="K224" t="s">
        <v>725</v>
      </c>
      <c r="L224" s="5" t="s">
        <v>4748</v>
      </c>
      <c r="M224" t="s">
        <v>7</v>
      </c>
      <c r="N224" t="s">
        <v>7</v>
      </c>
      <c r="O224" t="s">
        <v>778</v>
      </c>
      <c r="P224" t="s">
        <v>7834</v>
      </c>
      <c r="R224" t="b">
        <v>1</v>
      </c>
    </row>
    <row r="225" spans="1:18">
      <c r="A225" t="s">
        <v>3026</v>
      </c>
      <c r="B225" t="s">
        <v>3799</v>
      </c>
      <c r="C225" s="5" t="s">
        <v>7862</v>
      </c>
      <c r="D225" s="1">
        <v>1</v>
      </c>
      <c r="E225" s="1">
        <v>29</v>
      </c>
      <c r="F225" s="1">
        <v>232</v>
      </c>
      <c r="G225" s="1">
        <v>232</v>
      </c>
      <c r="H225" s="8" cm="1">
        <f t="array" ref="H225">_xlfn.LET(_xlpm.s,IFERROR(--F225,""),_xlpm.e,IFERROR(--G225,""),IF(OR(_xlpm.s="",_xlpm.e="",_xlpm.e&lt;_xlpm.s),"",_xlfn.LET(_xlpm.p,_xlfn.SEQUENCE(_xlpm.e-_xlpm.s+1,1,_xlpm.s,1),SUM(1/COUNTIFS($D:$D,D225,$E:$E,E225,$F:$F,"&lt;&gt;N/A",$G:$G,"&lt;&gt;N/A",$F:$F,"&lt;="&amp;_xlpm.p,$G:$G,"&gt;="&amp;_xlpm.p)))))</f>
        <v>0.5</v>
      </c>
      <c r="I225" t="s">
        <v>637</v>
      </c>
      <c r="J225" t="s">
        <v>727</v>
      </c>
      <c r="K225" t="s">
        <v>7</v>
      </c>
      <c r="L225" s="5" t="s">
        <v>7</v>
      </c>
      <c r="M225" t="s">
        <v>7</v>
      </c>
      <c r="N225" t="s">
        <v>7</v>
      </c>
      <c r="O225" t="s">
        <v>11522</v>
      </c>
      <c r="P225" t="s">
        <v>8021</v>
      </c>
      <c r="Q225" t="s">
        <v>3177</v>
      </c>
      <c r="R225" t="b">
        <v>1</v>
      </c>
    </row>
    <row r="226" spans="1:18">
      <c r="A226" t="s">
        <v>3026</v>
      </c>
      <c r="B226" t="s">
        <v>10678</v>
      </c>
      <c r="C226" s="5" t="s">
        <v>7884</v>
      </c>
      <c r="D226" s="1">
        <v>1</v>
      </c>
      <c r="E226" s="1">
        <v>30</v>
      </c>
      <c r="F226" s="1">
        <v>233</v>
      </c>
      <c r="G226" s="1">
        <v>237</v>
      </c>
      <c r="H226" s="8" cm="1">
        <f t="array" ref="H226">_xlfn.LET(_xlpm.s,IFERROR(--F226,""),_xlpm.e,IFERROR(--G226,""),IF(OR(_xlpm.s="",_xlpm.e="",_xlpm.e&lt;_xlpm.s),"",_xlfn.LET(_xlpm.p,_xlfn.SEQUENCE(_xlpm.e-_xlpm.s+1,1,_xlpm.s,1),SUM(1/COUNTIFS($D:$D,D226,$E:$E,E226,$F:$F,"&lt;&gt;N/A",$G:$G,"&lt;&gt;N/A",$F:$F,"&lt;="&amp;_xlpm.p,$G:$G,"&gt;="&amp;_xlpm.p)))))</f>
        <v>4.5</v>
      </c>
      <c r="I226" t="s">
        <v>713</v>
      </c>
      <c r="J226" t="s">
        <v>728</v>
      </c>
      <c r="K226" t="s">
        <v>644</v>
      </c>
      <c r="L226" s="5" t="s">
        <v>7</v>
      </c>
      <c r="M226" s="5" t="s">
        <v>7</v>
      </c>
      <c r="N226" t="s">
        <v>7</v>
      </c>
      <c r="O226" t="s">
        <v>778</v>
      </c>
      <c r="P226" t="s">
        <v>7834</v>
      </c>
      <c r="R226" t="b">
        <v>1</v>
      </c>
    </row>
    <row r="227" spans="1:18">
      <c r="A227" t="s">
        <v>3026</v>
      </c>
      <c r="B227" t="s">
        <v>10679</v>
      </c>
      <c r="C227" s="5" t="s">
        <v>7884</v>
      </c>
      <c r="D227" s="1">
        <v>1</v>
      </c>
      <c r="E227" s="1">
        <v>30</v>
      </c>
      <c r="F227" s="1">
        <v>237</v>
      </c>
      <c r="G227" s="1">
        <v>239</v>
      </c>
      <c r="H227" s="8" cm="1">
        <f t="array" ref="H227">_xlfn.LET(_xlpm.s,IFERROR(--F227,""),_xlpm.e,IFERROR(--G227,""),IF(OR(_xlpm.s="",_xlpm.e="",_xlpm.e&lt;_xlpm.s),"",_xlfn.LET(_xlpm.p,_xlfn.SEQUENCE(_xlpm.e-_xlpm.s+1,1,_xlpm.s,1),SUM(1/COUNTIFS($D:$D,D227,$E:$E,E227,$F:$F,"&lt;&gt;N/A",$G:$G,"&lt;&gt;N/A",$F:$F,"&lt;="&amp;_xlpm.p,$G:$G,"&gt;="&amp;_xlpm.p)))))</f>
        <v>1.75</v>
      </c>
      <c r="I227" t="s">
        <v>713</v>
      </c>
      <c r="J227" t="s">
        <v>729</v>
      </c>
      <c r="K227" t="s">
        <v>4772</v>
      </c>
      <c r="L227" s="5" t="s">
        <v>4768</v>
      </c>
      <c r="M227" t="s">
        <v>6939</v>
      </c>
      <c r="N227" t="s">
        <v>7537</v>
      </c>
      <c r="O227" t="s">
        <v>5072</v>
      </c>
      <c r="P227" t="s">
        <v>8021</v>
      </c>
      <c r="Q227" t="s">
        <v>2509</v>
      </c>
      <c r="R227" t="b">
        <v>1</v>
      </c>
    </row>
    <row r="228" spans="1:18">
      <c r="A228" t="s">
        <v>3026</v>
      </c>
      <c r="B228" t="s">
        <v>3800</v>
      </c>
      <c r="C228" s="5" t="s">
        <v>7884</v>
      </c>
      <c r="D228" s="1">
        <v>1</v>
      </c>
      <c r="E228" s="1">
        <v>30</v>
      </c>
      <c r="F228" s="1">
        <v>239</v>
      </c>
      <c r="G228" s="1">
        <v>239</v>
      </c>
      <c r="H228" s="8" cm="1">
        <f t="array" ref="H228">_xlfn.LET(_xlpm.s,IFERROR(--F228,""),_xlpm.e,IFERROR(--G228,""),IF(OR(_xlpm.s="",_xlpm.e="",_xlpm.e&lt;_xlpm.s),"",_xlfn.LET(_xlpm.p,_xlfn.SEQUENCE(_xlpm.e-_xlpm.s+1,1,_xlpm.s,1),SUM(1/COUNTIFS($D:$D,D228,$E:$E,E228,$F:$F,"&lt;&gt;N/A",$G:$G,"&lt;&gt;N/A",$F:$F,"&lt;="&amp;_xlpm.p,$G:$G,"&gt;="&amp;_xlpm.p)))))</f>
        <v>0.25</v>
      </c>
      <c r="I228" t="s">
        <v>730</v>
      </c>
      <c r="J228" t="s">
        <v>2898</v>
      </c>
      <c r="K228" t="s">
        <v>7</v>
      </c>
      <c r="L228" s="5" t="s">
        <v>7</v>
      </c>
      <c r="M228" t="s">
        <v>6428</v>
      </c>
      <c r="N228" t="s">
        <v>3245</v>
      </c>
      <c r="O228" t="s">
        <v>11522</v>
      </c>
      <c r="P228" t="s">
        <v>8021</v>
      </c>
      <c r="R228" t="b">
        <v>1</v>
      </c>
    </row>
    <row r="229" spans="1:18">
      <c r="A229" t="s">
        <v>3026</v>
      </c>
      <c r="B229" t="s">
        <v>3801</v>
      </c>
      <c r="C229" s="5" t="s">
        <v>7884</v>
      </c>
      <c r="D229" s="1">
        <v>1</v>
      </c>
      <c r="E229" s="1">
        <v>30</v>
      </c>
      <c r="F229" s="1">
        <v>239</v>
      </c>
      <c r="G229" s="1">
        <v>239</v>
      </c>
      <c r="H229" s="8" cm="1">
        <f t="array" ref="H229">_xlfn.LET(_xlpm.s,IFERROR(--F229,""),_xlpm.e,IFERROR(--G229,""),IF(OR(_xlpm.s="",_xlpm.e="",_xlpm.e&lt;_xlpm.s),"",_xlfn.LET(_xlpm.p,_xlfn.SEQUENCE(_xlpm.e-_xlpm.s+1,1,_xlpm.s,1),SUM(1/COUNTIFS($D:$D,D229,$E:$E,E229,$F:$F,"&lt;&gt;N/A",$G:$G,"&lt;&gt;N/A",$F:$F,"&lt;="&amp;_xlpm.p,$G:$G,"&gt;="&amp;_xlpm.p)))))</f>
        <v>0.25</v>
      </c>
      <c r="I229" t="s">
        <v>730</v>
      </c>
      <c r="J229" t="s">
        <v>2896</v>
      </c>
      <c r="K229" t="s">
        <v>7</v>
      </c>
      <c r="L229" s="5" t="s">
        <v>7</v>
      </c>
      <c r="M229" t="s">
        <v>6428</v>
      </c>
      <c r="N229" t="s">
        <v>3244</v>
      </c>
      <c r="O229" t="s">
        <v>11522</v>
      </c>
      <c r="P229" t="s">
        <v>8021</v>
      </c>
      <c r="R229" t="b">
        <v>1</v>
      </c>
    </row>
    <row r="230" spans="1:18">
      <c r="A230" t="s">
        <v>3026</v>
      </c>
      <c r="B230" t="s">
        <v>3802</v>
      </c>
      <c r="C230" s="5" t="s">
        <v>7884</v>
      </c>
      <c r="D230" s="1">
        <v>1</v>
      </c>
      <c r="E230" s="1">
        <v>30</v>
      </c>
      <c r="F230" s="1">
        <v>239</v>
      </c>
      <c r="G230" s="1">
        <v>240</v>
      </c>
      <c r="H230" s="8" cm="1">
        <f t="array" ref="H230">_xlfn.LET(_xlpm.s,IFERROR(--F230,""),_xlpm.e,IFERROR(--G230,""),IF(OR(_xlpm.s="",_xlpm.e="",_xlpm.e&lt;_xlpm.s),"",_xlfn.LET(_xlpm.p,_xlfn.SEQUENCE(_xlpm.e-_xlpm.s+1,1,_xlpm.s,1),SUM(1/COUNTIFS($D:$D,D230,$E:$E,E230,$F:$F,"&lt;&gt;N/A",$G:$G,"&lt;&gt;N/A",$F:$F,"&lt;="&amp;_xlpm.p,$G:$G,"&gt;="&amp;_xlpm.p)))))</f>
        <v>0.5</v>
      </c>
      <c r="I230" t="s">
        <v>730</v>
      </c>
      <c r="J230" t="s">
        <v>2893</v>
      </c>
      <c r="K230" t="s">
        <v>7</v>
      </c>
      <c r="L230" s="5" t="s">
        <v>7</v>
      </c>
      <c r="M230" t="s">
        <v>6428</v>
      </c>
      <c r="N230" t="s">
        <v>3248</v>
      </c>
      <c r="O230" t="s">
        <v>11522</v>
      </c>
      <c r="P230" t="s">
        <v>8021</v>
      </c>
      <c r="R230" t="b">
        <v>1</v>
      </c>
    </row>
    <row r="231" spans="1:18">
      <c r="A231" t="s">
        <v>3026</v>
      </c>
      <c r="B231" t="s">
        <v>3803</v>
      </c>
      <c r="C231" s="5" t="s">
        <v>7884</v>
      </c>
      <c r="D231" s="1">
        <v>1</v>
      </c>
      <c r="E231" s="1">
        <v>30</v>
      </c>
      <c r="F231" s="1">
        <v>240</v>
      </c>
      <c r="G231" s="1">
        <v>240</v>
      </c>
      <c r="H231" s="8" cm="1">
        <f t="array" ref="H231">_xlfn.LET(_xlpm.s,IFERROR(--F231,""),_xlpm.e,IFERROR(--G231,""),IF(OR(_xlpm.s="",_xlpm.e="",_xlpm.e&lt;_xlpm.s),"",_xlfn.LET(_xlpm.p,_xlfn.SEQUENCE(_xlpm.e-_xlpm.s+1,1,_xlpm.s,1),SUM(1/COUNTIFS($D:$D,D231,$E:$E,E231,$F:$F,"&lt;&gt;N/A",$G:$G,"&lt;&gt;N/A",$F:$F,"&lt;="&amp;_xlpm.p,$G:$G,"&gt;="&amp;_xlpm.p)))))</f>
        <v>0.25</v>
      </c>
      <c r="I231" t="s">
        <v>730</v>
      </c>
      <c r="J231" t="s">
        <v>2897</v>
      </c>
      <c r="K231" t="s">
        <v>7</v>
      </c>
      <c r="L231" s="5" t="s">
        <v>7</v>
      </c>
      <c r="M231" t="s">
        <v>6428</v>
      </c>
      <c r="N231" t="s">
        <v>4423</v>
      </c>
      <c r="O231" t="s">
        <v>5072</v>
      </c>
      <c r="P231" t="s">
        <v>8021</v>
      </c>
      <c r="R231" t="b">
        <v>1</v>
      </c>
    </row>
    <row r="232" spans="1:18">
      <c r="A232" t="s">
        <v>3026</v>
      </c>
      <c r="B232" t="s">
        <v>3804</v>
      </c>
      <c r="C232" s="5" t="s">
        <v>7884</v>
      </c>
      <c r="D232" s="1">
        <v>1</v>
      </c>
      <c r="E232" s="1">
        <v>30</v>
      </c>
      <c r="F232" s="1">
        <v>240</v>
      </c>
      <c r="G232" s="1">
        <v>240</v>
      </c>
      <c r="H232" s="8" cm="1">
        <f t="array" ref="H232">_xlfn.LET(_xlpm.s,IFERROR(--F232,""),_xlpm.e,IFERROR(--G232,""),IF(OR(_xlpm.s="",_xlpm.e="",_xlpm.e&lt;_xlpm.s),"",_xlfn.LET(_xlpm.p,_xlfn.SEQUENCE(_xlpm.e-_xlpm.s+1,1,_xlpm.s,1),SUM(1/COUNTIFS($D:$D,D232,$E:$E,E232,$F:$F,"&lt;&gt;N/A",$G:$G,"&lt;&gt;N/A",$F:$F,"&lt;="&amp;_xlpm.p,$G:$G,"&gt;="&amp;_xlpm.p)))))</f>
        <v>0.25</v>
      </c>
      <c r="I232" t="s">
        <v>730</v>
      </c>
      <c r="J232" t="s">
        <v>2894</v>
      </c>
      <c r="K232" t="s">
        <v>7</v>
      </c>
      <c r="L232" s="5" t="s">
        <v>7</v>
      </c>
      <c r="M232" t="s">
        <v>7343</v>
      </c>
      <c r="N232" t="s">
        <v>3247</v>
      </c>
      <c r="O232" t="s">
        <v>11522</v>
      </c>
      <c r="P232" t="s">
        <v>8021</v>
      </c>
      <c r="R232" t="b">
        <v>1</v>
      </c>
    </row>
    <row r="233" spans="1:18">
      <c r="A233" t="s">
        <v>3026</v>
      </c>
      <c r="B233" t="s">
        <v>3805</v>
      </c>
      <c r="C233" s="5" t="s">
        <v>7884</v>
      </c>
      <c r="D233" s="1">
        <v>1</v>
      </c>
      <c r="E233" s="1">
        <v>30</v>
      </c>
      <c r="F233" s="1">
        <v>240</v>
      </c>
      <c r="G233" s="1">
        <v>240</v>
      </c>
      <c r="H233" s="8" cm="1">
        <f t="array" ref="H233">_xlfn.LET(_xlpm.s,IFERROR(--F233,""),_xlpm.e,IFERROR(--G233,""),IF(OR(_xlpm.s="",_xlpm.e="",_xlpm.e&lt;_xlpm.s),"",_xlfn.LET(_xlpm.p,_xlfn.SEQUENCE(_xlpm.e-_xlpm.s+1,1,_xlpm.s,1),SUM(1/COUNTIFS($D:$D,D233,$E:$E,E233,$F:$F,"&lt;&gt;N/A",$G:$G,"&lt;&gt;N/A",$F:$F,"&lt;="&amp;_xlpm.p,$G:$G,"&gt;="&amp;_xlpm.p)))))</f>
        <v>0.25</v>
      </c>
      <c r="I233" t="s">
        <v>730</v>
      </c>
      <c r="J233" t="s">
        <v>2895</v>
      </c>
      <c r="K233" t="s">
        <v>7</v>
      </c>
      <c r="L233" s="5" t="s">
        <v>4773</v>
      </c>
      <c r="M233" t="s">
        <v>7524</v>
      </c>
      <c r="N233" t="s">
        <v>7689</v>
      </c>
      <c r="O233" t="s">
        <v>11522</v>
      </c>
      <c r="P233" t="s">
        <v>8021</v>
      </c>
      <c r="Q233" t="s">
        <v>2509</v>
      </c>
      <c r="R233" t="b">
        <v>1</v>
      </c>
    </row>
    <row r="234" spans="1:18">
      <c r="A234" t="s">
        <v>3026</v>
      </c>
      <c r="B234" t="s">
        <v>10680</v>
      </c>
      <c r="C234" s="5" t="s">
        <v>7863</v>
      </c>
      <c r="D234" s="1">
        <v>1</v>
      </c>
      <c r="E234" s="1">
        <v>31</v>
      </c>
      <c r="F234" s="1">
        <v>241</v>
      </c>
      <c r="G234" s="1">
        <v>243</v>
      </c>
      <c r="H234" s="8" cm="1">
        <f t="array" ref="H234">_xlfn.LET(_xlpm.s,IFERROR(--F234,""),_xlpm.e,IFERROR(--G234,""),IF(OR(_xlpm.s="",_xlpm.e="",_xlpm.e&lt;_xlpm.s),"",_xlfn.LET(_xlpm.p,_xlfn.SEQUENCE(_xlpm.e-_xlpm.s+1,1,_xlpm.s,1),SUM(1/COUNTIFS($D:$D,D234,$E:$E,E234,$F:$F,"&lt;&gt;N/A",$G:$G,"&lt;&gt;N/A",$F:$F,"&lt;="&amp;_xlpm.p,$G:$G,"&gt;="&amp;_xlpm.p)))))</f>
        <v>2.5</v>
      </c>
      <c r="I234" t="s">
        <v>713</v>
      </c>
      <c r="J234" t="s">
        <v>731</v>
      </c>
      <c r="K234" t="s">
        <v>644</v>
      </c>
      <c r="L234" s="5" t="s">
        <v>7</v>
      </c>
      <c r="M234" s="5" t="s">
        <v>7</v>
      </c>
      <c r="N234" t="s">
        <v>7</v>
      </c>
      <c r="O234" t="s">
        <v>778</v>
      </c>
      <c r="P234" t="s">
        <v>7834</v>
      </c>
      <c r="R234" t="b">
        <v>1</v>
      </c>
    </row>
    <row r="235" spans="1:18">
      <c r="A235" t="s">
        <v>3026</v>
      </c>
      <c r="B235" t="s">
        <v>10681</v>
      </c>
      <c r="C235" s="5" t="s">
        <v>7863</v>
      </c>
      <c r="D235" s="1">
        <v>1</v>
      </c>
      <c r="E235" s="1">
        <v>31</v>
      </c>
      <c r="F235" s="1">
        <v>243</v>
      </c>
      <c r="G235" s="1">
        <v>247</v>
      </c>
      <c r="H235" s="8" cm="1">
        <f t="array" ref="H235">_xlfn.LET(_xlpm.s,IFERROR(--F235,""),_xlpm.e,IFERROR(--G235,""),IF(OR(_xlpm.s="",_xlpm.e="",_xlpm.e&lt;_xlpm.s),"",_xlfn.LET(_xlpm.p,_xlfn.SEQUENCE(_xlpm.e-_xlpm.s+1,1,_xlpm.s,1),SUM(1/COUNTIFS($D:$D,D235,$E:$E,E235,$F:$F,"&lt;&gt;N/A",$G:$G,"&lt;&gt;N/A",$F:$F,"&lt;="&amp;_xlpm.p,$G:$G,"&gt;="&amp;_xlpm.p)))))</f>
        <v>4</v>
      </c>
      <c r="I235" t="s">
        <v>713</v>
      </c>
      <c r="J235" t="s">
        <v>732</v>
      </c>
      <c r="K235" t="s">
        <v>4774</v>
      </c>
      <c r="L235" s="5" t="s">
        <v>4759</v>
      </c>
      <c r="M235" t="s">
        <v>7439</v>
      </c>
      <c r="N235" t="s">
        <v>7666</v>
      </c>
      <c r="O235" t="s">
        <v>5072</v>
      </c>
      <c r="P235" t="s">
        <v>8021</v>
      </c>
      <c r="R235" t="b">
        <v>1</v>
      </c>
    </row>
    <row r="236" spans="1:18">
      <c r="A236" t="s">
        <v>3026</v>
      </c>
      <c r="B236" t="s">
        <v>3806</v>
      </c>
      <c r="C236" s="5" t="s">
        <v>7863</v>
      </c>
      <c r="D236" s="1">
        <v>1</v>
      </c>
      <c r="E236" s="1">
        <v>31</v>
      </c>
      <c r="F236" s="1">
        <v>247</v>
      </c>
      <c r="G236" s="1">
        <v>248</v>
      </c>
      <c r="H236" s="8" cm="1">
        <f t="array" ref="H236">_xlfn.LET(_xlpm.s,IFERROR(--F236,""),_xlpm.e,IFERROR(--G236,""),IF(OR(_xlpm.s="",_xlpm.e="",_xlpm.e&lt;_xlpm.s),"",_xlfn.LET(_xlpm.p,_xlfn.SEQUENCE(_xlpm.e-_xlpm.s+1,1,_xlpm.s,1),SUM(1/COUNTIFS($D:$D,D236,$E:$E,E236,$F:$F,"&lt;&gt;N/A",$G:$G,"&lt;&gt;N/A",$F:$F,"&lt;="&amp;_xlpm.p,$G:$G,"&gt;="&amp;_xlpm.p)))))</f>
        <v>1.5</v>
      </c>
      <c r="I236" t="s">
        <v>687</v>
      </c>
      <c r="J236" t="s">
        <v>733</v>
      </c>
      <c r="K236" t="s">
        <v>734</v>
      </c>
      <c r="L236" s="5" t="s">
        <v>4775</v>
      </c>
      <c r="M236" t="s">
        <v>7</v>
      </c>
      <c r="N236" t="s">
        <v>7</v>
      </c>
      <c r="O236" t="s">
        <v>5072</v>
      </c>
      <c r="P236" t="s">
        <v>10164</v>
      </c>
      <c r="Q236" t="s">
        <v>2509</v>
      </c>
      <c r="R236" t="b">
        <v>1</v>
      </c>
    </row>
    <row r="237" spans="1:18">
      <c r="A237" t="s">
        <v>3026</v>
      </c>
      <c r="B237" t="s">
        <v>10682</v>
      </c>
      <c r="C237" s="5" t="s">
        <v>7864</v>
      </c>
      <c r="D237" s="1">
        <v>1</v>
      </c>
      <c r="E237" s="1">
        <v>32</v>
      </c>
      <c r="F237" s="1">
        <v>249</v>
      </c>
      <c r="G237" s="1">
        <v>251</v>
      </c>
      <c r="H237" s="8" cm="1">
        <f t="array" ref="H237">_xlfn.LET(_xlpm.s,IFERROR(--F237,""),_xlpm.e,IFERROR(--G237,""),IF(OR(_xlpm.s="",_xlpm.e="",_xlpm.e&lt;_xlpm.s),"",_xlfn.LET(_xlpm.p,_xlfn.SEQUENCE(_xlpm.e-_xlpm.s+1,1,_xlpm.s,1),SUM(1/COUNTIFS($D:$D,D237,$E:$E,E237,$F:$F,"&lt;&gt;N/A",$G:$G,"&lt;&gt;N/A",$F:$F,"&lt;="&amp;_xlpm.p,$G:$G,"&gt;="&amp;_xlpm.p)))))</f>
        <v>2.5</v>
      </c>
      <c r="I237" t="s">
        <v>713</v>
      </c>
      <c r="J237" t="s">
        <v>7460</v>
      </c>
      <c r="K237" t="s">
        <v>4776</v>
      </c>
      <c r="L237" s="5" t="s">
        <v>4768</v>
      </c>
      <c r="M237" t="s">
        <v>6939</v>
      </c>
      <c r="N237" t="s">
        <v>7527</v>
      </c>
      <c r="O237" t="s">
        <v>5072</v>
      </c>
      <c r="P237" t="s">
        <v>8021</v>
      </c>
      <c r="Q237" t="s">
        <v>2509</v>
      </c>
      <c r="R237" t="b">
        <v>1</v>
      </c>
    </row>
    <row r="238" spans="1:18">
      <c r="A238" t="s">
        <v>3026</v>
      </c>
      <c r="B238" t="s">
        <v>10683</v>
      </c>
      <c r="C238" s="5" t="s">
        <v>7864</v>
      </c>
      <c r="D238" s="1">
        <v>1</v>
      </c>
      <c r="E238" s="1">
        <v>32</v>
      </c>
      <c r="F238" s="1">
        <v>251</v>
      </c>
      <c r="G238" s="1">
        <v>253</v>
      </c>
      <c r="H238" s="8" cm="1">
        <f t="array" ref="H238">_xlfn.LET(_xlpm.s,IFERROR(--F238,""),_xlpm.e,IFERROR(--G238,""),IF(OR(_xlpm.s="",_xlpm.e="",_xlpm.e&lt;_xlpm.s),"",_xlfn.LET(_xlpm.p,_xlfn.SEQUENCE(_xlpm.e-_xlpm.s+1,1,_xlpm.s,1),SUM(1/COUNTIFS($D:$D,D238,$E:$E,E238,$F:$F,"&lt;&gt;N/A",$G:$G,"&lt;&gt;N/A",$F:$F,"&lt;="&amp;_xlpm.p,$G:$G,"&gt;="&amp;_xlpm.p)))))</f>
        <v>1.8333333333333333</v>
      </c>
      <c r="I238" t="s">
        <v>632</v>
      </c>
      <c r="J238" t="s">
        <v>7458</v>
      </c>
      <c r="K238" t="s">
        <v>7</v>
      </c>
      <c r="L238" s="5" t="s">
        <v>4759</v>
      </c>
      <c r="M238" s="5" t="s">
        <v>6423</v>
      </c>
      <c r="N238" t="s">
        <v>7457</v>
      </c>
      <c r="O238" t="s">
        <v>5072</v>
      </c>
      <c r="P238" t="s">
        <v>8021</v>
      </c>
      <c r="R238" t="b">
        <v>1</v>
      </c>
    </row>
    <row r="239" spans="1:18">
      <c r="A239" t="s">
        <v>3026</v>
      </c>
      <c r="B239" t="s">
        <v>3807</v>
      </c>
      <c r="C239" s="5" t="s">
        <v>7864</v>
      </c>
      <c r="D239" s="1">
        <v>1</v>
      </c>
      <c r="E239" s="1">
        <v>32</v>
      </c>
      <c r="F239" s="1">
        <v>253</v>
      </c>
      <c r="G239" s="1">
        <v>253</v>
      </c>
      <c r="H239" s="8" cm="1">
        <f t="array" ref="H239">_xlfn.LET(_xlpm.s,IFERROR(--F239,""),_xlpm.e,IFERROR(--G239,""),IF(OR(_xlpm.s="",_xlpm.e="",_xlpm.e&lt;_xlpm.s),"",_xlfn.LET(_xlpm.p,_xlfn.SEQUENCE(_xlpm.e-_xlpm.s+1,1,_xlpm.s,1),SUM(1/COUNTIFS($D:$D,D239,$E:$E,E239,$F:$F,"&lt;&gt;N/A",$G:$G,"&lt;&gt;N/A",$F:$F,"&lt;="&amp;_xlpm.p,$G:$G,"&gt;="&amp;_xlpm.p)))))</f>
        <v>0.33333333333333331</v>
      </c>
      <c r="I239" t="s">
        <v>632</v>
      </c>
      <c r="J239" t="s">
        <v>2899</v>
      </c>
      <c r="K239" t="s">
        <v>7</v>
      </c>
      <c r="L239" s="5" t="s">
        <v>7</v>
      </c>
      <c r="M239" s="5" t="s">
        <v>7</v>
      </c>
      <c r="N239" t="s">
        <v>7</v>
      </c>
      <c r="O239" t="s">
        <v>778</v>
      </c>
      <c r="P239" t="s">
        <v>7834</v>
      </c>
      <c r="R239" t="b">
        <v>1</v>
      </c>
    </row>
    <row r="240" spans="1:18">
      <c r="A240" t="s">
        <v>3026</v>
      </c>
      <c r="B240" t="s">
        <v>3808</v>
      </c>
      <c r="C240" s="5" t="s">
        <v>7864</v>
      </c>
      <c r="D240" s="1">
        <v>1</v>
      </c>
      <c r="E240" s="1">
        <v>32</v>
      </c>
      <c r="F240" s="1">
        <v>253</v>
      </c>
      <c r="G240" s="1">
        <v>253</v>
      </c>
      <c r="H240" s="8" cm="1">
        <f t="array" ref="H240">_xlfn.LET(_xlpm.s,IFERROR(--F240,""),_xlpm.e,IFERROR(--G240,""),IF(OR(_xlpm.s="",_xlpm.e="",_xlpm.e&lt;_xlpm.s),"",_xlfn.LET(_xlpm.p,_xlfn.SEQUENCE(_xlpm.e-_xlpm.s+1,1,_xlpm.s,1),SUM(1/COUNTIFS($D:$D,D240,$E:$E,E240,$F:$F,"&lt;&gt;N/A",$G:$G,"&lt;&gt;N/A",$F:$F,"&lt;="&amp;_xlpm.p,$G:$G,"&gt;="&amp;_xlpm.p)))))</f>
        <v>0.33333333333333331</v>
      </c>
      <c r="I240" t="s">
        <v>632</v>
      </c>
      <c r="J240" t="s">
        <v>2901</v>
      </c>
      <c r="K240" t="s">
        <v>7</v>
      </c>
      <c r="L240" s="5" t="s">
        <v>7</v>
      </c>
      <c r="M240" s="5" t="s">
        <v>7</v>
      </c>
      <c r="N240" t="s">
        <v>7</v>
      </c>
      <c r="O240" t="s">
        <v>778</v>
      </c>
      <c r="P240" t="s">
        <v>7834</v>
      </c>
      <c r="R240" t="b">
        <v>1</v>
      </c>
    </row>
    <row r="241" spans="1:18">
      <c r="A241" t="s">
        <v>3026</v>
      </c>
      <c r="B241" t="s">
        <v>3809</v>
      </c>
      <c r="C241" s="5" t="s">
        <v>7864</v>
      </c>
      <c r="D241" s="1">
        <v>1</v>
      </c>
      <c r="E241" s="1">
        <v>32</v>
      </c>
      <c r="F241" s="1">
        <v>254</v>
      </c>
      <c r="G241" s="1">
        <v>255</v>
      </c>
      <c r="H241" s="8" cm="1">
        <f t="array" ref="H241">_xlfn.LET(_xlpm.s,IFERROR(--F241,""),_xlpm.e,IFERROR(--G241,""),IF(OR(_xlpm.s="",_xlpm.e="",_xlpm.e&lt;_xlpm.s),"",_xlfn.LET(_xlpm.p,_xlfn.SEQUENCE(_xlpm.e-_xlpm.s+1,1,_xlpm.s,1),SUM(1/COUNTIFS($D:$D,D241,$E:$E,E241,$F:$F,"&lt;&gt;N/A",$G:$G,"&lt;&gt;N/A",$F:$F,"&lt;="&amp;_xlpm.p,$G:$G,"&gt;="&amp;_xlpm.p)))))</f>
        <v>1.5</v>
      </c>
      <c r="I241" t="s">
        <v>632</v>
      </c>
      <c r="J241" t="s">
        <v>2900</v>
      </c>
      <c r="K241" t="s">
        <v>644</v>
      </c>
      <c r="L241" s="5" t="s">
        <v>7</v>
      </c>
      <c r="M241" t="s">
        <v>7</v>
      </c>
      <c r="N241" t="s">
        <v>7</v>
      </c>
      <c r="O241" t="s">
        <v>778</v>
      </c>
      <c r="P241" t="s">
        <v>7834</v>
      </c>
      <c r="R241" t="b">
        <v>1</v>
      </c>
    </row>
    <row r="242" spans="1:18">
      <c r="A242" t="s">
        <v>3026</v>
      </c>
      <c r="B242" t="s">
        <v>3810</v>
      </c>
      <c r="C242" s="5" t="s">
        <v>7864</v>
      </c>
      <c r="D242" s="1">
        <v>1</v>
      </c>
      <c r="E242" s="1">
        <v>32</v>
      </c>
      <c r="F242" s="1">
        <v>255</v>
      </c>
      <c r="G242" s="1">
        <v>256</v>
      </c>
      <c r="H242" s="8" cm="1">
        <f t="array" ref="H242">_xlfn.LET(_xlpm.s,IFERROR(--F242,""),_xlpm.e,IFERROR(--G242,""),IF(OR(_xlpm.s="",_xlpm.e="",_xlpm.e&lt;_xlpm.s),"",_xlfn.LET(_xlpm.p,_xlfn.SEQUENCE(_xlpm.e-_xlpm.s+1,1,_xlpm.s,1),SUM(1/COUNTIFS($D:$D,D242,$E:$E,E242,$F:$F,"&lt;&gt;N/A",$G:$G,"&lt;&gt;N/A",$F:$F,"&lt;="&amp;_xlpm.p,$G:$G,"&gt;="&amp;_xlpm.p)))))</f>
        <v>1.5</v>
      </c>
      <c r="I242" t="s">
        <v>632</v>
      </c>
      <c r="J242" t="s">
        <v>735</v>
      </c>
      <c r="K242" t="s">
        <v>7</v>
      </c>
      <c r="L242" s="5" t="s">
        <v>7</v>
      </c>
      <c r="M242" t="s">
        <v>7</v>
      </c>
      <c r="N242" t="s">
        <v>7</v>
      </c>
      <c r="O242" t="s">
        <v>778</v>
      </c>
      <c r="P242" t="s">
        <v>7834</v>
      </c>
      <c r="R242" t="b">
        <v>1</v>
      </c>
    </row>
    <row r="243" spans="1:18">
      <c r="A243" t="s">
        <v>3026</v>
      </c>
      <c r="B243" t="s">
        <v>10684</v>
      </c>
      <c r="C243" s="5" t="s">
        <v>7865</v>
      </c>
      <c r="D243" s="1">
        <v>1</v>
      </c>
      <c r="E243" s="1">
        <v>33</v>
      </c>
      <c r="F243" s="1">
        <v>257</v>
      </c>
      <c r="G243" s="1">
        <v>258</v>
      </c>
      <c r="H243" s="8" cm="1">
        <f t="array" ref="H243">_xlfn.LET(_xlpm.s,IFERROR(--F243,""),_xlpm.e,IFERROR(--G243,""),IF(OR(_xlpm.s="",_xlpm.e="",_xlpm.e&lt;_xlpm.s),"",_xlfn.LET(_xlpm.p,_xlfn.SEQUENCE(_xlpm.e-_xlpm.s+1,1,_xlpm.s,1),SUM(1/COUNTIFS($D:$D,D243,$E:$E,E243,$F:$F,"&lt;&gt;N/A",$G:$G,"&lt;&gt;N/A",$F:$F,"&lt;="&amp;_xlpm.p,$G:$G,"&gt;="&amp;_xlpm.p)))))</f>
        <v>1.5</v>
      </c>
      <c r="I243" t="s">
        <v>713</v>
      </c>
      <c r="J243" t="s">
        <v>736</v>
      </c>
      <c r="K243" t="s">
        <v>737</v>
      </c>
      <c r="L243" s="5" t="s">
        <v>7690</v>
      </c>
      <c r="M243" t="s">
        <v>7</v>
      </c>
      <c r="N243" t="s">
        <v>10425</v>
      </c>
      <c r="O243" t="s">
        <v>10264</v>
      </c>
      <c r="P243" t="s">
        <v>8020</v>
      </c>
      <c r="Q243" t="s">
        <v>11526</v>
      </c>
      <c r="R243" t="b">
        <v>1</v>
      </c>
    </row>
    <row r="244" spans="1:18">
      <c r="A244" t="s">
        <v>3026</v>
      </c>
      <c r="B244" t="s">
        <v>10685</v>
      </c>
      <c r="C244" s="5" t="s">
        <v>7865</v>
      </c>
      <c r="D244" s="1">
        <v>1</v>
      </c>
      <c r="E244" s="1">
        <v>33</v>
      </c>
      <c r="F244" s="1">
        <v>258</v>
      </c>
      <c r="G244" s="1">
        <v>260</v>
      </c>
      <c r="H244" s="8" cm="1">
        <f t="array" ref="H244">_xlfn.LET(_xlpm.s,IFERROR(--F244,""),_xlpm.e,IFERROR(--G244,""),IF(OR(_xlpm.s="",_xlpm.e="",_xlpm.e&lt;_xlpm.s),"",_xlfn.LET(_xlpm.p,_xlfn.SEQUENCE(_xlpm.e-_xlpm.s+1,1,_xlpm.s,1),SUM(1/COUNTIFS($D:$D,D244,$E:$E,E244,$F:$F,"&lt;&gt;N/A",$G:$G,"&lt;&gt;N/A",$F:$F,"&lt;="&amp;_xlpm.p,$G:$G,"&gt;="&amp;_xlpm.p)))))</f>
        <v>2</v>
      </c>
      <c r="I244" t="s">
        <v>713</v>
      </c>
      <c r="J244" t="s">
        <v>738</v>
      </c>
      <c r="K244" t="s">
        <v>4774</v>
      </c>
      <c r="L244" s="5" t="s">
        <v>4777</v>
      </c>
      <c r="M244" t="s">
        <v>7</v>
      </c>
      <c r="N244" t="s">
        <v>7</v>
      </c>
      <c r="O244" t="s">
        <v>11522</v>
      </c>
      <c r="P244" t="s">
        <v>8021</v>
      </c>
      <c r="Q244" t="s">
        <v>2509</v>
      </c>
      <c r="R244" t="b">
        <v>1</v>
      </c>
    </row>
    <row r="245" spans="1:18">
      <c r="A245" t="s">
        <v>3026</v>
      </c>
      <c r="B245" t="s">
        <v>3811</v>
      </c>
      <c r="C245" s="5" t="s">
        <v>7865</v>
      </c>
      <c r="D245" s="1">
        <v>1</v>
      </c>
      <c r="E245" s="1">
        <v>33</v>
      </c>
      <c r="F245" s="1">
        <v>260</v>
      </c>
      <c r="G245" s="1">
        <v>263</v>
      </c>
      <c r="H245" s="8" cm="1">
        <f t="array" ref="H245">_xlfn.LET(_xlpm.s,IFERROR(--F245,""),_xlpm.e,IFERROR(--G245,""),IF(OR(_xlpm.s="",_xlpm.e="",_xlpm.e&lt;_xlpm.s),"",_xlfn.LET(_xlpm.p,_xlfn.SEQUENCE(_xlpm.e-_xlpm.s+1,1,_xlpm.s,1),SUM(1/COUNTIFS($D:$D,D245,$E:$E,E245,$F:$F,"&lt;&gt;N/A",$G:$G,"&lt;&gt;N/A",$F:$F,"&lt;="&amp;_xlpm.p,$G:$G,"&gt;="&amp;_xlpm.p)))))</f>
        <v>3</v>
      </c>
      <c r="I245" t="s">
        <v>713</v>
      </c>
      <c r="J245" t="s">
        <v>739</v>
      </c>
      <c r="K245" t="s">
        <v>4776</v>
      </c>
      <c r="L245" s="5" t="s">
        <v>4778</v>
      </c>
      <c r="M245" t="s">
        <v>6939</v>
      </c>
      <c r="N245" t="s">
        <v>7527</v>
      </c>
      <c r="O245" t="s">
        <v>5072</v>
      </c>
      <c r="P245" t="s">
        <v>8021</v>
      </c>
      <c r="R245" t="b">
        <v>1</v>
      </c>
    </row>
    <row r="246" spans="1:18">
      <c r="A246" t="s">
        <v>3026</v>
      </c>
      <c r="B246" t="s">
        <v>3812</v>
      </c>
      <c r="C246" s="5" t="s">
        <v>7865</v>
      </c>
      <c r="D246" s="1">
        <v>1</v>
      </c>
      <c r="E246" s="1">
        <v>33</v>
      </c>
      <c r="F246" s="1">
        <v>263</v>
      </c>
      <c r="G246" s="1">
        <v>264</v>
      </c>
      <c r="H246" s="8" cm="1">
        <f t="array" ref="H246">_xlfn.LET(_xlpm.s,IFERROR(--F246,""),_xlpm.e,IFERROR(--G246,""),IF(OR(_xlpm.s="",_xlpm.e="",_xlpm.e&lt;_xlpm.s),"",_xlfn.LET(_xlpm.p,_xlfn.SEQUENCE(_xlpm.e-_xlpm.s+1,1,_xlpm.s,1),SUM(1/COUNTIFS($D:$D,D246,$E:$E,E246,$F:$F,"&lt;&gt;N/A",$G:$G,"&lt;&gt;N/A",$F:$F,"&lt;="&amp;_xlpm.p,$G:$G,"&gt;="&amp;_xlpm.p)))))</f>
        <v>1</v>
      </c>
      <c r="I246" t="s">
        <v>632</v>
      </c>
      <c r="J246" t="s">
        <v>740</v>
      </c>
      <c r="K246" t="s">
        <v>644</v>
      </c>
      <c r="L246" s="5" t="s">
        <v>7</v>
      </c>
      <c r="M246" s="5" t="s">
        <v>7</v>
      </c>
      <c r="N246" t="s">
        <v>7</v>
      </c>
      <c r="O246" t="s">
        <v>778</v>
      </c>
      <c r="P246" t="s">
        <v>7834</v>
      </c>
      <c r="R246" t="b">
        <v>1</v>
      </c>
    </row>
    <row r="247" spans="1:18">
      <c r="A247" t="s">
        <v>3026</v>
      </c>
      <c r="B247" t="s">
        <v>3813</v>
      </c>
      <c r="C247" s="5" t="s">
        <v>7865</v>
      </c>
      <c r="D247" s="1">
        <v>1</v>
      </c>
      <c r="E247" s="1">
        <v>33</v>
      </c>
      <c r="F247" s="1">
        <v>264</v>
      </c>
      <c r="G247" s="1">
        <v>264</v>
      </c>
      <c r="H247" s="8" cm="1">
        <f t="array" ref="H247">_xlfn.LET(_xlpm.s,IFERROR(--F247,""),_xlpm.e,IFERROR(--G247,""),IF(OR(_xlpm.s="",_xlpm.e="",_xlpm.e&lt;_xlpm.s),"",_xlfn.LET(_xlpm.p,_xlfn.SEQUENCE(_xlpm.e-_xlpm.s+1,1,_xlpm.s,1),SUM(1/COUNTIFS($D:$D,D247,$E:$E,E247,$F:$F,"&lt;&gt;N/A",$G:$G,"&lt;&gt;N/A",$F:$F,"&lt;="&amp;_xlpm.p,$G:$G,"&gt;="&amp;_xlpm.p)))))</f>
        <v>0.5</v>
      </c>
      <c r="I247" t="s">
        <v>632</v>
      </c>
      <c r="J247" t="s">
        <v>3273</v>
      </c>
      <c r="K247" t="s">
        <v>7</v>
      </c>
      <c r="L247" s="5" t="s">
        <v>7</v>
      </c>
      <c r="M247" s="5" t="s">
        <v>7</v>
      </c>
      <c r="N247" t="s">
        <v>7</v>
      </c>
      <c r="O247" t="s">
        <v>778</v>
      </c>
      <c r="P247" t="s">
        <v>7834</v>
      </c>
      <c r="Q247" s="5" t="s">
        <v>7462</v>
      </c>
      <c r="R247" t="b">
        <v>1</v>
      </c>
    </row>
    <row r="248" spans="1:18">
      <c r="A248" t="s">
        <v>3026</v>
      </c>
      <c r="B248" t="s">
        <v>10686</v>
      </c>
      <c r="C248" s="5" t="s">
        <v>7885</v>
      </c>
      <c r="D248" s="1">
        <v>1</v>
      </c>
      <c r="E248" s="1">
        <v>34</v>
      </c>
      <c r="F248" s="1">
        <v>265</v>
      </c>
      <c r="G248" s="1">
        <v>268</v>
      </c>
      <c r="H248" s="8" cm="1">
        <f t="array" ref="H248">_xlfn.LET(_xlpm.s,IFERROR(--F248,""),_xlpm.e,IFERROR(--G248,""),IF(OR(_xlpm.s="",_xlpm.e="",_xlpm.e&lt;_xlpm.s),"",_xlfn.LET(_xlpm.p,_xlfn.SEQUENCE(_xlpm.e-_xlpm.s+1,1,_xlpm.s,1),SUM(1/COUNTIFS($D:$D,D248,$E:$E,E248,$F:$F,"&lt;&gt;N/A",$G:$G,"&lt;&gt;N/A",$F:$F,"&lt;="&amp;_xlpm.p,$G:$G,"&gt;="&amp;_xlpm.p)))))</f>
        <v>3.5</v>
      </c>
      <c r="I248" t="s">
        <v>713</v>
      </c>
      <c r="J248" t="s">
        <v>741</v>
      </c>
      <c r="K248" t="s">
        <v>4776</v>
      </c>
      <c r="L248" s="5" t="s">
        <v>4778</v>
      </c>
      <c r="M248" t="s">
        <v>6939</v>
      </c>
      <c r="N248" t="s">
        <v>7527</v>
      </c>
      <c r="O248" t="s">
        <v>5072</v>
      </c>
      <c r="P248" t="s">
        <v>8021</v>
      </c>
      <c r="Q248" t="s">
        <v>2509</v>
      </c>
      <c r="R248" t="b">
        <v>1</v>
      </c>
    </row>
    <row r="249" spans="1:18">
      <c r="A249" t="s">
        <v>3026</v>
      </c>
      <c r="B249" t="s">
        <v>10687</v>
      </c>
      <c r="C249" s="5" t="s">
        <v>7885</v>
      </c>
      <c r="D249" s="1">
        <v>1</v>
      </c>
      <c r="E249" s="1">
        <v>34</v>
      </c>
      <c r="F249" s="1">
        <v>268</v>
      </c>
      <c r="G249" s="1">
        <v>271</v>
      </c>
      <c r="H249" s="8" cm="1">
        <f t="array" ref="H249">_xlfn.LET(_xlpm.s,IFERROR(--F249,""),_xlpm.e,IFERROR(--G249,""),IF(OR(_xlpm.s="",_xlpm.e="",_xlpm.e&lt;_xlpm.s),"",_xlfn.LET(_xlpm.p,_xlfn.SEQUENCE(_xlpm.e-_xlpm.s+1,1,_xlpm.s,1),SUM(1/COUNTIFS($D:$D,D249,$E:$E,E249,$F:$F,"&lt;&gt;N/A",$G:$G,"&lt;&gt;N/A",$F:$F,"&lt;="&amp;_xlpm.p,$G:$G,"&gt;="&amp;_xlpm.p)))))</f>
        <v>2.75</v>
      </c>
      <c r="I249" t="s">
        <v>713</v>
      </c>
      <c r="J249" t="s">
        <v>742</v>
      </c>
      <c r="K249" t="s">
        <v>644</v>
      </c>
      <c r="L249" s="5" t="s">
        <v>7</v>
      </c>
      <c r="M249" s="5" t="s">
        <v>7</v>
      </c>
      <c r="N249" t="s">
        <v>7</v>
      </c>
      <c r="O249" t="s">
        <v>778</v>
      </c>
      <c r="P249" t="s">
        <v>7834</v>
      </c>
      <c r="R249" t="b">
        <v>1</v>
      </c>
    </row>
    <row r="250" spans="1:18">
      <c r="A250" t="s">
        <v>3026</v>
      </c>
      <c r="B250" t="s">
        <v>3814</v>
      </c>
      <c r="C250" s="5" t="s">
        <v>7885</v>
      </c>
      <c r="D250" s="1">
        <v>1</v>
      </c>
      <c r="E250" s="1">
        <v>34</v>
      </c>
      <c r="F250" s="1">
        <v>271</v>
      </c>
      <c r="G250" s="1">
        <v>271</v>
      </c>
      <c r="H250" s="8" cm="1">
        <f t="array" ref="H250">_xlfn.LET(_xlpm.s,IFERROR(--F250,""),_xlpm.e,IFERROR(--G250,""),IF(OR(_xlpm.s="",_xlpm.e="",_xlpm.e&lt;_xlpm.s),"",_xlfn.LET(_xlpm.p,_xlfn.SEQUENCE(_xlpm.e-_xlpm.s+1,1,_xlpm.s,1),SUM(1/COUNTIFS($D:$D,D250,$E:$E,E250,$F:$F,"&lt;&gt;N/A",$G:$G,"&lt;&gt;N/A",$F:$F,"&lt;="&amp;_xlpm.p,$G:$G,"&gt;="&amp;_xlpm.p)))))</f>
        <v>0.25</v>
      </c>
      <c r="I250" t="s">
        <v>632</v>
      </c>
      <c r="J250" t="s">
        <v>2904</v>
      </c>
      <c r="K250" t="s">
        <v>644</v>
      </c>
      <c r="L250" s="5" t="s">
        <v>7</v>
      </c>
      <c r="M250" s="5" t="s">
        <v>7</v>
      </c>
      <c r="N250" t="s">
        <v>7</v>
      </c>
      <c r="O250" t="s">
        <v>778</v>
      </c>
      <c r="P250" t="s">
        <v>7834</v>
      </c>
      <c r="R250" t="b">
        <v>1</v>
      </c>
    </row>
    <row r="251" spans="1:18">
      <c r="A251" t="s">
        <v>3026</v>
      </c>
      <c r="B251" t="s">
        <v>3815</v>
      </c>
      <c r="C251" s="5" t="s">
        <v>7885</v>
      </c>
      <c r="D251" s="1">
        <v>1</v>
      </c>
      <c r="E251" s="1">
        <v>34</v>
      </c>
      <c r="F251" s="1">
        <v>271</v>
      </c>
      <c r="G251" s="1">
        <v>271</v>
      </c>
      <c r="H251" s="8" cm="1">
        <f t="array" ref="H251">_xlfn.LET(_xlpm.s,IFERROR(--F251,""),_xlpm.e,IFERROR(--G251,""),IF(OR(_xlpm.s="",_xlpm.e="",_xlpm.e&lt;_xlpm.s),"",_xlfn.LET(_xlpm.p,_xlfn.SEQUENCE(_xlpm.e-_xlpm.s+1,1,_xlpm.s,1),SUM(1/COUNTIFS($D:$D,D251,$E:$E,E251,$F:$F,"&lt;&gt;N/A",$G:$G,"&lt;&gt;N/A",$F:$F,"&lt;="&amp;_xlpm.p,$G:$G,"&gt;="&amp;_xlpm.p)))))</f>
        <v>0.25</v>
      </c>
      <c r="I251" t="s">
        <v>632</v>
      </c>
      <c r="J251" t="s">
        <v>2905</v>
      </c>
      <c r="K251" t="s">
        <v>7</v>
      </c>
      <c r="L251" s="5" t="s">
        <v>7</v>
      </c>
      <c r="M251" s="5" t="s">
        <v>7</v>
      </c>
      <c r="N251" t="s">
        <v>7</v>
      </c>
      <c r="O251" t="s">
        <v>778</v>
      </c>
      <c r="P251" t="s">
        <v>7834</v>
      </c>
      <c r="R251" t="b">
        <v>0</v>
      </c>
    </row>
    <row r="252" spans="1:18">
      <c r="A252" t="s">
        <v>3026</v>
      </c>
      <c r="B252" t="s">
        <v>3816</v>
      </c>
      <c r="C252" s="5" t="s">
        <v>7885</v>
      </c>
      <c r="D252" s="1">
        <v>1</v>
      </c>
      <c r="E252" s="1">
        <v>34</v>
      </c>
      <c r="F252" s="1">
        <v>271</v>
      </c>
      <c r="G252" s="1">
        <v>272</v>
      </c>
      <c r="H252" s="8" cm="1">
        <f t="array" ref="H252">_xlfn.LET(_xlpm.s,IFERROR(--F252,""),_xlpm.e,IFERROR(--G252,""),IF(OR(_xlpm.s="",_xlpm.e="",_xlpm.e&lt;_xlpm.s),"",_xlfn.LET(_xlpm.p,_xlfn.SEQUENCE(_xlpm.e-_xlpm.s+1,1,_xlpm.s,1),SUM(1/COUNTIFS($D:$D,D252,$E:$E,E252,$F:$F,"&lt;&gt;N/A",$G:$G,"&lt;&gt;N/A",$F:$F,"&lt;="&amp;_xlpm.p,$G:$G,"&gt;="&amp;_xlpm.p)))))</f>
        <v>0.58333333333333326</v>
      </c>
      <c r="I252" t="s">
        <v>632</v>
      </c>
      <c r="J252" t="s">
        <v>2903</v>
      </c>
      <c r="K252" t="s">
        <v>7</v>
      </c>
      <c r="L252" s="5" t="s">
        <v>7</v>
      </c>
      <c r="M252" s="5" t="s">
        <v>7</v>
      </c>
      <c r="N252" t="s">
        <v>7</v>
      </c>
      <c r="O252" t="s">
        <v>778</v>
      </c>
      <c r="P252" t="s">
        <v>7834</v>
      </c>
      <c r="R252" t="b">
        <v>1</v>
      </c>
    </row>
    <row r="253" spans="1:18">
      <c r="A253" t="s">
        <v>3026</v>
      </c>
      <c r="B253" t="s">
        <v>3817</v>
      </c>
      <c r="C253" s="5" t="s">
        <v>7885</v>
      </c>
      <c r="D253" s="1">
        <v>1</v>
      </c>
      <c r="E253" s="1">
        <v>34</v>
      </c>
      <c r="F253" s="1">
        <v>272</v>
      </c>
      <c r="G253" s="1">
        <v>272</v>
      </c>
      <c r="H253" s="8" cm="1">
        <f t="array" ref="H253">_xlfn.LET(_xlpm.s,IFERROR(--F253,""),_xlpm.e,IFERROR(--G253,""),IF(OR(_xlpm.s="",_xlpm.e="",_xlpm.e&lt;_xlpm.s),"",_xlfn.LET(_xlpm.p,_xlfn.SEQUENCE(_xlpm.e-_xlpm.s+1,1,_xlpm.s,1),SUM(1/COUNTIFS($D:$D,D253,$E:$E,E253,$F:$F,"&lt;&gt;N/A",$G:$G,"&lt;&gt;N/A",$F:$F,"&lt;="&amp;_xlpm.p,$G:$G,"&gt;="&amp;_xlpm.p)))))</f>
        <v>0.33333333333333331</v>
      </c>
      <c r="I253" t="s">
        <v>632</v>
      </c>
      <c r="J253" t="s">
        <v>2902</v>
      </c>
      <c r="K253" t="s">
        <v>644</v>
      </c>
      <c r="L253" s="5" t="s">
        <v>7</v>
      </c>
      <c r="M253" s="5" t="s">
        <v>7</v>
      </c>
      <c r="N253" t="s">
        <v>7</v>
      </c>
      <c r="O253" t="s">
        <v>778</v>
      </c>
      <c r="P253" t="s">
        <v>7834</v>
      </c>
      <c r="R253" t="b">
        <v>1</v>
      </c>
    </row>
    <row r="254" spans="1:18">
      <c r="A254" t="s">
        <v>3026</v>
      </c>
      <c r="B254" t="s">
        <v>3818</v>
      </c>
      <c r="C254" s="5" t="s">
        <v>7885</v>
      </c>
      <c r="D254" s="1">
        <v>1</v>
      </c>
      <c r="E254" s="1">
        <v>34</v>
      </c>
      <c r="F254" s="1">
        <v>272</v>
      </c>
      <c r="G254" s="1">
        <v>272</v>
      </c>
      <c r="H254" s="8" cm="1">
        <f t="array" ref="H254">_xlfn.LET(_xlpm.s,IFERROR(--F254,""),_xlpm.e,IFERROR(--G254,""),IF(OR(_xlpm.s="",_xlpm.e="",_xlpm.e&lt;_xlpm.s),"",_xlfn.LET(_xlpm.p,_xlfn.SEQUENCE(_xlpm.e-_xlpm.s+1,1,_xlpm.s,1),SUM(1/COUNTIFS($D:$D,D254,$E:$E,E254,$F:$F,"&lt;&gt;N/A",$G:$G,"&lt;&gt;N/A",$F:$F,"&lt;="&amp;_xlpm.p,$G:$G,"&gt;="&amp;_xlpm.p)))))</f>
        <v>0.33333333333333331</v>
      </c>
      <c r="I254" t="s">
        <v>637</v>
      </c>
      <c r="J254" t="s">
        <v>2906</v>
      </c>
      <c r="K254" t="s">
        <v>7</v>
      </c>
      <c r="L254" s="5" t="s">
        <v>7</v>
      </c>
      <c r="M254" s="5" t="s">
        <v>7</v>
      </c>
      <c r="N254" t="s">
        <v>7</v>
      </c>
      <c r="O254" t="s">
        <v>778</v>
      </c>
      <c r="P254" t="s">
        <v>7834</v>
      </c>
      <c r="R254" t="b">
        <v>1</v>
      </c>
    </row>
    <row r="255" spans="1:18">
      <c r="A255" t="s">
        <v>3026</v>
      </c>
      <c r="B255" t="s">
        <v>10688</v>
      </c>
      <c r="C255" s="5" t="s">
        <v>7866</v>
      </c>
      <c r="D255" s="1">
        <v>1</v>
      </c>
      <c r="E255" s="1">
        <v>35</v>
      </c>
      <c r="F255" s="1">
        <v>273</v>
      </c>
      <c r="G255" s="1">
        <v>276</v>
      </c>
      <c r="H255" s="8" cm="1">
        <f t="array" ref="H255">_xlfn.LET(_xlpm.s,IFERROR(--F255,""),_xlpm.e,IFERROR(--G255,""),IF(OR(_xlpm.s="",_xlpm.e="",_xlpm.e&lt;_xlpm.s),"",_xlfn.LET(_xlpm.p,_xlfn.SEQUENCE(_xlpm.e-_xlpm.s+1,1,_xlpm.s,1),SUM(1/COUNTIFS($D:$D,D255,$E:$E,E255,$F:$F,"&lt;&gt;N/A",$G:$G,"&lt;&gt;N/A",$F:$F,"&lt;="&amp;_xlpm.p,$G:$G,"&gt;="&amp;_xlpm.p)))))</f>
        <v>3.5</v>
      </c>
      <c r="I255" t="s">
        <v>687</v>
      </c>
      <c r="J255" t="s">
        <v>743</v>
      </c>
      <c r="K255" t="s">
        <v>2907</v>
      </c>
      <c r="L255" s="5" t="s">
        <v>4779</v>
      </c>
      <c r="M255" t="s">
        <v>7</v>
      </c>
      <c r="N255" t="s">
        <v>7</v>
      </c>
      <c r="O255" t="s">
        <v>5072</v>
      </c>
      <c r="P255" t="s">
        <v>10164</v>
      </c>
      <c r="Q255" t="s">
        <v>2509</v>
      </c>
      <c r="R255" t="b">
        <v>1</v>
      </c>
    </row>
    <row r="256" spans="1:18">
      <c r="A256" t="s">
        <v>3026</v>
      </c>
      <c r="B256" t="s">
        <v>10689</v>
      </c>
      <c r="C256" s="5" t="s">
        <v>7866</v>
      </c>
      <c r="D256" s="1">
        <v>1</v>
      </c>
      <c r="E256" s="1">
        <v>35</v>
      </c>
      <c r="F256" s="1">
        <v>276</v>
      </c>
      <c r="G256" s="1">
        <v>277</v>
      </c>
      <c r="H256" s="8" cm="1">
        <f t="array" ref="H256">_xlfn.LET(_xlpm.s,IFERROR(--F256,""),_xlpm.e,IFERROR(--G256,""),IF(OR(_xlpm.s="",_xlpm.e="",_xlpm.e&lt;_xlpm.s),"",_xlfn.LET(_xlpm.p,_xlfn.SEQUENCE(_xlpm.e-_xlpm.s+1,1,_xlpm.s,1),SUM(1/COUNTIFS($D:$D,D256,$E:$E,E256,$F:$F,"&lt;&gt;N/A",$G:$G,"&lt;&gt;N/A",$F:$F,"&lt;="&amp;_xlpm.p,$G:$G,"&gt;="&amp;_xlpm.p)))))</f>
        <v>0.83333333333333326</v>
      </c>
      <c r="I256" t="s">
        <v>632</v>
      </c>
      <c r="J256" t="s">
        <v>7664</v>
      </c>
      <c r="K256" t="s">
        <v>7</v>
      </c>
      <c r="L256" s="5" t="s">
        <v>7</v>
      </c>
      <c r="M256" t="s">
        <v>7687</v>
      </c>
      <c r="N256" t="s">
        <v>7688</v>
      </c>
      <c r="O256" t="s">
        <v>11522</v>
      </c>
      <c r="P256" t="s">
        <v>8021</v>
      </c>
      <c r="Q256" t="s">
        <v>2509</v>
      </c>
      <c r="R256" t="b">
        <v>1</v>
      </c>
    </row>
    <row r="257" spans="1:18">
      <c r="A257" t="s">
        <v>3026</v>
      </c>
      <c r="B257" t="s">
        <v>3819</v>
      </c>
      <c r="C257" s="5" t="s">
        <v>7866</v>
      </c>
      <c r="D257" s="1">
        <v>1</v>
      </c>
      <c r="E257" s="1">
        <v>35</v>
      </c>
      <c r="F257" s="1">
        <v>277</v>
      </c>
      <c r="G257" s="1">
        <v>277</v>
      </c>
      <c r="H257" s="8" cm="1">
        <f t="array" ref="H257">_xlfn.LET(_xlpm.s,IFERROR(--F257,""),_xlpm.e,IFERROR(--G257,""),IF(OR(_xlpm.s="",_xlpm.e="",_xlpm.e&lt;_xlpm.s),"",_xlfn.LET(_xlpm.p,_xlfn.SEQUENCE(_xlpm.e-_xlpm.s+1,1,_xlpm.s,1),SUM(1/COUNTIFS($D:$D,D257,$E:$E,E257,$F:$F,"&lt;&gt;N/A",$G:$G,"&lt;&gt;N/A",$F:$F,"&lt;="&amp;_xlpm.p,$G:$G,"&gt;="&amp;_xlpm.p)))))</f>
        <v>0.33333333333333331</v>
      </c>
      <c r="I257" t="s">
        <v>632</v>
      </c>
      <c r="J257" t="s">
        <v>744</v>
      </c>
      <c r="K257" t="s">
        <v>7</v>
      </c>
      <c r="L257" s="5" t="s">
        <v>7</v>
      </c>
      <c r="M257" t="s">
        <v>6961</v>
      </c>
      <c r="N257" s="5" t="s">
        <v>3246</v>
      </c>
      <c r="O257" t="s">
        <v>5072</v>
      </c>
      <c r="P257" t="s">
        <v>8021</v>
      </c>
      <c r="R257" t="b">
        <v>1</v>
      </c>
    </row>
    <row r="258" spans="1:18">
      <c r="A258" t="s">
        <v>3026</v>
      </c>
      <c r="B258" t="s">
        <v>3820</v>
      </c>
      <c r="C258" s="5" t="s">
        <v>7866</v>
      </c>
      <c r="D258" s="1">
        <v>1</v>
      </c>
      <c r="E258" s="1">
        <v>35</v>
      </c>
      <c r="F258" s="1">
        <v>277</v>
      </c>
      <c r="G258" s="1">
        <v>278</v>
      </c>
      <c r="H258" s="8" cm="1">
        <f t="array" ref="H258">_xlfn.LET(_xlpm.s,IFERROR(--F258,""),_xlpm.e,IFERROR(--G258,""),IF(OR(_xlpm.s="",_xlpm.e="",_xlpm.e&lt;_xlpm.s),"",_xlfn.LET(_xlpm.p,_xlfn.SEQUENCE(_xlpm.e-_xlpm.s+1,1,_xlpm.s,1),SUM(1/COUNTIFS($D:$D,D258,$E:$E,E258,$F:$F,"&lt;&gt;N/A",$G:$G,"&lt;&gt;N/A",$F:$F,"&lt;="&amp;_xlpm.p,$G:$G,"&gt;="&amp;_xlpm.p)))))</f>
        <v>0.58333333333333326</v>
      </c>
      <c r="I258" t="s">
        <v>632</v>
      </c>
      <c r="J258" t="s">
        <v>745</v>
      </c>
      <c r="K258" t="s">
        <v>7</v>
      </c>
      <c r="L258" s="5" t="s">
        <v>4780</v>
      </c>
      <c r="M258" t="s">
        <v>6940</v>
      </c>
      <c r="N258" t="s">
        <v>11514</v>
      </c>
      <c r="O258" t="s">
        <v>5072</v>
      </c>
      <c r="P258" t="s">
        <v>8021</v>
      </c>
      <c r="R258" t="b">
        <v>1</v>
      </c>
    </row>
    <row r="259" spans="1:18">
      <c r="A259" t="s">
        <v>3026</v>
      </c>
      <c r="B259" t="s">
        <v>3821</v>
      </c>
      <c r="C259" s="5" t="s">
        <v>7866</v>
      </c>
      <c r="D259" s="1">
        <v>1</v>
      </c>
      <c r="E259" s="1">
        <v>35</v>
      </c>
      <c r="F259" s="1">
        <v>278</v>
      </c>
      <c r="G259" s="1">
        <v>278</v>
      </c>
      <c r="H259" s="8" cm="1">
        <f t="array" ref="H259">_xlfn.LET(_xlpm.s,IFERROR(--F259,""),_xlpm.e,IFERROR(--G259,""),IF(OR(_xlpm.s="",_xlpm.e="",_xlpm.e&lt;_xlpm.s),"",_xlfn.LET(_xlpm.p,_xlfn.SEQUENCE(_xlpm.e-_xlpm.s+1,1,_xlpm.s,1),SUM(1/COUNTIFS($D:$D,D259,$E:$E,E259,$F:$F,"&lt;&gt;N/A",$G:$G,"&lt;&gt;N/A",$F:$F,"&lt;="&amp;_xlpm.p,$G:$G,"&gt;="&amp;_xlpm.p)))))</f>
        <v>0.25</v>
      </c>
      <c r="I259" t="s">
        <v>632</v>
      </c>
      <c r="J259" t="s">
        <v>746</v>
      </c>
      <c r="K259" t="s">
        <v>7</v>
      </c>
      <c r="L259" s="5" t="s">
        <v>4781</v>
      </c>
      <c r="M259" t="s">
        <v>6940</v>
      </c>
      <c r="N259" t="s">
        <v>11515</v>
      </c>
      <c r="O259" t="s">
        <v>5072</v>
      </c>
      <c r="P259" t="s">
        <v>8021</v>
      </c>
      <c r="R259" t="b">
        <v>1</v>
      </c>
    </row>
    <row r="260" spans="1:18">
      <c r="A260" t="s">
        <v>3026</v>
      </c>
      <c r="B260" t="s">
        <v>3822</v>
      </c>
      <c r="C260" s="5" t="s">
        <v>7866</v>
      </c>
      <c r="D260" s="1">
        <v>1</v>
      </c>
      <c r="E260" s="1">
        <v>35</v>
      </c>
      <c r="F260" s="1">
        <v>278</v>
      </c>
      <c r="G260" s="1">
        <v>278</v>
      </c>
      <c r="H260" s="8" cm="1">
        <f t="array" ref="H260">_xlfn.LET(_xlpm.s,IFERROR(--F260,""),_xlpm.e,IFERROR(--G260,""),IF(OR(_xlpm.s="",_xlpm.e="",_xlpm.e&lt;_xlpm.s),"",_xlfn.LET(_xlpm.p,_xlfn.SEQUENCE(_xlpm.e-_xlpm.s+1,1,_xlpm.s,1),SUM(1/COUNTIFS($D:$D,D260,$E:$E,E260,$F:$F,"&lt;&gt;N/A",$G:$G,"&lt;&gt;N/A",$F:$F,"&lt;="&amp;_xlpm.p,$G:$G,"&gt;="&amp;_xlpm.p)))))</f>
        <v>0.25</v>
      </c>
      <c r="I260" t="s">
        <v>632</v>
      </c>
      <c r="J260" t="s">
        <v>747</v>
      </c>
      <c r="K260" t="s">
        <v>7</v>
      </c>
      <c r="L260" s="5" t="s">
        <v>4782</v>
      </c>
      <c r="M260" t="s">
        <v>7</v>
      </c>
      <c r="N260" t="s">
        <v>7</v>
      </c>
      <c r="O260" t="s">
        <v>11522</v>
      </c>
      <c r="P260" t="s">
        <v>8019</v>
      </c>
      <c r="Q260" t="s">
        <v>7713</v>
      </c>
      <c r="R260" t="b">
        <v>1</v>
      </c>
    </row>
    <row r="261" spans="1:18">
      <c r="A261" t="s">
        <v>3026</v>
      </c>
      <c r="B261" t="s">
        <v>3823</v>
      </c>
      <c r="C261" s="5" t="s">
        <v>7866</v>
      </c>
      <c r="D261" s="1">
        <v>1</v>
      </c>
      <c r="E261" s="1">
        <v>35</v>
      </c>
      <c r="F261" s="1">
        <v>278</v>
      </c>
      <c r="G261" s="1">
        <v>280</v>
      </c>
      <c r="H261" s="8" cm="1">
        <f t="array" ref="H261">_xlfn.LET(_xlpm.s,IFERROR(--F261,""),_xlpm.e,IFERROR(--G261,""),IF(OR(_xlpm.s="",_xlpm.e="",_xlpm.e&lt;_xlpm.s),"",_xlfn.LET(_xlpm.p,_xlfn.SEQUENCE(_xlpm.e-_xlpm.s+1,1,_xlpm.s,1),SUM(1/COUNTIFS($D:$D,D261,$E:$E,E261,$F:$F,"&lt;&gt;N/A",$G:$G,"&lt;&gt;N/A",$F:$F,"&lt;="&amp;_xlpm.p,$G:$G,"&gt;="&amp;_xlpm.p)))))</f>
        <v>2.25</v>
      </c>
      <c r="I261" t="s">
        <v>632</v>
      </c>
      <c r="J261" t="s">
        <v>748</v>
      </c>
      <c r="K261" t="s">
        <v>749</v>
      </c>
      <c r="L261" s="5" t="s">
        <v>2063</v>
      </c>
      <c r="M261" t="s">
        <v>7</v>
      </c>
      <c r="N261" t="s">
        <v>7</v>
      </c>
      <c r="O261" t="s">
        <v>778</v>
      </c>
      <c r="P261" t="s">
        <v>7834</v>
      </c>
      <c r="R261" t="b">
        <v>1</v>
      </c>
    </row>
    <row r="262" spans="1:18">
      <c r="A262" t="s">
        <v>3026</v>
      </c>
      <c r="B262" t="s">
        <v>10690</v>
      </c>
      <c r="C262" s="5" t="s">
        <v>7867</v>
      </c>
      <c r="D262" s="1">
        <v>1</v>
      </c>
      <c r="E262" s="1">
        <v>36</v>
      </c>
      <c r="F262" s="1">
        <v>281</v>
      </c>
      <c r="G262" s="1">
        <v>283</v>
      </c>
      <c r="H262" s="8" cm="1">
        <f t="array" ref="H262">_xlfn.LET(_xlpm.s,IFERROR(--F262,""),_xlpm.e,IFERROR(--G262,""),IF(OR(_xlpm.s="",_xlpm.e="",_xlpm.e&lt;_xlpm.s),"",_xlfn.LET(_xlpm.p,_xlfn.SEQUENCE(_xlpm.e-_xlpm.s+1,1,_xlpm.s,1),SUM(1/COUNTIFS($D:$D,D262,$E:$E,E262,$F:$F,"&lt;&gt;N/A",$G:$G,"&lt;&gt;N/A",$F:$F,"&lt;="&amp;_xlpm.p,$G:$G,"&gt;="&amp;_xlpm.p)))))</f>
        <v>3</v>
      </c>
      <c r="I262" t="s">
        <v>713</v>
      </c>
      <c r="J262" t="s">
        <v>750</v>
      </c>
      <c r="K262" t="s">
        <v>751</v>
      </c>
      <c r="L262" s="5" t="s">
        <v>4783</v>
      </c>
      <c r="M262" s="5" t="s">
        <v>7</v>
      </c>
      <c r="N262" t="s">
        <v>7</v>
      </c>
      <c r="O262" t="s">
        <v>5072</v>
      </c>
      <c r="P262" t="s">
        <v>8021</v>
      </c>
      <c r="R262" t="b">
        <v>1</v>
      </c>
    </row>
    <row r="263" spans="1:18">
      <c r="A263" t="s">
        <v>3026</v>
      </c>
      <c r="B263" t="s">
        <v>10691</v>
      </c>
      <c r="C263" s="5" t="s">
        <v>7867</v>
      </c>
      <c r="D263" s="1">
        <v>1</v>
      </c>
      <c r="E263" s="1">
        <v>36</v>
      </c>
      <c r="F263" s="1">
        <v>284</v>
      </c>
      <c r="G263" s="1">
        <v>285</v>
      </c>
      <c r="H263" s="8" cm="1">
        <f t="array" ref="H263">_xlfn.LET(_xlpm.s,IFERROR(--F263,""),_xlpm.e,IFERROR(--G263,""),IF(OR(_xlpm.s="",_xlpm.e="",_xlpm.e&lt;_xlpm.s),"",_xlfn.LET(_xlpm.p,_xlfn.SEQUENCE(_xlpm.e-_xlpm.s+1,1,_xlpm.s,1),SUM(1/COUNTIFS($D:$D,D263,$E:$E,E263,$F:$F,"&lt;&gt;N/A",$G:$G,"&lt;&gt;N/A",$F:$F,"&lt;="&amp;_xlpm.p,$G:$G,"&gt;="&amp;_xlpm.p)))))</f>
        <v>1.5</v>
      </c>
      <c r="I263" t="s">
        <v>713</v>
      </c>
      <c r="J263" t="s">
        <v>752</v>
      </c>
      <c r="K263" t="s">
        <v>7</v>
      </c>
      <c r="L263" s="5" t="s">
        <v>4783</v>
      </c>
      <c r="M263" s="5" t="s">
        <v>7</v>
      </c>
      <c r="N263" t="s">
        <v>7</v>
      </c>
      <c r="O263" t="s">
        <v>5072</v>
      </c>
      <c r="P263" t="s">
        <v>8021</v>
      </c>
      <c r="R263" t="b">
        <v>1</v>
      </c>
    </row>
    <row r="264" spans="1:18">
      <c r="A264" t="s">
        <v>3026</v>
      </c>
      <c r="B264" t="s">
        <v>3824</v>
      </c>
      <c r="C264" s="5" t="s">
        <v>7867</v>
      </c>
      <c r="D264" s="1">
        <v>1</v>
      </c>
      <c r="E264" s="1">
        <v>36</v>
      </c>
      <c r="F264" s="1">
        <v>285</v>
      </c>
      <c r="G264" s="1">
        <v>286</v>
      </c>
      <c r="H264" s="8" cm="1">
        <f t="array" ref="H264">_xlfn.LET(_xlpm.s,IFERROR(--F264,""),_xlpm.e,IFERROR(--G264,""),IF(OR(_xlpm.s="",_xlpm.e="",_xlpm.e&lt;_xlpm.s),"",_xlfn.LET(_xlpm.p,_xlfn.SEQUENCE(_xlpm.e-_xlpm.s+1,1,_xlpm.s,1),SUM(1/COUNTIFS($D:$D,D264,$E:$E,E264,$F:$F,"&lt;&gt;N/A",$G:$G,"&lt;&gt;N/A",$F:$F,"&lt;="&amp;_xlpm.p,$G:$G,"&gt;="&amp;_xlpm.p)))))</f>
        <v>0.83333333333333326</v>
      </c>
      <c r="I264" t="s">
        <v>632</v>
      </c>
      <c r="J264" t="s">
        <v>2921</v>
      </c>
      <c r="K264" t="s">
        <v>7</v>
      </c>
      <c r="L264" s="5" t="s">
        <v>7</v>
      </c>
      <c r="M264" s="5" t="s">
        <v>7</v>
      </c>
      <c r="N264" t="s">
        <v>7</v>
      </c>
      <c r="O264" t="s">
        <v>778</v>
      </c>
      <c r="P264" t="s">
        <v>7834</v>
      </c>
      <c r="R264" t="b">
        <v>1</v>
      </c>
    </row>
    <row r="265" spans="1:18">
      <c r="A265" t="s">
        <v>3026</v>
      </c>
      <c r="B265" t="s">
        <v>3825</v>
      </c>
      <c r="C265" s="5" t="s">
        <v>7867</v>
      </c>
      <c r="D265" s="1">
        <v>1</v>
      </c>
      <c r="E265" s="1">
        <v>36</v>
      </c>
      <c r="F265" s="1">
        <v>286</v>
      </c>
      <c r="G265" s="1">
        <v>286</v>
      </c>
      <c r="H265" s="8" cm="1">
        <f t="array" ref="H265">_xlfn.LET(_xlpm.s,IFERROR(--F265,""),_xlpm.e,IFERROR(--G265,""),IF(OR(_xlpm.s="",_xlpm.e="",_xlpm.e&lt;_xlpm.s),"",_xlfn.LET(_xlpm.p,_xlfn.SEQUENCE(_xlpm.e-_xlpm.s+1,1,_xlpm.s,1),SUM(1/COUNTIFS($D:$D,D265,$E:$E,E265,$F:$F,"&lt;&gt;N/A",$G:$G,"&lt;&gt;N/A",$F:$F,"&lt;="&amp;_xlpm.p,$G:$G,"&gt;="&amp;_xlpm.p)))))</f>
        <v>0.33333333333333331</v>
      </c>
      <c r="I265" t="s">
        <v>632</v>
      </c>
      <c r="J265" t="s">
        <v>2922</v>
      </c>
      <c r="K265" t="s">
        <v>7</v>
      </c>
      <c r="L265" s="5" t="s">
        <v>7</v>
      </c>
      <c r="M265" s="5" t="s">
        <v>7</v>
      </c>
      <c r="N265" t="s">
        <v>7</v>
      </c>
      <c r="O265" t="s">
        <v>778</v>
      </c>
      <c r="P265" t="s">
        <v>7834</v>
      </c>
      <c r="R265" t="b">
        <v>1</v>
      </c>
    </row>
    <row r="266" spans="1:18">
      <c r="A266" t="s">
        <v>3026</v>
      </c>
      <c r="B266" t="s">
        <v>3826</v>
      </c>
      <c r="C266" s="5" t="s">
        <v>7867</v>
      </c>
      <c r="D266" s="1">
        <v>1</v>
      </c>
      <c r="E266" s="1">
        <v>36</v>
      </c>
      <c r="F266" s="1">
        <v>286</v>
      </c>
      <c r="G266" s="1">
        <v>287</v>
      </c>
      <c r="H266" s="8" cm="1">
        <f t="array" ref="H266">_xlfn.LET(_xlpm.s,IFERROR(--F266,""),_xlpm.e,IFERROR(--G266,""),IF(OR(_xlpm.s="",_xlpm.e="",_xlpm.e&lt;_xlpm.s),"",_xlfn.LET(_xlpm.p,_xlfn.SEQUENCE(_xlpm.e-_xlpm.s+1,1,_xlpm.s,1),SUM(1/COUNTIFS($D:$D,D266,$E:$E,E266,$F:$F,"&lt;&gt;N/A",$G:$G,"&lt;&gt;N/A",$F:$F,"&lt;="&amp;_xlpm.p,$G:$G,"&gt;="&amp;_xlpm.p)))))</f>
        <v>0.58333333333333326</v>
      </c>
      <c r="I266" t="s">
        <v>632</v>
      </c>
      <c r="J266" t="s">
        <v>2923</v>
      </c>
      <c r="K266" t="s">
        <v>7</v>
      </c>
      <c r="L266" s="5" t="s">
        <v>7</v>
      </c>
      <c r="M266" s="5" t="s">
        <v>7</v>
      </c>
      <c r="N266" t="s">
        <v>7</v>
      </c>
      <c r="O266" t="s">
        <v>778</v>
      </c>
      <c r="P266" t="s">
        <v>7834</v>
      </c>
      <c r="R266" t="b">
        <v>1</v>
      </c>
    </row>
    <row r="267" spans="1:18">
      <c r="A267" t="s">
        <v>3026</v>
      </c>
      <c r="B267" t="s">
        <v>3827</v>
      </c>
      <c r="C267" s="5" t="s">
        <v>7867</v>
      </c>
      <c r="D267" s="1">
        <v>1</v>
      </c>
      <c r="E267" s="1">
        <v>36</v>
      </c>
      <c r="F267" s="1">
        <v>287</v>
      </c>
      <c r="G267" s="1">
        <v>287</v>
      </c>
      <c r="H267" s="8" cm="1">
        <f t="array" ref="H267">_xlfn.LET(_xlpm.s,IFERROR(--F267,""),_xlpm.e,IFERROR(--G267,""),IF(OR(_xlpm.s="",_xlpm.e="",_xlpm.e&lt;_xlpm.s),"",_xlfn.LET(_xlpm.p,_xlfn.SEQUENCE(_xlpm.e-_xlpm.s+1,1,_xlpm.s,1),SUM(1/COUNTIFS($D:$D,D267,$E:$E,E267,$F:$F,"&lt;&gt;N/A",$G:$G,"&lt;&gt;N/A",$F:$F,"&lt;="&amp;_xlpm.p,$G:$G,"&gt;="&amp;_xlpm.p)))))</f>
        <v>0.25</v>
      </c>
      <c r="I267" t="s">
        <v>632</v>
      </c>
      <c r="J267" t="s">
        <v>2924</v>
      </c>
      <c r="K267" t="s">
        <v>7</v>
      </c>
      <c r="L267" s="5" t="s">
        <v>7</v>
      </c>
      <c r="M267" s="5" t="s">
        <v>7</v>
      </c>
      <c r="N267" t="s">
        <v>7</v>
      </c>
      <c r="O267" t="s">
        <v>778</v>
      </c>
      <c r="P267" t="s">
        <v>7834</v>
      </c>
      <c r="R267" t="b">
        <v>1</v>
      </c>
    </row>
    <row r="268" spans="1:18">
      <c r="A268" t="s">
        <v>3026</v>
      </c>
      <c r="B268" t="s">
        <v>3828</v>
      </c>
      <c r="C268" s="5" t="s">
        <v>7867</v>
      </c>
      <c r="D268" s="1">
        <v>1</v>
      </c>
      <c r="E268" s="1">
        <v>36</v>
      </c>
      <c r="F268" s="1">
        <v>287</v>
      </c>
      <c r="G268" s="1">
        <v>287</v>
      </c>
      <c r="H268" s="8" cm="1">
        <f t="array" ref="H268">_xlfn.LET(_xlpm.s,IFERROR(--F268,""),_xlpm.e,IFERROR(--G268,""),IF(OR(_xlpm.s="",_xlpm.e="",_xlpm.e&lt;_xlpm.s),"",_xlfn.LET(_xlpm.p,_xlfn.SEQUENCE(_xlpm.e-_xlpm.s+1,1,_xlpm.s,1),SUM(1/COUNTIFS($D:$D,D268,$E:$E,E268,$F:$F,"&lt;&gt;N/A",$G:$G,"&lt;&gt;N/A",$F:$F,"&lt;="&amp;_xlpm.p,$G:$G,"&gt;="&amp;_xlpm.p)))))</f>
        <v>0.25</v>
      </c>
      <c r="I268" t="s">
        <v>632</v>
      </c>
      <c r="J268" t="s">
        <v>2925</v>
      </c>
      <c r="K268" t="s">
        <v>7</v>
      </c>
      <c r="L268" s="5" t="s">
        <v>7</v>
      </c>
      <c r="M268" s="5" t="s">
        <v>7</v>
      </c>
      <c r="N268" t="s">
        <v>7</v>
      </c>
      <c r="O268" t="s">
        <v>778</v>
      </c>
      <c r="P268" t="s">
        <v>7834</v>
      </c>
      <c r="R268" t="b">
        <v>1</v>
      </c>
    </row>
    <row r="269" spans="1:18">
      <c r="A269" t="s">
        <v>3026</v>
      </c>
      <c r="B269" t="s">
        <v>3829</v>
      </c>
      <c r="C269" s="5" t="s">
        <v>7867</v>
      </c>
      <c r="D269" s="1">
        <v>1</v>
      </c>
      <c r="E269" s="1">
        <v>36</v>
      </c>
      <c r="F269" s="1">
        <v>287</v>
      </c>
      <c r="G269" s="1">
        <v>288</v>
      </c>
      <c r="H269" s="8" cm="1">
        <f t="array" ref="H269">_xlfn.LET(_xlpm.s,IFERROR(--F269,""),_xlpm.e,IFERROR(--G269,""),IF(OR(_xlpm.s="",_xlpm.e="",_xlpm.e&lt;_xlpm.s),"",_xlfn.LET(_xlpm.p,_xlfn.SEQUENCE(_xlpm.e-_xlpm.s+1,1,_xlpm.s,1),SUM(1/COUNTIFS($D:$D,D269,$E:$E,E269,$F:$F,"&lt;&gt;N/A",$G:$G,"&lt;&gt;N/A",$F:$F,"&lt;="&amp;_xlpm.p,$G:$G,"&gt;="&amp;_xlpm.p)))))</f>
        <v>0.58333333333333326</v>
      </c>
      <c r="I269" t="s">
        <v>632</v>
      </c>
      <c r="J269" t="s">
        <v>2926</v>
      </c>
      <c r="K269" t="s">
        <v>644</v>
      </c>
      <c r="L269" s="5" t="s">
        <v>7</v>
      </c>
      <c r="M269" s="5" t="s">
        <v>7</v>
      </c>
      <c r="N269" t="s">
        <v>7</v>
      </c>
      <c r="O269" t="s">
        <v>778</v>
      </c>
      <c r="P269" t="s">
        <v>7834</v>
      </c>
      <c r="R269" t="b">
        <v>1</v>
      </c>
    </row>
    <row r="270" spans="1:18">
      <c r="A270" t="s">
        <v>3026</v>
      </c>
      <c r="B270" t="s">
        <v>3830</v>
      </c>
      <c r="C270" s="5" t="s">
        <v>7867</v>
      </c>
      <c r="D270" s="1">
        <v>1</v>
      </c>
      <c r="E270" s="1">
        <v>36</v>
      </c>
      <c r="F270" s="1">
        <v>288</v>
      </c>
      <c r="G270" s="1">
        <v>288</v>
      </c>
      <c r="H270" s="8" cm="1">
        <f t="array" ref="H270">_xlfn.LET(_xlpm.s,IFERROR(--F270,""),_xlpm.e,IFERROR(--G270,""),IF(OR(_xlpm.s="",_xlpm.e="",_xlpm.e&lt;_xlpm.s),"",_xlfn.LET(_xlpm.p,_xlfn.SEQUENCE(_xlpm.e-_xlpm.s+1,1,_xlpm.s,1),SUM(1/COUNTIFS($D:$D,D270,$E:$E,E270,$F:$F,"&lt;&gt;N/A",$G:$G,"&lt;&gt;N/A",$F:$F,"&lt;="&amp;_xlpm.p,$G:$G,"&gt;="&amp;_xlpm.p)))))</f>
        <v>0.33333333333333331</v>
      </c>
      <c r="I270" t="s">
        <v>632</v>
      </c>
      <c r="J270" t="s">
        <v>3231</v>
      </c>
      <c r="K270" t="s">
        <v>7</v>
      </c>
      <c r="L270" s="5" t="s">
        <v>4784</v>
      </c>
      <c r="M270" t="s">
        <v>7</v>
      </c>
      <c r="N270" t="s">
        <v>7</v>
      </c>
      <c r="O270" t="s">
        <v>5072</v>
      </c>
      <c r="P270" t="s">
        <v>8021</v>
      </c>
      <c r="Q270" t="s">
        <v>2509</v>
      </c>
      <c r="R270" t="b">
        <v>1</v>
      </c>
    </row>
    <row r="271" spans="1:18">
      <c r="A271" t="s">
        <v>3026</v>
      </c>
      <c r="B271" t="s">
        <v>3831</v>
      </c>
      <c r="C271" s="5" t="s">
        <v>7867</v>
      </c>
      <c r="D271" s="1">
        <v>1</v>
      </c>
      <c r="E271" s="1">
        <v>36</v>
      </c>
      <c r="F271" s="1">
        <v>288</v>
      </c>
      <c r="G271" s="1">
        <v>288</v>
      </c>
      <c r="H271" s="8" cm="1">
        <f t="array" ref="H271">_xlfn.LET(_xlpm.s,IFERROR(--F271,""),_xlpm.e,IFERROR(--G271,""),IF(OR(_xlpm.s="",_xlpm.e="",_xlpm.e&lt;_xlpm.s),"",_xlfn.LET(_xlpm.p,_xlfn.SEQUENCE(_xlpm.e-_xlpm.s+1,1,_xlpm.s,1),SUM(1/COUNTIFS($D:$D,D271,$E:$E,E271,$F:$F,"&lt;&gt;N/A",$G:$G,"&lt;&gt;N/A",$F:$F,"&lt;="&amp;_xlpm.p,$G:$G,"&gt;="&amp;_xlpm.p)))))</f>
        <v>0.33333333333333331</v>
      </c>
      <c r="I271" t="s">
        <v>632</v>
      </c>
      <c r="J271" t="s">
        <v>3272</v>
      </c>
      <c r="K271" t="s">
        <v>7</v>
      </c>
      <c r="L271" s="5" t="s">
        <v>4784</v>
      </c>
      <c r="M271" t="s">
        <v>7</v>
      </c>
      <c r="N271" t="s">
        <v>7</v>
      </c>
      <c r="O271" t="s">
        <v>5072</v>
      </c>
      <c r="P271" t="s">
        <v>8021</v>
      </c>
      <c r="R271" t="b">
        <v>1</v>
      </c>
    </row>
    <row r="272" spans="1:18">
      <c r="A272" t="s">
        <v>3026</v>
      </c>
      <c r="B272" t="s">
        <v>10692</v>
      </c>
      <c r="C272" s="5" t="s">
        <v>7868</v>
      </c>
      <c r="D272" s="1">
        <v>1</v>
      </c>
      <c r="E272" s="1">
        <v>37</v>
      </c>
      <c r="F272" s="1">
        <v>289</v>
      </c>
      <c r="G272" s="1">
        <v>290</v>
      </c>
      <c r="H272" s="8" cm="1">
        <f t="array" ref="H272">_xlfn.LET(_xlpm.s,IFERROR(--F272,""),_xlpm.e,IFERROR(--G272,""),IF(OR(_xlpm.s="",_xlpm.e="",_xlpm.e&lt;_xlpm.s),"",_xlfn.LET(_xlpm.p,_xlfn.SEQUENCE(_xlpm.e-_xlpm.s+1,1,_xlpm.s,1),SUM(1/COUNTIFS($D:$D,D272,$E:$E,E272,$F:$F,"&lt;&gt;N/A",$G:$G,"&lt;&gt;N/A",$F:$F,"&lt;="&amp;_xlpm.p,$G:$G,"&gt;="&amp;_xlpm.p)))))</f>
        <v>1.5</v>
      </c>
      <c r="I272" t="s">
        <v>713</v>
      </c>
      <c r="J272" t="s">
        <v>753</v>
      </c>
      <c r="K272" t="s">
        <v>644</v>
      </c>
      <c r="L272" s="5" t="s">
        <v>7</v>
      </c>
      <c r="M272" s="5" t="s">
        <v>7</v>
      </c>
      <c r="N272" t="s">
        <v>7</v>
      </c>
      <c r="O272" t="s">
        <v>778</v>
      </c>
      <c r="P272" t="s">
        <v>7834</v>
      </c>
      <c r="R272" t="b">
        <v>1</v>
      </c>
    </row>
    <row r="273" spans="1:18">
      <c r="A273" t="s">
        <v>3026</v>
      </c>
      <c r="B273" t="s">
        <v>10693</v>
      </c>
      <c r="C273" s="5" t="s">
        <v>7868</v>
      </c>
      <c r="D273" s="1">
        <v>1</v>
      </c>
      <c r="E273" s="1">
        <v>37</v>
      </c>
      <c r="F273" s="1">
        <v>290</v>
      </c>
      <c r="G273" s="1">
        <v>291</v>
      </c>
      <c r="H273" s="8" cm="1">
        <f t="array" ref="H273">_xlfn.LET(_xlpm.s,IFERROR(--F273,""),_xlpm.e,IFERROR(--G273,""),IF(OR(_xlpm.s="",_xlpm.e="",_xlpm.e&lt;_xlpm.s),"",_xlfn.LET(_xlpm.p,_xlfn.SEQUENCE(_xlpm.e-_xlpm.s+1,1,_xlpm.s,1),SUM(1/COUNTIFS($D:$D,D273,$E:$E,E273,$F:$F,"&lt;&gt;N/A",$G:$G,"&lt;&gt;N/A",$F:$F,"&lt;="&amp;_xlpm.p,$G:$G,"&gt;="&amp;_xlpm.p)))))</f>
        <v>1</v>
      </c>
      <c r="I273" t="s">
        <v>713</v>
      </c>
      <c r="J273" t="s">
        <v>754</v>
      </c>
      <c r="K273" t="s">
        <v>755</v>
      </c>
      <c r="L273" s="5" t="s">
        <v>4785</v>
      </c>
      <c r="M273" t="s">
        <v>6428</v>
      </c>
      <c r="N273" t="s">
        <v>3232</v>
      </c>
      <c r="O273" t="s">
        <v>5072</v>
      </c>
      <c r="P273" t="s">
        <v>8021</v>
      </c>
      <c r="R273" t="b">
        <v>1</v>
      </c>
    </row>
    <row r="274" spans="1:18">
      <c r="A274" t="s">
        <v>3026</v>
      </c>
      <c r="B274" t="s">
        <v>3832</v>
      </c>
      <c r="C274" s="5" t="s">
        <v>7868</v>
      </c>
      <c r="D274" s="1">
        <v>1</v>
      </c>
      <c r="E274" s="1">
        <v>37</v>
      </c>
      <c r="F274" s="1">
        <v>291</v>
      </c>
      <c r="G274" s="1">
        <v>293</v>
      </c>
      <c r="H274" s="8" cm="1">
        <f t="array" ref="H274">_xlfn.LET(_xlpm.s,IFERROR(--F274,""),_xlpm.e,IFERROR(--G274,""),IF(OR(_xlpm.s="",_xlpm.e="",_xlpm.e&lt;_xlpm.s),"",_xlfn.LET(_xlpm.p,_xlfn.SEQUENCE(_xlpm.e-_xlpm.s+1,1,_xlpm.s,1),SUM(1/COUNTIFS($D:$D,D274,$E:$E,E274,$F:$F,"&lt;&gt;N/A",$G:$G,"&lt;&gt;N/A",$F:$F,"&lt;="&amp;_xlpm.p,$G:$G,"&gt;="&amp;_xlpm.p)))))</f>
        <v>1.75</v>
      </c>
      <c r="I274" t="s">
        <v>713</v>
      </c>
      <c r="J274" t="s">
        <v>756</v>
      </c>
      <c r="K274" t="s">
        <v>757</v>
      </c>
      <c r="L274" s="5" t="s">
        <v>7</v>
      </c>
      <c r="M274" t="s">
        <v>7</v>
      </c>
      <c r="N274" t="s">
        <v>7</v>
      </c>
      <c r="O274" t="s">
        <v>7</v>
      </c>
      <c r="P274" t="s">
        <v>8091</v>
      </c>
      <c r="Q274" t="s">
        <v>3233</v>
      </c>
      <c r="R274" t="b">
        <v>1</v>
      </c>
    </row>
    <row r="275" spans="1:18">
      <c r="A275" t="s">
        <v>3026</v>
      </c>
      <c r="B275" t="s">
        <v>3833</v>
      </c>
      <c r="C275" s="5" t="s">
        <v>7868</v>
      </c>
      <c r="D275" s="1">
        <v>1</v>
      </c>
      <c r="E275" s="1">
        <v>37</v>
      </c>
      <c r="F275" s="1">
        <v>293</v>
      </c>
      <c r="G275" s="1">
        <v>293</v>
      </c>
      <c r="H275" s="8" cm="1">
        <f t="array" ref="H275">_xlfn.LET(_xlpm.s,IFERROR(--F275,""),_xlpm.e,IFERROR(--G275,""),IF(OR(_xlpm.s="",_xlpm.e="",_xlpm.e&lt;_xlpm.s),"",_xlfn.LET(_xlpm.p,_xlfn.SEQUENCE(_xlpm.e-_xlpm.s+1,1,_xlpm.s,1),SUM(1/COUNTIFS($D:$D,D275,$E:$E,E275,$F:$F,"&lt;&gt;N/A",$G:$G,"&lt;&gt;N/A",$F:$F,"&lt;="&amp;_xlpm.p,$G:$G,"&gt;="&amp;_xlpm.p)))))</f>
        <v>0.25</v>
      </c>
      <c r="I275" t="s">
        <v>632</v>
      </c>
      <c r="J275" t="s">
        <v>2908</v>
      </c>
      <c r="K275" t="s">
        <v>7</v>
      </c>
      <c r="L275" s="5" t="s">
        <v>4786</v>
      </c>
      <c r="M275" t="s">
        <v>7</v>
      </c>
      <c r="N275" t="s">
        <v>7</v>
      </c>
      <c r="O275" t="s">
        <v>11522</v>
      </c>
      <c r="P275" t="s">
        <v>8021</v>
      </c>
      <c r="R275" t="b">
        <v>1</v>
      </c>
    </row>
    <row r="276" spans="1:18">
      <c r="A276" t="s">
        <v>3026</v>
      </c>
      <c r="B276" t="s">
        <v>3834</v>
      </c>
      <c r="C276" s="5" t="s">
        <v>7868</v>
      </c>
      <c r="D276" s="1">
        <v>1</v>
      </c>
      <c r="E276" s="1">
        <v>37</v>
      </c>
      <c r="F276" s="1">
        <v>293</v>
      </c>
      <c r="G276" s="1">
        <v>293</v>
      </c>
      <c r="H276" s="8" cm="1">
        <f t="array" ref="H276">_xlfn.LET(_xlpm.s,IFERROR(--F276,""),_xlpm.e,IFERROR(--G276,""),IF(OR(_xlpm.s="",_xlpm.e="",_xlpm.e&lt;_xlpm.s),"",_xlfn.LET(_xlpm.p,_xlfn.SEQUENCE(_xlpm.e-_xlpm.s+1,1,_xlpm.s,1),SUM(1/COUNTIFS($D:$D,D276,$E:$E,E276,$F:$F,"&lt;&gt;N/A",$G:$G,"&lt;&gt;N/A",$F:$F,"&lt;="&amp;_xlpm.p,$G:$G,"&gt;="&amp;_xlpm.p)))))</f>
        <v>0.25</v>
      </c>
      <c r="I276" t="s">
        <v>632</v>
      </c>
      <c r="J276" t="s">
        <v>2916</v>
      </c>
      <c r="K276" t="s">
        <v>7</v>
      </c>
      <c r="L276" s="5" t="s">
        <v>4786</v>
      </c>
      <c r="M276" t="s">
        <v>7</v>
      </c>
      <c r="N276" t="s">
        <v>7</v>
      </c>
      <c r="O276" t="s">
        <v>11522</v>
      </c>
      <c r="P276" t="s">
        <v>8021</v>
      </c>
      <c r="R276" t="b">
        <v>1</v>
      </c>
    </row>
    <row r="277" spans="1:18">
      <c r="A277" t="s">
        <v>3026</v>
      </c>
      <c r="B277" t="s">
        <v>3835</v>
      </c>
      <c r="C277" s="5" t="s">
        <v>7868</v>
      </c>
      <c r="D277" s="1">
        <v>1</v>
      </c>
      <c r="E277" s="1">
        <v>37</v>
      </c>
      <c r="F277" s="1">
        <v>293</v>
      </c>
      <c r="G277" s="1">
        <v>294</v>
      </c>
      <c r="H277" s="8" cm="1">
        <f t="array" ref="H277">_xlfn.LET(_xlpm.s,IFERROR(--F277,""),_xlpm.e,IFERROR(--G277,""),IF(OR(_xlpm.s="",_xlpm.e="",_xlpm.e&lt;_xlpm.s),"",_xlfn.LET(_xlpm.p,_xlfn.SEQUENCE(_xlpm.e-_xlpm.s+1,1,_xlpm.s,1),SUM(1/COUNTIFS($D:$D,D277,$E:$E,E277,$F:$F,"&lt;&gt;N/A",$G:$G,"&lt;&gt;N/A",$F:$F,"&lt;="&amp;_xlpm.p,$G:$G,"&gt;="&amp;_xlpm.p)))))</f>
        <v>0.375</v>
      </c>
      <c r="I277" t="s">
        <v>632</v>
      </c>
      <c r="J277" t="s">
        <v>2917</v>
      </c>
      <c r="K277" t="s">
        <v>7</v>
      </c>
      <c r="L277" s="5" t="s">
        <v>4786</v>
      </c>
      <c r="M277" t="s">
        <v>7</v>
      </c>
      <c r="N277" t="s">
        <v>7</v>
      </c>
      <c r="O277" t="s">
        <v>11522</v>
      </c>
      <c r="P277" t="s">
        <v>8021</v>
      </c>
      <c r="R277" t="b">
        <v>1</v>
      </c>
    </row>
    <row r="278" spans="1:18">
      <c r="A278" t="s">
        <v>3026</v>
      </c>
      <c r="B278" t="s">
        <v>3836</v>
      </c>
      <c r="C278" s="5" t="s">
        <v>7868</v>
      </c>
      <c r="D278" s="1">
        <v>1</v>
      </c>
      <c r="E278" s="1">
        <v>37</v>
      </c>
      <c r="F278" s="1">
        <v>294</v>
      </c>
      <c r="G278" s="1">
        <v>294</v>
      </c>
      <c r="H278" s="8" cm="1">
        <f t="array" ref="H278">_xlfn.LET(_xlpm.s,IFERROR(--F278,""),_xlpm.e,IFERROR(--G278,""),IF(OR(_xlpm.s="",_xlpm.e="",_xlpm.e&lt;_xlpm.s),"",_xlfn.LET(_xlpm.p,_xlfn.SEQUENCE(_xlpm.e-_xlpm.s+1,1,_xlpm.s,1),SUM(1/COUNTIFS($D:$D,D278,$E:$E,E278,$F:$F,"&lt;&gt;N/A",$G:$G,"&lt;&gt;N/A",$F:$F,"&lt;="&amp;_xlpm.p,$G:$G,"&gt;="&amp;_xlpm.p)))))</f>
        <v>0.125</v>
      </c>
      <c r="I278" t="s">
        <v>632</v>
      </c>
      <c r="J278" t="s">
        <v>2918</v>
      </c>
      <c r="K278" t="s">
        <v>7</v>
      </c>
      <c r="L278" s="5" t="s">
        <v>4786</v>
      </c>
      <c r="M278" t="s">
        <v>7</v>
      </c>
      <c r="N278" t="s">
        <v>7</v>
      </c>
      <c r="O278" t="s">
        <v>11522</v>
      </c>
      <c r="P278" t="s">
        <v>8021</v>
      </c>
      <c r="R278" t="b">
        <v>1</v>
      </c>
    </row>
    <row r="279" spans="1:18">
      <c r="A279" t="s">
        <v>3026</v>
      </c>
      <c r="B279" t="s">
        <v>3837</v>
      </c>
      <c r="C279" s="5" t="s">
        <v>7868</v>
      </c>
      <c r="D279" s="1">
        <v>1</v>
      </c>
      <c r="E279" s="1">
        <v>37</v>
      </c>
      <c r="F279" s="1">
        <v>294</v>
      </c>
      <c r="G279" s="1">
        <v>294</v>
      </c>
      <c r="H279" s="8" cm="1">
        <f t="array" ref="H279">_xlfn.LET(_xlpm.s,IFERROR(--F279,""),_xlpm.e,IFERROR(--G279,""),IF(OR(_xlpm.s="",_xlpm.e="",_xlpm.e&lt;_xlpm.s),"",_xlfn.LET(_xlpm.p,_xlfn.SEQUENCE(_xlpm.e-_xlpm.s+1,1,_xlpm.s,1),SUM(1/COUNTIFS($D:$D,D279,$E:$E,E279,$F:$F,"&lt;&gt;N/A",$G:$G,"&lt;&gt;N/A",$F:$F,"&lt;="&amp;_xlpm.p,$G:$G,"&gt;="&amp;_xlpm.p)))))</f>
        <v>0.125</v>
      </c>
      <c r="I279" t="s">
        <v>632</v>
      </c>
      <c r="J279" t="s">
        <v>2919</v>
      </c>
      <c r="K279" t="s">
        <v>7</v>
      </c>
      <c r="L279" s="5" t="s">
        <v>4786</v>
      </c>
      <c r="M279" t="s">
        <v>7</v>
      </c>
      <c r="N279" t="s">
        <v>7</v>
      </c>
      <c r="O279" t="s">
        <v>11522</v>
      </c>
      <c r="P279" t="s">
        <v>8021</v>
      </c>
      <c r="R279" t="b">
        <v>1</v>
      </c>
    </row>
    <row r="280" spans="1:18">
      <c r="A280" t="s">
        <v>3026</v>
      </c>
      <c r="B280" t="s">
        <v>3838</v>
      </c>
      <c r="C280" s="5" t="s">
        <v>7868</v>
      </c>
      <c r="D280" s="1">
        <v>1</v>
      </c>
      <c r="E280" s="1">
        <v>37</v>
      </c>
      <c r="F280" s="1">
        <v>294</v>
      </c>
      <c r="G280" s="1">
        <v>294</v>
      </c>
      <c r="H280" s="8" cm="1">
        <f t="array" ref="H280">_xlfn.LET(_xlpm.s,IFERROR(--F280,""),_xlpm.e,IFERROR(--G280,""),IF(OR(_xlpm.s="",_xlpm.e="",_xlpm.e&lt;_xlpm.s),"",_xlfn.LET(_xlpm.p,_xlfn.SEQUENCE(_xlpm.e-_xlpm.s+1,1,_xlpm.s,1),SUM(1/COUNTIFS($D:$D,D280,$E:$E,E280,$F:$F,"&lt;&gt;N/A",$G:$G,"&lt;&gt;N/A",$F:$F,"&lt;="&amp;_xlpm.p,$G:$G,"&gt;="&amp;_xlpm.p)))))</f>
        <v>0.125</v>
      </c>
      <c r="I280" t="s">
        <v>632</v>
      </c>
      <c r="J280" t="s">
        <v>2920</v>
      </c>
      <c r="K280" t="s">
        <v>7</v>
      </c>
      <c r="L280" s="5" t="s">
        <v>4786</v>
      </c>
      <c r="M280" t="s">
        <v>7</v>
      </c>
      <c r="N280" t="s">
        <v>7</v>
      </c>
      <c r="O280" t="s">
        <v>11522</v>
      </c>
      <c r="P280" t="s">
        <v>8021</v>
      </c>
      <c r="R280" t="b">
        <v>1</v>
      </c>
    </row>
    <row r="281" spans="1:18">
      <c r="A281" t="s">
        <v>3026</v>
      </c>
      <c r="B281" t="s">
        <v>3839</v>
      </c>
      <c r="C281" s="5" t="s">
        <v>7868</v>
      </c>
      <c r="D281" s="1">
        <v>1</v>
      </c>
      <c r="E281" s="1">
        <v>37</v>
      </c>
      <c r="F281" s="1">
        <v>294</v>
      </c>
      <c r="G281" s="1">
        <v>294</v>
      </c>
      <c r="H281" s="8" cm="1">
        <f t="array" ref="H281">_xlfn.LET(_xlpm.s,IFERROR(--F281,""),_xlpm.e,IFERROR(--G281,""),IF(OR(_xlpm.s="",_xlpm.e="",_xlpm.e&lt;_xlpm.s),"",_xlfn.LET(_xlpm.p,_xlfn.SEQUENCE(_xlpm.e-_xlpm.s+1,1,_xlpm.s,1),SUM(1/COUNTIFS($D:$D,D281,$E:$E,E281,$F:$F,"&lt;&gt;N/A",$G:$G,"&lt;&gt;N/A",$F:$F,"&lt;="&amp;_xlpm.p,$G:$G,"&gt;="&amp;_xlpm.p)))))</f>
        <v>0.125</v>
      </c>
      <c r="I281" t="s">
        <v>632</v>
      </c>
      <c r="J281" t="s">
        <v>2910</v>
      </c>
      <c r="K281" t="s">
        <v>7</v>
      </c>
      <c r="L281" s="5" t="s">
        <v>4786</v>
      </c>
      <c r="M281" t="s">
        <v>7</v>
      </c>
      <c r="N281" t="s">
        <v>7</v>
      </c>
      <c r="O281" t="s">
        <v>11522</v>
      </c>
      <c r="P281" t="s">
        <v>8021</v>
      </c>
      <c r="R281" t="b">
        <v>1</v>
      </c>
    </row>
    <row r="282" spans="1:18">
      <c r="A282" t="s">
        <v>3026</v>
      </c>
      <c r="B282" t="s">
        <v>3840</v>
      </c>
      <c r="C282" s="5" t="s">
        <v>7868</v>
      </c>
      <c r="D282" s="1">
        <v>1</v>
      </c>
      <c r="E282" s="1">
        <v>37</v>
      </c>
      <c r="F282" s="1">
        <v>294</v>
      </c>
      <c r="G282" s="1">
        <v>294</v>
      </c>
      <c r="H282" s="8" cm="1">
        <f t="array" ref="H282">_xlfn.LET(_xlpm.s,IFERROR(--F282,""),_xlpm.e,IFERROR(--G282,""),IF(OR(_xlpm.s="",_xlpm.e="",_xlpm.e&lt;_xlpm.s),"",_xlfn.LET(_xlpm.p,_xlfn.SEQUENCE(_xlpm.e-_xlpm.s+1,1,_xlpm.s,1),SUM(1/COUNTIFS($D:$D,D282,$E:$E,E282,$F:$F,"&lt;&gt;N/A",$G:$G,"&lt;&gt;N/A",$F:$F,"&lt;="&amp;_xlpm.p,$G:$G,"&gt;="&amp;_xlpm.p)))))</f>
        <v>0.125</v>
      </c>
      <c r="I282" t="s">
        <v>632</v>
      </c>
      <c r="J282" t="s">
        <v>2911</v>
      </c>
      <c r="K282" t="s">
        <v>7</v>
      </c>
      <c r="L282" s="5" t="s">
        <v>4786</v>
      </c>
      <c r="M282" t="s">
        <v>7</v>
      </c>
      <c r="N282" t="s">
        <v>7</v>
      </c>
      <c r="O282" t="s">
        <v>11522</v>
      </c>
      <c r="P282" t="s">
        <v>8021</v>
      </c>
      <c r="R282" t="b">
        <v>1</v>
      </c>
    </row>
    <row r="283" spans="1:18">
      <c r="A283" t="s">
        <v>3026</v>
      </c>
      <c r="B283" t="s">
        <v>3841</v>
      </c>
      <c r="C283" s="5" t="s">
        <v>7868</v>
      </c>
      <c r="D283" s="1">
        <v>1</v>
      </c>
      <c r="E283" s="1">
        <v>37</v>
      </c>
      <c r="F283" s="1">
        <v>294</v>
      </c>
      <c r="G283" s="1">
        <v>294</v>
      </c>
      <c r="H283" s="8" cm="1">
        <f t="array" ref="H283">_xlfn.LET(_xlpm.s,IFERROR(--F283,""),_xlpm.e,IFERROR(--G283,""),IF(OR(_xlpm.s="",_xlpm.e="",_xlpm.e&lt;_xlpm.s),"",_xlfn.LET(_xlpm.p,_xlfn.SEQUENCE(_xlpm.e-_xlpm.s+1,1,_xlpm.s,1),SUM(1/COUNTIFS($D:$D,D283,$E:$E,E283,$F:$F,"&lt;&gt;N/A",$G:$G,"&lt;&gt;N/A",$F:$F,"&lt;="&amp;_xlpm.p,$G:$G,"&gt;="&amp;_xlpm.p)))))</f>
        <v>0.125</v>
      </c>
      <c r="I283" t="s">
        <v>632</v>
      </c>
      <c r="J283" t="s">
        <v>2912</v>
      </c>
      <c r="K283" t="s">
        <v>7</v>
      </c>
      <c r="L283" s="5" t="s">
        <v>4786</v>
      </c>
      <c r="M283" t="s">
        <v>7</v>
      </c>
      <c r="N283" t="s">
        <v>7</v>
      </c>
      <c r="O283" t="s">
        <v>11522</v>
      </c>
      <c r="P283" t="s">
        <v>8021</v>
      </c>
      <c r="R283" t="b">
        <v>1</v>
      </c>
    </row>
    <row r="284" spans="1:18">
      <c r="A284" t="s">
        <v>3026</v>
      </c>
      <c r="B284" t="s">
        <v>3842</v>
      </c>
      <c r="C284" s="5" t="s">
        <v>7868</v>
      </c>
      <c r="D284" s="1">
        <v>1</v>
      </c>
      <c r="E284" s="1">
        <v>37</v>
      </c>
      <c r="F284" s="1">
        <v>294</v>
      </c>
      <c r="G284" s="1">
        <v>295</v>
      </c>
      <c r="H284" s="8" cm="1">
        <f t="array" ref="H284">_xlfn.LET(_xlpm.s,IFERROR(--F284,""),_xlpm.e,IFERROR(--G284,""),IF(OR(_xlpm.s="",_xlpm.e="",_xlpm.e&lt;_xlpm.s),"",_xlfn.LET(_xlpm.p,_xlfn.SEQUENCE(_xlpm.e-_xlpm.s+1,1,_xlpm.s,1),SUM(1/COUNTIFS($D:$D,D284,$E:$E,E284,$F:$F,"&lt;&gt;N/A",$G:$G,"&lt;&gt;N/A",$F:$F,"&lt;="&amp;_xlpm.p,$G:$G,"&gt;="&amp;_xlpm.p)))))</f>
        <v>0.32500000000000001</v>
      </c>
      <c r="I284" t="s">
        <v>632</v>
      </c>
      <c r="J284" t="s">
        <v>2913</v>
      </c>
      <c r="K284" t="s">
        <v>7</v>
      </c>
      <c r="L284" s="5" t="s">
        <v>4786</v>
      </c>
      <c r="M284" t="s">
        <v>7</v>
      </c>
      <c r="N284" t="s">
        <v>7</v>
      </c>
      <c r="O284" t="s">
        <v>11522</v>
      </c>
      <c r="P284" t="s">
        <v>8021</v>
      </c>
      <c r="R284" t="b">
        <v>1</v>
      </c>
    </row>
    <row r="285" spans="1:18">
      <c r="A285" t="s">
        <v>3026</v>
      </c>
      <c r="B285" t="s">
        <v>3843</v>
      </c>
      <c r="C285" s="5" t="s">
        <v>7868</v>
      </c>
      <c r="D285" s="1">
        <v>1</v>
      </c>
      <c r="E285" s="1">
        <v>37</v>
      </c>
      <c r="F285" s="1">
        <v>295</v>
      </c>
      <c r="G285" s="1">
        <v>295</v>
      </c>
      <c r="H285" s="8" cm="1">
        <f t="array" ref="H285">_xlfn.LET(_xlpm.s,IFERROR(--F285,""),_xlpm.e,IFERROR(--G285,""),IF(OR(_xlpm.s="",_xlpm.e="",_xlpm.e&lt;_xlpm.s),"",_xlfn.LET(_xlpm.p,_xlfn.SEQUENCE(_xlpm.e-_xlpm.s+1,1,_xlpm.s,1),SUM(1/COUNTIFS($D:$D,D285,$E:$E,E285,$F:$F,"&lt;&gt;N/A",$G:$G,"&lt;&gt;N/A",$F:$F,"&lt;="&amp;_xlpm.p,$G:$G,"&gt;="&amp;_xlpm.p)))))</f>
        <v>0.2</v>
      </c>
      <c r="I285" t="s">
        <v>632</v>
      </c>
      <c r="J285" t="s">
        <v>2914</v>
      </c>
      <c r="K285" t="s">
        <v>7</v>
      </c>
      <c r="L285" s="5" t="s">
        <v>4786</v>
      </c>
      <c r="M285" t="s">
        <v>7</v>
      </c>
      <c r="N285" t="s">
        <v>7</v>
      </c>
      <c r="O285" t="s">
        <v>11522</v>
      </c>
      <c r="P285" t="s">
        <v>8021</v>
      </c>
      <c r="R285" t="b">
        <v>1</v>
      </c>
    </row>
    <row r="286" spans="1:18">
      <c r="A286" t="s">
        <v>3026</v>
      </c>
      <c r="B286" t="s">
        <v>3844</v>
      </c>
      <c r="C286" s="5" t="s">
        <v>7868</v>
      </c>
      <c r="D286" s="1">
        <v>1</v>
      </c>
      <c r="E286" s="1">
        <v>37</v>
      </c>
      <c r="F286" s="1">
        <v>295</v>
      </c>
      <c r="G286" s="1">
        <v>295</v>
      </c>
      <c r="H286" s="8" cm="1">
        <f t="array" ref="H286">_xlfn.LET(_xlpm.s,IFERROR(--F286,""),_xlpm.e,IFERROR(--G286,""),IF(OR(_xlpm.s="",_xlpm.e="",_xlpm.e&lt;_xlpm.s),"",_xlfn.LET(_xlpm.p,_xlfn.SEQUENCE(_xlpm.e-_xlpm.s+1,1,_xlpm.s,1),SUM(1/COUNTIFS($D:$D,D286,$E:$E,E286,$F:$F,"&lt;&gt;N/A",$G:$G,"&lt;&gt;N/A",$F:$F,"&lt;="&amp;_xlpm.p,$G:$G,"&gt;="&amp;_xlpm.p)))))</f>
        <v>0.2</v>
      </c>
      <c r="I286" t="s">
        <v>632</v>
      </c>
      <c r="J286" t="s">
        <v>2915</v>
      </c>
      <c r="K286" t="s">
        <v>7</v>
      </c>
      <c r="L286" s="5" t="s">
        <v>4786</v>
      </c>
      <c r="M286" t="s">
        <v>7</v>
      </c>
      <c r="N286" t="s">
        <v>7</v>
      </c>
      <c r="O286" t="s">
        <v>11522</v>
      </c>
      <c r="P286" t="s">
        <v>8021</v>
      </c>
      <c r="R286" t="b">
        <v>1</v>
      </c>
    </row>
    <row r="287" spans="1:18">
      <c r="A287" t="s">
        <v>3026</v>
      </c>
      <c r="B287" t="s">
        <v>3845</v>
      </c>
      <c r="C287" s="5" t="s">
        <v>7868</v>
      </c>
      <c r="D287" s="1">
        <v>1</v>
      </c>
      <c r="E287" s="1">
        <v>37</v>
      </c>
      <c r="F287" s="1">
        <v>295</v>
      </c>
      <c r="G287" s="1">
        <v>295</v>
      </c>
      <c r="H287" s="8" cm="1">
        <f t="array" ref="H287">_xlfn.LET(_xlpm.s,IFERROR(--F287,""),_xlpm.e,IFERROR(--G287,""),IF(OR(_xlpm.s="",_xlpm.e="",_xlpm.e&lt;_xlpm.s),"",_xlfn.LET(_xlpm.p,_xlfn.SEQUENCE(_xlpm.e-_xlpm.s+1,1,_xlpm.s,1),SUM(1/COUNTIFS($D:$D,D287,$E:$E,E287,$F:$F,"&lt;&gt;N/A",$G:$G,"&lt;&gt;N/A",$F:$F,"&lt;="&amp;_xlpm.p,$G:$G,"&gt;="&amp;_xlpm.p)))))</f>
        <v>0.2</v>
      </c>
      <c r="I287" t="s">
        <v>632</v>
      </c>
      <c r="J287" t="s">
        <v>2909</v>
      </c>
      <c r="K287" t="s">
        <v>7</v>
      </c>
      <c r="L287" s="5" t="s">
        <v>4786</v>
      </c>
      <c r="M287" t="s">
        <v>7</v>
      </c>
      <c r="N287" t="s">
        <v>7</v>
      </c>
      <c r="O287" t="s">
        <v>11522</v>
      </c>
      <c r="P287" t="s">
        <v>8021</v>
      </c>
      <c r="R287" t="b">
        <v>1</v>
      </c>
    </row>
    <row r="288" spans="1:18">
      <c r="A288" t="s">
        <v>3026</v>
      </c>
      <c r="B288" t="s">
        <v>3846</v>
      </c>
      <c r="C288" s="5" t="s">
        <v>7868</v>
      </c>
      <c r="D288" s="1">
        <v>1</v>
      </c>
      <c r="E288" s="1">
        <v>37</v>
      </c>
      <c r="F288" s="1">
        <v>295</v>
      </c>
      <c r="G288" s="1">
        <v>296</v>
      </c>
      <c r="H288" s="8" cm="1">
        <f t="array" ref="H288">_xlfn.LET(_xlpm.s,IFERROR(--F288,""),_xlpm.e,IFERROR(--G288,""),IF(OR(_xlpm.s="",_xlpm.e="",_xlpm.e&lt;_xlpm.s),"",_xlfn.LET(_xlpm.p,_xlfn.SEQUENCE(_xlpm.e-_xlpm.s+1,1,_xlpm.s,1),SUM(1/COUNTIFS($D:$D,D288,$E:$E,E288,$F:$F,"&lt;&gt;N/A",$G:$G,"&lt;&gt;N/A",$F:$F,"&lt;="&amp;_xlpm.p,$G:$G,"&gt;="&amp;_xlpm.p)))))</f>
        <v>0.7</v>
      </c>
      <c r="I288" t="s">
        <v>632</v>
      </c>
      <c r="J288" t="s">
        <v>758</v>
      </c>
      <c r="K288" t="s">
        <v>644</v>
      </c>
      <c r="L288" s="5" t="s">
        <v>7</v>
      </c>
      <c r="M288" s="5" t="s">
        <v>7</v>
      </c>
      <c r="N288" t="s">
        <v>7</v>
      </c>
      <c r="O288" t="s">
        <v>778</v>
      </c>
      <c r="P288" t="s">
        <v>7834</v>
      </c>
      <c r="R288" t="b">
        <v>1</v>
      </c>
    </row>
    <row r="289" spans="1:18">
      <c r="A289" t="s">
        <v>3026</v>
      </c>
      <c r="B289" t="s">
        <v>3847</v>
      </c>
      <c r="C289" s="5" t="s">
        <v>7868</v>
      </c>
      <c r="D289" s="1">
        <v>1</v>
      </c>
      <c r="E289" s="1">
        <v>37</v>
      </c>
      <c r="F289" s="1">
        <v>296</v>
      </c>
      <c r="G289" s="1">
        <v>296</v>
      </c>
      <c r="H289" s="8" cm="1">
        <f t="array" ref="H289">_xlfn.LET(_xlpm.s,IFERROR(--F289,""),_xlpm.e,IFERROR(--G289,""),IF(OR(_xlpm.s="",_xlpm.e="",_xlpm.e&lt;_xlpm.s),"",_xlfn.LET(_xlpm.p,_xlfn.SEQUENCE(_xlpm.e-_xlpm.s+1,1,_xlpm.s,1),SUM(1/COUNTIFS($D:$D,D289,$E:$E,E289,$F:$F,"&lt;&gt;N/A",$G:$G,"&lt;&gt;N/A",$F:$F,"&lt;="&amp;_xlpm.p,$G:$G,"&gt;="&amp;_xlpm.p)))))</f>
        <v>0.5</v>
      </c>
      <c r="I289" t="s">
        <v>637</v>
      </c>
      <c r="J289" t="s">
        <v>759</v>
      </c>
      <c r="K289" t="s">
        <v>7</v>
      </c>
      <c r="L289" s="5" t="s">
        <v>7</v>
      </c>
      <c r="M289" s="5" t="s">
        <v>7</v>
      </c>
      <c r="N289" t="s">
        <v>7</v>
      </c>
      <c r="O289" t="s">
        <v>11522</v>
      </c>
      <c r="P289" t="s">
        <v>8021</v>
      </c>
      <c r="Q289" t="s">
        <v>2948</v>
      </c>
      <c r="R289" t="b">
        <v>1</v>
      </c>
    </row>
    <row r="290" spans="1:18">
      <c r="A290" t="s">
        <v>3026</v>
      </c>
      <c r="B290" t="s">
        <v>10694</v>
      </c>
      <c r="C290" s="5" t="s">
        <v>7886</v>
      </c>
      <c r="D290" s="1">
        <v>1</v>
      </c>
      <c r="E290" s="1">
        <v>38</v>
      </c>
      <c r="F290" s="1">
        <v>297</v>
      </c>
      <c r="G290" s="1">
        <v>298</v>
      </c>
      <c r="H290" s="8" cm="1">
        <f t="array" ref="H290">_xlfn.LET(_xlpm.s,IFERROR(--F290,""),_xlpm.e,IFERROR(--G290,""),IF(OR(_xlpm.s="",_xlpm.e="",_xlpm.e&lt;_xlpm.s),"",_xlfn.LET(_xlpm.p,_xlfn.SEQUENCE(_xlpm.e-_xlpm.s+1,1,_xlpm.s,1),SUM(1/COUNTIFS($D:$D,D290,$E:$E,E290,$F:$F,"&lt;&gt;N/A",$G:$G,"&lt;&gt;N/A",$F:$F,"&lt;="&amp;_xlpm.p,$G:$G,"&gt;="&amp;_xlpm.p)))))</f>
        <v>1.5</v>
      </c>
      <c r="I290" t="s">
        <v>713</v>
      </c>
      <c r="J290" t="s">
        <v>760</v>
      </c>
      <c r="K290" t="s">
        <v>4787</v>
      </c>
      <c r="L290" s="5" t="s">
        <v>4788</v>
      </c>
      <c r="M290" t="s">
        <v>7</v>
      </c>
      <c r="N290" t="s">
        <v>7</v>
      </c>
      <c r="O290" t="s">
        <v>5072</v>
      </c>
      <c r="P290" t="s">
        <v>8021</v>
      </c>
      <c r="R290" t="b">
        <v>1</v>
      </c>
    </row>
    <row r="291" spans="1:18">
      <c r="A291" t="s">
        <v>3026</v>
      </c>
      <c r="B291" t="s">
        <v>10695</v>
      </c>
      <c r="C291" s="5" t="s">
        <v>7886</v>
      </c>
      <c r="D291" s="1">
        <v>1</v>
      </c>
      <c r="E291" s="1">
        <v>38</v>
      </c>
      <c r="F291" s="1">
        <v>298</v>
      </c>
      <c r="G291" s="1">
        <v>300</v>
      </c>
      <c r="H291" s="8" cm="1">
        <f t="array" ref="H291">_xlfn.LET(_xlpm.s,IFERROR(--F291,""),_xlpm.e,IFERROR(--G291,""),IF(OR(_xlpm.s="",_xlpm.e="",_xlpm.e&lt;_xlpm.s),"",_xlfn.LET(_xlpm.p,_xlfn.SEQUENCE(_xlpm.e-_xlpm.s+1,1,_xlpm.s,1),SUM(1/COUNTIFS($D:$D,D291,$E:$E,E291,$F:$F,"&lt;&gt;N/A",$G:$G,"&lt;&gt;N/A",$F:$F,"&lt;="&amp;_xlpm.p,$G:$G,"&gt;="&amp;_xlpm.p)))))</f>
        <v>2</v>
      </c>
      <c r="I291" t="s">
        <v>713</v>
      </c>
      <c r="J291" t="s">
        <v>761</v>
      </c>
      <c r="K291" t="s">
        <v>762</v>
      </c>
      <c r="L291" s="5" t="s">
        <v>4789</v>
      </c>
      <c r="M291" t="s">
        <v>7452</v>
      </c>
      <c r="N291" t="s">
        <v>7453</v>
      </c>
      <c r="O291" t="s">
        <v>5072</v>
      </c>
      <c r="P291" t="s">
        <v>8021</v>
      </c>
      <c r="Q291" t="s">
        <v>2509</v>
      </c>
      <c r="R291" t="b">
        <v>1</v>
      </c>
    </row>
    <row r="292" spans="1:18">
      <c r="A292" t="s">
        <v>3026</v>
      </c>
      <c r="B292" t="s">
        <v>3848</v>
      </c>
      <c r="C292" s="5" t="s">
        <v>7886</v>
      </c>
      <c r="D292" s="1">
        <v>1</v>
      </c>
      <c r="E292" s="1">
        <v>38</v>
      </c>
      <c r="F292" s="1">
        <v>300</v>
      </c>
      <c r="G292" s="1">
        <v>301</v>
      </c>
      <c r="H292" s="8" cm="1">
        <f t="array" ref="H292">_xlfn.LET(_xlpm.s,IFERROR(--F292,""),_xlpm.e,IFERROR(--G292,""),IF(OR(_xlpm.s="",_xlpm.e="",_xlpm.e&lt;_xlpm.s),"",_xlfn.LET(_xlpm.p,_xlfn.SEQUENCE(_xlpm.e-_xlpm.s+1,1,_xlpm.s,1),SUM(1/COUNTIFS($D:$D,D292,$E:$E,E292,$F:$F,"&lt;&gt;N/A",$G:$G,"&lt;&gt;N/A",$F:$F,"&lt;="&amp;_xlpm.p,$G:$G,"&gt;="&amp;_xlpm.p)))))</f>
        <v>1</v>
      </c>
      <c r="I292" t="s">
        <v>713</v>
      </c>
      <c r="J292" t="s">
        <v>763</v>
      </c>
      <c r="K292" t="s">
        <v>757</v>
      </c>
      <c r="L292" s="5" t="s">
        <v>7</v>
      </c>
      <c r="M292" s="5" t="s">
        <v>7</v>
      </c>
      <c r="N292" t="s">
        <v>7</v>
      </c>
      <c r="O292" t="s">
        <v>7</v>
      </c>
      <c r="P292" t="s">
        <v>8091</v>
      </c>
      <c r="Q292" t="s">
        <v>3233</v>
      </c>
      <c r="R292" t="b">
        <v>1</v>
      </c>
    </row>
    <row r="293" spans="1:18">
      <c r="A293" t="s">
        <v>3026</v>
      </c>
      <c r="B293" t="s">
        <v>3849</v>
      </c>
      <c r="C293" s="5" t="s">
        <v>7886</v>
      </c>
      <c r="D293" s="1">
        <v>1</v>
      </c>
      <c r="E293" s="1">
        <v>38</v>
      </c>
      <c r="F293" s="1">
        <v>301</v>
      </c>
      <c r="G293" s="1">
        <v>303</v>
      </c>
      <c r="H293" s="8" cm="1">
        <f t="array" ref="H293">_xlfn.LET(_xlpm.s,IFERROR(--F293,""),_xlpm.e,IFERROR(--G293,""),IF(OR(_xlpm.s="",_xlpm.e="",_xlpm.e&lt;_xlpm.s),"",_xlfn.LET(_xlpm.p,_xlfn.SEQUENCE(_xlpm.e-_xlpm.s+1,1,_xlpm.s,1),SUM(1/COUNTIFS($D:$D,D293,$E:$E,E293,$F:$F,"&lt;&gt;N/A",$G:$G,"&lt;&gt;N/A",$F:$F,"&lt;="&amp;_xlpm.p,$G:$G,"&gt;="&amp;_xlpm.p)))))</f>
        <v>2.5</v>
      </c>
      <c r="I293" t="s">
        <v>632</v>
      </c>
      <c r="J293" t="s">
        <v>7715</v>
      </c>
      <c r="K293" t="s">
        <v>4790</v>
      </c>
      <c r="L293" s="5" t="s">
        <v>7386</v>
      </c>
      <c r="M293" t="s">
        <v>7</v>
      </c>
      <c r="N293" t="s">
        <v>7</v>
      </c>
      <c r="O293" t="s">
        <v>5072</v>
      </c>
      <c r="P293" t="s">
        <v>8021</v>
      </c>
      <c r="Q293" t="s">
        <v>2509</v>
      </c>
      <c r="R293" t="b">
        <v>1</v>
      </c>
    </row>
    <row r="294" spans="1:18">
      <c r="A294" t="s">
        <v>3026</v>
      </c>
      <c r="B294" t="s">
        <v>3850</v>
      </c>
      <c r="C294" s="5" t="s">
        <v>7886</v>
      </c>
      <c r="D294" s="1">
        <v>1</v>
      </c>
      <c r="E294" s="1">
        <v>38</v>
      </c>
      <c r="F294" s="1">
        <v>304</v>
      </c>
      <c r="G294" s="1">
        <v>304</v>
      </c>
      <c r="H294" s="8" cm="1">
        <f t="array" ref="H294">_xlfn.LET(_xlpm.s,IFERROR(--F294,""),_xlpm.e,IFERROR(--G294,""),IF(OR(_xlpm.s="",_xlpm.e="",_xlpm.e&lt;_xlpm.s),"",_xlfn.LET(_xlpm.p,_xlfn.SEQUENCE(_xlpm.e-_xlpm.s+1,1,_xlpm.s,1),SUM(1/COUNTIFS($D:$D,D294,$E:$E,E294,$F:$F,"&lt;&gt;N/A",$G:$G,"&lt;&gt;N/A",$F:$F,"&lt;="&amp;_xlpm.p,$G:$G,"&gt;="&amp;_xlpm.p)))))</f>
        <v>1</v>
      </c>
      <c r="I294" t="s">
        <v>632</v>
      </c>
      <c r="J294" t="s">
        <v>764</v>
      </c>
      <c r="K294" t="s">
        <v>647</v>
      </c>
      <c r="L294" s="5" t="s">
        <v>7</v>
      </c>
      <c r="M294" t="s">
        <v>7</v>
      </c>
      <c r="N294" t="s">
        <v>7</v>
      </c>
      <c r="O294" t="s">
        <v>778</v>
      </c>
      <c r="P294" t="s">
        <v>7834</v>
      </c>
      <c r="R294" t="b">
        <v>1</v>
      </c>
    </row>
    <row r="295" spans="1:18">
      <c r="A295" t="s">
        <v>3026</v>
      </c>
      <c r="B295" t="s">
        <v>10696</v>
      </c>
      <c r="C295" s="5" t="s">
        <v>7887</v>
      </c>
      <c r="D295" s="1">
        <v>1</v>
      </c>
      <c r="E295" s="1">
        <v>39</v>
      </c>
      <c r="F295" s="1">
        <v>305</v>
      </c>
      <c r="G295" s="1">
        <v>305</v>
      </c>
      <c r="H295" s="8" cm="1">
        <f t="array" ref="H295">_xlfn.LET(_xlpm.s,IFERROR(--F295,""),_xlpm.e,IFERROR(--G295,""),IF(OR(_xlpm.s="",_xlpm.e="",_xlpm.e&lt;_xlpm.s),"",_xlfn.LET(_xlpm.p,_xlfn.SEQUENCE(_xlpm.e-_xlpm.s+1,1,_xlpm.s,1),SUM(1/COUNTIFS($D:$D,D295,$E:$E,E295,$F:$F,"&lt;&gt;N/A",$G:$G,"&lt;&gt;N/A",$F:$F,"&lt;="&amp;_xlpm.p,$G:$G,"&gt;="&amp;_xlpm.p)))))</f>
        <v>1</v>
      </c>
      <c r="I295" t="s">
        <v>713</v>
      </c>
      <c r="J295" t="s">
        <v>765</v>
      </c>
      <c r="K295" t="s">
        <v>7</v>
      </c>
      <c r="L295" s="5" t="s">
        <v>7</v>
      </c>
      <c r="M295" s="5" t="s">
        <v>7</v>
      </c>
      <c r="N295" t="s">
        <v>7</v>
      </c>
      <c r="O295" t="s">
        <v>778</v>
      </c>
      <c r="P295" t="s">
        <v>7834</v>
      </c>
      <c r="R295" t="b">
        <v>1</v>
      </c>
    </row>
    <row r="296" spans="1:18">
      <c r="A296" t="s">
        <v>3026</v>
      </c>
      <c r="B296" t="s">
        <v>10697</v>
      </c>
      <c r="C296" s="5" t="s">
        <v>7887</v>
      </c>
      <c r="D296" s="1">
        <v>1</v>
      </c>
      <c r="E296" s="1">
        <v>39</v>
      </c>
      <c r="F296" s="1">
        <v>306</v>
      </c>
      <c r="G296" s="1">
        <v>306</v>
      </c>
      <c r="H296" s="8" cm="1">
        <f t="array" ref="H296">_xlfn.LET(_xlpm.s,IFERROR(--F296,""),_xlpm.e,IFERROR(--G296,""),IF(OR(_xlpm.s="",_xlpm.e="",_xlpm.e&lt;_xlpm.s),"",_xlfn.LET(_xlpm.p,_xlfn.SEQUENCE(_xlpm.e-_xlpm.s+1,1,_xlpm.s,1),SUM(1/COUNTIFS($D:$D,D296,$E:$E,E296,$F:$F,"&lt;&gt;N/A",$G:$G,"&lt;&gt;N/A",$F:$F,"&lt;="&amp;_xlpm.p,$G:$G,"&gt;="&amp;_xlpm.p)))))</f>
        <v>0.5</v>
      </c>
      <c r="I296" t="s">
        <v>713</v>
      </c>
      <c r="J296" t="s">
        <v>7287</v>
      </c>
      <c r="K296" t="s">
        <v>7</v>
      </c>
      <c r="L296" t="s">
        <v>7433</v>
      </c>
      <c r="M296" t="s">
        <v>7</v>
      </c>
      <c r="N296" t="s">
        <v>7</v>
      </c>
      <c r="O296" t="s">
        <v>11522</v>
      </c>
      <c r="P296" t="s">
        <v>8034</v>
      </c>
      <c r="Q296" t="s">
        <v>2509</v>
      </c>
      <c r="R296" t="b">
        <v>1</v>
      </c>
    </row>
    <row r="297" spans="1:18">
      <c r="A297" t="s">
        <v>3026</v>
      </c>
      <c r="B297" t="s">
        <v>3851</v>
      </c>
      <c r="C297" s="5" t="s">
        <v>7887</v>
      </c>
      <c r="D297" s="1">
        <v>1</v>
      </c>
      <c r="E297" s="1">
        <v>39</v>
      </c>
      <c r="F297" s="1">
        <v>306</v>
      </c>
      <c r="G297" s="1">
        <v>306</v>
      </c>
      <c r="H297" s="8" cm="1">
        <f t="array" ref="H297">_xlfn.LET(_xlpm.s,IFERROR(--F297,""),_xlpm.e,IFERROR(--G297,""),IF(OR(_xlpm.s="",_xlpm.e="",_xlpm.e&lt;_xlpm.s),"",_xlfn.LET(_xlpm.p,_xlfn.SEQUENCE(_xlpm.e-_xlpm.s+1,1,_xlpm.s,1),SUM(1/COUNTIFS($D:$D,D297,$E:$E,E297,$F:$F,"&lt;&gt;N/A",$G:$G,"&lt;&gt;N/A",$F:$F,"&lt;="&amp;_xlpm.p,$G:$G,"&gt;="&amp;_xlpm.p)))))</f>
        <v>0.5</v>
      </c>
      <c r="I297" t="s">
        <v>713</v>
      </c>
      <c r="J297" t="s">
        <v>7293</v>
      </c>
      <c r="K297" t="s">
        <v>7</v>
      </c>
      <c r="L297" t="s">
        <v>7</v>
      </c>
      <c r="M297" t="s">
        <v>6940</v>
      </c>
      <c r="N297" t="s">
        <v>11517</v>
      </c>
      <c r="O297" t="s">
        <v>5072</v>
      </c>
      <c r="P297" t="s">
        <v>8021</v>
      </c>
      <c r="Q297" t="s">
        <v>2509</v>
      </c>
      <c r="R297" t="b">
        <v>1</v>
      </c>
    </row>
    <row r="298" spans="1:18">
      <c r="A298" t="s">
        <v>3026</v>
      </c>
      <c r="B298" t="s">
        <v>3852</v>
      </c>
      <c r="C298" s="5" t="s">
        <v>7887</v>
      </c>
      <c r="D298" s="1">
        <v>1</v>
      </c>
      <c r="E298" s="1">
        <v>39</v>
      </c>
      <c r="F298" s="1">
        <v>307</v>
      </c>
      <c r="G298" s="1">
        <v>307</v>
      </c>
      <c r="H298" s="8" cm="1">
        <f t="array" ref="H298">_xlfn.LET(_xlpm.s,IFERROR(--F298,""),_xlpm.e,IFERROR(--G298,""),IF(OR(_xlpm.s="",_xlpm.e="",_xlpm.e&lt;_xlpm.s),"",_xlfn.LET(_xlpm.p,_xlfn.SEQUENCE(_xlpm.e-_xlpm.s+1,1,_xlpm.s,1),SUM(1/COUNTIFS($D:$D,D298,$E:$E,E298,$F:$F,"&lt;&gt;N/A",$G:$G,"&lt;&gt;N/A",$F:$F,"&lt;="&amp;_xlpm.p,$G:$G,"&gt;="&amp;_xlpm.p)))))</f>
        <v>0.25</v>
      </c>
      <c r="I298" t="s">
        <v>713</v>
      </c>
      <c r="J298" t="s">
        <v>7292</v>
      </c>
      <c r="K298" t="s">
        <v>7</v>
      </c>
      <c r="L298" t="s">
        <v>7</v>
      </c>
      <c r="M298" t="s">
        <v>6940</v>
      </c>
      <c r="N298" t="s">
        <v>11516</v>
      </c>
      <c r="O298" t="s">
        <v>5072</v>
      </c>
      <c r="P298" t="s">
        <v>8021</v>
      </c>
      <c r="Q298" t="s">
        <v>2509</v>
      </c>
      <c r="R298" t="b">
        <v>1</v>
      </c>
    </row>
    <row r="299" spans="1:18">
      <c r="A299" t="s">
        <v>3026</v>
      </c>
      <c r="B299" t="s">
        <v>3853</v>
      </c>
      <c r="C299" s="5" t="s">
        <v>7887</v>
      </c>
      <c r="D299" s="1">
        <v>1</v>
      </c>
      <c r="E299" s="1">
        <v>39</v>
      </c>
      <c r="F299" s="1">
        <v>307</v>
      </c>
      <c r="G299" s="1">
        <v>307</v>
      </c>
      <c r="H299" s="8" cm="1">
        <f t="array" ref="H299">_xlfn.LET(_xlpm.s,IFERROR(--F299,""),_xlpm.e,IFERROR(--G299,""),IF(OR(_xlpm.s="",_xlpm.e="",_xlpm.e&lt;_xlpm.s),"",_xlfn.LET(_xlpm.p,_xlfn.SEQUENCE(_xlpm.e-_xlpm.s+1,1,_xlpm.s,1),SUM(1/COUNTIFS($D:$D,D299,$E:$E,E299,$F:$F,"&lt;&gt;N/A",$G:$G,"&lt;&gt;N/A",$F:$F,"&lt;="&amp;_xlpm.p,$G:$G,"&gt;="&amp;_xlpm.p)))))</f>
        <v>0.25</v>
      </c>
      <c r="I299" t="s">
        <v>713</v>
      </c>
      <c r="J299" t="s">
        <v>7291</v>
      </c>
      <c r="K299" t="s">
        <v>7</v>
      </c>
      <c r="L299" s="5" t="s">
        <v>7297</v>
      </c>
      <c r="M299" t="s">
        <v>6940</v>
      </c>
      <c r="N299" t="s">
        <v>11518</v>
      </c>
      <c r="O299" t="s">
        <v>5072</v>
      </c>
      <c r="P299" t="s">
        <v>8021</v>
      </c>
      <c r="Q299" t="s">
        <v>2509</v>
      </c>
      <c r="R299" t="b">
        <v>1</v>
      </c>
    </row>
    <row r="300" spans="1:18">
      <c r="A300" t="s">
        <v>3026</v>
      </c>
      <c r="B300" t="s">
        <v>3854</v>
      </c>
      <c r="C300" s="5" t="s">
        <v>7887</v>
      </c>
      <c r="D300" s="1">
        <v>1</v>
      </c>
      <c r="E300" s="1">
        <v>39</v>
      </c>
      <c r="F300" s="1">
        <v>307</v>
      </c>
      <c r="G300" s="1">
        <v>307</v>
      </c>
      <c r="H300" s="8" cm="1">
        <f t="array" ref="H300">_xlfn.LET(_xlpm.s,IFERROR(--F300,""),_xlpm.e,IFERROR(--G300,""),IF(OR(_xlpm.s="",_xlpm.e="",_xlpm.e&lt;_xlpm.s),"",_xlfn.LET(_xlpm.p,_xlfn.SEQUENCE(_xlpm.e-_xlpm.s+1,1,_xlpm.s,1),SUM(1/COUNTIFS($D:$D,D300,$E:$E,E300,$F:$F,"&lt;&gt;N/A",$G:$G,"&lt;&gt;N/A",$F:$F,"&lt;="&amp;_xlpm.p,$G:$G,"&gt;="&amp;_xlpm.p)))))</f>
        <v>0.25</v>
      </c>
      <c r="I300" t="s">
        <v>713</v>
      </c>
      <c r="J300" t="s">
        <v>7290</v>
      </c>
      <c r="K300" t="s">
        <v>7</v>
      </c>
      <c r="L300" s="5" t="s">
        <v>7296</v>
      </c>
      <c r="M300" t="s">
        <v>7</v>
      </c>
      <c r="N300" t="s">
        <v>7</v>
      </c>
      <c r="O300" t="s">
        <v>11522</v>
      </c>
      <c r="P300" t="s">
        <v>8021</v>
      </c>
      <c r="R300" t="b">
        <v>1</v>
      </c>
    </row>
    <row r="301" spans="1:18">
      <c r="A301" t="s">
        <v>3026</v>
      </c>
      <c r="B301" t="s">
        <v>3855</v>
      </c>
      <c r="C301" s="5" t="s">
        <v>7887</v>
      </c>
      <c r="D301" s="1">
        <v>1</v>
      </c>
      <c r="E301" s="1">
        <v>39</v>
      </c>
      <c r="F301" s="1">
        <v>307</v>
      </c>
      <c r="G301" s="1">
        <v>308</v>
      </c>
      <c r="H301" s="8" cm="1">
        <f t="array" ref="H301">_xlfn.LET(_xlpm.s,IFERROR(--F301,""),_xlpm.e,IFERROR(--G301,""),IF(OR(_xlpm.s="",_xlpm.e="",_xlpm.e&lt;_xlpm.s),"",_xlfn.LET(_xlpm.p,_xlfn.SEQUENCE(_xlpm.e-_xlpm.s+1,1,_xlpm.s,1),SUM(1/COUNTIFS($D:$D,D301,$E:$E,E301,$F:$F,"&lt;&gt;N/A",$G:$G,"&lt;&gt;N/A",$F:$F,"&lt;="&amp;_xlpm.p,$G:$G,"&gt;="&amp;_xlpm.p)))))</f>
        <v>0.58333333333333326</v>
      </c>
      <c r="I301" t="s">
        <v>713</v>
      </c>
      <c r="J301" t="s">
        <v>7289</v>
      </c>
      <c r="K301" t="s">
        <v>7</v>
      </c>
      <c r="L301" s="5" t="s">
        <v>7295</v>
      </c>
      <c r="M301" t="s">
        <v>7</v>
      </c>
      <c r="N301" t="s">
        <v>7</v>
      </c>
      <c r="O301" t="s">
        <v>11522</v>
      </c>
      <c r="P301" t="s">
        <v>8021</v>
      </c>
      <c r="Q301" t="s">
        <v>2509</v>
      </c>
      <c r="R301" t="b">
        <v>1</v>
      </c>
    </row>
    <row r="302" spans="1:18">
      <c r="A302" t="s">
        <v>3026</v>
      </c>
      <c r="B302" t="s">
        <v>3856</v>
      </c>
      <c r="C302" s="5" t="s">
        <v>7887</v>
      </c>
      <c r="D302" s="1">
        <v>1</v>
      </c>
      <c r="E302" s="1">
        <v>39</v>
      </c>
      <c r="F302" s="1">
        <v>308</v>
      </c>
      <c r="G302" s="1">
        <v>308</v>
      </c>
      <c r="H302" s="8" cm="1">
        <f t="array" ref="H302">_xlfn.LET(_xlpm.s,IFERROR(--F302,""),_xlpm.e,IFERROR(--G302,""),IF(OR(_xlpm.s="",_xlpm.e="",_xlpm.e&lt;_xlpm.s),"",_xlfn.LET(_xlpm.p,_xlfn.SEQUENCE(_xlpm.e-_xlpm.s+1,1,_xlpm.s,1),SUM(1/COUNTIFS($D:$D,D302,$E:$E,E302,$F:$F,"&lt;&gt;N/A",$G:$G,"&lt;&gt;N/A",$F:$F,"&lt;="&amp;_xlpm.p,$G:$G,"&gt;="&amp;_xlpm.p)))))</f>
        <v>0.33333333333333331</v>
      </c>
      <c r="I302" t="s">
        <v>713</v>
      </c>
      <c r="J302" t="s">
        <v>7288</v>
      </c>
      <c r="K302" t="s">
        <v>7</v>
      </c>
      <c r="L302" s="5" t="s">
        <v>7294</v>
      </c>
      <c r="M302" t="s">
        <v>7349</v>
      </c>
      <c r="N302" t="s">
        <v>7387</v>
      </c>
      <c r="O302" t="s">
        <v>11522</v>
      </c>
      <c r="P302" t="s">
        <v>8021</v>
      </c>
      <c r="Q302" t="s">
        <v>2509</v>
      </c>
      <c r="R302" t="b">
        <v>1</v>
      </c>
    </row>
    <row r="303" spans="1:18">
      <c r="A303" t="s">
        <v>3026</v>
      </c>
      <c r="B303" t="s">
        <v>7218</v>
      </c>
      <c r="C303" s="5" t="s">
        <v>7887</v>
      </c>
      <c r="D303" s="1">
        <v>1</v>
      </c>
      <c r="E303" s="1">
        <v>39</v>
      </c>
      <c r="F303" s="1">
        <v>308</v>
      </c>
      <c r="G303" s="1">
        <v>308</v>
      </c>
      <c r="H303" s="8" cm="1">
        <f t="array" ref="H303">_xlfn.LET(_xlpm.s,IFERROR(--F303,""),_xlpm.e,IFERROR(--G303,""),IF(OR(_xlpm.s="",_xlpm.e="",_xlpm.e&lt;_xlpm.s),"",_xlfn.LET(_xlpm.p,_xlfn.SEQUENCE(_xlpm.e-_xlpm.s+1,1,_xlpm.s,1),SUM(1/COUNTIFS($D:$D,D303,$E:$E,E303,$F:$F,"&lt;&gt;N/A",$G:$G,"&lt;&gt;N/A",$F:$F,"&lt;="&amp;_xlpm.p,$G:$G,"&gt;="&amp;_xlpm.p)))))</f>
        <v>0.33333333333333331</v>
      </c>
      <c r="I303" t="s">
        <v>632</v>
      </c>
      <c r="J303" t="s">
        <v>7437</v>
      </c>
      <c r="K303" t="s">
        <v>7</v>
      </c>
      <c r="L303" s="5" t="s">
        <v>4791</v>
      </c>
      <c r="M303" t="s">
        <v>5043</v>
      </c>
      <c r="N303" t="s">
        <v>7438</v>
      </c>
      <c r="O303" t="s">
        <v>11522</v>
      </c>
      <c r="P303" t="s">
        <v>8021</v>
      </c>
      <c r="R303" t="b">
        <v>1</v>
      </c>
    </row>
    <row r="304" spans="1:18">
      <c r="A304" t="s">
        <v>3026</v>
      </c>
      <c r="B304" t="s">
        <v>7239</v>
      </c>
      <c r="C304" s="5" t="s">
        <v>7887</v>
      </c>
      <c r="D304" s="1">
        <v>1</v>
      </c>
      <c r="E304" s="1">
        <v>39</v>
      </c>
      <c r="F304" s="1">
        <v>309</v>
      </c>
      <c r="G304" s="1">
        <v>309</v>
      </c>
      <c r="H304" s="8" cm="1">
        <f t="array" ref="H304">_xlfn.LET(_xlpm.s,IFERROR(--F304,""),_xlpm.e,IFERROR(--G304,""),IF(OR(_xlpm.s="",_xlpm.e="",_xlpm.e&lt;_xlpm.s),"",_xlfn.LET(_xlpm.p,_xlfn.SEQUENCE(_xlpm.e-_xlpm.s+1,1,_xlpm.s,1),SUM(1/COUNTIFS($D:$D,D304,$E:$E,E304,$F:$F,"&lt;&gt;N/A",$G:$G,"&lt;&gt;N/A",$F:$F,"&lt;="&amp;_xlpm.p,$G:$G,"&gt;="&amp;_xlpm.p)))))</f>
        <v>0.5</v>
      </c>
      <c r="I304" t="s">
        <v>632</v>
      </c>
      <c r="J304" t="s">
        <v>2927</v>
      </c>
      <c r="K304" t="s">
        <v>7</v>
      </c>
      <c r="L304" s="5" t="s">
        <v>4792</v>
      </c>
      <c r="M304" t="s">
        <v>7</v>
      </c>
      <c r="N304" t="s">
        <v>7</v>
      </c>
      <c r="O304" t="s">
        <v>5072</v>
      </c>
      <c r="P304" t="s">
        <v>8021</v>
      </c>
      <c r="R304" t="b">
        <v>1</v>
      </c>
    </row>
    <row r="305" spans="1:18">
      <c r="A305" t="s">
        <v>3026</v>
      </c>
      <c r="B305" t="s">
        <v>7299</v>
      </c>
      <c r="C305" s="5" t="s">
        <v>7887</v>
      </c>
      <c r="D305" s="1">
        <v>1</v>
      </c>
      <c r="E305" s="1">
        <v>39</v>
      </c>
      <c r="F305" s="1">
        <v>309</v>
      </c>
      <c r="G305" s="1">
        <v>310</v>
      </c>
      <c r="H305" s="8" cm="1">
        <f t="array" ref="H305">_xlfn.LET(_xlpm.s,IFERROR(--F305,""),_xlpm.e,IFERROR(--G305,""),IF(OR(_xlpm.s="",_xlpm.e="",_xlpm.e&lt;_xlpm.s),"",_xlfn.LET(_xlpm.p,_xlfn.SEQUENCE(_xlpm.e-_xlpm.s+1,1,_xlpm.s,1),SUM(1/COUNTIFS($D:$D,D305,$E:$E,E305,$F:$F,"&lt;&gt;N/A",$G:$G,"&lt;&gt;N/A",$F:$F,"&lt;="&amp;_xlpm.p,$G:$G,"&gt;="&amp;_xlpm.p)))))</f>
        <v>0.83333333333333326</v>
      </c>
      <c r="I305" t="s">
        <v>632</v>
      </c>
      <c r="J305" t="s">
        <v>7355</v>
      </c>
      <c r="K305" t="s">
        <v>4793</v>
      </c>
      <c r="L305" t="s">
        <v>4792</v>
      </c>
      <c r="M305" t="s">
        <v>7</v>
      </c>
      <c r="N305" t="s">
        <v>7</v>
      </c>
      <c r="O305" t="s">
        <v>5072</v>
      </c>
      <c r="P305" t="s">
        <v>8021</v>
      </c>
      <c r="R305" t="b">
        <v>1</v>
      </c>
    </row>
    <row r="306" spans="1:18">
      <c r="A306" t="s">
        <v>3026</v>
      </c>
      <c r="B306" t="s">
        <v>7300</v>
      </c>
      <c r="C306" s="5" t="s">
        <v>7887</v>
      </c>
      <c r="D306" s="1">
        <v>1</v>
      </c>
      <c r="E306" s="1">
        <v>39</v>
      </c>
      <c r="F306" s="1">
        <v>310</v>
      </c>
      <c r="G306" s="1">
        <v>310</v>
      </c>
      <c r="H306" s="8" cm="1">
        <f t="array" ref="H306">_xlfn.LET(_xlpm.s,IFERROR(--F306,""),_xlpm.e,IFERROR(--G306,""),IF(OR(_xlpm.s="",_xlpm.e="",_xlpm.e&lt;_xlpm.s),"",_xlfn.LET(_xlpm.p,_xlfn.SEQUENCE(_xlpm.e-_xlpm.s+1,1,_xlpm.s,1),SUM(1/COUNTIFS($D:$D,D306,$E:$E,E306,$F:$F,"&lt;&gt;N/A",$G:$G,"&lt;&gt;N/A",$F:$F,"&lt;="&amp;_xlpm.p,$G:$G,"&gt;="&amp;_xlpm.p)))))</f>
        <v>0.33333333333333331</v>
      </c>
      <c r="I306" t="s">
        <v>632</v>
      </c>
      <c r="J306" t="s">
        <v>2932</v>
      </c>
      <c r="K306" t="s">
        <v>7</v>
      </c>
      <c r="L306" s="5" t="s">
        <v>4794</v>
      </c>
      <c r="M306" t="s">
        <v>7</v>
      </c>
      <c r="N306" t="s">
        <v>7</v>
      </c>
      <c r="O306" t="s">
        <v>5072</v>
      </c>
      <c r="P306" t="s">
        <v>8021</v>
      </c>
      <c r="R306" t="b">
        <v>1</v>
      </c>
    </row>
    <row r="307" spans="1:18">
      <c r="A307" t="s">
        <v>3026</v>
      </c>
      <c r="B307" t="s">
        <v>7301</v>
      </c>
      <c r="C307" s="5" t="s">
        <v>7887</v>
      </c>
      <c r="D307" s="1">
        <v>1</v>
      </c>
      <c r="E307" s="1">
        <v>39</v>
      </c>
      <c r="F307" s="1">
        <v>310</v>
      </c>
      <c r="G307" s="1">
        <v>311</v>
      </c>
      <c r="H307" s="8" cm="1">
        <f t="array" ref="H307">_xlfn.LET(_xlpm.s,IFERROR(--F307,""),_xlpm.e,IFERROR(--G307,""),IF(OR(_xlpm.s="",_xlpm.e="",_xlpm.e&lt;_xlpm.s),"",_xlfn.LET(_xlpm.p,_xlfn.SEQUENCE(_xlpm.e-_xlpm.s+1,1,_xlpm.s,1),SUM(1/COUNTIFS($D:$D,D307,$E:$E,E307,$F:$F,"&lt;&gt;N/A",$G:$G,"&lt;&gt;N/A",$F:$F,"&lt;="&amp;_xlpm.p,$G:$G,"&gt;="&amp;_xlpm.p)))))</f>
        <v>0.83333333333333326</v>
      </c>
      <c r="I307" t="s">
        <v>632</v>
      </c>
      <c r="J307" t="s">
        <v>2928</v>
      </c>
      <c r="K307" t="s">
        <v>4795</v>
      </c>
      <c r="L307" s="5" t="s">
        <v>7</v>
      </c>
      <c r="M307" s="5" t="s">
        <v>7</v>
      </c>
      <c r="N307" s="5" t="s">
        <v>7</v>
      </c>
      <c r="O307" t="s">
        <v>5072</v>
      </c>
      <c r="P307" t="s">
        <v>8021</v>
      </c>
      <c r="Q307" t="s">
        <v>2509</v>
      </c>
      <c r="R307" t="b">
        <v>1</v>
      </c>
    </row>
    <row r="308" spans="1:18">
      <c r="A308" t="s">
        <v>3026</v>
      </c>
      <c r="B308" t="s">
        <v>7302</v>
      </c>
      <c r="C308" s="5" t="s">
        <v>7887</v>
      </c>
      <c r="D308" s="1">
        <v>1</v>
      </c>
      <c r="E308" s="1">
        <v>39</v>
      </c>
      <c r="F308" s="1">
        <v>311</v>
      </c>
      <c r="G308" s="1">
        <v>312</v>
      </c>
      <c r="H308" s="8" cm="1">
        <f t="array" ref="H308">_xlfn.LET(_xlpm.s,IFERROR(--F308,""),_xlpm.e,IFERROR(--G308,""),IF(OR(_xlpm.s="",_xlpm.e="",_xlpm.e&lt;_xlpm.s),"",_xlfn.LET(_xlpm.p,_xlfn.SEQUENCE(_xlpm.e-_xlpm.s+1,1,_xlpm.s,1),SUM(1/COUNTIFS($D:$D,D308,$E:$E,E308,$F:$F,"&lt;&gt;N/A",$G:$G,"&lt;&gt;N/A",$F:$F,"&lt;="&amp;_xlpm.p,$G:$G,"&gt;="&amp;_xlpm.p)))))</f>
        <v>1.5</v>
      </c>
      <c r="I308" t="s">
        <v>632</v>
      </c>
      <c r="J308" t="s">
        <v>766</v>
      </c>
      <c r="K308" t="s">
        <v>647</v>
      </c>
      <c r="L308" s="5" t="s">
        <v>7</v>
      </c>
      <c r="M308" s="5" t="s">
        <v>7</v>
      </c>
      <c r="N308" s="5" t="s">
        <v>7</v>
      </c>
      <c r="O308" t="s">
        <v>778</v>
      </c>
      <c r="P308" t="s">
        <v>7834</v>
      </c>
      <c r="R308" t="b">
        <v>1</v>
      </c>
    </row>
    <row r="309" spans="1:18">
      <c r="A309" t="s">
        <v>3026</v>
      </c>
      <c r="B309" t="s">
        <v>10698</v>
      </c>
      <c r="C309" s="5" t="s">
        <v>7869</v>
      </c>
      <c r="D309" s="1">
        <v>1</v>
      </c>
      <c r="E309" s="1">
        <v>40</v>
      </c>
      <c r="F309" s="1">
        <v>313</v>
      </c>
      <c r="G309" s="1">
        <v>316</v>
      </c>
      <c r="H309" s="8" cm="1">
        <f t="array" ref="H309">_xlfn.LET(_xlpm.s,IFERROR(--F309,""),_xlpm.e,IFERROR(--G309,""),IF(OR(_xlpm.s="",_xlpm.e="",_xlpm.e&lt;_xlpm.s),"",_xlfn.LET(_xlpm.p,_xlfn.SEQUENCE(_xlpm.e-_xlpm.s+1,1,_xlpm.s,1),SUM(1/COUNTIFS($D:$D,D309,$E:$E,E309,$F:$F,"&lt;&gt;N/A",$G:$G,"&lt;&gt;N/A",$F:$F,"&lt;="&amp;_xlpm.p,$G:$G,"&gt;="&amp;_xlpm.p)))))</f>
        <v>3.5</v>
      </c>
      <c r="I309" t="s">
        <v>713</v>
      </c>
      <c r="J309" t="s">
        <v>767</v>
      </c>
      <c r="K309" t="s">
        <v>768</v>
      </c>
      <c r="L309" s="5" t="s">
        <v>4796</v>
      </c>
      <c r="M309" t="s">
        <v>7354</v>
      </c>
      <c r="N309" s="5" t="s">
        <v>7426</v>
      </c>
      <c r="O309" t="s">
        <v>10264</v>
      </c>
      <c r="P309" t="s">
        <v>8019</v>
      </c>
      <c r="R309" t="b">
        <v>1</v>
      </c>
    </row>
    <row r="310" spans="1:18">
      <c r="A310" t="s">
        <v>3026</v>
      </c>
      <c r="B310" t="s">
        <v>10699</v>
      </c>
      <c r="C310" s="5" t="s">
        <v>7869</v>
      </c>
      <c r="D310" s="1">
        <v>1</v>
      </c>
      <c r="E310" s="1">
        <v>40</v>
      </c>
      <c r="F310" s="1">
        <v>316</v>
      </c>
      <c r="G310" s="1">
        <v>317</v>
      </c>
      <c r="H310" s="8" cm="1">
        <f t="array" ref="H310">_xlfn.LET(_xlpm.s,IFERROR(--F310,""),_xlpm.e,IFERROR(--G310,""),IF(OR(_xlpm.s="",_xlpm.e="",_xlpm.e&lt;_xlpm.s),"",_xlfn.LET(_xlpm.p,_xlfn.SEQUENCE(_xlpm.e-_xlpm.s+1,1,_xlpm.s,1),SUM(1/COUNTIFS($D:$D,D310,$E:$E,E310,$F:$F,"&lt;&gt;N/A",$G:$G,"&lt;&gt;N/A",$F:$F,"&lt;="&amp;_xlpm.p,$G:$G,"&gt;="&amp;_xlpm.p)))))</f>
        <v>1</v>
      </c>
      <c r="I310" t="s">
        <v>632</v>
      </c>
      <c r="J310" t="s">
        <v>7436</v>
      </c>
      <c r="K310" t="s">
        <v>769</v>
      </c>
      <c r="L310" s="5" t="s">
        <v>7</v>
      </c>
      <c r="M310" s="5" t="s">
        <v>7</v>
      </c>
      <c r="N310" t="s">
        <v>7</v>
      </c>
      <c r="O310" t="s">
        <v>778</v>
      </c>
      <c r="P310" t="s">
        <v>7834</v>
      </c>
      <c r="R310" t="b">
        <v>1</v>
      </c>
    </row>
    <row r="311" spans="1:18">
      <c r="A311" t="s">
        <v>3026</v>
      </c>
      <c r="B311" t="s">
        <v>7303</v>
      </c>
      <c r="C311" s="5" t="s">
        <v>7869</v>
      </c>
      <c r="D311" s="1">
        <v>1</v>
      </c>
      <c r="E311" s="1">
        <v>40</v>
      </c>
      <c r="F311" s="1">
        <v>317</v>
      </c>
      <c r="G311" s="1">
        <v>320</v>
      </c>
      <c r="H311" s="8" cm="1">
        <f t="array" ref="H311">_xlfn.LET(_xlpm.s,IFERROR(--F311,""),_xlpm.e,IFERROR(--G311,""),IF(OR(_xlpm.s="",_xlpm.e="",_xlpm.e&lt;_xlpm.s),"",_xlfn.LET(_xlpm.p,_xlfn.SEQUENCE(_xlpm.e-_xlpm.s+1,1,_xlpm.s,1),SUM(1/COUNTIFS($D:$D,D311,$E:$E,E311,$F:$F,"&lt;&gt;N/A",$G:$G,"&lt;&gt;N/A",$F:$F,"&lt;="&amp;_xlpm.p,$G:$G,"&gt;="&amp;_xlpm.p)))))</f>
        <v>3.5</v>
      </c>
      <c r="I311" t="s">
        <v>632</v>
      </c>
      <c r="J311" t="s">
        <v>770</v>
      </c>
      <c r="K311" t="s">
        <v>644</v>
      </c>
      <c r="L311" s="5" t="s">
        <v>7</v>
      </c>
      <c r="M311" s="5" t="s">
        <v>7</v>
      </c>
      <c r="N311" t="s">
        <v>7</v>
      </c>
      <c r="O311" t="s">
        <v>778</v>
      </c>
      <c r="P311" t="s">
        <v>7834</v>
      </c>
      <c r="R311" t="b">
        <v>1</v>
      </c>
    </row>
    <row r="312" spans="1:18">
      <c r="A312" t="s">
        <v>3026</v>
      </c>
      <c r="B312" t="s">
        <v>10700</v>
      </c>
      <c r="C312" s="5" t="s">
        <v>7870</v>
      </c>
      <c r="D312" s="1">
        <v>1</v>
      </c>
      <c r="E312" s="1">
        <v>41</v>
      </c>
      <c r="F312" s="1">
        <v>321</v>
      </c>
      <c r="G312" s="1">
        <v>325</v>
      </c>
      <c r="H312" s="8" cm="1">
        <f t="array" ref="H312">_xlfn.LET(_xlpm.s,IFERROR(--F312,""),_xlpm.e,IFERROR(--G312,""),IF(OR(_xlpm.s="",_xlpm.e="",_xlpm.e&lt;_xlpm.s),"",_xlfn.LET(_xlpm.p,_xlfn.SEQUENCE(_xlpm.e-_xlpm.s+1,1,_xlpm.s,1),SUM(1/COUNTIFS($D:$D,D312,$E:$E,E312,$F:$F,"&lt;&gt;N/A",$G:$G,"&lt;&gt;N/A",$F:$F,"&lt;="&amp;_xlpm.p,$G:$G,"&gt;="&amp;_xlpm.p)))))</f>
        <v>4.333333333333333</v>
      </c>
      <c r="I312" t="s">
        <v>713</v>
      </c>
      <c r="J312" t="s">
        <v>771</v>
      </c>
      <c r="K312" t="s">
        <v>768</v>
      </c>
      <c r="L312" s="5" t="s">
        <v>4796</v>
      </c>
      <c r="M312" t="s">
        <v>7354</v>
      </c>
      <c r="N312" s="5" t="s">
        <v>7426</v>
      </c>
      <c r="O312" t="s">
        <v>10264</v>
      </c>
      <c r="P312" t="s">
        <v>8019</v>
      </c>
      <c r="R312" t="b">
        <v>1</v>
      </c>
    </row>
    <row r="313" spans="1:18">
      <c r="A313" t="s">
        <v>3026</v>
      </c>
      <c r="B313" t="s">
        <v>10701</v>
      </c>
      <c r="C313" s="5" t="s">
        <v>7870</v>
      </c>
      <c r="D313" s="1">
        <v>1</v>
      </c>
      <c r="E313" s="1">
        <v>41</v>
      </c>
      <c r="F313" s="1">
        <v>325</v>
      </c>
      <c r="G313" s="1">
        <v>325</v>
      </c>
      <c r="H313" s="8" cm="1">
        <f t="array" ref="H313">_xlfn.LET(_xlpm.s,IFERROR(--F313,""),_xlpm.e,IFERROR(--G313,""),IF(OR(_xlpm.s="",_xlpm.e="",_xlpm.e&lt;_xlpm.s),"",_xlfn.LET(_xlpm.p,_xlfn.SEQUENCE(_xlpm.e-_xlpm.s+1,1,_xlpm.s,1),SUM(1/COUNTIFS($D:$D,D313,$E:$E,E313,$F:$F,"&lt;&gt;N/A",$G:$G,"&lt;&gt;N/A",$F:$F,"&lt;="&amp;_xlpm.p,$G:$G,"&gt;="&amp;_xlpm.p)))))</f>
        <v>0.33333333333333331</v>
      </c>
      <c r="I313" t="s">
        <v>205</v>
      </c>
      <c r="J313" t="s">
        <v>2929</v>
      </c>
      <c r="K313" t="s">
        <v>7</v>
      </c>
      <c r="L313" s="5" t="s">
        <v>4797</v>
      </c>
      <c r="M313" t="s">
        <v>6435</v>
      </c>
      <c r="N313" t="s">
        <v>7431</v>
      </c>
      <c r="O313" t="s">
        <v>5072</v>
      </c>
      <c r="P313" t="s">
        <v>8021</v>
      </c>
      <c r="R313" t="b">
        <v>1</v>
      </c>
    </row>
    <row r="314" spans="1:18">
      <c r="A314" t="s">
        <v>3026</v>
      </c>
      <c r="B314" t="s">
        <v>7219</v>
      </c>
      <c r="C314" s="5" t="s">
        <v>7870</v>
      </c>
      <c r="D314" s="1">
        <v>1</v>
      </c>
      <c r="E314" s="1">
        <v>41</v>
      </c>
      <c r="F314" s="1">
        <v>325</v>
      </c>
      <c r="G314" s="1">
        <v>326</v>
      </c>
      <c r="H314" s="8" cm="1">
        <f t="array" ref="H314">_xlfn.LET(_xlpm.s,IFERROR(--F314,""),_xlpm.e,IFERROR(--G314,""),IF(OR(_xlpm.s="",_xlpm.e="",_xlpm.e&lt;_xlpm.s),"",_xlfn.LET(_xlpm.p,_xlfn.SEQUENCE(_xlpm.e-_xlpm.s+1,1,_xlpm.s,1),SUM(1/COUNTIFS($D:$D,D314,$E:$E,E314,$F:$F,"&lt;&gt;N/A",$G:$G,"&lt;&gt;N/A",$F:$F,"&lt;="&amp;_xlpm.p,$G:$G,"&gt;="&amp;_xlpm.p)))))</f>
        <v>0.83333333333333326</v>
      </c>
      <c r="I314" t="s">
        <v>205</v>
      </c>
      <c r="J314" t="s">
        <v>2930</v>
      </c>
      <c r="K314" t="s">
        <v>7</v>
      </c>
      <c r="L314" s="5" t="s">
        <v>4798</v>
      </c>
      <c r="M314" t="s">
        <v>7344</v>
      </c>
      <c r="N314" t="s">
        <v>10435</v>
      </c>
      <c r="O314" t="s">
        <v>11522</v>
      </c>
      <c r="P314" t="s">
        <v>8021</v>
      </c>
      <c r="R314" t="b">
        <v>1</v>
      </c>
    </row>
    <row r="315" spans="1:18">
      <c r="A315" t="s">
        <v>3026</v>
      </c>
      <c r="B315" t="s">
        <v>7240</v>
      </c>
      <c r="C315" s="5" t="s">
        <v>7870</v>
      </c>
      <c r="D315" s="1">
        <v>1</v>
      </c>
      <c r="E315" s="1">
        <v>41</v>
      </c>
      <c r="F315" s="1">
        <v>326</v>
      </c>
      <c r="G315" s="1">
        <v>327</v>
      </c>
      <c r="H315" s="8" cm="1">
        <f t="array" ref="H315">_xlfn.LET(_xlpm.s,IFERROR(--F315,""),_xlpm.e,IFERROR(--G315,""),IF(OR(_xlpm.s="",_xlpm.e="",_xlpm.e&lt;_xlpm.s),"",_xlfn.LET(_xlpm.p,_xlfn.SEQUENCE(_xlpm.e-_xlpm.s+1,1,_xlpm.s,1),SUM(1/COUNTIFS($D:$D,D315,$E:$E,E315,$F:$F,"&lt;&gt;N/A",$G:$G,"&lt;&gt;N/A",$F:$F,"&lt;="&amp;_xlpm.p,$G:$G,"&gt;="&amp;_xlpm.p)))))</f>
        <v>1</v>
      </c>
      <c r="I315" t="s">
        <v>205</v>
      </c>
      <c r="J315" t="s">
        <v>2931</v>
      </c>
      <c r="K315" t="s">
        <v>7</v>
      </c>
      <c r="L315" s="5" t="s">
        <v>4798</v>
      </c>
      <c r="M315" t="s">
        <v>7344</v>
      </c>
      <c r="N315" t="s">
        <v>10436</v>
      </c>
      <c r="O315" t="s">
        <v>5072</v>
      </c>
      <c r="P315" t="s">
        <v>8021</v>
      </c>
      <c r="R315" t="b">
        <v>1</v>
      </c>
    </row>
    <row r="316" spans="1:18">
      <c r="A316" t="s">
        <v>3026</v>
      </c>
      <c r="B316" t="s">
        <v>7304</v>
      </c>
      <c r="C316" s="5" t="s">
        <v>7870</v>
      </c>
      <c r="D316" s="1">
        <v>1</v>
      </c>
      <c r="E316" s="1">
        <v>41</v>
      </c>
      <c r="F316" s="1">
        <v>327</v>
      </c>
      <c r="G316" s="1">
        <v>327</v>
      </c>
      <c r="H316" s="8" cm="1">
        <f t="array" ref="H316">_xlfn.LET(_xlpm.s,IFERROR(--F316,""),_xlpm.e,IFERROR(--G316,""),IF(OR(_xlpm.s="",_xlpm.e="",_xlpm.e&lt;_xlpm.s),"",_xlfn.LET(_xlpm.p,_xlfn.SEQUENCE(_xlpm.e-_xlpm.s+1,1,_xlpm.s,1),SUM(1/COUNTIFS($D:$D,D316,$E:$E,E316,$F:$F,"&lt;&gt;N/A",$G:$G,"&lt;&gt;N/A",$F:$F,"&lt;="&amp;_xlpm.p,$G:$G,"&gt;="&amp;_xlpm.p)))))</f>
        <v>0.5</v>
      </c>
      <c r="I316" t="s">
        <v>632</v>
      </c>
      <c r="J316" t="s">
        <v>2991</v>
      </c>
      <c r="K316" t="s">
        <v>7</v>
      </c>
      <c r="L316" s="5" t="s">
        <v>4799</v>
      </c>
      <c r="M316" t="s">
        <v>7</v>
      </c>
      <c r="N316" t="s">
        <v>7</v>
      </c>
      <c r="O316" t="s">
        <v>778</v>
      </c>
      <c r="P316" t="s">
        <v>7834</v>
      </c>
      <c r="R316" t="b">
        <v>1</v>
      </c>
    </row>
    <row r="317" spans="1:18">
      <c r="A317" t="s">
        <v>3026</v>
      </c>
      <c r="B317" t="s">
        <v>7305</v>
      </c>
      <c r="C317" s="5" t="s">
        <v>7870</v>
      </c>
      <c r="D317" s="1">
        <v>1</v>
      </c>
      <c r="E317" s="1">
        <v>41</v>
      </c>
      <c r="F317" s="1">
        <v>328</v>
      </c>
      <c r="G317" s="1">
        <v>328</v>
      </c>
      <c r="H317" s="8" cm="1">
        <f t="array" ref="H317">_xlfn.LET(_xlpm.s,IFERROR(--F317,""),_xlpm.e,IFERROR(--G317,""),IF(OR(_xlpm.s="",_xlpm.e="",_xlpm.e&lt;_xlpm.s),"",_xlfn.LET(_xlpm.p,_xlfn.SEQUENCE(_xlpm.e-_xlpm.s+1,1,_xlpm.s,1),SUM(1/COUNTIFS($D:$D,D317,$E:$E,E317,$F:$F,"&lt;&gt;N/A",$G:$G,"&lt;&gt;N/A",$F:$F,"&lt;="&amp;_xlpm.p,$G:$G,"&gt;="&amp;_xlpm.p)))))</f>
        <v>0.33333333333333331</v>
      </c>
      <c r="I317" t="s">
        <v>632</v>
      </c>
      <c r="J317" t="s">
        <v>2993</v>
      </c>
      <c r="K317" t="s">
        <v>7</v>
      </c>
      <c r="L317" s="5" t="s">
        <v>4800</v>
      </c>
      <c r="M317" t="s">
        <v>5032</v>
      </c>
      <c r="N317" t="s">
        <v>3242</v>
      </c>
      <c r="O317" t="s">
        <v>11522</v>
      </c>
      <c r="P317" t="s">
        <v>8020</v>
      </c>
      <c r="R317" t="b">
        <v>1</v>
      </c>
    </row>
    <row r="318" spans="1:18">
      <c r="A318" t="s">
        <v>3026</v>
      </c>
      <c r="B318" t="s">
        <v>7306</v>
      </c>
      <c r="C318" s="5" t="s">
        <v>7870</v>
      </c>
      <c r="D318" s="1">
        <v>1</v>
      </c>
      <c r="E318" s="1">
        <v>41</v>
      </c>
      <c r="F318" s="1">
        <v>328</v>
      </c>
      <c r="G318" s="1">
        <v>328</v>
      </c>
      <c r="H318" s="8" cm="1">
        <f t="array" ref="H318">_xlfn.LET(_xlpm.s,IFERROR(--F318,""),_xlpm.e,IFERROR(--G318,""),IF(OR(_xlpm.s="",_xlpm.e="",_xlpm.e&lt;_xlpm.s),"",_xlfn.LET(_xlpm.p,_xlfn.SEQUENCE(_xlpm.e-_xlpm.s+1,1,_xlpm.s,1),SUM(1/COUNTIFS($D:$D,D318,$E:$E,E318,$F:$F,"&lt;&gt;N/A",$G:$G,"&lt;&gt;N/A",$F:$F,"&lt;="&amp;_xlpm.p,$G:$G,"&gt;="&amp;_xlpm.p)))))</f>
        <v>0.33333333333333331</v>
      </c>
      <c r="I318" t="s">
        <v>632</v>
      </c>
      <c r="J318" t="s">
        <v>2992</v>
      </c>
      <c r="K318" t="s">
        <v>7</v>
      </c>
      <c r="L318" s="5" t="s">
        <v>7</v>
      </c>
      <c r="M318" s="5" t="s">
        <v>7</v>
      </c>
      <c r="N318" t="s">
        <v>7</v>
      </c>
      <c r="O318" t="s">
        <v>778</v>
      </c>
      <c r="P318" t="s">
        <v>7834</v>
      </c>
      <c r="R318" t="b">
        <v>1</v>
      </c>
    </row>
    <row r="319" spans="1:18">
      <c r="A319" t="s">
        <v>3026</v>
      </c>
      <c r="B319" t="s">
        <v>7307</v>
      </c>
      <c r="C319" s="5" t="s">
        <v>7870</v>
      </c>
      <c r="D319" s="1">
        <v>1</v>
      </c>
      <c r="E319" s="1">
        <v>41</v>
      </c>
      <c r="F319" s="1">
        <v>328</v>
      </c>
      <c r="G319" s="1">
        <v>328</v>
      </c>
      <c r="H319" s="8" cm="1">
        <f t="array" ref="H319">_xlfn.LET(_xlpm.s,IFERROR(--F319,""),_xlpm.e,IFERROR(--G319,""),IF(OR(_xlpm.s="",_xlpm.e="",_xlpm.e&lt;_xlpm.s),"",_xlfn.LET(_xlpm.p,_xlfn.SEQUENCE(_xlpm.e-_xlpm.s+1,1,_xlpm.s,1),SUM(1/COUNTIFS($D:$D,D319,$E:$E,E319,$F:$F,"&lt;&gt;N/A",$G:$G,"&lt;&gt;N/A",$F:$F,"&lt;="&amp;_xlpm.p,$G:$G,"&gt;="&amp;_xlpm.p)))))</f>
        <v>0.33333333333333331</v>
      </c>
      <c r="I319" t="s">
        <v>637</v>
      </c>
      <c r="J319" t="s">
        <v>772</v>
      </c>
      <c r="K319" t="s">
        <v>7</v>
      </c>
      <c r="L319" s="5" t="s">
        <v>7</v>
      </c>
      <c r="M319" s="5" t="s">
        <v>7</v>
      </c>
      <c r="N319" t="s">
        <v>7</v>
      </c>
      <c r="O319" t="s">
        <v>778</v>
      </c>
      <c r="P319" t="s">
        <v>7834</v>
      </c>
      <c r="R319" t="b">
        <v>1</v>
      </c>
    </row>
    <row r="320" spans="1:18">
      <c r="A320" t="s">
        <v>3026</v>
      </c>
      <c r="B320" t="s">
        <v>10702</v>
      </c>
      <c r="C320" s="5" t="s">
        <v>7871</v>
      </c>
      <c r="D320" s="1">
        <v>1</v>
      </c>
      <c r="E320" s="1">
        <v>42</v>
      </c>
      <c r="F320" s="1">
        <v>329</v>
      </c>
      <c r="G320" s="1">
        <v>331</v>
      </c>
      <c r="H320" s="8" cm="1">
        <f t="array" ref="H320">_xlfn.LET(_xlpm.s,IFERROR(--F320,""),_xlpm.e,IFERROR(--G320,""),IF(OR(_xlpm.s="",_xlpm.e="",_xlpm.e&lt;_xlpm.s),"",_xlfn.LET(_xlpm.p,_xlfn.SEQUENCE(_xlpm.e-_xlpm.s+1,1,_xlpm.s,1),SUM(1/COUNTIFS($D:$D,D320,$E:$E,E320,$F:$F,"&lt;&gt;N/A",$G:$G,"&lt;&gt;N/A",$F:$F,"&lt;="&amp;_xlpm.p,$G:$G,"&gt;="&amp;_xlpm.p)))))</f>
        <v>2.5</v>
      </c>
      <c r="I320" t="s">
        <v>713</v>
      </c>
      <c r="J320" t="s">
        <v>3240</v>
      </c>
      <c r="K320" t="s">
        <v>4801</v>
      </c>
      <c r="L320" s="5" t="s">
        <v>4802</v>
      </c>
      <c r="M320" t="s">
        <v>6428</v>
      </c>
      <c r="N320" t="s">
        <v>3241</v>
      </c>
      <c r="O320" t="s">
        <v>5072</v>
      </c>
      <c r="P320" t="s">
        <v>8021</v>
      </c>
      <c r="Q320" t="s">
        <v>2509</v>
      </c>
      <c r="R320" t="b">
        <v>1</v>
      </c>
    </row>
    <row r="321" spans="1:18">
      <c r="A321" t="s">
        <v>3026</v>
      </c>
      <c r="B321" t="s">
        <v>10703</v>
      </c>
      <c r="C321" s="5" t="s">
        <v>7871</v>
      </c>
      <c r="D321" s="1">
        <v>1</v>
      </c>
      <c r="E321" s="1">
        <v>42</v>
      </c>
      <c r="F321" s="1">
        <v>331</v>
      </c>
      <c r="G321" s="1">
        <v>332</v>
      </c>
      <c r="H321" s="8" cm="1">
        <f t="array" ref="H321">_xlfn.LET(_xlpm.s,IFERROR(--F321,""),_xlpm.e,IFERROR(--G321,""),IF(OR(_xlpm.s="",_xlpm.e="",_xlpm.e&lt;_xlpm.s),"",_xlfn.LET(_xlpm.p,_xlfn.SEQUENCE(_xlpm.e-_xlpm.s+1,1,_xlpm.s,1),SUM(1/COUNTIFS($D:$D,D321,$E:$E,E321,$F:$F,"&lt;&gt;N/A",$G:$G,"&lt;&gt;N/A",$F:$F,"&lt;="&amp;_xlpm.p,$G:$G,"&gt;="&amp;_xlpm.p)))))</f>
        <v>1</v>
      </c>
      <c r="I321" t="s">
        <v>632</v>
      </c>
      <c r="J321" t="s">
        <v>1187</v>
      </c>
      <c r="K321" t="s">
        <v>7</v>
      </c>
      <c r="L321" s="5" t="s">
        <v>4803</v>
      </c>
      <c r="M321" t="s">
        <v>7432</v>
      </c>
      <c r="N321" t="s">
        <v>7692</v>
      </c>
      <c r="O321" t="s">
        <v>11522</v>
      </c>
      <c r="P321" t="s">
        <v>8021</v>
      </c>
      <c r="R321" t="b">
        <v>1</v>
      </c>
    </row>
    <row r="322" spans="1:18">
      <c r="A322" t="s">
        <v>3026</v>
      </c>
      <c r="B322" t="s">
        <v>7308</v>
      </c>
      <c r="C322" s="5" t="s">
        <v>7871</v>
      </c>
      <c r="D322" s="1">
        <v>1</v>
      </c>
      <c r="E322" s="1">
        <v>42</v>
      </c>
      <c r="F322" s="1">
        <v>332</v>
      </c>
      <c r="G322" s="1">
        <v>332</v>
      </c>
      <c r="H322" s="8" cm="1">
        <f t="array" ref="H322">_xlfn.LET(_xlpm.s,IFERROR(--F322,""),_xlpm.e,IFERROR(--G322,""),IF(OR(_xlpm.s="",_xlpm.e="",_xlpm.e&lt;_xlpm.s),"",_xlfn.LET(_xlpm.p,_xlfn.SEQUENCE(_xlpm.e-_xlpm.s+1,1,_xlpm.s,1),SUM(1/COUNTIFS($D:$D,D322,$E:$E,E322,$F:$F,"&lt;&gt;N/A",$G:$G,"&lt;&gt;N/A",$F:$F,"&lt;="&amp;_xlpm.p,$G:$G,"&gt;="&amp;_xlpm.p)))))</f>
        <v>0.5</v>
      </c>
      <c r="I322" t="s">
        <v>632</v>
      </c>
      <c r="J322" t="s">
        <v>1188</v>
      </c>
      <c r="K322" t="s">
        <v>7</v>
      </c>
      <c r="L322" s="5" t="s">
        <v>4804</v>
      </c>
      <c r="M322" t="s">
        <v>6546</v>
      </c>
      <c r="N322" t="s">
        <v>6616</v>
      </c>
      <c r="O322" t="s">
        <v>5072</v>
      </c>
      <c r="P322" t="s">
        <v>8021</v>
      </c>
      <c r="R322" t="b">
        <v>1</v>
      </c>
    </row>
    <row r="323" spans="1:18">
      <c r="A323" t="s">
        <v>3026</v>
      </c>
      <c r="B323" t="s">
        <v>7309</v>
      </c>
      <c r="C323" s="5" t="s">
        <v>7871</v>
      </c>
      <c r="D323" s="1">
        <v>1</v>
      </c>
      <c r="E323" s="1">
        <v>42</v>
      </c>
      <c r="F323" s="1">
        <v>333</v>
      </c>
      <c r="G323" s="1">
        <v>336</v>
      </c>
      <c r="H323" s="8" cm="1">
        <f t="array" ref="H323">_xlfn.LET(_xlpm.s,IFERROR(--F323,""),_xlpm.e,IFERROR(--G323,""),IF(OR(_xlpm.s="",_xlpm.e="",_xlpm.e&lt;_xlpm.s),"",_xlfn.LET(_xlpm.p,_xlfn.SEQUENCE(_xlpm.e-_xlpm.s+1,1,_xlpm.s,1),SUM(1/COUNTIFS($D:$D,D323,$E:$E,E323,$F:$F,"&lt;&gt;N/A",$G:$G,"&lt;&gt;N/A",$F:$F,"&lt;="&amp;_xlpm.p,$G:$G,"&gt;="&amp;_xlpm.p)))))</f>
        <v>3.5</v>
      </c>
      <c r="I323" t="s">
        <v>183</v>
      </c>
      <c r="J323" t="s">
        <v>1191</v>
      </c>
      <c r="K323" t="s">
        <v>7</v>
      </c>
      <c r="L323" s="5" t="s">
        <v>7</v>
      </c>
      <c r="M323" s="5" t="s">
        <v>7</v>
      </c>
      <c r="N323" s="5" t="s">
        <v>7</v>
      </c>
      <c r="O323" t="s">
        <v>778</v>
      </c>
      <c r="P323" t="s">
        <v>7834</v>
      </c>
      <c r="R323" t="b">
        <v>1</v>
      </c>
    </row>
    <row r="324" spans="1:18">
      <c r="A324" t="s">
        <v>3026</v>
      </c>
      <c r="B324" t="s">
        <v>7310</v>
      </c>
      <c r="C324" s="5" t="s">
        <v>7871</v>
      </c>
      <c r="D324" s="1">
        <v>1</v>
      </c>
      <c r="E324" s="1">
        <v>42</v>
      </c>
      <c r="F324" s="1">
        <v>336</v>
      </c>
      <c r="G324" s="1">
        <v>336</v>
      </c>
      <c r="H324" s="8" cm="1">
        <f t="array" ref="H324">_xlfn.LET(_xlpm.s,IFERROR(--F324,""),_xlpm.e,IFERROR(--G324,""),IF(OR(_xlpm.s="",_xlpm.e="",_xlpm.e&lt;_xlpm.s),"",_xlfn.LET(_xlpm.p,_xlfn.SEQUENCE(_xlpm.e-_xlpm.s+1,1,_xlpm.s,1),SUM(1/COUNTIFS($D:$D,D324,$E:$E,E324,$F:$F,"&lt;&gt;N/A",$G:$G,"&lt;&gt;N/A",$F:$F,"&lt;="&amp;_xlpm.p,$G:$G,"&gt;="&amp;_xlpm.p)))))</f>
        <v>0.5</v>
      </c>
      <c r="I324" t="s">
        <v>637</v>
      </c>
      <c r="J324" t="s">
        <v>1192</v>
      </c>
      <c r="K324" t="s">
        <v>7</v>
      </c>
      <c r="L324" s="5" t="s">
        <v>7</v>
      </c>
      <c r="M324" s="5" t="s">
        <v>7</v>
      </c>
      <c r="N324" s="5" t="s">
        <v>7</v>
      </c>
      <c r="O324" t="s">
        <v>778</v>
      </c>
      <c r="P324" t="s">
        <v>7834</v>
      </c>
      <c r="R324" t="b">
        <v>1</v>
      </c>
    </row>
    <row r="325" spans="1:18">
      <c r="A325" t="s">
        <v>3026</v>
      </c>
      <c r="B325" t="s">
        <v>10704</v>
      </c>
      <c r="C325" s="5" t="s">
        <v>7875</v>
      </c>
      <c r="D325" s="1">
        <v>1</v>
      </c>
      <c r="E325" s="1">
        <v>43</v>
      </c>
      <c r="F325" s="1">
        <v>337</v>
      </c>
      <c r="G325" s="1">
        <v>339</v>
      </c>
      <c r="H325" s="8" cm="1">
        <f t="array" ref="H325">_xlfn.LET(_xlpm.s,IFERROR(--F325,""),_xlpm.e,IFERROR(--G325,""),IF(OR(_xlpm.s="",_xlpm.e="",_xlpm.e&lt;_xlpm.s),"",_xlfn.LET(_xlpm.p,_xlfn.SEQUENCE(_xlpm.e-_xlpm.s+1,1,_xlpm.s,1),SUM(1/COUNTIFS($D:$D,D325,$E:$E,E325,$F:$F,"&lt;&gt;N/A",$G:$G,"&lt;&gt;N/A",$F:$F,"&lt;="&amp;_xlpm.p,$G:$G,"&gt;="&amp;_xlpm.p)))))</f>
        <v>2.5</v>
      </c>
      <c r="I325" t="s">
        <v>632</v>
      </c>
      <c r="J325" t="s">
        <v>2947</v>
      </c>
      <c r="K325" t="s">
        <v>1499</v>
      </c>
      <c r="L325" s="5" t="s">
        <v>7</v>
      </c>
      <c r="M325" s="5" t="s">
        <v>7</v>
      </c>
      <c r="N325" s="5" t="s">
        <v>7</v>
      </c>
      <c r="O325" t="s">
        <v>778</v>
      </c>
      <c r="P325" t="s">
        <v>7834</v>
      </c>
      <c r="R325" t="b">
        <v>1</v>
      </c>
    </row>
    <row r="326" spans="1:18">
      <c r="A326" t="s">
        <v>3026</v>
      </c>
      <c r="B326" t="s">
        <v>10705</v>
      </c>
      <c r="C326" s="5" t="s">
        <v>7875</v>
      </c>
      <c r="D326" s="1">
        <v>1</v>
      </c>
      <c r="E326" s="1">
        <v>43</v>
      </c>
      <c r="F326" s="1">
        <v>339</v>
      </c>
      <c r="G326" s="1">
        <v>343</v>
      </c>
      <c r="H326" s="8" cm="1">
        <f t="array" ref="H326">_xlfn.LET(_xlpm.s,IFERROR(--F326,""),_xlpm.e,IFERROR(--G326,""),IF(OR(_xlpm.s="",_xlpm.e="",_xlpm.e&lt;_xlpm.s),"",_xlfn.LET(_xlpm.p,_xlfn.SEQUENCE(_xlpm.e-_xlpm.s+1,1,_xlpm.s,1),SUM(1/COUNTIFS($D:$D,D326,$E:$E,E326,$F:$F,"&lt;&gt;N/A",$G:$G,"&lt;&gt;N/A",$F:$F,"&lt;="&amp;_xlpm.p,$G:$G,"&gt;="&amp;_xlpm.p)))))</f>
        <v>4</v>
      </c>
      <c r="I326" t="s">
        <v>632</v>
      </c>
      <c r="J326" t="s">
        <v>4399</v>
      </c>
      <c r="K326" t="s">
        <v>1499</v>
      </c>
      <c r="L326" s="5" t="s">
        <v>7</v>
      </c>
      <c r="M326" s="5" t="s">
        <v>7</v>
      </c>
      <c r="N326" s="5" t="s">
        <v>7</v>
      </c>
      <c r="O326" t="s">
        <v>778</v>
      </c>
      <c r="P326" t="s">
        <v>7834</v>
      </c>
      <c r="R326" t="b">
        <v>1</v>
      </c>
    </row>
    <row r="327" spans="1:18">
      <c r="A327" t="s">
        <v>3026</v>
      </c>
      <c r="B327" t="s">
        <v>7311</v>
      </c>
      <c r="C327" s="5" t="s">
        <v>7875</v>
      </c>
      <c r="D327" s="1">
        <v>1</v>
      </c>
      <c r="E327" s="1">
        <v>43</v>
      </c>
      <c r="F327" s="1">
        <v>343</v>
      </c>
      <c r="G327" s="1">
        <v>344</v>
      </c>
      <c r="H327" s="8" cm="1">
        <f t="array" ref="H327">_xlfn.LET(_xlpm.s,IFERROR(--F327,""),_xlpm.e,IFERROR(--G327,""),IF(OR(_xlpm.s="",_xlpm.e="",_xlpm.e&lt;_xlpm.s),"",_xlfn.LET(_xlpm.p,_xlfn.SEQUENCE(_xlpm.e-_xlpm.s+1,1,_xlpm.s,1),SUM(1/COUNTIFS($D:$D,D327,$E:$E,E327,$F:$F,"&lt;&gt;N/A",$G:$G,"&lt;&gt;N/A",$F:$F,"&lt;="&amp;_xlpm.p,$G:$G,"&gt;="&amp;_xlpm.p)))))</f>
        <v>1</v>
      </c>
      <c r="I327" t="s">
        <v>183</v>
      </c>
      <c r="J327" t="s">
        <v>1189</v>
      </c>
      <c r="K327" t="s">
        <v>7</v>
      </c>
      <c r="L327" s="5" t="s">
        <v>7</v>
      </c>
      <c r="M327" s="5" t="s">
        <v>7</v>
      </c>
      <c r="N327" s="5" t="s">
        <v>7</v>
      </c>
      <c r="O327" t="s">
        <v>778</v>
      </c>
      <c r="P327" t="s">
        <v>7834</v>
      </c>
      <c r="R327" t="b">
        <v>1</v>
      </c>
    </row>
    <row r="328" spans="1:18">
      <c r="A328" t="s">
        <v>3026</v>
      </c>
      <c r="B328" t="s">
        <v>7312</v>
      </c>
      <c r="C328" s="5" t="s">
        <v>7875</v>
      </c>
      <c r="D328" s="1">
        <v>1</v>
      </c>
      <c r="E328" s="1">
        <v>43</v>
      </c>
      <c r="F328" s="1">
        <v>344</v>
      </c>
      <c r="G328" s="1">
        <v>344</v>
      </c>
      <c r="H328" s="8" cm="1">
        <f t="array" ref="H328">_xlfn.LET(_xlpm.s,IFERROR(--F328,""),_xlpm.e,IFERROR(--G328,""),IF(OR(_xlpm.s="",_xlpm.e="",_xlpm.e&lt;_xlpm.s),"",_xlfn.LET(_xlpm.p,_xlfn.SEQUENCE(_xlpm.e-_xlpm.s+1,1,_xlpm.s,1),SUM(1/COUNTIFS($D:$D,D328,$E:$E,E328,$F:$F,"&lt;&gt;N/A",$G:$G,"&lt;&gt;N/A",$F:$F,"&lt;="&amp;_xlpm.p,$G:$G,"&gt;="&amp;_xlpm.p)))))</f>
        <v>0.5</v>
      </c>
      <c r="I328" t="s">
        <v>637</v>
      </c>
      <c r="J328" t="s">
        <v>1190</v>
      </c>
      <c r="K328" t="s">
        <v>7</v>
      </c>
      <c r="L328" s="5" t="s">
        <v>7</v>
      </c>
      <c r="M328" s="5" t="s">
        <v>7</v>
      </c>
      <c r="N328" s="5" t="s">
        <v>7</v>
      </c>
      <c r="O328" t="s">
        <v>11522</v>
      </c>
      <c r="P328" t="s">
        <v>8021</v>
      </c>
      <c r="Q328" t="s">
        <v>2948</v>
      </c>
      <c r="R328" t="b">
        <v>1</v>
      </c>
    </row>
    <row r="329" spans="1:18">
      <c r="A329" t="s">
        <v>3026</v>
      </c>
      <c r="B329" t="s">
        <v>10706</v>
      </c>
      <c r="C329" s="5" t="s">
        <v>7872</v>
      </c>
      <c r="D329" s="1">
        <v>1</v>
      </c>
      <c r="E329" s="1">
        <v>44</v>
      </c>
      <c r="F329" s="1">
        <v>345</v>
      </c>
      <c r="G329" s="1">
        <v>351</v>
      </c>
      <c r="H329" s="8" cm="1">
        <f t="array" ref="H329">_xlfn.LET(_xlpm.s,IFERROR(--F329,""),_xlpm.e,IFERROR(--G329,""),IF(OR(_xlpm.s="",_xlpm.e="",_xlpm.e&lt;_xlpm.s),"",_xlfn.LET(_xlpm.p,_xlfn.SEQUENCE(_xlpm.e-_xlpm.s+1,1,_xlpm.s,1),SUM(1/COUNTIFS($D:$D,D329,$E:$E,E329,$F:$F,"&lt;&gt;N/A",$G:$G,"&lt;&gt;N/A",$F:$F,"&lt;="&amp;_xlpm.p,$G:$G,"&gt;="&amp;_xlpm.p)))))</f>
        <v>6.5</v>
      </c>
      <c r="I329" t="s">
        <v>713</v>
      </c>
      <c r="J329" t="s">
        <v>1193</v>
      </c>
      <c r="K329" t="s">
        <v>1194</v>
      </c>
      <c r="L329" s="5" t="s">
        <v>4805</v>
      </c>
      <c r="M329" t="s">
        <v>7</v>
      </c>
      <c r="N329" t="s">
        <v>7</v>
      </c>
      <c r="O329" t="s">
        <v>10264</v>
      </c>
      <c r="P329" t="s">
        <v>8020</v>
      </c>
      <c r="R329" t="b">
        <v>1</v>
      </c>
    </row>
    <row r="330" spans="1:18">
      <c r="A330" t="s">
        <v>3026</v>
      </c>
      <c r="B330" t="s">
        <v>10707</v>
      </c>
      <c r="C330" s="5" t="s">
        <v>7872</v>
      </c>
      <c r="D330" s="1">
        <v>1</v>
      </c>
      <c r="E330" s="1">
        <v>44</v>
      </c>
      <c r="F330" s="1">
        <v>351</v>
      </c>
      <c r="G330" s="1">
        <v>352</v>
      </c>
      <c r="H330" s="8" cm="1">
        <f t="array" ref="H330">_xlfn.LET(_xlpm.s,IFERROR(--F330,""),_xlpm.e,IFERROR(--G330,""),IF(OR(_xlpm.s="",_xlpm.e="",_xlpm.e&lt;_xlpm.s),"",_xlfn.LET(_xlpm.p,_xlfn.SEQUENCE(_xlpm.e-_xlpm.s+1,1,_xlpm.s,1),SUM(1/COUNTIFS($D:$D,D330,$E:$E,E330,$F:$F,"&lt;&gt;N/A",$G:$G,"&lt;&gt;N/A",$F:$F,"&lt;="&amp;_xlpm.p,$G:$G,"&gt;="&amp;_xlpm.p)))))</f>
        <v>0.83333333333333326</v>
      </c>
      <c r="I330" t="s">
        <v>632</v>
      </c>
      <c r="J330" t="s">
        <v>2933</v>
      </c>
      <c r="K330" t="s">
        <v>7</v>
      </c>
      <c r="L330" s="5" t="s">
        <v>7</v>
      </c>
      <c r="M330" s="5" t="s">
        <v>6428</v>
      </c>
      <c r="N330" s="5" t="s">
        <v>7428</v>
      </c>
      <c r="O330" t="s">
        <v>5072</v>
      </c>
      <c r="P330" t="s">
        <v>8021</v>
      </c>
      <c r="R330" t="b">
        <v>1</v>
      </c>
    </row>
    <row r="331" spans="1:18">
      <c r="A331" t="s">
        <v>3026</v>
      </c>
      <c r="B331" t="s">
        <v>7313</v>
      </c>
      <c r="C331" s="5" t="s">
        <v>7872</v>
      </c>
      <c r="D331" s="1">
        <v>1</v>
      </c>
      <c r="E331" s="1">
        <v>44</v>
      </c>
      <c r="F331" s="1">
        <v>352</v>
      </c>
      <c r="G331" s="1">
        <v>352</v>
      </c>
      <c r="H331" s="8" cm="1">
        <f t="array" ref="H331">_xlfn.LET(_xlpm.s,IFERROR(--F331,""),_xlpm.e,IFERROR(--G331,""),IF(OR(_xlpm.s="",_xlpm.e="",_xlpm.e&lt;_xlpm.s),"",_xlfn.LET(_xlpm.p,_xlfn.SEQUENCE(_xlpm.e-_xlpm.s+1,1,_xlpm.s,1),SUM(1/COUNTIFS($D:$D,D331,$E:$E,E331,$F:$F,"&lt;&gt;N/A",$G:$G,"&lt;&gt;N/A",$F:$F,"&lt;="&amp;_xlpm.p,$G:$G,"&gt;="&amp;_xlpm.p)))))</f>
        <v>0.33333333333333331</v>
      </c>
      <c r="I331" t="s">
        <v>632</v>
      </c>
      <c r="J331" t="s">
        <v>2934</v>
      </c>
      <c r="K331" t="s">
        <v>7</v>
      </c>
      <c r="L331" s="5" t="s">
        <v>7</v>
      </c>
      <c r="M331" s="5" t="s">
        <v>7</v>
      </c>
      <c r="N331" s="5" t="s">
        <v>7</v>
      </c>
      <c r="O331" s="5" t="s">
        <v>778</v>
      </c>
      <c r="P331" s="5" t="s">
        <v>7834</v>
      </c>
      <c r="R331" t="b">
        <v>1</v>
      </c>
    </row>
    <row r="332" spans="1:18">
      <c r="A332" t="s">
        <v>3026</v>
      </c>
      <c r="B332" t="s">
        <v>7314</v>
      </c>
      <c r="C332" s="5" t="s">
        <v>7872</v>
      </c>
      <c r="D332" s="1">
        <v>1</v>
      </c>
      <c r="E332" s="1">
        <v>44</v>
      </c>
      <c r="F332" s="1">
        <v>352</v>
      </c>
      <c r="G332" s="1">
        <v>352</v>
      </c>
      <c r="H332" s="8" cm="1">
        <f t="array" ref="H332">_xlfn.LET(_xlpm.s,IFERROR(--F332,""),_xlpm.e,IFERROR(--G332,""),IF(OR(_xlpm.s="",_xlpm.e="",_xlpm.e&lt;_xlpm.s),"",_xlfn.LET(_xlpm.p,_xlfn.SEQUENCE(_xlpm.e-_xlpm.s+1,1,_xlpm.s,1),SUM(1/COUNTIFS($D:$D,D332,$E:$E,E332,$F:$F,"&lt;&gt;N/A",$G:$G,"&lt;&gt;N/A",$F:$F,"&lt;="&amp;_xlpm.p,$G:$G,"&gt;="&amp;_xlpm.p)))))</f>
        <v>0.33333333333333331</v>
      </c>
      <c r="I332" t="s">
        <v>632</v>
      </c>
      <c r="J332" t="s">
        <v>2935</v>
      </c>
      <c r="K332" t="s">
        <v>7</v>
      </c>
      <c r="L332" s="5" t="s">
        <v>7</v>
      </c>
      <c r="M332" s="5" t="s">
        <v>7</v>
      </c>
      <c r="N332" s="5" t="s">
        <v>7</v>
      </c>
      <c r="O332" s="5" t="s">
        <v>778</v>
      </c>
      <c r="P332" s="5" t="s">
        <v>7834</v>
      </c>
      <c r="R332" t="b">
        <v>1</v>
      </c>
    </row>
    <row r="333" spans="1:18">
      <c r="A333" t="s">
        <v>3026</v>
      </c>
      <c r="B333" t="s">
        <v>10708</v>
      </c>
      <c r="C333" s="5" t="s">
        <v>7873</v>
      </c>
      <c r="D333" s="1">
        <v>1</v>
      </c>
      <c r="E333" s="1">
        <v>45</v>
      </c>
      <c r="F333" s="1">
        <v>353</v>
      </c>
      <c r="G333" s="1">
        <v>355</v>
      </c>
      <c r="H333" s="8" cm="1">
        <f t="array" ref="H333">_xlfn.LET(_xlpm.s,IFERROR(--F333,""),_xlpm.e,IFERROR(--G333,""),IF(OR(_xlpm.s="",_xlpm.e="",_xlpm.e&lt;_xlpm.s),"",_xlfn.LET(_xlpm.p,_xlfn.SEQUENCE(_xlpm.e-_xlpm.s+1,1,_xlpm.s,1),SUM(1/COUNTIFS($D:$D,D333,$E:$E,E333,$F:$F,"&lt;&gt;N/A",$G:$G,"&lt;&gt;N/A",$F:$F,"&lt;="&amp;_xlpm.p,$G:$G,"&gt;="&amp;_xlpm.p)))))</f>
        <v>2.5</v>
      </c>
      <c r="I333" t="s">
        <v>713</v>
      </c>
      <c r="J333" t="s">
        <v>1195</v>
      </c>
      <c r="K333" t="s">
        <v>4806</v>
      </c>
      <c r="L333" s="5" t="s">
        <v>7</v>
      </c>
      <c r="M333" t="s">
        <v>7</v>
      </c>
      <c r="N333" t="s">
        <v>6945</v>
      </c>
      <c r="O333" t="s">
        <v>10264</v>
      </c>
      <c r="P333" t="s">
        <v>8020</v>
      </c>
      <c r="R333" t="b">
        <v>1</v>
      </c>
    </row>
    <row r="334" spans="1:18">
      <c r="A334" t="s">
        <v>3026</v>
      </c>
      <c r="B334" t="s">
        <v>10709</v>
      </c>
      <c r="C334" s="5" t="s">
        <v>7873</v>
      </c>
      <c r="D334" s="1">
        <v>1</v>
      </c>
      <c r="E334" s="1">
        <v>45</v>
      </c>
      <c r="F334" s="1">
        <v>355</v>
      </c>
      <c r="G334" s="1">
        <v>358</v>
      </c>
      <c r="H334" s="8" cm="1">
        <f t="array" ref="H334">_xlfn.LET(_xlpm.s,IFERROR(--F334,""),_xlpm.e,IFERROR(--G334,""),IF(OR(_xlpm.s="",_xlpm.e="",_xlpm.e&lt;_xlpm.s),"",_xlfn.LET(_xlpm.p,_xlfn.SEQUENCE(_xlpm.e-_xlpm.s+1,1,_xlpm.s,1),SUM(1/COUNTIFS($D:$D,D334,$E:$E,E334,$F:$F,"&lt;&gt;N/A",$G:$G,"&lt;&gt;N/A",$F:$F,"&lt;="&amp;_xlpm.p,$G:$G,"&gt;="&amp;_xlpm.p)))))</f>
        <v>3</v>
      </c>
      <c r="I334" t="s">
        <v>713</v>
      </c>
      <c r="J334" t="s">
        <v>1196</v>
      </c>
      <c r="K334" t="s">
        <v>4807</v>
      </c>
      <c r="L334" s="5" t="s">
        <v>4808</v>
      </c>
      <c r="M334" t="s">
        <v>7270</v>
      </c>
      <c r="N334" t="s">
        <v>7429</v>
      </c>
      <c r="O334" t="s">
        <v>5072</v>
      </c>
      <c r="P334" t="s">
        <v>8021</v>
      </c>
      <c r="R334" t="b">
        <v>1</v>
      </c>
    </row>
    <row r="335" spans="1:18">
      <c r="A335" t="s">
        <v>3026</v>
      </c>
      <c r="B335" t="s">
        <v>7315</v>
      </c>
      <c r="C335" s="5" t="s">
        <v>7873</v>
      </c>
      <c r="D335" s="1">
        <v>1</v>
      </c>
      <c r="E335" s="1">
        <v>45</v>
      </c>
      <c r="F335" s="1">
        <v>358</v>
      </c>
      <c r="G335" s="1">
        <v>358</v>
      </c>
      <c r="H335" s="8" cm="1">
        <f t="array" ref="H335">_xlfn.LET(_xlpm.s,IFERROR(--F335,""),_xlpm.e,IFERROR(--G335,""),IF(OR(_xlpm.s="",_xlpm.e="",_xlpm.e&lt;_xlpm.s),"",_xlfn.LET(_xlpm.p,_xlfn.SEQUENCE(_xlpm.e-_xlpm.s+1,1,_xlpm.s,1),SUM(1/COUNTIFS($D:$D,D335,$E:$E,E335,$F:$F,"&lt;&gt;N/A",$G:$G,"&lt;&gt;N/A",$F:$F,"&lt;="&amp;_xlpm.p,$G:$G,"&gt;="&amp;_xlpm.p)))))</f>
        <v>0.5</v>
      </c>
      <c r="I335" t="s">
        <v>632</v>
      </c>
      <c r="J335" t="s">
        <v>1197</v>
      </c>
      <c r="K335" t="s">
        <v>7</v>
      </c>
      <c r="L335" s="5" t="s">
        <v>4809</v>
      </c>
      <c r="M335" t="s">
        <v>7</v>
      </c>
      <c r="N335" t="s">
        <v>7</v>
      </c>
      <c r="O335" t="s">
        <v>5072</v>
      </c>
      <c r="P335" t="s">
        <v>8092</v>
      </c>
      <c r="R335" t="b">
        <v>1</v>
      </c>
    </row>
    <row r="336" spans="1:18">
      <c r="A336" t="s">
        <v>3026</v>
      </c>
      <c r="B336" t="s">
        <v>7316</v>
      </c>
      <c r="C336" s="5" t="s">
        <v>7873</v>
      </c>
      <c r="D336" s="1">
        <v>1</v>
      </c>
      <c r="E336" s="1">
        <v>45</v>
      </c>
      <c r="F336" s="1">
        <v>359</v>
      </c>
      <c r="G336" s="1">
        <v>360</v>
      </c>
      <c r="H336" s="8" cm="1">
        <f t="array" ref="H336">_xlfn.LET(_xlpm.s,IFERROR(--F336,""),_xlpm.e,IFERROR(--G336,""),IF(OR(_xlpm.s="",_xlpm.e="",_xlpm.e&lt;_xlpm.s),"",_xlfn.LET(_xlpm.p,_xlfn.SEQUENCE(_xlpm.e-_xlpm.s+1,1,_xlpm.s,1),SUM(1/COUNTIFS($D:$D,D336,$E:$E,E336,$F:$F,"&lt;&gt;N/A",$G:$G,"&lt;&gt;N/A",$F:$F,"&lt;="&amp;_xlpm.p,$G:$G,"&gt;="&amp;_xlpm.p)))))</f>
        <v>1.5</v>
      </c>
      <c r="I336" t="s">
        <v>632</v>
      </c>
      <c r="J336" t="s">
        <v>1198</v>
      </c>
      <c r="K336" t="s">
        <v>7</v>
      </c>
      <c r="L336" s="5" t="s">
        <v>7</v>
      </c>
      <c r="M336" t="s">
        <v>7396</v>
      </c>
      <c r="N336" s="5" t="s">
        <v>7426</v>
      </c>
      <c r="O336" t="s">
        <v>10264</v>
      </c>
      <c r="P336" t="s">
        <v>8019</v>
      </c>
      <c r="R336" t="b">
        <v>1</v>
      </c>
    </row>
    <row r="337" spans="1:18">
      <c r="A337" t="s">
        <v>3026</v>
      </c>
      <c r="B337" t="s">
        <v>7317</v>
      </c>
      <c r="C337" s="5" t="s">
        <v>7873</v>
      </c>
      <c r="D337" s="1">
        <v>1</v>
      </c>
      <c r="E337" s="1">
        <v>45</v>
      </c>
      <c r="F337" s="1">
        <v>360</v>
      </c>
      <c r="G337" s="1">
        <v>360</v>
      </c>
      <c r="H337" s="8" cm="1">
        <f t="array" ref="H337">_xlfn.LET(_xlpm.s,IFERROR(--F337,""),_xlpm.e,IFERROR(--G337,""),IF(OR(_xlpm.s="",_xlpm.e="",_xlpm.e&lt;_xlpm.s),"",_xlfn.LET(_xlpm.p,_xlfn.SEQUENCE(_xlpm.e-_xlpm.s+1,1,_xlpm.s,1),SUM(1/COUNTIFS($D:$D,D337,$E:$E,E337,$F:$F,"&lt;&gt;N/A",$G:$G,"&lt;&gt;N/A",$F:$F,"&lt;="&amp;_xlpm.p,$G:$G,"&gt;="&amp;_xlpm.p)))))</f>
        <v>0.5</v>
      </c>
      <c r="I337" t="s">
        <v>632</v>
      </c>
      <c r="J337" t="s">
        <v>1199</v>
      </c>
      <c r="K337" t="s">
        <v>644</v>
      </c>
      <c r="L337" s="5" t="s">
        <v>7</v>
      </c>
      <c r="M337" s="5" t="s">
        <v>7</v>
      </c>
      <c r="N337" s="5" t="s">
        <v>7</v>
      </c>
      <c r="O337" t="s">
        <v>778</v>
      </c>
      <c r="P337" t="s">
        <v>7834</v>
      </c>
      <c r="R337" t="b">
        <v>1</v>
      </c>
    </row>
    <row r="338" spans="1:18">
      <c r="A338" t="s">
        <v>3026</v>
      </c>
      <c r="B338" t="s">
        <v>10710</v>
      </c>
      <c r="C338" s="5" t="s">
        <v>7874</v>
      </c>
      <c r="D338" s="1">
        <v>1</v>
      </c>
      <c r="E338" s="1">
        <v>46</v>
      </c>
      <c r="F338" s="1">
        <v>361</v>
      </c>
      <c r="G338" s="1">
        <v>365</v>
      </c>
      <c r="H338" s="8" cm="1">
        <f t="array" ref="H338">_xlfn.LET(_xlpm.s,IFERROR(--F338,""),_xlpm.e,IFERROR(--G338,""),IF(OR(_xlpm.s="",_xlpm.e="",_xlpm.e&lt;_xlpm.s),"",_xlfn.LET(_xlpm.p,_xlfn.SEQUENCE(_xlpm.e-_xlpm.s+1,1,_xlpm.s,1),SUM(1/COUNTIFS($D:$D,D338,$E:$E,E338,$F:$F,"&lt;&gt;N/A",$G:$G,"&lt;&gt;N/A",$F:$F,"&lt;="&amp;_xlpm.p,$G:$G,"&gt;="&amp;_xlpm.p)))))</f>
        <v>4.5</v>
      </c>
      <c r="I338" t="s">
        <v>713</v>
      </c>
      <c r="J338" t="s">
        <v>1200</v>
      </c>
      <c r="K338" t="s">
        <v>768</v>
      </c>
      <c r="L338" s="5" t="s">
        <v>4796</v>
      </c>
      <c r="M338" t="s">
        <v>7354</v>
      </c>
      <c r="N338" s="5" t="s">
        <v>7426</v>
      </c>
      <c r="O338" t="s">
        <v>10264</v>
      </c>
      <c r="P338" t="s">
        <v>8019</v>
      </c>
      <c r="R338" t="b">
        <v>1</v>
      </c>
    </row>
    <row r="339" spans="1:18">
      <c r="A339" t="s">
        <v>3026</v>
      </c>
      <c r="B339" t="s">
        <v>10711</v>
      </c>
      <c r="C339" s="5" t="s">
        <v>7874</v>
      </c>
      <c r="D339" s="1">
        <v>1</v>
      </c>
      <c r="E339" s="1">
        <v>46</v>
      </c>
      <c r="F339" s="1">
        <v>365</v>
      </c>
      <c r="G339" s="1">
        <v>366</v>
      </c>
      <c r="H339" s="8" cm="1">
        <f t="array" ref="H339">_xlfn.LET(_xlpm.s,IFERROR(--F339,""),_xlpm.e,IFERROR(--G339,""),IF(OR(_xlpm.s="",_xlpm.e="",_xlpm.e&lt;_xlpm.s),"",_xlfn.LET(_xlpm.p,_xlfn.SEQUENCE(_xlpm.e-_xlpm.s+1,1,_xlpm.s,1),SUM(1/COUNTIFS($D:$D,D339,$E:$E,E339,$F:$F,"&lt;&gt;N/A",$G:$G,"&lt;&gt;N/A",$F:$F,"&lt;="&amp;_xlpm.p,$G:$G,"&gt;="&amp;_xlpm.p)))))</f>
        <v>0.83333333333333326</v>
      </c>
      <c r="I339" t="s">
        <v>632</v>
      </c>
      <c r="J339" t="s">
        <v>2858</v>
      </c>
      <c r="K339" t="s">
        <v>7</v>
      </c>
      <c r="L339" s="5" t="s">
        <v>7</v>
      </c>
      <c r="M339" s="5" t="s">
        <v>7</v>
      </c>
      <c r="N339" s="5" t="s">
        <v>7</v>
      </c>
      <c r="O339" t="s">
        <v>778</v>
      </c>
      <c r="P339" t="s">
        <v>7834</v>
      </c>
      <c r="R339" t="b">
        <v>1</v>
      </c>
    </row>
    <row r="340" spans="1:18">
      <c r="A340" t="s">
        <v>3026</v>
      </c>
      <c r="B340" t="s">
        <v>3857</v>
      </c>
      <c r="C340" s="5" t="s">
        <v>7874</v>
      </c>
      <c r="D340" s="1">
        <v>1</v>
      </c>
      <c r="E340" s="1">
        <v>46</v>
      </c>
      <c r="F340" s="1">
        <v>366</v>
      </c>
      <c r="G340" s="1">
        <v>366</v>
      </c>
      <c r="H340" s="8" cm="1">
        <f t="array" ref="H340">_xlfn.LET(_xlpm.s,IFERROR(--F340,""),_xlpm.e,IFERROR(--G340,""),IF(OR(_xlpm.s="",_xlpm.e="",_xlpm.e&lt;_xlpm.s),"",_xlfn.LET(_xlpm.p,_xlfn.SEQUENCE(_xlpm.e-_xlpm.s+1,1,_xlpm.s,1),SUM(1/COUNTIFS($D:$D,D340,$E:$E,E340,$F:$F,"&lt;&gt;N/A",$G:$G,"&lt;&gt;N/A",$F:$F,"&lt;="&amp;_xlpm.p,$G:$G,"&gt;="&amp;_xlpm.p)))))</f>
        <v>0.33333333333333331</v>
      </c>
      <c r="I340" t="s">
        <v>632</v>
      </c>
      <c r="J340" t="s">
        <v>2859</v>
      </c>
      <c r="K340" t="s">
        <v>7</v>
      </c>
      <c r="L340" s="5" t="s">
        <v>7</v>
      </c>
      <c r="M340" s="5" t="s">
        <v>7</v>
      </c>
      <c r="N340" s="5" t="s">
        <v>7</v>
      </c>
      <c r="O340" t="s">
        <v>778</v>
      </c>
      <c r="P340" t="s">
        <v>7834</v>
      </c>
      <c r="R340" t="b">
        <v>1</v>
      </c>
    </row>
    <row r="341" spans="1:18">
      <c r="A341" t="s">
        <v>3026</v>
      </c>
      <c r="B341" t="s">
        <v>3858</v>
      </c>
      <c r="C341" s="5" t="s">
        <v>7874</v>
      </c>
      <c r="D341" s="1">
        <v>1</v>
      </c>
      <c r="E341" s="1">
        <v>46</v>
      </c>
      <c r="F341" s="1">
        <v>366</v>
      </c>
      <c r="G341" s="1">
        <v>367</v>
      </c>
      <c r="H341" s="8" cm="1">
        <f t="array" ref="H341">_xlfn.LET(_xlpm.s,IFERROR(--F341,""),_xlpm.e,IFERROR(--G341,""),IF(OR(_xlpm.s="",_xlpm.e="",_xlpm.e&lt;_xlpm.s),"",_xlfn.LET(_xlpm.p,_xlfn.SEQUENCE(_xlpm.e-_xlpm.s+1,1,_xlpm.s,1),SUM(1/COUNTIFS($D:$D,D341,$E:$E,E341,$F:$F,"&lt;&gt;N/A",$G:$G,"&lt;&gt;N/A",$F:$F,"&lt;="&amp;_xlpm.p,$G:$G,"&gt;="&amp;_xlpm.p)))))</f>
        <v>0.5</v>
      </c>
      <c r="I341" t="s">
        <v>632</v>
      </c>
      <c r="J341" t="s">
        <v>3229</v>
      </c>
      <c r="K341" t="s">
        <v>7</v>
      </c>
      <c r="L341" s="5" t="s">
        <v>4810</v>
      </c>
      <c r="M341" t="s">
        <v>7</v>
      </c>
      <c r="N341" s="5" t="s">
        <v>7</v>
      </c>
      <c r="O341" t="s">
        <v>11522</v>
      </c>
      <c r="P341" t="s">
        <v>8021</v>
      </c>
      <c r="R341" t="b">
        <v>1</v>
      </c>
    </row>
    <row r="342" spans="1:18">
      <c r="A342" t="s">
        <v>3026</v>
      </c>
      <c r="B342" t="s">
        <v>3859</v>
      </c>
      <c r="C342" s="5" t="s">
        <v>7874</v>
      </c>
      <c r="D342" s="1">
        <v>1</v>
      </c>
      <c r="E342" s="1">
        <v>46</v>
      </c>
      <c r="F342" s="1">
        <v>367</v>
      </c>
      <c r="G342" s="1">
        <v>367</v>
      </c>
      <c r="H342" s="8" cm="1">
        <f t="array" ref="H342">_xlfn.LET(_xlpm.s,IFERROR(--F342,""),_xlpm.e,IFERROR(--G342,""),IF(OR(_xlpm.s="",_xlpm.e="",_xlpm.e&lt;_xlpm.s),"",_xlfn.LET(_xlpm.p,_xlfn.SEQUENCE(_xlpm.e-_xlpm.s+1,1,_xlpm.s,1),SUM(1/COUNTIFS($D:$D,D342,$E:$E,E342,$F:$F,"&lt;&gt;N/A",$G:$G,"&lt;&gt;N/A",$F:$F,"&lt;="&amp;_xlpm.p,$G:$G,"&gt;="&amp;_xlpm.p)))))</f>
        <v>0.16666666666666666</v>
      </c>
      <c r="I342" t="s">
        <v>632</v>
      </c>
      <c r="J342" t="s">
        <v>3228</v>
      </c>
      <c r="K342" t="s">
        <v>7</v>
      </c>
      <c r="L342" s="5" t="s">
        <v>4810</v>
      </c>
      <c r="M342" t="s">
        <v>7</v>
      </c>
      <c r="N342" s="5" t="s">
        <v>7</v>
      </c>
      <c r="O342" t="s">
        <v>11522</v>
      </c>
      <c r="P342" t="s">
        <v>8021</v>
      </c>
      <c r="R342" t="b">
        <v>1</v>
      </c>
    </row>
    <row r="343" spans="1:18">
      <c r="A343" t="s">
        <v>3026</v>
      </c>
      <c r="B343" t="s">
        <v>7220</v>
      </c>
      <c r="C343" s="5" t="s">
        <v>7874</v>
      </c>
      <c r="D343" s="1">
        <v>1</v>
      </c>
      <c r="E343" s="1">
        <v>46</v>
      </c>
      <c r="F343" s="1">
        <v>367</v>
      </c>
      <c r="G343" s="1">
        <v>367</v>
      </c>
      <c r="H343" s="8" cm="1">
        <f t="array" ref="H343">_xlfn.LET(_xlpm.s,IFERROR(--F343,""),_xlpm.e,IFERROR(--G343,""),IF(OR(_xlpm.s="",_xlpm.e="",_xlpm.e&lt;_xlpm.s),"",_xlfn.LET(_xlpm.p,_xlfn.SEQUENCE(_xlpm.e-_xlpm.s+1,1,_xlpm.s,1),SUM(1/COUNTIFS($D:$D,D343,$E:$E,E343,$F:$F,"&lt;&gt;N/A",$G:$G,"&lt;&gt;N/A",$F:$F,"&lt;="&amp;_xlpm.p,$G:$G,"&gt;="&amp;_xlpm.p)))))</f>
        <v>0.16666666666666666</v>
      </c>
      <c r="I343" t="s">
        <v>632</v>
      </c>
      <c r="J343" t="s">
        <v>2860</v>
      </c>
      <c r="K343" t="s">
        <v>7</v>
      </c>
      <c r="L343" s="5" t="s">
        <v>4810</v>
      </c>
      <c r="M343" t="s">
        <v>7</v>
      </c>
      <c r="N343" t="s">
        <v>7</v>
      </c>
      <c r="O343" t="s">
        <v>11522</v>
      </c>
      <c r="P343" t="s">
        <v>8021</v>
      </c>
      <c r="R343" t="b">
        <v>1</v>
      </c>
    </row>
    <row r="344" spans="1:18">
      <c r="A344" t="s">
        <v>3026</v>
      </c>
      <c r="B344" t="s">
        <v>7241</v>
      </c>
      <c r="C344" s="5" t="s">
        <v>7874</v>
      </c>
      <c r="D344" s="1">
        <v>1</v>
      </c>
      <c r="E344" s="1">
        <v>46</v>
      </c>
      <c r="F344" s="1">
        <v>367</v>
      </c>
      <c r="G344" s="1">
        <v>367</v>
      </c>
      <c r="H344" s="8" cm="1">
        <f t="array" ref="H344">_xlfn.LET(_xlpm.s,IFERROR(--F344,""),_xlpm.e,IFERROR(--G344,""),IF(OR(_xlpm.s="",_xlpm.e="",_xlpm.e&lt;_xlpm.s),"",_xlfn.LET(_xlpm.p,_xlfn.SEQUENCE(_xlpm.e-_xlpm.s+1,1,_xlpm.s,1),SUM(1/COUNTIFS($D:$D,D344,$E:$E,E344,$F:$F,"&lt;&gt;N/A",$G:$G,"&lt;&gt;N/A",$F:$F,"&lt;="&amp;_xlpm.p,$G:$G,"&gt;="&amp;_xlpm.p)))))</f>
        <v>0.16666666666666666</v>
      </c>
      <c r="I344" t="s">
        <v>632</v>
      </c>
      <c r="J344" t="s">
        <v>2861</v>
      </c>
      <c r="K344" t="s">
        <v>7</v>
      </c>
      <c r="L344" s="5" t="s">
        <v>4810</v>
      </c>
      <c r="M344" t="s">
        <v>7</v>
      </c>
      <c r="N344" t="s">
        <v>7</v>
      </c>
      <c r="O344" t="s">
        <v>11522</v>
      </c>
      <c r="P344" t="s">
        <v>8021</v>
      </c>
      <c r="R344" t="b">
        <v>1</v>
      </c>
    </row>
    <row r="345" spans="1:18">
      <c r="A345" t="s">
        <v>3026</v>
      </c>
      <c r="B345" t="s">
        <v>7318</v>
      </c>
      <c r="C345" s="5" t="s">
        <v>7874</v>
      </c>
      <c r="D345" s="1">
        <v>1</v>
      </c>
      <c r="E345" s="1">
        <v>46</v>
      </c>
      <c r="F345" s="1">
        <v>367</v>
      </c>
      <c r="G345" s="1">
        <v>367</v>
      </c>
      <c r="H345" s="8" cm="1">
        <f t="array" ref="H345">_xlfn.LET(_xlpm.s,IFERROR(--F345,""),_xlpm.e,IFERROR(--G345,""),IF(OR(_xlpm.s="",_xlpm.e="",_xlpm.e&lt;_xlpm.s),"",_xlfn.LET(_xlpm.p,_xlfn.SEQUENCE(_xlpm.e-_xlpm.s+1,1,_xlpm.s,1),SUM(1/COUNTIFS($D:$D,D345,$E:$E,E345,$F:$F,"&lt;&gt;N/A",$G:$G,"&lt;&gt;N/A",$F:$F,"&lt;="&amp;_xlpm.p,$G:$G,"&gt;="&amp;_xlpm.p)))))</f>
        <v>0.16666666666666666</v>
      </c>
      <c r="I345" t="s">
        <v>632</v>
      </c>
      <c r="J345" t="s">
        <v>7342</v>
      </c>
      <c r="K345" t="s">
        <v>7</v>
      </c>
      <c r="L345" s="5" t="s">
        <v>4810</v>
      </c>
      <c r="M345" t="s">
        <v>7</v>
      </c>
      <c r="N345" s="5" t="s">
        <v>7</v>
      </c>
      <c r="O345" t="s">
        <v>11522</v>
      </c>
      <c r="P345" t="s">
        <v>8021</v>
      </c>
      <c r="R345" t="b">
        <v>1</v>
      </c>
    </row>
    <row r="346" spans="1:18">
      <c r="A346" t="s">
        <v>3026</v>
      </c>
      <c r="B346" t="s">
        <v>7319</v>
      </c>
      <c r="C346" s="5" t="s">
        <v>7874</v>
      </c>
      <c r="D346" s="1">
        <v>1</v>
      </c>
      <c r="E346" s="1">
        <v>46</v>
      </c>
      <c r="F346" s="1">
        <v>367</v>
      </c>
      <c r="G346" s="1">
        <v>368</v>
      </c>
      <c r="H346" s="8" cm="1">
        <f t="array" ref="H346">_xlfn.LET(_xlpm.s,IFERROR(--F346,""),_xlpm.e,IFERROR(--G346,""),IF(OR(_xlpm.s="",_xlpm.e="",_xlpm.e&lt;_xlpm.s),"",_xlfn.LET(_xlpm.p,_xlfn.SEQUENCE(_xlpm.e-_xlpm.s+1,1,_xlpm.s,1),SUM(1/COUNTIFS($D:$D,D346,$E:$E,E346,$F:$F,"&lt;&gt;N/A",$G:$G,"&lt;&gt;N/A",$F:$F,"&lt;="&amp;_xlpm.p,$G:$G,"&gt;="&amp;_xlpm.p)))))</f>
        <v>0.5</v>
      </c>
      <c r="I346" t="s">
        <v>632</v>
      </c>
      <c r="J346" t="s">
        <v>2978</v>
      </c>
      <c r="K346" t="s">
        <v>7</v>
      </c>
      <c r="L346" s="5" t="s">
        <v>7</v>
      </c>
      <c r="M346" t="s">
        <v>6423</v>
      </c>
      <c r="N346" s="5" t="s">
        <v>11519</v>
      </c>
      <c r="O346" t="s">
        <v>11522</v>
      </c>
      <c r="P346" t="s">
        <v>8021</v>
      </c>
      <c r="R346" t="b">
        <v>1</v>
      </c>
    </row>
    <row r="347" spans="1:18">
      <c r="A347" t="s">
        <v>3026</v>
      </c>
      <c r="B347" t="s">
        <v>7320</v>
      </c>
      <c r="C347" s="5" t="s">
        <v>7874</v>
      </c>
      <c r="D347" s="1">
        <v>1</v>
      </c>
      <c r="E347" s="1">
        <v>46</v>
      </c>
      <c r="F347" s="1">
        <v>368</v>
      </c>
      <c r="G347" s="1">
        <v>368</v>
      </c>
      <c r="H347" s="8" cm="1">
        <f t="array" ref="H347">_xlfn.LET(_xlpm.s,IFERROR(--F347,""),_xlpm.e,IFERROR(--G347,""),IF(OR(_xlpm.s="",_xlpm.e="",_xlpm.e&lt;_xlpm.s),"",_xlfn.LET(_xlpm.p,_xlfn.SEQUENCE(_xlpm.e-_xlpm.s+1,1,_xlpm.s,1),SUM(1/COUNTIFS($D:$D,D347,$E:$E,E347,$F:$F,"&lt;&gt;N/A",$G:$G,"&lt;&gt;N/A",$F:$F,"&lt;="&amp;_xlpm.p,$G:$G,"&gt;="&amp;_xlpm.p)))))</f>
        <v>0.33333333333333331</v>
      </c>
      <c r="I347" t="s">
        <v>632</v>
      </c>
      <c r="J347" t="s">
        <v>7427</v>
      </c>
      <c r="K347" t="s">
        <v>7</v>
      </c>
      <c r="L347" s="5" t="s">
        <v>7</v>
      </c>
      <c r="M347" t="s">
        <v>6423</v>
      </c>
      <c r="N347" t="s">
        <v>11520</v>
      </c>
      <c r="O347" t="s">
        <v>11522</v>
      </c>
      <c r="P347" t="s">
        <v>8021</v>
      </c>
      <c r="R347" t="b">
        <v>1</v>
      </c>
    </row>
    <row r="348" spans="1:18">
      <c r="A348" t="s">
        <v>3026</v>
      </c>
      <c r="B348" t="s">
        <v>7321</v>
      </c>
      <c r="C348" s="5" t="s">
        <v>7874</v>
      </c>
      <c r="D348" s="1">
        <v>1</v>
      </c>
      <c r="E348" s="1">
        <v>46</v>
      </c>
      <c r="F348" s="1">
        <v>368</v>
      </c>
      <c r="G348" s="1">
        <v>368</v>
      </c>
      <c r="H348" s="8" cm="1">
        <f t="array" ref="H348">_xlfn.LET(_xlpm.s,IFERROR(--F348,""),_xlpm.e,IFERROR(--G348,""),IF(OR(_xlpm.s="",_xlpm.e="",_xlpm.e&lt;_xlpm.s),"",_xlfn.LET(_xlpm.p,_xlfn.SEQUENCE(_xlpm.e-_xlpm.s+1,1,_xlpm.s,1),SUM(1/COUNTIFS($D:$D,D348,$E:$E,E348,$F:$F,"&lt;&gt;N/A",$G:$G,"&lt;&gt;N/A",$F:$F,"&lt;="&amp;_xlpm.p,$G:$G,"&gt;="&amp;_xlpm.p)))))</f>
        <v>0.33333333333333331</v>
      </c>
      <c r="I348" t="s">
        <v>632</v>
      </c>
      <c r="J348" t="s">
        <v>2977</v>
      </c>
      <c r="K348" t="s">
        <v>7</v>
      </c>
      <c r="L348" s="5" t="s">
        <v>4811</v>
      </c>
      <c r="M348" s="5" t="s">
        <v>6428</v>
      </c>
      <c r="N348" t="s">
        <v>3230</v>
      </c>
      <c r="O348" t="s">
        <v>5072</v>
      </c>
      <c r="P348" t="s">
        <v>8021</v>
      </c>
      <c r="R348" t="b">
        <v>1</v>
      </c>
    </row>
    <row r="349" spans="1:18">
      <c r="A349" t="s">
        <v>3026</v>
      </c>
      <c r="B349" t="s">
        <v>10712</v>
      </c>
      <c r="C349" s="5" t="s">
        <v>7876</v>
      </c>
      <c r="D349" s="1">
        <v>1</v>
      </c>
      <c r="E349" s="1">
        <v>47</v>
      </c>
      <c r="F349" s="1">
        <v>369</v>
      </c>
      <c r="G349" s="1">
        <v>373</v>
      </c>
      <c r="H349" s="8" cm="1">
        <f t="array" ref="H349">_xlfn.LET(_xlpm.s,IFERROR(--F349,""),_xlpm.e,IFERROR(--G349,""),IF(OR(_xlpm.s="",_xlpm.e="",_xlpm.e&lt;_xlpm.s),"",_xlfn.LET(_xlpm.p,_xlfn.SEQUENCE(_xlpm.e-_xlpm.s+1,1,_xlpm.s,1),SUM(1/COUNTIFS($D:$D,D349,$E:$E,E349,$F:$F,"&lt;&gt;N/A",$G:$G,"&lt;&gt;N/A",$F:$F,"&lt;="&amp;_xlpm.p,$G:$G,"&gt;="&amp;_xlpm.p)))))</f>
        <v>4.5</v>
      </c>
      <c r="I349" t="s">
        <v>687</v>
      </c>
      <c r="J349" t="s">
        <v>3137</v>
      </c>
      <c r="K349" t="s">
        <v>4812</v>
      </c>
      <c r="L349" s="5" t="s">
        <v>7</v>
      </c>
      <c r="M349" t="s">
        <v>7</v>
      </c>
      <c r="N349" t="s">
        <v>7</v>
      </c>
      <c r="O349" t="s">
        <v>778</v>
      </c>
      <c r="P349" t="s">
        <v>7834</v>
      </c>
      <c r="Q349" t="s">
        <v>2941</v>
      </c>
      <c r="R349" t="b">
        <v>1</v>
      </c>
    </row>
    <row r="350" spans="1:18">
      <c r="A350" t="s">
        <v>3026</v>
      </c>
      <c r="B350" t="s">
        <v>10713</v>
      </c>
      <c r="C350" s="5" t="s">
        <v>7876</v>
      </c>
      <c r="D350" s="1">
        <v>1</v>
      </c>
      <c r="E350" s="1">
        <v>47</v>
      </c>
      <c r="F350" s="1">
        <v>373</v>
      </c>
      <c r="G350" s="1">
        <v>373</v>
      </c>
      <c r="H350" s="8" cm="1">
        <f t="array" ref="H350">_xlfn.LET(_xlpm.s,IFERROR(--F350,""),_xlpm.e,IFERROR(--G350,""),IF(OR(_xlpm.s="",_xlpm.e="",_xlpm.e&lt;_xlpm.s),"",_xlfn.LET(_xlpm.p,_xlfn.SEQUENCE(_xlpm.e-_xlpm.s+1,1,_xlpm.s,1),SUM(1/COUNTIFS($D:$D,D350,$E:$E,E350,$F:$F,"&lt;&gt;N/A",$G:$G,"&lt;&gt;N/A",$F:$F,"&lt;="&amp;_xlpm.p,$G:$G,"&gt;="&amp;_xlpm.p)))))</f>
        <v>0.5</v>
      </c>
      <c r="I350" t="s">
        <v>632</v>
      </c>
      <c r="J350" t="s">
        <v>2944</v>
      </c>
      <c r="K350" t="s">
        <v>7</v>
      </c>
      <c r="L350" s="5" t="s">
        <v>7</v>
      </c>
      <c r="M350" s="5" t="s">
        <v>6942</v>
      </c>
      <c r="N350" t="s">
        <v>2943</v>
      </c>
      <c r="O350" t="s">
        <v>5072</v>
      </c>
      <c r="P350" t="s">
        <v>8021</v>
      </c>
      <c r="R350" t="b">
        <v>1</v>
      </c>
    </row>
    <row r="351" spans="1:18">
      <c r="A351" t="s">
        <v>3026</v>
      </c>
      <c r="B351" t="s">
        <v>7322</v>
      </c>
      <c r="C351" s="5" t="s">
        <v>7876</v>
      </c>
      <c r="D351" s="1">
        <v>1</v>
      </c>
      <c r="E351" s="1">
        <v>47</v>
      </c>
      <c r="F351" s="1">
        <v>374</v>
      </c>
      <c r="G351" s="1">
        <v>374</v>
      </c>
      <c r="H351" s="8" cm="1">
        <f t="array" ref="H351">_xlfn.LET(_xlpm.s,IFERROR(--F351,""),_xlpm.e,IFERROR(--G351,""),IF(OR(_xlpm.s="",_xlpm.e="",_xlpm.e&lt;_xlpm.s),"",_xlfn.LET(_xlpm.p,_xlfn.SEQUENCE(_xlpm.e-_xlpm.s+1,1,_xlpm.s,1),SUM(1/COUNTIFS($D:$D,D351,$E:$E,E351,$F:$F,"&lt;&gt;N/A",$G:$G,"&lt;&gt;N/A",$F:$F,"&lt;="&amp;_xlpm.p,$G:$G,"&gt;="&amp;_xlpm.p)))))</f>
        <v>0.5</v>
      </c>
      <c r="I351" t="s">
        <v>632</v>
      </c>
      <c r="J351" t="s">
        <v>2946</v>
      </c>
      <c r="K351" t="s">
        <v>7</v>
      </c>
      <c r="L351" s="5" t="s">
        <v>7</v>
      </c>
      <c r="M351" s="5" t="s">
        <v>7</v>
      </c>
      <c r="N351" s="5" t="s">
        <v>7</v>
      </c>
      <c r="O351" t="s">
        <v>778</v>
      </c>
      <c r="P351" t="s">
        <v>7834</v>
      </c>
      <c r="R351" t="b">
        <v>1</v>
      </c>
    </row>
    <row r="352" spans="1:18">
      <c r="A352" t="s">
        <v>3026</v>
      </c>
      <c r="B352" t="s">
        <v>7323</v>
      </c>
      <c r="C352" s="5" t="s">
        <v>7876</v>
      </c>
      <c r="D352" s="1">
        <v>1</v>
      </c>
      <c r="E352" s="1">
        <v>47</v>
      </c>
      <c r="F352" s="1">
        <v>374</v>
      </c>
      <c r="G352" s="1">
        <v>374</v>
      </c>
      <c r="H352" s="8" cm="1">
        <f t="array" ref="H352">_xlfn.LET(_xlpm.s,IFERROR(--F352,""),_xlpm.e,IFERROR(--G352,""),IF(OR(_xlpm.s="",_xlpm.e="",_xlpm.e&lt;_xlpm.s),"",_xlfn.LET(_xlpm.p,_xlfn.SEQUENCE(_xlpm.e-_xlpm.s+1,1,_xlpm.s,1),SUM(1/COUNTIFS($D:$D,D352,$E:$E,E352,$F:$F,"&lt;&gt;N/A",$G:$G,"&lt;&gt;N/A",$F:$F,"&lt;="&amp;_xlpm.p,$G:$G,"&gt;="&amp;_xlpm.p)))))</f>
        <v>0.5</v>
      </c>
      <c r="I352" t="s">
        <v>632</v>
      </c>
      <c r="J352" t="s">
        <v>2942</v>
      </c>
      <c r="K352" t="s">
        <v>7</v>
      </c>
      <c r="L352" s="5" t="s">
        <v>4810</v>
      </c>
      <c r="M352" t="s">
        <v>7</v>
      </c>
      <c r="N352" t="s">
        <v>7</v>
      </c>
      <c r="O352" t="s">
        <v>5072</v>
      </c>
      <c r="P352" t="s">
        <v>8021</v>
      </c>
      <c r="Q352" t="s">
        <v>2509</v>
      </c>
      <c r="R352" t="b">
        <v>1</v>
      </c>
    </row>
    <row r="353" spans="1:18">
      <c r="A353" t="s">
        <v>3026</v>
      </c>
      <c r="B353" t="s">
        <v>7324</v>
      </c>
      <c r="C353" s="5" t="s">
        <v>7876</v>
      </c>
      <c r="D353" s="1">
        <v>1</v>
      </c>
      <c r="E353" s="1">
        <v>47</v>
      </c>
      <c r="F353" s="1">
        <v>375</v>
      </c>
      <c r="G353" s="1">
        <v>375</v>
      </c>
      <c r="H353" s="8" cm="1">
        <f t="array" ref="H353">_xlfn.LET(_xlpm.s,IFERROR(--F353,""),_xlpm.e,IFERROR(--G353,""),IF(OR(_xlpm.s="",_xlpm.e="",_xlpm.e&lt;_xlpm.s),"",_xlfn.LET(_xlpm.p,_xlfn.SEQUENCE(_xlpm.e-_xlpm.s+1,1,_xlpm.s,1),SUM(1/COUNTIFS($D:$D,D353,$E:$E,E353,$F:$F,"&lt;&gt;N/A",$G:$G,"&lt;&gt;N/A",$F:$F,"&lt;="&amp;_xlpm.p,$G:$G,"&gt;="&amp;_xlpm.p)))))</f>
        <v>0.5</v>
      </c>
      <c r="I353" t="s">
        <v>632</v>
      </c>
      <c r="J353" t="s">
        <v>2945</v>
      </c>
      <c r="K353" t="s">
        <v>7</v>
      </c>
      <c r="L353" s="5" t="s">
        <v>7</v>
      </c>
      <c r="M353" s="5" t="s">
        <v>7</v>
      </c>
      <c r="N353" s="5" t="s">
        <v>7</v>
      </c>
      <c r="O353" t="s">
        <v>778</v>
      </c>
      <c r="P353" t="s">
        <v>7834</v>
      </c>
      <c r="R353" t="b">
        <v>1</v>
      </c>
    </row>
    <row r="354" spans="1:18">
      <c r="A354" t="s">
        <v>3026</v>
      </c>
      <c r="B354" t="s">
        <v>7325</v>
      </c>
      <c r="C354" s="5" t="s">
        <v>7876</v>
      </c>
      <c r="D354" s="1">
        <v>1</v>
      </c>
      <c r="E354" s="1">
        <v>47</v>
      </c>
      <c r="F354" s="1">
        <v>375</v>
      </c>
      <c r="G354" s="1">
        <v>376</v>
      </c>
      <c r="H354" s="8" cm="1">
        <f t="array" ref="H354">_xlfn.LET(_xlpm.s,IFERROR(--F354,""),_xlpm.e,IFERROR(--G354,""),IF(OR(_xlpm.s="",_xlpm.e="",_xlpm.e&lt;_xlpm.s),"",_xlfn.LET(_xlpm.p,_xlfn.SEQUENCE(_xlpm.e-_xlpm.s+1,1,_xlpm.s,1),SUM(1/COUNTIFS($D:$D,D354,$E:$E,E354,$F:$F,"&lt;&gt;N/A",$G:$G,"&lt;&gt;N/A",$F:$F,"&lt;="&amp;_xlpm.p,$G:$G,"&gt;="&amp;_xlpm.p)))))</f>
        <v>1.5</v>
      </c>
      <c r="I354" t="s">
        <v>632</v>
      </c>
      <c r="J354" t="s">
        <v>1201</v>
      </c>
      <c r="K354" t="s">
        <v>769</v>
      </c>
      <c r="L354" s="5" t="s">
        <v>7</v>
      </c>
      <c r="M354" s="5" t="s">
        <v>7</v>
      </c>
      <c r="N354" s="5" t="s">
        <v>7</v>
      </c>
      <c r="O354" t="s">
        <v>778</v>
      </c>
      <c r="P354" t="s">
        <v>7834</v>
      </c>
      <c r="R354" t="b">
        <v>1</v>
      </c>
    </row>
    <row r="355" spans="1:18">
      <c r="A355" t="s">
        <v>3026</v>
      </c>
      <c r="B355" t="s">
        <v>10714</v>
      </c>
      <c r="C355" s="5" t="s">
        <v>7842</v>
      </c>
      <c r="D355" s="1">
        <v>1</v>
      </c>
      <c r="E355" s="1">
        <v>48</v>
      </c>
      <c r="F355" s="1">
        <v>377</v>
      </c>
      <c r="G355" s="1">
        <v>380</v>
      </c>
      <c r="H355" s="8" cm="1">
        <f t="array" ref="H355">_xlfn.LET(_xlpm.s,IFERROR(--F355,""),_xlpm.e,IFERROR(--G355,""),IF(OR(_xlpm.s="",_xlpm.e="",_xlpm.e&lt;_xlpm.s),"",_xlfn.LET(_xlpm.p,_xlfn.SEQUENCE(_xlpm.e-_xlpm.s+1,1,_xlpm.s,1),SUM(1/COUNTIFS($D:$D,D355,$E:$E,E355,$F:$F,"&lt;&gt;N/A",$G:$G,"&lt;&gt;N/A",$F:$F,"&lt;="&amp;_xlpm.p,$G:$G,"&gt;="&amp;_xlpm.p)))))</f>
        <v>3.5</v>
      </c>
      <c r="I355" t="s">
        <v>713</v>
      </c>
      <c r="J355" t="s">
        <v>1202</v>
      </c>
      <c r="K355" t="s">
        <v>768</v>
      </c>
      <c r="L355" s="5" t="s">
        <v>4813</v>
      </c>
      <c r="M355" t="s">
        <v>7354</v>
      </c>
      <c r="N355" s="5" t="s">
        <v>7426</v>
      </c>
      <c r="O355" t="s">
        <v>10264</v>
      </c>
      <c r="P355" t="s">
        <v>8019</v>
      </c>
      <c r="R355" t="b">
        <v>1</v>
      </c>
    </row>
    <row r="356" spans="1:18">
      <c r="A356" t="s">
        <v>3026</v>
      </c>
      <c r="B356" t="s">
        <v>10715</v>
      </c>
      <c r="C356" s="5" t="s">
        <v>7842</v>
      </c>
      <c r="D356" s="1">
        <v>1</v>
      </c>
      <c r="E356" s="1">
        <v>48</v>
      </c>
      <c r="F356" s="1">
        <v>380</v>
      </c>
      <c r="G356" s="1">
        <v>383</v>
      </c>
      <c r="H356" s="8" cm="1">
        <f t="array" ref="H356">_xlfn.LET(_xlpm.s,IFERROR(--F356,""),_xlpm.e,IFERROR(--G356,""),IF(OR(_xlpm.s="",_xlpm.e="",_xlpm.e&lt;_xlpm.s),"",_xlfn.LET(_xlpm.p,_xlfn.SEQUENCE(_xlpm.e-_xlpm.s+1,1,_xlpm.s,1),SUM(1/COUNTIFS($D:$D,D356,$E:$E,E356,$F:$F,"&lt;&gt;N/A",$G:$G,"&lt;&gt;N/A",$F:$F,"&lt;="&amp;_xlpm.p,$G:$G,"&gt;="&amp;_xlpm.p)))))</f>
        <v>3</v>
      </c>
      <c r="I356" t="s">
        <v>713</v>
      </c>
      <c r="J356" t="s">
        <v>1203</v>
      </c>
      <c r="K356" t="s">
        <v>7</v>
      </c>
      <c r="L356" s="5" t="s">
        <v>4810</v>
      </c>
      <c r="M356" s="6" t="s">
        <v>6939</v>
      </c>
      <c r="N356" s="5" t="s">
        <v>3239</v>
      </c>
      <c r="O356" t="s">
        <v>5072</v>
      </c>
      <c r="P356" t="s">
        <v>8021</v>
      </c>
      <c r="R356" t="b">
        <v>1</v>
      </c>
    </row>
    <row r="357" spans="1:18">
      <c r="A357" t="s">
        <v>3026</v>
      </c>
      <c r="B357" t="s">
        <v>7326</v>
      </c>
      <c r="C357" s="5" t="s">
        <v>7842</v>
      </c>
      <c r="D357" s="1">
        <v>1</v>
      </c>
      <c r="E357" s="1">
        <v>48</v>
      </c>
      <c r="F357" s="1">
        <v>383</v>
      </c>
      <c r="G357" s="1">
        <v>383</v>
      </c>
      <c r="H357" s="8" cm="1">
        <f t="array" ref="H357">_xlfn.LET(_xlpm.s,IFERROR(--F357,""),_xlpm.e,IFERROR(--G357,""),IF(OR(_xlpm.s="",_xlpm.e="",_xlpm.e&lt;_xlpm.s),"",_xlfn.LET(_xlpm.p,_xlfn.SEQUENCE(_xlpm.e-_xlpm.s+1,1,_xlpm.s,1),SUM(1/COUNTIFS($D:$D,D357,$E:$E,E357,$F:$F,"&lt;&gt;N/A",$G:$G,"&lt;&gt;N/A",$F:$F,"&lt;="&amp;_xlpm.p,$G:$G,"&gt;="&amp;_xlpm.p)))))</f>
        <v>0.5</v>
      </c>
      <c r="I357" t="s">
        <v>632</v>
      </c>
      <c r="J357" t="s">
        <v>1204</v>
      </c>
      <c r="K357" t="s">
        <v>4814</v>
      </c>
      <c r="L357" s="5" t="s">
        <v>7</v>
      </c>
      <c r="M357" s="5" t="s">
        <v>7</v>
      </c>
      <c r="N357" s="5" t="s">
        <v>7</v>
      </c>
      <c r="O357" t="s">
        <v>778</v>
      </c>
      <c r="P357" t="s">
        <v>7834</v>
      </c>
      <c r="R357" t="b">
        <v>1</v>
      </c>
    </row>
    <row r="358" spans="1:18">
      <c r="A358" t="s">
        <v>3026</v>
      </c>
      <c r="B358" t="s">
        <v>7327</v>
      </c>
      <c r="C358" s="5" t="s">
        <v>7842</v>
      </c>
      <c r="D358" s="1">
        <v>1</v>
      </c>
      <c r="E358" s="1">
        <v>48</v>
      </c>
      <c r="F358" s="1">
        <v>384</v>
      </c>
      <c r="G358" s="1">
        <v>384</v>
      </c>
      <c r="H358" s="8" cm="1">
        <f t="array" ref="H358">_xlfn.LET(_xlpm.s,IFERROR(--F358,""),_xlpm.e,IFERROR(--G358,""),IF(OR(_xlpm.s="",_xlpm.e="",_xlpm.e&lt;_xlpm.s),"",_xlfn.LET(_xlpm.p,_xlfn.SEQUENCE(_xlpm.e-_xlpm.s+1,1,_xlpm.s,1),SUM(1/COUNTIFS($D:$D,D358,$E:$E,E358,$F:$F,"&lt;&gt;N/A",$G:$G,"&lt;&gt;N/A",$F:$F,"&lt;="&amp;_xlpm.p,$G:$G,"&gt;="&amp;_xlpm.p)))))</f>
        <v>1</v>
      </c>
      <c r="I358" t="s">
        <v>632</v>
      </c>
      <c r="J358" t="s">
        <v>1205</v>
      </c>
      <c r="K358" t="s">
        <v>7</v>
      </c>
      <c r="L358" s="5" t="s">
        <v>7</v>
      </c>
      <c r="M358" s="5" t="s">
        <v>7</v>
      </c>
      <c r="N358" s="5" t="s">
        <v>7</v>
      </c>
      <c r="O358" t="s">
        <v>11522</v>
      </c>
      <c r="P358" t="s">
        <v>7</v>
      </c>
      <c r="Q358" t="s">
        <v>2509</v>
      </c>
      <c r="R358" t="b">
        <v>1</v>
      </c>
    </row>
    <row r="359" spans="1:18">
      <c r="A359" t="s">
        <v>3026</v>
      </c>
      <c r="B359" t="s">
        <v>10716</v>
      </c>
      <c r="C359" s="5" t="s">
        <v>7843</v>
      </c>
      <c r="D359" s="1">
        <v>1</v>
      </c>
      <c r="E359" s="1">
        <v>49</v>
      </c>
      <c r="F359" s="1">
        <v>385</v>
      </c>
      <c r="G359" s="1">
        <v>388</v>
      </c>
      <c r="H359" s="8" cm="1">
        <f t="array" ref="H359">_xlfn.LET(_xlpm.s,IFERROR(--F359,""),_xlpm.e,IFERROR(--G359,""),IF(OR(_xlpm.s="",_xlpm.e="",_xlpm.e&lt;_xlpm.s),"",_xlfn.LET(_xlpm.p,_xlfn.SEQUENCE(_xlpm.e-_xlpm.s+1,1,_xlpm.s,1),SUM(1/COUNTIFS($D:$D,D359,$E:$E,E359,$F:$F,"&lt;&gt;N/A",$G:$G,"&lt;&gt;N/A",$F:$F,"&lt;="&amp;_xlpm.p,$G:$G,"&gt;="&amp;_xlpm.p)))))</f>
        <v>3.5</v>
      </c>
      <c r="I359" t="s">
        <v>713</v>
      </c>
      <c r="J359" t="s">
        <v>1206</v>
      </c>
      <c r="K359" t="s">
        <v>1213</v>
      </c>
      <c r="L359" s="5" t="s">
        <v>4815</v>
      </c>
      <c r="M359" s="5" t="s">
        <v>6943</v>
      </c>
      <c r="N359" s="5" t="s">
        <v>3238</v>
      </c>
      <c r="O359" t="s">
        <v>10264</v>
      </c>
      <c r="P359" t="s">
        <v>8020</v>
      </c>
      <c r="R359" t="b">
        <v>1</v>
      </c>
    </row>
    <row r="360" spans="1:18">
      <c r="A360" t="s">
        <v>3026</v>
      </c>
      <c r="B360" t="s">
        <v>10717</v>
      </c>
      <c r="C360" s="5" t="s">
        <v>7843</v>
      </c>
      <c r="D360" s="1">
        <v>1</v>
      </c>
      <c r="E360" s="1">
        <v>49</v>
      </c>
      <c r="F360" s="1">
        <v>388</v>
      </c>
      <c r="G360" s="1">
        <v>392</v>
      </c>
      <c r="H360" s="8" cm="1">
        <f t="array" ref="H360">_xlfn.LET(_xlpm.s,IFERROR(--F360,""),_xlpm.e,IFERROR(--G360,""),IF(OR(_xlpm.s="",_xlpm.e="",_xlpm.e&lt;_xlpm.s),"",_xlfn.LET(_xlpm.p,_xlfn.SEQUENCE(_xlpm.e-_xlpm.s+1,1,_xlpm.s,1),SUM(1/COUNTIFS($D:$D,D360,$E:$E,E360,$F:$F,"&lt;&gt;N/A",$G:$G,"&lt;&gt;N/A",$F:$F,"&lt;="&amp;_xlpm.p,$G:$G,"&gt;="&amp;_xlpm.p)))))</f>
        <v>4</v>
      </c>
      <c r="I360" t="s">
        <v>687</v>
      </c>
      <c r="J360" t="s">
        <v>1207</v>
      </c>
      <c r="K360" t="s">
        <v>4812</v>
      </c>
      <c r="L360" s="5" t="s">
        <v>7</v>
      </c>
      <c r="M360" t="s">
        <v>7</v>
      </c>
      <c r="N360" t="s">
        <v>7</v>
      </c>
      <c r="O360" t="s">
        <v>778</v>
      </c>
      <c r="P360" t="s">
        <v>7834</v>
      </c>
      <c r="Q360" t="s">
        <v>2941</v>
      </c>
      <c r="R360" t="b">
        <v>1</v>
      </c>
    </row>
    <row r="361" spans="1:18">
      <c r="A361" t="s">
        <v>3026</v>
      </c>
      <c r="B361" t="s">
        <v>7328</v>
      </c>
      <c r="C361" s="5" t="s">
        <v>7843</v>
      </c>
      <c r="D361" s="1">
        <v>1</v>
      </c>
      <c r="E361" s="1">
        <v>49</v>
      </c>
      <c r="F361" s="1">
        <v>392</v>
      </c>
      <c r="G361" s="1">
        <v>392</v>
      </c>
      <c r="H361" s="8" cm="1">
        <f t="array" ref="H361">_xlfn.LET(_xlpm.s,IFERROR(--F361,""),_xlpm.e,IFERROR(--G361,""),IF(OR(_xlpm.s="",_xlpm.e="",_xlpm.e&lt;_xlpm.s),"",_xlfn.LET(_xlpm.p,_xlfn.SEQUENCE(_xlpm.e-_xlpm.s+1,1,_xlpm.s,1),SUM(1/COUNTIFS($D:$D,D361,$E:$E,E361,$F:$F,"&lt;&gt;N/A",$G:$G,"&lt;&gt;N/A",$F:$F,"&lt;="&amp;_xlpm.p,$G:$G,"&gt;="&amp;_xlpm.p)))))</f>
        <v>0.5</v>
      </c>
      <c r="I361" t="s">
        <v>637</v>
      </c>
      <c r="J361" t="s">
        <v>1208</v>
      </c>
      <c r="K361" t="s">
        <v>7</v>
      </c>
      <c r="L361" s="5" t="s">
        <v>7</v>
      </c>
      <c r="M361" t="s">
        <v>7</v>
      </c>
      <c r="N361" t="s">
        <v>7</v>
      </c>
      <c r="O361" t="s">
        <v>778</v>
      </c>
      <c r="P361" t="s">
        <v>7834</v>
      </c>
      <c r="R361" t="b">
        <v>1</v>
      </c>
    </row>
    <row r="362" spans="1:18">
      <c r="A362" t="s">
        <v>3026</v>
      </c>
      <c r="B362" t="s">
        <v>10718</v>
      </c>
      <c r="C362" s="5" t="s">
        <v>7844</v>
      </c>
      <c r="D362" s="1">
        <v>1</v>
      </c>
      <c r="E362" s="1">
        <v>50</v>
      </c>
      <c r="F362" s="1">
        <v>393</v>
      </c>
      <c r="G362" s="1">
        <v>397</v>
      </c>
      <c r="H362" s="8" cm="1">
        <f t="array" ref="H362">_xlfn.LET(_xlpm.s,IFERROR(--F362,""),_xlpm.e,IFERROR(--G362,""),IF(OR(_xlpm.s="",_xlpm.e="",_xlpm.e&lt;_xlpm.s),"",_xlfn.LET(_xlpm.p,_xlfn.SEQUENCE(_xlpm.e-_xlpm.s+1,1,_xlpm.s,1),SUM(1/COUNTIFS($D:$D,D362,$E:$E,E362,$F:$F,"&lt;&gt;N/A",$G:$G,"&lt;&gt;N/A",$F:$F,"&lt;="&amp;_xlpm.p,$G:$G,"&gt;="&amp;_xlpm.p)))))</f>
        <v>4.5</v>
      </c>
      <c r="I362" t="s">
        <v>713</v>
      </c>
      <c r="J362" t="s">
        <v>1209</v>
      </c>
      <c r="K362" t="s">
        <v>7</v>
      </c>
      <c r="L362" s="5" t="s">
        <v>4816</v>
      </c>
      <c r="M362" t="s">
        <v>6946</v>
      </c>
      <c r="N362" t="s">
        <v>7658</v>
      </c>
      <c r="O362" t="s">
        <v>5072</v>
      </c>
      <c r="P362" s="5" t="s">
        <v>8092</v>
      </c>
      <c r="R362" t="b">
        <v>1</v>
      </c>
    </row>
    <row r="363" spans="1:18">
      <c r="A363" t="s">
        <v>3026</v>
      </c>
      <c r="B363" t="s">
        <v>10719</v>
      </c>
      <c r="C363" s="5" t="s">
        <v>7844</v>
      </c>
      <c r="D363" s="1">
        <v>1</v>
      </c>
      <c r="E363" s="1">
        <v>50</v>
      </c>
      <c r="F363" s="1">
        <v>397</v>
      </c>
      <c r="G363" s="1">
        <v>398</v>
      </c>
      <c r="H363" s="8" cm="1">
        <f t="array" ref="H363">_xlfn.LET(_xlpm.s,IFERROR(--F363,""),_xlpm.e,IFERROR(--G363,""),IF(OR(_xlpm.s="",_xlpm.e="",_xlpm.e&lt;_xlpm.s),"",_xlfn.LET(_xlpm.p,_xlfn.SEQUENCE(_xlpm.e-_xlpm.s+1,1,_xlpm.s,1),SUM(1/COUNTIFS($D:$D,D363,$E:$E,E363,$F:$F,"&lt;&gt;N/A",$G:$G,"&lt;&gt;N/A",$F:$F,"&lt;="&amp;_xlpm.p,$G:$G,"&gt;="&amp;_xlpm.p)))))</f>
        <v>1</v>
      </c>
      <c r="I363" t="s">
        <v>713</v>
      </c>
      <c r="J363" t="s">
        <v>1210</v>
      </c>
      <c r="K363" t="s">
        <v>4814</v>
      </c>
      <c r="L363" s="5" t="s">
        <v>7</v>
      </c>
      <c r="M363" s="5" t="s">
        <v>7</v>
      </c>
      <c r="N363" t="s">
        <v>7</v>
      </c>
      <c r="O363" t="s">
        <v>778</v>
      </c>
      <c r="P363" t="s">
        <v>7834</v>
      </c>
      <c r="R363" t="b">
        <v>1</v>
      </c>
    </row>
    <row r="364" spans="1:18">
      <c r="A364" t="s">
        <v>3026</v>
      </c>
      <c r="B364" t="s">
        <v>7329</v>
      </c>
      <c r="C364" s="5" t="s">
        <v>7844</v>
      </c>
      <c r="D364" s="1">
        <v>1</v>
      </c>
      <c r="E364" s="1">
        <v>50</v>
      </c>
      <c r="F364" s="1">
        <v>398</v>
      </c>
      <c r="G364" s="1">
        <v>399</v>
      </c>
      <c r="H364" s="8" cm="1">
        <f t="array" ref="H364">_xlfn.LET(_xlpm.s,IFERROR(--F364,""),_xlpm.e,IFERROR(--G364,""),IF(OR(_xlpm.s="",_xlpm.e="",_xlpm.e&lt;_xlpm.s),"",_xlfn.LET(_xlpm.p,_xlfn.SEQUENCE(_xlpm.e-_xlpm.s+1,1,_xlpm.s,1),SUM(1/COUNTIFS($D:$D,D364,$E:$E,E364,$F:$F,"&lt;&gt;N/A",$G:$G,"&lt;&gt;N/A",$F:$F,"&lt;="&amp;_xlpm.p,$G:$G,"&gt;="&amp;_xlpm.p)))))</f>
        <v>1</v>
      </c>
      <c r="I364" t="s">
        <v>713</v>
      </c>
      <c r="J364" t="s">
        <v>1211</v>
      </c>
      <c r="K364" t="s">
        <v>7</v>
      </c>
      <c r="L364" s="5" t="s">
        <v>4817</v>
      </c>
      <c r="M364" t="s">
        <v>7</v>
      </c>
      <c r="N364" t="s">
        <v>7</v>
      </c>
      <c r="O364" t="s">
        <v>11522</v>
      </c>
      <c r="P364" t="s">
        <v>8019</v>
      </c>
      <c r="R364" t="b">
        <v>1</v>
      </c>
    </row>
    <row r="365" spans="1:18">
      <c r="A365" t="s">
        <v>3026</v>
      </c>
      <c r="B365" t="s">
        <v>7330</v>
      </c>
      <c r="C365" s="5" t="s">
        <v>7844</v>
      </c>
      <c r="D365" s="1">
        <v>1</v>
      </c>
      <c r="E365" s="1">
        <v>50</v>
      </c>
      <c r="F365" s="1">
        <v>399</v>
      </c>
      <c r="G365" s="1">
        <v>400</v>
      </c>
      <c r="H365" s="8" cm="1">
        <f t="array" ref="H365">_xlfn.LET(_xlpm.s,IFERROR(--F365,""),_xlpm.e,IFERROR(--G365,""),IF(OR(_xlpm.s="",_xlpm.e="",_xlpm.e&lt;_xlpm.s),"",_xlfn.LET(_xlpm.p,_xlfn.SEQUENCE(_xlpm.e-_xlpm.s+1,1,_xlpm.s,1),SUM(1/COUNTIFS($D:$D,D365,$E:$E,E365,$F:$F,"&lt;&gt;N/A",$G:$G,"&lt;&gt;N/A",$F:$F,"&lt;="&amp;_xlpm.p,$G:$G,"&gt;="&amp;_xlpm.p)))))</f>
        <v>0.83333333333333326</v>
      </c>
      <c r="I365" t="s">
        <v>205</v>
      </c>
      <c r="J365" t="s">
        <v>1212</v>
      </c>
      <c r="K365" t="s">
        <v>1213</v>
      </c>
      <c r="L365" s="5" t="s">
        <v>4815</v>
      </c>
      <c r="M365" s="5" t="s">
        <v>6943</v>
      </c>
      <c r="N365" t="s">
        <v>3237</v>
      </c>
      <c r="O365" t="s">
        <v>11522</v>
      </c>
      <c r="P365" t="s">
        <v>8020</v>
      </c>
      <c r="R365" t="b">
        <v>1</v>
      </c>
    </row>
    <row r="366" spans="1:18">
      <c r="A366" t="s">
        <v>3026</v>
      </c>
      <c r="B366" t="s">
        <v>7331</v>
      </c>
      <c r="C366" s="5" t="s">
        <v>7844</v>
      </c>
      <c r="D366" s="1">
        <v>1</v>
      </c>
      <c r="E366" s="1">
        <v>50</v>
      </c>
      <c r="F366" s="1">
        <v>400</v>
      </c>
      <c r="G366" s="1">
        <v>400</v>
      </c>
      <c r="H366" s="8" cm="1">
        <f t="array" ref="H366">_xlfn.LET(_xlpm.s,IFERROR(--F366,""),_xlpm.e,IFERROR(--G366,""),IF(OR(_xlpm.s="",_xlpm.e="",_xlpm.e&lt;_xlpm.s),"",_xlfn.LET(_xlpm.p,_xlfn.SEQUENCE(_xlpm.e-_xlpm.s+1,1,_xlpm.s,1),SUM(1/COUNTIFS($D:$D,D366,$E:$E,E366,$F:$F,"&lt;&gt;N/A",$G:$G,"&lt;&gt;N/A",$F:$F,"&lt;="&amp;_xlpm.p,$G:$G,"&gt;="&amp;_xlpm.p)))))</f>
        <v>0.33333333333333331</v>
      </c>
      <c r="I366" t="s">
        <v>205</v>
      </c>
      <c r="J366" t="s">
        <v>1214</v>
      </c>
      <c r="K366" t="s">
        <v>1213</v>
      </c>
      <c r="L366" s="5" t="s">
        <v>4818</v>
      </c>
      <c r="M366" s="5" t="s">
        <v>6943</v>
      </c>
      <c r="N366" t="s">
        <v>3236</v>
      </c>
      <c r="O366" t="s">
        <v>11522</v>
      </c>
      <c r="P366" t="s">
        <v>8020</v>
      </c>
      <c r="R366" t="b">
        <v>1</v>
      </c>
    </row>
    <row r="367" spans="1:18">
      <c r="A367" t="s">
        <v>3026</v>
      </c>
      <c r="B367" t="s">
        <v>7332</v>
      </c>
      <c r="C367" s="5" t="s">
        <v>7844</v>
      </c>
      <c r="D367" s="1">
        <v>1</v>
      </c>
      <c r="E367" s="1">
        <v>50</v>
      </c>
      <c r="F367" s="1">
        <v>400</v>
      </c>
      <c r="G367" s="1">
        <v>401</v>
      </c>
      <c r="H367" s="8" cm="1">
        <f t="array" ref="H367">_xlfn.LET(_xlpm.s,IFERROR(--F367,""),_xlpm.e,IFERROR(--G367,""),IF(OR(_xlpm.s="",_xlpm.e="",_xlpm.e&lt;_xlpm.s),"",_xlfn.LET(_xlpm.p,_xlfn.SEQUENCE(_xlpm.e-_xlpm.s+1,1,_xlpm.s,1),SUM(1/COUNTIFS($D:$D,D367,$E:$E,E367,$F:$F,"&lt;&gt;N/A",$G:$G,"&lt;&gt;N/A",$F:$F,"&lt;="&amp;_xlpm.p,$G:$G,"&gt;="&amp;_xlpm.p)))))</f>
        <v>1.3333333333333333</v>
      </c>
      <c r="I367" t="s">
        <v>637</v>
      </c>
      <c r="J367" t="s">
        <v>1215</v>
      </c>
      <c r="K367" t="s">
        <v>7</v>
      </c>
      <c r="L367" s="5" t="s">
        <v>7</v>
      </c>
      <c r="M367" s="5" t="s">
        <v>7</v>
      </c>
      <c r="N367" t="s">
        <v>7</v>
      </c>
      <c r="O367" t="s">
        <v>778</v>
      </c>
      <c r="P367" t="s">
        <v>7834</v>
      </c>
      <c r="R367" t="b">
        <v>1</v>
      </c>
    </row>
    <row r="368" spans="1:18">
      <c r="A368" t="s">
        <v>3026</v>
      </c>
      <c r="B368" t="s">
        <v>10720</v>
      </c>
      <c r="C368" s="5" t="s">
        <v>7888</v>
      </c>
      <c r="D368" s="1">
        <v>1</v>
      </c>
      <c r="E368" s="1">
        <v>51</v>
      </c>
      <c r="F368" s="1">
        <v>401</v>
      </c>
      <c r="G368" s="1">
        <v>405</v>
      </c>
      <c r="H368" s="8" cm="1">
        <f t="array" ref="H368">_xlfn.LET(_xlpm.s,IFERROR(--F368,""),_xlpm.e,IFERROR(--G368,""),IF(OR(_xlpm.s="",_xlpm.e="",_xlpm.e&lt;_xlpm.s),"",_xlfn.LET(_xlpm.p,_xlfn.SEQUENCE(_xlpm.e-_xlpm.s+1,1,_xlpm.s,1),SUM(1/COUNTIFS($D:$D,D368,$E:$E,E368,$F:$F,"&lt;&gt;N/A",$G:$G,"&lt;&gt;N/A",$F:$F,"&lt;="&amp;_xlpm.p,$G:$G,"&gt;="&amp;_xlpm.p)))))</f>
        <v>4.5</v>
      </c>
      <c r="I368" t="s">
        <v>713</v>
      </c>
      <c r="J368" t="s">
        <v>1216</v>
      </c>
      <c r="K368" t="s">
        <v>1217</v>
      </c>
      <c r="L368" s="5" t="s">
        <v>7</v>
      </c>
      <c r="M368" s="5" t="s">
        <v>7</v>
      </c>
      <c r="N368" t="s">
        <v>7</v>
      </c>
      <c r="O368" t="s">
        <v>778</v>
      </c>
      <c r="P368" t="s">
        <v>7834</v>
      </c>
      <c r="R368" t="b">
        <v>1</v>
      </c>
    </row>
    <row r="369" spans="1:18">
      <c r="A369" t="s">
        <v>3026</v>
      </c>
      <c r="B369" t="s">
        <v>7333</v>
      </c>
      <c r="C369" s="5" t="s">
        <v>7888</v>
      </c>
      <c r="D369" s="1">
        <v>1</v>
      </c>
      <c r="E369" s="1">
        <v>51</v>
      </c>
      <c r="F369" s="1">
        <v>405</v>
      </c>
      <c r="G369" s="1">
        <v>407</v>
      </c>
      <c r="H369" s="8" cm="1">
        <f t="array" ref="H369">_xlfn.LET(_xlpm.s,IFERROR(--F369,""),_xlpm.e,IFERROR(--G369,""),IF(OR(_xlpm.s="",_xlpm.e="",_xlpm.e&lt;_xlpm.s),"",_xlfn.LET(_xlpm.p,_xlfn.SEQUENCE(_xlpm.e-_xlpm.s+1,1,_xlpm.s,1),SUM(1/COUNTIFS($D:$D,D369,$E:$E,E369,$F:$F,"&lt;&gt;N/A",$G:$G,"&lt;&gt;N/A",$F:$F,"&lt;="&amp;_xlpm.p,$G:$G,"&gt;="&amp;_xlpm.p)))))</f>
        <v>2</v>
      </c>
      <c r="I369" t="s">
        <v>713</v>
      </c>
      <c r="J369" t="s">
        <v>1218</v>
      </c>
      <c r="K369" t="s">
        <v>826</v>
      </c>
      <c r="L369" s="5" t="s">
        <v>4819</v>
      </c>
      <c r="M369" s="5" t="s">
        <v>7</v>
      </c>
      <c r="N369" t="s">
        <v>7</v>
      </c>
      <c r="O369" t="s">
        <v>778</v>
      </c>
      <c r="P369" t="s">
        <v>7834</v>
      </c>
      <c r="R369" t="b">
        <v>1</v>
      </c>
    </row>
    <row r="370" spans="1:18">
      <c r="A370" t="s">
        <v>3026</v>
      </c>
      <c r="B370" t="s">
        <v>7334</v>
      </c>
      <c r="C370" s="5" t="s">
        <v>7888</v>
      </c>
      <c r="D370" s="1">
        <v>1</v>
      </c>
      <c r="E370" s="1">
        <v>51</v>
      </c>
      <c r="F370" s="1">
        <v>407</v>
      </c>
      <c r="G370" s="1">
        <v>408</v>
      </c>
      <c r="H370" s="8" cm="1">
        <f t="array" ref="H370">_xlfn.LET(_xlpm.s,IFERROR(--F370,""),_xlpm.e,IFERROR(--G370,""),IF(OR(_xlpm.s="",_xlpm.e="",_xlpm.e&lt;_xlpm.s),"",_xlfn.LET(_xlpm.p,_xlfn.SEQUENCE(_xlpm.e-_xlpm.s+1,1,_xlpm.s,1),SUM(1/COUNTIFS($D:$D,D370,$E:$E,E370,$F:$F,"&lt;&gt;N/A",$G:$G,"&lt;&gt;N/A",$F:$F,"&lt;="&amp;_xlpm.p,$G:$G,"&gt;="&amp;_xlpm.p)))))</f>
        <v>1.5</v>
      </c>
      <c r="I370" t="s">
        <v>632</v>
      </c>
      <c r="J370" t="s">
        <v>1219</v>
      </c>
      <c r="K370" t="s">
        <v>769</v>
      </c>
      <c r="L370" s="5" t="s">
        <v>7</v>
      </c>
      <c r="M370" s="5" t="s">
        <v>7</v>
      </c>
      <c r="N370" t="s">
        <v>7</v>
      </c>
      <c r="O370" t="s">
        <v>778</v>
      </c>
      <c r="P370" t="s">
        <v>7834</v>
      </c>
      <c r="R370" t="b">
        <v>1</v>
      </c>
    </row>
    <row r="371" spans="1:18">
      <c r="A371" t="s">
        <v>3026</v>
      </c>
      <c r="B371" t="s">
        <v>10721</v>
      </c>
      <c r="C371" s="5" t="s">
        <v>7889</v>
      </c>
      <c r="D371" s="1">
        <v>1</v>
      </c>
      <c r="E371" s="1">
        <v>52</v>
      </c>
      <c r="F371" s="1">
        <v>409</v>
      </c>
      <c r="G371" s="1">
        <v>414</v>
      </c>
      <c r="H371" s="8" cm="1">
        <f t="array" ref="H371">_xlfn.LET(_xlpm.s,IFERROR(--F371,""),_xlpm.e,IFERROR(--G371,""),IF(OR(_xlpm.s="",_xlpm.e="",_xlpm.e&lt;_xlpm.s),"",_xlfn.LET(_xlpm.p,_xlfn.SEQUENCE(_xlpm.e-_xlpm.s+1,1,_xlpm.s,1),SUM(1/COUNTIFS($D:$D,D371,$E:$E,E371,$F:$F,"&lt;&gt;N/A",$G:$G,"&lt;&gt;N/A",$F:$F,"&lt;="&amp;_xlpm.p,$G:$G,"&gt;="&amp;_xlpm.p)))))</f>
        <v>5.5</v>
      </c>
      <c r="I371" t="s">
        <v>713</v>
      </c>
      <c r="J371" t="s">
        <v>1220</v>
      </c>
      <c r="K371" t="s">
        <v>4820</v>
      </c>
      <c r="L371" s="5" t="s">
        <v>4821</v>
      </c>
      <c r="M371" t="s">
        <v>6941</v>
      </c>
      <c r="N371" t="s">
        <v>3235</v>
      </c>
      <c r="O371" t="s">
        <v>5072</v>
      </c>
      <c r="P371" t="s">
        <v>8021</v>
      </c>
      <c r="Q371" t="s">
        <v>2509</v>
      </c>
      <c r="R371" t="b">
        <v>1</v>
      </c>
    </row>
    <row r="372" spans="1:18">
      <c r="A372" t="s">
        <v>3026</v>
      </c>
      <c r="B372" t="s">
        <v>10722</v>
      </c>
      <c r="C372" s="5" t="s">
        <v>7889</v>
      </c>
      <c r="D372" s="1">
        <v>1</v>
      </c>
      <c r="E372" s="1">
        <v>52</v>
      </c>
      <c r="F372" s="1">
        <v>414</v>
      </c>
      <c r="G372" s="1">
        <v>415</v>
      </c>
      <c r="H372" s="8" cm="1">
        <f t="array" ref="H372">_xlfn.LET(_xlpm.s,IFERROR(--F372,""),_xlpm.e,IFERROR(--G372,""),IF(OR(_xlpm.s="",_xlpm.e="",_xlpm.e&lt;_xlpm.s),"",_xlfn.LET(_xlpm.p,_xlfn.SEQUENCE(_xlpm.e-_xlpm.s+1,1,_xlpm.s,1),SUM(1/COUNTIFS($D:$D,D372,$E:$E,E372,$F:$F,"&lt;&gt;N/A",$G:$G,"&lt;&gt;N/A",$F:$F,"&lt;="&amp;_xlpm.p,$G:$G,"&gt;="&amp;_xlpm.p)))))</f>
        <v>1</v>
      </c>
      <c r="I372" t="s">
        <v>1223</v>
      </c>
      <c r="J372" t="s">
        <v>1221</v>
      </c>
      <c r="K372" t="s">
        <v>7</v>
      </c>
      <c r="L372" s="5" t="s">
        <v>7</v>
      </c>
      <c r="M372" t="s">
        <v>6546</v>
      </c>
      <c r="N372" t="s">
        <v>7425</v>
      </c>
      <c r="O372" t="s">
        <v>5072</v>
      </c>
      <c r="P372" t="s">
        <v>8021</v>
      </c>
      <c r="R372" t="b">
        <v>1</v>
      </c>
    </row>
    <row r="373" spans="1:18">
      <c r="A373" t="s">
        <v>3026</v>
      </c>
      <c r="B373" t="s">
        <v>7335</v>
      </c>
      <c r="C373" s="5" t="s">
        <v>7889</v>
      </c>
      <c r="D373" s="1">
        <v>1</v>
      </c>
      <c r="E373" s="1">
        <v>52</v>
      </c>
      <c r="F373" s="1">
        <v>415</v>
      </c>
      <c r="G373" s="1">
        <v>416</v>
      </c>
      <c r="H373" s="8" cm="1">
        <f t="array" ref="H373">_xlfn.LET(_xlpm.s,IFERROR(--F373,""),_xlpm.e,IFERROR(--G373,""),IF(OR(_xlpm.s="",_xlpm.e="",_xlpm.e&lt;_xlpm.s),"",_xlfn.LET(_xlpm.p,_xlfn.SEQUENCE(_xlpm.e-_xlpm.s+1,1,_xlpm.s,1),SUM(1/COUNTIFS($D:$D,D373,$E:$E,E373,$F:$F,"&lt;&gt;N/A",$G:$G,"&lt;&gt;N/A",$F:$F,"&lt;="&amp;_xlpm.p,$G:$G,"&gt;="&amp;_xlpm.p)))))</f>
        <v>1</v>
      </c>
      <c r="I373" t="s">
        <v>1223</v>
      </c>
      <c r="J373" t="s">
        <v>1222</v>
      </c>
      <c r="K373" t="s">
        <v>7</v>
      </c>
      <c r="L373" s="5" t="s">
        <v>7</v>
      </c>
      <c r="M373" s="5" t="s">
        <v>5135</v>
      </c>
      <c r="N373" t="s">
        <v>10735</v>
      </c>
      <c r="O373" t="s">
        <v>5072</v>
      </c>
      <c r="P373" t="s">
        <v>8021</v>
      </c>
      <c r="R373" t="b">
        <v>1</v>
      </c>
    </row>
    <row r="374" spans="1:18">
      <c r="A374" t="s">
        <v>3026</v>
      </c>
      <c r="B374" t="s">
        <v>7336</v>
      </c>
      <c r="C374" s="5" t="s">
        <v>7889</v>
      </c>
      <c r="D374" s="1">
        <v>1</v>
      </c>
      <c r="E374" s="1">
        <v>52</v>
      </c>
      <c r="F374" s="1">
        <v>416</v>
      </c>
      <c r="G374" s="1">
        <v>416</v>
      </c>
      <c r="H374" s="8" cm="1">
        <f t="array" ref="H374">_xlfn.LET(_xlpm.s,IFERROR(--F374,""),_xlpm.e,IFERROR(--G374,""),IF(OR(_xlpm.s="",_xlpm.e="",_xlpm.e&lt;_xlpm.s),"",_xlfn.LET(_xlpm.p,_xlfn.SEQUENCE(_xlpm.e-_xlpm.s+1,1,_xlpm.s,1),SUM(1/COUNTIFS($D:$D,D374,$E:$E,E374,$F:$F,"&lt;&gt;N/A",$G:$G,"&lt;&gt;N/A",$F:$F,"&lt;="&amp;_xlpm.p,$G:$G,"&gt;="&amp;_xlpm.p)))))</f>
        <v>0.5</v>
      </c>
      <c r="I374" t="s">
        <v>1223</v>
      </c>
      <c r="J374" t="s">
        <v>10734</v>
      </c>
      <c r="K374" t="s">
        <v>7</v>
      </c>
      <c r="L374" s="5" t="s">
        <v>10733</v>
      </c>
      <c r="M374" s="5" t="s">
        <v>5135</v>
      </c>
      <c r="N374" t="s">
        <v>10736</v>
      </c>
      <c r="O374" t="s">
        <v>5072</v>
      </c>
      <c r="P374" t="s">
        <v>8021</v>
      </c>
      <c r="R374" t="b">
        <v>1</v>
      </c>
    </row>
    <row r="375" spans="1:18">
      <c r="A375" t="s">
        <v>3026</v>
      </c>
      <c r="B375" t="s">
        <v>10723</v>
      </c>
      <c r="C375" s="5" t="s">
        <v>7841</v>
      </c>
      <c r="D375" s="1">
        <v>1</v>
      </c>
      <c r="E375" s="1">
        <v>53</v>
      </c>
      <c r="F375" s="1">
        <v>417</v>
      </c>
      <c r="G375" s="1">
        <v>419</v>
      </c>
      <c r="H375" s="8" cm="1">
        <f t="array" ref="H375">_xlfn.LET(_xlpm.s,IFERROR(--F375,""),_xlpm.e,IFERROR(--G375,""),IF(OR(_xlpm.s="",_xlpm.e="",_xlpm.e&lt;_xlpm.s),"",_xlfn.LET(_xlpm.p,_xlfn.SEQUENCE(_xlpm.e-_xlpm.s+1,1,_xlpm.s,1),SUM(1/COUNTIFS($D:$D,D375,$E:$E,E375,$F:$F,"&lt;&gt;N/A",$G:$G,"&lt;&gt;N/A",$F:$F,"&lt;="&amp;_xlpm.p,$G:$G,"&gt;="&amp;_xlpm.p)))))</f>
        <v>2.3333333333333335</v>
      </c>
      <c r="I375" t="s">
        <v>713</v>
      </c>
      <c r="J375" t="s">
        <v>1224</v>
      </c>
      <c r="K375" t="s">
        <v>7</v>
      </c>
      <c r="L375" s="6" t="s">
        <v>4822</v>
      </c>
      <c r="M375" s="6" t="s">
        <v>6939</v>
      </c>
      <c r="N375" t="s">
        <v>3234</v>
      </c>
      <c r="O375" t="s">
        <v>5072</v>
      </c>
      <c r="P375" t="s">
        <v>8021</v>
      </c>
      <c r="R375" t="b">
        <v>1</v>
      </c>
    </row>
    <row r="376" spans="1:18">
      <c r="A376" t="s">
        <v>3026</v>
      </c>
      <c r="B376" t="s">
        <v>3860</v>
      </c>
      <c r="C376" s="5" t="s">
        <v>7841</v>
      </c>
      <c r="D376" s="1">
        <v>1</v>
      </c>
      <c r="E376" s="1">
        <v>53</v>
      </c>
      <c r="F376" s="1">
        <v>419</v>
      </c>
      <c r="G376" s="1">
        <v>419</v>
      </c>
      <c r="H376" s="8" cm="1">
        <f t="array" ref="H376">_xlfn.LET(_xlpm.s,IFERROR(--F376,""),_xlpm.e,IFERROR(--G376,""),IF(OR(_xlpm.s="",_xlpm.e="",_xlpm.e&lt;_xlpm.s),"",_xlfn.LET(_xlpm.p,_xlfn.SEQUENCE(_xlpm.e-_xlpm.s+1,1,_xlpm.s,1),SUM(1/COUNTIFS($D:$D,D376,$E:$E,E376,$F:$F,"&lt;&gt;N/A",$G:$G,"&lt;&gt;N/A",$F:$F,"&lt;="&amp;_xlpm.p,$G:$G,"&gt;="&amp;_xlpm.p)))))</f>
        <v>0.33333333333333331</v>
      </c>
      <c r="I376" t="s">
        <v>632</v>
      </c>
      <c r="J376" t="s">
        <v>1225</v>
      </c>
      <c r="K376" t="s">
        <v>1226</v>
      </c>
      <c r="L376" s="5" t="s">
        <v>4823</v>
      </c>
      <c r="M376" t="s">
        <v>7</v>
      </c>
      <c r="N376" t="s">
        <v>7</v>
      </c>
      <c r="O376" t="s">
        <v>5072</v>
      </c>
      <c r="P376" t="s">
        <v>8021</v>
      </c>
      <c r="R376" t="b">
        <v>1</v>
      </c>
    </row>
    <row r="377" spans="1:18">
      <c r="A377" t="s">
        <v>3026</v>
      </c>
      <c r="B377" t="s">
        <v>3861</v>
      </c>
      <c r="C377" s="5" t="s">
        <v>7841</v>
      </c>
      <c r="D377" s="1">
        <v>1</v>
      </c>
      <c r="E377" s="1">
        <v>53</v>
      </c>
      <c r="F377" s="1">
        <v>419</v>
      </c>
      <c r="G377" s="1">
        <v>420</v>
      </c>
      <c r="H377" s="8" cm="1">
        <f t="array" ref="H377">_xlfn.LET(_xlpm.s,IFERROR(--F377,""),_xlpm.e,IFERROR(--G377,""),IF(OR(_xlpm.s="",_xlpm.e="",_xlpm.e&lt;_xlpm.s),"",_xlfn.LET(_xlpm.p,_xlfn.SEQUENCE(_xlpm.e-_xlpm.s+1,1,_xlpm.s,1),SUM(1/COUNTIFS($D:$D,D377,$E:$E,E377,$F:$F,"&lt;&gt;N/A",$G:$G,"&lt;&gt;N/A",$F:$F,"&lt;="&amp;_xlpm.p,$G:$G,"&gt;="&amp;_xlpm.p)))))</f>
        <v>0.83333333333333326</v>
      </c>
      <c r="I377" t="s">
        <v>632</v>
      </c>
      <c r="J377" t="s">
        <v>596</v>
      </c>
      <c r="K377" t="s">
        <v>4824</v>
      </c>
      <c r="L377" s="5" t="s">
        <v>4825</v>
      </c>
      <c r="M377" t="s">
        <v>7</v>
      </c>
      <c r="N377" t="s">
        <v>7</v>
      </c>
      <c r="O377" t="s">
        <v>5072</v>
      </c>
      <c r="P377" t="s">
        <v>8021</v>
      </c>
      <c r="R377" t="b">
        <v>1</v>
      </c>
    </row>
    <row r="378" spans="1:18">
      <c r="A378" t="s">
        <v>3026</v>
      </c>
      <c r="B378" t="s">
        <v>6937</v>
      </c>
      <c r="C378" s="5" t="s">
        <v>7841</v>
      </c>
      <c r="D378" s="1">
        <v>1</v>
      </c>
      <c r="E378" s="1">
        <v>53</v>
      </c>
      <c r="F378" s="1">
        <v>420</v>
      </c>
      <c r="G378" s="1">
        <v>421</v>
      </c>
      <c r="H378" s="8" cm="1">
        <f t="array" ref="H378">_xlfn.LET(_xlpm.s,IFERROR(--F378,""),_xlpm.e,IFERROR(--G378,""),IF(OR(_xlpm.s="",_xlpm.e="",_xlpm.e&lt;_xlpm.s),"",_xlfn.LET(_xlpm.p,_xlfn.SEQUENCE(_xlpm.e-_xlpm.s+1,1,_xlpm.s,1),SUM(1/COUNTIFS($D:$D,D378,$E:$E,E378,$F:$F,"&lt;&gt;N/A",$G:$G,"&lt;&gt;N/A",$F:$F,"&lt;="&amp;_xlpm.p,$G:$G,"&gt;="&amp;_xlpm.p)))))</f>
        <v>1</v>
      </c>
      <c r="I378" t="s">
        <v>632</v>
      </c>
      <c r="J378" t="s">
        <v>2936</v>
      </c>
      <c r="K378" t="s">
        <v>7</v>
      </c>
      <c r="L378" s="5" t="s">
        <v>4826</v>
      </c>
      <c r="M378" t="s">
        <v>7</v>
      </c>
      <c r="N378" t="s">
        <v>7</v>
      </c>
      <c r="O378" t="s">
        <v>778</v>
      </c>
      <c r="P378" t="s">
        <v>7834</v>
      </c>
      <c r="Q378" t="s">
        <v>11527</v>
      </c>
      <c r="R378" t="b">
        <v>1</v>
      </c>
    </row>
    <row r="379" spans="1:18">
      <c r="A379" t="s">
        <v>3026</v>
      </c>
      <c r="B379" t="s">
        <v>7221</v>
      </c>
      <c r="C379" s="5" t="s">
        <v>7841</v>
      </c>
      <c r="D379" s="1">
        <v>1</v>
      </c>
      <c r="E379" s="1">
        <v>53</v>
      </c>
      <c r="F379" s="1">
        <v>421</v>
      </c>
      <c r="G379" s="1">
        <v>422</v>
      </c>
      <c r="H379" s="8" cm="1">
        <f t="array" ref="H379">_xlfn.LET(_xlpm.s,IFERROR(--F379,""),_xlpm.e,IFERROR(--G379,""),IF(OR(_xlpm.s="",_xlpm.e="",_xlpm.e&lt;_xlpm.s),"",_xlfn.LET(_xlpm.p,_xlfn.SEQUENCE(_xlpm.e-_xlpm.s+1,1,_xlpm.s,1),SUM(1/COUNTIFS($D:$D,D379,$E:$E,E379,$F:$F,"&lt;&gt;N/A",$G:$G,"&lt;&gt;N/A",$F:$F,"&lt;="&amp;_xlpm.p,$G:$G,"&gt;="&amp;_xlpm.p)))))</f>
        <v>0.83333333333333326</v>
      </c>
      <c r="I379" t="s">
        <v>632</v>
      </c>
      <c r="J379" t="s">
        <v>2937</v>
      </c>
      <c r="K379" t="s">
        <v>7</v>
      </c>
      <c r="L379" s="5" t="s">
        <v>4827</v>
      </c>
      <c r="M379" t="s">
        <v>7</v>
      </c>
      <c r="N379" t="s">
        <v>7</v>
      </c>
      <c r="O379" t="s">
        <v>778</v>
      </c>
      <c r="P379" t="s">
        <v>7834</v>
      </c>
      <c r="Q379" t="s">
        <v>11528</v>
      </c>
      <c r="R379" t="b">
        <v>1</v>
      </c>
    </row>
    <row r="380" spans="1:18">
      <c r="A380" t="s">
        <v>3026</v>
      </c>
      <c r="B380" t="s">
        <v>7242</v>
      </c>
      <c r="C380" s="5" t="s">
        <v>7841</v>
      </c>
      <c r="D380" s="1">
        <v>1</v>
      </c>
      <c r="E380" s="1">
        <v>53</v>
      </c>
      <c r="F380" s="1">
        <v>422</v>
      </c>
      <c r="G380" s="1">
        <v>422</v>
      </c>
      <c r="H380" s="8" cm="1">
        <f t="array" ref="H380">_xlfn.LET(_xlpm.s,IFERROR(--F380,""),_xlpm.e,IFERROR(--G380,""),IF(OR(_xlpm.s="",_xlpm.e="",_xlpm.e&lt;_xlpm.s),"",_xlfn.LET(_xlpm.p,_xlfn.SEQUENCE(_xlpm.e-_xlpm.s+1,1,_xlpm.s,1),SUM(1/COUNTIFS($D:$D,D380,$E:$E,E380,$F:$F,"&lt;&gt;N/A",$G:$G,"&lt;&gt;N/A",$F:$F,"&lt;="&amp;_xlpm.p,$G:$G,"&gt;="&amp;_xlpm.p)))))</f>
        <v>0.33333333333333331</v>
      </c>
      <c r="I380" t="s">
        <v>632</v>
      </c>
      <c r="J380" t="s">
        <v>2938</v>
      </c>
      <c r="K380" t="s">
        <v>7</v>
      </c>
      <c r="L380" s="5" t="s">
        <v>7</v>
      </c>
      <c r="M380" t="s">
        <v>6940</v>
      </c>
      <c r="N380" t="s">
        <v>11513</v>
      </c>
      <c r="O380" t="s">
        <v>5072</v>
      </c>
      <c r="P380" t="s">
        <v>8021</v>
      </c>
      <c r="R380" t="b">
        <v>1</v>
      </c>
    </row>
    <row r="381" spans="1:18">
      <c r="A381" t="s">
        <v>3026</v>
      </c>
      <c r="B381" t="s">
        <v>7337</v>
      </c>
      <c r="C381" s="5" t="s">
        <v>7841</v>
      </c>
      <c r="D381" s="1">
        <v>1</v>
      </c>
      <c r="E381" s="1">
        <v>53</v>
      </c>
      <c r="F381" s="1">
        <v>422</v>
      </c>
      <c r="G381" s="1">
        <v>423</v>
      </c>
      <c r="H381" s="8" cm="1">
        <f t="array" ref="H381">_xlfn.LET(_xlpm.s,IFERROR(--F381,""),_xlpm.e,IFERROR(--G381,""),IF(OR(_xlpm.s="",_xlpm.e="",_xlpm.e&lt;_xlpm.s),"",_xlfn.LET(_xlpm.p,_xlfn.SEQUENCE(_xlpm.e-_xlpm.s+1,1,_xlpm.s,1),SUM(1/COUNTIFS($D:$D,D381,$E:$E,E381,$F:$F,"&lt;&gt;N/A",$G:$G,"&lt;&gt;N/A",$F:$F,"&lt;="&amp;_xlpm.p,$G:$G,"&gt;="&amp;_xlpm.p)))))</f>
        <v>0.53333333333333333</v>
      </c>
      <c r="I381" t="s">
        <v>632</v>
      </c>
      <c r="J381" t="s">
        <v>2797</v>
      </c>
      <c r="K381" t="s">
        <v>7</v>
      </c>
      <c r="L381" s="5" t="s">
        <v>7</v>
      </c>
      <c r="M381" t="s">
        <v>7</v>
      </c>
      <c r="N381" t="s">
        <v>7</v>
      </c>
      <c r="O381" t="s">
        <v>778</v>
      </c>
      <c r="P381" t="s">
        <v>7834</v>
      </c>
      <c r="Q381" t="s">
        <v>2939</v>
      </c>
      <c r="R381" t="b">
        <v>1</v>
      </c>
    </row>
    <row r="382" spans="1:18">
      <c r="A382" t="s">
        <v>3026</v>
      </c>
      <c r="B382" t="s">
        <v>7338</v>
      </c>
      <c r="C382" s="5" t="s">
        <v>7841</v>
      </c>
      <c r="D382" s="1">
        <v>1</v>
      </c>
      <c r="E382" s="1">
        <v>53</v>
      </c>
      <c r="F382" s="1">
        <v>423</v>
      </c>
      <c r="G382" s="1">
        <v>423</v>
      </c>
      <c r="H382" s="8" cm="1">
        <f t="array" ref="H382">_xlfn.LET(_xlpm.s,IFERROR(--F382,""),_xlpm.e,IFERROR(--G382,""),IF(OR(_xlpm.s="",_xlpm.e="",_xlpm.e&lt;_xlpm.s),"",_xlfn.LET(_xlpm.p,_xlfn.SEQUENCE(_xlpm.e-_xlpm.s+1,1,_xlpm.s,1),SUM(1/COUNTIFS($D:$D,D382,$E:$E,E382,$F:$F,"&lt;&gt;N/A",$G:$G,"&lt;&gt;N/A",$F:$F,"&lt;="&amp;_xlpm.p,$G:$G,"&gt;="&amp;_xlpm.p)))))</f>
        <v>0.2</v>
      </c>
      <c r="I382" t="s">
        <v>632</v>
      </c>
      <c r="J382" t="s">
        <v>2795</v>
      </c>
      <c r="K382" t="s">
        <v>7</v>
      </c>
      <c r="L382" s="5" t="s">
        <v>7</v>
      </c>
      <c r="M382" t="s">
        <v>7</v>
      </c>
      <c r="N382" t="s">
        <v>2796</v>
      </c>
      <c r="O382" t="s">
        <v>5072</v>
      </c>
      <c r="P382" s="5" t="s">
        <v>8092</v>
      </c>
      <c r="R382" t="b">
        <v>1</v>
      </c>
    </row>
    <row r="383" spans="1:18">
      <c r="A383" t="s">
        <v>3026</v>
      </c>
      <c r="B383" t="s">
        <v>7339</v>
      </c>
      <c r="C383" s="5" t="s">
        <v>7841</v>
      </c>
      <c r="D383" s="1">
        <v>1</v>
      </c>
      <c r="E383" s="1">
        <v>53</v>
      </c>
      <c r="F383" s="1">
        <v>423</v>
      </c>
      <c r="G383" s="1">
        <v>423</v>
      </c>
      <c r="H383" s="8" cm="1">
        <f t="array" ref="H383">_xlfn.LET(_xlpm.s,IFERROR(--F383,""),_xlpm.e,IFERROR(--G383,""),IF(OR(_xlpm.s="",_xlpm.e="",_xlpm.e&lt;_xlpm.s),"",_xlfn.LET(_xlpm.p,_xlfn.SEQUENCE(_xlpm.e-_xlpm.s+1,1,_xlpm.s,1),SUM(1/COUNTIFS($D:$D,D383,$E:$E,E383,$F:$F,"&lt;&gt;N/A",$G:$G,"&lt;&gt;N/A",$F:$F,"&lt;="&amp;_xlpm.p,$G:$G,"&gt;="&amp;_xlpm.p)))))</f>
        <v>0.2</v>
      </c>
      <c r="I383" t="s">
        <v>632</v>
      </c>
      <c r="J383" t="s">
        <v>2794</v>
      </c>
      <c r="K383" t="s">
        <v>7</v>
      </c>
      <c r="L383" s="5" t="s">
        <v>7</v>
      </c>
      <c r="M383" t="s">
        <v>7</v>
      </c>
      <c r="N383" t="s">
        <v>7</v>
      </c>
      <c r="O383" t="s">
        <v>778</v>
      </c>
      <c r="P383" t="s">
        <v>7834</v>
      </c>
      <c r="R383" t="b">
        <v>1</v>
      </c>
    </row>
    <row r="384" spans="1:18">
      <c r="A384" t="s">
        <v>3026</v>
      </c>
      <c r="B384" t="s">
        <v>7340</v>
      </c>
      <c r="C384" s="5" t="s">
        <v>7841</v>
      </c>
      <c r="D384" s="1">
        <v>1</v>
      </c>
      <c r="E384" s="1">
        <v>53</v>
      </c>
      <c r="F384" s="1">
        <v>423</v>
      </c>
      <c r="G384" s="1">
        <v>424</v>
      </c>
      <c r="H384" s="8" cm="1">
        <f t="array" ref="H384">_xlfn.LET(_xlpm.s,IFERROR(--F384,""),_xlpm.e,IFERROR(--G384,""),IF(OR(_xlpm.s="",_xlpm.e="",_xlpm.e&lt;_xlpm.s),"",_xlfn.LET(_xlpm.p,_xlfn.SEQUENCE(_xlpm.e-_xlpm.s+1,1,_xlpm.s,1),SUM(1/COUNTIFS($D:$D,D384,$E:$E,E384,$F:$F,"&lt;&gt;N/A",$G:$G,"&lt;&gt;N/A",$F:$F,"&lt;="&amp;_xlpm.p,$G:$G,"&gt;="&amp;_xlpm.p)))))</f>
        <v>0.7</v>
      </c>
      <c r="I384" t="s">
        <v>632</v>
      </c>
      <c r="J384" t="s">
        <v>2793</v>
      </c>
      <c r="K384" t="s">
        <v>7</v>
      </c>
      <c r="L384" s="5" t="s">
        <v>4828</v>
      </c>
      <c r="M384" t="s">
        <v>7</v>
      </c>
      <c r="N384" t="s">
        <v>7</v>
      </c>
      <c r="O384" t="s">
        <v>778</v>
      </c>
      <c r="P384" t="s">
        <v>7834</v>
      </c>
      <c r="Q384" t="s">
        <v>2940</v>
      </c>
      <c r="R384" t="b">
        <v>1</v>
      </c>
    </row>
    <row r="385" spans="1:18">
      <c r="A385" t="s">
        <v>3026</v>
      </c>
      <c r="B385" t="s">
        <v>7341</v>
      </c>
      <c r="C385" s="5" t="s">
        <v>7841</v>
      </c>
      <c r="D385" s="1">
        <v>1</v>
      </c>
      <c r="E385" s="1">
        <v>53</v>
      </c>
      <c r="F385" s="1">
        <v>423</v>
      </c>
      <c r="G385" s="1">
        <v>424</v>
      </c>
      <c r="H385" s="8" cm="1">
        <f t="array" ref="H385">_xlfn.LET(_xlpm.s,IFERROR(--F385,""),_xlpm.e,IFERROR(--G385,""),IF(OR(_xlpm.s="",_xlpm.e="",_xlpm.e&lt;_xlpm.s),"",_xlfn.LET(_xlpm.p,_xlfn.SEQUENCE(_xlpm.e-_xlpm.s+1,1,_xlpm.s,1),SUM(1/COUNTIFS($D:$D,D385,$E:$E,E385,$F:$F,"&lt;&gt;N/A",$G:$G,"&lt;&gt;N/A",$F:$F,"&lt;="&amp;_xlpm.p,$G:$G,"&gt;="&amp;_xlpm.p)))))</f>
        <v>0.7</v>
      </c>
      <c r="I385" t="s">
        <v>7</v>
      </c>
      <c r="J385" t="s">
        <v>6938</v>
      </c>
      <c r="K385" t="s">
        <v>644</v>
      </c>
      <c r="L385" s="5" t="s">
        <v>7</v>
      </c>
      <c r="M385" t="s">
        <v>7</v>
      </c>
      <c r="N385" t="s">
        <v>7</v>
      </c>
      <c r="O385" t="s">
        <v>778</v>
      </c>
      <c r="P385" t="s">
        <v>7834</v>
      </c>
      <c r="R385" t="b">
        <v>0</v>
      </c>
    </row>
  </sheetData>
  <phoneticPr fontId="1" type="noConversion"/>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B22E-0C9F-43B7-87F3-3D9367BD9D0C}">
  <sheetPr codeName="Sheet11"/>
  <dimension ref="A1:S704"/>
  <sheetViews>
    <sheetView topLeftCell="A256" workbookViewId="0">
      <selection activeCell="Q284" sqref="Q284"/>
    </sheetView>
  </sheetViews>
  <sheetFormatPr defaultColWidth="8.77734375" defaultRowHeight="14.4"/>
  <cols>
    <col min="1" max="2" width="5.77734375" customWidth="1"/>
    <col min="3" max="3" width="5.77734375" style="5" customWidth="1"/>
    <col min="4" max="7" width="5.77734375" style="1" customWidth="1"/>
    <col min="8" max="8" width="5.77734375" style="10" customWidth="1"/>
    <col min="9" max="9" width="5.77734375" customWidth="1"/>
    <col min="10" max="14" width="5.77734375" style="5" customWidth="1"/>
    <col min="15" max="17" width="5.77734375" customWidth="1"/>
    <col min="18" max="18" width="5.77734375" style="1" customWidth="1"/>
    <col min="19" max="20" width="8.77734375" customWidth="1"/>
  </cols>
  <sheetData>
    <row r="1" spans="1:18">
      <c r="A1" t="s">
        <v>3032</v>
      </c>
      <c r="B1" t="s">
        <v>3281</v>
      </c>
      <c r="C1" s="4" t="s">
        <v>41</v>
      </c>
      <c r="D1" s="2" t="s">
        <v>3282</v>
      </c>
      <c r="E1" s="2" t="s">
        <v>34</v>
      </c>
      <c r="F1" s="2" t="s">
        <v>8031</v>
      </c>
      <c r="G1" s="2" t="s">
        <v>8032</v>
      </c>
      <c r="H1" s="8" t="s">
        <v>2530</v>
      </c>
      <c r="I1" s="2" t="s">
        <v>5</v>
      </c>
      <c r="J1" s="2" t="s">
        <v>4</v>
      </c>
      <c r="K1" s="4" t="s">
        <v>11402</v>
      </c>
      <c r="L1" s="5" t="s">
        <v>11401</v>
      </c>
      <c r="M1" s="4" t="s">
        <v>11400</v>
      </c>
      <c r="N1" s="4" t="s">
        <v>5006</v>
      </c>
      <c r="O1" s="2" t="s">
        <v>11506</v>
      </c>
      <c r="P1" s="4" t="s">
        <v>11403</v>
      </c>
      <c r="Q1" t="s">
        <v>1948</v>
      </c>
      <c r="R1" s="1" t="s">
        <v>2062</v>
      </c>
    </row>
    <row r="2" spans="1:18">
      <c r="A2" t="s">
        <v>3021</v>
      </c>
      <c r="B2" t="s">
        <v>3862</v>
      </c>
      <c r="C2" s="5" t="s">
        <v>7767</v>
      </c>
      <c r="D2" s="1">
        <v>1</v>
      </c>
      <c r="E2" s="1">
        <v>1</v>
      </c>
      <c r="F2" s="2">
        <v>3</v>
      </c>
      <c r="G2" s="2">
        <v>9</v>
      </c>
      <c r="H2" s="13" cm="1">
        <f t="array" ref="H2">_xlfn.LET(_xlpm.s,IFERROR(--F2,""),_xlpm.e,IFERROR(--G2,""),IF(OR(_xlpm.s="",_xlpm.e="",_xlpm.e&lt;_xlpm.s),"",_xlfn.LET(_xlpm.p,_xlfn.SEQUENCE(_xlpm.e-_xlpm.s+1,1,_xlpm.s,1),SUM(1/COUNTIFS($D:$D,D2,$E:$E,E2,$F:$F,"&lt;&gt;N/A",$G:$G,"&lt;&gt;N/A",$F:$F,"&lt;="&amp;_xlpm.p,$G:$G,"&gt;="&amp;_xlpm.p)))))</f>
        <v>7</v>
      </c>
      <c r="I2" s="4" t="s">
        <v>1279</v>
      </c>
      <c r="J2" s="4" t="s">
        <v>1341</v>
      </c>
      <c r="K2" s="5" t="s">
        <v>7</v>
      </c>
      <c r="L2" s="5" t="s">
        <v>7</v>
      </c>
      <c r="M2" s="5" t="s">
        <v>7</v>
      </c>
      <c r="N2" s="5" t="s">
        <v>7</v>
      </c>
      <c r="O2" t="s">
        <v>778</v>
      </c>
      <c r="P2" s="5" t="s">
        <v>7834</v>
      </c>
      <c r="R2" s="1" t="b">
        <v>1</v>
      </c>
    </row>
    <row r="3" spans="1:18">
      <c r="A3" t="s">
        <v>3021</v>
      </c>
      <c r="B3" t="s">
        <v>3863</v>
      </c>
      <c r="C3" s="5" t="s">
        <v>7767</v>
      </c>
      <c r="D3" s="1">
        <v>1</v>
      </c>
      <c r="E3" s="1">
        <v>1</v>
      </c>
      <c r="F3" s="1">
        <v>10</v>
      </c>
      <c r="G3" s="1">
        <v>12</v>
      </c>
      <c r="H3" s="13" cm="1">
        <f t="array" ref="H3">_xlfn.LET(_xlpm.s,IFERROR(--F3,""),_xlpm.e,IFERROR(--G3,""),IF(OR(_xlpm.s="",_xlpm.e="",_xlpm.e&lt;_xlpm.s),"",_xlfn.LET(_xlpm.p,_xlfn.SEQUENCE(_xlpm.e-_xlpm.s+1,1,_xlpm.s,1),SUM(1/COUNTIFS($D:$D,D3,$E:$E,E3,$F:$F,"&lt;&gt;N/A",$G:$G,"&lt;&gt;N/A",$F:$F,"&lt;="&amp;_xlpm.p,$G:$G,"&gt;="&amp;_xlpm.p)))))</f>
        <v>3</v>
      </c>
      <c r="I3" t="s">
        <v>7</v>
      </c>
      <c r="J3" s="5" t="s">
        <v>503</v>
      </c>
      <c r="K3" s="5" t="s">
        <v>618</v>
      </c>
      <c r="L3" s="5" t="s">
        <v>7</v>
      </c>
      <c r="M3" s="5" t="s">
        <v>7</v>
      </c>
      <c r="N3" s="5" t="s">
        <v>7</v>
      </c>
      <c r="O3" t="s">
        <v>778</v>
      </c>
      <c r="P3" t="s">
        <v>7834</v>
      </c>
      <c r="R3" s="1" t="b">
        <v>1</v>
      </c>
    </row>
    <row r="4" spans="1:18">
      <c r="A4" t="s">
        <v>3021</v>
      </c>
      <c r="B4" t="s">
        <v>3864</v>
      </c>
      <c r="C4" s="5" t="s">
        <v>7767</v>
      </c>
      <c r="D4" s="1">
        <v>1</v>
      </c>
      <c r="E4" s="1">
        <v>1</v>
      </c>
      <c r="F4" s="1">
        <v>13</v>
      </c>
      <c r="G4" s="1">
        <v>18</v>
      </c>
      <c r="H4" s="13" cm="1">
        <f t="array" ref="H4">_xlfn.LET(_xlpm.s,IFERROR(--F4,""),_xlpm.e,IFERROR(--G4,""),IF(OR(_xlpm.s="",_xlpm.e="",_xlpm.e&lt;_xlpm.s),"",_xlfn.LET(_xlpm.p,_xlfn.SEQUENCE(_xlpm.e-_xlpm.s+1,1,_xlpm.s,1),SUM(1/COUNTIFS($D:$D,D4,$E:$E,E4,$F:$F,"&lt;&gt;N/A",$G:$G,"&lt;&gt;N/A",$F:$F,"&lt;="&amp;_xlpm.p,$G:$G,"&gt;="&amp;_xlpm.p)))))</f>
        <v>5.5</v>
      </c>
      <c r="I4" t="s">
        <v>7</v>
      </c>
      <c r="J4" s="5" t="s">
        <v>4445</v>
      </c>
      <c r="K4" s="5" t="s">
        <v>4829</v>
      </c>
      <c r="L4" s="5" t="s">
        <v>7</v>
      </c>
      <c r="M4" s="5" t="s">
        <v>7</v>
      </c>
      <c r="N4" s="5" t="s">
        <v>7</v>
      </c>
      <c r="O4" t="s">
        <v>778</v>
      </c>
      <c r="P4" t="s">
        <v>7834</v>
      </c>
      <c r="R4" s="1" t="b">
        <v>1</v>
      </c>
    </row>
    <row r="5" spans="1:18">
      <c r="A5" t="s">
        <v>3021</v>
      </c>
      <c r="B5" t="s">
        <v>3865</v>
      </c>
      <c r="C5" s="5" t="s">
        <v>7767</v>
      </c>
      <c r="D5" s="1">
        <v>1</v>
      </c>
      <c r="E5" s="1">
        <v>1</v>
      </c>
      <c r="F5" s="1">
        <v>18</v>
      </c>
      <c r="G5" s="1">
        <v>20</v>
      </c>
      <c r="H5" s="13" cm="1">
        <f t="array" ref="H5">_xlfn.LET(_xlpm.s,IFERROR(--F5,""),_xlpm.e,IFERROR(--G5,""),IF(OR(_xlpm.s="",_xlpm.e="",_xlpm.e&lt;_xlpm.s),"",_xlfn.LET(_xlpm.p,_xlfn.SEQUENCE(_xlpm.e-_xlpm.s+1,1,_xlpm.s,1),SUM(1/COUNTIFS($D:$D,D5,$E:$E,E5,$F:$F,"&lt;&gt;N/A",$G:$G,"&lt;&gt;N/A",$F:$F,"&lt;="&amp;_xlpm.p,$G:$G,"&gt;="&amp;_xlpm.p)))))</f>
        <v>2</v>
      </c>
      <c r="I5" t="s">
        <v>7</v>
      </c>
      <c r="J5" s="5" t="s">
        <v>923</v>
      </c>
      <c r="K5" s="5" t="s">
        <v>7</v>
      </c>
      <c r="L5" s="5" t="s">
        <v>7</v>
      </c>
      <c r="M5" s="5" t="s">
        <v>7</v>
      </c>
      <c r="N5" s="5" t="s">
        <v>7</v>
      </c>
      <c r="O5" t="s">
        <v>778</v>
      </c>
      <c r="P5" t="s">
        <v>7834</v>
      </c>
      <c r="R5" s="1" t="b">
        <v>1</v>
      </c>
    </row>
    <row r="6" spans="1:18">
      <c r="A6" t="s">
        <v>3021</v>
      </c>
      <c r="B6" t="s">
        <v>3866</v>
      </c>
      <c r="C6" s="5" t="s">
        <v>7767</v>
      </c>
      <c r="D6" s="1">
        <v>1</v>
      </c>
      <c r="E6" s="1">
        <v>1</v>
      </c>
      <c r="F6" s="1">
        <v>20</v>
      </c>
      <c r="G6" s="1">
        <v>21</v>
      </c>
      <c r="H6" s="13" cm="1">
        <f t="array" ref="H6">_xlfn.LET(_xlpm.s,IFERROR(--F6,""),_xlpm.e,IFERROR(--G6,""),IF(OR(_xlpm.s="",_xlpm.e="",_xlpm.e&lt;_xlpm.s),"",_xlfn.LET(_xlpm.p,_xlfn.SEQUENCE(_xlpm.e-_xlpm.s+1,1,_xlpm.s,1),SUM(1/COUNTIFS($D:$D,D6,$E:$E,E6,$F:$F,"&lt;&gt;N/A",$G:$G,"&lt;&gt;N/A",$F:$F,"&lt;="&amp;_xlpm.p,$G:$G,"&gt;="&amp;_xlpm.p)))))</f>
        <v>1</v>
      </c>
      <c r="I6" t="s">
        <v>7</v>
      </c>
      <c r="J6" s="5" t="s">
        <v>4447</v>
      </c>
      <c r="K6" s="5" t="s">
        <v>7</v>
      </c>
      <c r="L6" s="5" t="s">
        <v>7</v>
      </c>
      <c r="M6" s="5" t="s">
        <v>7</v>
      </c>
      <c r="N6" s="5" t="s">
        <v>7</v>
      </c>
      <c r="O6" t="s">
        <v>778</v>
      </c>
      <c r="P6" t="s">
        <v>7834</v>
      </c>
      <c r="R6" s="1" t="b">
        <v>1</v>
      </c>
    </row>
    <row r="7" spans="1:18">
      <c r="A7" t="s">
        <v>3021</v>
      </c>
      <c r="B7" t="s">
        <v>3867</v>
      </c>
      <c r="C7" s="5" t="s">
        <v>7767</v>
      </c>
      <c r="D7" s="1">
        <v>1</v>
      </c>
      <c r="E7" s="1">
        <v>1</v>
      </c>
      <c r="F7" s="1">
        <v>21</v>
      </c>
      <c r="G7" s="1">
        <v>23</v>
      </c>
      <c r="H7" s="13" cm="1">
        <f t="array" ref="H7">_xlfn.LET(_xlpm.s,IFERROR(--F7,""),_xlpm.e,IFERROR(--G7,""),IF(OR(_xlpm.s="",_xlpm.e="",_xlpm.e&lt;_xlpm.s),"",_xlfn.LET(_xlpm.p,_xlfn.SEQUENCE(_xlpm.e-_xlpm.s+1,1,_xlpm.s,1),SUM(1/COUNTIFS($D:$D,D7,$E:$E,E7,$F:$F,"&lt;&gt;N/A",$G:$G,"&lt;&gt;N/A",$F:$F,"&lt;="&amp;_xlpm.p,$G:$G,"&gt;="&amp;_xlpm.p)))))</f>
        <v>2</v>
      </c>
      <c r="I7" t="s">
        <v>7</v>
      </c>
      <c r="J7" s="5" t="s">
        <v>4446</v>
      </c>
      <c r="K7" s="5" t="s">
        <v>1280</v>
      </c>
      <c r="L7" s="5" t="s">
        <v>7</v>
      </c>
      <c r="M7" s="5" t="s">
        <v>7</v>
      </c>
      <c r="N7" s="5" t="s">
        <v>7</v>
      </c>
      <c r="O7" t="s">
        <v>778</v>
      </c>
      <c r="P7" t="s">
        <v>7834</v>
      </c>
      <c r="R7" s="1" t="b">
        <v>1</v>
      </c>
    </row>
    <row r="8" spans="1:18">
      <c r="A8" t="s">
        <v>3021</v>
      </c>
      <c r="B8" t="s">
        <v>3868</v>
      </c>
      <c r="C8" s="5" t="s">
        <v>7767</v>
      </c>
      <c r="D8" s="1">
        <v>1</v>
      </c>
      <c r="E8" s="1">
        <v>1</v>
      </c>
      <c r="F8" s="1">
        <v>23</v>
      </c>
      <c r="G8" s="1">
        <v>24</v>
      </c>
      <c r="H8" s="13" cm="1">
        <f t="array" ref="H8">_xlfn.LET(_xlpm.s,IFERROR(--F8,""),_xlpm.e,IFERROR(--G8,""),IF(OR(_xlpm.s="",_xlpm.e="",_xlpm.e&lt;_xlpm.s),"",_xlfn.LET(_xlpm.p,_xlfn.SEQUENCE(_xlpm.e-_xlpm.s+1,1,_xlpm.s,1),SUM(1/COUNTIFS($D:$D,D8,$E:$E,E8,$F:$F,"&lt;&gt;N/A",$G:$G,"&lt;&gt;N/A",$F:$F,"&lt;="&amp;_xlpm.p,$G:$G,"&gt;="&amp;_xlpm.p)))))</f>
        <v>1</v>
      </c>
      <c r="I8" t="s">
        <v>7</v>
      </c>
      <c r="J8" s="5" t="s">
        <v>1281</v>
      </c>
      <c r="K8" s="5" t="s">
        <v>7</v>
      </c>
      <c r="L8" s="5" t="s">
        <v>7</v>
      </c>
      <c r="M8" s="5" t="s">
        <v>7</v>
      </c>
      <c r="N8" s="5" t="s">
        <v>2971</v>
      </c>
      <c r="O8" t="s">
        <v>11522</v>
      </c>
      <c r="P8" t="s">
        <v>8021</v>
      </c>
      <c r="R8" s="1" t="b">
        <v>1</v>
      </c>
    </row>
    <row r="9" spans="1:18">
      <c r="A9" t="s">
        <v>3021</v>
      </c>
      <c r="B9" t="s">
        <v>3869</v>
      </c>
      <c r="C9" s="5" t="s">
        <v>7767</v>
      </c>
      <c r="D9" s="1">
        <v>1</v>
      </c>
      <c r="E9" s="1">
        <v>1</v>
      </c>
      <c r="F9" s="1">
        <v>24</v>
      </c>
      <c r="G9" s="1">
        <v>25</v>
      </c>
      <c r="H9" s="13" cm="1">
        <f t="array" ref="H9">_xlfn.LET(_xlpm.s,IFERROR(--F9,""),_xlpm.e,IFERROR(--G9,""),IF(OR(_xlpm.s="",_xlpm.e="",_xlpm.e&lt;_xlpm.s),"",_xlfn.LET(_xlpm.p,_xlfn.SEQUENCE(_xlpm.e-_xlpm.s+1,1,_xlpm.s,1),SUM(1/COUNTIFS($D:$D,D9,$E:$E,E9,$F:$F,"&lt;&gt;N/A",$G:$G,"&lt;&gt;N/A",$F:$F,"&lt;="&amp;_xlpm.p,$G:$G,"&gt;="&amp;_xlpm.p)))))</f>
        <v>1</v>
      </c>
      <c r="I9" t="s">
        <v>7</v>
      </c>
      <c r="J9" s="5" t="s">
        <v>1282</v>
      </c>
      <c r="K9" s="5" t="s">
        <v>4830</v>
      </c>
      <c r="L9" s="5" t="s">
        <v>5369</v>
      </c>
      <c r="M9" s="5" t="s">
        <v>5017</v>
      </c>
      <c r="N9" s="5" t="s">
        <v>2972</v>
      </c>
      <c r="O9" t="s">
        <v>11522</v>
      </c>
      <c r="P9" t="s">
        <v>8021</v>
      </c>
      <c r="R9" s="1" t="b">
        <v>1</v>
      </c>
    </row>
    <row r="10" spans="1:18">
      <c r="A10" t="s">
        <v>3021</v>
      </c>
      <c r="B10" t="s">
        <v>3870</v>
      </c>
      <c r="C10" s="5" t="s">
        <v>7767</v>
      </c>
      <c r="D10" s="1">
        <v>1</v>
      </c>
      <c r="E10" s="1">
        <v>1</v>
      </c>
      <c r="F10" s="1">
        <v>25</v>
      </c>
      <c r="G10" s="1">
        <v>26</v>
      </c>
      <c r="H10" s="13" cm="1">
        <f t="array" ref="H10">_xlfn.LET(_xlpm.s,IFERROR(--F10,""),_xlpm.e,IFERROR(--G10,""),IF(OR(_xlpm.s="",_xlpm.e="",_xlpm.e&lt;_xlpm.s),"",_xlfn.LET(_xlpm.p,_xlfn.SEQUENCE(_xlpm.e-_xlpm.s+1,1,_xlpm.s,1),SUM(1/COUNTIFS($D:$D,D10,$E:$E,E10,$F:$F,"&lt;&gt;N/A",$G:$G,"&lt;&gt;N/A",$F:$F,"&lt;="&amp;_xlpm.p,$G:$G,"&gt;="&amp;_xlpm.p)))))</f>
        <v>1</v>
      </c>
      <c r="I10" t="s">
        <v>7</v>
      </c>
      <c r="J10" s="5" t="s">
        <v>1283</v>
      </c>
      <c r="K10" s="5" t="s">
        <v>7</v>
      </c>
      <c r="L10" s="5" t="s">
        <v>5368</v>
      </c>
      <c r="M10" s="5" t="s">
        <v>5017</v>
      </c>
      <c r="N10" s="5" t="s">
        <v>2973</v>
      </c>
      <c r="O10" t="s">
        <v>11522</v>
      </c>
      <c r="P10" t="s">
        <v>8021</v>
      </c>
      <c r="R10" s="1" t="b">
        <v>1</v>
      </c>
    </row>
    <row r="11" spans="1:18">
      <c r="A11" t="s">
        <v>3021</v>
      </c>
      <c r="B11" t="s">
        <v>3871</v>
      </c>
      <c r="C11" s="5" t="s">
        <v>7767</v>
      </c>
      <c r="D11" s="1">
        <v>1</v>
      </c>
      <c r="E11" s="1">
        <v>1</v>
      </c>
      <c r="F11" s="1">
        <v>26</v>
      </c>
      <c r="G11" s="1">
        <v>27</v>
      </c>
      <c r="H11" s="13" cm="1">
        <f t="array" ref="H11">_xlfn.LET(_xlpm.s,IFERROR(--F11,""),_xlpm.e,IFERROR(--G11,""),IF(OR(_xlpm.s="",_xlpm.e="",_xlpm.e&lt;_xlpm.s),"",_xlfn.LET(_xlpm.p,_xlfn.SEQUENCE(_xlpm.e-_xlpm.s+1,1,_xlpm.s,1),SUM(1/COUNTIFS($D:$D,D11,$E:$E,E11,$F:$F,"&lt;&gt;N/A",$G:$G,"&lt;&gt;N/A",$F:$F,"&lt;="&amp;_xlpm.p,$G:$G,"&gt;="&amp;_xlpm.p)))))</f>
        <v>1</v>
      </c>
      <c r="I11" t="s">
        <v>7</v>
      </c>
      <c r="J11" s="5" t="s">
        <v>1284</v>
      </c>
      <c r="K11" s="5" t="s">
        <v>7</v>
      </c>
      <c r="L11" s="5" t="s">
        <v>5368</v>
      </c>
      <c r="M11" s="5" t="s">
        <v>5017</v>
      </c>
      <c r="N11" s="5" t="s">
        <v>2974</v>
      </c>
      <c r="O11" t="s">
        <v>11522</v>
      </c>
      <c r="P11" t="s">
        <v>8021</v>
      </c>
      <c r="R11" s="1" t="b">
        <v>1</v>
      </c>
    </row>
    <row r="12" spans="1:18">
      <c r="A12" t="s">
        <v>3021</v>
      </c>
      <c r="B12" t="s">
        <v>3872</v>
      </c>
      <c r="C12" s="5" t="s">
        <v>7767</v>
      </c>
      <c r="D12" s="1">
        <v>1</v>
      </c>
      <c r="E12" s="1">
        <v>1</v>
      </c>
      <c r="F12" s="1">
        <v>27</v>
      </c>
      <c r="G12" s="1">
        <v>28</v>
      </c>
      <c r="H12" s="13" cm="1">
        <f t="array" ref="H12">_xlfn.LET(_xlpm.s,IFERROR(--F12,""),_xlpm.e,IFERROR(--G12,""),IF(OR(_xlpm.s="",_xlpm.e="",_xlpm.e&lt;_xlpm.s),"",_xlfn.LET(_xlpm.p,_xlfn.SEQUENCE(_xlpm.e-_xlpm.s+1,1,_xlpm.s,1),SUM(1/COUNTIFS($D:$D,D12,$E:$E,E12,$F:$F,"&lt;&gt;N/A",$G:$G,"&lt;&gt;N/A",$F:$F,"&lt;="&amp;_xlpm.p,$G:$G,"&gt;="&amp;_xlpm.p)))))</f>
        <v>1</v>
      </c>
      <c r="I12" t="s">
        <v>208</v>
      </c>
      <c r="J12" s="5" t="s">
        <v>4443</v>
      </c>
      <c r="K12" s="5" t="s">
        <v>7</v>
      </c>
      <c r="L12" s="5" t="s">
        <v>4831</v>
      </c>
      <c r="M12" s="5" t="s">
        <v>5017</v>
      </c>
      <c r="N12" s="5" t="s">
        <v>2975</v>
      </c>
      <c r="O12" t="s">
        <v>5072</v>
      </c>
      <c r="P12" t="s">
        <v>8021</v>
      </c>
      <c r="R12" s="1" t="b">
        <v>1</v>
      </c>
    </row>
    <row r="13" spans="1:18">
      <c r="A13" t="s">
        <v>3021</v>
      </c>
      <c r="B13" t="s">
        <v>3873</v>
      </c>
      <c r="C13" s="5" t="s">
        <v>7767</v>
      </c>
      <c r="D13" s="1">
        <v>1</v>
      </c>
      <c r="E13" s="1">
        <v>1</v>
      </c>
      <c r="F13" s="1">
        <v>28</v>
      </c>
      <c r="G13" s="1">
        <v>28</v>
      </c>
      <c r="H13" s="13" cm="1">
        <f t="array" ref="H13">_xlfn.LET(_xlpm.s,IFERROR(--F13,""),_xlpm.e,IFERROR(--G13,""),IF(OR(_xlpm.s="",_xlpm.e="",_xlpm.e&lt;_xlpm.s),"",_xlfn.LET(_xlpm.p,_xlfn.SEQUENCE(_xlpm.e-_xlpm.s+1,1,_xlpm.s,1),SUM(1/COUNTIFS($D:$D,D13,$E:$E,E13,$F:$F,"&lt;&gt;N/A",$G:$G,"&lt;&gt;N/A",$F:$F,"&lt;="&amp;_xlpm.p,$G:$G,"&gt;="&amp;_xlpm.p)))))</f>
        <v>0.5</v>
      </c>
      <c r="I13" t="s">
        <v>208</v>
      </c>
      <c r="J13" s="5" t="s">
        <v>4444</v>
      </c>
      <c r="K13" s="5" t="s">
        <v>7</v>
      </c>
      <c r="L13" s="5" t="s">
        <v>5370</v>
      </c>
      <c r="M13" s="5" t="s">
        <v>5017</v>
      </c>
      <c r="N13" s="5" t="s">
        <v>2976</v>
      </c>
      <c r="O13" t="s">
        <v>11522</v>
      </c>
      <c r="P13" t="s">
        <v>8021</v>
      </c>
      <c r="R13" s="1" t="b">
        <v>1</v>
      </c>
    </row>
    <row r="14" spans="1:18">
      <c r="A14" t="s">
        <v>3021</v>
      </c>
      <c r="B14" t="s">
        <v>3874</v>
      </c>
      <c r="C14" s="5" t="s">
        <v>7767</v>
      </c>
      <c r="D14" s="1">
        <v>1</v>
      </c>
      <c r="E14" s="1">
        <v>1</v>
      </c>
      <c r="F14" s="1">
        <v>29</v>
      </c>
      <c r="G14" s="1">
        <v>32</v>
      </c>
      <c r="H14" s="13" cm="1">
        <f t="array" ref="H14">_xlfn.LET(_xlpm.s,IFERROR(--F14,""),_xlpm.e,IFERROR(--G14,""),IF(OR(_xlpm.s="",_xlpm.e="",_xlpm.e&lt;_xlpm.s),"",_xlfn.LET(_xlpm.p,_xlfn.SEQUENCE(_xlpm.e-_xlpm.s+1,1,_xlpm.s,1),SUM(1/COUNTIFS($D:$D,D14,$E:$E,E14,$F:$F,"&lt;&gt;N/A",$G:$G,"&lt;&gt;N/A",$F:$F,"&lt;="&amp;_xlpm.p,$G:$G,"&gt;="&amp;_xlpm.p)))))</f>
        <v>4</v>
      </c>
      <c r="I14" t="s">
        <v>7</v>
      </c>
      <c r="J14" s="5" t="s">
        <v>1285</v>
      </c>
      <c r="K14" s="5" t="s">
        <v>1280</v>
      </c>
      <c r="L14" s="5" t="s">
        <v>7</v>
      </c>
      <c r="M14" s="5" t="s">
        <v>7</v>
      </c>
      <c r="N14" s="5" t="s">
        <v>7</v>
      </c>
      <c r="O14" t="s">
        <v>778</v>
      </c>
      <c r="P14" t="s">
        <v>7834</v>
      </c>
      <c r="R14" s="1" t="b">
        <v>1</v>
      </c>
    </row>
    <row r="15" spans="1:18">
      <c r="A15" t="s">
        <v>3021</v>
      </c>
      <c r="B15" t="s">
        <v>3875</v>
      </c>
      <c r="C15" s="5" t="s">
        <v>7775</v>
      </c>
      <c r="D15" s="1">
        <v>1</v>
      </c>
      <c r="E15" s="1">
        <v>2</v>
      </c>
      <c r="F15" s="1">
        <v>3</v>
      </c>
      <c r="G15" s="1">
        <v>4</v>
      </c>
      <c r="H15" s="13" cm="1">
        <f t="array" ref="H15">_xlfn.LET(_xlpm.s,IFERROR(--F15,""),_xlpm.e,IFERROR(--G15,""),IF(OR(_xlpm.s="",_xlpm.e="",_xlpm.e&lt;_xlpm.s),"",_xlfn.LET(_xlpm.p,_xlfn.SEQUENCE(_xlpm.e-_xlpm.s+1,1,_xlpm.s,1),SUM(1/COUNTIFS($D:$D,D15,$E:$E,E15,$F:$F,"&lt;&gt;N/A",$G:$G,"&lt;&gt;N/A",$F:$F,"&lt;="&amp;_xlpm.p,$G:$G,"&gt;="&amp;_xlpm.p)))))</f>
        <v>1.5</v>
      </c>
      <c r="I15" t="s">
        <v>1279</v>
      </c>
      <c r="J15" s="5" t="s">
        <v>1286</v>
      </c>
      <c r="K15" s="5" t="s">
        <v>7</v>
      </c>
      <c r="L15" s="5" t="s">
        <v>7</v>
      </c>
      <c r="M15" s="5" t="s">
        <v>7</v>
      </c>
      <c r="N15" s="5" t="s">
        <v>7</v>
      </c>
      <c r="O15" t="s">
        <v>778</v>
      </c>
      <c r="P15" t="s">
        <v>7834</v>
      </c>
      <c r="R15" s="1" t="b">
        <v>0</v>
      </c>
    </row>
    <row r="16" spans="1:18">
      <c r="A16" t="s">
        <v>3021</v>
      </c>
      <c r="B16" t="s">
        <v>3876</v>
      </c>
      <c r="C16" s="5" t="s">
        <v>7775</v>
      </c>
      <c r="D16" s="1">
        <v>1</v>
      </c>
      <c r="E16" s="1">
        <v>2</v>
      </c>
      <c r="F16" s="1">
        <v>4</v>
      </c>
      <c r="G16" s="1">
        <v>5</v>
      </c>
      <c r="H16" s="13" cm="1">
        <f t="array" ref="H16">_xlfn.LET(_xlpm.s,IFERROR(--F16,""),_xlpm.e,IFERROR(--G16,""),IF(OR(_xlpm.s="",_xlpm.e="",_xlpm.e&lt;_xlpm.s),"",_xlfn.LET(_xlpm.p,_xlfn.SEQUENCE(_xlpm.e-_xlpm.s+1,1,_xlpm.s,1),SUM(1/COUNTIFS($D:$D,D16,$E:$E,E16,$F:$F,"&lt;&gt;N/A",$G:$G,"&lt;&gt;N/A",$F:$F,"&lt;="&amp;_xlpm.p,$G:$G,"&gt;="&amp;_xlpm.p)))))</f>
        <v>1</v>
      </c>
      <c r="I16" t="s">
        <v>1279</v>
      </c>
      <c r="J16" s="5" t="s">
        <v>1287</v>
      </c>
      <c r="K16" s="5" t="s">
        <v>7</v>
      </c>
      <c r="L16" s="5" t="s">
        <v>7</v>
      </c>
      <c r="M16" s="5" t="s">
        <v>7</v>
      </c>
      <c r="N16" s="5" t="s">
        <v>7</v>
      </c>
      <c r="O16" t="s">
        <v>778</v>
      </c>
      <c r="P16" t="s">
        <v>7834</v>
      </c>
      <c r="R16" s="1" t="b">
        <v>0</v>
      </c>
    </row>
    <row r="17" spans="1:18">
      <c r="A17" t="s">
        <v>3021</v>
      </c>
      <c r="B17" t="s">
        <v>3877</v>
      </c>
      <c r="C17" s="5" t="s">
        <v>7775</v>
      </c>
      <c r="D17" s="1">
        <v>1</v>
      </c>
      <c r="E17" s="1">
        <v>2</v>
      </c>
      <c r="F17" s="1">
        <v>5</v>
      </c>
      <c r="G17" s="1">
        <v>6</v>
      </c>
      <c r="H17" s="13" cm="1">
        <f t="array" ref="H17">_xlfn.LET(_xlpm.s,IFERROR(--F17,""),_xlpm.e,IFERROR(--G17,""),IF(OR(_xlpm.s="",_xlpm.e="",_xlpm.e&lt;_xlpm.s),"",_xlfn.LET(_xlpm.p,_xlfn.SEQUENCE(_xlpm.e-_xlpm.s+1,1,_xlpm.s,1),SUM(1/COUNTIFS($D:$D,D17,$E:$E,E17,$F:$F,"&lt;&gt;N/A",$G:$G,"&lt;&gt;N/A",$F:$F,"&lt;="&amp;_xlpm.p,$G:$G,"&gt;="&amp;_xlpm.p)))))</f>
        <v>1</v>
      </c>
      <c r="I17" t="s">
        <v>1279</v>
      </c>
      <c r="J17" s="5" t="s">
        <v>1289</v>
      </c>
      <c r="K17" s="5" t="s">
        <v>7</v>
      </c>
      <c r="L17" s="5" t="s">
        <v>7</v>
      </c>
      <c r="M17" s="5" t="s">
        <v>7</v>
      </c>
      <c r="N17" s="5" t="s">
        <v>7</v>
      </c>
      <c r="O17" t="s">
        <v>778</v>
      </c>
      <c r="P17" t="s">
        <v>7834</v>
      </c>
      <c r="R17" s="1" t="b">
        <v>0</v>
      </c>
    </row>
    <row r="18" spans="1:18">
      <c r="A18" t="s">
        <v>3021</v>
      </c>
      <c r="B18" t="s">
        <v>3878</v>
      </c>
      <c r="C18" s="5" t="s">
        <v>7775</v>
      </c>
      <c r="D18" s="1">
        <v>1</v>
      </c>
      <c r="E18" s="1">
        <v>2</v>
      </c>
      <c r="F18" s="1">
        <v>6</v>
      </c>
      <c r="G18" s="1">
        <v>7</v>
      </c>
      <c r="H18" s="13" cm="1">
        <f t="array" ref="H18">_xlfn.LET(_xlpm.s,IFERROR(--F18,""),_xlpm.e,IFERROR(--G18,""),IF(OR(_xlpm.s="",_xlpm.e="",_xlpm.e&lt;_xlpm.s),"",_xlfn.LET(_xlpm.p,_xlfn.SEQUENCE(_xlpm.e-_xlpm.s+1,1,_xlpm.s,1),SUM(1/COUNTIFS($D:$D,D18,$E:$E,E18,$F:$F,"&lt;&gt;N/A",$G:$G,"&lt;&gt;N/A",$F:$F,"&lt;="&amp;_xlpm.p,$G:$G,"&gt;="&amp;_xlpm.p)))))</f>
        <v>1</v>
      </c>
      <c r="I18" t="s">
        <v>1279</v>
      </c>
      <c r="J18" s="5" t="s">
        <v>1288</v>
      </c>
      <c r="K18" s="5" t="s">
        <v>7</v>
      </c>
      <c r="L18" s="5" t="s">
        <v>7</v>
      </c>
      <c r="M18" s="5" t="s">
        <v>7</v>
      </c>
      <c r="N18" s="5" t="s">
        <v>7</v>
      </c>
      <c r="O18" t="s">
        <v>778</v>
      </c>
      <c r="P18" t="s">
        <v>7834</v>
      </c>
      <c r="R18" s="1" t="b">
        <v>0</v>
      </c>
    </row>
    <row r="19" spans="1:18">
      <c r="A19" t="s">
        <v>3021</v>
      </c>
      <c r="B19" t="s">
        <v>3879</v>
      </c>
      <c r="C19" s="5" t="s">
        <v>7775</v>
      </c>
      <c r="D19" s="1">
        <v>1</v>
      </c>
      <c r="E19" s="1">
        <v>2</v>
      </c>
      <c r="F19" s="1">
        <v>7</v>
      </c>
      <c r="G19" s="1">
        <v>8</v>
      </c>
      <c r="H19" s="13" cm="1">
        <f t="array" ref="H19">_xlfn.LET(_xlpm.s,IFERROR(--F19,""),_xlpm.e,IFERROR(--G19,""),IF(OR(_xlpm.s="",_xlpm.e="",_xlpm.e&lt;_xlpm.s),"",_xlfn.LET(_xlpm.p,_xlfn.SEQUENCE(_xlpm.e-_xlpm.s+1,1,_xlpm.s,1),SUM(1/COUNTIFS($D:$D,D19,$E:$E,E19,$F:$F,"&lt;&gt;N/A",$G:$G,"&lt;&gt;N/A",$F:$F,"&lt;="&amp;_xlpm.p,$G:$G,"&gt;="&amp;_xlpm.p)))))</f>
        <v>1</v>
      </c>
      <c r="I19" t="s">
        <v>1279</v>
      </c>
      <c r="J19" s="5" t="s">
        <v>1290</v>
      </c>
      <c r="K19" s="5" t="s">
        <v>7</v>
      </c>
      <c r="L19" s="5" t="s">
        <v>7</v>
      </c>
      <c r="M19" s="5" t="s">
        <v>7</v>
      </c>
      <c r="N19" s="5" t="s">
        <v>7</v>
      </c>
      <c r="O19" t="s">
        <v>778</v>
      </c>
      <c r="P19" t="s">
        <v>7834</v>
      </c>
      <c r="R19" s="1" t="b">
        <v>0</v>
      </c>
    </row>
    <row r="20" spans="1:18">
      <c r="A20" t="s">
        <v>3021</v>
      </c>
      <c r="B20" t="s">
        <v>3880</v>
      </c>
      <c r="C20" s="5" t="s">
        <v>7775</v>
      </c>
      <c r="D20" s="1">
        <v>1</v>
      </c>
      <c r="E20" s="1">
        <v>2</v>
      </c>
      <c r="F20" s="1">
        <v>8</v>
      </c>
      <c r="G20" s="1">
        <v>10</v>
      </c>
      <c r="H20" s="13" cm="1">
        <f t="array" ref="H20">_xlfn.LET(_xlpm.s,IFERROR(--F20,""),_xlpm.e,IFERROR(--G20,""),IF(OR(_xlpm.s="",_xlpm.e="",_xlpm.e&lt;_xlpm.s),"",_xlfn.LET(_xlpm.p,_xlfn.SEQUENCE(_xlpm.e-_xlpm.s+1,1,_xlpm.s,1),SUM(1/COUNTIFS($D:$D,D20,$E:$E,E20,$F:$F,"&lt;&gt;N/A",$G:$G,"&lt;&gt;N/A",$F:$F,"&lt;="&amp;_xlpm.p,$G:$G,"&gt;="&amp;_xlpm.p)))))</f>
        <v>2</v>
      </c>
      <c r="I20" t="s">
        <v>1279</v>
      </c>
      <c r="J20" s="5" t="s">
        <v>1291</v>
      </c>
      <c r="K20" s="5" t="s">
        <v>7</v>
      </c>
      <c r="L20" s="5" t="s">
        <v>7</v>
      </c>
      <c r="M20" s="5" t="s">
        <v>7</v>
      </c>
      <c r="N20" s="5" t="s">
        <v>7</v>
      </c>
      <c r="O20" t="s">
        <v>778</v>
      </c>
      <c r="P20" t="s">
        <v>7834</v>
      </c>
      <c r="R20" s="1" t="b">
        <v>0</v>
      </c>
    </row>
    <row r="21" spans="1:18">
      <c r="A21" t="s">
        <v>3021</v>
      </c>
      <c r="B21" t="s">
        <v>3881</v>
      </c>
      <c r="C21" s="5" t="s">
        <v>7775</v>
      </c>
      <c r="D21" s="1">
        <v>1</v>
      </c>
      <c r="E21" s="1">
        <v>2</v>
      </c>
      <c r="F21" s="1">
        <v>10</v>
      </c>
      <c r="G21" s="1">
        <v>15</v>
      </c>
      <c r="H21" s="13" cm="1">
        <f t="array" ref="H21">_xlfn.LET(_xlpm.s,IFERROR(--F21,""),_xlpm.e,IFERROR(--G21,""),IF(OR(_xlpm.s="",_xlpm.e="",_xlpm.e&lt;_xlpm.s),"",_xlfn.LET(_xlpm.p,_xlfn.SEQUENCE(_xlpm.e-_xlpm.s+1,1,_xlpm.s,1),SUM(1/COUNTIFS($D:$D,D21,$E:$E,E21,$F:$F,"&lt;&gt;N/A",$G:$G,"&lt;&gt;N/A",$F:$F,"&lt;="&amp;_xlpm.p,$G:$G,"&gt;="&amp;_xlpm.p)))))</f>
        <v>5</v>
      </c>
      <c r="I21" t="s">
        <v>1279</v>
      </c>
      <c r="J21" s="5" t="s">
        <v>4342</v>
      </c>
      <c r="K21" s="5" t="s">
        <v>7</v>
      </c>
      <c r="L21" s="5" t="s">
        <v>7</v>
      </c>
      <c r="M21" s="5" t="s">
        <v>7</v>
      </c>
      <c r="N21" s="5" t="s">
        <v>7</v>
      </c>
      <c r="O21" t="s">
        <v>778</v>
      </c>
      <c r="P21" t="s">
        <v>7834</v>
      </c>
      <c r="R21" s="1" t="b">
        <v>1</v>
      </c>
    </row>
    <row r="22" spans="1:18">
      <c r="A22" t="s">
        <v>3021</v>
      </c>
      <c r="B22" t="s">
        <v>3882</v>
      </c>
      <c r="C22" s="5" t="s">
        <v>7775</v>
      </c>
      <c r="D22" s="1">
        <v>1</v>
      </c>
      <c r="E22" s="1">
        <v>2</v>
      </c>
      <c r="F22" s="1">
        <v>15</v>
      </c>
      <c r="G22" s="1">
        <v>17</v>
      </c>
      <c r="H22" s="13" cm="1">
        <f t="array" ref="H22">_xlfn.LET(_xlpm.s,IFERROR(--F22,""),_xlpm.e,IFERROR(--G22,""),IF(OR(_xlpm.s="",_xlpm.e="",_xlpm.e&lt;_xlpm.s),"",_xlfn.LET(_xlpm.p,_xlfn.SEQUENCE(_xlpm.e-_xlpm.s+1,1,_xlpm.s,1),SUM(1/COUNTIFS($D:$D,D22,$E:$E,E22,$F:$F,"&lt;&gt;N/A",$G:$G,"&lt;&gt;N/A",$F:$F,"&lt;="&amp;_xlpm.p,$G:$G,"&gt;="&amp;_xlpm.p)))))</f>
        <v>2.5</v>
      </c>
      <c r="I22" t="s">
        <v>1279</v>
      </c>
      <c r="J22" s="5" t="s">
        <v>1292</v>
      </c>
      <c r="K22" s="5" t="s">
        <v>7</v>
      </c>
      <c r="L22" s="5" t="s">
        <v>7</v>
      </c>
      <c r="M22" s="5" t="s">
        <v>7</v>
      </c>
      <c r="N22" s="5" t="s">
        <v>7</v>
      </c>
      <c r="O22" t="s">
        <v>778</v>
      </c>
      <c r="P22" t="s">
        <v>7834</v>
      </c>
      <c r="R22" s="1" t="b">
        <v>0</v>
      </c>
    </row>
    <row r="23" spans="1:18">
      <c r="A23" t="s">
        <v>3021</v>
      </c>
      <c r="B23" t="s">
        <v>3883</v>
      </c>
      <c r="C23" s="5" t="s">
        <v>7775</v>
      </c>
      <c r="D23" s="1">
        <v>1</v>
      </c>
      <c r="E23" s="1">
        <v>2</v>
      </c>
      <c r="F23" s="1">
        <v>18</v>
      </c>
      <c r="G23" s="1">
        <v>19</v>
      </c>
      <c r="H23" s="13" cm="1">
        <f t="array" ref="H23">_xlfn.LET(_xlpm.s,IFERROR(--F23,""),_xlpm.e,IFERROR(--G23,""),IF(OR(_xlpm.s="",_xlpm.e="",_xlpm.e&lt;_xlpm.s),"",_xlfn.LET(_xlpm.p,_xlfn.SEQUENCE(_xlpm.e-_xlpm.s+1,1,_xlpm.s,1),SUM(1/COUNTIFS($D:$D,D23,$E:$E,E23,$F:$F,"&lt;&gt;N/A",$G:$G,"&lt;&gt;N/A",$F:$F,"&lt;="&amp;_xlpm.p,$G:$G,"&gt;="&amp;_xlpm.p)))))</f>
        <v>1.5</v>
      </c>
      <c r="I23" t="s">
        <v>1279</v>
      </c>
      <c r="J23" s="5" t="s">
        <v>1293</v>
      </c>
      <c r="K23" s="5" t="s">
        <v>1294</v>
      </c>
      <c r="L23" s="5" t="s">
        <v>7</v>
      </c>
      <c r="M23" s="5" t="s">
        <v>7</v>
      </c>
      <c r="N23" s="5" t="s">
        <v>7</v>
      </c>
      <c r="O23" t="s">
        <v>778</v>
      </c>
      <c r="P23" t="s">
        <v>7834</v>
      </c>
      <c r="R23" s="1" t="b">
        <v>1</v>
      </c>
    </row>
    <row r="24" spans="1:18">
      <c r="A24" t="s">
        <v>3021</v>
      </c>
      <c r="B24" t="s">
        <v>3884</v>
      </c>
      <c r="C24" s="5" t="s">
        <v>7775</v>
      </c>
      <c r="D24" s="1">
        <v>1</v>
      </c>
      <c r="E24" s="1">
        <v>2</v>
      </c>
      <c r="F24" s="1">
        <v>19</v>
      </c>
      <c r="G24" s="1">
        <v>23</v>
      </c>
      <c r="H24" s="13" cm="1">
        <f t="array" ref="H24">_xlfn.LET(_xlpm.s,IFERROR(--F24,""),_xlpm.e,IFERROR(--G24,""),IF(OR(_xlpm.s="",_xlpm.e="",_xlpm.e&lt;_xlpm.s),"",_xlfn.LET(_xlpm.p,_xlfn.SEQUENCE(_xlpm.e-_xlpm.s+1,1,_xlpm.s,1),SUM(1/COUNTIFS($D:$D,D24,$E:$E,E24,$F:$F,"&lt;&gt;N/A",$G:$G,"&lt;&gt;N/A",$F:$F,"&lt;="&amp;_xlpm.p,$G:$G,"&gt;="&amp;_xlpm.p)))))</f>
        <v>4</v>
      </c>
      <c r="I24" t="s">
        <v>1279</v>
      </c>
      <c r="J24" s="5" t="s">
        <v>4344</v>
      </c>
      <c r="K24" s="5" t="s">
        <v>618</v>
      </c>
      <c r="L24" s="5" t="s">
        <v>7</v>
      </c>
      <c r="M24" s="5" t="s">
        <v>7</v>
      </c>
      <c r="N24" s="5" t="s">
        <v>7</v>
      </c>
      <c r="O24" t="s">
        <v>778</v>
      </c>
      <c r="P24" t="s">
        <v>7834</v>
      </c>
      <c r="R24" s="1" t="b">
        <v>1</v>
      </c>
    </row>
    <row r="25" spans="1:18">
      <c r="A25" t="s">
        <v>3021</v>
      </c>
      <c r="B25" t="s">
        <v>3885</v>
      </c>
      <c r="C25" s="5" t="s">
        <v>7775</v>
      </c>
      <c r="D25" s="1">
        <v>1</v>
      </c>
      <c r="E25" s="1">
        <v>2</v>
      </c>
      <c r="F25" s="1">
        <v>23</v>
      </c>
      <c r="G25" s="1">
        <v>31</v>
      </c>
      <c r="H25" s="13" cm="1">
        <f t="array" ref="H25">_xlfn.LET(_xlpm.s,IFERROR(--F25,""),_xlpm.e,IFERROR(--G25,""),IF(OR(_xlpm.s="",_xlpm.e="",_xlpm.e&lt;_xlpm.s),"",_xlfn.LET(_xlpm.p,_xlfn.SEQUENCE(_xlpm.e-_xlpm.s+1,1,_xlpm.s,1),SUM(1/COUNTIFS($D:$D,D25,$E:$E,E25,$F:$F,"&lt;&gt;N/A",$G:$G,"&lt;&gt;N/A",$F:$F,"&lt;="&amp;_xlpm.p,$G:$G,"&gt;="&amp;_xlpm.p)))))</f>
        <v>8.5</v>
      </c>
      <c r="I25" t="s">
        <v>1279</v>
      </c>
      <c r="J25" s="5" t="s">
        <v>1295</v>
      </c>
      <c r="K25" s="5" t="s">
        <v>1280</v>
      </c>
      <c r="L25" s="5" t="s">
        <v>7</v>
      </c>
      <c r="M25" s="5" t="s">
        <v>7</v>
      </c>
      <c r="N25" s="5" t="s">
        <v>7</v>
      </c>
      <c r="O25" t="s">
        <v>778</v>
      </c>
      <c r="P25" t="s">
        <v>7834</v>
      </c>
      <c r="R25" s="1" t="b">
        <v>1</v>
      </c>
    </row>
    <row r="26" spans="1:18">
      <c r="A26" t="s">
        <v>3021</v>
      </c>
      <c r="B26" t="s">
        <v>3886</v>
      </c>
      <c r="C26" s="5" t="s">
        <v>7775</v>
      </c>
      <c r="D26" s="1">
        <v>1</v>
      </c>
      <c r="E26" s="1">
        <v>2</v>
      </c>
      <c r="F26" s="1">
        <v>32</v>
      </c>
      <c r="G26" s="1">
        <v>34</v>
      </c>
      <c r="H26" s="13" cm="1">
        <f t="array" ref="H26">_xlfn.LET(_xlpm.s,IFERROR(--F26,""),_xlpm.e,IFERROR(--G26,""),IF(OR(_xlpm.s="",_xlpm.e="",_xlpm.e&lt;_xlpm.s),"",_xlfn.LET(_xlpm.p,_xlfn.SEQUENCE(_xlpm.e-_xlpm.s+1,1,_xlpm.s,1),SUM(1/COUNTIFS($D:$D,D26,$E:$E,E26,$F:$F,"&lt;&gt;N/A",$G:$G,"&lt;&gt;N/A",$F:$F,"&lt;="&amp;_xlpm.p,$G:$G,"&gt;="&amp;_xlpm.p)))))</f>
        <v>2.5</v>
      </c>
      <c r="I26" t="s">
        <v>1279</v>
      </c>
      <c r="J26" s="5" t="s">
        <v>1296</v>
      </c>
      <c r="K26" s="5" t="s">
        <v>1280</v>
      </c>
      <c r="L26" s="5" t="s">
        <v>7</v>
      </c>
      <c r="M26" s="5" t="s">
        <v>7</v>
      </c>
      <c r="N26" s="5" t="s">
        <v>7</v>
      </c>
      <c r="O26" t="s">
        <v>778</v>
      </c>
      <c r="P26" t="s">
        <v>7834</v>
      </c>
      <c r="R26" s="1" t="b">
        <v>1</v>
      </c>
    </row>
    <row r="27" spans="1:18">
      <c r="A27" t="s">
        <v>3021</v>
      </c>
      <c r="B27" t="s">
        <v>3887</v>
      </c>
      <c r="C27" s="5" t="s">
        <v>7775</v>
      </c>
      <c r="D27" s="1">
        <v>1</v>
      </c>
      <c r="E27" s="1">
        <v>2</v>
      </c>
      <c r="F27" s="1">
        <v>34</v>
      </c>
      <c r="G27" s="1">
        <v>36</v>
      </c>
      <c r="H27" s="13" cm="1">
        <f t="array" ref="H27">_xlfn.LET(_xlpm.s,IFERROR(--F27,""),_xlpm.e,IFERROR(--G27,""),IF(OR(_xlpm.s="",_xlpm.e="",_xlpm.e&lt;_xlpm.s),"",_xlfn.LET(_xlpm.p,_xlfn.SEQUENCE(_xlpm.e-_xlpm.s+1,1,_xlpm.s,1),SUM(1/COUNTIFS($D:$D,D27,$E:$E,E27,$F:$F,"&lt;&gt;N/A",$G:$G,"&lt;&gt;N/A",$F:$F,"&lt;="&amp;_xlpm.p,$G:$G,"&gt;="&amp;_xlpm.p)))))</f>
        <v>2.5</v>
      </c>
      <c r="I27" t="s">
        <v>1297</v>
      </c>
      <c r="J27" s="5" t="s">
        <v>1298</v>
      </c>
      <c r="K27" s="5" t="s">
        <v>1280</v>
      </c>
      <c r="L27" s="5" t="s">
        <v>7</v>
      </c>
      <c r="M27" s="5" t="s">
        <v>7</v>
      </c>
      <c r="N27" s="5" t="s">
        <v>7</v>
      </c>
      <c r="O27" t="s">
        <v>778</v>
      </c>
      <c r="P27" t="s">
        <v>7834</v>
      </c>
      <c r="R27" s="1" t="b">
        <v>1</v>
      </c>
    </row>
    <row r="28" spans="1:18">
      <c r="A28" t="s">
        <v>3021</v>
      </c>
      <c r="B28" t="s">
        <v>3888</v>
      </c>
      <c r="C28" s="5" t="s">
        <v>7775</v>
      </c>
      <c r="D28" s="1">
        <v>1</v>
      </c>
      <c r="E28" s="1">
        <v>2</v>
      </c>
      <c r="F28" s="1">
        <v>37</v>
      </c>
      <c r="G28" s="1">
        <v>37</v>
      </c>
      <c r="H28" s="13" cm="1">
        <f t="array" ref="H28">_xlfn.LET(_xlpm.s,IFERROR(--F28,""),_xlpm.e,IFERROR(--G28,""),IF(OR(_xlpm.s="",_xlpm.e="",_xlpm.e&lt;_xlpm.s),"",_xlfn.LET(_xlpm.p,_xlfn.SEQUENCE(_xlpm.e-_xlpm.s+1,1,_xlpm.s,1),SUM(1/COUNTIFS($D:$D,D28,$E:$E,E28,$F:$F,"&lt;&gt;N/A",$G:$G,"&lt;&gt;N/A",$F:$F,"&lt;="&amp;_xlpm.p,$G:$G,"&gt;="&amp;_xlpm.p)))))</f>
        <v>1</v>
      </c>
      <c r="I28" t="s">
        <v>208</v>
      </c>
      <c r="J28" s="5" t="s">
        <v>1299</v>
      </c>
      <c r="K28" s="5" t="s">
        <v>7</v>
      </c>
      <c r="L28" s="5" t="s">
        <v>5583</v>
      </c>
      <c r="M28" s="5" t="s">
        <v>6423</v>
      </c>
      <c r="N28" s="5" t="s">
        <v>11512</v>
      </c>
      <c r="O28" t="s">
        <v>5072</v>
      </c>
      <c r="P28" t="s">
        <v>8021</v>
      </c>
      <c r="Q28" s="5" t="s">
        <v>2509</v>
      </c>
      <c r="R28" s="1" t="b">
        <v>1</v>
      </c>
    </row>
    <row r="29" spans="1:18">
      <c r="A29" t="s">
        <v>3021</v>
      </c>
      <c r="B29" t="s">
        <v>3889</v>
      </c>
      <c r="C29" s="5" t="s">
        <v>7775</v>
      </c>
      <c r="D29" s="1">
        <v>1</v>
      </c>
      <c r="E29" s="1">
        <v>2</v>
      </c>
      <c r="F29" s="1">
        <v>38</v>
      </c>
      <c r="G29" s="1">
        <v>38</v>
      </c>
      <c r="H29" s="13" cm="1">
        <f t="array" ref="H29">_xlfn.LET(_xlpm.s,IFERROR(--F29,""),_xlpm.e,IFERROR(--G29,""),IF(OR(_xlpm.s="",_xlpm.e="",_xlpm.e&lt;_xlpm.s),"",_xlfn.LET(_xlpm.p,_xlfn.SEQUENCE(_xlpm.e-_xlpm.s+1,1,_xlpm.s,1),SUM(1/COUNTIFS($D:$D,D29,$E:$E,E29,$F:$F,"&lt;&gt;N/A",$G:$G,"&lt;&gt;N/A",$F:$F,"&lt;="&amp;_xlpm.p,$G:$G,"&gt;="&amp;_xlpm.p)))))</f>
        <v>0.5</v>
      </c>
      <c r="I29" t="s">
        <v>208</v>
      </c>
      <c r="J29" s="5" t="s">
        <v>1300</v>
      </c>
      <c r="K29" s="5" t="s">
        <v>1280</v>
      </c>
      <c r="L29" s="5" t="s">
        <v>7</v>
      </c>
      <c r="M29" s="5" t="s">
        <v>7</v>
      </c>
      <c r="N29" s="5" t="s">
        <v>7</v>
      </c>
      <c r="O29" t="s">
        <v>778</v>
      </c>
      <c r="P29" t="s">
        <v>7834</v>
      </c>
      <c r="R29" s="1" t="b">
        <v>1</v>
      </c>
    </row>
    <row r="30" spans="1:18">
      <c r="A30" t="s">
        <v>3021</v>
      </c>
      <c r="B30" t="s">
        <v>3890</v>
      </c>
      <c r="C30" s="5" t="s">
        <v>7775</v>
      </c>
      <c r="D30" s="1">
        <v>1</v>
      </c>
      <c r="E30" s="1">
        <v>2</v>
      </c>
      <c r="F30" s="1">
        <v>38</v>
      </c>
      <c r="G30" s="1">
        <v>39</v>
      </c>
      <c r="H30" s="13" cm="1">
        <f t="array" ref="H30">_xlfn.LET(_xlpm.s,IFERROR(--F30,""),_xlpm.e,IFERROR(--G30,""),IF(OR(_xlpm.s="",_xlpm.e="",_xlpm.e&lt;_xlpm.s),"",_xlfn.LET(_xlpm.p,_xlfn.SEQUENCE(_xlpm.e-_xlpm.s+1,1,_xlpm.s,1),SUM(1/COUNTIFS($D:$D,D30,$E:$E,E30,$F:$F,"&lt;&gt;N/A",$G:$G,"&lt;&gt;N/A",$F:$F,"&lt;="&amp;_xlpm.p,$G:$G,"&gt;="&amp;_xlpm.p)))))</f>
        <v>1</v>
      </c>
      <c r="I30" t="s">
        <v>208</v>
      </c>
      <c r="J30" s="5" t="s">
        <v>1301</v>
      </c>
      <c r="K30" s="5" t="s">
        <v>7</v>
      </c>
      <c r="L30" s="5" t="s">
        <v>6367</v>
      </c>
      <c r="M30" s="5" t="s">
        <v>7</v>
      </c>
      <c r="N30" s="5" t="s">
        <v>7</v>
      </c>
      <c r="O30" t="s">
        <v>5072</v>
      </c>
      <c r="P30" t="s">
        <v>8021</v>
      </c>
      <c r="R30" s="1" t="b">
        <v>1</v>
      </c>
    </row>
    <row r="31" spans="1:18">
      <c r="A31" t="s">
        <v>3021</v>
      </c>
      <c r="B31" t="s">
        <v>3891</v>
      </c>
      <c r="C31" s="5" t="s">
        <v>7775</v>
      </c>
      <c r="D31" s="1">
        <v>1</v>
      </c>
      <c r="E31" s="1">
        <v>2</v>
      </c>
      <c r="F31" s="1">
        <v>39</v>
      </c>
      <c r="G31" s="1">
        <v>39</v>
      </c>
      <c r="H31" s="13" cm="1">
        <f t="array" ref="H31">_xlfn.LET(_xlpm.s,IFERROR(--F31,""),_xlpm.e,IFERROR(--G31,""),IF(OR(_xlpm.s="",_xlpm.e="",_xlpm.e&lt;_xlpm.s),"",_xlfn.LET(_xlpm.p,_xlfn.SEQUENCE(_xlpm.e-_xlpm.s+1,1,_xlpm.s,1),SUM(1/COUNTIFS($D:$D,D31,$E:$E,E31,$F:$F,"&lt;&gt;N/A",$G:$G,"&lt;&gt;N/A",$F:$F,"&lt;="&amp;_xlpm.p,$G:$G,"&gt;="&amp;_xlpm.p)))))</f>
        <v>0.5</v>
      </c>
      <c r="I31" t="s">
        <v>208</v>
      </c>
      <c r="J31" s="5" t="s">
        <v>1380</v>
      </c>
      <c r="K31" s="5" t="s">
        <v>7</v>
      </c>
      <c r="L31" s="5" t="s">
        <v>7</v>
      </c>
      <c r="M31" s="5" t="s">
        <v>7</v>
      </c>
      <c r="N31" s="5" t="s">
        <v>7</v>
      </c>
      <c r="O31" t="s">
        <v>778</v>
      </c>
      <c r="P31" t="s">
        <v>7834</v>
      </c>
      <c r="R31" s="1" t="b">
        <v>1</v>
      </c>
    </row>
    <row r="32" spans="1:18">
      <c r="A32" t="s">
        <v>3021</v>
      </c>
      <c r="B32" t="s">
        <v>3892</v>
      </c>
      <c r="C32" s="5" t="s">
        <v>7775</v>
      </c>
      <c r="D32" s="1">
        <v>1</v>
      </c>
      <c r="E32" s="1">
        <v>2</v>
      </c>
      <c r="F32" s="1">
        <v>40</v>
      </c>
      <c r="G32" s="1">
        <v>40</v>
      </c>
      <c r="H32" s="13" cm="1">
        <f t="array" ref="H32">_xlfn.LET(_xlpm.s,IFERROR(--F32,""),_xlpm.e,IFERROR(--G32,""),IF(OR(_xlpm.s="",_xlpm.e="",_xlpm.e&lt;_xlpm.s),"",_xlfn.LET(_xlpm.p,_xlfn.SEQUENCE(_xlpm.e-_xlpm.s+1,1,_xlpm.s,1),SUM(1/COUNTIFS($D:$D,D32,$E:$E,E32,$F:$F,"&lt;&gt;N/A",$G:$G,"&lt;&gt;N/A",$F:$F,"&lt;="&amp;_xlpm.p,$G:$G,"&gt;="&amp;_xlpm.p)))))</f>
        <v>1</v>
      </c>
      <c r="I32" t="s">
        <v>208</v>
      </c>
      <c r="J32" s="5" t="s">
        <v>4479</v>
      </c>
      <c r="K32" s="5" t="s">
        <v>1302</v>
      </c>
      <c r="L32" s="5" t="s">
        <v>7</v>
      </c>
      <c r="M32" s="5" t="s">
        <v>7</v>
      </c>
      <c r="N32" s="5" t="s">
        <v>7</v>
      </c>
      <c r="O32" t="s">
        <v>778</v>
      </c>
      <c r="P32" t="s">
        <v>7834</v>
      </c>
      <c r="R32" s="1" t="b">
        <v>1</v>
      </c>
    </row>
    <row r="33" spans="1:18">
      <c r="A33" t="s">
        <v>3021</v>
      </c>
      <c r="B33" t="s">
        <v>3893</v>
      </c>
      <c r="C33" s="5" t="s">
        <v>7783</v>
      </c>
      <c r="D33" s="1">
        <v>1</v>
      </c>
      <c r="E33" s="1">
        <v>3</v>
      </c>
      <c r="F33" s="1">
        <v>3</v>
      </c>
      <c r="G33" s="1">
        <v>7</v>
      </c>
      <c r="H33" s="13" cm="1">
        <f t="array" ref="H33">_xlfn.LET(_xlpm.s,IFERROR(--F33,""),_xlpm.e,IFERROR(--G33,""),IF(OR(_xlpm.s="",_xlpm.e="",_xlpm.e&lt;_xlpm.s),"",_xlfn.LET(_xlpm.p,_xlfn.SEQUENCE(_xlpm.e-_xlpm.s+1,1,_xlpm.s,1),SUM(1/COUNTIFS($D:$D,D33,$E:$E,E33,$F:$F,"&lt;&gt;N/A",$G:$G,"&lt;&gt;N/A",$F:$F,"&lt;="&amp;_xlpm.p,$G:$G,"&gt;="&amp;_xlpm.p)))))</f>
        <v>4.5</v>
      </c>
      <c r="I33" t="s">
        <v>1279</v>
      </c>
      <c r="J33" s="5" t="s">
        <v>1303</v>
      </c>
      <c r="K33" s="5" t="s">
        <v>7</v>
      </c>
      <c r="L33" s="5" t="s">
        <v>7</v>
      </c>
      <c r="M33" s="5" t="s">
        <v>7</v>
      </c>
      <c r="N33" s="5" t="s">
        <v>7</v>
      </c>
      <c r="O33" t="s">
        <v>778</v>
      </c>
      <c r="P33" t="s">
        <v>7834</v>
      </c>
      <c r="R33" s="1" t="b">
        <v>0</v>
      </c>
    </row>
    <row r="34" spans="1:18">
      <c r="A34" t="s">
        <v>3021</v>
      </c>
      <c r="B34" t="s">
        <v>3894</v>
      </c>
      <c r="C34" s="5" t="s">
        <v>7783</v>
      </c>
      <c r="D34" s="1">
        <v>1</v>
      </c>
      <c r="E34" s="1">
        <v>3</v>
      </c>
      <c r="F34" s="1">
        <v>7</v>
      </c>
      <c r="G34" s="1">
        <v>13</v>
      </c>
      <c r="H34" s="13" cm="1">
        <f t="array" ref="H34">_xlfn.LET(_xlpm.s,IFERROR(--F34,""),_xlpm.e,IFERROR(--G34,""),IF(OR(_xlpm.s="",_xlpm.e="",_xlpm.e&lt;_xlpm.s),"",_xlfn.LET(_xlpm.p,_xlfn.SEQUENCE(_xlpm.e-_xlpm.s+1,1,_xlpm.s,1),SUM(1/COUNTIFS($D:$D,D34,$E:$E,E34,$F:$F,"&lt;&gt;N/A",$G:$G,"&lt;&gt;N/A",$F:$F,"&lt;="&amp;_xlpm.p,$G:$G,"&gt;="&amp;_xlpm.p)))))</f>
        <v>6</v>
      </c>
      <c r="I34" t="s">
        <v>1279</v>
      </c>
      <c r="J34" s="5" t="s">
        <v>1304</v>
      </c>
      <c r="K34" s="5" t="s">
        <v>7</v>
      </c>
      <c r="L34" s="5" t="s">
        <v>7</v>
      </c>
      <c r="M34" s="5" t="s">
        <v>7</v>
      </c>
      <c r="N34" s="5" t="s">
        <v>7</v>
      </c>
      <c r="O34" t="s">
        <v>778</v>
      </c>
      <c r="P34" t="s">
        <v>7834</v>
      </c>
      <c r="R34" s="1" t="b">
        <v>0</v>
      </c>
    </row>
    <row r="35" spans="1:18">
      <c r="A35" t="s">
        <v>3021</v>
      </c>
      <c r="B35" t="s">
        <v>3895</v>
      </c>
      <c r="C35" s="5" t="s">
        <v>7783</v>
      </c>
      <c r="D35" s="1">
        <v>1</v>
      </c>
      <c r="E35" s="1">
        <v>3</v>
      </c>
      <c r="F35" s="1">
        <v>13</v>
      </c>
      <c r="G35" s="1">
        <v>20</v>
      </c>
      <c r="H35" s="13" cm="1">
        <f t="array" ref="H35">_xlfn.LET(_xlpm.s,IFERROR(--F35,""),_xlpm.e,IFERROR(--G35,""),IF(OR(_xlpm.s="",_xlpm.e="",_xlpm.e&lt;_xlpm.s),"",_xlfn.LET(_xlpm.p,_xlfn.SEQUENCE(_xlpm.e-_xlpm.s+1,1,_xlpm.s,1),SUM(1/COUNTIFS($D:$D,D35,$E:$E,E35,$F:$F,"&lt;&gt;N/A",$G:$G,"&lt;&gt;N/A",$F:$F,"&lt;="&amp;_xlpm.p,$G:$G,"&gt;="&amp;_xlpm.p)))))</f>
        <v>7</v>
      </c>
      <c r="I35" t="s">
        <v>1279</v>
      </c>
      <c r="J35" s="5" t="s">
        <v>1305</v>
      </c>
      <c r="K35" s="5" t="s">
        <v>1306</v>
      </c>
      <c r="L35" s="5" t="s">
        <v>7</v>
      </c>
      <c r="M35" s="5" t="s">
        <v>7</v>
      </c>
      <c r="N35" s="5" t="s">
        <v>7</v>
      </c>
      <c r="O35" t="s">
        <v>778</v>
      </c>
      <c r="P35" t="s">
        <v>7834</v>
      </c>
      <c r="R35" s="1" t="b">
        <v>1</v>
      </c>
    </row>
    <row r="36" spans="1:18">
      <c r="A36" t="s">
        <v>3021</v>
      </c>
      <c r="B36" t="s">
        <v>3896</v>
      </c>
      <c r="C36" s="5" t="s">
        <v>7783</v>
      </c>
      <c r="D36" s="1">
        <v>1</v>
      </c>
      <c r="E36" s="1">
        <v>3</v>
      </c>
      <c r="F36" s="1">
        <v>20</v>
      </c>
      <c r="G36" s="1">
        <v>25</v>
      </c>
      <c r="H36" s="13" cm="1">
        <f t="array" ref="H36">_xlfn.LET(_xlpm.s,IFERROR(--F36,""),_xlpm.e,IFERROR(--G36,""),IF(OR(_xlpm.s="",_xlpm.e="",_xlpm.e&lt;_xlpm.s),"",_xlfn.LET(_xlpm.p,_xlfn.SEQUENCE(_xlpm.e-_xlpm.s+1,1,_xlpm.s,1),SUM(1/COUNTIFS($D:$D,D36,$E:$E,E36,$F:$F,"&lt;&gt;N/A",$G:$G,"&lt;&gt;N/A",$F:$F,"&lt;="&amp;_xlpm.p,$G:$G,"&gt;="&amp;_xlpm.p)))))</f>
        <v>5</v>
      </c>
      <c r="I36" t="s">
        <v>1279</v>
      </c>
      <c r="J36" s="5" t="s">
        <v>1307</v>
      </c>
      <c r="K36" s="5" t="s">
        <v>4829</v>
      </c>
      <c r="L36" s="5" t="s">
        <v>7</v>
      </c>
      <c r="M36" s="5" t="s">
        <v>7</v>
      </c>
      <c r="N36" s="5" t="s">
        <v>7</v>
      </c>
      <c r="O36" t="s">
        <v>778</v>
      </c>
      <c r="P36" t="s">
        <v>7834</v>
      </c>
      <c r="R36" s="1" t="b">
        <v>1</v>
      </c>
    </row>
    <row r="37" spans="1:18">
      <c r="A37" t="s">
        <v>3021</v>
      </c>
      <c r="B37" t="s">
        <v>3897</v>
      </c>
      <c r="C37" s="5" t="s">
        <v>7783</v>
      </c>
      <c r="D37" s="1">
        <v>1</v>
      </c>
      <c r="E37" s="1">
        <v>3</v>
      </c>
      <c r="F37" s="1">
        <v>25</v>
      </c>
      <c r="G37" s="1">
        <v>27</v>
      </c>
      <c r="H37" s="13" cm="1">
        <f t="array" ref="H37">_xlfn.LET(_xlpm.s,IFERROR(--F37,""),_xlpm.e,IFERROR(--G37,""),IF(OR(_xlpm.s="",_xlpm.e="",_xlpm.e&lt;_xlpm.s),"",_xlfn.LET(_xlpm.p,_xlfn.SEQUENCE(_xlpm.e-_xlpm.s+1,1,_xlpm.s,1),SUM(1/COUNTIFS($D:$D,D37,$E:$E,E37,$F:$F,"&lt;&gt;N/A",$G:$G,"&lt;&gt;N/A",$F:$F,"&lt;="&amp;_xlpm.p,$G:$G,"&gt;="&amp;_xlpm.p)))))</f>
        <v>2</v>
      </c>
      <c r="I37" t="s">
        <v>1279</v>
      </c>
      <c r="J37" s="5" t="s">
        <v>1308</v>
      </c>
      <c r="K37" s="5" t="s">
        <v>1309</v>
      </c>
      <c r="L37" s="5" t="s">
        <v>7</v>
      </c>
      <c r="M37" s="5" t="s">
        <v>7</v>
      </c>
      <c r="N37" s="5" t="s">
        <v>7</v>
      </c>
      <c r="O37" t="s">
        <v>778</v>
      </c>
      <c r="P37" t="s">
        <v>7834</v>
      </c>
      <c r="R37" s="1" t="b">
        <v>1</v>
      </c>
    </row>
    <row r="38" spans="1:18">
      <c r="A38" t="s">
        <v>3021</v>
      </c>
      <c r="B38" t="s">
        <v>3898</v>
      </c>
      <c r="C38" s="5" t="s">
        <v>7783</v>
      </c>
      <c r="D38" s="1">
        <v>1</v>
      </c>
      <c r="E38" s="1">
        <v>3</v>
      </c>
      <c r="F38" s="1">
        <v>27</v>
      </c>
      <c r="G38" s="1">
        <v>32</v>
      </c>
      <c r="H38" s="13" cm="1">
        <f t="array" ref="H38">_xlfn.LET(_xlpm.s,IFERROR(--F38,""),_xlpm.e,IFERROR(--G38,""),IF(OR(_xlpm.s="",_xlpm.e="",_xlpm.e&lt;_xlpm.s),"",_xlfn.LET(_xlpm.p,_xlfn.SEQUENCE(_xlpm.e-_xlpm.s+1,1,_xlpm.s,1),SUM(1/COUNTIFS($D:$D,D38,$E:$E,E38,$F:$F,"&lt;&gt;N/A",$G:$G,"&lt;&gt;N/A",$F:$F,"&lt;="&amp;_xlpm.p,$G:$G,"&gt;="&amp;_xlpm.p)))))</f>
        <v>5.5</v>
      </c>
      <c r="I38" t="s">
        <v>1279</v>
      </c>
      <c r="J38" s="5" t="s">
        <v>1310</v>
      </c>
      <c r="K38" s="5" t="s">
        <v>1311</v>
      </c>
      <c r="L38" s="5" t="s">
        <v>7</v>
      </c>
      <c r="M38" s="5" t="s">
        <v>7</v>
      </c>
      <c r="N38" s="5" t="s">
        <v>7</v>
      </c>
      <c r="O38" t="s">
        <v>778</v>
      </c>
      <c r="P38" t="s">
        <v>7834</v>
      </c>
      <c r="R38" s="1" t="b">
        <v>1</v>
      </c>
    </row>
    <row r="39" spans="1:18">
      <c r="A39" t="s">
        <v>3021</v>
      </c>
      <c r="B39" t="s">
        <v>3899</v>
      </c>
      <c r="C39" s="5" t="s">
        <v>7783</v>
      </c>
      <c r="D39" s="1">
        <v>1</v>
      </c>
      <c r="E39" s="1">
        <v>3</v>
      </c>
      <c r="F39" s="1">
        <v>33</v>
      </c>
      <c r="G39" s="1">
        <v>35</v>
      </c>
      <c r="H39" s="13" cm="1">
        <f t="array" ref="H39">_xlfn.LET(_xlpm.s,IFERROR(--F39,""),_xlpm.e,IFERROR(--G39,""),IF(OR(_xlpm.s="",_xlpm.e="",_xlpm.e&lt;_xlpm.s),"",_xlfn.LET(_xlpm.p,_xlfn.SEQUENCE(_xlpm.e-_xlpm.s+1,1,_xlpm.s,1),SUM(1/COUNTIFS($D:$D,D39,$E:$E,E39,$F:$F,"&lt;&gt;N/A",$G:$G,"&lt;&gt;N/A",$F:$F,"&lt;="&amp;_xlpm.p,$G:$G,"&gt;="&amp;_xlpm.p)))))</f>
        <v>2.5</v>
      </c>
      <c r="I39" t="s">
        <v>1279</v>
      </c>
      <c r="J39" s="5" t="s">
        <v>1295</v>
      </c>
      <c r="K39" s="5" t="s">
        <v>1280</v>
      </c>
      <c r="L39" s="5" t="s">
        <v>7</v>
      </c>
      <c r="M39" s="5" t="s">
        <v>7</v>
      </c>
      <c r="N39" s="5" t="s">
        <v>7</v>
      </c>
      <c r="O39" t="s">
        <v>778</v>
      </c>
      <c r="P39" t="s">
        <v>7834</v>
      </c>
      <c r="R39" s="1" t="b">
        <v>1</v>
      </c>
    </row>
    <row r="40" spans="1:18">
      <c r="A40" t="s">
        <v>3021</v>
      </c>
      <c r="B40" t="s">
        <v>3900</v>
      </c>
      <c r="C40" s="5" t="s">
        <v>7783</v>
      </c>
      <c r="D40" s="1">
        <v>1</v>
      </c>
      <c r="E40" s="1">
        <v>3</v>
      </c>
      <c r="F40" s="1">
        <v>35</v>
      </c>
      <c r="G40" s="1">
        <v>36</v>
      </c>
      <c r="H40" s="13" cm="1">
        <f t="array" ref="H40">_xlfn.LET(_xlpm.s,IFERROR(--F40,""),_xlpm.e,IFERROR(--G40,""),IF(OR(_xlpm.s="",_xlpm.e="",_xlpm.e&lt;_xlpm.s),"",_xlfn.LET(_xlpm.p,_xlfn.SEQUENCE(_xlpm.e-_xlpm.s+1,1,_xlpm.s,1),SUM(1/COUNTIFS($D:$D,D40,$E:$E,E40,$F:$F,"&lt;&gt;N/A",$G:$G,"&lt;&gt;N/A",$F:$F,"&lt;="&amp;_xlpm.p,$G:$G,"&gt;="&amp;_xlpm.p)))))</f>
        <v>1</v>
      </c>
      <c r="I40" t="s">
        <v>208</v>
      </c>
      <c r="J40" s="5" t="s">
        <v>1381</v>
      </c>
      <c r="K40" s="5" t="s">
        <v>7</v>
      </c>
      <c r="L40" s="5" t="s">
        <v>7</v>
      </c>
      <c r="M40" s="5" t="s">
        <v>7</v>
      </c>
      <c r="N40" s="5" t="s">
        <v>7</v>
      </c>
      <c r="O40" t="s">
        <v>778</v>
      </c>
      <c r="P40" t="s">
        <v>7834</v>
      </c>
      <c r="Q40" s="5"/>
      <c r="R40" s="1" t="b">
        <v>1</v>
      </c>
    </row>
    <row r="41" spans="1:18">
      <c r="A41" t="s">
        <v>3021</v>
      </c>
      <c r="B41" t="s">
        <v>3901</v>
      </c>
      <c r="C41" s="5" t="s">
        <v>7783</v>
      </c>
      <c r="D41" s="1">
        <v>1</v>
      </c>
      <c r="E41" s="1">
        <v>3</v>
      </c>
      <c r="F41" s="1">
        <v>36</v>
      </c>
      <c r="G41" s="1">
        <v>39</v>
      </c>
      <c r="H41" s="13" cm="1">
        <f t="array" ref="H41">_xlfn.LET(_xlpm.s,IFERROR(--F41,""),_xlpm.e,IFERROR(--G41,""),IF(OR(_xlpm.s="",_xlpm.e="",_xlpm.e&lt;_xlpm.s),"",_xlfn.LET(_xlpm.p,_xlfn.SEQUENCE(_xlpm.e-_xlpm.s+1,1,_xlpm.s,1),SUM(1/COUNTIFS($D:$D,D41,$E:$E,E41,$F:$F,"&lt;&gt;N/A",$G:$G,"&lt;&gt;N/A",$F:$F,"&lt;="&amp;_xlpm.p,$G:$G,"&gt;="&amp;_xlpm.p)))))</f>
        <v>3</v>
      </c>
      <c r="I41" t="s">
        <v>208</v>
      </c>
      <c r="J41" s="5" t="s">
        <v>1312</v>
      </c>
      <c r="K41" s="5" t="s">
        <v>7</v>
      </c>
      <c r="L41" s="5" t="s">
        <v>5563</v>
      </c>
      <c r="M41" s="5" t="s">
        <v>6424</v>
      </c>
      <c r="N41" s="5" t="s">
        <v>4414</v>
      </c>
      <c r="O41" t="s">
        <v>5072</v>
      </c>
      <c r="P41" t="s">
        <v>8021</v>
      </c>
      <c r="R41" s="1" t="b">
        <v>1</v>
      </c>
    </row>
    <row r="42" spans="1:18">
      <c r="A42" t="s">
        <v>3021</v>
      </c>
      <c r="B42" t="s">
        <v>3902</v>
      </c>
      <c r="C42" s="5" t="s">
        <v>7783</v>
      </c>
      <c r="D42" s="1">
        <v>1</v>
      </c>
      <c r="E42" s="1">
        <v>3</v>
      </c>
      <c r="F42" s="1">
        <v>39</v>
      </c>
      <c r="G42" s="1">
        <v>40</v>
      </c>
      <c r="H42" s="13" cm="1">
        <f t="array" ref="H42">_xlfn.LET(_xlpm.s,IFERROR(--F42,""),_xlpm.e,IFERROR(--G42,""),IF(OR(_xlpm.s="",_xlpm.e="",_xlpm.e&lt;_xlpm.s),"",_xlfn.LET(_xlpm.p,_xlfn.SEQUENCE(_xlpm.e-_xlpm.s+1,1,_xlpm.s,1),SUM(1/COUNTIFS($D:$D,D42,$E:$E,E42,$F:$F,"&lt;&gt;N/A",$G:$G,"&lt;&gt;N/A",$F:$F,"&lt;="&amp;_xlpm.p,$G:$G,"&gt;="&amp;_xlpm.p)))))</f>
        <v>0.83333333333333326</v>
      </c>
      <c r="I42" t="s">
        <v>208</v>
      </c>
      <c r="J42" s="5" t="s">
        <v>4343</v>
      </c>
      <c r="K42" s="5" t="s">
        <v>7</v>
      </c>
      <c r="L42" s="5" t="s">
        <v>5562</v>
      </c>
      <c r="M42" s="5" t="s">
        <v>7</v>
      </c>
      <c r="N42" s="5" t="s">
        <v>7</v>
      </c>
      <c r="O42" t="s">
        <v>11522</v>
      </c>
      <c r="P42" t="s">
        <v>8021</v>
      </c>
      <c r="R42" s="1" t="b">
        <v>1</v>
      </c>
    </row>
    <row r="43" spans="1:18">
      <c r="A43" t="s">
        <v>3021</v>
      </c>
      <c r="B43" t="s">
        <v>3903</v>
      </c>
      <c r="C43" s="5" t="s">
        <v>7783</v>
      </c>
      <c r="D43" s="1">
        <v>1</v>
      </c>
      <c r="E43" s="1">
        <v>3</v>
      </c>
      <c r="F43" s="1">
        <v>40</v>
      </c>
      <c r="G43" s="1">
        <v>40</v>
      </c>
      <c r="H43" s="13" cm="1">
        <f t="array" ref="H43">_xlfn.LET(_xlpm.s,IFERROR(--F43,""),_xlpm.e,IFERROR(--G43,""),IF(OR(_xlpm.s="",_xlpm.e="",_xlpm.e&lt;_xlpm.s),"",_xlfn.LET(_xlpm.p,_xlfn.SEQUENCE(_xlpm.e-_xlpm.s+1,1,_xlpm.s,1),SUM(1/COUNTIFS($D:$D,D43,$E:$E,E43,$F:$F,"&lt;&gt;N/A",$G:$G,"&lt;&gt;N/A",$F:$F,"&lt;="&amp;_xlpm.p,$G:$G,"&gt;="&amp;_xlpm.p)))))</f>
        <v>0.33333333333333331</v>
      </c>
      <c r="I43" t="s">
        <v>208</v>
      </c>
      <c r="J43" s="5" t="s">
        <v>1313</v>
      </c>
      <c r="K43" s="5" t="s">
        <v>7</v>
      </c>
      <c r="L43" s="5" t="s">
        <v>7</v>
      </c>
      <c r="M43" s="5" t="s">
        <v>7</v>
      </c>
      <c r="N43" s="5" t="s">
        <v>7</v>
      </c>
      <c r="O43" t="s">
        <v>11522</v>
      </c>
      <c r="P43" t="s">
        <v>8021</v>
      </c>
      <c r="Q43" t="s">
        <v>7836</v>
      </c>
      <c r="R43" s="1" t="b">
        <v>1</v>
      </c>
    </row>
    <row r="44" spans="1:18">
      <c r="A44" t="s">
        <v>3021</v>
      </c>
      <c r="B44" t="s">
        <v>3904</v>
      </c>
      <c r="C44" s="5" t="s">
        <v>7783</v>
      </c>
      <c r="D44" s="1">
        <v>1</v>
      </c>
      <c r="E44" s="1">
        <v>3</v>
      </c>
      <c r="F44" s="1">
        <v>40</v>
      </c>
      <c r="G44" s="1">
        <v>40</v>
      </c>
      <c r="H44" s="13" cm="1">
        <f t="array" ref="H44">_xlfn.LET(_xlpm.s,IFERROR(--F44,""),_xlpm.e,IFERROR(--G44,""),IF(OR(_xlpm.s="",_xlpm.e="",_xlpm.e&lt;_xlpm.s),"",_xlfn.LET(_xlpm.p,_xlfn.SEQUENCE(_xlpm.e-_xlpm.s+1,1,_xlpm.s,1),SUM(1/COUNTIFS($D:$D,D44,$E:$E,E44,$F:$F,"&lt;&gt;N/A",$G:$G,"&lt;&gt;N/A",$F:$F,"&lt;="&amp;_xlpm.p,$G:$G,"&gt;="&amp;_xlpm.p)))))</f>
        <v>0.33333333333333331</v>
      </c>
      <c r="I44" t="s">
        <v>208</v>
      </c>
      <c r="J44" s="5" t="s">
        <v>1314</v>
      </c>
      <c r="K44" s="5" t="s">
        <v>1280</v>
      </c>
      <c r="L44" s="5" t="s">
        <v>7</v>
      </c>
      <c r="M44" s="5" t="s">
        <v>7</v>
      </c>
      <c r="N44" s="5" t="s">
        <v>7</v>
      </c>
      <c r="O44" t="s">
        <v>11522</v>
      </c>
      <c r="P44" t="s">
        <v>8036</v>
      </c>
      <c r="Q44" s="5" t="s">
        <v>7996</v>
      </c>
      <c r="R44" s="1" t="b">
        <v>1</v>
      </c>
    </row>
    <row r="45" spans="1:18">
      <c r="A45" t="s">
        <v>3021</v>
      </c>
      <c r="B45" t="s">
        <v>3905</v>
      </c>
      <c r="C45" s="5" t="s">
        <v>7791</v>
      </c>
      <c r="D45" s="1">
        <v>1</v>
      </c>
      <c r="E45" s="1">
        <v>4</v>
      </c>
      <c r="F45" s="1">
        <v>3</v>
      </c>
      <c r="G45" s="1">
        <v>3</v>
      </c>
      <c r="H45" s="13" cm="1">
        <f t="array" ref="H45">_xlfn.LET(_xlpm.s,IFERROR(--F45,""),_xlpm.e,IFERROR(--G45,""),IF(OR(_xlpm.s="",_xlpm.e="",_xlpm.e&lt;_xlpm.s),"",_xlfn.LET(_xlpm.p,_xlfn.SEQUENCE(_xlpm.e-_xlpm.s+1,1,_xlpm.s,1),SUM(1/COUNTIFS($D:$D,D45,$E:$E,E45,$F:$F,"&lt;&gt;N/A",$G:$G,"&lt;&gt;N/A",$F:$F,"&lt;="&amp;_xlpm.p,$G:$G,"&gt;="&amp;_xlpm.p)))))</f>
        <v>0.5</v>
      </c>
      <c r="I45" t="s">
        <v>1279</v>
      </c>
      <c r="J45" s="5" t="s">
        <v>1315</v>
      </c>
      <c r="K45" s="5" t="s">
        <v>7</v>
      </c>
      <c r="L45" s="5" t="s">
        <v>7</v>
      </c>
      <c r="M45" s="5" t="s">
        <v>7</v>
      </c>
      <c r="N45" s="5" t="s">
        <v>7</v>
      </c>
      <c r="O45" t="s">
        <v>778</v>
      </c>
      <c r="P45" t="s">
        <v>7834</v>
      </c>
      <c r="R45" s="1" t="b">
        <v>0</v>
      </c>
    </row>
    <row r="46" spans="1:18">
      <c r="A46" t="s">
        <v>3021</v>
      </c>
      <c r="B46" t="s">
        <v>3906</v>
      </c>
      <c r="C46" s="5" t="s">
        <v>7791</v>
      </c>
      <c r="D46" s="1">
        <v>1</v>
      </c>
      <c r="E46" s="1">
        <v>4</v>
      </c>
      <c r="F46" s="1">
        <v>3</v>
      </c>
      <c r="G46" s="1">
        <v>5</v>
      </c>
      <c r="H46" s="13" cm="1">
        <f t="array" ref="H46">_xlfn.LET(_xlpm.s,IFERROR(--F46,""),_xlpm.e,IFERROR(--G46,""),IF(OR(_xlpm.s="",_xlpm.e="",_xlpm.e&lt;_xlpm.s),"",_xlfn.LET(_xlpm.p,_xlfn.SEQUENCE(_xlpm.e-_xlpm.s+1,1,_xlpm.s,1),SUM(1/COUNTIFS($D:$D,D46,$E:$E,E46,$F:$F,"&lt;&gt;N/A",$G:$G,"&lt;&gt;N/A",$F:$F,"&lt;="&amp;_xlpm.p,$G:$G,"&gt;="&amp;_xlpm.p)))))</f>
        <v>2</v>
      </c>
      <c r="I46" t="s">
        <v>1279</v>
      </c>
      <c r="J46" s="5" t="s">
        <v>1316</v>
      </c>
      <c r="K46" s="5" t="s">
        <v>7</v>
      </c>
      <c r="L46" s="5" t="s">
        <v>7</v>
      </c>
      <c r="M46" s="5" t="s">
        <v>7</v>
      </c>
      <c r="N46" s="5" t="s">
        <v>7</v>
      </c>
      <c r="O46" t="s">
        <v>778</v>
      </c>
      <c r="P46" t="s">
        <v>7834</v>
      </c>
      <c r="R46" s="1" t="b">
        <v>0</v>
      </c>
    </row>
    <row r="47" spans="1:18">
      <c r="A47" t="s">
        <v>3021</v>
      </c>
      <c r="B47" t="s">
        <v>3907</v>
      </c>
      <c r="C47" s="5" t="s">
        <v>7791</v>
      </c>
      <c r="D47" s="1">
        <v>1</v>
      </c>
      <c r="E47" s="1">
        <v>4</v>
      </c>
      <c r="F47" s="1">
        <v>5</v>
      </c>
      <c r="G47" s="1">
        <v>7</v>
      </c>
      <c r="H47" s="13" cm="1">
        <f t="array" ref="H47">_xlfn.LET(_xlpm.s,IFERROR(--F47,""),_xlpm.e,IFERROR(--G47,""),IF(OR(_xlpm.s="",_xlpm.e="",_xlpm.e&lt;_xlpm.s),"",_xlfn.LET(_xlpm.p,_xlfn.SEQUENCE(_xlpm.e-_xlpm.s+1,1,_xlpm.s,1),SUM(1/COUNTIFS($D:$D,D47,$E:$E,E47,$F:$F,"&lt;&gt;N/A",$G:$G,"&lt;&gt;N/A",$F:$F,"&lt;="&amp;_xlpm.p,$G:$G,"&gt;="&amp;_xlpm.p)))))</f>
        <v>2</v>
      </c>
      <c r="I47" t="s">
        <v>1279</v>
      </c>
      <c r="J47" s="5" t="s">
        <v>1382</v>
      </c>
      <c r="K47" s="5" t="s">
        <v>7</v>
      </c>
      <c r="L47" s="5" t="s">
        <v>7</v>
      </c>
      <c r="M47" s="5" t="s">
        <v>7</v>
      </c>
      <c r="N47" s="5" t="s">
        <v>7</v>
      </c>
      <c r="O47" t="s">
        <v>778</v>
      </c>
      <c r="P47" t="s">
        <v>7834</v>
      </c>
      <c r="R47" s="1" t="b">
        <v>0</v>
      </c>
    </row>
    <row r="48" spans="1:18">
      <c r="A48" t="s">
        <v>3021</v>
      </c>
      <c r="B48" t="s">
        <v>3908</v>
      </c>
      <c r="C48" s="5" t="s">
        <v>7791</v>
      </c>
      <c r="D48" s="1">
        <v>1</v>
      </c>
      <c r="E48" s="1">
        <v>4</v>
      </c>
      <c r="F48" s="1">
        <v>7</v>
      </c>
      <c r="G48" s="1">
        <v>10</v>
      </c>
      <c r="H48" s="13" cm="1">
        <f t="array" ref="H48">_xlfn.LET(_xlpm.s,IFERROR(--F48,""),_xlpm.e,IFERROR(--G48,""),IF(OR(_xlpm.s="",_xlpm.e="",_xlpm.e&lt;_xlpm.s),"",_xlfn.LET(_xlpm.p,_xlfn.SEQUENCE(_xlpm.e-_xlpm.s+1,1,_xlpm.s,1),SUM(1/COUNTIFS($D:$D,D48,$E:$E,E48,$F:$F,"&lt;&gt;N/A",$G:$G,"&lt;&gt;N/A",$F:$F,"&lt;="&amp;_xlpm.p,$G:$G,"&gt;="&amp;_xlpm.p)))))</f>
        <v>3</v>
      </c>
      <c r="I48" t="s">
        <v>1279</v>
      </c>
      <c r="J48" s="5" t="s">
        <v>1317</v>
      </c>
      <c r="K48" s="5" t="s">
        <v>4832</v>
      </c>
      <c r="L48" s="5" t="s">
        <v>7</v>
      </c>
      <c r="M48" s="5" t="s">
        <v>7</v>
      </c>
      <c r="N48" s="5" t="s">
        <v>7</v>
      </c>
      <c r="O48" t="s">
        <v>778</v>
      </c>
      <c r="P48" t="s">
        <v>7834</v>
      </c>
      <c r="R48" s="1" t="b">
        <v>0</v>
      </c>
    </row>
    <row r="49" spans="1:18">
      <c r="A49" t="s">
        <v>3021</v>
      </c>
      <c r="B49" t="s">
        <v>3909</v>
      </c>
      <c r="C49" s="5" t="s">
        <v>7791</v>
      </c>
      <c r="D49" s="1">
        <v>1</v>
      </c>
      <c r="E49" s="1">
        <v>4</v>
      </c>
      <c r="F49" s="1">
        <v>10</v>
      </c>
      <c r="G49" s="1">
        <v>12</v>
      </c>
      <c r="H49" s="13" cm="1">
        <f t="array" ref="H49">_xlfn.LET(_xlpm.s,IFERROR(--F49,""),_xlpm.e,IFERROR(--G49,""),IF(OR(_xlpm.s="",_xlpm.e="",_xlpm.e&lt;_xlpm.s),"",_xlfn.LET(_xlpm.p,_xlfn.SEQUENCE(_xlpm.e-_xlpm.s+1,1,_xlpm.s,1),SUM(1/COUNTIFS($D:$D,D49,$E:$E,E49,$F:$F,"&lt;&gt;N/A",$G:$G,"&lt;&gt;N/A",$F:$F,"&lt;="&amp;_xlpm.p,$G:$G,"&gt;="&amp;_xlpm.p)))))</f>
        <v>2</v>
      </c>
      <c r="I49" t="s">
        <v>1279</v>
      </c>
      <c r="J49" s="5" t="s">
        <v>1383</v>
      </c>
      <c r="K49" s="5" t="s">
        <v>7</v>
      </c>
      <c r="L49" s="5" t="s">
        <v>7</v>
      </c>
      <c r="M49" s="5" t="s">
        <v>7</v>
      </c>
      <c r="N49" s="5" t="s">
        <v>7</v>
      </c>
      <c r="O49" t="s">
        <v>778</v>
      </c>
      <c r="P49" t="s">
        <v>7834</v>
      </c>
      <c r="R49" s="1" t="b">
        <v>0</v>
      </c>
    </row>
    <row r="50" spans="1:18">
      <c r="A50" t="s">
        <v>3021</v>
      </c>
      <c r="B50" t="s">
        <v>3910</v>
      </c>
      <c r="C50" s="5" t="s">
        <v>7791</v>
      </c>
      <c r="D50" s="1">
        <v>1</v>
      </c>
      <c r="E50" s="1">
        <v>4</v>
      </c>
      <c r="F50" s="1">
        <v>12</v>
      </c>
      <c r="G50" s="1">
        <v>14</v>
      </c>
      <c r="H50" s="13" cm="1">
        <f t="array" ref="H50">_xlfn.LET(_xlpm.s,IFERROR(--F50,""),_xlpm.e,IFERROR(--G50,""),IF(OR(_xlpm.s="",_xlpm.e="",_xlpm.e&lt;_xlpm.s),"",_xlfn.LET(_xlpm.p,_xlfn.SEQUENCE(_xlpm.e-_xlpm.s+1,1,_xlpm.s,1),SUM(1/COUNTIFS($D:$D,D50,$E:$E,E50,$F:$F,"&lt;&gt;N/A",$G:$G,"&lt;&gt;N/A",$F:$F,"&lt;="&amp;_xlpm.p,$G:$G,"&gt;="&amp;_xlpm.p)))))</f>
        <v>2.5</v>
      </c>
      <c r="I50" t="s">
        <v>1279</v>
      </c>
      <c r="J50" s="5" t="s">
        <v>1318</v>
      </c>
      <c r="K50" s="5" t="s">
        <v>7</v>
      </c>
      <c r="L50" s="5" t="s">
        <v>7</v>
      </c>
      <c r="M50" s="5" t="s">
        <v>7</v>
      </c>
      <c r="N50" s="5" t="s">
        <v>7</v>
      </c>
      <c r="O50" t="s">
        <v>778</v>
      </c>
      <c r="P50" t="s">
        <v>7834</v>
      </c>
      <c r="R50" s="1" t="b">
        <v>0</v>
      </c>
    </row>
    <row r="51" spans="1:18">
      <c r="A51" t="s">
        <v>3021</v>
      </c>
      <c r="B51" t="s">
        <v>3911</v>
      </c>
      <c r="C51" s="5" t="s">
        <v>7791</v>
      </c>
      <c r="D51" s="1">
        <v>1</v>
      </c>
      <c r="E51" s="1">
        <v>4</v>
      </c>
      <c r="F51" s="1">
        <v>15</v>
      </c>
      <c r="G51" s="1">
        <v>17</v>
      </c>
      <c r="H51" s="13" cm="1">
        <f t="array" ref="H51">_xlfn.LET(_xlpm.s,IFERROR(--F51,""),_xlpm.e,IFERROR(--G51,""),IF(OR(_xlpm.s="",_xlpm.e="",_xlpm.e&lt;_xlpm.s),"",_xlfn.LET(_xlpm.p,_xlfn.SEQUENCE(_xlpm.e-_xlpm.s+1,1,_xlpm.s,1),SUM(1/COUNTIFS($D:$D,D51,$E:$E,E51,$F:$F,"&lt;&gt;N/A",$G:$G,"&lt;&gt;N/A",$F:$F,"&lt;="&amp;_xlpm.p,$G:$G,"&gt;="&amp;_xlpm.p)))))</f>
        <v>2.5</v>
      </c>
      <c r="I51" t="s">
        <v>1279</v>
      </c>
      <c r="J51" s="5" t="s">
        <v>1319</v>
      </c>
      <c r="K51" s="5" t="s">
        <v>4833</v>
      </c>
      <c r="L51" s="5" t="s">
        <v>7</v>
      </c>
      <c r="M51" s="5" t="s">
        <v>7</v>
      </c>
      <c r="N51" s="5" t="s">
        <v>7</v>
      </c>
      <c r="O51" t="s">
        <v>778</v>
      </c>
      <c r="P51" t="s">
        <v>7834</v>
      </c>
      <c r="R51" s="1" t="b">
        <v>1</v>
      </c>
    </row>
    <row r="52" spans="1:18">
      <c r="A52" t="s">
        <v>3021</v>
      </c>
      <c r="B52" t="s">
        <v>3912</v>
      </c>
      <c r="C52" s="5" t="s">
        <v>7791</v>
      </c>
      <c r="D52" s="1">
        <v>1</v>
      </c>
      <c r="E52" s="1">
        <v>4</v>
      </c>
      <c r="F52" s="1">
        <v>17</v>
      </c>
      <c r="G52" s="1">
        <v>22</v>
      </c>
      <c r="H52" s="13" cm="1">
        <f t="array" ref="H52">_xlfn.LET(_xlpm.s,IFERROR(--F52,""),_xlpm.e,IFERROR(--G52,""),IF(OR(_xlpm.s="",_xlpm.e="",_xlpm.e&lt;_xlpm.s),"",_xlfn.LET(_xlpm.p,_xlfn.SEQUENCE(_xlpm.e-_xlpm.s+1,1,_xlpm.s,1),SUM(1/COUNTIFS($D:$D,D52,$E:$E,E52,$F:$F,"&lt;&gt;N/A",$G:$G,"&lt;&gt;N/A",$F:$F,"&lt;="&amp;_xlpm.p,$G:$G,"&gt;="&amp;_xlpm.p)))))</f>
        <v>5</v>
      </c>
      <c r="I52" t="s">
        <v>1279</v>
      </c>
      <c r="J52" s="5" t="s">
        <v>1384</v>
      </c>
      <c r="K52" s="5" t="s">
        <v>1311</v>
      </c>
      <c r="L52" s="5" t="s">
        <v>7</v>
      </c>
      <c r="M52" s="5" t="s">
        <v>7</v>
      </c>
      <c r="N52" s="5" t="s">
        <v>7</v>
      </c>
      <c r="O52" t="s">
        <v>778</v>
      </c>
      <c r="P52" t="s">
        <v>7834</v>
      </c>
      <c r="R52" s="1" t="b">
        <v>1</v>
      </c>
    </row>
    <row r="53" spans="1:18">
      <c r="A53" t="s">
        <v>3021</v>
      </c>
      <c r="B53" t="s">
        <v>3913</v>
      </c>
      <c r="C53" s="5" t="s">
        <v>7791</v>
      </c>
      <c r="D53" s="1">
        <v>1</v>
      </c>
      <c r="E53" s="1">
        <v>4</v>
      </c>
      <c r="F53" s="1">
        <v>22</v>
      </c>
      <c r="G53" s="1">
        <v>23</v>
      </c>
      <c r="H53" s="13" cm="1">
        <f t="array" ref="H53">_xlfn.LET(_xlpm.s,IFERROR(--F53,""),_xlpm.e,IFERROR(--G53,""),IF(OR(_xlpm.s="",_xlpm.e="",_xlpm.e&lt;_xlpm.s),"",_xlfn.LET(_xlpm.p,_xlfn.SEQUENCE(_xlpm.e-_xlpm.s+1,1,_xlpm.s,1),SUM(1/COUNTIFS($D:$D,D53,$E:$E,E53,$F:$F,"&lt;&gt;N/A",$G:$G,"&lt;&gt;N/A",$F:$F,"&lt;="&amp;_xlpm.p,$G:$G,"&gt;="&amp;_xlpm.p)))))</f>
        <v>1</v>
      </c>
      <c r="I53" t="s">
        <v>1279</v>
      </c>
      <c r="J53" s="5" t="s">
        <v>1320</v>
      </c>
      <c r="K53" s="5" t="s">
        <v>1321</v>
      </c>
      <c r="L53" s="5" t="s">
        <v>7</v>
      </c>
      <c r="M53" s="5" t="s">
        <v>7</v>
      </c>
      <c r="N53" s="5" t="s">
        <v>7</v>
      </c>
      <c r="O53" t="s">
        <v>778</v>
      </c>
      <c r="P53" t="s">
        <v>7834</v>
      </c>
      <c r="R53" s="1" t="b">
        <v>1</v>
      </c>
    </row>
    <row r="54" spans="1:18">
      <c r="A54" t="s">
        <v>3021</v>
      </c>
      <c r="B54" t="s">
        <v>3914</v>
      </c>
      <c r="C54" s="5" t="s">
        <v>7791</v>
      </c>
      <c r="D54" s="1">
        <v>1</v>
      </c>
      <c r="E54" s="1">
        <v>4</v>
      </c>
      <c r="F54" s="1">
        <v>23</v>
      </c>
      <c r="G54" s="1">
        <v>25</v>
      </c>
      <c r="H54" s="13" cm="1">
        <f t="array" ref="H54">_xlfn.LET(_xlpm.s,IFERROR(--F54,""),_xlpm.e,IFERROR(--G54,""),IF(OR(_xlpm.s="",_xlpm.e="",_xlpm.e&lt;_xlpm.s),"",_xlfn.LET(_xlpm.p,_xlfn.SEQUENCE(_xlpm.e-_xlpm.s+1,1,_xlpm.s,1),SUM(1/COUNTIFS($D:$D,D54,$E:$E,E54,$F:$F,"&lt;&gt;N/A",$G:$G,"&lt;&gt;N/A",$F:$F,"&lt;="&amp;_xlpm.p,$G:$G,"&gt;="&amp;_xlpm.p)))))</f>
        <v>2</v>
      </c>
      <c r="I54" t="s">
        <v>1279</v>
      </c>
      <c r="J54" s="5" t="s">
        <v>1322</v>
      </c>
      <c r="K54" s="5" t="s">
        <v>1324</v>
      </c>
      <c r="L54" s="5" t="s">
        <v>7</v>
      </c>
      <c r="M54" s="5" t="s">
        <v>7</v>
      </c>
      <c r="N54" s="5" t="s">
        <v>7</v>
      </c>
      <c r="O54" t="s">
        <v>778</v>
      </c>
      <c r="P54" t="s">
        <v>7834</v>
      </c>
      <c r="R54" s="1" t="b">
        <v>1</v>
      </c>
    </row>
    <row r="55" spans="1:18">
      <c r="A55" t="s">
        <v>3021</v>
      </c>
      <c r="B55" t="s">
        <v>3915</v>
      </c>
      <c r="C55" s="5" t="s">
        <v>7791</v>
      </c>
      <c r="D55" s="1">
        <v>1</v>
      </c>
      <c r="E55" s="1">
        <v>4</v>
      </c>
      <c r="F55" s="1">
        <v>25</v>
      </c>
      <c r="G55" s="1">
        <v>29</v>
      </c>
      <c r="H55" s="13" cm="1">
        <f t="array" ref="H55">_xlfn.LET(_xlpm.s,IFERROR(--F55,""),_xlpm.e,IFERROR(--G55,""),IF(OR(_xlpm.s="",_xlpm.e="",_xlpm.e&lt;_xlpm.s),"",_xlfn.LET(_xlpm.p,_xlfn.SEQUENCE(_xlpm.e-_xlpm.s+1,1,_xlpm.s,1),SUM(1/COUNTIFS($D:$D,D55,$E:$E,E55,$F:$F,"&lt;&gt;N/A",$G:$G,"&lt;&gt;N/A",$F:$F,"&lt;="&amp;_xlpm.p,$G:$G,"&gt;="&amp;_xlpm.p)))))</f>
        <v>4</v>
      </c>
      <c r="I55" t="s">
        <v>7</v>
      </c>
      <c r="J55" s="5" t="s">
        <v>6425</v>
      </c>
      <c r="K55" s="5" t="s">
        <v>1323</v>
      </c>
      <c r="L55" s="5" t="s">
        <v>7</v>
      </c>
      <c r="M55" s="5" t="s">
        <v>7</v>
      </c>
      <c r="N55" s="5" t="s">
        <v>7</v>
      </c>
      <c r="O55" t="s">
        <v>778</v>
      </c>
      <c r="P55" t="s">
        <v>7834</v>
      </c>
      <c r="R55" s="1" t="b">
        <v>1</v>
      </c>
    </row>
    <row r="56" spans="1:18">
      <c r="A56" t="s">
        <v>3021</v>
      </c>
      <c r="B56" t="s">
        <v>3916</v>
      </c>
      <c r="C56" s="5" t="s">
        <v>7791</v>
      </c>
      <c r="D56" s="1">
        <v>1</v>
      </c>
      <c r="E56" s="1">
        <v>4</v>
      </c>
      <c r="F56" s="1">
        <v>29</v>
      </c>
      <c r="G56" s="1">
        <v>33</v>
      </c>
      <c r="H56" s="13" cm="1">
        <f t="array" ref="H56">_xlfn.LET(_xlpm.s,IFERROR(--F56,""),_xlpm.e,IFERROR(--G56,""),IF(OR(_xlpm.s="",_xlpm.e="",_xlpm.e&lt;_xlpm.s),"",_xlfn.LET(_xlpm.p,_xlfn.SEQUENCE(_xlpm.e-_xlpm.s+1,1,_xlpm.s,1),SUM(1/COUNTIFS($D:$D,D56,$E:$E,E56,$F:$F,"&lt;&gt;N/A",$G:$G,"&lt;&gt;N/A",$F:$F,"&lt;="&amp;_xlpm.p,$G:$G,"&gt;="&amp;_xlpm.p)))))</f>
        <v>4.5</v>
      </c>
      <c r="I56" t="s">
        <v>7</v>
      </c>
      <c r="J56" s="5" t="s">
        <v>1325</v>
      </c>
      <c r="K56" s="5" t="s">
        <v>7</v>
      </c>
      <c r="L56" s="5" t="s">
        <v>7</v>
      </c>
      <c r="M56" s="5" t="s">
        <v>7</v>
      </c>
      <c r="N56" s="5" t="s">
        <v>7</v>
      </c>
      <c r="O56" t="s">
        <v>778</v>
      </c>
      <c r="P56" t="s">
        <v>7834</v>
      </c>
      <c r="R56" s="1" t="b">
        <v>1</v>
      </c>
    </row>
    <row r="57" spans="1:18">
      <c r="A57" t="s">
        <v>3021</v>
      </c>
      <c r="B57" t="s">
        <v>3917</v>
      </c>
      <c r="C57" s="5" t="s">
        <v>7791</v>
      </c>
      <c r="D57" s="1">
        <v>1</v>
      </c>
      <c r="E57" s="1">
        <v>4</v>
      </c>
      <c r="F57" s="1">
        <v>34</v>
      </c>
      <c r="G57" s="1">
        <v>46</v>
      </c>
      <c r="H57" s="13" cm="1">
        <f t="array" ref="H57">_xlfn.LET(_xlpm.s,IFERROR(--F57,""),_xlpm.e,IFERROR(--G57,""),IF(OR(_xlpm.s="",_xlpm.e="",_xlpm.e&lt;_xlpm.s),"",_xlfn.LET(_xlpm.p,_xlfn.SEQUENCE(_xlpm.e-_xlpm.s+1,1,_xlpm.s,1),SUM(1/COUNTIFS($D:$D,D57,$E:$E,E57,$F:$F,"&lt;&gt;N/A",$G:$G,"&lt;&gt;N/A",$F:$F,"&lt;="&amp;_xlpm.p,$G:$G,"&gt;="&amp;_xlpm.p)))))</f>
        <v>12.5</v>
      </c>
      <c r="I57" t="s">
        <v>7</v>
      </c>
      <c r="J57" s="5" t="s">
        <v>1295</v>
      </c>
      <c r="K57" s="5" t="s">
        <v>1280</v>
      </c>
      <c r="L57" s="5" t="s">
        <v>7</v>
      </c>
      <c r="M57" s="5" t="s">
        <v>7</v>
      </c>
      <c r="N57" s="5" t="s">
        <v>7</v>
      </c>
      <c r="O57" t="s">
        <v>778</v>
      </c>
      <c r="P57" t="s">
        <v>7834</v>
      </c>
      <c r="R57" s="1" t="b">
        <v>1</v>
      </c>
    </row>
    <row r="58" spans="1:18">
      <c r="A58" t="s">
        <v>3021</v>
      </c>
      <c r="B58" t="s">
        <v>3918</v>
      </c>
      <c r="C58" s="5" t="s">
        <v>7791</v>
      </c>
      <c r="D58" s="1">
        <v>1</v>
      </c>
      <c r="E58" s="1">
        <v>4</v>
      </c>
      <c r="F58" s="1">
        <v>46</v>
      </c>
      <c r="G58" s="1">
        <v>48</v>
      </c>
      <c r="H58" s="13" cm="1">
        <f t="array" ref="H58">_xlfn.LET(_xlpm.s,IFERROR(--F58,""),_xlpm.e,IFERROR(--G58,""),IF(OR(_xlpm.s="",_xlpm.e="",_xlpm.e&lt;_xlpm.s),"",_xlfn.LET(_xlpm.p,_xlfn.SEQUENCE(_xlpm.e-_xlpm.s+1,1,_xlpm.s,1),SUM(1/COUNTIFS($D:$D,D58,$E:$E,E58,$F:$F,"&lt;&gt;N/A",$G:$G,"&lt;&gt;N/A",$F:$F,"&lt;="&amp;_xlpm.p,$G:$G,"&gt;="&amp;_xlpm.p)))))</f>
        <v>2</v>
      </c>
      <c r="I58" t="s">
        <v>208</v>
      </c>
      <c r="J58" s="5" t="s">
        <v>4439</v>
      </c>
      <c r="K58" s="5" t="s">
        <v>7</v>
      </c>
      <c r="L58" s="5" t="s">
        <v>7</v>
      </c>
      <c r="M58" s="5" t="s">
        <v>7</v>
      </c>
      <c r="N58" s="5" t="s">
        <v>7</v>
      </c>
      <c r="O58" t="s">
        <v>778</v>
      </c>
      <c r="P58" t="s">
        <v>7834</v>
      </c>
      <c r="R58" s="1" t="b">
        <v>1</v>
      </c>
    </row>
    <row r="59" spans="1:18">
      <c r="A59" t="s">
        <v>3021</v>
      </c>
      <c r="B59" t="s">
        <v>3919</v>
      </c>
      <c r="C59" s="5" t="s">
        <v>7791</v>
      </c>
      <c r="D59" s="1">
        <v>1</v>
      </c>
      <c r="E59" s="1">
        <v>4</v>
      </c>
      <c r="F59" s="1">
        <v>48</v>
      </c>
      <c r="G59" s="1">
        <v>48</v>
      </c>
      <c r="H59" s="13" cm="1">
        <f t="array" ref="H59">_xlfn.LET(_xlpm.s,IFERROR(--F59,""),_xlpm.e,IFERROR(--G59,""),IF(OR(_xlpm.s="",_xlpm.e="",_xlpm.e&lt;_xlpm.s),"",_xlfn.LET(_xlpm.p,_xlfn.SEQUENCE(_xlpm.e-_xlpm.s+1,1,_xlpm.s,1),SUM(1/COUNTIFS($D:$D,D59,$E:$E,E59,$F:$F,"&lt;&gt;N/A",$G:$G,"&lt;&gt;N/A",$F:$F,"&lt;="&amp;_xlpm.p,$G:$G,"&gt;="&amp;_xlpm.p)))))</f>
        <v>0.5</v>
      </c>
      <c r="I59" t="s">
        <v>208</v>
      </c>
      <c r="J59" s="5" t="s">
        <v>1326</v>
      </c>
      <c r="K59" s="5" t="s">
        <v>7</v>
      </c>
      <c r="L59" s="5" t="s">
        <v>4834</v>
      </c>
      <c r="M59" t="s">
        <v>6426</v>
      </c>
      <c r="N59" s="5" t="s">
        <v>10265</v>
      </c>
      <c r="O59" t="s">
        <v>5072</v>
      </c>
      <c r="P59" t="s">
        <v>8021</v>
      </c>
      <c r="R59" s="1" t="b">
        <v>1</v>
      </c>
    </row>
    <row r="60" spans="1:18">
      <c r="A60" t="s">
        <v>3021</v>
      </c>
      <c r="B60" t="s">
        <v>3920</v>
      </c>
      <c r="C60" s="5" t="s">
        <v>7798</v>
      </c>
      <c r="D60" s="1">
        <v>1</v>
      </c>
      <c r="E60" s="1">
        <v>5</v>
      </c>
      <c r="F60" s="1">
        <v>3</v>
      </c>
      <c r="G60" s="1">
        <v>10</v>
      </c>
      <c r="H60" s="13" cm="1">
        <f t="array" ref="H60">_xlfn.LET(_xlpm.s,IFERROR(--F60,""),_xlpm.e,IFERROR(--G60,""),IF(OR(_xlpm.s="",_xlpm.e="",_xlpm.e&lt;_xlpm.s),"",_xlfn.LET(_xlpm.p,_xlfn.SEQUENCE(_xlpm.e-_xlpm.s+1,1,_xlpm.s,1),SUM(1/COUNTIFS($D:$D,D60,$E:$E,E60,$F:$F,"&lt;&gt;N/A",$G:$G,"&lt;&gt;N/A",$F:$F,"&lt;="&amp;_xlpm.p,$G:$G,"&gt;="&amp;_xlpm.p)))))</f>
        <v>7.5</v>
      </c>
      <c r="I60" t="s">
        <v>1279</v>
      </c>
      <c r="J60" s="5" t="s">
        <v>1385</v>
      </c>
      <c r="K60" s="5" t="s">
        <v>7</v>
      </c>
      <c r="L60" s="5" t="s">
        <v>7</v>
      </c>
      <c r="M60" s="5" t="s">
        <v>7</v>
      </c>
      <c r="N60" s="5" t="s">
        <v>7</v>
      </c>
      <c r="O60" t="s">
        <v>778</v>
      </c>
      <c r="P60" t="s">
        <v>7834</v>
      </c>
      <c r="R60" s="1" t="b">
        <v>0</v>
      </c>
    </row>
    <row r="61" spans="1:18">
      <c r="A61" t="s">
        <v>3021</v>
      </c>
      <c r="B61" t="s">
        <v>3921</v>
      </c>
      <c r="C61" s="5" t="s">
        <v>7798</v>
      </c>
      <c r="D61" s="1">
        <v>1</v>
      </c>
      <c r="E61" s="1">
        <v>5</v>
      </c>
      <c r="F61" s="1">
        <v>10</v>
      </c>
      <c r="G61" s="1">
        <v>12</v>
      </c>
      <c r="H61" s="13" cm="1">
        <f t="array" ref="H61">_xlfn.LET(_xlpm.s,IFERROR(--F61,""),_xlpm.e,IFERROR(--G61,""),IF(OR(_xlpm.s="",_xlpm.e="",_xlpm.e&lt;_xlpm.s),"",_xlfn.LET(_xlpm.p,_xlfn.SEQUENCE(_xlpm.e-_xlpm.s+1,1,_xlpm.s,1),SUM(1/COUNTIFS($D:$D,D61,$E:$E,E61,$F:$F,"&lt;&gt;N/A",$G:$G,"&lt;&gt;N/A",$F:$F,"&lt;="&amp;_xlpm.p,$G:$G,"&gt;="&amp;_xlpm.p)))))</f>
        <v>2</v>
      </c>
      <c r="I61" t="s">
        <v>1279</v>
      </c>
      <c r="J61" s="5" t="s">
        <v>1327</v>
      </c>
      <c r="K61" s="5" t="s">
        <v>847</v>
      </c>
      <c r="L61" s="5" t="s">
        <v>7</v>
      </c>
      <c r="M61" s="5" t="s">
        <v>7</v>
      </c>
      <c r="N61" s="5" t="s">
        <v>7</v>
      </c>
      <c r="O61" t="s">
        <v>778</v>
      </c>
      <c r="P61" t="s">
        <v>7834</v>
      </c>
      <c r="R61" s="1" t="b">
        <v>1</v>
      </c>
    </row>
    <row r="62" spans="1:18">
      <c r="A62" t="s">
        <v>3021</v>
      </c>
      <c r="B62" t="s">
        <v>3922</v>
      </c>
      <c r="C62" s="5" t="s">
        <v>7798</v>
      </c>
      <c r="D62" s="1">
        <v>1</v>
      </c>
      <c r="E62" s="1">
        <v>5</v>
      </c>
      <c r="F62" s="1">
        <v>12</v>
      </c>
      <c r="G62" s="1">
        <v>14</v>
      </c>
      <c r="H62" s="13" cm="1">
        <f t="array" ref="H62">_xlfn.LET(_xlpm.s,IFERROR(--F62,""),_xlpm.e,IFERROR(--G62,""),IF(OR(_xlpm.s="",_xlpm.e="",_xlpm.e&lt;_xlpm.s),"",_xlfn.LET(_xlpm.p,_xlfn.SEQUENCE(_xlpm.e-_xlpm.s+1,1,_xlpm.s,1),SUM(1/COUNTIFS($D:$D,D62,$E:$E,E62,$F:$F,"&lt;&gt;N/A",$G:$G,"&lt;&gt;N/A",$F:$F,"&lt;="&amp;_xlpm.p,$G:$G,"&gt;="&amp;_xlpm.p)))))</f>
        <v>2</v>
      </c>
      <c r="I62" t="s">
        <v>1279</v>
      </c>
      <c r="J62" s="5" t="s">
        <v>1386</v>
      </c>
      <c r="K62" s="5" t="s">
        <v>7</v>
      </c>
      <c r="L62" s="5" t="s">
        <v>7</v>
      </c>
      <c r="M62" s="5" t="s">
        <v>7</v>
      </c>
      <c r="N62" s="5" t="s">
        <v>7</v>
      </c>
      <c r="O62" t="s">
        <v>778</v>
      </c>
      <c r="P62" t="s">
        <v>7834</v>
      </c>
      <c r="R62" s="1" t="b">
        <v>0</v>
      </c>
    </row>
    <row r="63" spans="1:18">
      <c r="A63" t="s">
        <v>3021</v>
      </c>
      <c r="B63" t="s">
        <v>3923</v>
      </c>
      <c r="C63" s="5" t="s">
        <v>7798</v>
      </c>
      <c r="D63" s="1">
        <v>1</v>
      </c>
      <c r="E63" s="1">
        <v>5</v>
      </c>
      <c r="F63" s="1">
        <v>14</v>
      </c>
      <c r="G63" s="1">
        <v>21</v>
      </c>
      <c r="H63" s="13" cm="1">
        <f t="array" ref="H63">_xlfn.LET(_xlpm.s,IFERROR(--F63,""),_xlpm.e,IFERROR(--G63,""),IF(OR(_xlpm.s="",_xlpm.e="",_xlpm.e&lt;_xlpm.s),"",_xlfn.LET(_xlpm.p,_xlfn.SEQUENCE(_xlpm.e-_xlpm.s+1,1,_xlpm.s,1),SUM(1/COUNTIFS($D:$D,D63,$E:$E,E63,$F:$F,"&lt;&gt;N/A",$G:$G,"&lt;&gt;N/A",$F:$F,"&lt;="&amp;_xlpm.p,$G:$G,"&gt;="&amp;_xlpm.p)))))</f>
        <v>7</v>
      </c>
      <c r="I63" t="s">
        <v>1279</v>
      </c>
      <c r="J63" s="5" t="s">
        <v>1328</v>
      </c>
      <c r="K63" s="5" t="s">
        <v>1311</v>
      </c>
      <c r="L63" s="5" t="s">
        <v>7</v>
      </c>
      <c r="M63" s="5" t="s">
        <v>7</v>
      </c>
      <c r="N63" s="5" t="s">
        <v>7</v>
      </c>
      <c r="O63" t="s">
        <v>778</v>
      </c>
      <c r="P63" t="s">
        <v>7834</v>
      </c>
      <c r="R63" s="1" t="b">
        <v>1</v>
      </c>
    </row>
    <row r="64" spans="1:18">
      <c r="A64" t="s">
        <v>3021</v>
      </c>
      <c r="B64" t="s">
        <v>3924</v>
      </c>
      <c r="C64" s="5" t="s">
        <v>7798</v>
      </c>
      <c r="D64" s="1">
        <v>1</v>
      </c>
      <c r="E64" s="1">
        <v>5</v>
      </c>
      <c r="F64" s="1">
        <v>21</v>
      </c>
      <c r="G64" s="1">
        <v>24</v>
      </c>
      <c r="H64" s="13" cm="1">
        <f t="array" ref="H64">_xlfn.LET(_xlpm.s,IFERROR(--F64,""),_xlpm.e,IFERROR(--G64,""),IF(OR(_xlpm.s="",_xlpm.e="",_xlpm.e&lt;_xlpm.s),"",_xlfn.LET(_xlpm.p,_xlfn.SEQUENCE(_xlpm.e-_xlpm.s+1,1,_xlpm.s,1),SUM(1/COUNTIFS($D:$D,D64,$E:$E,E64,$F:$F,"&lt;&gt;N/A",$G:$G,"&lt;&gt;N/A",$F:$F,"&lt;="&amp;_xlpm.p,$G:$G,"&gt;="&amp;_xlpm.p)))))</f>
        <v>3</v>
      </c>
      <c r="I64" t="s">
        <v>1279</v>
      </c>
      <c r="J64" s="5" t="s">
        <v>1387</v>
      </c>
      <c r="K64" s="5" t="s">
        <v>7</v>
      </c>
      <c r="L64" s="5" t="s">
        <v>7</v>
      </c>
      <c r="M64" s="5" t="s">
        <v>7</v>
      </c>
      <c r="N64" s="5" t="s">
        <v>7</v>
      </c>
      <c r="O64" t="s">
        <v>778</v>
      </c>
      <c r="P64" t="s">
        <v>7834</v>
      </c>
      <c r="R64" s="1" t="b">
        <v>0</v>
      </c>
    </row>
    <row r="65" spans="1:18">
      <c r="A65" t="s">
        <v>3021</v>
      </c>
      <c r="B65" t="s">
        <v>3925</v>
      </c>
      <c r="C65" s="5" t="s">
        <v>7798</v>
      </c>
      <c r="D65" s="1">
        <v>1</v>
      </c>
      <c r="E65" s="1">
        <v>5</v>
      </c>
      <c r="F65" s="1">
        <v>24</v>
      </c>
      <c r="G65" s="1">
        <v>25</v>
      </c>
      <c r="H65" s="13" cm="1">
        <f t="array" ref="H65">_xlfn.LET(_xlpm.s,IFERROR(--F65,""),_xlpm.e,IFERROR(--G65,""),IF(OR(_xlpm.s="",_xlpm.e="",_xlpm.e&lt;_xlpm.s),"",_xlfn.LET(_xlpm.p,_xlfn.SEQUENCE(_xlpm.e-_xlpm.s+1,1,_xlpm.s,1),SUM(1/COUNTIFS($D:$D,D65,$E:$E,E65,$F:$F,"&lt;&gt;N/A",$G:$G,"&lt;&gt;N/A",$F:$F,"&lt;="&amp;_xlpm.p,$G:$G,"&gt;="&amp;_xlpm.p)))))</f>
        <v>1</v>
      </c>
      <c r="I65" t="s">
        <v>1279</v>
      </c>
      <c r="J65" s="5" t="s">
        <v>1388</v>
      </c>
      <c r="K65" s="5" t="s">
        <v>7</v>
      </c>
      <c r="L65" s="5" t="s">
        <v>7</v>
      </c>
      <c r="M65" s="5" t="s">
        <v>7</v>
      </c>
      <c r="N65" s="5" t="s">
        <v>7</v>
      </c>
      <c r="O65" t="s">
        <v>778</v>
      </c>
      <c r="P65" t="s">
        <v>7834</v>
      </c>
      <c r="R65" s="1" t="b">
        <v>0</v>
      </c>
    </row>
    <row r="66" spans="1:18">
      <c r="A66" t="s">
        <v>3021</v>
      </c>
      <c r="B66" t="s">
        <v>3926</v>
      </c>
      <c r="C66" s="5" t="s">
        <v>7798</v>
      </c>
      <c r="D66" s="1">
        <v>1</v>
      </c>
      <c r="E66" s="1">
        <v>5</v>
      </c>
      <c r="F66" s="1">
        <v>25</v>
      </c>
      <c r="G66" s="1">
        <v>27</v>
      </c>
      <c r="H66" s="13" cm="1">
        <f t="array" ref="H66">_xlfn.LET(_xlpm.s,IFERROR(--F66,""),_xlpm.e,IFERROR(--G66,""),IF(OR(_xlpm.s="",_xlpm.e="",_xlpm.e&lt;_xlpm.s),"",_xlfn.LET(_xlpm.p,_xlfn.SEQUENCE(_xlpm.e-_xlpm.s+1,1,_xlpm.s,1),SUM(1/COUNTIFS($D:$D,D66,$E:$E,E66,$F:$F,"&lt;&gt;N/A",$G:$G,"&lt;&gt;N/A",$F:$F,"&lt;="&amp;_xlpm.p,$G:$G,"&gt;="&amp;_xlpm.p)))))</f>
        <v>2</v>
      </c>
      <c r="I66" t="s">
        <v>1279</v>
      </c>
      <c r="J66" s="5" t="s">
        <v>1389</v>
      </c>
      <c r="K66" s="5" t="s">
        <v>7</v>
      </c>
      <c r="L66" s="5" t="s">
        <v>7</v>
      </c>
      <c r="M66" s="5" t="s">
        <v>7</v>
      </c>
      <c r="N66" s="5" t="s">
        <v>7</v>
      </c>
      <c r="O66" t="s">
        <v>778</v>
      </c>
      <c r="P66" t="s">
        <v>7834</v>
      </c>
      <c r="R66" s="1" t="b">
        <v>0</v>
      </c>
    </row>
    <row r="67" spans="1:18">
      <c r="A67" t="s">
        <v>3021</v>
      </c>
      <c r="B67" t="s">
        <v>3927</v>
      </c>
      <c r="C67" s="5" t="s">
        <v>7798</v>
      </c>
      <c r="D67" s="1">
        <v>1</v>
      </c>
      <c r="E67" s="1">
        <v>5</v>
      </c>
      <c r="F67" s="1">
        <v>27</v>
      </c>
      <c r="G67" s="1">
        <v>28</v>
      </c>
      <c r="H67" s="13" cm="1">
        <f t="array" ref="H67">_xlfn.LET(_xlpm.s,IFERROR(--F67,""),_xlpm.e,IFERROR(--G67,""),IF(OR(_xlpm.s="",_xlpm.e="",_xlpm.e&lt;_xlpm.s),"",_xlfn.LET(_xlpm.p,_xlfn.SEQUENCE(_xlpm.e-_xlpm.s+1,1,_xlpm.s,1),SUM(1/COUNTIFS($D:$D,D67,$E:$E,E67,$F:$F,"&lt;&gt;N/A",$G:$G,"&lt;&gt;N/A",$F:$F,"&lt;="&amp;_xlpm.p,$G:$G,"&gt;="&amp;_xlpm.p)))))</f>
        <v>1</v>
      </c>
      <c r="I67" t="s">
        <v>1279</v>
      </c>
      <c r="J67" s="5" t="s">
        <v>1390</v>
      </c>
      <c r="K67" s="5" t="s">
        <v>7</v>
      </c>
      <c r="L67" s="5" t="s">
        <v>7</v>
      </c>
      <c r="M67" s="5" t="s">
        <v>7</v>
      </c>
      <c r="N67" s="5" t="s">
        <v>7</v>
      </c>
      <c r="O67" t="s">
        <v>778</v>
      </c>
      <c r="P67" t="s">
        <v>7834</v>
      </c>
      <c r="R67" s="1" t="b">
        <v>0</v>
      </c>
    </row>
    <row r="68" spans="1:18">
      <c r="A68" t="s">
        <v>3021</v>
      </c>
      <c r="B68" t="s">
        <v>3928</v>
      </c>
      <c r="C68" s="5" t="s">
        <v>7798</v>
      </c>
      <c r="D68" s="1">
        <v>1</v>
      </c>
      <c r="E68" s="1">
        <v>5</v>
      </c>
      <c r="F68" s="1">
        <v>28</v>
      </c>
      <c r="G68" s="1">
        <v>33</v>
      </c>
      <c r="H68" s="13" cm="1">
        <f t="array" ref="H68">_xlfn.LET(_xlpm.s,IFERROR(--F68,""),_xlpm.e,IFERROR(--G68,""),IF(OR(_xlpm.s="",_xlpm.e="",_xlpm.e&lt;_xlpm.s),"",_xlfn.LET(_xlpm.p,_xlfn.SEQUENCE(_xlpm.e-_xlpm.s+1,1,_xlpm.s,1),SUM(1/COUNTIFS($D:$D,D68,$E:$E,E68,$F:$F,"&lt;&gt;N/A",$G:$G,"&lt;&gt;N/A",$F:$F,"&lt;="&amp;_xlpm.p,$G:$G,"&gt;="&amp;_xlpm.p)))))</f>
        <v>5</v>
      </c>
      <c r="I68" t="s">
        <v>7</v>
      </c>
      <c r="J68" s="5" t="s">
        <v>1329</v>
      </c>
      <c r="K68" s="5" t="s">
        <v>7</v>
      </c>
      <c r="L68" s="5" t="s">
        <v>7</v>
      </c>
      <c r="M68" s="5" t="s">
        <v>7</v>
      </c>
      <c r="N68" s="5" t="s">
        <v>7</v>
      </c>
      <c r="O68" t="s">
        <v>778</v>
      </c>
      <c r="P68" t="s">
        <v>7834</v>
      </c>
      <c r="R68" s="1" t="b">
        <v>1</v>
      </c>
    </row>
    <row r="69" spans="1:18">
      <c r="A69" t="s">
        <v>3021</v>
      </c>
      <c r="B69" t="s">
        <v>3929</v>
      </c>
      <c r="C69" s="5" t="s">
        <v>7798</v>
      </c>
      <c r="D69" s="1">
        <v>1</v>
      </c>
      <c r="E69" s="1">
        <v>5</v>
      </c>
      <c r="F69" s="1">
        <v>33</v>
      </c>
      <c r="G69" s="1">
        <v>36</v>
      </c>
      <c r="H69" s="13" cm="1">
        <f t="array" ref="H69">_xlfn.LET(_xlpm.s,IFERROR(--F69,""),_xlpm.e,IFERROR(--G69,""),IF(OR(_xlpm.s="",_xlpm.e="",_xlpm.e&lt;_xlpm.s),"",_xlfn.LET(_xlpm.p,_xlfn.SEQUENCE(_xlpm.e-_xlpm.s+1,1,_xlpm.s,1),SUM(1/COUNTIFS($D:$D,D69,$E:$E,E69,$F:$F,"&lt;&gt;N/A",$G:$G,"&lt;&gt;N/A",$F:$F,"&lt;="&amp;_xlpm.p,$G:$G,"&gt;="&amp;_xlpm.p)))))</f>
        <v>3</v>
      </c>
      <c r="I69" t="s">
        <v>208</v>
      </c>
      <c r="J69" s="5" t="s">
        <v>1330</v>
      </c>
      <c r="K69" s="5" t="s">
        <v>7</v>
      </c>
      <c r="L69" s="5" t="s">
        <v>4835</v>
      </c>
      <c r="M69" s="5" t="s">
        <v>6424</v>
      </c>
      <c r="N69" s="5" t="s">
        <v>4415</v>
      </c>
      <c r="O69" t="s">
        <v>5072</v>
      </c>
      <c r="P69" t="s">
        <v>8021</v>
      </c>
      <c r="R69" s="1" t="b">
        <v>1</v>
      </c>
    </row>
    <row r="70" spans="1:18">
      <c r="A70" t="s">
        <v>3021</v>
      </c>
      <c r="B70" t="s">
        <v>3930</v>
      </c>
      <c r="C70" s="5" t="s">
        <v>7798</v>
      </c>
      <c r="D70" s="1">
        <v>1</v>
      </c>
      <c r="E70" s="1">
        <v>5</v>
      </c>
      <c r="F70" s="1">
        <v>36</v>
      </c>
      <c r="G70" s="1">
        <v>41</v>
      </c>
      <c r="H70" s="13" cm="1">
        <f t="array" ref="H70">_xlfn.LET(_xlpm.s,IFERROR(--F70,""),_xlpm.e,IFERROR(--G70,""),IF(OR(_xlpm.s="",_xlpm.e="",_xlpm.e&lt;_xlpm.s),"",_xlfn.LET(_xlpm.p,_xlfn.SEQUENCE(_xlpm.e-_xlpm.s+1,1,_xlpm.s,1),SUM(1/COUNTIFS($D:$D,D70,$E:$E,E70,$F:$F,"&lt;&gt;N/A",$G:$G,"&lt;&gt;N/A",$F:$F,"&lt;="&amp;_xlpm.p,$G:$G,"&gt;="&amp;_xlpm.p)))))</f>
        <v>5</v>
      </c>
      <c r="I70" t="s">
        <v>208</v>
      </c>
      <c r="J70" s="5" t="s">
        <v>1331</v>
      </c>
      <c r="K70" s="5" t="s">
        <v>1332</v>
      </c>
      <c r="L70" s="5" t="s">
        <v>7</v>
      </c>
      <c r="M70" s="5" t="s">
        <v>7</v>
      </c>
      <c r="N70" s="5" t="s">
        <v>7</v>
      </c>
      <c r="O70" t="s">
        <v>778</v>
      </c>
      <c r="P70" t="s">
        <v>7834</v>
      </c>
      <c r="R70" s="1" t="b">
        <v>1</v>
      </c>
    </row>
    <row r="71" spans="1:18">
      <c r="A71" t="s">
        <v>3021</v>
      </c>
      <c r="B71" t="s">
        <v>3931</v>
      </c>
      <c r="C71" s="5" t="s">
        <v>7798</v>
      </c>
      <c r="D71" s="1">
        <v>1</v>
      </c>
      <c r="E71" s="1">
        <v>5</v>
      </c>
      <c r="F71" s="1">
        <v>41</v>
      </c>
      <c r="G71" s="1">
        <v>42</v>
      </c>
      <c r="H71" s="14" cm="1">
        <f t="array" ref="H71">_xlfn.LET(_xlpm.s,IFERROR(--F71,""),_xlpm.e,IFERROR(--G71,""),IF(OR(_xlpm.s="",_xlpm.e="",_xlpm.e&lt;_xlpm.s),"",_xlfn.LET(_xlpm.p,_xlfn.SEQUENCE(_xlpm.e-_xlpm.s+1,1,_xlpm.s,1),SUM(1/COUNTIFS($D:$D,D71,$E:$E,E71,$F:$F,"&lt;&gt;N/A",$G:$G,"&lt;&gt;N/A",$F:$F,"&lt;="&amp;_xlpm.p,$G:$G,"&gt;="&amp;_xlpm.p)))))</f>
        <v>1</v>
      </c>
      <c r="I71" t="s">
        <v>208</v>
      </c>
      <c r="J71" s="5" t="s">
        <v>1333</v>
      </c>
      <c r="K71" s="5" t="s">
        <v>7</v>
      </c>
      <c r="L71" s="5" t="s">
        <v>7</v>
      </c>
      <c r="M71" s="5" t="s">
        <v>7</v>
      </c>
      <c r="N71" s="5" t="s">
        <v>7</v>
      </c>
      <c r="O71" t="s">
        <v>778</v>
      </c>
      <c r="P71" t="s">
        <v>7834</v>
      </c>
      <c r="R71" s="1" t="b">
        <v>1</v>
      </c>
    </row>
    <row r="72" spans="1:18">
      <c r="A72" t="s">
        <v>3021</v>
      </c>
      <c r="B72" t="s">
        <v>3932</v>
      </c>
      <c r="C72" s="5" t="s">
        <v>7798</v>
      </c>
      <c r="D72" s="1">
        <v>1</v>
      </c>
      <c r="E72" s="1">
        <v>5</v>
      </c>
      <c r="F72" s="1">
        <v>42</v>
      </c>
      <c r="G72" s="1">
        <v>44</v>
      </c>
      <c r="H72" s="14" cm="1">
        <f t="array" ref="H72">_xlfn.LET(_xlpm.s,IFERROR(--F72,""),_xlpm.e,IFERROR(--G72,""),IF(OR(_xlpm.s="",_xlpm.e="",_xlpm.e&lt;_xlpm.s),"",_xlfn.LET(_xlpm.p,_xlfn.SEQUENCE(_xlpm.e-_xlpm.s+1,1,_xlpm.s,1),SUM(1/COUNTIFS($D:$D,D72,$E:$E,E72,$F:$F,"&lt;&gt;N/A",$G:$G,"&lt;&gt;N/A",$F:$F,"&lt;="&amp;_xlpm.p,$G:$G,"&gt;="&amp;_xlpm.p)))))</f>
        <v>1.8333333333333333</v>
      </c>
      <c r="I72" t="s">
        <v>208</v>
      </c>
      <c r="J72" s="5" t="s">
        <v>1334</v>
      </c>
      <c r="K72" s="5" t="s">
        <v>7</v>
      </c>
      <c r="L72" s="5" t="s">
        <v>4836</v>
      </c>
      <c r="M72" t="s">
        <v>6426</v>
      </c>
      <c r="N72" s="5" t="s">
        <v>6432</v>
      </c>
      <c r="O72" s="4" t="s">
        <v>11522</v>
      </c>
      <c r="P72" s="4" t="s">
        <v>8021</v>
      </c>
      <c r="R72" s="1" t="b">
        <v>1</v>
      </c>
    </row>
    <row r="73" spans="1:18">
      <c r="A73" t="s">
        <v>3021</v>
      </c>
      <c r="B73" t="s">
        <v>3933</v>
      </c>
      <c r="C73" s="5" t="s">
        <v>7798</v>
      </c>
      <c r="D73" s="1">
        <v>1</v>
      </c>
      <c r="E73" s="1">
        <v>5</v>
      </c>
      <c r="F73" s="1">
        <v>44</v>
      </c>
      <c r="G73" s="1">
        <v>44</v>
      </c>
      <c r="H73" s="14" cm="1">
        <f t="array" ref="H73">_xlfn.LET(_xlpm.s,IFERROR(--F73,""),_xlpm.e,IFERROR(--G73,""),IF(OR(_xlpm.s="",_xlpm.e="",_xlpm.e&lt;_xlpm.s),"",_xlfn.LET(_xlpm.p,_xlfn.SEQUENCE(_xlpm.e-_xlpm.s+1,1,_xlpm.s,1),SUM(1/COUNTIFS($D:$D,D73,$E:$E,E73,$F:$F,"&lt;&gt;N/A",$G:$G,"&lt;&gt;N/A",$F:$F,"&lt;="&amp;_xlpm.p,$G:$G,"&gt;="&amp;_xlpm.p)))))</f>
        <v>0.33333333333333331</v>
      </c>
      <c r="I73" t="s">
        <v>208</v>
      </c>
      <c r="J73" s="5" t="s">
        <v>1338</v>
      </c>
      <c r="K73" s="5" t="s">
        <v>7</v>
      </c>
      <c r="L73" s="5" t="s">
        <v>4836</v>
      </c>
      <c r="M73" s="5" t="s">
        <v>6426</v>
      </c>
      <c r="N73" s="5" t="s">
        <v>6431</v>
      </c>
      <c r="O73" s="4" t="s">
        <v>11522</v>
      </c>
      <c r="P73" s="4" t="s">
        <v>8021</v>
      </c>
      <c r="R73" s="1" t="b">
        <v>1</v>
      </c>
    </row>
    <row r="74" spans="1:18">
      <c r="A74" t="s">
        <v>3021</v>
      </c>
      <c r="B74" t="s">
        <v>3934</v>
      </c>
      <c r="C74" s="5" t="s">
        <v>7798</v>
      </c>
      <c r="D74" s="1">
        <v>1</v>
      </c>
      <c r="E74" s="1">
        <v>5</v>
      </c>
      <c r="F74" s="1">
        <v>44</v>
      </c>
      <c r="G74" s="1">
        <v>45</v>
      </c>
      <c r="H74" s="14" cm="1">
        <f t="array" ref="H74">_xlfn.LET(_xlpm.s,IFERROR(--F74,""),_xlpm.e,IFERROR(--G74,""),IF(OR(_xlpm.s="",_xlpm.e="",_xlpm.e&lt;_xlpm.s),"",_xlfn.LET(_xlpm.p,_xlfn.SEQUENCE(_xlpm.e-_xlpm.s+1,1,_xlpm.s,1),SUM(1/COUNTIFS($D:$D,D74,$E:$E,E74,$F:$F,"&lt;&gt;N/A",$G:$G,"&lt;&gt;N/A",$F:$F,"&lt;="&amp;_xlpm.p,$G:$G,"&gt;="&amp;_xlpm.p)))))</f>
        <v>0.66666666666666663</v>
      </c>
      <c r="I74" t="s">
        <v>208</v>
      </c>
      <c r="J74" s="5" t="s">
        <v>1339</v>
      </c>
      <c r="K74" s="5" t="s">
        <v>7</v>
      </c>
      <c r="L74" s="5" t="s">
        <v>4836</v>
      </c>
      <c r="M74" t="s">
        <v>6426</v>
      </c>
      <c r="N74" s="5" t="s">
        <v>6433</v>
      </c>
      <c r="O74" s="4" t="s">
        <v>11522</v>
      </c>
      <c r="P74" s="4" t="s">
        <v>8021</v>
      </c>
      <c r="R74" s="1" t="b">
        <v>1</v>
      </c>
    </row>
    <row r="75" spans="1:18">
      <c r="A75" t="s">
        <v>3021</v>
      </c>
      <c r="B75" t="s">
        <v>3935</v>
      </c>
      <c r="C75" s="5" t="s">
        <v>7798</v>
      </c>
      <c r="D75" s="1">
        <v>1</v>
      </c>
      <c r="E75" s="1">
        <v>5</v>
      </c>
      <c r="F75" s="1">
        <v>45</v>
      </c>
      <c r="G75" s="1">
        <v>45</v>
      </c>
      <c r="H75" s="14" cm="1">
        <f t="array" ref="H75">_xlfn.LET(_xlpm.s,IFERROR(--F75,""),_xlpm.e,IFERROR(--G75,""),IF(OR(_xlpm.s="",_xlpm.e="",_xlpm.e&lt;_xlpm.s),"",_xlfn.LET(_xlpm.p,_xlfn.SEQUENCE(_xlpm.e-_xlpm.s+1,1,_xlpm.s,1),SUM(1/COUNTIFS($D:$D,D75,$E:$E,E75,$F:$F,"&lt;&gt;N/A",$G:$G,"&lt;&gt;N/A",$F:$F,"&lt;="&amp;_xlpm.p,$G:$G,"&gt;="&amp;_xlpm.p)))))</f>
        <v>0.33333333333333331</v>
      </c>
      <c r="I75" t="s">
        <v>208</v>
      </c>
      <c r="J75" s="5" t="s">
        <v>1335</v>
      </c>
      <c r="K75" s="5" t="s">
        <v>7</v>
      </c>
      <c r="L75" s="5" t="s">
        <v>4836</v>
      </c>
      <c r="M75" t="s">
        <v>6428</v>
      </c>
      <c r="N75" s="5" t="s">
        <v>6429</v>
      </c>
      <c r="O75" s="4" t="s">
        <v>5072</v>
      </c>
      <c r="P75" s="4" t="s">
        <v>8021</v>
      </c>
      <c r="R75" s="1" t="b">
        <v>1</v>
      </c>
    </row>
    <row r="76" spans="1:18">
      <c r="A76" t="s">
        <v>3021</v>
      </c>
      <c r="B76" t="s">
        <v>3936</v>
      </c>
      <c r="C76" s="5" t="s">
        <v>7798</v>
      </c>
      <c r="D76" s="1">
        <v>1</v>
      </c>
      <c r="E76" s="1">
        <v>5</v>
      </c>
      <c r="F76" s="1">
        <v>45</v>
      </c>
      <c r="G76" s="1">
        <v>48</v>
      </c>
      <c r="H76" s="14" cm="1">
        <f t="array" ref="H76">_xlfn.LET(_xlpm.s,IFERROR(--F76,""),_xlpm.e,IFERROR(--G76,""),IF(OR(_xlpm.s="",_xlpm.e="",_xlpm.e&lt;_xlpm.s),"",_xlfn.LET(_xlpm.p,_xlfn.SEQUENCE(_xlpm.e-_xlpm.s+1,1,_xlpm.s,1),SUM(1/COUNTIFS($D:$D,D76,$E:$E,E76,$F:$F,"&lt;&gt;N/A",$G:$G,"&lt;&gt;N/A",$F:$F,"&lt;="&amp;_xlpm.p,$G:$G,"&gt;="&amp;_xlpm.p)))))</f>
        <v>2.833333333333333</v>
      </c>
      <c r="I76" t="s">
        <v>208</v>
      </c>
      <c r="J76" s="5" t="s">
        <v>1336</v>
      </c>
      <c r="K76" s="5" t="s">
        <v>1337</v>
      </c>
      <c r="L76" s="5" t="s">
        <v>4836</v>
      </c>
      <c r="M76" t="s">
        <v>5017</v>
      </c>
      <c r="N76" s="5" t="s">
        <v>6430</v>
      </c>
      <c r="O76" s="4" t="s">
        <v>5072</v>
      </c>
      <c r="P76" s="4" t="s">
        <v>8021</v>
      </c>
      <c r="R76" s="1" t="b">
        <v>1</v>
      </c>
    </row>
    <row r="77" spans="1:18">
      <c r="A77" t="s">
        <v>3021</v>
      </c>
      <c r="B77" t="s">
        <v>3937</v>
      </c>
      <c r="C77" s="5" t="s">
        <v>7798</v>
      </c>
      <c r="D77" s="1">
        <v>1</v>
      </c>
      <c r="E77" s="1">
        <v>5</v>
      </c>
      <c r="F77" s="1">
        <v>48</v>
      </c>
      <c r="G77" s="1">
        <v>48</v>
      </c>
      <c r="H77" s="14" cm="1">
        <f t="array" ref="H77">_xlfn.LET(_xlpm.s,IFERROR(--F77,""),_xlpm.e,IFERROR(--G77,""),IF(OR(_xlpm.s="",_xlpm.e="",_xlpm.e&lt;_xlpm.s),"",_xlfn.LET(_xlpm.p,_xlfn.SEQUENCE(_xlpm.e-_xlpm.s+1,1,_xlpm.s,1),SUM(1/COUNTIFS($D:$D,D77,$E:$E,E77,$F:$F,"&lt;&gt;N/A",$G:$G,"&lt;&gt;N/A",$F:$F,"&lt;="&amp;_xlpm.p,$G:$G,"&gt;="&amp;_xlpm.p)))))</f>
        <v>0.5</v>
      </c>
      <c r="I77" t="s">
        <v>208</v>
      </c>
      <c r="J77" s="5" t="s">
        <v>1340</v>
      </c>
      <c r="K77" s="5" t="s">
        <v>7</v>
      </c>
      <c r="L77" s="5" t="s">
        <v>7</v>
      </c>
      <c r="M77" s="5" t="s">
        <v>7</v>
      </c>
      <c r="N77" s="5" t="s">
        <v>7</v>
      </c>
      <c r="O77" t="s">
        <v>778</v>
      </c>
      <c r="P77" t="s">
        <v>7834</v>
      </c>
      <c r="R77" s="1" t="b">
        <v>1</v>
      </c>
    </row>
    <row r="78" spans="1:18">
      <c r="A78" t="s">
        <v>3021</v>
      </c>
      <c r="B78" t="s">
        <v>3938</v>
      </c>
      <c r="C78" s="5" t="s">
        <v>7805</v>
      </c>
      <c r="D78" s="1">
        <v>1</v>
      </c>
      <c r="E78" s="1">
        <v>6</v>
      </c>
      <c r="F78" s="1">
        <v>3</v>
      </c>
      <c r="G78" s="1">
        <v>5</v>
      </c>
      <c r="H78" s="14" cm="1">
        <f t="array" ref="H78">_xlfn.LET(_xlpm.s,IFERROR(--F78,""),_xlpm.e,IFERROR(--G78,""),IF(OR(_xlpm.s="",_xlpm.e="",_xlpm.e&lt;_xlpm.s),"",_xlfn.LET(_xlpm.p,_xlfn.SEQUENCE(_xlpm.e-_xlpm.s+1,1,_xlpm.s,1),SUM(1/COUNTIFS($D:$D,D78,$E:$E,E78,$F:$F,"&lt;&gt;N/A",$G:$G,"&lt;&gt;N/A",$F:$F,"&lt;="&amp;_xlpm.p,$G:$G,"&gt;="&amp;_xlpm.p)))))</f>
        <v>2.5</v>
      </c>
      <c r="I78" t="s">
        <v>1279</v>
      </c>
      <c r="J78" s="5" t="s">
        <v>1391</v>
      </c>
      <c r="K78" s="5" t="s">
        <v>7</v>
      </c>
      <c r="L78" s="5" t="s">
        <v>7</v>
      </c>
      <c r="M78" s="5" t="s">
        <v>7</v>
      </c>
      <c r="N78" s="5" t="s">
        <v>7</v>
      </c>
      <c r="O78" t="s">
        <v>778</v>
      </c>
      <c r="P78" t="s">
        <v>7834</v>
      </c>
      <c r="R78" s="1" t="b">
        <v>0</v>
      </c>
    </row>
    <row r="79" spans="1:18">
      <c r="A79" t="s">
        <v>3021</v>
      </c>
      <c r="B79" t="s">
        <v>3939</v>
      </c>
      <c r="C79" s="5" t="s">
        <v>7805</v>
      </c>
      <c r="D79" s="1">
        <v>1</v>
      </c>
      <c r="E79" s="1">
        <v>6</v>
      </c>
      <c r="F79" s="1">
        <v>5</v>
      </c>
      <c r="G79" s="1">
        <v>8</v>
      </c>
      <c r="H79" s="14" cm="1">
        <f t="array" ref="H79">_xlfn.LET(_xlpm.s,IFERROR(--F79,""),_xlpm.e,IFERROR(--G79,""),IF(OR(_xlpm.s="",_xlpm.e="",_xlpm.e&lt;_xlpm.s),"",_xlfn.LET(_xlpm.p,_xlfn.SEQUENCE(_xlpm.e-_xlpm.s+1,1,_xlpm.s,1),SUM(1/COUNTIFS($D:$D,D79,$E:$E,E79,$F:$F,"&lt;&gt;N/A",$G:$G,"&lt;&gt;N/A",$F:$F,"&lt;="&amp;_xlpm.p,$G:$G,"&gt;="&amp;_xlpm.p)))))</f>
        <v>3</v>
      </c>
      <c r="I79" t="s">
        <v>1279</v>
      </c>
      <c r="J79" s="5" t="s">
        <v>1342</v>
      </c>
      <c r="K79" s="5" t="s">
        <v>725</v>
      </c>
      <c r="L79" s="5" t="s">
        <v>7</v>
      </c>
      <c r="M79" s="5" t="s">
        <v>7</v>
      </c>
      <c r="N79" s="5" t="s">
        <v>7</v>
      </c>
      <c r="O79" t="s">
        <v>778</v>
      </c>
      <c r="P79" t="s">
        <v>7834</v>
      </c>
      <c r="R79" s="1" t="b">
        <v>1</v>
      </c>
    </row>
    <row r="80" spans="1:18">
      <c r="A80" t="s">
        <v>3021</v>
      </c>
      <c r="B80" t="s">
        <v>3940</v>
      </c>
      <c r="C80" s="5" t="s">
        <v>7805</v>
      </c>
      <c r="D80" s="1">
        <v>1</v>
      </c>
      <c r="E80" s="1">
        <v>6</v>
      </c>
      <c r="F80" s="1">
        <v>8</v>
      </c>
      <c r="G80" s="1">
        <v>10</v>
      </c>
      <c r="H80" s="14" cm="1">
        <f t="array" ref="H80">_xlfn.LET(_xlpm.s,IFERROR(--F80,""),_xlpm.e,IFERROR(--G80,""),IF(OR(_xlpm.s="",_xlpm.e="",_xlpm.e&lt;_xlpm.s),"",_xlfn.LET(_xlpm.p,_xlfn.SEQUENCE(_xlpm.e-_xlpm.s+1,1,_xlpm.s,1),SUM(1/COUNTIFS($D:$D,D80,$E:$E,E80,$F:$F,"&lt;&gt;N/A",$G:$G,"&lt;&gt;N/A",$F:$F,"&lt;="&amp;_xlpm.p,$G:$G,"&gt;="&amp;_xlpm.p)))))</f>
        <v>2</v>
      </c>
      <c r="I80" t="s">
        <v>1279</v>
      </c>
      <c r="J80" s="5" t="s">
        <v>1392</v>
      </c>
      <c r="K80" s="5" t="s">
        <v>7</v>
      </c>
      <c r="L80" s="5" t="s">
        <v>7</v>
      </c>
      <c r="M80" s="5" t="s">
        <v>7</v>
      </c>
      <c r="N80" s="5" t="s">
        <v>7</v>
      </c>
      <c r="O80" t="s">
        <v>778</v>
      </c>
      <c r="P80" t="s">
        <v>7834</v>
      </c>
      <c r="R80" s="1" t="b">
        <v>0</v>
      </c>
    </row>
    <row r="81" spans="1:18">
      <c r="A81" t="s">
        <v>3021</v>
      </c>
      <c r="B81" t="s">
        <v>3941</v>
      </c>
      <c r="C81" s="5" t="s">
        <v>7805</v>
      </c>
      <c r="D81" s="1">
        <v>1</v>
      </c>
      <c r="E81" s="1">
        <v>6</v>
      </c>
      <c r="F81" s="1">
        <v>10</v>
      </c>
      <c r="G81" s="1">
        <v>16</v>
      </c>
      <c r="H81" s="14" cm="1">
        <f t="array" ref="H81">_xlfn.LET(_xlpm.s,IFERROR(--F81,""),_xlpm.e,IFERROR(--G81,""),IF(OR(_xlpm.s="",_xlpm.e="",_xlpm.e&lt;_xlpm.s),"",_xlfn.LET(_xlpm.p,_xlfn.SEQUENCE(_xlpm.e-_xlpm.s+1,1,_xlpm.s,1),SUM(1/COUNTIFS($D:$D,D81,$E:$E,E81,$F:$F,"&lt;&gt;N/A",$G:$G,"&lt;&gt;N/A",$F:$F,"&lt;="&amp;_xlpm.p,$G:$G,"&gt;="&amp;_xlpm.p)))))</f>
        <v>6</v>
      </c>
      <c r="I81" t="s">
        <v>1279</v>
      </c>
      <c r="J81" s="5" t="s">
        <v>1393</v>
      </c>
      <c r="K81" s="5" t="s">
        <v>7</v>
      </c>
      <c r="L81" s="5" t="s">
        <v>7</v>
      </c>
      <c r="M81" s="5" t="s">
        <v>7</v>
      </c>
      <c r="N81" s="5" t="s">
        <v>7</v>
      </c>
      <c r="O81" t="s">
        <v>778</v>
      </c>
      <c r="P81" t="s">
        <v>7834</v>
      </c>
      <c r="R81" s="1" t="b">
        <v>0</v>
      </c>
    </row>
    <row r="82" spans="1:18">
      <c r="A82" t="s">
        <v>3021</v>
      </c>
      <c r="B82" t="s">
        <v>3942</v>
      </c>
      <c r="C82" s="5" t="s">
        <v>7805</v>
      </c>
      <c r="D82" s="1">
        <v>1</v>
      </c>
      <c r="E82" s="1">
        <v>6</v>
      </c>
      <c r="F82" s="1">
        <v>16</v>
      </c>
      <c r="G82" s="1">
        <v>29</v>
      </c>
      <c r="H82" s="14" cm="1">
        <f t="array" ref="H82">_xlfn.LET(_xlpm.s,IFERROR(--F82,""),_xlpm.e,IFERROR(--G82,""),IF(OR(_xlpm.s="",_xlpm.e="",_xlpm.e&lt;_xlpm.s),"",_xlfn.LET(_xlpm.p,_xlfn.SEQUENCE(_xlpm.e-_xlpm.s+1,1,_xlpm.s,1),SUM(1/COUNTIFS($D:$D,D82,$E:$E,E82,$F:$F,"&lt;&gt;N/A",$G:$G,"&lt;&gt;N/A",$F:$F,"&lt;="&amp;_xlpm.p,$G:$G,"&gt;="&amp;_xlpm.p)))))</f>
        <v>13</v>
      </c>
      <c r="I82" t="s">
        <v>1279</v>
      </c>
      <c r="J82" s="5" t="s">
        <v>1343</v>
      </c>
      <c r="K82" s="5" t="s">
        <v>1280</v>
      </c>
      <c r="L82" s="5" t="s">
        <v>7</v>
      </c>
      <c r="M82" s="5" t="s">
        <v>7</v>
      </c>
      <c r="N82" s="5" t="s">
        <v>7</v>
      </c>
      <c r="O82" t="s">
        <v>778</v>
      </c>
      <c r="P82" t="s">
        <v>7834</v>
      </c>
      <c r="R82" s="1" t="b">
        <v>1</v>
      </c>
    </row>
    <row r="83" spans="1:18">
      <c r="A83" t="s">
        <v>3021</v>
      </c>
      <c r="B83" t="s">
        <v>3943</v>
      </c>
      <c r="C83" s="5" t="s">
        <v>7805</v>
      </c>
      <c r="D83" s="1">
        <v>1</v>
      </c>
      <c r="E83" s="1">
        <v>6</v>
      </c>
      <c r="F83" s="1">
        <v>29</v>
      </c>
      <c r="G83" s="1">
        <v>34</v>
      </c>
      <c r="H83" s="13" cm="1">
        <f t="array" ref="H83">_xlfn.LET(_xlpm.s,IFERROR(--F83,""),_xlpm.e,IFERROR(--G83,""),IF(OR(_xlpm.s="",_xlpm.e="",_xlpm.e&lt;_xlpm.s),"",_xlfn.LET(_xlpm.p,_xlfn.SEQUENCE(_xlpm.e-_xlpm.s+1,1,_xlpm.s,1),SUM(1/COUNTIFS($D:$D,D83,$E:$E,E83,$F:$F,"&lt;&gt;N/A",$G:$G,"&lt;&gt;N/A",$F:$F,"&lt;="&amp;_xlpm.p,$G:$G,"&gt;="&amp;_xlpm.p)))))</f>
        <v>5</v>
      </c>
      <c r="I83" t="s">
        <v>1297</v>
      </c>
      <c r="J83" s="5" t="s">
        <v>588</v>
      </c>
      <c r="K83" s="5" t="s">
        <v>1280</v>
      </c>
      <c r="L83" s="5" t="s">
        <v>7</v>
      </c>
      <c r="M83" s="5" t="s">
        <v>7</v>
      </c>
      <c r="N83" s="5" t="s">
        <v>7</v>
      </c>
      <c r="O83" t="s">
        <v>778</v>
      </c>
      <c r="P83" t="s">
        <v>7834</v>
      </c>
      <c r="R83" s="1" t="b">
        <v>1</v>
      </c>
    </row>
    <row r="84" spans="1:18">
      <c r="A84" t="s">
        <v>3021</v>
      </c>
      <c r="B84" t="s">
        <v>3944</v>
      </c>
      <c r="C84" s="5" t="s">
        <v>7805</v>
      </c>
      <c r="D84" s="1">
        <v>1</v>
      </c>
      <c r="E84" s="1">
        <v>6</v>
      </c>
      <c r="F84" s="1">
        <v>34</v>
      </c>
      <c r="G84" s="1">
        <v>38</v>
      </c>
      <c r="H84" s="13" cm="1">
        <f t="array" ref="H84">_xlfn.LET(_xlpm.s,IFERROR(--F84,""),_xlpm.e,IFERROR(--G84,""),IF(OR(_xlpm.s="",_xlpm.e="",_xlpm.e&lt;_xlpm.s),"",_xlfn.LET(_xlpm.p,_xlfn.SEQUENCE(_xlpm.e-_xlpm.s+1,1,_xlpm.s,1),SUM(1/COUNTIFS($D:$D,D84,$E:$E,E84,$F:$F,"&lt;&gt;N/A",$G:$G,"&lt;&gt;N/A",$F:$F,"&lt;="&amp;_xlpm.p,$G:$G,"&gt;="&amp;_xlpm.p)))))</f>
        <v>4</v>
      </c>
      <c r="I84" t="s">
        <v>1297</v>
      </c>
      <c r="J84" s="5" t="s">
        <v>1344</v>
      </c>
      <c r="K84" s="5" t="s">
        <v>1357</v>
      </c>
      <c r="L84" s="5" t="s">
        <v>7</v>
      </c>
      <c r="M84" s="5" t="s">
        <v>7</v>
      </c>
      <c r="N84" s="5" t="s">
        <v>7</v>
      </c>
      <c r="O84" t="s">
        <v>778</v>
      </c>
      <c r="P84" t="s">
        <v>7834</v>
      </c>
      <c r="R84" s="1" t="b">
        <v>1</v>
      </c>
    </row>
    <row r="85" spans="1:18">
      <c r="A85" t="s">
        <v>3021</v>
      </c>
      <c r="B85" t="s">
        <v>3945</v>
      </c>
      <c r="C85" s="5" t="s">
        <v>7805</v>
      </c>
      <c r="D85" s="1">
        <v>1</v>
      </c>
      <c r="E85" s="1">
        <v>6</v>
      </c>
      <c r="F85" s="1">
        <v>38</v>
      </c>
      <c r="G85" s="1">
        <v>41</v>
      </c>
      <c r="H85" s="13" cm="1">
        <f t="array" ref="H85">_xlfn.LET(_xlpm.s,IFERROR(--F85,""),_xlpm.e,IFERROR(--G85,""),IF(OR(_xlpm.s="",_xlpm.e="",_xlpm.e&lt;_xlpm.s),"",_xlfn.LET(_xlpm.p,_xlfn.SEQUENCE(_xlpm.e-_xlpm.s+1,1,_xlpm.s,1),SUM(1/COUNTIFS($D:$D,D85,$E:$E,E85,$F:$F,"&lt;&gt;N/A",$G:$G,"&lt;&gt;N/A",$F:$F,"&lt;="&amp;_xlpm.p,$G:$G,"&gt;="&amp;_xlpm.p)))))</f>
        <v>2.75</v>
      </c>
      <c r="I85" t="s">
        <v>1297</v>
      </c>
      <c r="J85" s="5" t="s">
        <v>1345</v>
      </c>
      <c r="K85" s="5" t="s">
        <v>7</v>
      </c>
      <c r="L85" s="5" t="s">
        <v>7</v>
      </c>
      <c r="M85" s="5" t="s">
        <v>7</v>
      </c>
      <c r="N85" s="5" t="s">
        <v>7</v>
      </c>
      <c r="O85" t="s">
        <v>778</v>
      </c>
      <c r="P85" t="s">
        <v>7834</v>
      </c>
      <c r="R85" s="1" t="b">
        <v>1</v>
      </c>
    </row>
    <row r="86" spans="1:18">
      <c r="A86" t="s">
        <v>3021</v>
      </c>
      <c r="B86" t="s">
        <v>3946</v>
      </c>
      <c r="C86" s="5" t="s">
        <v>7805</v>
      </c>
      <c r="D86" s="1">
        <v>1</v>
      </c>
      <c r="E86" s="1">
        <v>6</v>
      </c>
      <c r="F86" s="1">
        <v>41</v>
      </c>
      <c r="G86" s="1">
        <v>41</v>
      </c>
      <c r="H86" s="13" cm="1">
        <f t="array" ref="H86">_xlfn.LET(_xlpm.s,IFERROR(--F86,""),_xlpm.e,IFERROR(--G86,""),IF(OR(_xlpm.s="",_xlpm.e="",_xlpm.e&lt;_xlpm.s),"",_xlfn.LET(_xlpm.p,_xlfn.SEQUENCE(_xlpm.e-_xlpm.s+1,1,_xlpm.s,1),SUM(1/COUNTIFS($D:$D,D86,$E:$E,E86,$F:$F,"&lt;&gt;N/A",$G:$G,"&lt;&gt;N/A",$F:$F,"&lt;="&amp;_xlpm.p,$G:$G,"&gt;="&amp;_xlpm.p)))))</f>
        <v>0.25</v>
      </c>
      <c r="I86" t="s">
        <v>205</v>
      </c>
      <c r="J86" s="5" t="s">
        <v>1346</v>
      </c>
      <c r="K86" s="5" t="s">
        <v>7</v>
      </c>
      <c r="L86" s="5" t="s">
        <v>7</v>
      </c>
      <c r="M86" t="s">
        <v>6435</v>
      </c>
      <c r="N86" t="s">
        <v>7997</v>
      </c>
      <c r="O86" s="4" t="s">
        <v>11522</v>
      </c>
      <c r="P86" s="4" t="s">
        <v>8021</v>
      </c>
      <c r="R86" s="1" t="b">
        <v>1</v>
      </c>
    </row>
    <row r="87" spans="1:18">
      <c r="A87" t="s">
        <v>3021</v>
      </c>
      <c r="B87" t="s">
        <v>3947</v>
      </c>
      <c r="C87" s="5" t="s">
        <v>7805</v>
      </c>
      <c r="D87" s="1">
        <v>1</v>
      </c>
      <c r="E87" s="1">
        <v>6</v>
      </c>
      <c r="F87" s="1">
        <v>41</v>
      </c>
      <c r="G87" s="1">
        <v>41</v>
      </c>
      <c r="H87" s="13" cm="1">
        <f t="array" ref="H87">_xlfn.LET(_xlpm.s,IFERROR(--F87,""),_xlpm.e,IFERROR(--G87,""),IF(OR(_xlpm.s="",_xlpm.e="",_xlpm.e&lt;_xlpm.s),"",_xlfn.LET(_xlpm.p,_xlfn.SEQUENCE(_xlpm.e-_xlpm.s+1,1,_xlpm.s,1),SUM(1/COUNTIFS($D:$D,D87,$E:$E,E87,$F:$F,"&lt;&gt;N/A",$G:$G,"&lt;&gt;N/A",$F:$F,"&lt;="&amp;_xlpm.p,$G:$G,"&gt;="&amp;_xlpm.p)))))</f>
        <v>0.25</v>
      </c>
      <c r="I87" t="s">
        <v>205</v>
      </c>
      <c r="J87" s="5" t="s">
        <v>1347</v>
      </c>
      <c r="K87" s="5" t="s">
        <v>7</v>
      </c>
      <c r="L87" s="5" t="s">
        <v>7</v>
      </c>
      <c r="M87" t="s">
        <v>6435</v>
      </c>
      <c r="N87" s="6" t="s">
        <v>2697</v>
      </c>
      <c r="O87" s="4" t="s">
        <v>11522</v>
      </c>
      <c r="P87" s="4" t="s">
        <v>8021</v>
      </c>
      <c r="R87" s="1" t="b">
        <v>1</v>
      </c>
    </row>
    <row r="88" spans="1:18">
      <c r="A88" t="s">
        <v>3021</v>
      </c>
      <c r="B88" t="s">
        <v>3948</v>
      </c>
      <c r="C88" s="5" t="s">
        <v>7805</v>
      </c>
      <c r="D88" s="1">
        <v>1</v>
      </c>
      <c r="E88" s="1">
        <v>6</v>
      </c>
      <c r="F88" s="1">
        <v>41</v>
      </c>
      <c r="G88" s="1">
        <v>41</v>
      </c>
      <c r="H88" s="13" cm="1">
        <f t="array" ref="H88">_xlfn.LET(_xlpm.s,IFERROR(--F88,""),_xlpm.e,IFERROR(--G88,""),IF(OR(_xlpm.s="",_xlpm.e="",_xlpm.e&lt;_xlpm.s),"",_xlfn.LET(_xlpm.p,_xlfn.SEQUENCE(_xlpm.e-_xlpm.s+1,1,_xlpm.s,1),SUM(1/COUNTIFS($D:$D,D88,$E:$E,E88,$F:$F,"&lt;&gt;N/A",$G:$G,"&lt;&gt;N/A",$F:$F,"&lt;="&amp;_xlpm.p,$G:$G,"&gt;="&amp;_xlpm.p)))))</f>
        <v>0.25</v>
      </c>
      <c r="I88" t="s">
        <v>205</v>
      </c>
      <c r="J88" s="5" t="s">
        <v>1348</v>
      </c>
      <c r="K88" s="5" t="s">
        <v>7</v>
      </c>
      <c r="L88" s="5" t="s">
        <v>7</v>
      </c>
      <c r="M88" t="s">
        <v>6435</v>
      </c>
      <c r="N88" s="5" t="s">
        <v>2695</v>
      </c>
      <c r="O88" t="s">
        <v>5072</v>
      </c>
      <c r="P88" t="s">
        <v>8021</v>
      </c>
      <c r="R88" s="1" t="b">
        <v>1</v>
      </c>
    </row>
    <row r="89" spans="1:18">
      <c r="A89" t="s">
        <v>3021</v>
      </c>
      <c r="B89" t="s">
        <v>3949</v>
      </c>
      <c r="C89" s="5" t="s">
        <v>7805</v>
      </c>
      <c r="D89" s="1">
        <v>1</v>
      </c>
      <c r="E89" s="1">
        <v>6</v>
      </c>
      <c r="F89" s="1">
        <v>42</v>
      </c>
      <c r="G89" s="1">
        <v>45</v>
      </c>
      <c r="H89" s="13" cm="1">
        <f t="array" ref="H89">_xlfn.LET(_xlpm.s,IFERROR(--F89,""),_xlpm.e,IFERROR(--G89,""),IF(OR(_xlpm.s="",_xlpm.e="",_xlpm.e&lt;_xlpm.s),"",_xlfn.LET(_xlpm.p,_xlfn.SEQUENCE(_xlpm.e-_xlpm.s+1,1,_xlpm.s,1),SUM(1/COUNTIFS($D:$D,D89,$E:$E,E89,$F:$F,"&lt;&gt;N/A",$G:$G,"&lt;&gt;N/A",$F:$F,"&lt;="&amp;_xlpm.p,$G:$G,"&gt;="&amp;_xlpm.p)))))</f>
        <v>4</v>
      </c>
      <c r="I89" t="s">
        <v>208</v>
      </c>
      <c r="J89" s="5" t="s">
        <v>4437</v>
      </c>
      <c r="K89" s="5" t="s">
        <v>7</v>
      </c>
      <c r="L89" s="5" t="s">
        <v>6368</v>
      </c>
      <c r="M89" t="s">
        <v>6434</v>
      </c>
      <c r="N89" s="5" t="s">
        <v>2696</v>
      </c>
      <c r="O89" t="s">
        <v>11522</v>
      </c>
      <c r="P89" t="s">
        <v>8021</v>
      </c>
      <c r="R89" s="1" t="b">
        <v>1</v>
      </c>
    </row>
    <row r="90" spans="1:18">
      <c r="A90" t="s">
        <v>3021</v>
      </c>
      <c r="B90" t="s">
        <v>3950</v>
      </c>
      <c r="C90" s="5" t="s">
        <v>7805</v>
      </c>
      <c r="D90" s="1">
        <v>1</v>
      </c>
      <c r="E90" s="1">
        <v>6</v>
      </c>
      <c r="F90" s="1">
        <v>46</v>
      </c>
      <c r="G90" s="1">
        <v>46</v>
      </c>
      <c r="H90" s="13" cm="1">
        <f t="array" ref="H90">_xlfn.LET(_xlpm.s,IFERROR(--F90,""),_xlpm.e,IFERROR(--G90,""),IF(OR(_xlpm.s="",_xlpm.e="",_xlpm.e&lt;_xlpm.s),"",_xlfn.LET(_xlpm.p,_xlfn.SEQUENCE(_xlpm.e-_xlpm.s+1,1,_xlpm.s,1),SUM(1/COUNTIFS($D:$D,D90,$E:$E,E90,$F:$F,"&lt;&gt;N/A",$G:$G,"&lt;&gt;N/A",$F:$F,"&lt;="&amp;_xlpm.p,$G:$G,"&gt;="&amp;_xlpm.p)))))</f>
        <v>0.5</v>
      </c>
      <c r="I90" t="s">
        <v>208</v>
      </c>
      <c r="J90" s="5" t="s">
        <v>1349</v>
      </c>
      <c r="K90" s="5" t="s">
        <v>7</v>
      </c>
      <c r="L90" s="5" t="s">
        <v>4837</v>
      </c>
      <c r="M90" t="s">
        <v>6428</v>
      </c>
      <c r="N90" s="5" t="s">
        <v>4417</v>
      </c>
      <c r="O90" t="s">
        <v>5072</v>
      </c>
      <c r="P90" t="s">
        <v>8021</v>
      </c>
      <c r="R90" s="1" t="b">
        <v>1</v>
      </c>
    </row>
    <row r="91" spans="1:18">
      <c r="A91" t="s">
        <v>3021</v>
      </c>
      <c r="B91" t="s">
        <v>3951</v>
      </c>
      <c r="C91" s="5" t="s">
        <v>7805</v>
      </c>
      <c r="D91" s="1">
        <v>1</v>
      </c>
      <c r="E91" s="1">
        <v>6</v>
      </c>
      <c r="F91" s="1">
        <v>46</v>
      </c>
      <c r="G91" s="1">
        <v>46</v>
      </c>
      <c r="H91" s="13" cm="1">
        <f t="array" ref="H91">_xlfn.LET(_xlpm.s,IFERROR(--F91,""),_xlpm.e,IFERROR(--G91,""),IF(OR(_xlpm.s="",_xlpm.e="",_xlpm.e&lt;_xlpm.s),"",_xlfn.LET(_xlpm.p,_xlfn.SEQUENCE(_xlpm.e-_xlpm.s+1,1,_xlpm.s,1),SUM(1/COUNTIFS($D:$D,D91,$E:$E,E91,$F:$F,"&lt;&gt;N/A",$G:$G,"&lt;&gt;N/A",$F:$F,"&lt;="&amp;_xlpm.p,$G:$G,"&gt;="&amp;_xlpm.p)))))</f>
        <v>0.5</v>
      </c>
      <c r="I91" t="s">
        <v>208</v>
      </c>
      <c r="J91" s="5" t="s">
        <v>4436</v>
      </c>
      <c r="K91" s="5" t="s">
        <v>7</v>
      </c>
      <c r="L91" s="5" t="s">
        <v>7</v>
      </c>
      <c r="M91" s="5" t="s">
        <v>7</v>
      </c>
      <c r="N91" s="5" t="s">
        <v>7</v>
      </c>
      <c r="O91" t="s">
        <v>778</v>
      </c>
      <c r="P91" t="s">
        <v>7834</v>
      </c>
      <c r="R91" s="1" t="b">
        <v>1</v>
      </c>
    </row>
    <row r="92" spans="1:18">
      <c r="A92" t="s">
        <v>3021</v>
      </c>
      <c r="B92" t="s">
        <v>3952</v>
      </c>
      <c r="C92" s="5" t="s">
        <v>7726</v>
      </c>
      <c r="D92" s="1">
        <v>1</v>
      </c>
      <c r="E92" s="1">
        <v>7</v>
      </c>
      <c r="F92" s="1">
        <v>3</v>
      </c>
      <c r="G92" s="1">
        <v>3</v>
      </c>
      <c r="H92" s="13" cm="1">
        <f t="array" ref="H92">_xlfn.LET(_xlpm.s,IFERROR(--F92,""),_xlpm.e,IFERROR(--G92,""),IF(OR(_xlpm.s="",_xlpm.e="",_xlpm.e&lt;_xlpm.s),"",_xlfn.LET(_xlpm.p,_xlfn.SEQUENCE(_xlpm.e-_xlpm.s+1,1,_xlpm.s,1),SUM(1/COUNTIFS($D:$D,D92,$E:$E,E92,$F:$F,"&lt;&gt;N/A",$G:$G,"&lt;&gt;N/A",$F:$F,"&lt;="&amp;_xlpm.p,$G:$G,"&gt;="&amp;_xlpm.p)))))</f>
        <v>0.5</v>
      </c>
      <c r="I92" t="s">
        <v>1350</v>
      </c>
      <c r="J92" s="5" t="s">
        <v>1394</v>
      </c>
      <c r="K92" s="5" t="s">
        <v>7</v>
      </c>
      <c r="L92" s="5" t="s">
        <v>7</v>
      </c>
      <c r="M92" s="5" t="s">
        <v>7</v>
      </c>
      <c r="N92" s="5" t="s">
        <v>7</v>
      </c>
      <c r="O92" t="s">
        <v>778</v>
      </c>
      <c r="P92" t="s">
        <v>7834</v>
      </c>
      <c r="R92" s="1" t="b">
        <v>0</v>
      </c>
    </row>
    <row r="93" spans="1:18">
      <c r="A93" t="s">
        <v>3021</v>
      </c>
      <c r="B93" t="s">
        <v>3953</v>
      </c>
      <c r="C93" s="5" t="s">
        <v>7726</v>
      </c>
      <c r="D93" s="1">
        <v>1</v>
      </c>
      <c r="E93" s="1">
        <v>7</v>
      </c>
      <c r="F93" s="1">
        <v>3</v>
      </c>
      <c r="G93" s="1">
        <v>4</v>
      </c>
      <c r="H93" s="13" cm="1">
        <f t="array" ref="H93">_xlfn.LET(_xlpm.s,IFERROR(--F93,""),_xlpm.e,IFERROR(--G93,""),IF(OR(_xlpm.s="",_xlpm.e="",_xlpm.e&lt;_xlpm.s),"",_xlfn.LET(_xlpm.p,_xlfn.SEQUENCE(_xlpm.e-_xlpm.s+1,1,_xlpm.s,1),SUM(1/COUNTIFS($D:$D,D93,$E:$E,E93,$F:$F,"&lt;&gt;N/A",$G:$G,"&lt;&gt;N/A",$F:$F,"&lt;="&amp;_xlpm.p,$G:$G,"&gt;="&amp;_xlpm.p)))))</f>
        <v>1</v>
      </c>
      <c r="I93" t="s">
        <v>1350</v>
      </c>
      <c r="J93" s="5" t="s">
        <v>1395</v>
      </c>
      <c r="K93" s="5" t="s">
        <v>7</v>
      </c>
      <c r="L93" s="5" t="s">
        <v>7</v>
      </c>
      <c r="M93" s="5" t="s">
        <v>7</v>
      </c>
      <c r="N93" s="5" t="s">
        <v>7</v>
      </c>
      <c r="O93" t="s">
        <v>778</v>
      </c>
      <c r="P93" t="s">
        <v>7834</v>
      </c>
      <c r="R93" s="1" t="b">
        <v>0</v>
      </c>
    </row>
    <row r="94" spans="1:18">
      <c r="A94" t="s">
        <v>3021</v>
      </c>
      <c r="B94" t="s">
        <v>3954</v>
      </c>
      <c r="C94" s="5" t="s">
        <v>7726</v>
      </c>
      <c r="D94" s="1">
        <v>1</v>
      </c>
      <c r="E94" s="1">
        <v>7</v>
      </c>
      <c r="F94" s="1">
        <v>4</v>
      </c>
      <c r="G94" s="1">
        <v>10</v>
      </c>
      <c r="H94" s="13" cm="1">
        <f t="array" ref="H94">_xlfn.LET(_xlpm.s,IFERROR(--F94,""),_xlpm.e,IFERROR(--G94,""),IF(OR(_xlpm.s="",_xlpm.e="",_xlpm.e&lt;_xlpm.s),"",_xlfn.LET(_xlpm.p,_xlfn.SEQUENCE(_xlpm.e-_xlpm.s+1,1,_xlpm.s,1),SUM(1/COUNTIFS($D:$D,D94,$E:$E,E94,$F:$F,"&lt;&gt;N/A",$G:$G,"&lt;&gt;N/A",$F:$F,"&lt;="&amp;_xlpm.p,$G:$G,"&gt;="&amp;_xlpm.p)))))</f>
        <v>3.8333333333333335</v>
      </c>
      <c r="I94" t="s">
        <v>1350</v>
      </c>
      <c r="J94" s="5" t="s">
        <v>1396</v>
      </c>
      <c r="K94" s="5" t="s">
        <v>7</v>
      </c>
      <c r="L94" s="5" t="s">
        <v>7</v>
      </c>
      <c r="M94" s="5" t="s">
        <v>7</v>
      </c>
      <c r="N94" s="5" t="s">
        <v>7</v>
      </c>
      <c r="O94" t="s">
        <v>778</v>
      </c>
      <c r="P94" t="s">
        <v>7834</v>
      </c>
      <c r="R94" s="1" t="b">
        <v>0</v>
      </c>
    </row>
    <row r="95" spans="1:18">
      <c r="A95" t="s">
        <v>3021</v>
      </c>
      <c r="B95" t="s">
        <v>3955</v>
      </c>
      <c r="C95" s="5" t="s">
        <v>7726</v>
      </c>
      <c r="D95" s="1">
        <v>1</v>
      </c>
      <c r="E95" s="1">
        <v>7</v>
      </c>
      <c r="F95" s="1">
        <v>6</v>
      </c>
      <c r="G95" s="1">
        <v>10</v>
      </c>
      <c r="H95" s="13" cm="1">
        <f t="array" ref="H95">_xlfn.LET(_xlpm.s,IFERROR(--F95,""),_xlpm.e,IFERROR(--G95,""),IF(OR(_xlpm.s="",_xlpm.e="",_xlpm.e&lt;_xlpm.s),"",_xlfn.LET(_xlpm.p,_xlfn.SEQUENCE(_xlpm.e-_xlpm.s+1,1,_xlpm.s,1),SUM(1/COUNTIFS($D:$D,D95,$E:$E,E95,$F:$F,"&lt;&gt;N/A",$G:$G,"&lt;&gt;N/A",$F:$F,"&lt;="&amp;_xlpm.p,$G:$G,"&gt;="&amp;_xlpm.p)))))</f>
        <v>2.3333333333333335</v>
      </c>
      <c r="I95" t="s">
        <v>1350</v>
      </c>
      <c r="J95" s="5" t="s">
        <v>10787</v>
      </c>
      <c r="K95" s="5" t="s">
        <v>7</v>
      </c>
      <c r="L95" s="5" t="s">
        <v>7</v>
      </c>
      <c r="M95" s="5" t="s">
        <v>7</v>
      </c>
      <c r="N95" s="5" t="s">
        <v>7</v>
      </c>
      <c r="O95" t="s">
        <v>778</v>
      </c>
      <c r="P95" t="s">
        <v>7834</v>
      </c>
      <c r="R95" s="1" t="b">
        <v>0</v>
      </c>
    </row>
    <row r="96" spans="1:18">
      <c r="A96" t="s">
        <v>3021</v>
      </c>
      <c r="B96" t="s">
        <v>3956</v>
      </c>
      <c r="C96" s="5" t="s">
        <v>7726</v>
      </c>
      <c r="D96" s="1">
        <v>1</v>
      </c>
      <c r="E96" s="1">
        <v>7</v>
      </c>
      <c r="F96" s="1">
        <v>10</v>
      </c>
      <c r="G96" s="1">
        <v>28</v>
      </c>
      <c r="H96" s="13" cm="1">
        <f t="array" ref="H96">_xlfn.LET(_xlpm.s,IFERROR(--F96,""),_xlpm.e,IFERROR(--G96,""),IF(OR(_xlpm.s="",_xlpm.e="",_xlpm.e&lt;_xlpm.s),"",_xlfn.LET(_xlpm.p,_xlfn.SEQUENCE(_xlpm.e-_xlpm.s+1,1,_xlpm.s,1),SUM(1/COUNTIFS($D:$D,D96,$E:$E,E96,$F:$F,"&lt;&gt;N/A",$G:$G,"&lt;&gt;N/A",$F:$F,"&lt;="&amp;_xlpm.p,$G:$G,"&gt;="&amp;_xlpm.p)))))</f>
        <v>17.833333333333332</v>
      </c>
      <c r="I96" t="s">
        <v>1350</v>
      </c>
      <c r="J96" s="5" t="s">
        <v>4416</v>
      </c>
      <c r="K96" s="5" t="s">
        <v>7</v>
      </c>
      <c r="L96" s="5" t="s">
        <v>7</v>
      </c>
      <c r="M96" s="5" t="s">
        <v>7</v>
      </c>
      <c r="N96" s="5" t="s">
        <v>7</v>
      </c>
      <c r="O96" t="s">
        <v>778</v>
      </c>
      <c r="P96" t="s">
        <v>7834</v>
      </c>
      <c r="R96" s="1" t="b">
        <v>1</v>
      </c>
    </row>
    <row r="97" spans="1:18">
      <c r="A97" t="s">
        <v>3021</v>
      </c>
      <c r="B97" t="s">
        <v>3957</v>
      </c>
      <c r="C97" s="5" t="s">
        <v>7726</v>
      </c>
      <c r="D97" s="1">
        <v>1</v>
      </c>
      <c r="E97" s="1">
        <v>7</v>
      </c>
      <c r="F97" s="1">
        <v>28</v>
      </c>
      <c r="G97" s="1">
        <v>30</v>
      </c>
      <c r="H97" s="13" cm="1">
        <f t="array" ref="H97">_xlfn.LET(_xlpm.s,IFERROR(--F97,""),_xlpm.e,IFERROR(--G97,""),IF(OR(_xlpm.s="",_xlpm.e="",_xlpm.e&lt;_xlpm.s),"",_xlfn.LET(_xlpm.p,_xlfn.SEQUENCE(_xlpm.e-_xlpm.s+1,1,_xlpm.s,1),SUM(1/COUNTIFS($D:$D,D97,$E:$E,E97,$F:$F,"&lt;&gt;N/A",$G:$G,"&lt;&gt;N/A",$F:$F,"&lt;="&amp;_xlpm.p,$G:$G,"&gt;="&amp;_xlpm.p)))))</f>
        <v>2</v>
      </c>
      <c r="I97" t="s">
        <v>1350</v>
      </c>
      <c r="J97" s="5" t="s">
        <v>1352</v>
      </c>
      <c r="K97" s="5" t="s">
        <v>725</v>
      </c>
      <c r="L97" s="5" t="s">
        <v>7</v>
      </c>
      <c r="M97" s="5" t="s">
        <v>7</v>
      </c>
      <c r="N97" s="5" t="s">
        <v>7</v>
      </c>
      <c r="O97" t="s">
        <v>778</v>
      </c>
      <c r="P97" t="s">
        <v>7834</v>
      </c>
      <c r="R97" s="1" t="b">
        <v>1</v>
      </c>
    </row>
    <row r="98" spans="1:18">
      <c r="A98" t="s">
        <v>3021</v>
      </c>
      <c r="B98" t="s">
        <v>3958</v>
      </c>
      <c r="C98" s="5" t="s">
        <v>7726</v>
      </c>
      <c r="D98" s="1">
        <v>1</v>
      </c>
      <c r="E98" s="1">
        <v>7</v>
      </c>
      <c r="F98" s="1">
        <v>30</v>
      </c>
      <c r="G98" s="1">
        <v>32</v>
      </c>
      <c r="H98" s="13" cm="1">
        <f t="array" ref="H98">_xlfn.LET(_xlpm.s,IFERROR(--F98,""),_xlpm.e,IFERROR(--G98,""),IF(OR(_xlpm.s="",_xlpm.e="",_xlpm.e&lt;_xlpm.s),"",_xlfn.LET(_xlpm.p,_xlfn.SEQUENCE(_xlpm.e-_xlpm.s+1,1,_xlpm.s,1),SUM(1/COUNTIFS($D:$D,D98,$E:$E,E98,$F:$F,"&lt;&gt;N/A",$G:$G,"&lt;&gt;N/A",$F:$F,"&lt;="&amp;_xlpm.p,$G:$G,"&gt;="&amp;_xlpm.p)))))</f>
        <v>2</v>
      </c>
      <c r="I98" t="s">
        <v>1350</v>
      </c>
      <c r="J98" s="5" t="s">
        <v>1351</v>
      </c>
      <c r="K98" s="5" t="s">
        <v>725</v>
      </c>
      <c r="L98" s="5" t="s">
        <v>7</v>
      </c>
      <c r="M98" s="5" t="s">
        <v>7</v>
      </c>
      <c r="N98" s="5" t="s">
        <v>7</v>
      </c>
      <c r="O98" t="s">
        <v>778</v>
      </c>
      <c r="P98" t="s">
        <v>7834</v>
      </c>
      <c r="R98" s="1" t="b">
        <v>1</v>
      </c>
    </row>
    <row r="99" spans="1:18">
      <c r="A99" t="s">
        <v>3021</v>
      </c>
      <c r="B99" t="s">
        <v>3959</v>
      </c>
      <c r="C99" s="5" t="s">
        <v>7726</v>
      </c>
      <c r="D99" s="1">
        <v>1</v>
      </c>
      <c r="E99" s="1">
        <v>7</v>
      </c>
      <c r="F99" s="1">
        <v>32</v>
      </c>
      <c r="G99" s="1">
        <v>36</v>
      </c>
      <c r="H99" s="13" cm="1">
        <f t="array" ref="H99">_xlfn.LET(_xlpm.s,IFERROR(--F99,""),_xlpm.e,IFERROR(--G99,""),IF(OR(_xlpm.s="",_xlpm.e="",_xlpm.e&lt;_xlpm.s),"",_xlfn.LET(_xlpm.p,_xlfn.SEQUENCE(_xlpm.e-_xlpm.s+1,1,_xlpm.s,1),SUM(1/COUNTIFS($D:$D,D99,$E:$E,E99,$F:$F,"&lt;&gt;N/A",$G:$G,"&lt;&gt;N/A",$F:$F,"&lt;="&amp;_xlpm.p,$G:$G,"&gt;="&amp;_xlpm.p)))))</f>
        <v>4</v>
      </c>
      <c r="I99" t="s">
        <v>208</v>
      </c>
      <c r="J99" s="5" t="s">
        <v>4438</v>
      </c>
      <c r="K99" s="5" t="s">
        <v>4838</v>
      </c>
      <c r="L99" s="5" t="s">
        <v>7</v>
      </c>
      <c r="M99" s="5" t="s">
        <v>7</v>
      </c>
      <c r="N99" s="5" t="s">
        <v>7</v>
      </c>
      <c r="O99" t="s">
        <v>778</v>
      </c>
      <c r="P99" t="s">
        <v>7834</v>
      </c>
      <c r="R99" s="1" t="b">
        <v>1</v>
      </c>
    </row>
    <row r="100" spans="1:18">
      <c r="A100" t="s">
        <v>3021</v>
      </c>
      <c r="B100" t="s">
        <v>3960</v>
      </c>
      <c r="C100" s="5" t="s">
        <v>7726</v>
      </c>
      <c r="D100" s="1">
        <v>1</v>
      </c>
      <c r="E100" s="1">
        <v>7</v>
      </c>
      <c r="F100" s="1">
        <v>36</v>
      </c>
      <c r="G100" s="1">
        <v>37</v>
      </c>
      <c r="H100" s="13" cm="1">
        <f t="array" ref="H100">_xlfn.LET(_xlpm.s,IFERROR(--F100,""),_xlpm.e,IFERROR(--G100,""),IF(OR(_xlpm.s="",_xlpm.e="",_xlpm.e&lt;_xlpm.s),"",_xlfn.LET(_xlpm.p,_xlfn.SEQUENCE(_xlpm.e-_xlpm.s+1,1,_xlpm.s,1),SUM(1/COUNTIFS($D:$D,D100,$E:$E,E100,$F:$F,"&lt;&gt;N/A",$G:$G,"&lt;&gt;N/A",$F:$F,"&lt;="&amp;_xlpm.p,$G:$G,"&gt;="&amp;_xlpm.p)))))</f>
        <v>1.5</v>
      </c>
      <c r="I100" t="s">
        <v>208</v>
      </c>
      <c r="J100" s="5" t="s">
        <v>4435</v>
      </c>
      <c r="K100" s="5" t="s">
        <v>7</v>
      </c>
      <c r="L100" s="5" t="s">
        <v>7</v>
      </c>
      <c r="M100" s="5" t="s">
        <v>7</v>
      </c>
      <c r="N100" s="5" t="s">
        <v>7</v>
      </c>
      <c r="O100" t="s">
        <v>778</v>
      </c>
      <c r="P100" t="s">
        <v>7834</v>
      </c>
      <c r="R100" s="1" t="b">
        <v>1</v>
      </c>
    </row>
    <row r="101" spans="1:18">
      <c r="A101" t="s">
        <v>3021</v>
      </c>
      <c r="B101" t="s">
        <v>3961</v>
      </c>
      <c r="C101" s="5" t="s">
        <v>7726</v>
      </c>
      <c r="D101" s="1">
        <v>1</v>
      </c>
      <c r="E101" s="1">
        <v>7</v>
      </c>
      <c r="F101" s="1">
        <v>41</v>
      </c>
      <c r="G101" s="1">
        <v>42</v>
      </c>
      <c r="H101" s="13" cm="1">
        <f t="array" ref="H101">_xlfn.LET(_xlpm.s,IFERROR(--F101,""),_xlpm.e,IFERROR(--G101,""),IF(OR(_xlpm.s="",_xlpm.e="",_xlpm.e&lt;_xlpm.s),"",_xlfn.LET(_xlpm.p,_xlfn.SEQUENCE(_xlpm.e-_xlpm.s+1,1,_xlpm.s,1),SUM(1/COUNTIFS($D:$D,D101,$E:$E,E101,$F:$F,"&lt;&gt;N/A",$G:$G,"&lt;&gt;N/A",$F:$F,"&lt;="&amp;_xlpm.p,$G:$G,"&gt;="&amp;_xlpm.p)))))</f>
        <v>1.5</v>
      </c>
      <c r="I101" t="s">
        <v>208</v>
      </c>
      <c r="J101" s="5" t="s">
        <v>1353</v>
      </c>
      <c r="K101" s="5" t="s">
        <v>7</v>
      </c>
      <c r="L101" s="5" t="s">
        <v>7</v>
      </c>
      <c r="M101" s="5" t="s">
        <v>7</v>
      </c>
      <c r="N101" s="5" t="s">
        <v>7</v>
      </c>
      <c r="O101" t="s">
        <v>778</v>
      </c>
      <c r="P101" t="s">
        <v>7834</v>
      </c>
      <c r="R101" s="1" t="b">
        <v>1</v>
      </c>
    </row>
    <row r="102" spans="1:18">
      <c r="A102" t="s">
        <v>3021</v>
      </c>
      <c r="B102" t="s">
        <v>3962</v>
      </c>
      <c r="C102" s="5" t="s">
        <v>7726</v>
      </c>
      <c r="D102" s="1">
        <v>1</v>
      </c>
      <c r="E102" s="1">
        <v>7</v>
      </c>
      <c r="F102" s="1">
        <v>42</v>
      </c>
      <c r="G102" s="1">
        <v>42</v>
      </c>
      <c r="H102" s="13" cm="1">
        <f t="array" ref="H102">_xlfn.LET(_xlpm.s,IFERROR(--F102,""),_xlpm.e,IFERROR(--G102,""),IF(OR(_xlpm.s="",_xlpm.e="",_xlpm.e&lt;_xlpm.s),"",_xlfn.LET(_xlpm.p,_xlfn.SEQUENCE(_xlpm.e-_xlpm.s+1,1,_xlpm.s,1),SUM(1/COUNTIFS($D:$D,D102,$E:$E,E102,$F:$F,"&lt;&gt;N/A",$G:$G,"&lt;&gt;N/A",$F:$F,"&lt;="&amp;_xlpm.p,$G:$G,"&gt;="&amp;_xlpm.p)))))</f>
        <v>0.5</v>
      </c>
      <c r="I102" t="s">
        <v>208</v>
      </c>
      <c r="J102" s="5" t="s">
        <v>1354</v>
      </c>
      <c r="K102" s="5" t="s">
        <v>4839</v>
      </c>
      <c r="L102" s="5" t="s">
        <v>7</v>
      </c>
      <c r="M102" s="5" t="s">
        <v>7</v>
      </c>
      <c r="N102" s="5" t="s">
        <v>7</v>
      </c>
      <c r="O102" t="s">
        <v>778</v>
      </c>
      <c r="P102" t="s">
        <v>7834</v>
      </c>
      <c r="R102" s="1" t="b">
        <v>1</v>
      </c>
    </row>
    <row r="103" spans="1:18">
      <c r="A103" t="s">
        <v>3021</v>
      </c>
      <c r="B103" t="s">
        <v>10788</v>
      </c>
      <c r="C103" s="5" t="s">
        <v>7727</v>
      </c>
      <c r="D103" s="1">
        <v>1</v>
      </c>
      <c r="E103" s="1">
        <v>8</v>
      </c>
      <c r="F103" s="1">
        <v>3</v>
      </c>
      <c r="G103" s="1">
        <v>6</v>
      </c>
      <c r="H103" s="13" cm="1">
        <f t="array" ref="H103">_xlfn.LET(_xlpm.s,IFERROR(--F103,""),_xlpm.e,IFERROR(--G103,""),IF(OR(_xlpm.s="",_xlpm.e="",_xlpm.e&lt;_xlpm.s),"",_xlfn.LET(_xlpm.p,_xlfn.SEQUENCE(_xlpm.e-_xlpm.s+1,1,_xlpm.s,1),SUM(1/COUNTIFS($D:$D,D103,$E:$E,E103,$F:$F,"&lt;&gt;N/A",$G:$G,"&lt;&gt;N/A",$F:$F,"&lt;="&amp;_xlpm.p,$G:$G,"&gt;="&amp;_xlpm.p)))))</f>
        <v>3.5</v>
      </c>
      <c r="I103" t="s">
        <v>1279</v>
      </c>
      <c r="J103" s="5" t="s">
        <v>1397</v>
      </c>
      <c r="K103" s="5" t="s">
        <v>7</v>
      </c>
      <c r="L103" s="5" t="s">
        <v>7</v>
      </c>
      <c r="M103" s="5" t="s">
        <v>7</v>
      </c>
      <c r="N103" s="5" t="s">
        <v>7</v>
      </c>
      <c r="O103" t="s">
        <v>778</v>
      </c>
      <c r="P103" t="s">
        <v>7834</v>
      </c>
      <c r="R103" s="1" t="b">
        <v>0</v>
      </c>
    </row>
    <row r="104" spans="1:18">
      <c r="A104" t="s">
        <v>3021</v>
      </c>
      <c r="B104" t="s">
        <v>3963</v>
      </c>
      <c r="C104" s="5" t="s">
        <v>7727</v>
      </c>
      <c r="D104" s="1">
        <v>1</v>
      </c>
      <c r="E104" s="1">
        <v>8</v>
      </c>
      <c r="F104" s="1">
        <v>6</v>
      </c>
      <c r="G104" s="1">
        <v>9</v>
      </c>
      <c r="H104" s="13" cm="1">
        <f t="array" ref="H104">_xlfn.LET(_xlpm.s,IFERROR(--F104,""),_xlpm.e,IFERROR(--G104,""),IF(OR(_xlpm.s="",_xlpm.e="",_xlpm.e&lt;_xlpm.s),"",_xlfn.LET(_xlpm.p,_xlfn.SEQUENCE(_xlpm.e-_xlpm.s+1,1,_xlpm.s,1),SUM(1/COUNTIFS($D:$D,D104,$E:$E,E104,$F:$F,"&lt;&gt;N/A",$G:$G,"&lt;&gt;N/A",$F:$F,"&lt;="&amp;_xlpm.p,$G:$G,"&gt;="&amp;_xlpm.p)))))</f>
        <v>3</v>
      </c>
      <c r="I104" t="s">
        <v>1279</v>
      </c>
      <c r="J104" s="5" t="s">
        <v>1398</v>
      </c>
      <c r="K104" s="5" t="s">
        <v>7</v>
      </c>
      <c r="L104" s="5" t="s">
        <v>7</v>
      </c>
      <c r="M104" s="5" t="s">
        <v>7</v>
      </c>
      <c r="N104" s="5" t="s">
        <v>7</v>
      </c>
      <c r="O104" t="s">
        <v>778</v>
      </c>
      <c r="P104" t="s">
        <v>7834</v>
      </c>
      <c r="R104" s="1" t="b">
        <v>0</v>
      </c>
    </row>
    <row r="105" spans="1:18">
      <c r="A105" t="s">
        <v>3021</v>
      </c>
      <c r="B105" t="s">
        <v>3964</v>
      </c>
      <c r="C105" s="5" t="s">
        <v>7727</v>
      </c>
      <c r="D105" s="1">
        <v>1</v>
      </c>
      <c r="E105" s="1">
        <v>8</v>
      </c>
      <c r="F105" s="1">
        <v>9</v>
      </c>
      <c r="G105" s="1">
        <v>17</v>
      </c>
      <c r="H105" s="13" cm="1">
        <f t="array" ref="H105">_xlfn.LET(_xlpm.s,IFERROR(--F105,""),_xlpm.e,IFERROR(--G105,""),IF(OR(_xlpm.s="",_xlpm.e="",_xlpm.e&lt;_xlpm.s),"",_xlfn.LET(_xlpm.p,_xlfn.SEQUENCE(_xlpm.e-_xlpm.s+1,1,_xlpm.s,1),SUM(1/COUNTIFS($D:$D,D105,$E:$E,E105,$F:$F,"&lt;&gt;N/A",$G:$G,"&lt;&gt;N/A",$F:$F,"&lt;="&amp;_xlpm.p,$G:$G,"&gt;="&amp;_xlpm.p)))))</f>
        <v>8</v>
      </c>
      <c r="I105" t="s">
        <v>1279</v>
      </c>
      <c r="J105" s="5" t="s">
        <v>1399</v>
      </c>
      <c r="K105" s="5" t="s">
        <v>7</v>
      </c>
      <c r="L105" s="5" t="s">
        <v>7</v>
      </c>
      <c r="M105" s="5" t="s">
        <v>7</v>
      </c>
      <c r="N105" s="5" t="s">
        <v>7</v>
      </c>
      <c r="O105" t="s">
        <v>778</v>
      </c>
      <c r="P105" t="s">
        <v>7834</v>
      </c>
      <c r="R105" s="1" t="b">
        <v>0</v>
      </c>
    </row>
    <row r="106" spans="1:18">
      <c r="A106" t="s">
        <v>3021</v>
      </c>
      <c r="B106" t="s">
        <v>3965</v>
      </c>
      <c r="C106" s="5" t="s">
        <v>7727</v>
      </c>
      <c r="D106" s="1">
        <v>1</v>
      </c>
      <c r="E106" s="1">
        <v>8</v>
      </c>
      <c r="F106" s="1">
        <v>17</v>
      </c>
      <c r="G106" s="1">
        <v>22</v>
      </c>
      <c r="H106" s="13" cm="1">
        <f t="array" ref="H106">_xlfn.LET(_xlpm.s,IFERROR(--F106,""),_xlpm.e,IFERROR(--G106,""),IF(OR(_xlpm.s="",_xlpm.e="",_xlpm.e&lt;_xlpm.s),"",_xlfn.LET(_xlpm.p,_xlfn.SEQUENCE(_xlpm.e-_xlpm.s+1,1,_xlpm.s,1),SUM(1/COUNTIFS($D:$D,D106,$E:$E,E106,$F:$F,"&lt;&gt;N/A",$G:$G,"&lt;&gt;N/A",$F:$F,"&lt;="&amp;_xlpm.p,$G:$G,"&gt;="&amp;_xlpm.p)))))</f>
        <v>5</v>
      </c>
      <c r="I106" t="s">
        <v>1279</v>
      </c>
      <c r="J106" s="5" t="s">
        <v>1400</v>
      </c>
      <c r="K106" s="5" t="s">
        <v>7</v>
      </c>
      <c r="L106" s="5" t="s">
        <v>7</v>
      </c>
      <c r="M106" s="5" t="s">
        <v>7</v>
      </c>
      <c r="N106" s="5" t="s">
        <v>7</v>
      </c>
      <c r="O106" t="s">
        <v>778</v>
      </c>
      <c r="P106" t="s">
        <v>7834</v>
      </c>
      <c r="R106" s="1" t="b">
        <v>0</v>
      </c>
    </row>
    <row r="107" spans="1:18">
      <c r="A107" t="s">
        <v>3021</v>
      </c>
      <c r="B107" t="s">
        <v>3966</v>
      </c>
      <c r="C107" s="5" t="s">
        <v>7727</v>
      </c>
      <c r="D107" s="1">
        <v>1</v>
      </c>
      <c r="E107" s="1">
        <v>8</v>
      </c>
      <c r="F107" s="1">
        <v>22</v>
      </c>
      <c r="G107" s="1">
        <v>27</v>
      </c>
      <c r="H107" s="13" cm="1">
        <f t="array" ref="H107">_xlfn.LET(_xlpm.s,IFERROR(--F107,""),_xlpm.e,IFERROR(--G107,""),IF(OR(_xlpm.s="",_xlpm.e="",_xlpm.e&lt;_xlpm.s),"",_xlfn.LET(_xlpm.p,_xlfn.SEQUENCE(_xlpm.e-_xlpm.s+1,1,_xlpm.s,1),SUM(1/COUNTIFS($D:$D,D107,$E:$E,E107,$F:$F,"&lt;&gt;N/A",$G:$G,"&lt;&gt;N/A",$F:$F,"&lt;="&amp;_xlpm.p,$G:$G,"&gt;="&amp;_xlpm.p)))))</f>
        <v>5</v>
      </c>
      <c r="I107" t="s">
        <v>1279</v>
      </c>
      <c r="J107" s="5" t="s">
        <v>1355</v>
      </c>
      <c r="K107" s="5" t="s">
        <v>4840</v>
      </c>
      <c r="L107" s="5" t="s">
        <v>7</v>
      </c>
      <c r="M107" s="5" t="s">
        <v>7</v>
      </c>
      <c r="N107" s="5" t="s">
        <v>7</v>
      </c>
      <c r="O107" t="s">
        <v>778</v>
      </c>
      <c r="P107" t="s">
        <v>7834</v>
      </c>
      <c r="R107" s="1" t="b">
        <v>1</v>
      </c>
    </row>
    <row r="108" spans="1:18">
      <c r="A108" t="s">
        <v>3021</v>
      </c>
      <c r="B108" t="s">
        <v>3967</v>
      </c>
      <c r="C108" s="5" t="s">
        <v>7727</v>
      </c>
      <c r="D108" s="1">
        <v>1</v>
      </c>
      <c r="E108" s="1">
        <v>8</v>
      </c>
      <c r="F108" s="1">
        <v>27</v>
      </c>
      <c r="G108" s="1">
        <v>32</v>
      </c>
      <c r="H108" s="13" cm="1">
        <f t="array" ref="H108">_xlfn.LET(_xlpm.s,IFERROR(--F108,""),_xlpm.e,IFERROR(--G108,""),IF(OR(_xlpm.s="",_xlpm.e="",_xlpm.e&lt;_xlpm.s),"",_xlfn.LET(_xlpm.p,_xlfn.SEQUENCE(_xlpm.e-_xlpm.s+1,1,_xlpm.s,1),SUM(1/COUNTIFS($D:$D,D108,$E:$E,E108,$F:$F,"&lt;&gt;N/A",$G:$G,"&lt;&gt;N/A",$F:$F,"&lt;="&amp;_xlpm.p,$G:$G,"&gt;="&amp;_xlpm.p)))))</f>
        <v>5</v>
      </c>
      <c r="I108" t="s">
        <v>1279</v>
      </c>
      <c r="J108" s="5" t="s">
        <v>1356</v>
      </c>
      <c r="K108" s="5" t="s">
        <v>1280</v>
      </c>
      <c r="L108" s="5" t="s">
        <v>7</v>
      </c>
      <c r="M108" s="5" t="s">
        <v>7</v>
      </c>
      <c r="N108" s="5" t="s">
        <v>7</v>
      </c>
      <c r="O108" t="s">
        <v>778</v>
      </c>
      <c r="P108" t="s">
        <v>7834</v>
      </c>
      <c r="R108" s="1" t="b">
        <v>1</v>
      </c>
    </row>
    <row r="109" spans="1:18">
      <c r="A109" t="s">
        <v>3021</v>
      </c>
      <c r="B109" t="s">
        <v>3968</v>
      </c>
      <c r="C109" s="5" t="s">
        <v>7727</v>
      </c>
      <c r="D109" s="1">
        <v>1</v>
      </c>
      <c r="E109" s="1">
        <v>8</v>
      </c>
      <c r="F109" s="1">
        <v>32</v>
      </c>
      <c r="G109" s="1">
        <v>36</v>
      </c>
      <c r="H109" s="13" cm="1">
        <f t="array" ref="H109">_xlfn.LET(_xlpm.s,IFERROR(--F109,""),_xlpm.e,IFERROR(--G109,""),IF(OR(_xlpm.s="",_xlpm.e="",_xlpm.e&lt;_xlpm.s),"",_xlfn.LET(_xlpm.p,_xlfn.SEQUENCE(_xlpm.e-_xlpm.s+1,1,_xlpm.s,1),SUM(1/COUNTIFS($D:$D,D109,$E:$E,E109,$F:$F,"&lt;&gt;N/A",$G:$G,"&lt;&gt;N/A",$F:$F,"&lt;="&amp;_xlpm.p,$G:$G,"&gt;="&amp;_xlpm.p)))))</f>
        <v>4</v>
      </c>
      <c r="I109" t="s">
        <v>1297</v>
      </c>
      <c r="J109" s="5" t="s">
        <v>1401</v>
      </c>
      <c r="K109" s="5" t="s">
        <v>7</v>
      </c>
      <c r="L109" s="5" t="s">
        <v>7</v>
      </c>
      <c r="M109" s="5" t="s">
        <v>7</v>
      </c>
      <c r="N109" s="5" t="s">
        <v>7</v>
      </c>
      <c r="O109" t="s">
        <v>778</v>
      </c>
      <c r="P109" t="s">
        <v>7834</v>
      </c>
      <c r="R109" s="1" t="b">
        <v>1</v>
      </c>
    </row>
    <row r="110" spans="1:18">
      <c r="A110" t="s">
        <v>3021</v>
      </c>
      <c r="B110" t="s">
        <v>3969</v>
      </c>
      <c r="C110" s="5" t="s">
        <v>7727</v>
      </c>
      <c r="D110" s="1">
        <v>1</v>
      </c>
      <c r="E110" s="1">
        <v>8</v>
      </c>
      <c r="F110" s="1">
        <v>36</v>
      </c>
      <c r="G110" s="1">
        <v>39</v>
      </c>
      <c r="H110" s="13" cm="1">
        <f t="array" ref="H110">_xlfn.LET(_xlpm.s,IFERROR(--F110,""),_xlpm.e,IFERROR(--G110,""),IF(OR(_xlpm.s="",_xlpm.e="",_xlpm.e&lt;_xlpm.s),"",_xlfn.LET(_xlpm.p,_xlfn.SEQUENCE(_xlpm.e-_xlpm.s+1,1,_xlpm.s,1),SUM(1/COUNTIFS($D:$D,D110,$E:$E,E110,$F:$F,"&lt;&gt;N/A",$G:$G,"&lt;&gt;N/A",$F:$F,"&lt;="&amp;_xlpm.p,$G:$G,"&gt;="&amp;_xlpm.p)))))</f>
        <v>3.5</v>
      </c>
      <c r="I110" t="s">
        <v>208</v>
      </c>
      <c r="J110" s="5" t="s">
        <v>3204</v>
      </c>
      <c r="K110" s="5" t="s">
        <v>7</v>
      </c>
      <c r="L110" s="5" t="s">
        <v>4841</v>
      </c>
      <c r="M110" s="5" t="s">
        <v>7</v>
      </c>
      <c r="N110" s="5" t="s">
        <v>7</v>
      </c>
      <c r="O110" t="s">
        <v>11522</v>
      </c>
      <c r="P110" t="s">
        <v>8021</v>
      </c>
      <c r="R110" s="1" t="b">
        <v>1</v>
      </c>
    </row>
    <row r="111" spans="1:18">
      <c r="A111" t="s">
        <v>3021</v>
      </c>
      <c r="B111" t="s">
        <v>3970</v>
      </c>
      <c r="C111" s="5" t="s">
        <v>7727</v>
      </c>
      <c r="D111" s="1">
        <v>1</v>
      </c>
      <c r="E111" s="1">
        <v>8</v>
      </c>
      <c r="F111" s="1">
        <v>40</v>
      </c>
      <c r="G111" s="1">
        <v>40</v>
      </c>
      <c r="H111" s="13" cm="1">
        <f t="array" ref="H111">_xlfn.LET(_xlpm.s,IFERROR(--F111,""),_xlpm.e,IFERROR(--G111,""),IF(OR(_xlpm.s="",_xlpm.e="",_xlpm.e&lt;_xlpm.s),"",_xlfn.LET(_xlpm.p,_xlfn.SEQUENCE(_xlpm.e-_xlpm.s+1,1,_xlpm.s,1),SUM(1/COUNTIFS($D:$D,D111,$E:$E,E111,$F:$F,"&lt;&gt;N/A",$G:$G,"&lt;&gt;N/A",$F:$F,"&lt;="&amp;_xlpm.p,$G:$G,"&gt;="&amp;_xlpm.p)))))</f>
        <v>0.5</v>
      </c>
      <c r="I111" t="s">
        <v>208</v>
      </c>
      <c r="J111" s="5" t="s">
        <v>1358</v>
      </c>
      <c r="K111" s="5" t="s">
        <v>7</v>
      </c>
      <c r="L111" s="5" t="s">
        <v>4842</v>
      </c>
      <c r="M111" s="5" t="s">
        <v>7</v>
      </c>
      <c r="N111" s="5" t="s">
        <v>7</v>
      </c>
      <c r="O111" t="s">
        <v>11522</v>
      </c>
      <c r="P111" t="s">
        <v>8021</v>
      </c>
      <c r="R111" s="1" t="b">
        <v>1</v>
      </c>
    </row>
    <row r="112" spans="1:18">
      <c r="A112" t="s">
        <v>3021</v>
      </c>
      <c r="B112" t="s">
        <v>3971</v>
      </c>
      <c r="C112" s="5" t="s">
        <v>7727</v>
      </c>
      <c r="D112" s="1">
        <v>1</v>
      </c>
      <c r="E112" s="1">
        <v>8</v>
      </c>
      <c r="F112" s="1">
        <v>40</v>
      </c>
      <c r="G112" s="1">
        <v>40</v>
      </c>
      <c r="H112" s="13" cm="1">
        <f t="array" ref="H112">_xlfn.LET(_xlpm.s,IFERROR(--F112,""),_xlpm.e,IFERROR(--G112,""),IF(OR(_xlpm.s="",_xlpm.e="",_xlpm.e&lt;_xlpm.s),"",_xlfn.LET(_xlpm.p,_xlfn.SEQUENCE(_xlpm.e-_xlpm.s+1,1,_xlpm.s,1),SUM(1/COUNTIFS($D:$D,D112,$E:$E,E112,$F:$F,"&lt;&gt;N/A",$G:$G,"&lt;&gt;N/A",$F:$F,"&lt;="&amp;_xlpm.p,$G:$G,"&gt;="&amp;_xlpm.p)))))</f>
        <v>0.5</v>
      </c>
      <c r="I112" t="s">
        <v>208</v>
      </c>
      <c r="J112" s="5" t="s">
        <v>1359</v>
      </c>
      <c r="K112" s="5" t="s">
        <v>7</v>
      </c>
      <c r="L112" s="5" t="s">
        <v>4843</v>
      </c>
      <c r="M112" t="s">
        <v>6428</v>
      </c>
      <c r="N112" s="5" t="s">
        <v>4433</v>
      </c>
      <c r="O112" t="s">
        <v>5072</v>
      </c>
      <c r="P112" t="s">
        <v>8021</v>
      </c>
      <c r="R112" s="1" t="b">
        <v>1</v>
      </c>
    </row>
    <row r="113" spans="1:18">
      <c r="A113" t="s">
        <v>3021</v>
      </c>
      <c r="B113" t="s">
        <v>10789</v>
      </c>
      <c r="C113" s="5" t="s">
        <v>7728</v>
      </c>
      <c r="D113" s="1">
        <v>1</v>
      </c>
      <c r="E113" s="1">
        <v>9</v>
      </c>
      <c r="F113" s="1">
        <v>3</v>
      </c>
      <c r="G113" s="1">
        <v>13</v>
      </c>
      <c r="H113" s="13" cm="1">
        <f t="array" ref="H113">_xlfn.LET(_xlpm.s,IFERROR(--F113,""),_xlpm.e,IFERROR(--G113,""),IF(OR(_xlpm.s="",_xlpm.e="",_xlpm.e&lt;_xlpm.s),"",_xlfn.LET(_xlpm.p,_xlfn.SEQUENCE(_xlpm.e-_xlpm.s+1,1,_xlpm.s,1),SUM(1/COUNTIFS($D:$D,D113,$E:$E,E113,$F:$F,"&lt;&gt;N/A",$G:$G,"&lt;&gt;N/A",$F:$F,"&lt;="&amp;_xlpm.p,$G:$G,"&gt;="&amp;_xlpm.p)))))</f>
        <v>10.5</v>
      </c>
      <c r="I113" t="s">
        <v>1279</v>
      </c>
      <c r="J113" s="5" t="s">
        <v>10611</v>
      </c>
      <c r="K113" s="5" t="s">
        <v>7</v>
      </c>
      <c r="L113" s="5" t="s">
        <v>7</v>
      </c>
      <c r="M113" s="5" t="s">
        <v>7</v>
      </c>
      <c r="N113" s="5" t="s">
        <v>7</v>
      </c>
      <c r="O113" t="s">
        <v>778</v>
      </c>
      <c r="P113" t="s">
        <v>7834</v>
      </c>
      <c r="R113" s="1" t="b">
        <v>0</v>
      </c>
    </row>
    <row r="114" spans="1:18">
      <c r="A114" t="s">
        <v>3021</v>
      </c>
      <c r="B114" t="s">
        <v>3972</v>
      </c>
      <c r="C114" s="5" t="s">
        <v>7728</v>
      </c>
      <c r="D114" s="1">
        <v>1</v>
      </c>
      <c r="E114" s="1">
        <v>9</v>
      </c>
      <c r="F114" s="1">
        <v>13</v>
      </c>
      <c r="G114" s="1">
        <v>28</v>
      </c>
      <c r="H114" s="13" cm="1">
        <f t="array" ref="H114">_xlfn.LET(_xlpm.s,IFERROR(--F114,""),_xlpm.e,IFERROR(--G114,""),IF(OR(_xlpm.s="",_xlpm.e="",_xlpm.e&lt;_xlpm.s),"",_xlfn.LET(_xlpm.p,_xlfn.SEQUENCE(_xlpm.e-_xlpm.s+1,1,_xlpm.s,1),SUM(1/COUNTIFS($D:$D,D114,$E:$E,E114,$F:$F,"&lt;&gt;N/A",$G:$G,"&lt;&gt;N/A",$F:$F,"&lt;="&amp;_xlpm.p,$G:$G,"&gt;="&amp;_xlpm.p)))))</f>
        <v>15</v>
      </c>
      <c r="I114" t="s">
        <v>1279</v>
      </c>
      <c r="J114" s="5" t="s">
        <v>1402</v>
      </c>
      <c r="K114" s="5" t="s">
        <v>7</v>
      </c>
      <c r="L114" s="5" t="s">
        <v>7</v>
      </c>
      <c r="M114" s="5" t="s">
        <v>7</v>
      </c>
      <c r="N114" s="5" t="s">
        <v>7</v>
      </c>
      <c r="O114" t="s">
        <v>778</v>
      </c>
      <c r="P114" t="s">
        <v>7834</v>
      </c>
      <c r="R114" s="1" t="b">
        <v>0</v>
      </c>
    </row>
    <row r="115" spans="1:18">
      <c r="A115" t="s">
        <v>3021</v>
      </c>
      <c r="B115" t="s">
        <v>3973</v>
      </c>
      <c r="C115" s="5" t="s">
        <v>7728</v>
      </c>
      <c r="D115" s="1">
        <v>1</v>
      </c>
      <c r="E115" s="1">
        <v>9</v>
      </c>
      <c r="F115" s="1">
        <v>28</v>
      </c>
      <c r="G115" s="1">
        <v>38</v>
      </c>
      <c r="H115" s="13" cm="1">
        <f t="array" ref="H115">_xlfn.LET(_xlpm.s,IFERROR(--F115,""),_xlpm.e,IFERROR(--G115,""),IF(OR(_xlpm.s="",_xlpm.e="",_xlpm.e&lt;_xlpm.s),"",_xlfn.LET(_xlpm.p,_xlfn.SEQUENCE(_xlpm.e-_xlpm.s+1,1,_xlpm.s,1),SUM(1/COUNTIFS($D:$D,D115,$E:$E,E115,$F:$F,"&lt;&gt;N/A",$G:$G,"&lt;&gt;N/A",$F:$F,"&lt;="&amp;_xlpm.p,$G:$G,"&gt;="&amp;_xlpm.p)))))</f>
        <v>10</v>
      </c>
      <c r="I115" t="s">
        <v>208</v>
      </c>
      <c r="J115" s="5" t="s">
        <v>1403</v>
      </c>
      <c r="K115" s="5" t="s">
        <v>7</v>
      </c>
      <c r="L115" s="5" t="s">
        <v>7</v>
      </c>
      <c r="M115" s="5" t="s">
        <v>7</v>
      </c>
      <c r="N115" s="5" t="s">
        <v>7</v>
      </c>
      <c r="O115" t="s">
        <v>778</v>
      </c>
      <c r="P115" t="s">
        <v>7834</v>
      </c>
      <c r="R115" s="1" t="b">
        <v>1</v>
      </c>
    </row>
    <row r="116" spans="1:18">
      <c r="A116" t="s">
        <v>3021</v>
      </c>
      <c r="B116" t="s">
        <v>3974</v>
      </c>
      <c r="C116" s="5" t="s">
        <v>7728</v>
      </c>
      <c r="D116" s="1">
        <v>1</v>
      </c>
      <c r="E116" s="1">
        <v>9</v>
      </c>
      <c r="F116" s="1">
        <v>38</v>
      </c>
      <c r="G116" s="1">
        <v>53</v>
      </c>
      <c r="H116" s="13" cm="1">
        <f t="array" ref="H116">_xlfn.LET(_xlpm.s,IFERROR(--F116,""),_xlpm.e,IFERROR(--G116,""),IF(OR(_xlpm.s="",_xlpm.e="",_xlpm.e&lt;_xlpm.s),"",_xlfn.LET(_xlpm.p,_xlfn.SEQUENCE(_xlpm.e-_xlpm.s+1,1,_xlpm.s,1),SUM(1/COUNTIFS($D:$D,D116,$E:$E,E116,$F:$F,"&lt;&gt;N/A",$G:$G,"&lt;&gt;N/A",$F:$F,"&lt;="&amp;_xlpm.p,$G:$G,"&gt;="&amp;_xlpm.p)))))</f>
        <v>15</v>
      </c>
      <c r="I116" t="s">
        <v>208</v>
      </c>
      <c r="J116" s="5" t="s">
        <v>1360</v>
      </c>
      <c r="K116" s="5" t="s">
        <v>7</v>
      </c>
      <c r="L116" s="5" t="s">
        <v>7</v>
      </c>
      <c r="M116" s="5" t="s">
        <v>7</v>
      </c>
      <c r="N116" s="5" t="s">
        <v>7</v>
      </c>
      <c r="O116" t="s">
        <v>778</v>
      </c>
      <c r="P116" t="s">
        <v>7834</v>
      </c>
      <c r="R116" s="1" t="b">
        <v>1</v>
      </c>
    </row>
    <row r="117" spans="1:18">
      <c r="A117" t="s">
        <v>3021</v>
      </c>
      <c r="B117" t="s">
        <v>3975</v>
      </c>
      <c r="C117" s="5" t="s">
        <v>7728</v>
      </c>
      <c r="D117" s="1">
        <v>1</v>
      </c>
      <c r="E117" s="1">
        <v>9</v>
      </c>
      <c r="F117" s="1">
        <v>53</v>
      </c>
      <c r="G117" s="1">
        <v>56</v>
      </c>
      <c r="H117" s="13" cm="1">
        <f t="array" ref="H117">_xlfn.LET(_xlpm.s,IFERROR(--F117,""),_xlpm.e,IFERROR(--G117,""),IF(OR(_xlpm.s="",_xlpm.e="",_xlpm.e&lt;_xlpm.s),"",_xlfn.LET(_xlpm.p,_xlfn.SEQUENCE(_xlpm.e-_xlpm.s+1,1,_xlpm.s,1),SUM(1/COUNTIFS($D:$D,D117,$E:$E,E117,$F:$F,"&lt;&gt;N/A",$G:$G,"&lt;&gt;N/A",$F:$F,"&lt;="&amp;_xlpm.p,$G:$G,"&gt;="&amp;_xlpm.p)))))</f>
        <v>3</v>
      </c>
      <c r="I117" t="s">
        <v>208</v>
      </c>
      <c r="J117" s="5" t="s">
        <v>1361</v>
      </c>
      <c r="K117" s="5" t="s">
        <v>7</v>
      </c>
      <c r="L117" s="5" t="s">
        <v>6427</v>
      </c>
      <c r="M117" s="5" t="s">
        <v>7</v>
      </c>
      <c r="N117" s="5" t="s">
        <v>7</v>
      </c>
      <c r="O117" t="s">
        <v>5072</v>
      </c>
      <c r="P117" t="s">
        <v>10158</v>
      </c>
      <c r="R117" s="1" t="b">
        <v>1</v>
      </c>
    </row>
    <row r="118" spans="1:18">
      <c r="A118" t="s">
        <v>3021</v>
      </c>
      <c r="B118" t="s">
        <v>3976</v>
      </c>
      <c r="C118" s="5" t="s">
        <v>7728</v>
      </c>
      <c r="D118" s="1">
        <v>1</v>
      </c>
      <c r="E118" s="1">
        <v>9</v>
      </c>
      <c r="F118" s="1">
        <v>56</v>
      </c>
      <c r="G118" s="1">
        <v>56</v>
      </c>
      <c r="H118" s="13" cm="1">
        <f t="array" ref="H118">_xlfn.LET(_xlpm.s,IFERROR(--F118,""),_xlpm.e,IFERROR(--G118,""),IF(OR(_xlpm.s="",_xlpm.e="",_xlpm.e&lt;_xlpm.s),"",_xlfn.LET(_xlpm.p,_xlfn.SEQUENCE(_xlpm.e-_xlpm.s+1,1,_xlpm.s,1),SUM(1/COUNTIFS($D:$D,D118,$E:$E,E118,$F:$F,"&lt;&gt;N/A",$G:$G,"&lt;&gt;N/A",$F:$F,"&lt;="&amp;_xlpm.p,$G:$G,"&gt;="&amp;_xlpm.p)))))</f>
        <v>0.5</v>
      </c>
      <c r="I118" t="s">
        <v>208</v>
      </c>
      <c r="J118" s="5" t="s">
        <v>1362</v>
      </c>
      <c r="K118" s="5" t="s">
        <v>7</v>
      </c>
      <c r="L118" s="5" t="s">
        <v>4844</v>
      </c>
      <c r="M118" s="5" t="s">
        <v>7</v>
      </c>
      <c r="N118" s="5" t="s">
        <v>7</v>
      </c>
      <c r="O118" t="s">
        <v>11522</v>
      </c>
      <c r="P118" t="s">
        <v>8020</v>
      </c>
      <c r="Q118" s="5" t="s">
        <v>10117</v>
      </c>
      <c r="R118" s="1" t="b">
        <v>1</v>
      </c>
    </row>
    <row r="119" spans="1:18">
      <c r="A119" t="s">
        <v>3021</v>
      </c>
      <c r="B119" t="s">
        <v>10843</v>
      </c>
      <c r="C119" s="5" t="s">
        <v>7744</v>
      </c>
      <c r="D119" s="1">
        <v>1</v>
      </c>
      <c r="E119" s="1">
        <v>10</v>
      </c>
      <c r="F119" s="1">
        <v>3</v>
      </c>
      <c r="G119" s="1">
        <v>10</v>
      </c>
      <c r="H119" s="13" cm="1">
        <f t="array" ref="H119">_xlfn.LET(_xlpm.s,IFERROR(--F119,""),_xlpm.e,IFERROR(--G119,""),IF(OR(_xlpm.s="",_xlpm.e="",_xlpm.e&lt;_xlpm.s),"",_xlfn.LET(_xlpm.p,_xlfn.SEQUENCE(_xlpm.e-_xlpm.s+1,1,_xlpm.s,1),SUM(1/COUNTIFS($D:$D,D119,$E:$E,E119,$F:$F,"&lt;&gt;N/A",$G:$G,"&lt;&gt;N/A",$F:$F,"&lt;="&amp;_xlpm.p,$G:$G,"&gt;="&amp;_xlpm.p)))))</f>
        <v>7.5</v>
      </c>
      <c r="I119" t="s">
        <v>1279</v>
      </c>
      <c r="J119" s="5" t="s">
        <v>1469</v>
      </c>
      <c r="K119" s="5" t="s">
        <v>7</v>
      </c>
      <c r="L119" s="5" t="s">
        <v>7</v>
      </c>
      <c r="M119" s="5" t="s">
        <v>7</v>
      </c>
      <c r="N119" s="5" t="s">
        <v>7</v>
      </c>
      <c r="O119" t="s">
        <v>778</v>
      </c>
      <c r="P119" t="s">
        <v>7834</v>
      </c>
      <c r="R119" s="1" t="b">
        <v>0</v>
      </c>
    </row>
    <row r="120" spans="1:18">
      <c r="A120" t="s">
        <v>3021</v>
      </c>
      <c r="B120" t="s">
        <v>10844</v>
      </c>
      <c r="C120" s="5" t="s">
        <v>7744</v>
      </c>
      <c r="D120" s="1">
        <v>1</v>
      </c>
      <c r="E120" s="1">
        <v>10</v>
      </c>
      <c r="F120" s="1">
        <v>10</v>
      </c>
      <c r="G120" s="1">
        <v>17</v>
      </c>
      <c r="H120" s="13" cm="1">
        <f t="array" ref="H120">_xlfn.LET(_xlpm.s,IFERROR(--F120,""),_xlpm.e,IFERROR(--G120,""),IF(OR(_xlpm.s="",_xlpm.e="",_xlpm.e&lt;_xlpm.s),"",_xlfn.LET(_xlpm.p,_xlfn.SEQUENCE(_xlpm.e-_xlpm.s+1,1,_xlpm.s,1),SUM(1/COUNTIFS($D:$D,D120,$E:$E,E120,$F:$F,"&lt;&gt;N/A",$G:$G,"&lt;&gt;N/A",$F:$F,"&lt;="&amp;_xlpm.p,$G:$G,"&gt;="&amp;_xlpm.p)))))</f>
        <v>7</v>
      </c>
      <c r="I120" t="s">
        <v>1279</v>
      </c>
      <c r="J120" s="5" t="s">
        <v>1470</v>
      </c>
      <c r="K120" s="5" t="s">
        <v>7</v>
      </c>
      <c r="L120" s="5" t="s">
        <v>7</v>
      </c>
      <c r="M120" s="5" t="s">
        <v>7</v>
      </c>
      <c r="N120" s="5" t="s">
        <v>7</v>
      </c>
      <c r="O120" t="s">
        <v>778</v>
      </c>
      <c r="P120" t="s">
        <v>7834</v>
      </c>
      <c r="R120" s="1" t="b">
        <v>0</v>
      </c>
    </row>
    <row r="121" spans="1:18">
      <c r="A121" t="s">
        <v>3021</v>
      </c>
      <c r="B121" t="s">
        <v>10845</v>
      </c>
      <c r="C121" s="5" t="s">
        <v>7744</v>
      </c>
      <c r="D121" s="1">
        <v>1</v>
      </c>
      <c r="E121" s="1">
        <v>10</v>
      </c>
      <c r="F121" s="1">
        <v>17</v>
      </c>
      <c r="G121" s="1">
        <v>21</v>
      </c>
      <c r="H121" s="13" cm="1">
        <f t="array" ref="H121">_xlfn.LET(_xlpm.s,IFERROR(--F121,""),_xlpm.e,IFERROR(--G121,""),IF(OR(_xlpm.s="",_xlpm.e="",_xlpm.e&lt;_xlpm.s),"",_xlfn.LET(_xlpm.p,_xlfn.SEQUENCE(_xlpm.e-_xlpm.s+1,1,_xlpm.s,1),SUM(1/COUNTIFS($D:$D,D121,$E:$E,E121,$F:$F,"&lt;&gt;N/A",$G:$G,"&lt;&gt;N/A",$F:$F,"&lt;="&amp;_xlpm.p,$G:$G,"&gt;="&amp;_xlpm.p)))))</f>
        <v>4</v>
      </c>
      <c r="I121" t="s">
        <v>7</v>
      </c>
      <c r="J121" s="5" t="s">
        <v>1471</v>
      </c>
      <c r="K121" s="5" t="s">
        <v>1280</v>
      </c>
      <c r="L121" s="5" t="s">
        <v>7</v>
      </c>
      <c r="M121" s="5" t="s">
        <v>7</v>
      </c>
      <c r="N121" s="5" t="s">
        <v>7</v>
      </c>
      <c r="O121" t="s">
        <v>778</v>
      </c>
      <c r="P121" t="s">
        <v>7834</v>
      </c>
      <c r="R121" s="1" t="b">
        <v>1</v>
      </c>
    </row>
    <row r="122" spans="1:18">
      <c r="A122" t="s">
        <v>3021</v>
      </c>
      <c r="B122" t="s">
        <v>10846</v>
      </c>
      <c r="C122" s="5" t="s">
        <v>7744</v>
      </c>
      <c r="D122" s="1">
        <v>1</v>
      </c>
      <c r="E122" s="1">
        <v>10</v>
      </c>
      <c r="F122" s="1">
        <v>21</v>
      </c>
      <c r="G122" s="1">
        <v>22</v>
      </c>
      <c r="H122" s="13" cm="1">
        <f t="array" ref="H122">_xlfn.LET(_xlpm.s,IFERROR(--F122,""),_xlpm.e,IFERROR(--G122,""),IF(OR(_xlpm.s="",_xlpm.e="",_xlpm.e&lt;_xlpm.s),"",_xlfn.LET(_xlpm.p,_xlfn.SEQUENCE(_xlpm.e-_xlpm.s+1,1,_xlpm.s,1),SUM(1/COUNTIFS($D:$D,D122,$E:$E,E122,$F:$F,"&lt;&gt;N/A",$G:$G,"&lt;&gt;N/A",$F:$F,"&lt;="&amp;_xlpm.p,$G:$G,"&gt;="&amp;_xlpm.p)))))</f>
        <v>1</v>
      </c>
      <c r="I122" t="s">
        <v>7</v>
      </c>
      <c r="J122" s="5" t="s">
        <v>1472</v>
      </c>
      <c r="K122" s="5" t="s">
        <v>1324</v>
      </c>
      <c r="L122" s="5" t="s">
        <v>7</v>
      </c>
      <c r="M122" s="5" t="s">
        <v>7</v>
      </c>
      <c r="N122" s="5" t="s">
        <v>7</v>
      </c>
      <c r="O122" t="s">
        <v>778</v>
      </c>
      <c r="P122" t="s">
        <v>7834</v>
      </c>
      <c r="R122" s="1" t="b">
        <v>1</v>
      </c>
    </row>
    <row r="123" spans="1:18">
      <c r="A123" t="s">
        <v>3021</v>
      </c>
      <c r="B123" t="s">
        <v>10847</v>
      </c>
      <c r="C123" s="5" t="s">
        <v>7744</v>
      </c>
      <c r="D123" s="1">
        <v>1</v>
      </c>
      <c r="E123" s="1">
        <v>10</v>
      </c>
      <c r="F123" s="1">
        <v>22</v>
      </c>
      <c r="G123" s="1">
        <v>35</v>
      </c>
      <c r="H123" s="13" cm="1">
        <f t="array" ref="H123">_xlfn.LET(_xlpm.s,IFERROR(--F123,""),_xlpm.e,IFERROR(--G123,""),IF(OR(_xlpm.s="",_xlpm.e="",_xlpm.e&lt;_xlpm.s),"",_xlfn.LET(_xlpm.p,_xlfn.SEQUENCE(_xlpm.e-_xlpm.s+1,1,_xlpm.s,1),SUM(1/COUNTIFS($D:$D,D123,$E:$E,E123,$F:$F,"&lt;&gt;N/A",$G:$G,"&lt;&gt;N/A",$F:$F,"&lt;="&amp;_xlpm.p,$G:$G,"&gt;="&amp;_xlpm.p)))))</f>
        <v>13</v>
      </c>
      <c r="I123" t="s">
        <v>7</v>
      </c>
      <c r="J123" s="5" t="s">
        <v>1473</v>
      </c>
      <c r="K123" s="5" t="s">
        <v>4845</v>
      </c>
      <c r="L123" s="5" t="s">
        <v>7</v>
      </c>
      <c r="M123" s="5" t="s">
        <v>7</v>
      </c>
      <c r="N123" s="5" t="s">
        <v>10127</v>
      </c>
      <c r="O123" t="s">
        <v>5072</v>
      </c>
      <c r="P123" t="s">
        <v>8021</v>
      </c>
      <c r="R123" s="1" t="b">
        <v>1</v>
      </c>
    </row>
    <row r="124" spans="1:18">
      <c r="A124" t="s">
        <v>3021</v>
      </c>
      <c r="B124" t="s">
        <v>10848</v>
      </c>
      <c r="C124" s="5" t="s">
        <v>7744</v>
      </c>
      <c r="D124" s="1">
        <v>1</v>
      </c>
      <c r="E124" s="1">
        <v>10</v>
      </c>
      <c r="F124" s="1">
        <v>35</v>
      </c>
      <c r="G124" s="1">
        <v>42</v>
      </c>
      <c r="H124" s="13" cm="1">
        <f t="array" ref="H124">_xlfn.LET(_xlpm.s,IFERROR(--F124,""),_xlpm.e,IFERROR(--G124,""),IF(OR(_xlpm.s="",_xlpm.e="",_xlpm.e&lt;_xlpm.s),"",_xlfn.LET(_xlpm.p,_xlfn.SEQUENCE(_xlpm.e-_xlpm.s+1,1,_xlpm.s,1),SUM(1/COUNTIFS($D:$D,D124,$E:$E,E124,$F:$F,"&lt;&gt;N/A",$G:$G,"&lt;&gt;N/A",$F:$F,"&lt;="&amp;_xlpm.p,$G:$G,"&gt;="&amp;_xlpm.p)))))</f>
        <v>7</v>
      </c>
      <c r="I124" t="s">
        <v>7</v>
      </c>
      <c r="J124" s="5" t="s">
        <v>1474</v>
      </c>
      <c r="K124" s="5" t="s">
        <v>4845</v>
      </c>
      <c r="L124" s="5" t="s">
        <v>7</v>
      </c>
      <c r="M124" s="5" t="s">
        <v>7</v>
      </c>
      <c r="N124" s="5" t="s">
        <v>10127</v>
      </c>
      <c r="O124" t="s">
        <v>5072</v>
      </c>
      <c r="P124" t="s">
        <v>8021</v>
      </c>
      <c r="R124" s="1" t="b">
        <v>1</v>
      </c>
    </row>
    <row r="125" spans="1:18">
      <c r="A125" t="s">
        <v>3021</v>
      </c>
      <c r="B125" t="s">
        <v>10849</v>
      </c>
      <c r="C125" s="5" t="s">
        <v>7744</v>
      </c>
      <c r="D125" s="1">
        <v>1</v>
      </c>
      <c r="E125" s="1">
        <v>10</v>
      </c>
      <c r="F125" s="1">
        <v>42</v>
      </c>
      <c r="G125" s="1">
        <v>44</v>
      </c>
      <c r="H125" s="13" cm="1">
        <f t="array" ref="H125">_xlfn.LET(_xlpm.s,IFERROR(--F125,""),_xlpm.e,IFERROR(--G125,""),IF(OR(_xlpm.s="",_xlpm.e="",_xlpm.e&lt;_xlpm.s),"",_xlfn.LET(_xlpm.p,_xlfn.SEQUENCE(_xlpm.e-_xlpm.s+1,1,_xlpm.s,1),SUM(1/COUNTIFS($D:$D,D125,$E:$E,E125,$F:$F,"&lt;&gt;N/A",$G:$G,"&lt;&gt;N/A",$F:$F,"&lt;="&amp;_xlpm.p,$G:$G,"&gt;="&amp;_xlpm.p)))))</f>
        <v>2</v>
      </c>
      <c r="I125" t="s">
        <v>208</v>
      </c>
      <c r="J125" s="5" t="s">
        <v>3205</v>
      </c>
      <c r="K125" s="5" t="s">
        <v>7</v>
      </c>
      <c r="L125" s="5" t="s">
        <v>7</v>
      </c>
      <c r="M125" t="s">
        <v>7491</v>
      </c>
      <c r="N125" s="5" t="s">
        <v>10128</v>
      </c>
      <c r="O125" t="s">
        <v>11522</v>
      </c>
      <c r="P125" t="s">
        <v>8021</v>
      </c>
      <c r="R125" s="1" t="b">
        <v>1</v>
      </c>
    </row>
    <row r="126" spans="1:18">
      <c r="A126" t="s">
        <v>3021</v>
      </c>
      <c r="B126" t="s">
        <v>10850</v>
      </c>
      <c r="C126" s="5" t="s">
        <v>7744</v>
      </c>
      <c r="D126" s="1">
        <v>1</v>
      </c>
      <c r="E126" s="1">
        <v>10</v>
      </c>
      <c r="F126" s="1">
        <v>44</v>
      </c>
      <c r="G126" s="1">
        <v>44</v>
      </c>
      <c r="H126" s="13" cm="1">
        <f t="array" ref="H126">_xlfn.LET(_xlpm.s,IFERROR(--F126,""),_xlpm.e,IFERROR(--G126,""),IF(OR(_xlpm.s="",_xlpm.e="",_xlpm.e&lt;_xlpm.s),"",_xlfn.LET(_xlpm.p,_xlfn.SEQUENCE(_xlpm.e-_xlpm.s+1,1,_xlpm.s,1),SUM(1/COUNTIFS($D:$D,D126,$E:$E,E126,$F:$F,"&lt;&gt;N/A",$G:$G,"&lt;&gt;N/A",$F:$F,"&lt;="&amp;_xlpm.p,$G:$G,"&gt;="&amp;_xlpm.p)))))</f>
        <v>0.5</v>
      </c>
      <c r="I126" t="s">
        <v>208</v>
      </c>
      <c r="J126" s="5" t="s">
        <v>4398</v>
      </c>
      <c r="K126" s="5" t="s">
        <v>1475</v>
      </c>
      <c r="L126" s="5" t="s">
        <v>4748</v>
      </c>
      <c r="M126" s="5" t="s">
        <v>7</v>
      </c>
      <c r="N126" s="5" t="s">
        <v>7</v>
      </c>
      <c r="O126" t="s">
        <v>778</v>
      </c>
      <c r="P126" t="s">
        <v>7834</v>
      </c>
      <c r="R126" s="1" t="b">
        <v>1</v>
      </c>
    </row>
    <row r="127" spans="1:18">
      <c r="A127" t="s">
        <v>3021</v>
      </c>
      <c r="B127" t="s">
        <v>10851</v>
      </c>
      <c r="C127" s="5" t="s">
        <v>7752</v>
      </c>
      <c r="D127" s="1">
        <v>1</v>
      </c>
      <c r="E127" s="1">
        <v>11</v>
      </c>
      <c r="F127" s="1">
        <v>3</v>
      </c>
      <c r="G127" s="1">
        <v>10</v>
      </c>
      <c r="H127" s="13" cm="1">
        <f t="array" ref="H127">_xlfn.LET(_xlpm.s,IFERROR(--F127,""),_xlpm.e,IFERROR(--G127,""),IF(OR(_xlpm.s="",_xlpm.e="",_xlpm.e&lt;_xlpm.s),"",_xlfn.LET(_xlpm.p,_xlfn.SEQUENCE(_xlpm.e-_xlpm.s+1,1,_xlpm.s,1),SUM(1/COUNTIFS($D:$D,D127,$E:$E,E127,$F:$F,"&lt;&gt;N/A",$G:$G,"&lt;&gt;N/A",$F:$F,"&lt;="&amp;_xlpm.p,$G:$G,"&gt;="&amp;_xlpm.p)))))</f>
        <v>8</v>
      </c>
      <c r="I127" t="s">
        <v>1279</v>
      </c>
      <c r="J127" s="5" t="s">
        <v>1476</v>
      </c>
      <c r="K127" s="5" t="s">
        <v>7</v>
      </c>
      <c r="L127" s="5" t="s">
        <v>7</v>
      </c>
      <c r="M127" s="5" t="s">
        <v>7</v>
      </c>
      <c r="N127" s="5" t="s">
        <v>7</v>
      </c>
      <c r="O127" t="s">
        <v>778</v>
      </c>
      <c r="P127" t="s">
        <v>7834</v>
      </c>
      <c r="R127" s="1" t="b">
        <v>0</v>
      </c>
    </row>
    <row r="128" spans="1:18">
      <c r="A128" t="s">
        <v>3021</v>
      </c>
      <c r="B128" t="s">
        <v>10852</v>
      </c>
      <c r="C128" s="5" t="s">
        <v>7752</v>
      </c>
      <c r="D128" s="1">
        <v>1</v>
      </c>
      <c r="E128" s="1">
        <v>11</v>
      </c>
      <c r="F128" s="1">
        <v>11</v>
      </c>
      <c r="G128" s="1">
        <v>18</v>
      </c>
      <c r="H128" s="13" cm="1">
        <f t="array" ref="H128">_xlfn.LET(_xlpm.s,IFERROR(--F128,""),_xlpm.e,IFERROR(--G128,""),IF(OR(_xlpm.s="",_xlpm.e="",_xlpm.e&lt;_xlpm.s),"",_xlfn.LET(_xlpm.p,_xlfn.SEQUENCE(_xlpm.e-_xlpm.s+1,1,_xlpm.s,1),SUM(1/COUNTIFS($D:$D,D128,$E:$E,E128,$F:$F,"&lt;&gt;N/A",$G:$G,"&lt;&gt;N/A",$F:$F,"&lt;="&amp;_xlpm.p,$G:$G,"&gt;="&amp;_xlpm.p)))))</f>
        <v>7.5</v>
      </c>
      <c r="I128" t="s">
        <v>1279</v>
      </c>
      <c r="J128" s="5" t="s">
        <v>1477</v>
      </c>
      <c r="K128" s="5" t="s">
        <v>7</v>
      </c>
      <c r="L128" s="5" t="s">
        <v>7</v>
      </c>
      <c r="M128" s="5" t="s">
        <v>7</v>
      </c>
      <c r="N128" s="5" t="s">
        <v>7</v>
      </c>
      <c r="O128" t="s">
        <v>778</v>
      </c>
      <c r="P128" t="s">
        <v>7834</v>
      </c>
      <c r="R128" s="1" t="b">
        <v>0</v>
      </c>
    </row>
    <row r="129" spans="1:18">
      <c r="A129" t="s">
        <v>3021</v>
      </c>
      <c r="B129" t="s">
        <v>10853</v>
      </c>
      <c r="C129" s="5" t="s">
        <v>7752</v>
      </c>
      <c r="D129" s="1">
        <v>1</v>
      </c>
      <c r="E129" s="1">
        <v>11</v>
      </c>
      <c r="F129" s="1">
        <v>18</v>
      </c>
      <c r="G129" s="1">
        <v>20</v>
      </c>
      <c r="H129" s="13" cm="1">
        <f t="array" ref="H129">_xlfn.LET(_xlpm.s,IFERROR(--F129,""),_xlpm.e,IFERROR(--G129,""),IF(OR(_xlpm.s="",_xlpm.e="",_xlpm.e&lt;_xlpm.s),"",_xlfn.LET(_xlpm.p,_xlfn.SEQUENCE(_xlpm.e-_xlpm.s+1,1,_xlpm.s,1),SUM(1/COUNTIFS($D:$D,D129,$E:$E,E129,$F:$F,"&lt;&gt;N/A",$G:$G,"&lt;&gt;N/A",$F:$F,"&lt;="&amp;_xlpm.p,$G:$G,"&gt;="&amp;_xlpm.p)))))</f>
        <v>2</v>
      </c>
      <c r="I129" t="s">
        <v>1279</v>
      </c>
      <c r="J129" s="5" t="s">
        <v>10781</v>
      </c>
      <c r="K129" s="5" t="s">
        <v>7</v>
      </c>
      <c r="L129" s="5" t="s">
        <v>7</v>
      </c>
      <c r="M129" s="5" t="s">
        <v>7</v>
      </c>
      <c r="N129" s="5" t="s">
        <v>7</v>
      </c>
      <c r="O129" t="s">
        <v>778</v>
      </c>
      <c r="P129" t="s">
        <v>7834</v>
      </c>
      <c r="R129" s="1" t="b">
        <v>0</v>
      </c>
    </row>
    <row r="130" spans="1:18">
      <c r="A130" t="s">
        <v>3021</v>
      </c>
      <c r="B130" t="s">
        <v>10854</v>
      </c>
      <c r="C130" s="5" t="s">
        <v>7752</v>
      </c>
      <c r="D130" s="1">
        <v>1</v>
      </c>
      <c r="E130" s="1">
        <v>11</v>
      </c>
      <c r="F130" s="1">
        <v>20</v>
      </c>
      <c r="G130" s="1">
        <v>21</v>
      </c>
      <c r="H130" s="13" cm="1">
        <f t="array" ref="H130">_xlfn.LET(_xlpm.s,IFERROR(--F130,""),_xlpm.e,IFERROR(--G130,""),IF(OR(_xlpm.s="",_xlpm.e="",_xlpm.e&lt;_xlpm.s),"",_xlfn.LET(_xlpm.p,_xlfn.SEQUENCE(_xlpm.e-_xlpm.s+1,1,_xlpm.s,1),SUM(1/COUNTIFS($D:$D,D130,$E:$E,E130,$F:$F,"&lt;&gt;N/A",$G:$G,"&lt;&gt;N/A",$F:$F,"&lt;="&amp;_xlpm.p,$G:$G,"&gt;="&amp;_xlpm.p)))))</f>
        <v>1</v>
      </c>
      <c r="I130" t="s">
        <v>1279</v>
      </c>
      <c r="J130" s="5" t="s">
        <v>1478</v>
      </c>
      <c r="K130" s="5" t="s">
        <v>7</v>
      </c>
      <c r="L130" s="5" t="s">
        <v>7</v>
      </c>
      <c r="M130" s="5" t="s">
        <v>7</v>
      </c>
      <c r="N130" s="5" t="s">
        <v>7</v>
      </c>
      <c r="O130" t="s">
        <v>778</v>
      </c>
      <c r="P130" t="s">
        <v>7834</v>
      </c>
      <c r="R130" s="1" t="b">
        <v>0</v>
      </c>
    </row>
    <row r="131" spans="1:18">
      <c r="A131" t="s">
        <v>3021</v>
      </c>
      <c r="B131" t="s">
        <v>10855</v>
      </c>
      <c r="C131" s="5" t="s">
        <v>7752</v>
      </c>
      <c r="D131" s="1">
        <v>1</v>
      </c>
      <c r="E131" s="1">
        <v>11</v>
      </c>
      <c r="F131" s="1">
        <v>21</v>
      </c>
      <c r="G131" s="1">
        <v>23</v>
      </c>
      <c r="H131" s="13" cm="1">
        <f t="array" ref="H131">_xlfn.LET(_xlpm.s,IFERROR(--F131,""),_xlpm.e,IFERROR(--G131,""),IF(OR(_xlpm.s="",_xlpm.e="",_xlpm.e&lt;_xlpm.s),"",_xlfn.LET(_xlpm.p,_xlfn.SEQUENCE(_xlpm.e-_xlpm.s+1,1,_xlpm.s,1),SUM(1/COUNTIFS($D:$D,D131,$E:$E,E131,$F:$F,"&lt;&gt;N/A",$G:$G,"&lt;&gt;N/A",$F:$F,"&lt;="&amp;_xlpm.p,$G:$G,"&gt;="&amp;_xlpm.p)))))</f>
        <v>2</v>
      </c>
      <c r="I131" t="s">
        <v>7</v>
      </c>
      <c r="J131" s="5" t="s">
        <v>1479</v>
      </c>
      <c r="K131" s="5" t="s">
        <v>4845</v>
      </c>
      <c r="L131" s="5" t="s">
        <v>7</v>
      </c>
      <c r="M131" s="5" t="s">
        <v>7</v>
      </c>
      <c r="N131" s="5" t="s">
        <v>7499</v>
      </c>
      <c r="O131" t="s">
        <v>5072</v>
      </c>
      <c r="P131" t="s">
        <v>8021</v>
      </c>
      <c r="R131" s="1" t="b">
        <v>1</v>
      </c>
    </row>
    <row r="132" spans="1:18">
      <c r="A132" t="s">
        <v>3021</v>
      </c>
      <c r="B132" t="s">
        <v>10856</v>
      </c>
      <c r="C132" s="5" t="s">
        <v>7752</v>
      </c>
      <c r="D132" s="1">
        <v>1</v>
      </c>
      <c r="E132" s="1">
        <v>11</v>
      </c>
      <c r="F132" s="1">
        <v>23</v>
      </c>
      <c r="G132" s="1">
        <v>25</v>
      </c>
      <c r="H132" s="13" cm="1">
        <f t="array" ref="H132">_xlfn.LET(_xlpm.s,IFERROR(--F132,""),_xlpm.e,IFERROR(--G132,""),IF(OR(_xlpm.s="",_xlpm.e="",_xlpm.e&lt;_xlpm.s),"",_xlfn.LET(_xlpm.p,_xlfn.SEQUENCE(_xlpm.e-_xlpm.s+1,1,_xlpm.s,1),SUM(1/COUNTIFS($D:$D,D132,$E:$E,E132,$F:$F,"&lt;&gt;N/A",$G:$G,"&lt;&gt;N/A",$F:$F,"&lt;="&amp;_xlpm.p,$G:$G,"&gt;="&amp;_xlpm.p)))))</f>
        <v>2</v>
      </c>
      <c r="I132" t="s">
        <v>208</v>
      </c>
      <c r="J132" s="5" t="s">
        <v>1480</v>
      </c>
      <c r="K132" s="5" t="s">
        <v>4846</v>
      </c>
      <c r="L132" s="5" t="s">
        <v>4847</v>
      </c>
      <c r="M132" s="5" t="s">
        <v>7</v>
      </c>
      <c r="N132" s="5" t="s">
        <v>7</v>
      </c>
      <c r="O132" t="s">
        <v>778</v>
      </c>
      <c r="P132" t="s">
        <v>7834</v>
      </c>
      <c r="R132" s="1" t="b">
        <v>1</v>
      </c>
    </row>
    <row r="133" spans="1:18">
      <c r="A133" t="s">
        <v>3021</v>
      </c>
      <c r="B133" t="s">
        <v>10857</v>
      </c>
      <c r="C133" s="5" t="s">
        <v>7752</v>
      </c>
      <c r="D133" s="1">
        <v>1</v>
      </c>
      <c r="E133" s="1">
        <v>11</v>
      </c>
      <c r="F133" s="1">
        <v>25</v>
      </c>
      <c r="G133" s="1">
        <v>26</v>
      </c>
      <c r="H133" s="13" cm="1">
        <f t="array" ref="H133">_xlfn.LET(_xlpm.s,IFERROR(--F133,""),_xlpm.e,IFERROR(--G133,""),IF(OR(_xlpm.s="",_xlpm.e="",_xlpm.e&lt;_xlpm.s),"",_xlfn.LET(_xlpm.p,_xlfn.SEQUENCE(_xlpm.e-_xlpm.s+1,1,_xlpm.s,1),SUM(1/COUNTIFS($D:$D,D133,$E:$E,E133,$F:$F,"&lt;&gt;N/A",$G:$G,"&lt;&gt;N/A",$F:$F,"&lt;="&amp;_xlpm.p,$G:$G,"&gt;="&amp;_xlpm.p)))))</f>
        <v>1</v>
      </c>
      <c r="I133" t="s">
        <v>208</v>
      </c>
      <c r="J133" s="5" t="s">
        <v>1500</v>
      </c>
      <c r="K133" s="5" t="s">
        <v>1481</v>
      </c>
      <c r="L133" s="5" t="s">
        <v>7</v>
      </c>
      <c r="M133" s="5" t="s">
        <v>7</v>
      </c>
      <c r="N133" s="5" t="s">
        <v>7</v>
      </c>
      <c r="O133" t="s">
        <v>778</v>
      </c>
      <c r="P133" t="s">
        <v>7834</v>
      </c>
      <c r="R133" s="1" t="b">
        <v>1</v>
      </c>
    </row>
    <row r="134" spans="1:18">
      <c r="A134" t="s">
        <v>3021</v>
      </c>
      <c r="B134" t="s">
        <v>10858</v>
      </c>
      <c r="C134" s="5" t="s">
        <v>7752</v>
      </c>
      <c r="D134" s="1">
        <v>1</v>
      </c>
      <c r="E134" s="1">
        <v>11</v>
      </c>
      <c r="F134" s="1">
        <v>26</v>
      </c>
      <c r="G134" s="1">
        <v>36</v>
      </c>
      <c r="H134" s="13" cm="1">
        <f t="array" ref="H134">_xlfn.LET(_xlpm.s,IFERROR(--F134,""),_xlpm.e,IFERROR(--G134,""),IF(OR(_xlpm.s="",_xlpm.e="",_xlpm.e&lt;_xlpm.s),"",_xlfn.LET(_xlpm.p,_xlfn.SEQUENCE(_xlpm.e-_xlpm.s+1,1,_xlpm.s,1),SUM(1/COUNTIFS($D:$D,D134,$E:$E,E134,$F:$F,"&lt;&gt;N/A",$G:$G,"&lt;&gt;N/A",$F:$F,"&lt;="&amp;_xlpm.p,$G:$G,"&gt;="&amp;_xlpm.p)))))</f>
        <v>10</v>
      </c>
      <c r="I134" t="s">
        <v>208</v>
      </c>
      <c r="J134" s="5" t="s">
        <v>1482</v>
      </c>
      <c r="K134" s="5" t="s">
        <v>618</v>
      </c>
      <c r="L134" s="5" t="s">
        <v>7</v>
      </c>
      <c r="M134" s="5" t="s">
        <v>7</v>
      </c>
      <c r="N134" s="5" t="s">
        <v>7</v>
      </c>
      <c r="O134" t="s">
        <v>778</v>
      </c>
      <c r="P134" t="s">
        <v>7834</v>
      </c>
      <c r="R134" s="1" t="b">
        <v>1</v>
      </c>
    </row>
    <row r="135" spans="1:18">
      <c r="A135" t="s">
        <v>3021</v>
      </c>
      <c r="B135" t="s">
        <v>10859</v>
      </c>
      <c r="C135" s="5" t="s">
        <v>7752</v>
      </c>
      <c r="D135" s="1">
        <v>1</v>
      </c>
      <c r="E135" s="1">
        <v>11</v>
      </c>
      <c r="F135" s="1">
        <v>36</v>
      </c>
      <c r="G135" s="1">
        <v>40</v>
      </c>
      <c r="H135" s="13" cm="1">
        <f t="array" ref="H135">_xlfn.LET(_xlpm.s,IFERROR(--F135,""),_xlpm.e,IFERROR(--G135,""),IF(OR(_xlpm.s="",_xlpm.e="",_xlpm.e&lt;_xlpm.s),"",_xlfn.LET(_xlpm.p,_xlfn.SEQUENCE(_xlpm.e-_xlpm.s+1,1,_xlpm.s,1),SUM(1/COUNTIFS($D:$D,D135,$E:$E,E135,$F:$F,"&lt;&gt;N/A",$G:$G,"&lt;&gt;N/A",$F:$F,"&lt;="&amp;_xlpm.p,$G:$G,"&gt;="&amp;_xlpm.p)))))</f>
        <v>4</v>
      </c>
      <c r="I135" t="s">
        <v>208</v>
      </c>
      <c r="J135" s="5" t="s">
        <v>1483</v>
      </c>
      <c r="K135" s="5" t="s">
        <v>618</v>
      </c>
      <c r="L135" s="5" t="s">
        <v>7</v>
      </c>
      <c r="M135" s="5" t="s">
        <v>7</v>
      </c>
      <c r="N135" s="5" t="s">
        <v>7</v>
      </c>
      <c r="O135" t="s">
        <v>778</v>
      </c>
      <c r="P135" t="s">
        <v>7834</v>
      </c>
      <c r="R135" s="1" t="b">
        <v>1</v>
      </c>
    </row>
    <row r="136" spans="1:18">
      <c r="A136" t="s">
        <v>3021</v>
      </c>
      <c r="B136" t="s">
        <v>10860</v>
      </c>
      <c r="C136" s="5" t="s">
        <v>7752</v>
      </c>
      <c r="D136" s="1">
        <v>1</v>
      </c>
      <c r="E136" s="1">
        <v>11</v>
      </c>
      <c r="F136" s="1">
        <v>40</v>
      </c>
      <c r="G136" s="1">
        <v>40</v>
      </c>
      <c r="H136" s="13" cm="1">
        <f t="array" ref="H136">_xlfn.LET(_xlpm.s,IFERROR(--F136,""),_xlpm.e,IFERROR(--G136,""),IF(OR(_xlpm.s="",_xlpm.e="",_xlpm.e&lt;_xlpm.s),"",_xlfn.LET(_xlpm.p,_xlfn.SEQUENCE(_xlpm.e-_xlpm.s+1,1,_xlpm.s,1),SUM(1/COUNTIFS($D:$D,D136,$E:$E,E136,$F:$F,"&lt;&gt;N/A",$G:$G,"&lt;&gt;N/A",$F:$F,"&lt;="&amp;_xlpm.p,$G:$G,"&gt;="&amp;_xlpm.p)))))</f>
        <v>0.5</v>
      </c>
      <c r="I136" t="s">
        <v>208</v>
      </c>
      <c r="J136" s="5" t="s">
        <v>1484</v>
      </c>
      <c r="K136" s="5" t="s">
        <v>7</v>
      </c>
      <c r="L136" s="5" t="s">
        <v>6502</v>
      </c>
      <c r="M136" t="s">
        <v>6428</v>
      </c>
      <c r="N136" s="5" t="s">
        <v>10159</v>
      </c>
      <c r="O136" t="s">
        <v>11522</v>
      </c>
      <c r="P136" t="s">
        <v>8021</v>
      </c>
      <c r="R136" s="1" t="b">
        <v>1</v>
      </c>
    </row>
    <row r="137" spans="1:18">
      <c r="A137" t="s">
        <v>3021</v>
      </c>
      <c r="B137" t="s">
        <v>10861</v>
      </c>
      <c r="C137" s="5" t="s">
        <v>7760</v>
      </c>
      <c r="D137" s="1">
        <v>1</v>
      </c>
      <c r="E137" s="1">
        <v>12</v>
      </c>
      <c r="F137" s="1">
        <v>3</v>
      </c>
      <c r="G137" s="1">
        <v>5</v>
      </c>
      <c r="H137" s="13" cm="1">
        <f t="array" ref="H137">_xlfn.LET(_xlpm.s,IFERROR(--F137,""),_xlpm.e,IFERROR(--G137,""),IF(OR(_xlpm.s="",_xlpm.e="",_xlpm.e&lt;_xlpm.s),"",_xlfn.LET(_xlpm.p,_xlfn.SEQUENCE(_xlpm.e-_xlpm.s+1,1,_xlpm.s,1),SUM(1/COUNTIFS($D:$D,D137,$E:$E,E137,$F:$F,"&lt;&gt;N/A",$G:$G,"&lt;&gt;N/A",$F:$F,"&lt;="&amp;_xlpm.p,$G:$G,"&gt;="&amp;_xlpm.p)))))</f>
        <v>2.5</v>
      </c>
      <c r="I137" t="s">
        <v>1279</v>
      </c>
      <c r="J137" s="5" t="s">
        <v>1492</v>
      </c>
      <c r="K137" s="5" t="s">
        <v>7</v>
      </c>
      <c r="L137" s="5" t="s">
        <v>7</v>
      </c>
      <c r="M137" s="5" t="s">
        <v>7</v>
      </c>
      <c r="N137" s="5" t="s">
        <v>7</v>
      </c>
      <c r="O137" t="s">
        <v>778</v>
      </c>
      <c r="P137" t="s">
        <v>7834</v>
      </c>
      <c r="R137" s="1" t="b">
        <v>0</v>
      </c>
    </row>
    <row r="138" spans="1:18">
      <c r="A138" t="s">
        <v>3021</v>
      </c>
      <c r="B138" t="s">
        <v>10862</v>
      </c>
      <c r="C138" s="5" t="s">
        <v>7760</v>
      </c>
      <c r="D138" s="1">
        <v>1</v>
      </c>
      <c r="E138" s="1">
        <v>12</v>
      </c>
      <c r="F138" s="1">
        <v>5</v>
      </c>
      <c r="G138" s="1">
        <v>7</v>
      </c>
      <c r="H138" s="13" cm="1">
        <f t="array" ref="H138">_xlfn.LET(_xlpm.s,IFERROR(--F138,""),_xlpm.e,IFERROR(--G138,""),IF(OR(_xlpm.s="",_xlpm.e="",_xlpm.e&lt;_xlpm.s),"",_xlfn.LET(_xlpm.p,_xlfn.SEQUENCE(_xlpm.e-_xlpm.s+1,1,_xlpm.s,1),SUM(1/COUNTIFS($D:$D,D138,$E:$E,E138,$F:$F,"&lt;&gt;N/A",$G:$G,"&lt;&gt;N/A",$F:$F,"&lt;="&amp;_xlpm.p,$G:$G,"&gt;="&amp;_xlpm.p)))))</f>
        <v>2.5</v>
      </c>
      <c r="I138" t="s">
        <v>1279</v>
      </c>
      <c r="J138" s="5" t="s">
        <v>1493</v>
      </c>
      <c r="K138" s="5" t="s">
        <v>7</v>
      </c>
      <c r="L138" s="5" t="s">
        <v>7</v>
      </c>
      <c r="M138" s="5" t="s">
        <v>7</v>
      </c>
      <c r="N138" s="5" t="s">
        <v>7</v>
      </c>
      <c r="O138" t="s">
        <v>778</v>
      </c>
      <c r="P138" t="s">
        <v>7834</v>
      </c>
      <c r="R138" s="1" t="b">
        <v>0</v>
      </c>
    </row>
    <row r="139" spans="1:18">
      <c r="A139" t="s">
        <v>3021</v>
      </c>
      <c r="B139" t="s">
        <v>10863</v>
      </c>
      <c r="C139" s="5" t="s">
        <v>7760</v>
      </c>
      <c r="D139" s="1">
        <v>1</v>
      </c>
      <c r="E139" s="1">
        <v>12</v>
      </c>
      <c r="F139" s="1">
        <v>8</v>
      </c>
      <c r="G139" s="1">
        <v>8</v>
      </c>
      <c r="H139" s="13" cm="1">
        <f t="array" ref="H139">_xlfn.LET(_xlpm.s,IFERROR(--F139,""),_xlpm.e,IFERROR(--G139,""),IF(OR(_xlpm.s="",_xlpm.e="",_xlpm.e&lt;_xlpm.s),"",_xlfn.LET(_xlpm.p,_xlfn.SEQUENCE(_xlpm.e-_xlpm.s+1,1,_xlpm.s,1),SUM(1/COUNTIFS($D:$D,D139,$E:$E,E139,$F:$F,"&lt;&gt;N/A",$G:$G,"&lt;&gt;N/A",$F:$F,"&lt;="&amp;_xlpm.p,$G:$G,"&gt;="&amp;_xlpm.p)))))</f>
        <v>0.5</v>
      </c>
      <c r="I139" t="s">
        <v>1279</v>
      </c>
      <c r="J139" s="5" t="s">
        <v>1494</v>
      </c>
      <c r="K139" s="5" t="s">
        <v>7</v>
      </c>
      <c r="L139" s="5" t="s">
        <v>7</v>
      </c>
      <c r="M139" s="5" t="s">
        <v>7</v>
      </c>
      <c r="N139" s="5" t="s">
        <v>7</v>
      </c>
      <c r="O139" t="s">
        <v>778</v>
      </c>
      <c r="P139" t="s">
        <v>7834</v>
      </c>
      <c r="R139" s="1" t="b">
        <v>0</v>
      </c>
    </row>
    <row r="140" spans="1:18">
      <c r="A140" t="s">
        <v>3021</v>
      </c>
      <c r="B140" t="s">
        <v>10864</v>
      </c>
      <c r="C140" s="5" t="s">
        <v>7760</v>
      </c>
      <c r="D140" s="1">
        <v>1</v>
      </c>
      <c r="E140" s="1">
        <v>12</v>
      </c>
      <c r="F140" s="1">
        <v>8</v>
      </c>
      <c r="G140" s="1">
        <v>10</v>
      </c>
      <c r="H140" s="13" cm="1">
        <f t="array" ref="H140">_xlfn.LET(_xlpm.s,IFERROR(--F140,""),_xlpm.e,IFERROR(--G140,""),IF(OR(_xlpm.s="",_xlpm.e="",_xlpm.e&lt;_xlpm.s),"",_xlfn.LET(_xlpm.p,_xlfn.SEQUENCE(_xlpm.e-_xlpm.s+1,1,_xlpm.s,1),SUM(1/COUNTIFS($D:$D,D140,$E:$E,E140,$F:$F,"&lt;&gt;N/A",$G:$G,"&lt;&gt;N/A",$F:$F,"&lt;="&amp;_xlpm.p,$G:$G,"&gt;="&amp;_xlpm.p)))))</f>
        <v>2</v>
      </c>
      <c r="I140" t="s">
        <v>1279</v>
      </c>
      <c r="J140" s="5" t="s">
        <v>1495</v>
      </c>
      <c r="K140" s="5" t="s">
        <v>7</v>
      </c>
      <c r="L140" s="5" t="s">
        <v>7</v>
      </c>
      <c r="M140" s="5" t="s">
        <v>7</v>
      </c>
      <c r="N140" s="5" t="s">
        <v>7</v>
      </c>
      <c r="O140" t="s">
        <v>778</v>
      </c>
      <c r="P140" t="s">
        <v>7834</v>
      </c>
      <c r="R140" s="1" t="b">
        <v>0</v>
      </c>
    </row>
    <row r="141" spans="1:18">
      <c r="A141" t="s">
        <v>3021</v>
      </c>
      <c r="B141" t="s">
        <v>10865</v>
      </c>
      <c r="C141" s="5" t="s">
        <v>7760</v>
      </c>
      <c r="D141" s="1">
        <v>1</v>
      </c>
      <c r="E141" s="1">
        <v>12</v>
      </c>
      <c r="F141" s="1">
        <v>10</v>
      </c>
      <c r="G141" s="1">
        <v>17</v>
      </c>
      <c r="H141" s="13" cm="1">
        <f t="array" ref="H141">_xlfn.LET(_xlpm.s,IFERROR(--F141,""),_xlpm.e,IFERROR(--G141,""),IF(OR(_xlpm.s="",_xlpm.e="",_xlpm.e&lt;_xlpm.s),"",_xlfn.LET(_xlpm.p,_xlfn.SEQUENCE(_xlpm.e-_xlpm.s+1,1,_xlpm.s,1),SUM(1/COUNTIFS($D:$D,D141,$E:$E,E141,$F:$F,"&lt;&gt;N/A",$G:$G,"&lt;&gt;N/A",$F:$F,"&lt;="&amp;_xlpm.p,$G:$G,"&gt;="&amp;_xlpm.p)))))</f>
        <v>7</v>
      </c>
      <c r="I141" t="s">
        <v>7</v>
      </c>
      <c r="J141" s="5" t="s">
        <v>1496</v>
      </c>
      <c r="K141" s="5" t="s">
        <v>1217</v>
      </c>
      <c r="L141" s="5" t="s">
        <v>7</v>
      </c>
      <c r="M141" s="5" t="s">
        <v>7</v>
      </c>
      <c r="N141" s="5" t="s">
        <v>7</v>
      </c>
      <c r="O141" t="s">
        <v>778</v>
      </c>
      <c r="P141" t="s">
        <v>7834</v>
      </c>
      <c r="R141" s="1" t="b">
        <v>1</v>
      </c>
    </row>
    <row r="142" spans="1:18">
      <c r="A142" t="s">
        <v>3021</v>
      </c>
      <c r="B142" t="s">
        <v>10866</v>
      </c>
      <c r="C142" s="5" t="s">
        <v>7760</v>
      </c>
      <c r="D142" s="1">
        <v>1</v>
      </c>
      <c r="E142" s="1">
        <v>12</v>
      </c>
      <c r="F142" s="1">
        <v>17</v>
      </c>
      <c r="G142" s="1">
        <v>22</v>
      </c>
      <c r="H142" s="13" cm="1">
        <f t="array" ref="H142">_xlfn.LET(_xlpm.s,IFERROR(--F142,""),_xlpm.e,IFERROR(--G142,""),IF(OR(_xlpm.s="",_xlpm.e="",_xlpm.e&lt;_xlpm.s),"",_xlfn.LET(_xlpm.p,_xlfn.SEQUENCE(_xlpm.e-_xlpm.s+1,1,_xlpm.s,1),SUM(1/COUNTIFS($D:$D,D142,$E:$E,E142,$F:$F,"&lt;&gt;N/A",$G:$G,"&lt;&gt;N/A",$F:$F,"&lt;="&amp;_xlpm.p,$G:$G,"&gt;="&amp;_xlpm.p)))))</f>
        <v>5</v>
      </c>
      <c r="I142" t="s">
        <v>7</v>
      </c>
      <c r="J142" s="5" t="s">
        <v>1497</v>
      </c>
      <c r="K142" s="5" t="s">
        <v>826</v>
      </c>
      <c r="L142" s="5" t="s">
        <v>7</v>
      </c>
      <c r="M142" s="5" t="s">
        <v>7</v>
      </c>
      <c r="N142" s="5" t="s">
        <v>7</v>
      </c>
      <c r="O142" t="s">
        <v>778</v>
      </c>
      <c r="P142" t="s">
        <v>7834</v>
      </c>
      <c r="R142" s="1" t="b">
        <v>1</v>
      </c>
    </row>
    <row r="143" spans="1:18">
      <c r="A143" t="s">
        <v>3021</v>
      </c>
      <c r="B143" t="s">
        <v>10867</v>
      </c>
      <c r="C143" s="5" t="s">
        <v>7760</v>
      </c>
      <c r="D143" s="1">
        <v>1</v>
      </c>
      <c r="E143" s="1">
        <v>12</v>
      </c>
      <c r="F143" s="1">
        <v>22</v>
      </c>
      <c r="G143" s="1">
        <v>24</v>
      </c>
      <c r="H143" s="13" cm="1">
        <f t="array" ref="H143">_xlfn.LET(_xlpm.s,IFERROR(--F143,""),_xlpm.e,IFERROR(--G143,""),IF(OR(_xlpm.s="",_xlpm.e="",_xlpm.e&lt;_xlpm.s),"",_xlfn.LET(_xlpm.p,_xlfn.SEQUENCE(_xlpm.e-_xlpm.s+1,1,_xlpm.s,1),SUM(1/COUNTIFS($D:$D,D143,$E:$E,E143,$F:$F,"&lt;&gt;N/A",$G:$G,"&lt;&gt;N/A",$F:$F,"&lt;="&amp;_xlpm.p,$G:$G,"&gt;="&amp;_xlpm.p)))))</f>
        <v>2</v>
      </c>
      <c r="I143" t="s">
        <v>208</v>
      </c>
      <c r="J143" s="5" t="s">
        <v>1498</v>
      </c>
      <c r="K143" s="5" t="s">
        <v>7</v>
      </c>
      <c r="L143" s="5" t="s">
        <v>4804</v>
      </c>
      <c r="M143" t="s">
        <v>6546</v>
      </c>
      <c r="N143" t="s">
        <v>6616</v>
      </c>
      <c r="O143" t="s">
        <v>5072</v>
      </c>
      <c r="P143" t="s">
        <v>8021</v>
      </c>
      <c r="Q143" t="s">
        <v>2949</v>
      </c>
      <c r="R143" s="1" t="b">
        <v>1</v>
      </c>
    </row>
    <row r="144" spans="1:18">
      <c r="A144" t="s">
        <v>3021</v>
      </c>
      <c r="B144" t="s">
        <v>10868</v>
      </c>
      <c r="C144" s="5" t="s">
        <v>7760</v>
      </c>
      <c r="D144" s="1">
        <v>1</v>
      </c>
      <c r="E144" s="1">
        <v>12</v>
      </c>
      <c r="F144" s="1">
        <v>24</v>
      </c>
      <c r="G144" s="1">
        <v>30</v>
      </c>
      <c r="H144" s="13" cm="1">
        <f t="array" ref="H144">_xlfn.LET(_xlpm.s,IFERROR(--F144,""),_xlpm.e,IFERROR(--G144,""),IF(OR(_xlpm.s="",_xlpm.e="",_xlpm.e&lt;_xlpm.s),"",_xlfn.LET(_xlpm.p,_xlfn.SEQUENCE(_xlpm.e-_xlpm.s+1,1,_xlpm.s,1),SUM(1/COUNTIFS($D:$D,D144,$E:$E,E144,$F:$F,"&lt;&gt;N/A",$G:$G,"&lt;&gt;N/A",$F:$F,"&lt;="&amp;_xlpm.p,$G:$G,"&gt;="&amp;_xlpm.p)))))</f>
        <v>6</v>
      </c>
      <c r="I144" t="s">
        <v>183</v>
      </c>
      <c r="J144" s="5" t="s">
        <v>1501</v>
      </c>
      <c r="K144" s="5" t="s">
        <v>7</v>
      </c>
      <c r="L144" s="5" t="s">
        <v>7</v>
      </c>
      <c r="M144" s="5" t="s">
        <v>7</v>
      </c>
      <c r="N144" s="5" t="s">
        <v>7</v>
      </c>
      <c r="O144" t="s">
        <v>778</v>
      </c>
      <c r="P144" t="s">
        <v>7834</v>
      </c>
      <c r="R144" s="1" t="b">
        <v>1</v>
      </c>
    </row>
    <row r="145" spans="1:18">
      <c r="A145" t="s">
        <v>3021</v>
      </c>
      <c r="B145" t="s">
        <v>10869</v>
      </c>
      <c r="C145" s="5" t="s">
        <v>7760</v>
      </c>
      <c r="D145" s="1">
        <v>1</v>
      </c>
      <c r="E145" s="1">
        <v>12</v>
      </c>
      <c r="F145" s="1">
        <v>30</v>
      </c>
      <c r="G145" s="1">
        <v>40</v>
      </c>
      <c r="H145" s="13" cm="1">
        <f t="array" ref="H145">_xlfn.LET(_xlpm.s,IFERROR(--F145,""),_xlpm.e,IFERROR(--G145,""),IF(OR(_xlpm.s="",_xlpm.e="",_xlpm.e&lt;_xlpm.s),"",_xlfn.LET(_xlpm.p,_xlfn.SEQUENCE(_xlpm.e-_xlpm.s+1,1,_xlpm.s,1),SUM(1/COUNTIFS($D:$D,D145,$E:$E,E145,$F:$F,"&lt;&gt;N/A",$G:$G,"&lt;&gt;N/A",$F:$F,"&lt;="&amp;_xlpm.p,$G:$G,"&gt;="&amp;_xlpm.p)))))</f>
        <v>10</v>
      </c>
      <c r="I145" t="s">
        <v>637</v>
      </c>
      <c r="J145" s="5" t="s">
        <v>1502</v>
      </c>
      <c r="K145" s="5" t="s">
        <v>1499</v>
      </c>
      <c r="L145" s="5" t="s">
        <v>7</v>
      </c>
      <c r="M145" s="5" t="s">
        <v>7</v>
      </c>
      <c r="N145" s="5" t="s">
        <v>7</v>
      </c>
      <c r="O145" t="s">
        <v>778</v>
      </c>
      <c r="P145" t="s">
        <v>7834</v>
      </c>
      <c r="R145" s="1" t="b">
        <v>1</v>
      </c>
    </row>
    <row r="146" spans="1:18">
      <c r="A146" t="s">
        <v>3021</v>
      </c>
      <c r="B146" t="s">
        <v>10870</v>
      </c>
      <c r="C146" s="5" t="s">
        <v>7760</v>
      </c>
      <c r="D146" s="1">
        <v>1</v>
      </c>
      <c r="E146" s="1">
        <v>12</v>
      </c>
      <c r="F146" s="1">
        <v>40</v>
      </c>
      <c r="G146" s="1">
        <v>40</v>
      </c>
      <c r="H146" s="13" cm="1">
        <f t="array" ref="H146">_xlfn.LET(_xlpm.s,IFERROR(--F146,""),_xlpm.e,IFERROR(--G146,""),IF(OR(_xlpm.s="",_xlpm.e="",_xlpm.e&lt;_xlpm.s),"",_xlfn.LET(_xlpm.p,_xlfn.SEQUENCE(_xlpm.e-_xlpm.s+1,1,_xlpm.s,1),SUM(1/COUNTIFS($D:$D,D146,$E:$E,E146,$F:$F,"&lt;&gt;N/A",$G:$G,"&lt;&gt;N/A",$F:$F,"&lt;="&amp;_xlpm.p,$G:$G,"&gt;="&amp;_xlpm.p)))))</f>
        <v>0.5</v>
      </c>
      <c r="I146" t="s">
        <v>7</v>
      </c>
      <c r="J146" s="5" t="s">
        <v>4440</v>
      </c>
      <c r="K146" s="5" t="s">
        <v>618</v>
      </c>
      <c r="L146" s="5" t="s">
        <v>7</v>
      </c>
      <c r="M146" s="5" t="s">
        <v>7</v>
      </c>
      <c r="N146" s="5" t="s">
        <v>7</v>
      </c>
      <c r="O146" t="s">
        <v>778</v>
      </c>
      <c r="P146" t="s">
        <v>7834</v>
      </c>
      <c r="R146" s="1" t="b">
        <v>0</v>
      </c>
    </row>
    <row r="147" spans="1:18">
      <c r="A147" t="s">
        <v>3022</v>
      </c>
      <c r="B147" t="s">
        <v>10790</v>
      </c>
      <c r="C147" s="5" t="s">
        <v>7768</v>
      </c>
      <c r="D147" s="1">
        <v>2</v>
      </c>
      <c r="E147" s="1">
        <v>1</v>
      </c>
      <c r="F147" s="1">
        <v>3</v>
      </c>
      <c r="G147" s="1">
        <v>11</v>
      </c>
      <c r="H147" s="13" cm="1">
        <f t="array" ref="H147">_xlfn.LET(_xlpm.s,IFERROR(--F147,""),_xlpm.e,IFERROR(--G147,""),IF(OR(_xlpm.s="",_xlpm.e="",_xlpm.e&lt;_xlpm.s),"",_xlfn.LET(_xlpm.p,_xlfn.SEQUENCE(_xlpm.e-_xlpm.s+1,1,_xlpm.s,1),SUM(1/COUNTIFS($D:$D,D147,$E:$E,E147,$F:$F,"&lt;&gt;N/A",$G:$G,"&lt;&gt;N/A",$F:$F,"&lt;="&amp;_xlpm.p,$G:$G,"&gt;="&amp;_xlpm.p)))))</f>
        <v>8.5</v>
      </c>
      <c r="I147" t="s">
        <v>1279</v>
      </c>
      <c r="J147" s="5" t="s">
        <v>1404</v>
      </c>
      <c r="K147" s="5" t="s">
        <v>7</v>
      </c>
      <c r="L147" s="5" t="s">
        <v>7</v>
      </c>
      <c r="M147" s="5" t="s">
        <v>7</v>
      </c>
      <c r="N147" s="5" t="s">
        <v>7</v>
      </c>
      <c r="O147" t="s">
        <v>778</v>
      </c>
      <c r="P147" t="s">
        <v>7834</v>
      </c>
      <c r="R147" s="1" t="b">
        <v>0</v>
      </c>
    </row>
    <row r="148" spans="1:18">
      <c r="A148" t="s">
        <v>3022</v>
      </c>
      <c r="B148" t="s">
        <v>3977</v>
      </c>
      <c r="C148" s="5" t="s">
        <v>7768</v>
      </c>
      <c r="D148" s="1">
        <v>2</v>
      </c>
      <c r="E148" s="1">
        <v>1</v>
      </c>
      <c r="F148" s="1">
        <v>11</v>
      </c>
      <c r="G148" s="1">
        <v>12</v>
      </c>
      <c r="H148" s="13" cm="1">
        <f t="array" ref="H148">_xlfn.LET(_xlpm.s,IFERROR(--F148,""),_xlpm.e,IFERROR(--G148,""),IF(OR(_xlpm.s="",_xlpm.e="",_xlpm.e&lt;_xlpm.s),"",_xlfn.LET(_xlpm.p,_xlfn.SEQUENCE(_xlpm.e-_xlpm.s+1,1,_xlpm.s,1),SUM(1/COUNTIFS($D:$D,D148,$E:$E,E148,$F:$F,"&lt;&gt;N/A",$G:$G,"&lt;&gt;N/A",$F:$F,"&lt;="&amp;_xlpm.p,$G:$G,"&gt;="&amp;_xlpm.p)))))</f>
        <v>1</v>
      </c>
      <c r="I148" t="s">
        <v>1279</v>
      </c>
      <c r="J148" s="5" t="s">
        <v>1405</v>
      </c>
      <c r="K148" s="5" t="s">
        <v>7</v>
      </c>
      <c r="L148" s="5" t="s">
        <v>7</v>
      </c>
      <c r="M148" s="5" t="s">
        <v>7</v>
      </c>
      <c r="N148" s="5" t="s">
        <v>7</v>
      </c>
      <c r="O148" t="s">
        <v>778</v>
      </c>
      <c r="P148" t="s">
        <v>7834</v>
      </c>
      <c r="R148" s="1" t="b">
        <v>0</v>
      </c>
    </row>
    <row r="149" spans="1:18">
      <c r="A149" t="s">
        <v>3022</v>
      </c>
      <c r="B149" t="s">
        <v>3978</v>
      </c>
      <c r="C149" s="5" t="s">
        <v>7768</v>
      </c>
      <c r="D149" s="1">
        <v>2</v>
      </c>
      <c r="E149" s="1">
        <v>1</v>
      </c>
      <c r="F149" s="1">
        <v>12</v>
      </c>
      <c r="G149" s="1">
        <v>14</v>
      </c>
      <c r="H149" s="13" cm="1">
        <f t="array" ref="H149">_xlfn.LET(_xlpm.s,IFERROR(--F149,""),_xlpm.e,IFERROR(--G149,""),IF(OR(_xlpm.s="",_xlpm.e="",_xlpm.e&lt;_xlpm.s),"",_xlfn.LET(_xlpm.p,_xlfn.SEQUENCE(_xlpm.e-_xlpm.s+1,1,_xlpm.s,1),SUM(1/COUNTIFS($D:$D,D149,$E:$E,E149,$F:$F,"&lt;&gt;N/A",$G:$G,"&lt;&gt;N/A",$F:$F,"&lt;="&amp;_xlpm.p,$G:$G,"&gt;="&amp;_xlpm.p)))))</f>
        <v>2</v>
      </c>
      <c r="I149" t="s">
        <v>1279</v>
      </c>
      <c r="J149" s="5" t="s">
        <v>1406</v>
      </c>
      <c r="K149" s="5" t="s">
        <v>7</v>
      </c>
      <c r="L149" s="5" t="s">
        <v>7</v>
      </c>
      <c r="M149" s="5" t="s">
        <v>7</v>
      </c>
      <c r="N149" s="5" t="s">
        <v>7</v>
      </c>
      <c r="O149" t="s">
        <v>778</v>
      </c>
      <c r="P149" t="s">
        <v>7834</v>
      </c>
      <c r="R149" s="1" t="b">
        <v>0</v>
      </c>
    </row>
    <row r="150" spans="1:18">
      <c r="A150" t="s">
        <v>3022</v>
      </c>
      <c r="B150" t="s">
        <v>3979</v>
      </c>
      <c r="C150" s="5" t="s">
        <v>7768</v>
      </c>
      <c r="D150" s="1">
        <v>2</v>
      </c>
      <c r="E150" s="1">
        <v>1</v>
      </c>
      <c r="F150" s="1">
        <v>14</v>
      </c>
      <c r="G150" s="1">
        <v>16</v>
      </c>
      <c r="H150" s="13" cm="1">
        <f t="array" ref="H150">_xlfn.LET(_xlpm.s,IFERROR(--F150,""),_xlpm.e,IFERROR(--G150,""),IF(OR(_xlpm.s="",_xlpm.e="",_xlpm.e&lt;_xlpm.s),"",_xlfn.LET(_xlpm.p,_xlfn.SEQUENCE(_xlpm.e-_xlpm.s+1,1,_xlpm.s,1),SUM(1/COUNTIFS($D:$D,D150,$E:$E,E150,$F:$F,"&lt;&gt;N/A",$G:$G,"&lt;&gt;N/A",$F:$F,"&lt;="&amp;_xlpm.p,$G:$G,"&gt;="&amp;_xlpm.p)))))</f>
        <v>2</v>
      </c>
      <c r="I150" t="s">
        <v>1279</v>
      </c>
      <c r="J150" s="5" t="s">
        <v>1407</v>
      </c>
      <c r="K150" s="5" t="s">
        <v>7</v>
      </c>
      <c r="L150" s="5" t="s">
        <v>7</v>
      </c>
      <c r="M150" s="5" t="s">
        <v>7</v>
      </c>
      <c r="N150" s="5" t="s">
        <v>7</v>
      </c>
      <c r="O150" t="s">
        <v>778</v>
      </c>
      <c r="P150" t="s">
        <v>7834</v>
      </c>
      <c r="R150" s="1" t="b">
        <v>0</v>
      </c>
    </row>
    <row r="151" spans="1:18">
      <c r="A151" t="s">
        <v>3022</v>
      </c>
      <c r="B151" t="s">
        <v>3980</v>
      </c>
      <c r="C151" s="5" t="s">
        <v>7768</v>
      </c>
      <c r="D151" s="1">
        <v>2</v>
      </c>
      <c r="E151" s="1">
        <v>1</v>
      </c>
      <c r="F151" s="1">
        <v>16</v>
      </c>
      <c r="G151" s="1">
        <v>19</v>
      </c>
      <c r="H151" s="13" cm="1">
        <f t="array" ref="H151">_xlfn.LET(_xlpm.s,IFERROR(--F151,""),_xlpm.e,IFERROR(--G151,""),IF(OR(_xlpm.s="",_xlpm.e="",_xlpm.e&lt;_xlpm.s),"",_xlfn.LET(_xlpm.p,_xlfn.SEQUENCE(_xlpm.e-_xlpm.s+1,1,_xlpm.s,1),SUM(1/COUNTIFS($D:$D,D151,$E:$E,E151,$F:$F,"&lt;&gt;N/A",$G:$G,"&lt;&gt;N/A",$F:$F,"&lt;="&amp;_xlpm.p,$G:$G,"&gt;="&amp;_xlpm.p)))))</f>
        <v>3</v>
      </c>
      <c r="I151" t="s">
        <v>1279</v>
      </c>
      <c r="J151" s="5" t="s">
        <v>1408</v>
      </c>
      <c r="K151" s="5" t="s">
        <v>7</v>
      </c>
      <c r="L151" s="5" t="s">
        <v>7</v>
      </c>
      <c r="M151" s="5" t="s">
        <v>7</v>
      </c>
      <c r="N151" s="5" t="s">
        <v>7</v>
      </c>
      <c r="O151" t="s">
        <v>778</v>
      </c>
      <c r="P151" t="s">
        <v>7834</v>
      </c>
      <c r="R151" s="1" t="b">
        <v>0</v>
      </c>
    </row>
    <row r="152" spans="1:18">
      <c r="A152" t="s">
        <v>3022</v>
      </c>
      <c r="B152" t="s">
        <v>3981</v>
      </c>
      <c r="C152" s="5" t="s">
        <v>7768</v>
      </c>
      <c r="D152" s="1">
        <v>2</v>
      </c>
      <c r="E152" s="1">
        <v>1</v>
      </c>
      <c r="F152" s="1">
        <v>19</v>
      </c>
      <c r="G152" s="1">
        <v>20</v>
      </c>
      <c r="H152" s="13" cm="1">
        <f t="array" ref="H152">_xlfn.LET(_xlpm.s,IFERROR(--F152,""),_xlpm.e,IFERROR(--G152,""),IF(OR(_xlpm.s="",_xlpm.e="",_xlpm.e&lt;_xlpm.s),"",_xlfn.LET(_xlpm.p,_xlfn.SEQUENCE(_xlpm.e-_xlpm.s+1,1,_xlpm.s,1),SUM(1/COUNTIFS($D:$D,D152,$E:$E,E152,$F:$F,"&lt;&gt;N/A",$G:$G,"&lt;&gt;N/A",$F:$F,"&lt;="&amp;_xlpm.p,$G:$G,"&gt;="&amp;_xlpm.p)))))</f>
        <v>1</v>
      </c>
      <c r="I152" t="s">
        <v>1279</v>
      </c>
      <c r="J152" s="5" t="s">
        <v>1363</v>
      </c>
      <c r="K152" s="5" t="s">
        <v>7</v>
      </c>
      <c r="L152" s="5" t="s">
        <v>7</v>
      </c>
      <c r="M152" s="5" t="s">
        <v>7</v>
      </c>
      <c r="N152" s="5" t="s">
        <v>7</v>
      </c>
      <c r="O152" t="s">
        <v>778</v>
      </c>
      <c r="P152" t="s">
        <v>7834</v>
      </c>
      <c r="R152" s="1" t="b">
        <v>0</v>
      </c>
    </row>
    <row r="153" spans="1:18">
      <c r="A153" t="s">
        <v>3022</v>
      </c>
      <c r="B153" t="s">
        <v>3982</v>
      </c>
      <c r="C153" s="5" t="s">
        <v>7768</v>
      </c>
      <c r="D153" s="1">
        <v>2</v>
      </c>
      <c r="E153" s="1">
        <v>1</v>
      </c>
      <c r="F153" s="1">
        <v>20</v>
      </c>
      <c r="G153" s="1">
        <v>30</v>
      </c>
      <c r="H153" s="13" cm="1">
        <f t="array" ref="H153">_xlfn.LET(_xlpm.s,IFERROR(--F153,""),_xlpm.e,IFERROR(--G153,""),IF(OR(_xlpm.s="",_xlpm.e="",_xlpm.e&lt;_xlpm.s),"",_xlfn.LET(_xlpm.p,_xlfn.SEQUENCE(_xlpm.e-_xlpm.s+1,1,_xlpm.s,1),SUM(1/COUNTIFS($D:$D,D153,$E:$E,E153,$F:$F,"&lt;&gt;N/A",$G:$G,"&lt;&gt;N/A",$F:$F,"&lt;="&amp;_xlpm.p,$G:$G,"&gt;="&amp;_xlpm.p)))))</f>
        <v>10</v>
      </c>
      <c r="I153" t="s">
        <v>7</v>
      </c>
      <c r="J153" s="5" t="s">
        <v>1364</v>
      </c>
      <c r="K153" s="5" t="s">
        <v>847</v>
      </c>
      <c r="L153" s="5" t="s">
        <v>7</v>
      </c>
      <c r="M153" s="5" t="s">
        <v>7</v>
      </c>
      <c r="N153" s="5" t="s">
        <v>7</v>
      </c>
      <c r="O153" t="s">
        <v>778</v>
      </c>
      <c r="P153" t="s">
        <v>7834</v>
      </c>
      <c r="R153" s="1" t="b">
        <v>1</v>
      </c>
    </row>
    <row r="154" spans="1:18">
      <c r="A154" t="s">
        <v>3022</v>
      </c>
      <c r="B154" t="s">
        <v>3983</v>
      </c>
      <c r="C154" s="5" t="s">
        <v>7768</v>
      </c>
      <c r="D154" s="1">
        <v>2</v>
      </c>
      <c r="E154" s="1">
        <v>1</v>
      </c>
      <c r="F154" s="1">
        <v>30</v>
      </c>
      <c r="G154" s="1">
        <v>33</v>
      </c>
      <c r="H154" s="13" cm="1">
        <f t="array" ref="H154">_xlfn.LET(_xlpm.s,IFERROR(--F154,""),_xlpm.e,IFERROR(--G154,""),IF(OR(_xlpm.s="",_xlpm.e="",_xlpm.e&lt;_xlpm.s),"",_xlfn.LET(_xlpm.p,_xlfn.SEQUENCE(_xlpm.e-_xlpm.s+1,1,_xlpm.s,1),SUM(1/COUNTIFS($D:$D,D154,$E:$E,E154,$F:$F,"&lt;&gt;N/A",$G:$G,"&lt;&gt;N/A",$F:$F,"&lt;="&amp;_xlpm.p,$G:$G,"&gt;="&amp;_xlpm.p)))))</f>
        <v>3</v>
      </c>
      <c r="I154" t="s">
        <v>7</v>
      </c>
      <c r="J154" s="5" t="s">
        <v>4480</v>
      </c>
      <c r="K154" s="5" t="s">
        <v>7</v>
      </c>
      <c r="L154" s="5" t="s">
        <v>7</v>
      </c>
      <c r="M154" s="5" t="s">
        <v>7</v>
      </c>
      <c r="N154" s="5" t="s">
        <v>7</v>
      </c>
      <c r="O154" t="s">
        <v>778</v>
      </c>
      <c r="P154" t="s">
        <v>7834</v>
      </c>
      <c r="R154" s="1" t="b">
        <v>1</v>
      </c>
    </row>
    <row r="155" spans="1:18">
      <c r="A155" t="s">
        <v>3022</v>
      </c>
      <c r="B155" t="s">
        <v>3984</v>
      </c>
      <c r="C155" s="5" t="s">
        <v>7768</v>
      </c>
      <c r="D155" s="1">
        <v>2</v>
      </c>
      <c r="E155" s="1">
        <v>1</v>
      </c>
      <c r="F155" s="1">
        <v>33</v>
      </c>
      <c r="G155" s="1">
        <v>35</v>
      </c>
      <c r="H155" s="13" cm="1">
        <f t="array" ref="H155">_xlfn.LET(_xlpm.s,IFERROR(--F155,""),_xlpm.e,IFERROR(--G155,""),IF(OR(_xlpm.s="",_xlpm.e="",_xlpm.e&lt;_xlpm.s),"",_xlfn.LET(_xlpm.p,_xlfn.SEQUENCE(_xlpm.e-_xlpm.s+1,1,_xlpm.s,1),SUM(1/COUNTIFS($D:$D,D155,$E:$E,E155,$F:$F,"&lt;&gt;N/A",$G:$G,"&lt;&gt;N/A",$F:$F,"&lt;="&amp;_xlpm.p,$G:$G,"&gt;="&amp;_xlpm.p)))))</f>
        <v>2</v>
      </c>
      <c r="I155" t="s">
        <v>208</v>
      </c>
      <c r="J155" s="5" t="s">
        <v>1365</v>
      </c>
      <c r="K155" s="5" t="s">
        <v>7</v>
      </c>
      <c r="L155" s="5" t="s">
        <v>4848</v>
      </c>
      <c r="M155" t="s">
        <v>7470</v>
      </c>
      <c r="N155" s="5" t="s">
        <v>7677</v>
      </c>
      <c r="O155" t="s">
        <v>5072</v>
      </c>
      <c r="P155" t="s">
        <v>8021</v>
      </c>
      <c r="R155" s="1" t="b">
        <v>1</v>
      </c>
    </row>
    <row r="156" spans="1:18">
      <c r="A156" t="s">
        <v>3022</v>
      </c>
      <c r="B156" t="s">
        <v>3985</v>
      </c>
      <c r="C156" s="5" t="s">
        <v>7768</v>
      </c>
      <c r="D156" s="1">
        <v>2</v>
      </c>
      <c r="E156" s="1">
        <v>1</v>
      </c>
      <c r="F156" s="1">
        <v>35</v>
      </c>
      <c r="G156" s="1">
        <v>40</v>
      </c>
      <c r="H156" s="13" cm="1">
        <f t="array" ref="H156">_xlfn.LET(_xlpm.s,IFERROR(--F156,""),_xlpm.e,IFERROR(--G156,""),IF(OR(_xlpm.s="",_xlpm.e="",_xlpm.e&lt;_xlpm.s),"",_xlfn.LET(_xlpm.p,_xlfn.SEQUENCE(_xlpm.e-_xlpm.s+1,1,_xlpm.s,1),SUM(1/COUNTIFS($D:$D,D156,$E:$E,E156,$F:$F,"&lt;&gt;N/A",$G:$G,"&lt;&gt;N/A",$F:$F,"&lt;="&amp;_xlpm.p,$G:$G,"&gt;="&amp;_xlpm.p)))))</f>
        <v>5</v>
      </c>
      <c r="I156" t="s">
        <v>208</v>
      </c>
      <c r="J156" s="5" t="s">
        <v>1366</v>
      </c>
      <c r="K156" s="5" t="s">
        <v>7</v>
      </c>
      <c r="L156" s="5" t="s">
        <v>7</v>
      </c>
      <c r="M156" s="5" t="s">
        <v>7</v>
      </c>
      <c r="N156" s="5" t="s">
        <v>7</v>
      </c>
      <c r="O156" t="s">
        <v>778</v>
      </c>
      <c r="P156" t="s">
        <v>7834</v>
      </c>
      <c r="R156" s="1" t="b">
        <v>1</v>
      </c>
    </row>
    <row r="157" spans="1:18">
      <c r="A157" t="s">
        <v>3022</v>
      </c>
      <c r="B157" t="s">
        <v>3986</v>
      </c>
      <c r="C157" s="5" t="s">
        <v>7768</v>
      </c>
      <c r="D157" s="1">
        <v>2</v>
      </c>
      <c r="E157" s="1">
        <v>1</v>
      </c>
      <c r="F157" s="1">
        <v>40</v>
      </c>
      <c r="G157" s="1">
        <v>40</v>
      </c>
      <c r="H157" s="13" cm="1">
        <f t="array" ref="H157">_xlfn.LET(_xlpm.s,IFERROR(--F157,""),_xlpm.e,IFERROR(--G157,""),IF(OR(_xlpm.s="",_xlpm.e="",_xlpm.e&lt;_xlpm.s),"",_xlfn.LET(_xlpm.p,_xlfn.SEQUENCE(_xlpm.e-_xlpm.s+1,1,_xlpm.s,1),SUM(1/COUNTIFS($D:$D,D157,$E:$E,E157,$F:$F,"&lt;&gt;N/A",$G:$G,"&lt;&gt;N/A",$F:$F,"&lt;="&amp;_xlpm.p,$G:$G,"&gt;="&amp;_xlpm.p)))))</f>
        <v>0.5</v>
      </c>
      <c r="I157" t="s">
        <v>208</v>
      </c>
      <c r="J157" s="5" t="s">
        <v>10786</v>
      </c>
      <c r="K157" s="5" t="s">
        <v>10784</v>
      </c>
      <c r="L157" s="5" t="s">
        <v>10785</v>
      </c>
      <c r="M157" s="5" t="s">
        <v>7</v>
      </c>
      <c r="N157" s="5" t="s">
        <v>7</v>
      </c>
      <c r="O157" t="s">
        <v>11522</v>
      </c>
      <c r="P157" t="s">
        <v>8021</v>
      </c>
      <c r="R157" s="1" t="b">
        <v>1</v>
      </c>
    </row>
    <row r="158" spans="1:18">
      <c r="A158" t="s">
        <v>3022</v>
      </c>
      <c r="B158" t="s">
        <v>3987</v>
      </c>
      <c r="C158" s="5" t="s">
        <v>7776</v>
      </c>
      <c r="D158" s="1">
        <v>2</v>
      </c>
      <c r="E158" s="1">
        <v>2</v>
      </c>
      <c r="F158" s="1">
        <v>41</v>
      </c>
      <c r="G158" s="1">
        <v>43</v>
      </c>
      <c r="H158" s="13" cm="1">
        <f t="array" ref="H158">_xlfn.LET(_xlpm.s,IFERROR(--F158,""),_xlpm.e,IFERROR(--G158,""),IF(OR(_xlpm.s="",_xlpm.e="",_xlpm.e&lt;_xlpm.s),"",_xlfn.LET(_xlpm.p,_xlfn.SEQUENCE(_xlpm.e-_xlpm.s+1,1,_xlpm.s,1),SUM(1/COUNTIFS($D:$D,D158,$E:$E,E158,$F:$F,"&lt;&gt;N/A",$G:$G,"&lt;&gt;N/A",$F:$F,"&lt;="&amp;_xlpm.p,$G:$G,"&gt;="&amp;_xlpm.p)))))</f>
        <v>2.5</v>
      </c>
      <c r="I158" t="s">
        <v>1350</v>
      </c>
      <c r="J158" s="5" t="s">
        <v>1409</v>
      </c>
      <c r="K158" s="5" t="s">
        <v>7</v>
      </c>
      <c r="L158" s="5" t="s">
        <v>7</v>
      </c>
      <c r="M158" s="5" t="s">
        <v>7</v>
      </c>
      <c r="N158" s="5" t="s">
        <v>7</v>
      </c>
      <c r="O158" t="s">
        <v>778</v>
      </c>
      <c r="P158" t="s">
        <v>7834</v>
      </c>
      <c r="R158" s="1" t="b">
        <v>0</v>
      </c>
    </row>
    <row r="159" spans="1:18">
      <c r="A159" t="s">
        <v>3022</v>
      </c>
      <c r="B159" t="s">
        <v>3988</v>
      </c>
      <c r="C159" s="5" t="s">
        <v>7776</v>
      </c>
      <c r="D159" s="1">
        <v>2</v>
      </c>
      <c r="E159" s="1">
        <v>2</v>
      </c>
      <c r="F159" s="1">
        <v>43</v>
      </c>
      <c r="G159" s="1">
        <v>45</v>
      </c>
      <c r="H159" s="13" cm="1">
        <f t="array" ref="H159">_xlfn.LET(_xlpm.s,IFERROR(--F159,""),_xlpm.e,IFERROR(--G159,""),IF(OR(_xlpm.s="",_xlpm.e="",_xlpm.e&lt;_xlpm.s),"",_xlfn.LET(_xlpm.p,_xlfn.SEQUENCE(_xlpm.e-_xlpm.s+1,1,_xlpm.s,1),SUM(1/COUNTIFS($D:$D,D159,$E:$E,E159,$F:$F,"&lt;&gt;N/A",$G:$G,"&lt;&gt;N/A",$F:$F,"&lt;="&amp;_xlpm.p,$G:$G,"&gt;="&amp;_xlpm.p)))))</f>
        <v>2</v>
      </c>
      <c r="I159" t="s">
        <v>1350</v>
      </c>
      <c r="J159" s="5" t="s">
        <v>1367</v>
      </c>
      <c r="K159" s="5" t="s">
        <v>7</v>
      </c>
      <c r="L159" s="5" t="s">
        <v>7</v>
      </c>
      <c r="M159" s="5" t="s">
        <v>7</v>
      </c>
      <c r="N159" s="5" t="s">
        <v>7</v>
      </c>
      <c r="O159" t="s">
        <v>778</v>
      </c>
      <c r="P159" t="s">
        <v>7834</v>
      </c>
      <c r="R159" s="1" t="b">
        <v>0</v>
      </c>
    </row>
    <row r="160" spans="1:18">
      <c r="A160" t="s">
        <v>3022</v>
      </c>
      <c r="B160" t="s">
        <v>3989</v>
      </c>
      <c r="C160" s="5" t="s">
        <v>7776</v>
      </c>
      <c r="D160" s="1">
        <v>2</v>
      </c>
      <c r="E160" s="1">
        <v>2</v>
      </c>
      <c r="F160" s="1">
        <v>45</v>
      </c>
      <c r="G160" s="1">
        <v>46</v>
      </c>
      <c r="H160" s="13" cm="1">
        <f t="array" ref="H160">_xlfn.LET(_xlpm.s,IFERROR(--F160,""),_xlpm.e,IFERROR(--G160,""),IF(OR(_xlpm.s="",_xlpm.e="",_xlpm.e&lt;_xlpm.s),"",_xlfn.LET(_xlpm.p,_xlfn.SEQUENCE(_xlpm.e-_xlpm.s+1,1,_xlpm.s,1),SUM(1/COUNTIFS($D:$D,D160,$E:$E,E160,$F:$F,"&lt;&gt;N/A",$G:$G,"&lt;&gt;N/A",$F:$F,"&lt;="&amp;_xlpm.p,$G:$G,"&gt;="&amp;_xlpm.p)))))</f>
        <v>1.5</v>
      </c>
      <c r="I160" t="s">
        <v>1350</v>
      </c>
      <c r="J160" s="5" t="s">
        <v>1368</v>
      </c>
      <c r="K160" s="5" t="s">
        <v>7</v>
      </c>
      <c r="L160" s="5" t="s">
        <v>7</v>
      </c>
      <c r="M160" s="5" t="s">
        <v>7</v>
      </c>
      <c r="N160" s="5" t="s">
        <v>7</v>
      </c>
      <c r="O160" t="s">
        <v>778</v>
      </c>
      <c r="P160" t="s">
        <v>7834</v>
      </c>
      <c r="R160" s="1" t="b">
        <v>0</v>
      </c>
    </row>
    <row r="161" spans="1:18">
      <c r="A161" t="s">
        <v>3022</v>
      </c>
      <c r="B161" t="s">
        <v>3990</v>
      </c>
      <c r="C161" s="5" t="s">
        <v>7776</v>
      </c>
      <c r="D161" s="1">
        <v>2</v>
      </c>
      <c r="E161" s="1">
        <v>2</v>
      </c>
      <c r="F161" s="1">
        <v>47</v>
      </c>
      <c r="G161" s="1">
        <v>49</v>
      </c>
      <c r="H161" s="13" cm="1">
        <f t="array" ref="H161">_xlfn.LET(_xlpm.s,IFERROR(--F161,""),_xlpm.e,IFERROR(--G161,""),IF(OR(_xlpm.s="",_xlpm.e="",_xlpm.e&lt;_xlpm.s),"",_xlfn.LET(_xlpm.p,_xlfn.SEQUENCE(_xlpm.e-_xlpm.s+1,1,_xlpm.s,1),SUM(1/COUNTIFS($D:$D,D161,$E:$E,E161,$F:$F,"&lt;&gt;N/A",$G:$G,"&lt;&gt;N/A",$F:$F,"&lt;="&amp;_xlpm.p,$G:$G,"&gt;="&amp;_xlpm.p)))))</f>
        <v>2.5</v>
      </c>
      <c r="I161" t="s">
        <v>1350</v>
      </c>
      <c r="J161" s="5" t="s">
        <v>1410</v>
      </c>
      <c r="K161" s="5" t="s">
        <v>7</v>
      </c>
      <c r="L161" s="5" t="s">
        <v>7</v>
      </c>
      <c r="M161" s="5" t="s">
        <v>7</v>
      </c>
      <c r="N161" s="5" t="s">
        <v>7</v>
      </c>
      <c r="O161" t="s">
        <v>778</v>
      </c>
      <c r="P161" t="s">
        <v>7834</v>
      </c>
      <c r="R161" s="1" t="b">
        <v>0</v>
      </c>
    </row>
    <row r="162" spans="1:18">
      <c r="A162" t="s">
        <v>3022</v>
      </c>
      <c r="B162" t="s">
        <v>3991</v>
      </c>
      <c r="C162" s="5" t="s">
        <v>7776</v>
      </c>
      <c r="D162" s="1">
        <v>2</v>
      </c>
      <c r="E162" s="1">
        <v>2</v>
      </c>
      <c r="F162" s="1">
        <v>49</v>
      </c>
      <c r="G162" s="1">
        <v>51</v>
      </c>
      <c r="H162" s="13" cm="1">
        <f t="array" ref="H162">_xlfn.LET(_xlpm.s,IFERROR(--F162,""),_xlpm.e,IFERROR(--G162,""),IF(OR(_xlpm.s="",_xlpm.e="",_xlpm.e&lt;_xlpm.s),"",_xlfn.LET(_xlpm.p,_xlfn.SEQUENCE(_xlpm.e-_xlpm.s+1,1,_xlpm.s,1),SUM(1/COUNTIFS($D:$D,D162,$E:$E,E162,$F:$F,"&lt;&gt;N/A",$G:$G,"&lt;&gt;N/A",$F:$F,"&lt;="&amp;_xlpm.p,$G:$G,"&gt;="&amp;_xlpm.p)))))</f>
        <v>2</v>
      </c>
      <c r="I162" t="s">
        <v>713</v>
      </c>
      <c r="J162" s="5" t="s">
        <v>1369</v>
      </c>
      <c r="K162" s="5" t="s">
        <v>1324</v>
      </c>
      <c r="L162" s="5" t="s">
        <v>7</v>
      </c>
      <c r="M162" s="5" t="s">
        <v>7</v>
      </c>
      <c r="N162" s="5" t="s">
        <v>7</v>
      </c>
      <c r="O162" t="s">
        <v>778</v>
      </c>
      <c r="P162" t="s">
        <v>7834</v>
      </c>
      <c r="R162" s="1" t="b">
        <v>1</v>
      </c>
    </row>
    <row r="163" spans="1:18">
      <c r="A163" t="s">
        <v>3022</v>
      </c>
      <c r="B163" t="s">
        <v>3992</v>
      </c>
      <c r="C163" s="5" t="s">
        <v>7776</v>
      </c>
      <c r="D163" s="1">
        <v>2</v>
      </c>
      <c r="E163" s="1">
        <v>2</v>
      </c>
      <c r="F163" s="1">
        <v>51</v>
      </c>
      <c r="G163" s="1">
        <v>55</v>
      </c>
      <c r="H163" s="13" cm="1">
        <f t="array" ref="H163">_xlfn.LET(_xlpm.s,IFERROR(--F163,""),_xlpm.e,IFERROR(--G163,""),IF(OR(_xlpm.s="",_xlpm.e="",_xlpm.e&lt;_xlpm.s),"",_xlfn.LET(_xlpm.p,_xlfn.SEQUENCE(_xlpm.e-_xlpm.s+1,1,_xlpm.s,1),SUM(1/COUNTIFS($D:$D,D163,$E:$E,E163,$F:$F,"&lt;&gt;N/A",$G:$G,"&lt;&gt;N/A",$F:$F,"&lt;="&amp;_xlpm.p,$G:$G,"&gt;="&amp;_xlpm.p)))))</f>
        <v>4</v>
      </c>
      <c r="I163" t="s">
        <v>713</v>
      </c>
      <c r="J163" s="5" t="s">
        <v>1370</v>
      </c>
      <c r="K163" s="5" t="s">
        <v>7</v>
      </c>
      <c r="L163" s="5" t="s">
        <v>4849</v>
      </c>
      <c r="M163" t="s">
        <v>7343</v>
      </c>
      <c r="N163" s="5" t="s">
        <v>7696</v>
      </c>
      <c r="O163" t="s">
        <v>5072</v>
      </c>
      <c r="P163" t="s">
        <v>8021</v>
      </c>
      <c r="R163" s="1" t="b">
        <v>1</v>
      </c>
    </row>
    <row r="164" spans="1:18">
      <c r="A164" t="s">
        <v>3022</v>
      </c>
      <c r="B164" t="s">
        <v>3993</v>
      </c>
      <c r="C164" s="5" t="s">
        <v>7776</v>
      </c>
      <c r="D164" s="1">
        <v>2</v>
      </c>
      <c r="E164" s="1">
        <v>2</v>
      </c>
      <c r="F164" s="1">
        <v>55</v>
      </c>
      <c r="G164" s="1">
        <v>66</v>
      </c>
      <c r="H164" s="13" cm="1">
        <f t="array" ref="H164">_xlfn.LET(_xlpm.s,IFERROR(--F164,""),_xlpm.e,IFERROR(--G164,""),IF(OR(_xlpm.s="",_xlpm.e="",_xlpm.e&lt;_xlpm.s),"",_xlfn.LET(_xlpm.p,_xlfn.SEQUENCE(_xlpm.e-_xlpm.s+1,1,_xlpm.s,1),SUM(1/COUNTIFS($D:$D,D164,$E:$E,E164,$F:$F,"&lt;&gt;N/A",$G:$G,"&lt;&gt;N/A",$F:$F,"&lt;="&amp;_xlpm.p,$G:$G,"&gt;="&amp;_xlpm.p)))))</f>
        <v>11</v>
      </c>
      <c r="I164" t="s">
        <v>713</v>
      </c>
      <c r="J164" s="5" t="s">
        <v>1371</v>
      </c>
      <c r="K164" s="5" t="s">
        <v>4850</v>
      </c>
      <c r="L164" s="5" t="s">
        <v>7654</v>
      </c>
      <c r="M164" t="s">
        <v>7479</v>
      </c>
      <c r="N164" s="5" t="s">
        <v>10428</v>
      </c>
      <c r="O164" t="s">
        <v>5072</v>
      </c>
      <c r="P164" t="s">
        <v>8092</v>
      </c>
      <c r="R164" s="1" t="b">
        <v>1</v>
      </c>
    </row>
    <row r="165" spans="1:18">
      <c r="A165" t="s">
        <v>3022</v>
      </c>
      <c r="B165" t="s">
        <v>3994</v>
      </c>
      <c r="C165" s="5" t="s">
        <v>7776</v>
      </c>
      <c r="D165" s="1">
        <v>2</v>
      </c>
      <c r="E165" s="1">
        <v>2</v>
      </c>
      <c r="F165" s="1">
        <v>66</v>
      </c>
      <c r="G165" s="1">
        <v>70</v>
      </c>
      <c r="H165" s="13" cm="1">
        <f t="array" ref="H165">_xlfn.LET(_xlpm.s,IFERROR(--F165,""),_xlpm.e,IFERROR(--G165,""),IF(OR(_xlpm.s="",_xlpm.e="",_xlpm.e&lt;_xlpm.s),"",_xlfn.LET(_xlpm.p,_xlfn.SEQUENCE(_xlpm.e-_xlpm.s+1,1,_xlpm.s,1),SUM(1/COUNTIFS($D:$D,D165,$E:$E,E165,$F:$F,"&lt;&gt;N/A",$G:$G,"&lt;&gt;N/A",$F:$F,"&lt;="&amp;_xlpm.p,$G:$G,"&gt;="&amp;_xlpm.p)))))</f>
        <v>4</v>
      </c>
      <c r="I165" t="s">
        <v>208</v>
      </c>
      <c r="J165" s="5" t="s">
        <v>1372</v>
      </c>
      <c r="K165" s="5" t="s">
        <v>7</v>
      </c>
      <c r="L165" s="5" t="s">
        <v>7</v>
      </c>
      <c r="M165" s="5" t="s">
        <v>7</v>
      </c>
      <c r="N165" s="5" t="s">
        <v>7</v>
      </c>
      <c r="O165" t="s">
        <v>778</v>
      </c>
      <c r="P165" t="s">
        <v>7834</v>
      </c>
      <c r="R165" s="1" t="b">
        <v>1</v>
      </c>
    </row>
    <row r="166" spans="1:18">
      <c r="A166" t="s">
        <v>3022</v>
      </c>
      <c r="B166" t="s">
        <v>3995</v>
      </c>
      <c r="C166" s="5" t="s">
        <v>7776</v>
      </c>
      <c r="D166" s="1">
        <v>2</v>
      </c>
      <c r="E166" s="1">
        <v>2</v>
      </c>
      <c r="F166" s="1">
        <v>70</v>
      </c>
      <c r="G166" s="1">
        <v>71</v>
      </c>
      <c r="H166" s="13" cm="1">
        <f t="array" ref="H166">_xlfn.LET(_xlpm.s,IFERROR(--F166,""),_xlpm.e,IFERROR(--G166,""),IF(OR(_xlpm.s="",_xlpm.e="",_xlpm.e&lt;_xlpm.s),"",_xlfn.LET(_xlpm.p,_xlfn.SEQUENCE(_xlpm.e-_xlpm.s+1,1,_xlpm.s,1),SUM(1/COUNTIFS($D:$D,D166,$E:$E,E166,$F:$F,"&lt;&gt;N/A",$G:$G,"&lt;&gt;N/A",$F:$F,"&lt;="&amp;_xlpm.p,$G:$G,"&gt;="&amp;_xlpm.p)))))</f>
        <v>1</v>
      </c>
      <c r="I166" t="s">
        <v>208</v>
      </c>
      <c r="J166" s="5" t="s">
        <v>5075</v>
      </c>
      <c r="K166" s="5" t="s">
        <v>7</v>
      </c>
      <c r="L166" s="5" t="s">
        <v>4851</v>
      </c>
      <c r="M166" s="5" t="s">
        <v>7410</v>
      </c>
      <c r="N166" s="5" t="s">
        <v>7480</v>
      </c>
      <c r="O166" t="s">
        <v>11522</v>
      </c>
      <c r="P166" t="s">
        <v>8021</v>
      </c>
      <c r="R166" s="1" t="b">
        <v>1</v>
      </c>
    </row>
    <row r="167" spans="1:18">
      <c r="A167" t="s">
        <v>3022</v>
      </c>
      <c r="B167" t="s">
        <v>3996</v>
      </c>
      <c r="C167" s="5" t="s">
        <v>7776</v>
      </c>
      <c r="D167" s="1">
        <v>2</v>
      </c>
      <c r="E167" s="1">
        <v>2</v>
      </c>
      <c r="F167" s="1">
        <v>71</v>
      </c>
      <c r="G167" s="1">
        <v>78</v>
      </c>
      <c r="H167" s="13" cm="1">
        <f t="array" ref="H167">_xlfn.LET(_xlpm.s,IFERROR(--F167,""),_xlpm.e,IFERROR(--G167,""),IF(OR(_xlpm.s="",_xlpm.e="",_xlpm.e&lt;_xlpm.s),"",_xlfn.LET(_xlpm.p,_xlfn.SEQUENCE(_xlpm.e-_xlpm.s+1,1,_xlpm.s,1),SUM(1/COUNTIFS($D:$D,D167,$E:$E,E167,$F:$F,"&lt;&gt;N/A",$G:$G,"&lt;&gt;N/A",$F:$F,"&lt;="&amp;_xlpm.p,$G:$G,"&gt;="&amp;_xlpm.p)))))</f>
        <v>7.5</v>
      </c>
      <c r="I167" t="s">
        <v>208</v>
      </c>
      <c r="J167" s="5" t="s">
        <v>1373</v>
      </c>
      <c r="K167" s="5" t="s">
        <v>7</v>
      </c>
      <c r="L167" s="5" t="s">
        <v>7</v>
      </c>
      <c r="M167" s="5" t="s">
        <v>7</v>
      </c>
      <c r="N167" s="5" t="s">
        <v>1378</v>
      </c>
      <c r="O167" t="s">
        <v>5072</v>
      </c>
      <c r="P167" t="s">
        <v>8021</v>
      </c>
      <c r="R167" s="1" t="b">
        <v>1</v>
      </c>
    </row>
    <row r="168" spans="1:18">
      <c r="A168" t="s">
        <v>3022</v>
      </c>
      <c r="B168" t="s">
        <v>3997</v>
      </c>
      <c r="C168" s="5" t="s">
        <v>7776</v>
      </c>
      <c r="D168" s="1">
        <v>2</v>
      </c>
      <c r="E168" s="1">
        <v>2</v>
      </c>
      <c r="F168" s="1">
        <v>79</v>
      </c>
      <c r="G168" s="1">
        <v>79</v>
      </c>
      <c r="H168" s="13" cm="1">
        <f t="array" ref="H168">_xlfn.LET(_xlpm.s,IFERROR(--F168,""),_xlpm.e,IFERROR(--G168,""),IF(OR(_xlpm.s="",_xlpm.e="",_xlpm.e&lt;_xlpm.s),"",_xlfn.LET(_xlpm.p,_xlfn.SEQUENCE(_xlpm.e-_xlpm.s+1,1,_xlpm.s,1),SUM(1/COUNTIFS($D:$D,D168,$E:$E,E168,$F:$F,"&lt;&gt;N/A",$G:$G,"&lt;&gt;N/A",$F:$F,"&lt;="&amp;_xlpm.p,$G:$G,"&gt;="&amp;_xlpm.p)))))</f>
        <v>1</v>
      </c>
      <c r="I168" t="s">
        <v>208</v>
      </c>
      <c r="J168" s="5" t="s">
        <v>1374</v>
      </c>
      <c r="K168" s="5" t="s">
        <v>1324</v>
      </c>
      <c r="L168" s="5" t="s">
        <v>7</v>
      </c>
      <c r="M168" s="5" t="s">
        <v>7</v>
      </c>
      <c r="N168" s="5" t="s">
        <v>7</v>
      </c>
      <c r="O168" t="s">
        <v>778</v>
      </c>
      <c r="P168" t="s">
        <v>7834</v>
      </c>
      <c r="R168" s="1" t="b">
        <v>1</v>
      </c>
    </row>
    <row r="169" spans="1:18">
      <c r="A169" t="s">
        <v>3022</v>
      </c>
      <c r="B169" t="s">
        <v>3998</v>
      </c>
      <c r="C169" s="5" t="s">
        <v>7776</v>
      </c>
      <c r="D169" s="1">
        <v>2</v>
      </c>
      <c r="E169" s="1">
        <v>2</v>
      </c>
      <c r="F169" s="1">
        <v>80</v>
      </c>
      <c r="G169" s="1">
        <v>81</v>
      </c>
      <c r="H169" s="13" cm="1">
        <f t="array" ref="H169">_xlfn.LET(_xlpm.s,IFERROR(--F169,""),_xlpm.e,IFERROR(--G169,""),IF(OR(_xlpm.s="",_xlpm.e="",_xlpm.e&lt;_xlpm.s),"",_xlfn.LET(_xlpm.p,_xlfn.SEQUENCE(_xlpm.e-_xlpm.s+1,1,_xlpm.s,1),SUM(1/COUNTIFS($D:$D,D169,$E:$E,E169,$F:$F,"&lt;&gt;N/A",$G:$G,"&lt;&gt;N/A",$F:$F,"&lt;="&amp;_xlpm.p,$G:$G,"&gt;="&amp;_xlpm.p)))))</f>
        <v>2</v>
      </c>
      <c r="I169" t="s">
        <v>208</v>
      </c>
      <c r="J169" s="5" t="s">
        <v>1375</v>
      </c>
      <c r="K169" s="5" t="s">
        <v>7</v>
      </c>
      <c r="L169" s="5" t="s">
        <v>7</v>
      </c>
      <c r="M169" s="5" t="s">
        <v>7</v>
      </c>
      <c r="N169" s="5" t="s">
        <v>7</v>
      </c>
      <c r="O169" t="s">
        <v>778</v>
      </c>
      <c r="P169" t="s">
        <v>7834</v>
      </c>
      <c r="R169" s="1" t="b">
        <v>1</v>
      </c>
    </row>
    <row r="170" spans="1:18">
      <c r="A170" t="s">
        <v>3022</v>
      </c>
      <c r="B170" t="s">
        <v>10923</v>
      </c>
      <c r="C170" s="5" t="s">
        <v>7784</v>
      </c>
      <c r="D170" s="1">
        <v>2</v>
      </c>
      <c r="E170" s="1">
        <v>3</v>
      </c>
      <c r="F170" s="1">
        <v>81</v>
      </c>
      <c r="G170" s="1">
        <v>82</v>
      </c>
      <c r="H170" s="13" cm="1">
        <f t="array" ref="H170">_xlfn.LET(_xlpm.s,IFERROR(--F170,""),_xlpm.e,IFERROR(--G170,""),IF(OR(_xlpm.s="",_xlpm.e="",_xlpm.e&lt;_xlpm.s),"",_xlfn.LET(_xlpm.p,_xlfn.SEQUENCE(_xlpm.e-_xlpm.s+1,1,_xlpm.s,1),SUM(1/COUNTIFS($D:$D,D170,$E:$E,E170,$F:$F,"&lt;&gt;N/A",$G:$G,"&lt;&gt;N/A",$F:$F,"&lt;="&amp;_xlpm.p,$G:$G,"&gt;="&amp;_xlpm.p)))))</f>
        <v>1.3333333333333333</v>
      </c>
      <c r="I170" t="s">
        <v>1350</v>
      </c>
      <c r="J170" s="5" t="s">
        <v>1411</v>
      </c>
      <c r="K170" s="5" t="s">
        <v>7</v>
      </c>
      <c r="L170" s="5" t="s">
        <v>7</v>
      </c>
      <c r="M170" s="5" t="s">
        <v>7</v>
      </c>
      <c r="N170" s="5" t="s">
        <v>7</v>
      </c>
      <c r="O170" t="s">
        <v>778</v>
      </c>
      <c r="P170" t="s">
        <v>7834</v>
      </c>
      <c r="R170" s="1" t="b">
        <v>0</v>
      </c>
    </row>
    <row r="171" spans="1:18">
      <c r="A171" t="s">
        <v>3022</v>
      </c>
      <c r="B171" t="s">
        <v>10924</v>
      </c>
      <c r="C171" s="5" t="s">
        <v>7784</v>
      </c>
      <c r="D171" s="1">
        <v>2</v>
      </c>
      <c r="E171" s="1">
        <v>3</v>
      </c>
      <c r="F171" s="1">
        <v>82</v>
      </c>
      <c r="G171" s="1">
        <v>82</v>
      </c>
      <c r="H171" s="13" cm="1">
        <f t="array" ref="H171">_xlfn.LET(_xlpm.s,IFERROR(--F171,""),_xlpm.e,IFERROR(--G171,""),IF(OR(_xlpm.s="",_xlpm.e="",_xlpm.e&lt;_xlpm.s),"",_xlfn.LET(_xlpm.p,_xlfn.SEQUENCE(_xlpm.e-_xlpm.s+1,1,_xlpm.s,1),SUM(1/COUNTIFS($D:$D,D171,$E:$E,E171,$F:$F,"&lt;&gt;N/A",$G:$G,"&lt;&gt;N/A",$F:$F,"&lt;="&amp;_xlpm.p,$G:$G,"&gt;="&amp;_xlpm.p)))))</f>
        <v>0.33333333333333331</v>
      </c>
      <c r="I171" t="s">
        <v>1350</v>
      </c>
      <c r="J171" s="5" t="s">
        <v>1412</v>
      </c>
      <c r="K171" s="5" t="s">
        <v>7</v>
      </c>
      <c r="L171" s="5" t="s">
        <v>7</v>
      </c>
      <c r="M171" s="5" t="s">
        <v>7</v>
      </c>
      <c r="N171" s="5" t="s">
        <v>7</v>
      </c>
      <c r="O171" t="s">
        <v>778</v>
      </c>
      <c r="P171" t="s">
        <v>7834</v>
      </c>
      <c r="R171" s="1" t="b">
        <v>0</v>
      </c>
    </row>
    <row r="172" spans="1:18">
      <c r="A172" t="s">
        <v>3022</v>
      </c>
      <c r="B172" t="s">
        <v>10925</v>
      </c>
      <c r="C172" s="5" t="s">
        <v>7784</v>
      </c>
      <c r="D172" s="1">
        <v>2</v>
      </c>
      <c r="E172" s="1">
        <v>3</v>
      </c>
      <c r="F172" s="1">
        <v>82</v>
      </c>
      <c r="G172" s="1">
        <v>83</v>
      </c>
      <c r="H172" s="13" cm="1">
        <f t="array" ref="H172">_xlfn.LET(_xlpm.s,IFERROR(--F172,""),_xlpm.e,IFERROR(--G172,""),IF(OR(_xlpm.s="",_xlpm.e="",_xlpm.e&lt;_xlpm.s),"",_xlfn.LET(_xlpm.p,_xlfn.SEQUENCE(_xlpm.e-_xlpm.s+1,1,_xlpm.s,1),SUM(1/COUNTIFS($D:$D,D172,$E:$E,E172,$F:$F,"&lt;&gt;N/A",$G:$G,"&lt;&gt;N/A",$F:$F,"&lt;="&amp;_xlpm.p,$G:$G,"&gt;="&amp;_xlpm.p)))))</f>
        <v>0.83333333333333326</v>
      </c>
      <c r="I172" t="s">
        <v>1350</v>
      </c>
      <c r="J172" s="5" t="s">
        <v>1413</v>
      </c>
      <c r="K172" s="5" t="s">
        <v>7</v>
      </c>
      <c r="L172" s="5" t="s">
        <v>7</v>
      </c>
      <c r="M172" s="5" t="s">
        <v>7</v>
      </c>
      <c r="N172" s="5" t="s">
        <v>7</v>
      </c>
      <c r="O172" t="s">
        <v>778</v>
      </c>
      <c r="P172" t="s">
        <v>7834</v>
      </c>
      <c r="R172" s="1" t="b">
        <v>0</v>
      </c>
    </row>
    <row r="173" spans="1:18">
      <c r="A173" t="s">
        <v>3022</v>
      </c>
      <c r="B173" t="s">
        <v>10926</v>
      </c>
      <c r="C173" s="5" t="s">
        <v>7784</v>
      </c>
      <c r="D173" s="1">
        <v>2</v>
      </c>
      <c r="E173" s="1">
        <v>3</v>
      </c>
      <c r="F173" s="1">
        <v>83</v>
      </c>
      <c r="G173" s="1">
        <v>84</v>
      </c>
      <c r="H173" s="13" cm="1">
        <f t="array" ref="H173">_xlfn.LET(_xlpm.s,IFERROR(--F173,""),_xlpm.e,IFERROR(--G173,""),IF(OR(_xlpm.s="",_xlpm.e="",_xlpm.e&lt;_xlpm.s),"",_xlfn.LET(_xlpm.p,_xlfn.SEQUENCE(_xlpm.e-_xlpm.s+1,1,_xlpm.s,1),SUM(1/COUNTIFS($D:$D,D173,$E:$E,E173,$F:$F,"&lt;&gt;N/A",$G:$G,"&lt;&gt;N/A",$F:$F,"&lt;="&amp;_xlpm.p,$G:$G,"&gt;="&amp;_xlpm.p)))))</f>
        <v>1</v>
      </c>
      <c r="I173" t="s">
        <v>1350</v>
      </c>
      <c r="J173" s="5" t="s">
        <v>1414</v>
      </c>
      <c r="K173" s="5" t="s">
        <v>7</v>
      </c>
      <c r="L173" s="5" t="s">
        <v>7</v>
      </c>
      <c r="M173" s="5" t="s">
        <v>7</v>
      </c>
      <c r="N173" s="5" t="s">
        <v>7</v>
      </c>
      <c r="O173" t="s">
        <v>778</v>
      </c>
      <c r="P173" t="s">
        <v>7834</v>
      </c>
      <c r="R173" s="1" t="b">
        <v>0</v>
      </c>
    </row>
    <row r="174" spans="1:18">
      <c r="A174" t="s">
        <v>3022</v>
      </c>
      <c r="B174" t="s">
        <v>10927</v>
      </c>
      <c r="C174" s="5" t="s">
        <v>7784</v>
      </c>
      <c r="D174" s="1">
        <v>2</v>
      </c>
      <c r="E174" s="1">
        <v>3</v>
      </c>
      <c r="F174" s="1">
        <v>84</v>
      </c>
      <c r="G174" s="1">
        <v>86</v>
      </c>
      <c r="H174" s="13" cm="1">
        <f t="array" ref="H174">_xlfn.LET(_xlpm.s,IFERROR(--F174,""),_xlpm.e,IFERROR(--G174,""),IF(OR(_xlpm.s="",_xlpm.e="",_xlpm.e&lt;_xlpm.s),"",_xlfn.LET(_xlpm.p,_xlfn.SEQUENCE(_xlpm.e-_xlpm.s+1,1,_xlpm.s,1),SUM(1/COUNTIFS($D:$D,D174,$E:$E,E174,$F:$F,"&lt;&gt;N/A",$G:$G,"&lt;&gt;N/A",$F:$F,"&lt;="&amp;_xlpm.p,$G:$G,"&gt;="&amp;_xlpm.p)))))</f>
        <v>2</v>
      </c>
      <c r="I174" t="s">
        <v>1350</v>
      </c>
      <c r="J174" s="5" t="s">
        <v>1415</v>
      </c>
      <c r="K174" s="5" t="s">
        <v>7</v>
      </c>
      <c r="L174" s="5" t="s">
        <v>7</v>
      </c>
      <c r="M174" s="5" t="s">
        <v>7</v>
      </c>
      <c r="N174" s="5" t="s">
        <v>7</v>
      </c>
      <c r="O174" t="s">
        <v>778</v>
      </c>
      <c r="P174" t="s">
        <v>7834</v>
      </c>
      <c r="R174" s="1" t="b">
        <v>0</v>
      </c>
    </row>
    <row r="175" spans="1:18">
      <c r="A175" t="s">
        <v>3022</v>
      </c>
      <c r="B175" t="s">
        <v>10928</v>
      </c>
      <c r="C175" s="5" t="s">
        <v>7784</v>
      </c>
      <c r="D175" s="1">
        <v>2</v>
      </c>
      <c r="E175" s="1">
        <v>3</v>
      </c>
      <c r="F175" s="1">
        <v>86</v>
      </c>
      <c r="G175" s="1">
        <v>87</v>
      </c>
      <c r="H175" s="13" cm="1">
        <f t="array" ref="H175">_xlfn.LET(_xlpm.s,IFERROR(--F175,""),_xlpm.e,IFERROR(--G175,""),IF(OR(_xlpm.s="",_xlpm.e="",_xlpm.e&lt;_xlpm.s),"",_xlfn.LET(_xlpm.p,_xlfn.SEQUENCE(_xlpm.e-_xlpm.s+1,1,_xlpm.s,1),SUM(1/COUNTIFS($D:$D,D175,$E:$E,E175,$F:$F,"&lt;&gt;N/A",$G:$G,"&lt;&gt;N/A",$F:$F,"&lt;="&amp;_xlpm.p,$G:$G,"&gt;="&amp;_xlpm.p)))))</f>
        <v>1</v>
      </c>
      <c r="I175" t="s">
        <v>1350</v>
      </c>
      <c r="J175" s="5" t="s">
        <v>1416</v>
      </c>
      <c r="K175" s="5" t="s">
        <v>7</v>
      </c>
      <c r="L175" s="5" t="s">
        <v>7</v>
      </c>
      <c r="M175" s="5" t="s">
        <v>7</v>
      </c>
      <c r="N175" s="5" t="s">
        <v>7</v>
      </c>
      <c r="O175" t="s">
        <v>778</v>
      </c>
      <c r="P175" t="s">
        <v>7834</v>
      </c>
      <c r="R175" s="1" t="b">
        <v>0</v>
      </c>
    </row>
    <row r="176" spans="1:18">
      <c r="A176" t="s">
        <v>3022</v>
      </c>
      <c r="B176" t="s">
        <v>10929</v>
      </c>
      <c r="C176" s="5" t="s">
        <v>7784</v>
      </c>
      <c r="D176" s="1">
        <v>2</v>
      </c>
      <c r="E176" s="1">
        <v>3</v>
      </c>
      <c r="F176" s="1">
        <v>87</v>
      </c>
      <c r="G176" s="1">
        <v>88</v>
      </c>
      <c r="H176" s="13" cm="1">
        <f t="array" ref="H176">_xlfn.LET(_xlpm.s,IFERROR(--F176,""),_xlpm.e,IFERROR(--G176,""),IF(OR(_xlpm.s="",_xlpm.e="",_xlpm.e&lt;_xlpm.s),"",_xlfn.LET(_xlpm.p,_xlfn.SEQUENCE(_xlpm.e-_xlpm.s+1,1,_xlpm.s,1),SUM(1/COUNTIFS($D:$D,D176,$E:$E,E176,$F:$F,"&lt;&gt;N/A",$G:$G,"&lt;&gt;N/A",$F:$F,"&lt;="&amp;_xlpm.p,$G:$G,"&gt;="&amp;_xlpm.p)))))</f>
        <v>1</v>
      </c>
      <c r="I176" t="s">
        <v>1350</v>
      </c>
      <c r="J176" s="5" t="s">
        <v>1417</v>
      </c>
      <c r="K176" s="5" t="s">
        <v>7</v>
      </c>
      <c r="L176" s="5" t="s">
        <v>7</v>
      </c>
      <c r="M176" s="5" t="s">
        <v>7</v>
      </c>
      <c r="N176" s="5" t="s">
        <v>7</v>
      </c>
      <c r="O176" t="s">
        <v>778</v>
      </c>
      <c r="P176" t="s">
        <v>7834</v>
      </c>
      <c r="R176" s="1" t="b">
        <v>0</v>
      </c>
    </row>
    <row r="177" spans="1:18">
      <c r="A177" t="s">
        <v>3022</v>
      </c>
      <c r="B177" t="s">
        <v>10930</v>
      </c>
      <c r="C177" s="5" t="s">
        <v>7784</v>
      </c>
      <c r="D177" s="1">
        <v>2</v>
      </c>
      <c r="E177" s="1">
        <v>3</v>
      </c>
      <c r="F177" s="1">
        <v>88</v>
      </c>
      <c r="G177" s="1">
        <v>102</v>
      </c>
      <c r="H177" s="13" cm="1">
        <f t="array" ref="H177">_xlfn.LET(_xlpm.s,IFERROR(--F177,""),_xlpm.e,IFERROR(--G177,""),IF(OR(_xlpm.s="",_xlpm.e="",_xlpm.e&lt;_xlpm.s),"",_xlfn.LET(_xlpm.p,_xlfn.SEQUENCE(_xlpm.e-_xlpm.s+1,1,_xlpm.s,1),SUM(1/COUNTIFS($D:$D,D177,$E:$E,E177,$F:$F,"&lt;&gt;N/A",$G:$G,"&lt;&gt;N/A",$F:$F,"&lt;="&amp;_xlpm.p,$G:$G,"&gt;="&amp;_xlpm.p)))))</f>
        <v>14</v>
      </c>
      <c r="I177" t="s">
        <v>7</v>
      </c>
      <c r="J177" s="5" t="s">
        <v>5076</v>
      </c>
      <c r="K177" s="5" t="s">
        <v>7</v>
      </c>
      <c r="L177" s="5" t="s">
        <v>7</v>
      </c>
      <c r="M177" s="5" t="s">
        <v>7</v>
      </c>
      <c r="N177" s="5" t="s">
        <v>7</v>
      </c>
      <c r="O177" t="s">
        <v>778</v>
      </c>
      <c r="P177" t="s">
        <v>7834</v>
      </c>
      <c r="R177" s="1" t="b">
        <v>1</v>
      </c>
    </row>
    <row r="178" spans="1:18">
      <c r="A178" t="s">
        <v>3022</v>
      </c>
      <c r="B178" t="s">
        <v>10931</v>
      </c>
      <c r="C178" s="5" t="s">
        <v>7784</v>
      </c>
      <c r="D178" s="1">
        <v>2</v>
      </c>
      <c r="E178" s="1">
        <v>3</v>
      </c>
      <c r="F178" s="1">
        <v>102</v>
      </c>
      <c r="G178" s="1">
        <v>108</v>
      </c>
      <c r="H178" s="13" cm="1">
        <f t="array" ref="H178">_xlfn.LET(_xlpm.s,IFERROR(--F178,""),_xlpm.e,IFERROR(--G178,""),IF(OR(_xlpm.s="",_xlpm.e="",_xlpm.e&lt;_xlpm.s),"",_xlfn.LET(_xlpm.p,_xlfn.SEQUENCE(_xlpm.e-_xlpm.s+1,1,_xlpm.s,1),SUM(1/COUNTIFS($D:$D,D178,$E:$E,E178,$F:$F,"&lt;&gt;N/A",$G:$G,"&lt;&gt;N/A",$F:$F,"&lt;="&amp;_xlpm.p,$G:$G,"&gt;="&amp;_xlpm.p)))))</f>
        <v>6</v>
      </c>
      <c r="I178" t="s">
        <v>7</v>
      </c>
      <c r="J178" s="5" t="s">
        <v>1376</v>
      </c>
      <c r="K178" s="5" t="s">
        <v>7</v>
      </c>
      <c r="L178" s="5" t="s">
        <v>7</v>
      </c>
      <c r="M178" t="s">
        <v>7178</v>
      </c>
      <c r="N178" s="5" t="s">
        <v>7500</v>
      </c>
      <c r="O178" t="s">
        <v>5072</v>
      </c>
      <c r="P178" t="s">
        <v>8021</v>
      </c>
      <c r="Q178" s="5" t="s">
        <v>2509</v>
      </c>
      <c r="R178" s="1" t="b">
        <v>1</v>
      </c>
    </row>
    <row r="179" spans="1:18">
      <c r="A179" t="s">
        <v>3022</v>
      </c>
      <c r="B179" t="s">
        <v>10932</v>
      </c>
      <c r="C179" s="5" t="s">
        <v>7784</v>
      </c>
      <c r="D179" s="1">
        <v>2</v>
      </c>
      <c r="E179" s="1">
        <v>3</v>
      </c>
      <c r="F179" s="1">
        <v>108</v>
      </c>
      <c r="G179" s="1">
        <v>111</v>
      </c>
      <c r="H179" s="13" cm="1">
        <f t="array" ref="H179">_xlfn.LET(_xlpm.s,IFERROR(--F179,""),_xlpm.e,IFERROR(--G179,""),IF(OR(_xlpm.s="",_xlpm.e="",_xlpm.e&lt;_xlpm.s),"",_xlfn.LET(_xlpm.p,_xlfn.SEQUENCE(_xlpm.e-_xlpm.s+1,1,_xlpm.s,1),SUM(1/COUNTIFS($D:$D,D179,$E:$E,E179,$F:$F,"&lt;&gt;N/A",$G:$G,"&lt;&gt;N/A",$F:$F,"&lt;="&amp;_xlpm.p,$G:$G,"&gt;="&amp;_xlpm.p)))))</f>
        <v>3.5</v>
      </c>
      <c r="I179" t="s">
        <v>7</v>
      </c>
      <c r="J179" s="5" t="s">
        <v>923</v>
      </c>
      <c r="K179" s="5" t="s">
        <v>7</v>
      </c>
      <c r="L179" s="5" t="s">
        <v>7</v>
      </c>
      <c r="M179" t="s">
        <v>7178</v>
      </c>
      <c r="N179" s="5" t="s">
        <v>7695</v>
      </c>
      <c r="O179" t="s">
        <v>5072</v>
      </c>
      <c r="P179" t="s">
        <v>8021</v>
      </c>
      <c r="Q179" s="5" t="s">
        <v>2509</v>
      </c>
      <c r="R179" s="1" t="b">
        <v>1</v>
      </c>
    </row>
    <row r="180" spans="1:18">
      <c r="A180" t="s">
        <v>3022</v>
      </c>
      <c r="B180" t="s">
        <v>10933</v>
      </c>
      <c r="C180" s="5" t="s">
        <v>7784</v>
      </c>
      <c r="D180" s="1">
        <v>2</v>
      </c>
      <c r="E180" s="1">
        <v>3</v>
      </c>
      <c r="F180" s="1">
        <v>112</v>
      </c>
      <c r="G180" s="1">
        <v>120</v>
      </c>
      <c r="H180" s="13" cm="1">
        <f t="array" ref="H180">_xlfn.LET(_xlpm.s,IFERROR(--F180,""),_xlpm.e,IFERROR(--G180,""),IF(OR(_xlpm.s="",_xlpm.e="",_xlpm.e&lt;_xlpm.s),"",_xlfn.LET(_xlpm.p,_xlfn.SEQUENCE(_xlpm.e-_xlpm.s+1,1,_xlpm.s,1),SUM(1/COUNTIFS($D:$D,D180,$E:$E,E180,$F:$F,"&lt;&gt;N/A",$G:$G,"&lt;&gt;N/A",$F:$F,"&lt;="&amp;_xlpm.p,$G:$G,"&gt;="&amp;_xlpm.p)))))</f>
        <v>9</v>
      </c>
      <c r="I180" t="s">
        <v>7</v>
      </c>
      <c r="J180" s="5" t="s">
        <v>1377</v>
      </c>
      <c r="K180" s="5" t="s">
        <v>7</v>
      </c>
      <c r="L180" s="5" t="s">
        <v>7</v>
      </c>
      <c r="M180" s="5" t="s">
        <v>7</v>
      </c>
      <c r="N180" s="5" t="s">
        <v>1378</v>
      </c>
      <c r="O180" t="s">
        <v>5072</v>
      </c>
      <c r="P180" t="s">
        <v>8021</v>
      </c>
      <c r="R180" s="1" t="b">
        <v>1</v>
      </c>
    </row>
    <row r="181" spans="1:18">
      <c r="A181" t="s">
        <v>3022</v>
      </c>
      <c r="B181" t="s">
        <v>10910</v>
      </c>
      <c r="C181" s="5" t="s">
        <v>7792</v>
      </c>
      <c r="D181" s="1">
        <v>2</v>
      </c>
      <c r="E181" s="1">
        <v>4</v>
      </c>
      <c r="F181" s="1">
        <v>121</v>
      </c>
      <c r="G181" s="1">
        <v>122</v>
      </c>
      <c r="H181" s="13" cm="1">
        <f t="array" ref="H181">_xlfn.LET(_xlpm.s,IFERROR(--F181,""),_xlpm.e,IFERROR(--G181,""),IF(OR(_xlpm.s="",_xlpm.e="",_xlpm.e&lt;_xlpm.s),"",_xlfn.LET(_xlpm.p,_xlfn.SEQUENCE(_xlpm.e-_xlpm.s+1,1,_xlpm.s,1),SUM(1/COUNTIFS($D:$D,D181,$E:$E,E181,$F:$F,"&lt;&gt;N/A",$G:$G,"&lt;&gt;N/A",$F:$F,"&lt;="&amp;_xlpm.p,$G:$G,"&gt;="&amp;_xlpm.p)))))</f>
        <v>1.3333333333333333</v>
      </c>
      <c r="I181" t="s">
        <v>1350</v>
      </c>
      <c r="J181" s="5" t="s">
        <v>1418</v>
      </c>
      <c r="K181" s="5" t="s">
        <v>7</v>
      </c>
      <c r="L181" s="5" t="s">
        <v>7</v>
      </c>
      <c r="M181" s="5" t="s">
        <v>7</v>
      </c>
      <c r="N181" s="5" t="s">
        <v>7</v>
      </c>
      <c r="O181" t="s">
        <v>778</v>
      </c>
      <c r="P181" t="s">
        <v>7834</v>
      </c>
      <c r="R181" s="1" t="b">
        <v>1</v>
      </c>
    </row>
    <row r="182" spans="1:18">
      <c r="A182" t="s">
        <v>3022</v>
      </c>
      <c r="B182" t="s">
        <v>10911</v>
      </c>
      <c r="C182" s="5" t="s">
        <v>7792</v>
      </c>
      <c r="D182" s="1">
        <v>2</v>
      </c>
      <c r="E182" s="1">
        <v>4</v>
      </c>
      <c r="F182" s="1">
        <v>122</v>
      </c>
      <c r="G182" s="1">
        <v>122</v>
      </c>
      <c r="H182" s="13" cm="1">
        <f t="array" ref="H182">_xlfn.LET(_xlpm.s,IFERROR(--F182,""),_xlpm.e,IFERROR(--G182,""),IF(OR(_xlpm.s="",_xlpm.e="",_xlpm.e&lt;_xlpm.s),"",_xlfn.LET(_xlpm.p,_xlfn.SEQUENCE(_xlpm.e-_xlpm.s+1,1,_xlpm.s,1),SUM(1/COUNTIFS($D:$D,D182,$E:$E,E182,$F:$F,"&lt;&gt;N/A",$G:$G,"&lt;&gt;N/A",$F:$F,"&lt;="&amp;_xlpm.p,$G:$G,"&gt;="&amp;_xlpm.p)))))</f>
        <v>0.33333333333333331</v>
      </c>
      <c r="I182" t="s">
        <v>1350</v>
      </c>
      <c r="J182" s="5" t="s">
        <v>1379</v>
      </c>
      <c r="K182" s="5" t="s">
        <v>7</v>
      </c>
      <c r="L182" s="5" t="s">
        <v>7</v>
      </c>
      <c r="M182" s="5" t="s">
        <v>7</v>
      </c>
      <c r="N182" s="5" t="s">
        <v>7</v>
      </c>
      <c r="O182" t="s">
        <v>778</v>
      </c>
      <c r="P182" t="s">
        <v>7834</v>
      </c>
      <c r="R182" s="1" t="b">
        <v>0</v>
      </c>
    </row>
    <row r="183" spans="1:18">
      <c r="A183" t="s">
        <v>3022</v>
      </c>
      <c r="B183" t="s">
        <v>10912</v>
      </c>
      <c r="C183" s="5" t="s">
        <v>7792</v>
      </c>
      <c r="D183" s="1">
        <v>2</v>
      </c>
      <c r="E183" s="1">
        <v>4</v>
      </c>
      <c r="F183" s="1">
        <v>122</v>
      </c>
      <c r="G183" s="1">
        <v>123</v>
      </c>
      <c r="H183" s="13" cm="1">
        <f t="array" ref="H183">_xlfn.LET(_xlpm.s,IFERROR(--F183,""),_xlpm.e,IFERROR(--G183,""),IF(OR(_xlpm.s="",_xlpm.e="",_xlpm.e&lt;_xlpm.s),"",_xlfn.LET(_xlpm.p,_xlfn.SEQUENCE(_xlpm.e-_xlpm.s+1,1,_xlpm.s,1),SUM(1/COUNTIFS($D:$D,D183,$E:$E,E183,$F:$F,"&lt;&gt;N/A",$G:$G,"&lt;&gt;N/A",$F:$F,"&lt;="&amp;_xlpm.p,$G:$G,"&gt;="&amp;_xlpm.p)))))</f>
        <v>0.83333333333333326</v>
      </c>
      <c r="I183" t="s">
        <v>1350</v>
      </c>
      <c r="J183" s="5" t="s">
        <v>1419</v>
      </c>
      <c r="K183" s="5" t="s">
        <v>7</v>
      </c>
      <c r="L183" s="5" t="s">
        <v>7</v>
      </c>
      <c r="M183" s="5" t="s">
        <v>7</v>
      </c>
      <c r="N183" s="5" t="s">
        <v>7</v>
      </c>
      <c r="O183" t="s">
        <v>778</v>
      </c>
      <c r="P183" t="s">
        <v>7834</v>
      </c>
      <c r="R183" s="1" t="b">
        <v>0</v>
      </c>
    </row>
    <row r="184" spans="1:18">
      <c r="A184" t="s">
        <v>3022</v>
      </c>
      <c r="B184" t="s">
        <v>10913</v>
      </c>
      <c r="C184" s="5" t="s">
        <v>7792</v>
      </c>
      <c r="D184" s="1">
        <v>2</v>
      </c>
      <c r="E184" s="1">
        <v>4</v>
      </c>
      <c r="F184" s="1">
        <v>123</v>
      </c>
      <c r="G184" s="1">
        <v>126</v>
      </c>
      <c r="H184" s="13" cm="1">
        <f t="array" ref="H184">_xlfn.LET(_xlpm.s,IFERROR(--F184,""),_xlpm.e,IFERROR(--G184,""),IF(OR(_xlpm.s="",_xlpm.e="",_xlpm.e&lt;_xlpm.s),"",_xlfn.LET(_xlpm.p,_xlfn.SEQUENCE(_xlpm.e-_xlpm.s+1,1,_xlpm.s,1),SUM(1/COUNTIFS($D:$D,D184,$E:$E,E184,$F:$F,"&lt;&gt;N/A",$G:$G,"&lt;&gt;N/A",$F:$F,"&lt;="&amp;_xlpm.p,$G:$G,"&gt;="&amp;_xlpm.p)))))</f>
        <v>3</v>
      </c>
      <c r="I184" t="s">
        <v>1350</v>
      </c>
      <c r="J184" s="5" t="s">
        <v>1420</v>
      </c>
      <c r="K184" s="5" t="s">
        <v>7</v>
      </c>
      <c r="L184" s="5" t="s">
        <v>7</v>
      </c>
      <c r="M184" s="5" t="s">
        <v>7</v>
      </c>
      <c r="N184" s="5" t="s">
        <v>7</v>
      </c>
      <c r="O184" t="s">
        <v>778</v>
      </c>
      <c r="P184" t="s">
        <v>7834</v>
      </c>
      <c r="R184" s="1" t="b">
        <v>0</v>
      </c>
    </row>
    <row r="185" spans="1:18">
      <c r="A185" t="s">
        <v>3022</v>
      </c>
      <c r="B185" t="s">
        <v>10914</v>
      </c>
      <c r="C185" s="5" t="s">
        <v>7792</v>
      </c>
      <c r="D185" s="1">
        <v>2</v>
      </c>
      <c r="E185" s="1">
        <v>4</v>
      </c>
      <c r="F185" s="1">
        <v>126</v>
      </c>
      <c r="G185" s="1">
        <v>127</v>
      </c>
      <c r="H185" s="13" cm="1">
        <f t="array" ref="H185">_xlfn.LET(_xlpm.s,IFERROR(--F185,""),_xlpm.e,IFERROR(--G185,""),IF(OR(_xlpm.s="",_xlpm.e="",_xlpm.e&lt;_xlpm.s),"",_xlfn.LET(_xlpm.p,_xlfn.SEQUENCE(_xlpm.e-_xlpm.s+1,1,_xlpm.s,1),SUM(1/COUNTIFS($D:$D,D185,$E:$E,E185,$F:$F,"&lt;&gt;N/A",$G:$G,"&lt;&gt;N/A",$F:$F,"&lt;="&amp;_xlpm.p,$G:$G,"&gt;="&amp;_xlpm.p)))))</f>
        <v>1</v>
      </c>
      <c r="I185" t="s">
        <v>1350</v>
      </c>
      <c r="J185" s="5" t="s">
        <v>1421</v>
      </c>
      <c r="K185" s="5" t="s">
        <v>7</v>
      </c>
      <c r="L185" s="5" t="s">
        <v>7</v>
      </c>
      <c r="M185" s="5" t="s">
        <v>7</v>
      </c>
      <c r="N185" s="5" t="s">
        <v>7</v>
      </c>
      <c r="O185" t="s">
        <v>778</v>
      </c>
      <c r="P185" t="s">
        <v>7834</v>
      </c>
      <c r="R185" s="1" t="b">
        <v>0</v>
      </c>
    </row>
    <row r="186" spans="1:18">
      <c r="A186" t="s">
        <v>3022</v>
      </c>
      <c r="B186" t="s">
        <v>10915</v>
      </c>
      <c r="C186" s="5" t="s">
        <v>7792</v>
      </c>
      <c r="D186" s="1">
        <v>2</v>
      </c>
      <c r="E186" s="1">
        <v>4</v>
      </c>
      <c r="F186" s="1">
        <v>127</v>
      </c>
      <c r="G186" s="1">
        <v>131</v>
      </c>
      <c r="H186" s="13" cm="1">
        <f t="array" ref="H186">_xlfn.LET(_xlpm.s,IFERROR(--F186,""),_xlpm.e,IFERROR(--G186,""),IF(OR(_xlpm.s="",_xlpm.e="",_xlpm.e&lt;_xlpm.s),"",_xlfn.LET(_xlpm.p,_xlfn.SEQUENCE(_xlpm.e-_xlpm.s+1,1,_xlpm.s,1),SUM(1/COUNTIFS($D:$D,D186,$E:$E,E186,$F:$F,"&lt;&gt;N/A",$G:$G,"&lt;&gt;N/A",$F:$F,"&lt;="&amp;_xlpm.p,$G:$G,"&gt;="&amp;_xlpm.p)))))</f>
        <v>4</v>
      </c>
      <c r="I186" t="s">
        <v>1350</v>
      </c>
      <c r="J186" s="5" t="s">
        <v>1422</v>
      </c>
      <c r="K186" s="5" t="s">
        <v>7</v>
      </c>
      <c r="L186" s="5" t="s">
        <v>7</v>
      </c>
      <c r="M186" s="5" t="s">
        <v>7</v>
      </c>
      <c r="N186" s="5" t="s">
        <v>7</v>
      </c>
      <c r="O186" t="s">
        <v>778</v>
      </c>
      <c r="P186" t="s">
        <v>7834</v>
      </c>
      <c r="R186" s="1" t="b">
        <v>0</v>
      </c>
    </row>
    <row r="187" spans="1:18">
      <c r="A187" t="s">
        <v>3022</v>
      </c>
      <c r="B187" t="s">
        <v>10916</v>
      </c>
      <c r="C187" s="5" t="s">
        <v>7792</v>
      </c>
      <c r="D187" s="1">
        <v>2</v>
      </c>
      <c r="E187" s="1">
        <v>4</v>
      </c>
      <c r="F187" s="1">
        <v>131</v>
      </c>
      <c r="G187" s="1">
        <v>137</v>
      </c>
      <c r="H187" s="13" cm="1">
        <f t="array" ref="H187">_xlfn.LET(_xlpm.s,IFERROR(--F187,""),_xlpm.e,IFERROR(--G187,""),IF(OR(_xlpm.s="",_xlpm.e="",_xlpm.e&lt;_xlpm.s),"",_xlfn.LET(_xlpm.p,_xlfn.SEQUENCE(_xlpm.e-_xlpm.s+1,1,_xlpm.s,1),SUM(1/COUNTIFS($D:$D,D187,$E:$E,E187,$F:$F,"&lt;&gt;N/A",$G:$G,"&lt;&gt;N/A",$F:$F,"&lt;="&amp;_xlpm.p,$G:$G,"&gt;="&amp;_xlpm.p)))))</f>
        <v>6.5</v>
      </c>
      <c r="I187" t="s">
        <v>1350</v>
      </c>
      <c r="J187" s="5" t="s">
        <v>1423</v>
      </c>
      <c r="K187" s="5" t="s">
        <v>7</v>
      </c>
      <c r="L187" s="5" t="s">
        <v>7</v>
      </c>
      <c r="M187" s="5" t="s">
        <v>7</v>
      </c>
      <c r="N187" s="5" t="s">
        <v>7</v>
      </c>
      <c r="O187" t="s">
        <v>778</v>
      </c>
      <c r="P187" t="s">
        <v>7834</v>
      </c>
      <c r="R187" s="1" t="b">
        <v>1</v>
      </c>
    </row>
    <row r="188" spans="1:18">
      <c r="A188" t="s">
        <v>3022</v>
      </c>
      <c r="B188" t="s">
        <v>10917</v>
      </c>
      <c r="C188" s="5" t="s">
        <v>7792</v>
      </c>
      <c r="D188" s="1">
        <v>2</v>
      </c>
      <c r="E188" s="1">
        <v>4</v>
      </c>
      <c r="F188" s="1">
        <v>138</v>
      </c>
      <c r="G188" s="1">
        <v>149</v>
      </c>
      <c r="H188" s="13" cm="1">
        <f t="array" ref="H188">_xlfn.LET(_xlpm.s,IFERROR(--F188,""),_xlpm.e,IFERROR(--G188,""),IF(OR(_xlpm.s="",_xlpm.e="",_xlpm.e&lt;_xlpm.s),"",_xlfn.LET(_xlpm.p,_xlfn.SEQUENCE(_xlpm.e-_xlpm.s+1,1,_xlpm.s,1),SUM(1/COUNTIFS($D:$D,D188,$E:$E,E188,$F:$F,"&lt;&gt;N/A",$G:$G,"&lt;&gt;N/A",$F:$F,"&lt;="&amp;_xlpm.p,$G:$G,"&gt;="&amp;_xlpm.p)))))</f>
        <v>11.5</v>
      </c>
      <c r="I188" t="s">
        <v>713</v>
      </c>
      <c r="J188" s="5" t="s">
        <v>7217</v>
      </c>
      <c r="K188" s="5" t="s">
        <v>7</v>
      </c>
      <c r="L188" s="5" t="s">
        <v>7215</v>
      </c>
      <c r="M188" t="s">
        <v>7178</v>
      </c>
      <c r="N188" s="5" t="s">
        <v>7467</v>
      </c>
      <c r="O188" t="s">
        <v>5072</v>
      </c>
      <c r="P188" t="s">
        <v>8021</v>
      </c>
      <c r="Q188" s="5" t="s">
        <v>2509</v>
      </c>
      <c r="R188" s="1" t="b">
        <v>1</v>
      </c>
    </row>
    <row r="189" spans="1:18">
      <c r="A189" t="s">
        <v>3022</v>
      </c>
      <c r="B189" t="s">
        <v>10918</v>
      </c>
      <c r="C189" s="5" t="s">
        <v>7792</v>
      </c>
      <c r="D189" s="1">
        <v>2</v>
      </c>
      <c r="E189" s="1">
        <v>4</v>
      </c>
      <c r="F189" s="1">
        <v>149</v>
      </c>
      <c r="G189" s="1">
        <v>151</v>
      </c>
      <c r="H189" s="13" cm="1">
        <f t="array" ref="H189">_xlfn.LET(_xlpm.s,IFERROR(--F189,""),_xlpm.e,IFERROR(--G189,""),IF(OR(_xlpm.s="",_xlpm.e="",_xlpm.e&lt;_xlpm.s),"",_xlfn.LET(_xlpm.p,_xlfn.SEQUENCE(_xlpm.e-_xlpm.s+1,1,_xlpm.s,1),SUM(1/COUNTIFS($D:$D,D189,$E:$E,E189,$F:$F,"&lt;&gt;N/A",$G:$G,"&lt;&gt;N/A",$F:$F,"&lt;="&amp;_xlpm.p,$G:$G,"&gt;="&amp;_xlpm.p)))))</f>
        <v>2</v>
      </c>
      <c r="I189" t="s">
        <v>713</v>
      </c>
      <c r="J189" s="5" t="s">
        <v>1377</v>
      </c>
      <c r="K189" s="5" t="s">
        <v>7</v>
      </c>
      <c r="L189" s="5" t="s">
        <v>7</v>
      </c>
      <c r="M189" s="5" t="s">
        <v>7</v>
      </c>
      <c r="N189" s="5" t="s">
        <v>7492</v>
      </c>
      <c r="O189" t="s">
        <v>5072</v>
      </c>
      <c r="P189" t="s">
        <v>8021</v>
      </c>
      <c r="R189" s="1" t="b">
        <v>1</v>
      </c>
    </row>
    <row r="190" spans="1:18">
      <c r="A190" t="s">
        <v>3022</v>
      </c>
      <c r="B190" t="s">
        <v>10919</v>
      </c>
      <c r="C190" s="5" t="s">
        <v>7792</v>
      </c>
      <c r="D190" s="1">
        <v>2</v>
      </c>
      <c r="E190" s="1">
        <v>4</v>
      </c>
      <c r="F190" s="1">
        <v>151</v>
      </c>
      <c r="G190" s="1">
        <v>156</v>
      </c>
      <c r="H190" s="13" cm="1">
        <f t="array" ref="H190">_xlfn.LET(_xlpm.s,IFERROR(--F190,""),_xlpm.e,IFERROR(--G190,""),IF(OR(_xlpm.s="",_xlpm.e="",_xlpm.e&lt;_xlpm.s),"",_xlfn.LET(_xlpm.p,_xlfn.SEQUENCE(_xlpm.e-_xlpm.s+1,1,_xlpm.s,1),SUM(1/COUNTIFS($D:$D,D190,$E:$E,E190,$F:$F,"&lt;&gt;N/A",$G:$G,"&lt;&gt;N/A",$F:$F,"&lt;="&amp;_xlpm.p,$G:$G,"&gt;="&amp;_xlpm.p)))))</f>
        <v>5.5</v>
      </c>
      <c r="I190" t="s">
        <v>208</v>
      </c>
      <c r="J190" s="5" t="s">
        <v>1424</v>
      </c>
      <c r="K190" s="5" t="s">
        <v>7</v>
      </c>
      <c r="L190" s="5" t="s">
        <v>7</v>
      </c>
      <c r="M190" s="5" t="s">
        <v>7</v>
      </c>
      <c r="N190" s="5" t="s">
        <v>7</v>
      </c>
      <c r="O190" t="s">
        <v>778</v>
      </c>
      <c r="P190" t="s">
        <v>7834</v>
      </c>
      <c r="R190" s="1" t="b">
        <v>1</v>
      </c>
    </row>
    <row r="191" spans="1:18">
      <c r="A191" t="s">
        <v>3022</v>
      </c>
      <c r="B191" t="s">
        <v>10920</v>
      </c>
      <c r="C191" s="5" t="s">
        <v>7792</v>
      </c>
      <c r="D191" s="1">
        <v>2</v>
      </c>
      <c r="E191" s="1">
        <v>4</v>
      </c>
      <c r="F191" s="1">
        <v>157</v>
      </c>
      <c r="G191" s="1">
        <v>159</v>
      </c>
      <c r="H191" s="13" cm="1">
        <f t="array" ref="H191">_xlfn.LET(_xlpm.s,IFERROR(--F191,""),_xlpm.e,IFERROR(--G191,""),IF(OR(_xlpm.s="",_xlpm.e="",_xlpm.e&lt;_xlpm.s),"",_xlfn.LET(_xlpm.p,_xlfn.SEQUENCE(_xlpm.e-_xlpm.s+1,1,_xlpm.s,1),SUM(1/COUNTIFS($D:$D,D191,$E:$E,E191,$F:$F,"&lt;&gt;N/A",$G:$G,"&lt;&gt;N/A",$F:$F,"&lt;="&amp;_xlpm.p,$G:$G,"&gt;="&amp;_xlpm.p)))))</f>
        <v>2.5</v>
      </c>
      <c r="I191" t="s">
        <v>208</v>
      </c>
      <c r="J191" s="5" t="s">
        <v>1425</v>
      </c>
      <c r="K191" s="5" t="s">
        <v>4852</v>
      </c>
      <c r="L191" s="5" t="s">
        <v>7</v>
      </c>
      <c r="M191" t="s">
        <v>7410</v>
      </c>
      <c r="N191" s="5" t="s">
        <v>7493</v>
      </c>
      <c r="O191" t="s">
        <v>5072</v>
      </c>
      <c r="P191" t="s">
        <v>8021</v>
      </c>
      <c r="R191" s="1" t="b">
        <v>1</v>
      </c>
    </row>
    <row r="192" spans="1:18">
      <c r="A192" t="s">
        <v>3022</v>
      </c>
      <c r="B192" t="s">
        <v>10921</v>
      </c>
      <c r="C192" s="5" t="s">
        <v>7792</v>
      </c>
      <c r="D192" s="1">
        <v>2</v>
      </c>
      <c r="E192" s="1">
        <v>4</v>
      </c>
      <c r="F192" s="1">
        <v>159</v>
      </c>
      <c r="G192" s="1">
        <v>162</v>
      </c>
      <c r="H192" s="13" cm="1">
        <f t="array" ref="H192">_xlfn.LET(_xlpm.s,IFERROR(--F192,""),_xlpm.e,IFERROR(--G192,""),IF(OR(_xlpm.s="",_xlpm.e="",_xlpm.e&lt;_xlpm.s),"",_xlfn.LET(_xlpm.p,_xlfn.SEQUENCE(_xlpm.e-_xlpm.s+1,1,_xlpm.s,1),SUM(1/COUNTIFS($D:$D,D192,$E:$E,E192,$F:$F,"&lt;&gt;N/A",$G:$G,"&lt;&gt;N/A",$F:$F,"&lt;="&amp;_xlpm.p,$G:$G,"&gt;="&amp;_xlpm.p)))))</f>
        <v>3</v>
      </c>
      <c r="I192" t="s">
        <v>208</v>
      </c>
      <c r="J192" s="5" t="s">
        <v>1426</v>
      </c>
      <c r="K192" s="5" t="s">
        <v>7</v>
      </c>
      <c r="L192" s="5" t="s">
        <v>7</v>
      </c>
      <c r="M192" t="s">
        <v>7481</v>
      </c>
      <c r="N192" s="5" t="s">
        <v>7676</v>
      </c>
      <c r="O192" t="s">
        <v>5072</v>
      </c>
      <c r="P192" t="s">
        <v>8021</v>
      </c>
      <c r="R192" s="1" t="b">
        <v>1</v>
      </c>
    </row>
    <row r="193" spans="1:18">
      <c r="A193" t="s">
        <v>3022</v>
      </c>
      <c r="B193" t="s">
        <v>10922</v>
      </c>
      <c r="C193" s="5" t="s">
        <v>7792</v>
      </c>
      <c r="D193" s="1">
        <v>2</v>
      </c>
      <c r="E193" s="1">
        <v>4</v>
      </c>
      <c r="F193" s="1">
        <v>162</v>
      </c>
      <c r="G193" s="1">
        <v>164</v>
      </c>
      <c r="H193" s="13" cm="1">
        <f t="array" ref="H193">_xlfn.LET(_xlpm.s,IFERROR(--F193,""),_xlpm.e,IFERROR(--G193,""),IF(OR(_xlpm.s="",_xlpm.e="",_xlpm.e&lt;_xlpm.s),"",_xlfn.LET(_xlpm.p,_xlfn.SEQUENCE(_xlpm.e-_xlpm.s+1,1,_xlpm.s,1),SUM(1/COUNTIFS($D:$D,D193,$E:$E,E193,$F:$F,"&lt;&gt;N/A",$G:$G,"&lt;&gt;N/A",$F:$F,"&lt;="&amp;_xlpm.p,$G:$G,"&gt;="&amp;_xlpm.p)))))</f>
        <v>2.5</v>
      </c>
      <c r="I193" t="s">
        <v>208</v>
      </c>
      <c r="J193" s="5" t="s">
        <v>1427</v>
      </c>
      <c r="K193" s="5" t="s">
        <v>7</v>
      </c>
      <c r="L193" s="5" t="s">
        <v>7</v>
      </c>
      <c r="M193" s="5" t="s">
        <v>7</v>
      </c>
      <c r="N193" s="5" t="s">
        <v>7</v>
      </c>
      <c r="O193" t="s">
        <v>778</v>
      </c>
      <c r="P193" t="s">
        <v>7834</v>
      </c>
      <c r="R193" s="1" t="b">
        <v>1</v>
      </c>
    </row>
    <row r="194" spans="1:18">
      <c r="A194" t="s">
        <v>3022</v>
      </c>
      <c r="B194" t="s">
        <v>10902</v>
      </c>
      <c r="C194" s="5" t="s">
        <v>7799</v>
      </c>
      <c r="D194" s="1">
        <v>2</v>
      </c>
      <c r="E194" s="1">
        <v>5</v>
      </c>
      <c r="F194" s="1">
        <v>165</v>
      </c>
      <c r="G194" s="1">
        <v>170</v>
      </c>
      <c r="H194" s="13" cm="1">
        <f t="array" ref="H194">_xlfn.LET(_xlpm.s,IFERROR(--F194,""),_xlpm.e,IFERROR(--G194,""),IF(OR(_xlpm.s="",_xlpm.e="",_xlpm.e&lt;_xlpm.s),"",_xlfn.LET(_xlpm.p,_xlfn.SEQUENCE(_xlpm.e-_xlpm.s+1,1,_xlpm.s,1),SUM(1/COUNTIFS($D:$D,D194,$E:$E,E194,$F:$F,"&lt;&gt;N/A",$G:$G,"&lt;&gt;N/A",$F:$F,"&lt;="&amp;_xlpm.p,$G:$G,"&gt;="&amp;_xlpm.p)))))</f>
        <v>5.5</v>
      </c>
      <c r="I194" t="s">
        <v>1350</v>
      </c>
      <c r="J194" s="5" t="s">
        <v>1429</v>
      </c>
      <c r="K194" s="5" t="s">
        <v>7</v>
      </c>
      <c r="L194" s="5" t="s">
        <v>7</v>
      </c>
      <c r="M194" s="5" t="s">
        <v>7</v>
      </c>
      <c r="N194" s="5" t="s">
        <v>7</v>
      </c>
      <c r="O194" t="s">
        <v>778</v>
      </c>
      <c r="P194" t="s">
        <v>7834</v>
      </c>
      <c r="R194" s="1" t="b">
        <v>0</v>
      </c>
    </row>
    <row r="195" spans="1:18">
      <c r="A195" t="s">
        <v>3022</v>
      </c>
      <c r="B195" t="s">
        <v>10903</v>
      </c>
      <c r="C195" s="5" t="s">
        <v>7799</v>
      </c>
      <c r="D195" s="1">
        <v>2</v>
      </c>
      <c r="E195" s="1">
        <v>5</v>
      </c>
      <c r="F195" s="1">
        <v>170</v>
      </c>
      <c r="G195" s="1">
        <v>172</v>
      </c>
      <c r="H195" s="13" cm="1">
        <f t="array" ref="H195">_xlfn.LET(_xlpm.s,IFERROR(--F195,""),_xlpm.e,IFERROR(--G195,""),IF(OR(_xlpm.s="",_xlpm.e="",_xlpm.e&lt;_xlpm.s),"",_xlfn.LET(_xlpm.p,_xlfn.SEQUENCE(_xlpm.e-_xlpm.s+1,1,_xlpm.s,1),SUM(1/COUNTIFS($D:$D,D195,$E:$E,E195,$F:$F,"&lt;&gt;N/A",$G:$G,"&lt;&gt;N/A",$F:$F,"&lt;="&amp;_xlpm.p,$G:$G,"&gt;="&amp;_xlpm.p)))))</f>
        <v>2</v>
      </c>
      <c r="I195" t="s">
        <v>1350</v>
      </c>
      <c r="J195" s="5" t="s">
        <v>1430</v>
      </c>
      <c r="K195" s="5" t="s">
        <v>7</v>
      </c>
      <c r="L195" s="5" t="s">
        <v>7</v>
      </c>
      <c r="M195" s="5" t="s">
        <v>7</v>
      </c>
      <c r="N195" s="5" t="s">
        <v>7</v>
      </c>
      <c r="O195" t="s">
        <v>778</v>
      </c>
      <c r="P195" t="s">
        <v>7834</v>
      </c>
      <c r="R195" s="1" t="b">
        <v>1</v>
      </c>
    </row>
    <row r="196" spans="1:18">
      <c r="A196" t="s">
        <v>3022</v>
      </c>
      <c r="B196" t="s">
        <v>10904</v>
      </c>
      <c r="C196" s="5" t="s">
        <v>7799</v>
      </c>
      <c r="D196" s="1">
        <v>2</v>
      </c>
      <c r="E196" s="1">
        <v>5</v>
      </c>
      <c r="F196" s="1">
        <v>172</v>
      </c>
      <c r="G196" s="1">
        <v>173</v>
      </c>
      <c r="H196" s="13" cm="1">
        <f t="array" ref="H196">_xlfn.LET(_xlpm.s,IFERROR(--F196,""),_xlpm.e,IFERROR(--G196,""),IF(OR(_xlpm.s="",_xlpm.e="",_xlpm.e&lt;_xlpm.s),"",_xlfn.LET(_xlpm.p,_xlfn.SEQUENCE(_xlpm.e-_xlpm.s+1,1,_xlpm.s,1),SUM(1/COUNTIFS($D:$D,D196,$E:$E,E196,$F:$F,"&lt;&gt;N/A",$G:$G,"&lt;&gt;N/A",$F:$F,"&lt;="&amp;_xlpm.p,$G:$G,"&gt;="&amp;_xlpm.p)))))</f>
        <v>1</v>
      </c>
      <c r="I196" t="s">
        <v>1350</v>
      </c>
      <c r="J196" s="5" t="s">
        <v>1431</v>
      </c>
      <c r="K196" s="5" t="s">
        <v>7</v>
      </c>
      <c r="L196" s="5" t="s">
        <v>7</v>
      </c>
      <c r="M196" s="5" t="s">
        <v>7</v>
      </c>
      <c r="N196" s="5" t="s">
        <v>7</v>
      </c>
      <c r="O196" t="s">
        <v>778</v>
      </c>
      <c r="P196" t="s">
        <v>7834</v>
      </c>
      <c r="R196" s="1" t="b">
        <v>1</v>
      </c>
    </row>
    <row r="197" spans="1:18">
      <c r="A197" t="s">
        <v>3022</v>
      </c>
      <c r="B197" t="s">
        <v>10905</v>
      </c>
      <c r="C197" s="5" t="s">
        <v>7799</v>
      </c>
      <c r="D197" s="1">
        <v>2</v>
      </c>
      <c r="E197" s="1">
        <v>5</v>
      </c>
      <c r="F197" s="1">
        <v>173</v>
      </c>
      <c r="G197" s="1">
        <v>181</v>
      </c>
      <c r="H197" s="13" cm="1">
        <f t="array" ref="H197">_xlfn.LET(_xlpm.s,IFERROR(--F197,""),_xlpm.e,IFERROR(--G197,""),IF(OR(_xlpm.s="",_xlpm.e="",_xlpm.e&lt;_xlpm.s),"",_xlfn.LET(_xlpm.p,_xlfn.SEQUENCE(_xlpm.e-_xlpm.s+1,1,_xlpm.s,1),SUM(1/COUNTIFS($D:$D,D197,$E:$E,E197,$F:$F,"&lt;&gt;N/A",$G:$G,"&lt;&gt;N/A",$F:$F,"&lt;="&amp;_xlpm.p,$G:$G,"&gt;="&amp;_xlpm.p)))))</f>
        <v>8</v>
      </c>
      <c r="I197" t="s">
        <v>7</v>
      </c>
      <c r="J197" s="5" t="s">
        <v>1432</v>
      </c>
      <c r="K197" s="5" t="s">
        <v>11509</v>
      </c>
      <c r="L197" s="5" t="s">
        <v>7</v>
      </c>
      <c r="M197" s="5" t="s">
        <v>7</v>
      </c>
      <c r="N197" s="5" t="s">
        <v>7</v>
      </c>
      <c r="O197" t="s">
        <v>778</v>
      </c>
      <c r="P197" t="s">
        <v>7834</v>
      </c>
      <c r="R197" s="1" t="b">
        <v>1</v>
      </c>
    </row>
    <row r="198" spans="1:18">
      <c r="A198" t="s">
        <v>3022</v>
      </c>
      <c r="B198" t="s">
        <v>10906</v>
      </c>
      <c r="C198" s="5" t="s">
        <v>7799</v>
      </c>
      <c r="D198" s="1">
        <v>2</v>
      </c>
      <c r="E198" s="1">
        <v>5</v>
      </c>
      <c r="F198" s="1">
        <v>181</v>
      </c>
      <c r="G198" s="1">
        <v>191</v>
      </c>
      <c r="H198" s="13" cm="1">
        <f t="array" ref="H198">_xlfn.LET(_xlpm.s,IFERROR(--F198,""),_xlpm.e,IFERROR(--G198,""),IF(OR(_xlpm.s="",_xlpm.e="",_xlpm.e&lt;_xlpm.s),"",_xlfn.LET(_xlpm.p,_xlfn.SEQUENCE(_xlpm.e-_xlpm.s+1,1,_xlpm.s,1),SUM(1/COUNTIFS($D:$D,D198,$E:$E,E198,$F:$F,"&lt;&gt;N/A",$G:$G,"&lt;&gt;N/A",$F:$F,"&lt;="&amp;_xlpm.p,$G:$G,"&gt;="&amp;_xlpm.p)))))</f>
        <v>10</v>
      </c>
      <c r="I198" t="s">
        <v>7</v>
      </c>
      <c r="J198" s="5" t="s">
        <v>1433</v>
      </c>
      <c r="K198" s="5" t="s">
        <v>1434</v>
      </c>
      <c r="L198" s="5" t="s">
        <v>7</v>
      </c>
      <c r="M198" s="5" t="s">
        <v>7</v>
      </c>
      <c r="N198" s="5" t="s">
        <v>7</v>
      </c>
      <c r="O198" t="s">
        <v>778</v>
      </c>
      <c r="P198" t="s">
        <v>7834</v>
      </c>
      <c r="R198" s="1" t="b">
        <v>1</v>
      </c>
    </row>
    <row r="199" spans="1:18">
      <c r="A199" t="s">
        <v>3022</v>
      </c>
      <c r="B199" t="s">
        <v>10907</v>
      </c>
      <c r="C199" s="5" t="s">
        <v>7799</v>
      </c>
      <c r="D199" s="1">
        <v>2</v>
      </c>
      <c r="E199" s="1">
        <v>5</v>
      </c>
      <c r="F199" s="1">
        <v>191</v>
      </c>
      <c r="G199" s="1">
        <v>204</v>
      </c>
      <c r="H199" s="13" cm="1">
        <f t="array" ref="H199">_xlfn.LET(_xlpm.s,IFERROR(--F199,""),_xlpm.e,IFERROR(--G199,""),IF(OR(_xlpm.s="",_xlpm.e="",_xlpm.e&lt;_xlpm.s),"",_xlfn.LET(_xlpm.p,_xlfn.SEQUENCE(_xlpm.e-_xlpm.s+1,1,_xlpm.s,1),SUM(1/COUNTIFS($D:$D,D199,$E:$E,E199,$F:$F,"&lt;&gt;N/A",$G:$G,"&lt;&gt;N/A",$F:$F,"&lt;="&amp;_xlpm.p,$G:$G,"&gt;="&amp;_xlpm.p)))))</f>
        <v>13</v>
      </c>
      <c r="I199" t="s">
        <v>7</v>
      </c>
      <c r="J199" s="5" t="s">
        <v>7216</v>
      </c>
      <c r="K199" s="5" t="s">
        <v>4853</v>
      </c>
      <c r="L199" s="5" t="s">
        <v>7</v>
      </c>
      <c r="M199" s="5" t="s">
        <v>7</v>
      </c>
      <c r="N199" s="5" t="s">
        <v>7</v>
      </c>
      <c r="O199" t="s">
        <v>778</v>
      </c>
      <c r="P199" t="s">
        <v>7834</v>
      </c>
      <c r="R199" s="1" t="b">
        <v>1</v>
      </c>
    </row>
    <row r="200" spans="1:18">
      <c r="A200" t="s">
        <v>3022</v>
      </c>
      <c r="B200" t="s">
        <v>10908</v>
      </c>
      <c r="C200" s="5" t="s">
        <v>7799</v>
      </c>
      <c r="D200" s="1">
        <v>2</v>
      </c>
      <c r="E200" s="1">
        <v>5</v>
      </c>
      <c r="F200" s="1">
        <v>204</v>
      </c>
      <c r="G200" s="1">
        <v>205</v>
      </c>
      <c r="H200" s="13" cm="1">
        <f t="array" ref="H200">_xlfn.LET(_xlpm.s,IFERROR(--F200,""),_xlpm.e,IFERROR(--G200,""),IF(OR(_xlpm.s="",_xlpm.e="",_xlpm.e&lt;_xlpm.s),"",_xlfn.LET(_xlpm.p,_xlfn.SEQUENCE(_xlpm.e-_xlpm.s+1,1,_xlpm.s,1),SUM(1/COUNTIFS($D:$D,D200,$E:$E,E200,$F:$F,"&lt;&gt;N/A",$G:$G,"&lt;&gt;N/A",$F:$F,"&lt;="&amp;_xlpm.p,$G:$G,"&gt;="&amp;_xlpm.p)))))</f>
        <v>1.5</v>
      </c>
      <c r="I200" t="s">
        <v>7</v>
      </c>
      <c r="J200" s="5" t="s">
        <v>1435</v>
      </c>
      <c r="K200" s="5" t="s">
        <v>7</v>
      </c>
      <c r="L200" s="5" t="s">
        <v>7</v>
      </c>
      <c r="M200" s="5" t="s">
        <v>7</v>
      </c>
      <c r="N200" s="5" t="s">
        <v>7</v>
      </c>
      <c r="O200" t="s">
        <v>778</v>
      </c>
      <c r="P200" t="s">
        <v>7834</v>
      </c>
      <c r="R200" s="1" t="b">
        <v>1</v>
      </c>
    </row>
    <row r="201" spans="1:18">
      <c r="A201" t="s">
        <v>3022</v>
      </c>
      <c r="B201" t="s">
        <v>10909</v>
      </c>
      <c r="C201" s="5" t="s">
        <v>7799</v>
      </c>
      <c r="D201" s="1">
        <v>2</v>
      </c>
      <c r="E201" s="1">
        <v>5</v>
      </c>
      <c r="F201" s="1">
        <v>206</v>
      </c>
      <c r="G201" s="1">
        <v>206</v>
      </c>
      <c r="H201" s="13" cm="1">
        <f t="array" ref="H201">_xlfn.LET(_xlpm.s,IFERROR(--F201,""),_xlpm.e,IFERROR(--G201,""),IF(OR(_xlpm.s="",_xlpm.e="",_xlpm.e&lt;_xlpm.s),"",_xlfn.LET(_xlpm.p,_xlfn.SEQUENCE(_xlpm.e-_xlpm.s+1,1,_xlpm.s,1),SUM(1/COUNTIFS($D:$D,D201,$E:$E,E201,$F:$F,"&lt;&gt;N/A",$G:$G,"&lt;&gt;N/A",$F:$F,"&lt;="&amp;_xlpm.p,$G:$G,"&gt;="&amp;_xlpm.p)))))</f>
        <v>1</v>
      </c>
      <c r="I201" t="s">
        <v>7</v>
      </c>
      <c r="J201" s="5" t="s">
        <v>1374</v>
      </c>
      <c r="K201" s="5" t="s">
        <v>1324</v>
      </c>
      <c r="L201" s="5" t="s">
        <v>7</v>
      </c>
      <c r="M201" s="5" t="s">
        <v>7</v>
      </c>
      <c r="N201" s="5" t="s">
        <v>7</v>
      </c>
      <c r="O201" t="s">
        <v>778</v>
      </c>
      <c r="P201" t="s">
        <v>7834</v>
      </c>
      <c r="R201" s="1" t="b">
        <v>1</v>
      </c>
    </row>
    <row r="202" spans="1:18">
      <c r="A202" t="s">
        <v>3022</v>
      </c>
      <c r="B202" t="s">
        <v>10893</v>
      </c>
      <c r="C202" s="5" t="s">
        <v>7806</v>
      </c>
      <c r="D202" s="1">
        <v>2</v>
      </c>
      <c r="E202" s="1">
        <v>6</v>
      </c>
      <c r="F202" s="1">
        <v>207</v>
      </c>
      <c r="G202" s="1">
        <v>207</v>
      </c>
      <c r="H202" s="13" cm="1">
        <f t="array" ref="H202">_xlfn.LET(_xlpm.s,IFERROR(--F202,""),_xlpm.e,IFERROR(--G202,""),IF(OR(_xlpm.s="",_xlpm.e="",_xlpm.e&lt;_xlpm.s),"",_xlfn.LET(_xlpm.p,_xlfn.SEQUENCE(_xlpm.e-_xlpm.s+1,1,_xlpm.s,1),SUM(1/COUNTIFS($D:$D,D202,$E:$E,E202,$F:$F,"&lt;&gt;N/A",$G:$G,"&lt;&gt;N/A",$F:$F,"&lt;="&amp;_xlpm.p,$G:$G,"&gt;="&amp;_xlpm.p)))))</f>
        <v>0.5</v>
      </c>
      <c r="I202" t="s">
        <v>1350</v>
      </c>
      <c r="J202" s="5" t="s">
        <v>1436</v>
      </c>
      <c r="K202" s="5" t="s">
        <v>7</v>
      </c>
      <c r="L202" s="5" t="s">
        <v>7</v>
      </c>
      <c r="M202" s="5" t="s">
        <v>7</v>
      </c>
      <c r="N202" s="5" t="s">
        <v>7</v>
      </c>
      <c r="O202" t="s">
        <v>778</v>
      </c>
      <c r="P202" t="s">
        <v>7834</v>
      </c>
      <c r="R202" s="1" t="b">
        <v>0</v>
      </c>
    </row>
    <row r="203" spans="1:18">
      <c r="A203" t="s">
        <v>3022</v>
      </c>
      <c r="B203" t="s">
        <v>10894</v>
      </c>
      <c r="C203" s="5" t="s">
        <v>7806</v>
      </c>
      <c r="D203" s="1">
        <v>2</v>
      </c>
      <c r="E203" s="1">
        <v>6</v>
      </c>
      <c r="F203" s="1">
        <v>207</v>
      </c>
      <c r="G203" s="1">
        <v>207</v>
      </c>
      <c r="H203" s="13" cm="1">
        <f t="array" ref="H203">_xlfn.LET(_xlpm.s,IFERROR(--F203,""),_xlpm.e,IFERROR(--G203,""),IF(OR(_xlpm.s="",_xlpm.e="",_xlpm.e&lt;_xlpm.s),"",_xlfn.LET(_xlpm.p,_xlfn.SEQUENCE(_xlpm.e-_xlpm.s+1,1,_xlpm.s,1),SUM(1/COUNTIFS($D:$D,D203,$E:$E,E203,$F:$F,"&lt;&gt;N/A",$G:$G,"&lt;&gt;N/A",$F:$F,"&lt;="&amp;_xlpm.p,$G:$G,"&gt;="&amp;_xlpm.p)))))</f>
        <v>0.5</v>
      </c>
      <c r="I203" t="s">
        <v>1350</v>
      </c>
      <c r="J203" s="5" t="s">
        <v>1437</v>
      </c>
      <c r="K203" s="5" t="s">
        <v>7</v>
      </c>
      <c r="L203" s="5" t="s">
        <v>7</v>
      </c>
      <c r="M203" s="5" t="s">
        <v>7</v>
      </c>
      <c r="N203" s="5" t="s">
        <v>7</v>
      </c>
      <c r="O203" t="s">
        <v>778</v>
      </c>
      <c r="P203" t="s">
        <v>7834</v>
      </c>
      <c r="R203" s="1" t="b">
        <v>0</v>
      </c>
    </row>
    <row r="204" spans="1:18">
      <c r="A204" t="s">
        <v>3022</v>
      </c>
      <c r="B204" t="s">
        <v>10895</v>
      </c>
      <c r="C204" s="5" t="s">
        <v>7806</v>
      </c>
      <c r="D204" s="1">
        <v>2</v>
      </c>
      <c r="E204" s="1">
        <v>6</v>
      </c>
      <c r="F204" s="1">
        <v>208</v>
      </c>
      <c r="G204" s="1">
        <v>218</v>
      </c>
      <c r="H204" s="13" cm="1">
        <f t="array" ref="H204">_xlfn.LET(_xlpm.s,IFERROR(--F204,""),_xlpm.e,IFERROR(--G204,""),IF(OR(_xlpm.s="",_xlpm.e="",_xlpm.e&lt;_xlpm.s),"",_xlfn.LET(_xlpm.p,_xlfn.SEQUENCE(_xlpm.e-_xlpm.s+1,1,_xlpm.s,1),SUM(1/COUNTIFS($D:$D,D204,$E:$E,E204,$F:$F,"&lt;&gt;N/A",$G:$G,"&lt;&gt;N/A",$F:$F,"&lt;="&amp;_xlpm.p,$G:$G,"&gt;="&amp;_xlpm.p)))))</f>
        <v>10.5</v>
      </c>
      <c r="I204" t="s">
        <v>1350</v>
      </c>
      <c r="J204" s="5" t="s">
        <v>1438</v>
      </c>
      <c r="K204" s="5" t="s">
        <v>7</v>
      </c>
      <c r="L204" s="5" t="s">
        <v>7</v>
      </c>
      <c r="M204" s="5" t="s">
        <v>7</v>
      </c>
      <c r="N204" s="5" t="s">
        <v>7</v>
      </c>
      <c r="O204" t="s">
        <v>778</v>
      </c>
      <c r="P204" t="s">
        <v>7834</v>
      </c>
      <c r="R204" s="1" t="b">
        <v>1</v>
      </c>
    </row>
    <row r="205" spans="1:18">
      <c r="A205" t="s">
        <v>3022</v>
      </c>
      <c r="B205" t="s">
        <v>10896</v>
      </c>
      <c r="C205" s="5" t="s">
        <v>7806</v>
      </c>
      <c r="D205" s="1">
        <v>2</v>
      </c>
      <c r="E205" s="1">
        <v>6</v>
      </c>
      <c r="F205" s="1">
        <v>218</v>
      </c>
      <c r="G205" s="1">
        <v>222</v>
      </c>
      <c r="H205" s="13" cm="1">
        <f t="array" ref="H205">_xlfn.LET(_xlpm.s,IFERROR(--F205,""),_xlpm.e,IFERROR(--G205,""),IF(OR(_xlpm.s="",_xlpm.e="",_xlpm.e&lt;_xlpm.s),"",_xlfn.LET(_xlpm.p,_xlfn.SEQUENCE(_xlpm.e-_xlpm.s+1,1,_xlpm.s,1),SUM(1/COUNTIFS($D:$D,D205,$E:$E,E205,$F:$F,"&lt;&gt;N/A",$G:$G,"&lt;&gt;N/A",$F:$F,"&lt;="&amp;_xlpm.p,$G:$G,"&gt;="&amp;_xlpm.p)))))</f>
        <v>4</v>
      </c>
      <c r="I205" t="s">
        <v>1350</v>
      </c>
      <c r="J205" s="5" t="s">
        <v>1439</v>
      </c>
      <c r="K205" s="5" t="s">
        <v>7</v>
      </c>
      <c r="L205" s="5" t="s">
        <v>7</v>
      </c>
      <c r="M205" s="5" t="s">
        <v>7</v>
      </c>
      <c r="N205" s="5" t="s">
        <v>7</v>
      </c>
      <c r="O205" t="s">
        <v>778</v>
      </c>
      <c r="P205" t="s">
        <v>7834</v>
      </c>
      <c r="R205" s="1" t="b">
        <v>1</v>
      </c>
    </row>
    <row r="206" spans="1:18">
      <c r="A206" t="s">
        <v>3022</v>
      </c>
      <c r="B206" t="s">
        <v>10897</v>
      </c>
      <c r="C206" s="5" t="s">
        <v>7806</v>
      </c>
      <c r="D206" s="1">
        <v>2</v>
      </c>
      <c r="E206" s="1">
        <v>6</v>
      </c>
      <c r="F206" s="1">
        <v>222</v>
      </c>
      <c r="G206" s="1">
        <v>226</v>
      </c>
      <c r="H206" s="13" cm="1">
        <f t="array" ref="H206">_xlfn.LET(_xlpm.s,IFERROR(--F206,""),_xlpm.e,IFERROR(--G206,""),IF(OR(_xlpm.s="",_xlpm.e="",_xlpm.e&lt;_xlpm.s),"",_xlfn.LET(_xlpm.p,_xlfn.SEQUENCE(_xlpm.e-_xlpm.s+1,1,_xlpm.s,1),SUM(1/COUNTIFS($D:$D,D206,$E:$E,E206,$F:$F,"&lt;&gt;N/A",$G:$G,"&lt;&gt;N/A",$F:$F,"&lt;="&amp;_xlpm.p,$G:$G,"&gt;="&amp;_xlpm.p)))))</f>
        <v>4</v>
      </c>
      <c r="I206" t="s">
        <v>1350</v>
      </c>
      <c r="J206" s="5" t="s">
        <v>1440</v>
      </c>
      <c r="K206" s="5" t="s">
        <v>7</v>
      </c>
      <c r="L206" s="5" t="s">
        <v>7</v>
      </c>
      <c r="M206" s="5" t="s">
        <v>7</v>
      </c>
      <c r="N206" s="5" t="s">
        <v>7</v>
      </c>
      <c r="O206" t="s">
        <v>778</v>
      </c>
      <c r="P206" t="s">
        <v>7834</v>
      </c>
      <c r="R206" s="1" t="b">
        <v>0</v>
      </c>
    </row>
    <row r="207" spans="1:18">
      <c r="A207" t="s">
        <v>3022</v>
      </c>
      <c r="B207" t="s">
        <v>10898</v>
      </c>
      <c r="C207" s="5" t="s">
        <v>7806</v>
      </c>
      <c r="D207" s="1">
        <v>2</v>
      </c>
      <c r="E207" s="1">
        <v>6</v>
      </c>
      <c r="F207" s="1">
        <v>226</v>
      </c>
      <c r="G207" s="1">
        <v>237</v>
      </c>
      <c r="H207" s="13" cm="1">
        <f t="array" ref="H207">_xlfn.LET(_xlpm.s,IFERROR(--F207,""),_xlpm.e,IFERROR(--G207,""),IF(OR(_xlpm.s="",_xlpm.e="",_xlpm.e&lt;_xlpm.s),"",_xlfn.LET(_xlpm.p,_xlfn.SEQUENCE(_xlpm.e-_xlpm.s+1,1,_xlpm.s,1),SUM(1/COUNTIFS($D:$D,D207,$E:$E,E207,$F:$F,"&lt;&gt;N/A",$G:$G,"&lt;&gt;N/A",$F:$F,"&lt;="&amp;_xlpm.p,$G:$G,"&gt;="&amp;_xlpm.p)))))</f>
        <v>11</v>
      </c>
      <c r="I207" t="s">
        <v>7</v>
      </c>
      <c r="J207" s="5" t="s">
        <v>1441</v>
      </c>
      <c r="K207" s="5" t="s">
        <v>4854</v>
      </c>
      <c r="L207" s="5" t="s">
        <v>7</v>
      </c>
      <c r="M207" s="5" t="s">
        <v>7</v>
      </c>
      <c r="N207" s="5" t="s">
        <v>7</v>
      </c>
      <c r="O207" t="s">
        <v>778</v>
      </c>
      <c r="P207" t="s">
        <v>7834</v>
      </c>
      <c r="R207" s="1" t="b">
        <v>1</v>
      </c>
    </row>
    <row r="208" spans="1:18">
      <c r="A208" t="s">
        <v>3022</v>
      </c>
      <c r="B208" t="s">
        <v>10899</v>
      </c>
      <c r="C208" s="5" t="s">
        <v>7806</v>
      </c>
      <c r="D208" s="1">
        <v>2</v>
      </c>
      <c r="E208" s="1">
        <v>6</v>
      </c>
      <c r="F208" s="1">
        <v>237</v>
      </c>
      <c r="G208" s="1">
        <v>243</v>
      </c>
      <c r="H208" s="13" cm="1">
        <f t="array" ref="H208">_xlfn.LET(_xlpm.s,IFERROR(--F208,""),_xlpm.e,IFERROR(--G208,""),IF(OR(_xlpm.s="",_xlpm.e="",_xlpm.e&lt;_xlpm.s),"",_xlfn.LET(_xlpm.p,_xlfn.SEQUENCE(_xlpm.e-_xlpm.s+1,1,_xlpm.s,1),SUM(1/COUNTIFS($D:$D,D208,$E:$E,E208,$F:$F,"&lt;&gt;N/A",$G:$G,"&lt;&gt;N/A",$F:$F,"&lt;="&amp;_xlpm.p,$G:$G,"&gt;="&amp;_xlpm.p)))))</f>
        <v>6</v>
      </c>
      <c r="I208" t="s">
        <v>7</v>
      </c>
      <c r="J208" s="5" t="s">
        <v>1442</v>
      </c>
      <c r="K208" s="5" t="s">
        <v>4855</v>
      </c>
      <c r="L208" s="5" t="s">
        <v>7</v>
      </c>
      <c r="M208" s="5" t="s">
        <v>7</v>
      </c>
      <c r="N208" t="s">
        <v>10129</v>
      </c>
      <c r="O208" t="s">
        <v>5072</v>
      </c>
      <c r="P208" t="s">
        <v>8021</v>
      </c>
      <c r="R208" s="1" t="b">
        <v>1</v>
      </c>
    </row>
    <row r="209" spans="1:18">
      <c r="A209" t="s">
        <v>3022</v>
      </c>
      <c r="B209" t="s">
        <v>10900</v>
      </c>
      <c r="C209" s="5" t="s">
        <v>7806</v>
      </c>
      <c r="D209" s="1">
        <v>2</v>
      </c>
      <c r="E209" s="1">
        <v>6</v>
      </c>
      <c r="F209" s="1">
        <v>243</v>
      </c>
      <c r="G209" s="1">
        <v>245</v>
      </c>
      <c r="H209" s="13" cm="1">
        <f t="array" ref="H209">_xlfn.LET(_xlpm.s,IFERROR(--F209,""),_xlpm.e,IFERROR(--G209,""),IF(OR(_xlpm.s="",_xlpm.e="",_xlpm.e&lt;_xlpm.s),"",_xlfn.LET(_xlpm.p,_xlfn.SEQUENCE(_xlpm.e-_xlpm.s+1,1,_xlpm.s,1),SUM(1/COUNTIFS($D:$D,D209,$E:$E,E209,$F:$F,"&lt;&gt;N/A",$G:$G,"&lt;&gt;N/A",$F:$F,"&lt;="&amp;_xlpm.p,$G:$G,"&gt;="&amp;_xlpm.p)))))</f>
        <v>2</v>
      </c>
      <c r="I209" t="s">
        <v>7</v>
      </c>
      <c r="J209" s="5" t="s">
        <v>4045</v>
      </c>
      <c r="K209" s="5" t="s">
        <v>7</v>
      </c>
      <c r="L209" s="5" t="s">
        <v>7</v>
      </c>
      <c r="M209" s="5" t="s">
        <v>7</v>
      </c>
      <c r="N209" s="5" t="s">
        <v>7</v>
      </c>
      <c r="O209" t="s">
        <v>778</v>
      </c>
      <c r="P209" t="s">
        <v>7834</v>
      </c>
      <c r="R209" s="1" t="b">
        <v>1</v>
      </c>
    </row>
    <row r="210" spans="1:18">
      <c r="A210" t="s">
        <v>3022</v>
      </c>
      <c r="B210" t="s">
        <v>10901</v>
      </c>
      <c r="C210" s="5" t="s">
        <v>7806</v>
      </c>
      <c r="D210" s="1">
        <v>2</v>
      </c>
      <c r="E210" s="1">
        <v>6</v>
      </c>
      <c r="F210" s="1">
        <v>245</v>
      </c>
      <c r="G210" s="1">
        <v>246</v>
      </c>
      <c r="H210" s="13" cm="1">
        <f t="array" ref="H210">_xlfn.LET(_xlpm.s,IFERROR(--F210,""),_xlpm.e,IFERROR(--G210,""),IF(OR(_xlpm.s="",_xlpm.e="",_xlpm.e&lt;_xlpm.s),"",_xlfn.LET(_xlpm.p,_xlfn.SEQUENCE(_xlpm.e-_xlpm.s+1,1,_xlpm.s,1),SUM(1/COUNTIFS($D:$D,D210,$E:$E,E210,$F:$F,"&lt;&gt;N/A",$G:$G,"&lt;&gt;N/A",$F:$F,"&lt;="&amp;_xlpm.p,$G:$G,"&gt;="&amp;_xlpm.p)))))</f>
        <v>1</v>
      </c>
      <c r="I210" t="s">
        <v>7</v>
      </c>
      <c r="J210" s="5" t="s">
        <v>4044</v>
      </c>
      <c r="K210" s="5" t="s">
        <v>7</v>
      </c>
      <c r="L210" s="5" t="s">
        <v>7471</v>
      </c>
      <c r="M210" s="5" t="s">
        <v>7</v>
      </c>
      <c r="N210" s="5" t="s">
        <v>7</v>
      </c>
      <c r="O210" t="s">
        <v>5072</v>
      </c>
      <c r="P210" t="s">
        <v>8021</v>
      </c>
      <c r="R210" s="1" t="b">
        <v>1</v>
      </c>
    </row>
    <row r="211" spans="1:18">
      <c r="A211" t="s">
        <v>3022</v>
      </c>
      <c r="B211" t="s">
        <v>10892</v>
      </c>
      <c r="C211" s="5" t="s">
        <v>7806</v>
      </c>
      <c r="D211" s="1">
        <v>2</v>
      </c>
      <c r="E211" s="1">
        <v>6</v>
      </c>
      <c r="F211" s="1">
        <v>246</v>
      </c>
      <c r="G211" s="1">
        <v>246</v>
      </c>
      <c r="H211" s="13" cm="1">
        <f t="array" ref="H211">_xlfn.LET(_xlpm.s,IFERROR(--F211,""),_xlpm.e,IFERROR(--G211,""),IF(OR(_xlpm.s="",_xlpm.e="",_xlpm.e&lt;_xlpm.s),"",_xlfn.LET(_xlpm.p,_xlfn.SEQUENCE(_xlpm.e-_xlpm.s+1,1,_xlpm.s,1),SUM(1/COUNTIFS($D:$D,D211,$E:$E,E211,$F:$F,"&lt;&gt;N/A",$G:$G,"&lt;&gt;N/A",$F:$F,"&lt;="&amp;_xlpm.p,$G:$G,"&gt;="&amp;_xlpm.p)))))</f>
        <v>0.5</v>
      </c>
      <c r="I211" t="s">
        <v>7</v>
      </c>
      <c r="J211" s="5" t="s">
        <v>4043</v>
      </c>
      <c r="K211" s="5" t="s">
        <v>4856</v>
      </c>
      <c r="L211" s="5" t="s">
        <v>7</v>
      </c>
      <c r="M211" s="5" t="s">
        <v>7</v>
      </c>
      <c r="N211" s="5" t="s">
        <v>2980</v>
      </c>
      <c r="O211" t="s">
        <v>5072</v>
      </c>
      <c r="P211" t="s">
        <v>8021</v>
      </c>
      <c r="R211" s="1" t="b">
        <v>1</v>
      </c>
    </row>
    <row r="212" spans="1:18">
      <c r="A212" t="s">
        <v>3022</v>
      </c>
      <c r="B212" t="s">
        <v>10888</v>
      </c>
      <c r="C212" s="5" t="s">
        <v>7729</v>
      </c>
      <c r="D212" s="1">
        <v>2</v>
      </c>
      <c r="E212" s="1">
        <v>7</v>
      </c>
      <c r="F212" s="1">
        <v>247</v>
      </c>
      <c r="G212" s="1">
        <v>259</v>
      </c>
      <c r="H212" s="13" cm="1">
        <f t="array" ref="H212">_xlfn.LET(_xlpm.s,IFERROR(--F212,""),_xlpm.e,IFERROR(--G212,""),IF(OR(_xlpm.s="",_xlpm.e="",_xlpm.e&lt;_xlpm.s),"",_xlfn.LET(_xlpm.p,_xlfn.SEQUENCE(_xlpm.e-_xlpm.s+1,1,_xlpm.s,1),SUM(1/COUNTIFS($D:$D,D212,$E:$E,E212,$F:$F,"&lt;&gt;N/A",$G:$G,"&lt;&gt;N/A",$F:$F,"&lt;="&amp;_xlpm.p,$G:$G,"&gt;="&amp;_xlpm.p)))))</f>
        <v>12.5</v>
      </c>
      <c r="I212" t="s">
        <v>1350</v>
      </c>
      <c r="J212" s="5" t="s">
        <v>1443</v>
      </c>
      <c r="K212" s="5" t="s">
        <v>618</v>
      </c>
      <c r="L212" s="5" t="s">
        <v>7</v>
      </c>
      <c r="M212" s="5" t="s">
        <v>7</v>
      </c>
      <c r="N212" s="5" t="s">
        <v>7</v>
      </c>
      <c r="O212" t="s">
        <v>778</v>
      </c>
      <c r="P212" t="s">
        <v>7834</v>
      </c>
      <c r="R212" s="1" t="b">
        <v>1</v>
      </c>
    </row>
    <row r="213" spans="1:18">
      <c r="A213" t="s">
        <v>3022</v>
      </c>
      <c r="B213" t="s">
        <v>10889</v>
      </c>
      <c r="C213" s="5" t="s">
        <v>7729</v>
      </c>
      <c r="D213" s="1">
        <v>2</v>
      </c>
      <c r="E213" s="1">
        <v>7</v>
      </c>
      <c r="F213" s="1">
        <v>259</v>
      </c>
      <c r="G213" s="1">
        <v>270</v>
      </c>
      <c r="H213" s="13" cm="1">
        <f t="array" ref="H213">_xlfn.LET(_xlpm.s,IFERROR(--F213,""),_xlpm.e,IFERROR(--G213,""),IF(OR(_xlpm.s="",_xlpm.e="",_xlpm.e&lt;_xlpm.s),"",_xlfn.LET(_xlpm.p,_xlfn.SEQUENCE(_xlpm.e-_xlpm.s+1,1,_xlpm.s,1),SUM(1/COUNTIFS($D:$D,D213,$E:$E,E213,$F:$F,"&lt;&gt;N/A",$G:$G,"&lt;&gt;N/A",$F:$F,"&lt;="&amp;_xlpm.p,$G:$G,"&gt;="&amp;_xlpm.p)))))</f>
        <v>11</v>
      </c>
      <c r="I213" t="s">
        <v>7</v>
      </c>
      <c r="J213" s="5" t="s">
        <v>1444</v>
      </c>
      <c r="K213" s="5" t="s">
        <v>4857</v>
      </c>
      <c r="L213" s="5" t="s">
        <v>4858</v>
      </c>
      <c r="M213" s="5" t="s">
        <v>7</v>
      </c>
      <c r="N213" s="5" t="s">
        <v>2981</v>
      </c>
      <c r="O213" t="s">
        <v>5072</v>
      </c>
      <c r="P213" t="s">
        <v>8021</v>
      </c>
      <c r="R213" s="1" t="b">
        <v>1</v>
      </c>
    </row>
    <row r="214" spans="1:18">
      <c r="A214" t="s">
        <v>3022</v>
      </c>
      <c r="B214" t="s">
        <v>10890</v>
      </c>
      <c r="C214" s="5" t="s">
        <v>7729</v>
      </c>
      <c r="D214" s="1">
        <v>2</v>
      </c>
      <c r="E214" s="1">
        <v>7</v>
      </c>
      <c r="F214" s="1">
        <v>270</v>
      </c>
      <c r="G214" s="1">
        <v>276</v>
      </c>
      <c r="H214" s="13" cm="1">
        <f t="array" ref="H214">_xlfn.LET(_xlpm.s,IFERROR(--F214,""),_xlpm.e,IFERROR(--G214,""),IF(OR(_xlpm.s="",_xlpm.e="",_xlpm.e&lt;_xlpm.s),"",_xlfn.LET(_xlpm.p,_xlfn.SEQUENCE(_xlpm.e-_xlpm.s+1,1,_xlpm.s,1),SUM(1/COUNTIFS($D:$D,D214,$E:$E,E214,$F:$F,"&lt;&gt;N/A",$G:$G,"&lt;&gt;N/A",$F:$F,"&lt;="&amp;_xlpm.p,$G:$G,"&gt;="&amp;_xlpm.p)))))</f>
        <v>6</v>
      </c>
      <c r="I214" t="s">
        <v>7</v>
      </c>
      <c r="J214" s="5" t="s">
        <v>1445</v>
      </c>
      <c r="K214" s="5" t="s">
        <v>4854</v>
      </c>
      <c r="L214" s="5" t="s">
        <v>7</v>
      </c>
      <c r="M214" s="5" t="s">
        <v>7</v>
      </c>
      <c r="N214" s="5" t="s">
        <v>7</v>
      </c>
      <c r="O214" t="s">
        <v>778</v>
      </c>
      <c r="P214" t="s">
        <v>7834</v>
      </c>
      <c r="R214" s="1" t="b">
        <v>1</v>
      </c>
    </row>
    <row r="215" spans="1:18">
      <c r="A215" t="s">
        <v>3022</v>
      </c>
      <c r="B215" t="s">
        <v>10891</v>
      </c>
      <c r="C215" s="5" t="s">
        <v>7729</v>
      </c>
      <c r="D215" s="1">
        <v>2</v>
      </c>
      <c r="E215" s="1">
        <v>7</v>
      </c>
      <c r="F215" s="1">
        <v>276</v>
      </c>
      <c r="G215" s="1">
        <v>278</v>
      </c>
      <c r="H215" s="13" cm="1">
        <f t="array" ref="H215">_xlfn.LET(_xlpm.s,IFERROR(--F215,""),_xlpm.e,IFERROR(--G215,""),IF(OR(_xlpm.s="",_xlpm.e="",_xlpm.e&lt;_xlpm.s),"",_xlfn.LET(_xlpm.p,_xlfn.SEQUENCE(_xlpm.e-_xlpm.s+1,1,_xlpm.s,1),SUM(1/COUNTIFS($D:$D,D215,$E:$E,E215,$F:$F,"&lt;&gt;N/A",$G:$G,"&lt;&gt;N/A",$F:$F,"&lt;="&amp;_xlpm.p,$G:$G,"&gt;="&amp;_xlpm.p)))))</f>
        <v>2.5</v>
      </c>
      <c r="I215" t="s">
        <v>7</v>
      </c>
      <c r="J215" s="5" t="s">
        <v>1446</v>
      </c>
      <c r="K215" s="5" t="s">
        <v>7</v>
      </c>
      <c r="L215" s="5" t="s">
        <v>7</v>
      </c>
      <c r="M215" s="5" t="s">
        <v>7</v>
      </c>
      <c r="N215" s="5" t="s">
        <v>7</v>
      </c>
      <c r="O215" t="s">
        <v>778</v>
      </c>
      <c r="P215" t="s">
        <v>7834</v>
      </c>
      <c r="R215" s="1" t="b">
        <v>1</v>
      </c>
    </row>
    <row r="216" spans="1:18">
      <c r="A216" t="s">
        <v>3022</v>
      </c>
      <c r="B216" t="s">
        <v>10879</v>
      </c>
      <c r="C216" s="5" t="s">
        <v>7730</v>
      </c>
      <c r="D216" s="1">
        <v>2</v>
      </c>
      <c r="E216" s="1">
        <v>8</v>
      </c>
      <c r="F216" s="1">
        <v>279</v>
      </c>
      <c r="G216" s="1">
        <v>280</v>
      </c>
      <c r="H216" s="13" cm="1">
        <f t="array" ref="H216">_xlfn.LET(_xlpm.s,IFERROR(--F216,""),_xlpm.e,IFERROR(--G216,""),IF(OR(_xlpm.s="",_xlpm.e="",_xlpm.e&lt;_xlpm.s),"",_xlfn.LET(_xlpm.p,_xlfn.SEQUENCE(_xlpm.e-_xlpm.s+1,1,_xlpm.s,1),SUM(1/COUNTIFS($D:$D,D216,$E:$E,E216,$F:$F,"&lt;&gt;N/A",$G:$G,"&lt;&gt;N/A",$F:$F,"&lt;="&amp;_xlpm.p,$G:$G,"&gt;="&amp;_xlpm.p)))))</f>
        <v>1.5</v>
      </c>
      <c r="I216" t="s">
        <v>1350</v>
      </c>
      <c r="J216" s="5" t="s">
        <v>1447</v>
      </c>
      <c r="K216" s="5" t="s">
        <v>7</v>
      </c>
      <c r="L216" s="5" t="s">
        <v>7</v>
      </c>
      <c r="M216" s="5" t="s">
        <v>7</v>
      </c>
      <c r="N216" s="5" t="s">
        <v>7</v>
      </c>
      <c r="O216" t="s">
        <v>778</v>
      </c>
      <c r="P216" t="s">
        <v>7834</v>
      </c>
      <c r="R216" s="1" t="b">
        <v>1</v>
      </c>
    </row>
    <row r="217" spans="1:18">
      <c r="A217" t="s">
        <v>3022</v>
      </c>
      <c r="B217" t="s">
        <v>10880</v>
      </c>
      <c r="C217" s="5" t="s">
        <v>7730</v>
      </c>
      <c r="D217" s="1">
        <v>2</v>
      </c>
      <c r="E217" s="1">
        <v>8</v>
      </c>
      <c r="F217" s="1">
        <v>280</v>
      </c>
      <c r="G217" s="1">
        <v>287</v>
      </c>
      <c r="H217" s="13" cm="1">
        <f t="array" ref="H217">_xlfn.LET(_xlpm.s,IFERROR(--F217,""),_xlpm.e,IFERROR(--G217,""),IF(OR(_xlpm.s="",_xlpm.e="",_xlpm.e&lt;_xlpm.s),"",_xlfn.LET(_xlpm.p,_xlfn.SEQUENCE(_xlpm.e-_xlpm.s+1,1,_xlpm.s,1),SUM(1/COUNTIFS($D:$D,D217,$E:$E,E217,$F:$F,"&lt;&gt;N/A",$G:$G,"&lt;&gt;N/A",$F:$F,"&lt;="&amp;_xlpm.p,$G:$G,"&gt;="&amp;_xlpm.p)))))</f>
        <v>7</v>
      </c>
      <c r="I217" t="s">
        <v>1350</v>
      </c>
      <c r="J217" s="5" t="s">
        <v>1448</v>
      </c>
      <c r="K217" s="5" t="s">
        <v>7</v>
      </c>
      <c r="L217" s="5" t="s">
        <v>7</v>
      </c>
      <c r="M217" s="5" t="s">
        <v>7</v>
      </c>
      <c r="N217" s="5" t="s">
        <v>7</v>
      </c>
      <c r="O217" t="s">
        <v>778</v>
      </c>
      <c r="P217" t="s">
        <v>7834</v>
      </c>
      <c r="R217" s="1" t="b">
        <v>0</v>
      </c>
    </row>
    <row r="218" spans="1:18">
      <c r="A218" t="s">
        <v>3022</v>
      </c>
      <c r="B218" t="s">
        <v>10881</v>
      </c>
      <c r="C218" s="5" t="s">
        <v>7730</v>
      </c>
      <c r="D218" s="1">
        <v>2</v>
      </c>
      <c r="E218" s="1">
        <v>8</v>
      </c>
      <c r="F218" s="1">
        <v>287</v>
      </c>
      <c r="G218" s="1">
        <v>288</v>
      </c>
      <c r="H218" s="13" cm="1">
        <f t="array" ref="H218">_xlfn.LET(_xlpm.s,IFERROR(--F218,""),_xlpm.e,IFERROR(--G218,""),IF(OR(_xlpm.s="",_xlpm.e="",_xlpm.e&lt;_xlpm.s),"",_xlfn.LET(_xlpm.p,_xlfn.SEQUENCE(_xlpm.e-_xlpm.s+1,1,_xlpm.s,1),SUM(1/COUNTIFS($D:$D,D218,$E:$E,E218,$F:$F,"&lt;&gt;N/A",$G:$G,"&lt;&gt;N/A",$F:$F,"&lt;="&amp;_xlpm.p,$G:$G,"&gt;="&amp;_xlpm.p)))))</f>
        <v>1</v>
      </c>
      <c r="I218" t="s">
        <v>1350</v>
      </c>
      <c r="J218" s="5" t="s">
        <v>1449</v>
      </c>
      <c r="K218" s="5" t="s">
        <v>7</v>
      </c>
      <c r="L218" s="5" t="s">
        <v>7</v>
      </c>
      <c r="M218" s="5" t="s">
        <v>7</v>
      </c>
      <c r="N218" s="5" t="s">
        <v>7</v>
      </c>
      <c r="O218" t="s">
        <v>778</v>
      </c>
      <c r="P218" t="s">
        <v>7834</v>
      </c>
      <c r="R218" s="1" t="b">
        <v>1</v>
      </c>
    </row>
    <row r="219" spans="1:18">
      <c r="A219" t="s">
        <v>3022</v>
      </c>
      <c r="B219" t="s">
        <v>10882</v>
      </c>
      <c r="C219" s="5" t="s">
        <v>7730</v>
      </c>
      <c r="D219" s="1">
        <v>2</v>
      </c>
      <c r="E219" s="1">
        <v>8</v>
      </c>
      <c r="F219" s="1">
        <v>288</v>
      </c>
      <c r="G219" s="1">
        <v>290</v>
      </c>
      <c r="H219" s="13" cm="1">
        <f t="array" ref="H219">_xlfn.LET(_xlpm.s,IFERROR(--F219,""),_xlpm.e,IFERROR(--G219,""),IF(OR(_xlpm.s="",_xlpm.e="",_xlpm.e&lt;_xlpm.s),"",_xlfn.LET(_xlpm.p,_xlfn.SEQUENCE(_xlpm.e-_xlpm.s+1,1,_xlpm.s,1),SUM(1/COUNTIFS($D:$D,D219,$E:$E,E219,$F:$F,"&lt;&gt;N/A",$G:$G,"&lt;&gt;N/A",$F:$F,"&lt;="&amp;_xlpm.p,$G:$G,"&gt;="&amp;_xlpm.p)))))</f>
        <v>2.5</v>
      </c>
      <c r="I219" t="s">
        <v>1350</v>
      </c>
      <c r="J219" s="5" t="s">
        <v>1450</v>
      </c>
      <c r="K219" s="5" t="s">
        <v>7</v>
      </c>
      <c r="L219" s="5" t="s">
        <v>7</v>
      </c>
      <c r="M219" s="5" t="s">
        <v>7</v>
      </c>
      <c r="N219" s="5" t="s">
        <v>7</v>
      </c>
      <c r="O219" t="s">
        <v>778</v>
      </c>
      <c r="P219" t="s">
        <v>7834</v>
      </c>
      <c r="R219" s="1" t="b">
        <v>0</v>
      </c>
    </row>
    <row r="220" spans="1:18">
      <c r="A220" t="s">
        <v>3022</v>
      </c>
      <c r="B220" t="s">
        <v>10883</v>
      </c>
      <c r="C220" s="5" t="s">
        <v>7730</v>
      </c>
      <c r="D220" s="1">
        <v>2</v>
      </c>
      <c r="E220" s="1">
        <v>8</v>
      </c>
      <c r="F220" s="1">
        <v>291</v>
      </c>
      <c r="G220" s="1">
        <v>291</v>
      </c>
      <c r="H220" s="13" cm="1">
        <f t="array" ref="H220">_xlfn.LET(_xlpm.s,IFERROR(--F220,""),_xlpm.e,IFERROR(--G220,""),IF(OR(_xlpm.s="",_xlpm.e="",_xlpm.e&lt;_xlpm.s),"",_xlfn.LET(_xlpm.p,_xlfn.SEQUENCE(_xlpm.e-_xlpm.s+1,1,_xlpm.s,1),SUM(1/COUNTIFS($D:$D,D220,$E:$E,E220,$F:$F,"&lt;&gt;N/A",$G:$G,"&lt;&gt;N/A",$F:$F,"&lt;="&amp;_xlpm.p,$G:$G,"&gt;="&amp;_xlpm.p)))))</f>
        <v>0.5</v>
      </c>
      <c r="I220" t="s">
        <v>1350</v>
      </c>
      <c r="J220" s="5" t="s">
        <v>1451</v>
      </c>
      <c r="K220" s="5" t="s">
        <v>7</v>
      </c>
      <c r="L220" s="5" t="s">
        <v>7</v>
      </c>
      <c r="M220" s="5" t="s">
        <v>7</v>
      </c>
      <c r="N220" s="5" t="s">
        <v>7</v>
      </c>
      <c r="O220" t="s">
        <v>778</v>
      </c>
      <c r="P220" t="s">
        <v>7834</v>
      </c>
      <c r="R220" s="1" t="b">
        <v>0</v>
      </c>
    </row>
    <row r="221" spans="1:18">
      <c r="A221" t="s">
        <v>3022</v>
      </c>
      <c r="B221" t="s">
        <v>10884</v>
      </c>
      <c r="C221" s="5" t="s">
        <v>7730</v>
      </c>
      <c r="D221" s="1">
        <v>2</v>
      </c>
      <c r="E221" s="1">
        <v>8</v>
      </c>
      <c r="F221" s="1">
        <v>291</v>
      </c>
      <c r="G221" s="1">
        <v>292</v>
      </c>
      <c r="H221" s="13" cm="1">
        <f t="array" ref="H221">_xlfn.LET(_xlpm.s,IFERROR(--F221,""),_xlpm.e,IFERROR(--G221,""),IF(OR(_xlpm.s="",_xlpm.e="",_xlpm.e&lt;_xlpm.s),"",_xlfn.LET(_xlpm.p,_xlfn.SEQUENCE(_xlpm.e-_xlpm.s+1,1,_xlpm.s,1),SUM(1/COUNTIFS($D:$D,D221,$E:$E,E221,$F:$F,"&lt;&gt;N/A",$G:$G,"&lt;&gt;N/A",$F:$F,"&lt;="&amp;_xlpm.p,$G:$G,"&gt;="&amp;_xlpm.p)))))</f>
        <v>0.83333333333333326</v>
      </c>
      <c r="I221" t="s">
        <v>1350</v>
      </c>
      <c r="J221" s="5" t="s">
        <v>1452</v>
      </c>
      <c r="K221" s="5" t="s">
        <v>7</v>
      </c>
      <c r="L221" s="5" t="s">
        <v>7</v>
      </c>
      <c r="M221" s="5" t="s">
        <v>7</v>
      </c>
      <c r="N221" s="5" t="s">
        <v>7</v>
      </c>
      <c r="O221" t="s">
        <v>778</v>
      </c>
      <c r="P221" t="s">
        <v>7834</v>
      </c>
      <c r="R221" s="1" t="b">
        <v>0</v>
      </c>
    </row>
    <row r="222" spans="1:18">
      <c r="A222" t="s">
        <v>3022</v>
      </c>
      <c r="B222" t="s">
        <v>10885</v>
      </c>
      <c r="C222" s="5" t="s">
        <v>7730</v>
      </c>
      <c r="D222" s="1">
        <v>2</v>
      </c>
      <c r="E222" s="1">
        <v>8</v>
      </c>
      <c r="F222" s="1">
        <v>292</v>
      </c>
      <c r="G222" s="1">
        <v>292</v>
      </c>
      <c r="H222" s="13" cm="1">
        <f t="array" ref="H222">_xlfn.LET(_xlpm.s,IFERROR(--F222,""),_xlpm.e,IFERROR(--G222,""),IF(OR(_xlpm.s="",_xlpm.e="",_xlpm.e&lt;_xlpm.s),"",_xlfn.LET(_xlpm.p,_xlfn.SEQUENCE(_xlpm.e-_xlpm.s+1,1,_xlpm.s,1),SUM(1/COUNTIFS($D:$D,D222,$E:$E,E222,$F:$F,"&lt;&gt;N/A",$G:$G,"&lt;&gt;N/A",$F:$F,"&lt;="&amp;_xlpm.p,$G:$G,"&gt;="&amp;_xlpm.p)))))</f>
        <v>0.33333333333333331</v>
      </c>
      <c r="I222" t="s">
        <v>1350</v>
      </c>
      <c r="J222" s="5" t="s">
        <v>1453</v>
      </c>
      <c r="K222" s="5" t="s">
        <v>7</v>
      </c>
      <c r="L222" s="5" t="s">
        <v>7</v>
      </c>
      <c r="M222" s="5" t="s">
        <v>7</v>
      </c>
      <c r="N222" s="5" t="s">
        <v>7</v>
      </c>
      <c r="O222" t="s">
        <v>778</v>
      </c>
      <c r="P222" t="s">
        <v>7834</v>
      </c>
      <c r="R222" s="1" t="b">
        <v>0</v>
      </c>
    </row>
    <row r="223" spans="1:18">
      <c r="A223" t="s">
        <v>3022</v>
      </c>
      <c r="B223" t="s">
        <v>10886</v>
      </c>
      <c r="C223" s="5" t="s">
        <v>7730</v>
      </c>
      <c r="D223" s="1">
        <v>2</v>
      </c>
      <c r="E223" s="1">
        <v>8</v>
      </c>
      <c r="F223" s="1">
        <v>292</v>
      </c>
      <c r="G223" s="1">
        <v>301</v>
      </c>
      <c r="H223" s="13" cm="1">
        <f t="array" ref="H223">_xlfn.LET(_xlpm.s,IFERROR(--F223,""),_xlpm.e,IFERROR(--G223,""),IF(OR(_xlpm.s="",_xlpm.e="",_xlpm.e&lt;_xlpm.s),"",_xlfn.LET(_xlpm.p,_xlfn.SEQUENCE(_xlpm.e-_xlpm.s+1,1,_xlpm.s,1),SUM(1/COUNTIFS($D:$D,D223,$E:$E,E223,$F:$F,"&lt;&gt;N/A",$G:$G,"&lt;&gt;N/A",$F:$F,"&lt;="&amp;_xlpm.p,$G:$G,"&gt;="&amp;_xlpm.p)))))</f>
        <v>8.8333333333333321</v>
      </c>
      <c r="I223" t="s">
        <v>7</v>
      </c>
      <c r="J223" s="5" t="s">
        <v>1454</v>
      </c>
      <c r="K223" s="5" t="s">
        <v>7</v>
      </c>
      <c r="L223" s="5" t="s">
        <v>7</v>
      </c>
      <c r="M223" s="5" t="s">
        <v>7</v>
      </c>
      <c r="N223" s="5" t="s">
        <v>7</v>
      </c>
      <c r="O223" t="s">
        <v>778</v>
      </c>
      <c r="P223" t="s">
        <v>7834</v>
      </c>
      <c r="R223" s="1" t="b">
        <v>1</v>
      </c>
    </row>
    <row r="224" spans="1:18">
      <c r="A224" t="s">
        <v>3022</v>
      </c>
      <c r="B224" t="s">
        <v>10887</v>
      </c>
      <c r="C224" s="5" t="s">
        <v>7730</v>
      </c>
      <c r="D224" s="1">
        <v>2</v>
      </c>
      <c r="E224" s="1">
        <v>8</v>
      </c>
      <c r="F224" s="1">
        <v>301</v>
      </c>
      <c r="G224" s="1">
        <v>316</v>
      </c>
      <c r="H224" s="13" cm="1">
        <f t="array" ref="H224">_xlfn.LET(_xlpm.s,IFERROR(--F224,""),_xlpm.e,IFERROR(--G224,""),IF(OR(_xlpm.s="",_xlpm.e="",_xlpm.e&lt;_xlpm.s),"",_xlfn.LET(_xlpm.p,_xlfn.SEQUENCE(_xlpm.e-_xlpm.s+1,1,_xlpm.s,1),SUM(1/COUNTIFS($D:$D,D224,$E:$E,E224,$F:$F,"&lt;&gt;N/A",$G:$G,"&lt;&gt;N/A",$F:$F,"&lt;="&amp;_xlpm.p,$G:$G,"&gt;="&amp;_xlpm.p)))))</f>
        <v>14.833333333333334</v>
      </c>
      <c r="I224" t="s">
        <v>7</v>
      </c>
      <c r="J224" s="5" t="s">
        <v>1445</v>
      </c>
      <c r="K224" s="5" t="s">
        <v>4854</v>
      </c>
      <c r="L224" s="5" t="s">
        <v>7</v>
      </c>
      <c r="M224" s="5" t="s">
        <v>7</v>
      </c>
      <c r="N224" s="5" t="s">
        <v>7</v>
      </c>
      <c r="O224" t="s">
        <v>778</v>
      </c>
      <c r="P224" t="s">
        <v>7834</v>
      </c>
      <c r="R224" s="1" t="b">
        <v>1</v>
      </c>
    </row>
    <row r="225" spans="1:18">
      <c r="A225" t="s">
        <v>3022</v>
      </c>
      <c r="B225" t="s">
        <v>10878</v>
      </c>
      <c r="C225" s="5" t="s">
        <v>7730</v>
      </c>
      <c r="D225" s="1">
        <v>2</v>
      </c>
      <c r="E225" s="1">
        <v>8</v>
      </c>
      <c r="F225" s="1">
        <v>316</v>
      </c>
      <c r="G225" s="1">
        <v>316</v>
      </c>
      <c r="H225" s="13" cm="1">
        <f t="array" ref="H225">_xlfn.LET(_xlpm.s,IFERROR(--F225,""),_xlpm.e,IFERROR(--G225,""),IF(OR(_xlpm.s="",_xlpm.e="",_xlpm.e&lt;_xlpm.s),"",_xlfn.LET(_xlpm.p,_xlfn.SEQUENCE(_xlpm.e-_xlpm.s+1,1,_xlpm.s,1),SUM(1/COUNTIFS($D:$D,D225,$E:$E,E225,$F:$F,"&lt;&gt;N/A",$G:$G,"&lt;&gt;N/A",$F:$F,"&lt;="&amp;_xlpm.p,$G:$G,"&gt;="&amp;_xlpm.p)))))</f>
        <v>0.33333333333333331</v>
      </c>
      <c r="I225" t="s">
        <v>208</v>
      </c>
      <c r="J225" s="5" t="s">
        <v>4042</v>
      </c>
      <c r="K225" s="5" t="s">
        <v>7</v>
      </c>
      <c r="L225" s="5" t="s">
        <v>7513</v>
      </c>
      <c r="M225" s="5" t="s">
        <v>7</v>
      </c>
      <c r="N225" t="s">
        <v>7514</v>
      </c>
      <c r="O225" t="s">
        <v>5072</v>
      </c>
      <c r="P225" t="s">
        <v>8021</v>
      </c>
      <c r="R225" s="1" t="b">
        <v>1</v>
      </c>
    </row>
    <row r="226" spans="1:18">
      <c r="A226" t="s">
        <v>3022</v>
      </c>
      <c r="B226" t="s">
        <v>10877</v>
      </c>
      <c r="C226" s="5" t="s">
        <v>7730</v>
      </c>
      <c r="D226" s="1">
        <v>2</v>
      </c>
      <c r="E226" s="1">
        <v>8</v>
      </c>
      <c r="F226" s="1">
        <v>316</v>
      </c>
      <c r="G226" s="1">
        <v>317</v>
      </c>
      <c r="H226" s="13" cm="1">
        <f t="array" ref="H226">_xlfn.LET(_xlpm.s,IFERROR(--F226,""),_xlpm.e,IFERROR(--G226,""),IF(OR(_xlpm.s="",_xlpm.e="",_xlpm.e&lt;_xlpm.s),"",_xlfn.LET(_xlpm.p,_xlfn.SEQUENCE(_xlpm.e-_xlpm.s+1,1,_xlpm.s,1),SUM(1/COUNTIFS($D:$D,D226,$E:$E,E226,$F:$F,"&lt;&gt;N/A",$G:$G,"&lt;&gt;N/A",$F:$F,"&lt;="&amp;_xlpm.p,$G:$G,"&gt;="&amp;_xlpm.p)))))</f>
        <v>1.3333333333333333</v>
      </c>
      <c r="I226" t="s">
        <v>208</v>
      </c>
      <c r="J226" s="5" t="s">
        <v>7222</v>
      </c>
      <c r="K226" s="5" t="s">
        <v>4856</v>
      </c>
      <c r="L226" s="5" t="s">
        <v>7</v>
      </c>
      <c r="M226" s="5" t="s">
        <v>7</v>
      </c>
      <c r="N226" s="5" t="s">
        <v>7</v>
      </c>
      <c r="O226" t="s">
        <v>11522</v>
      </c>
      <c r="P226" t="s">
        <v>7</v>
      </c>
      <c r="R226" s="1" t="b">
        <v>1</v>
      </c>
    </row>
    <row r="227" spans="1:18">
      <c r="A227" t="s">
        <v>3022</v>
      </c>
      <c r="B227" t="s">
        <v>10876</v>
      </c>
      <c r="C227" s="5" t="s">
        <v>7730</v>
      </c>
      <c r="D227" s="1">
        <v>2</v>
      </c>
      <c r="E227" s="1">
        <v>8</v>
      </c>
      <c r="F227" s="1">
        <v>318</v>
      </c>
      <c r="G227" s="1">
        <v>318</v>
      </c>
      <c r="H227" s="13" cm="1">
        <f t="array" ref="H227">_xlfn.LET(_xlpm.s,IFERROR(--F227,""),_xlpm.e,IFERROR(--G227,""),IF(OR(_xlpm.s="",_xlpm.e="",_xlpm.e&lt;_xlpm.s),"",_xlfn.LET(_xlpm.p,_xlfn.SEQUENCE(_xlpm.e-_xlpm.s+1,1,_xlpm.s,1),SUM(1/COUNTIFS($D:$D,D227,$E:$E,E227,$F:$F,"&lt;&gt;N/A",$G:$G,"&lt;&gt;N/A",$F:$F,"&lt;="&amp;_xlpm.p,$G:$G,"&gt;="&amp;_xlpm.p)))))</f>
        <v>1</v>
      </c>
      <c r="I227" t="s">
        <v>208</v>
      </c>
      <c r="J227" s="5" t="s">
        <v>1374</v>
      </c>
      <c r="K227" s="5" t="s">
        <v>7</v>
      </c>
      <c r="L227" s="5" t="s">
        <v>7</v>
      </c>
      <c r="M227" s="5" t="s">
        <v>7</v>
      </c>
      <c r="N227" s="5" t="s">
        <v>7</v>
      </c>
      <c r="O227" t="s">
        <v>778</v>
      </c>
      <c r="P227" t="s">
        <v>7834</v>
      </c>
      <c r="R227" s="1" t="b">
        <v>1</v>
      </c>
    </row>
    <row r="228" spans="1:18">
      <c r="A228" t="s">
        <v>3022</v>
      </c>
      <c r="B228" t="s">
        <v>10874</v>
      </c>
      <c r="C228" s="5" t="s">
        <v>7731</v>
      </c>
      <c r="D228" s="1">
        <v>2</v>
      </c>
      <c r="E228" s="1">
        <v>9</v>
      </c>
      <c r="F228" s="1">
        <v>319</v>
      </c>
      <c r="G228" s="1">
        <v>330</v>
      </c>
      <c r="H228" s="13" cm="1">
        <f t="array" ref="H228">_xlfn.LET(_xlpm.s,IFERROR(--F228,""),_xlpm.e,IFERROR(--G228,""),IF(OR(_xlpm.s="",_xlpm.e="",_xlpm.e&lt;_xlpm.s),"",_xlfn.LET(_xlpm.p,_xlfn.SEQUENCE(_xlpm.e-_xlpm.s+1,1,_xlpm.s,1),SUM(1/COUNTIFS($D:$D,D228,$E:$E,E228,$F:$F,"&lt;&gt;N/A",$G:$G,"&lt;&gt;N/A",$F:$F,"&lt;="&amp;_xlpm.p,$G:$G,"&gt;="&amp;_xlpm.p)))))</f>
        <v>11.5</v>
      </c>
      <c r="I228" t="s">
        <v>1350</v>
      </c>
      <c r="J228" s="5" t="s">
        <v>1455</v>
      </c>
      <c r="K228" s="5" t="s">
        <v>7519</v>
      </c>
      <c r="L228" s="5" t="s">
        <v>7520</v>
      </c>
      <c r="M228" t="s">
        <v>7343</v>
      </c>
      <c r="N228" s="5" t="s">
        <v>7521</v>
      </c>
      <c r="O228" t="s">
        <v>5072</v>
      </c>
      <c r="P228" t="s">
        <v>8021</v>
      </c>
      <c r="R228" s="1" t="b">
        <v>1</v>
      </c>
    </row>
    <row r="229" spans="1:18">
      <c r="A229" t="s">
        <v>3022</v>
      </c>
      <c r="B229" t="s">
        <v>10875</v>
      </c>
      <c r="C229" s="5" t="s">
        <v>7731</v>
      </c>
      <c r="D229" s="1">
        <v>2</v>
      </c>
      <c r="E229" s="1">
        <v>9</v>
      </c>
      <c r="F229" s="1">
        <v>330</v>
      </c>
      <c r="G229" s="1">
        <v>337</v>
      </c>
      <c r="H229" s="13" cm="1">
        <f t="array" ref="H229">_xlfn.LET(_xlpm.s,IFERROR(--F229,""),_xlpm.e,IFERROR(--G229,""),IF(OR(_xlpm.s="",_xlpm.e="",_xlpm.e&lt;_xlpm.s),"",_xlfn.LET(_xlpm.p,_xlfn.SEQUENCE(_xlpm.e-_xlpm.s+1,1,_xlpm.s,1),SUM(1/COUNTIFS($D:$D,D229,$E:$E,E229,$F:$F,"&lt;&gt;N/A",$G:$G,"&lt;&gt;N/A",$F:$F,"&lt;="&amp;_xlpm.p,$G:$G,"&gt;="&amp;_xlpm.p)))))</f>
        <v>7</v>
      </c>
      <c r="I229" t="s">
        <v>7</v>
      </c>
      <c r="J229" s="5" t="s">
        <v>1445</v>
      </c>
      <c r="K229" s="5" t="s">
        <v>4854</v>
      </c>
      <c r="L229" s="5" t="s">
        <v>7</v>
      </c>
      <c r="M229" s="5" t="s">
        <v>7</v>
      </c>
      <c r="N229" s="5" t="s">
        <v>7</v>
      </c>
      <c r="O229" t="s">
        <v>778</v>
      </c>
      <c r="P229" t="s">
        <v>7834</v>
      </c>
      <c r="R229" s="1" t="b">
        <v>1</v>
      </c>
    </row>
    <row r="230" spans="1:18">
      <c r="A230" t="s">
        <v>3022</v>
      </c>
      <c r="B230" t="s">
        <v>10873</v>
      </c>
      <c r="C230" s="5" t="s">
        <v>7731</v>
      </c>
      <c r="D230" s="1">
        <v>2</v>
      </c>
      <c r="E230" s="1">
        <v>9</v>
      </c>
      <c r="F230" s="1">
        <v>337</v>
      </c>
      <c r="G230" s="1">
        <v>358</v>
      </c>
      <c r="H230" s="13" cm="1">
        <f t="array" ref="H230">_xlfn.LET(_xlpm.s,IFERROR(--F230,""),_xlpm.e,IFERROR(--G230,""),IF(OR(_xlpm.s="",_xlpm.e="",_xlpm.e&lt;_xlpm.s),"",_xlfn.LET(_xlpm.p,_xlfn.SEQUENCE(_xlpm.e-_xlpm.s+1,1,_xlpm.s,1),SUM(1/COUNTIFS($D:$D,D230,$E:$E,E230,$F:$F,"&lt;&gt;N/A",$G:$G,"&lt;&gt;N/A",$F:$F,"&lt;="&amp;_xlpm.p,$G:$G,"&gt;="&amp;_xlpm.p)))))</f>
        <v>20.833333333333332</v>
      </c>
      <c r="I230" t="s">
        <v>7</v>
      </c>
      <c r="J230" s="5" t="s">
        <v>1456</v>
      </c>
      <c r="K230" s="5" t="s">
        <v>1457</v>
      </c>
      <c r="L230" s="5" t="s">
        <v>7</v>
      </c>
      <c r="M230" s="5" t="s">
        <v>7</v>
      </c>
      <c r="N230" s="5" t="s">
        <v>7</v>
      </c>
      <c r="O230" t="s">
        <v>778</v>
      </c>
      <c r="P230" t="s">
        <v>7834</v>
      </c>
      <c r="R230" s="1" t="b">
        <v>1</v>
      </c>
    </row>
    <row r="231" spans="1:18">
      <c r="A231" t="s">
        <v>3022</v>
      </c>
      <c r="B231" t="s">
        <v>10872</v>
      </c>
      <c r="C231" s="5" t="s">
        <v>7731</v>
      </c>
      <c r="D231" s="1">
        <v>2</v>
      </c>
      <c r="E231" s="1">
        <v>9</v>
      </c>
      <c r="F231" s="1">
        <v>358</v>
      </c>
      <c r="G231" s="1">
        <v>358</v>
      </c>
      <c r="H231" s="13" cm="1">
        <f t="array" ref="H231">_xlfn.LET(_xlpm.s,IFERROR(--F231,""),_xlpm.e,IFERROR(--G231,""),IF(OR(_xlpm.s="",_xlpm.e="",_xlpm.e&lt;_xlpm.s),"",_xlfn.LET(_xlpm.p,_xlfn.SEQUENCE(_xlpm.e-_xlpm.s+1,1,_xlpm.s,1),SUM(1/COUNTIFS($D:$D,D231,$E:$E,E231,$F:$F,"&lt;&gt;N/A",$G:$G,"&lt;&gt;N/A",$F:$F,"&lt;="&amp;_xlpm.p,$G:$G,"&gt;="&amp;_xlpm.p)))))</f>
        <v>0.33333333333333331</v>
      </c>
      <c r="I231" t="s">
        <v>7</v>
      </c>
      <c r="J231" s="5" t="s">
        <v>1458</v>
      </c>
      <c r="K231" s="5" t="s">
        <v>7</v>
      </c>
      <c r="L231" s="5" t="s">
        <v>7</v>
      </c>
      <c r="M231" s="5" t="s">
        <v>7</v>
      </c>
      <c r="N231" s="5" t="s">
        <v>7</v>
      </c>
      <c r="O231" t="s">
        <v>778</v>
      </c>
      <c r="P231" t="s">
        <v>7834</v>
      </c>
      <c r="R231" s="1" t="b">
        <v>1</v>
      </c>
    </row>
    <row r="232" spans="1:18">
      <c r="A232" t="s">
        <v>3022</v>
      </c>
      <c r="B232" t="s">
        <v>10871</v>
      </c>
      <c r="C232" s="5" t="s">
        <v>7731</v>
      </c>
      <c r="D232" s="1">
        <v>2</v>
      </c>
      <c r="E232" s="1">
        <v>9</v>
      </c>
      <c r="F232" s="1">
        <v>358</v>
      </c>
      <c r="G232" s="1">
        <v>359</v>
      </c>
      <c r="H232" s="13" cm="1">
        <f t="array" ref="H232">_xlfn.LET(_xlpm.s,IFERROR(--F232,""),_xlpm.e,IFERROR(--G232,""),IF(OR(_xlpm.s="",_xlpm.e="",_xlpm.e&lt;_xlpm.s),"",_xlfn.LET(_xlpm.p,_xlfn.SEQUENCE(_xlpm.e-_xlpm.s+1,1,_xlpm.s,1),SUM(1/COUNTIFS($D:$D,D232,$E:$E,E232,$F:$F,"&lt;&gt;N/A",$G:$G,"&lt;&gt;N/A",$F:$F,"&lt;="&amp;_xlpm.p,$G:$G,"&gt;="&amp;_xlpm.p)))))</f>
        <v>1.3333333333333333</v>
      </c>
      <c r="I232" t="s">
        <v>7</v>
      </c>
      <c r="J232" s="5" t="s">
        <v>4041</v>
      </c>
      <c r="K232" s="5" t="s">
        <v>7</v>
      </c>
      <c r="L232" s="5" t="s">
        <v>7</v>
      </c>
      <c r="M232" s="5" t="s">
        <v>7</v>
      </c>
      <c r="N232" s="5" t="s">
        <v>7</v>
      </c>
      <c r="O232" t="s">
        <v>778</v>
      </c>
      <c r="P232" t="s">
        <v>7834</v>
      </c>
      <c r="R232" s="1" t="b">
        <v>1</v>
      </c>
    </row>
    <row r="233" spans="1:18">
      <c r="A233" t="s">
        <v>3022</v>
      </c>
      <c r="B233" t="s">
        <v>10937</v>
      </c>
      <c r="C233" s="5" t="s">
        <v>7745</v>
      </c>
      <c r="D233" s="1">
        <v>2</v>
      </c>
      <c r="E233" s="1">
        <v>10</v>
      </c>
      <c r="F233" s="1">
        <v>359</v>
      </c>
      <c r="G233" s="1">
        <v>362</v>
      </c>
      <c r="H233" s="13" cm="1">
        <f t="array" ref="H233">_xlfn.LET(_xlpm.s,IFERROR(--F233,""),_xlpm.e,IFERROR(--G233,""),IF(OR(_xlpm.s="",_xlpm.e="",_xlpm.e&lt;_xlpm.s),"",_xlfn.LET(_xlpm.p,_xlfn.SEQUENCE(_xlpm.e-_xlpm.s+1,1,_xlpm.s,1),SUM(1/COUNTIFS($D:$D,D233,$E:$E,E233,$F:$F,"&lt;&gt;N/A",$G:$G,"&lt;&gt;N/A",$F:$F,"&lt;="&amp;_xlpm.p,$G:$G,"&gt;="&amp;_xlpm.p)))))</f>
        <v>3.5</v>
      </c>
      <c r="I233" t="s">
        <v>1350</v>
      </c>
      <c r="J233" s="5" t="s">
        <v>1459</v>
      </c>
      <c r="K233" s="5" t="s">
        <v>7</v>
      </c>
      <c r="L233" s="5" t="s">
        <v>7</v>
      </c>
      <c r="M233" s="5" t="s">
        <v>7</v>
      </c>
      <c r="N233" s="5" t="s">
        <v>7</v>
      </c>
      <c r="O233" t="s">
        <v>778</v>
      </c>
      <c r="P233" t="s">
        <v>7834</v>
      </c>
      <c r="R233" s="1" t="b">
        <v>1</v>
      </c>
    </row>
    <row r="234" spans="1:18">
      <c r="A234" t="s">
        <v>3022</v>
      </c>
      <c r="B234" t="s">
        <v>10938</v>
      </c>
      <c r="C234" s="5" t="s">
        <v>7745</v>
      </c>
      <c r="D234" s="1">
        <v>2</v>
      </c>
      <c r="E234" s="1">
        <v>10</v>
      </c>
      <c r="F234" s="1">
        <v>362</v>
      </c>
      <c r="G234" s="1">
        <v>368</v>
      </c>
      <c r="H234" s="13" cm="1">
        <f t="array" ref="H234">_xlfn.LET(_xlpm.s,IFERROR(--F234,""),_xlpm.e,IFERROR(--G234,""),IF(OR(_xlpm.s="",_xlpm.e="",_xlpm.e&lt;_xlpm.s),"",_xlfn.LET(_xlpm.p,_xlfn.SEQUENCE(_xlpm.e-_xlpm.s+1,1,_xlpm.s,1),SUM(1/COUNTIFS($D:$D,D234,$E:$E,E234,$F:$F,"&lt;&gt;N/A",$G:$G,"&lt;&gt;N/A",$F:$F,"&lt;="&amp;_xlpm.p,$G:$G,"&gt;="&amp;_xlpm.p)))))</f>
        <v>6</v>
      </c>
      <c r="I234" t="s">
        <v>1350</v>
      </c>
      <c r="J234" s="5" t="s">
        <v>1460</v>
      </c>
      <c r="K234" s="5" t="s">
        <v>7</v>
      </c>
      <c r="L234" s="5" t="s">
        <v>7</v>
      </c>
      <c r="M234" s="5" t="s">
        <v>7</v>
      </c>
      <c r="N234" s="5" t="s">
        <v>7</v>
      </c>
      <c r="O234" t="s">
        <v>778</v>
      </c>
      <c r="P234" t="s">
        <v>7834</v>
      </c>
      <c r="R234" s="1" t="b">
        <v>1</v>
      </c>
    </row>
    <row r="235" spans="1:18">
      <c r="A235" t="s">
        <v>3022</v>
      </c>
      <c r="B235" t="s">
        <v>10939</v>
      </c>
      <c r="C235" s="5" t="s">
        <v>7745</v>
      </c>
      <c r="D235" s="1">
        <v>2</v>
      </c>
      <c r="E235" s="1">
        <v>10</v>
      </c>
      <c r="F235" s="1">
        <v>368</v>
      </c>
      <c r="G235" s="1">
        <v>378</v>
      </c>
      <c r="H235" s="13" cm="1">
        <f t="array" ref="H235">_xlfn.LET(_xlpm.s,IFERROR(--F235,""),_xlpm.e,IFERROR(--G235,""),IF(OR(_xlpm.s="",_xlpm.e="",_xlpm.e&lt;_xlpm.s),"",_xlfn.LET(_xlpm.p,_xlfn.SEQUENCE(_xlpm.e-_xlpm.s+1,1,_xlpm.s,1),SUM(1/COUNTIFS($D:$D,D235,$E:$E,E235,$F:$F,"&lt;&gt;N/A",$G:$G,"&lt;&gt;N/A",$F:$F,"&lt;="&amp;_xlpm.p,$G:$G,"&gt;="&amp;_xlpm.p)))))</f>
        <v>10</v>
      </c>
      <c r="I235" t="s">
        <v>7</v>
      </c>
      <c r="J235" s="5" t="s">
        <v>1461</v>
      </c>
      <c r="K235" s="5" t="s">
        <v>7</v>
      </c>
      <c r="L235" s="5" t="s">
        <v>6437</v>
      </c>
      <c r="M235" t="s">
        <v>7512</v>
      </c>
      <c r="N235" s="5" t="s">
        <v>7716</v>
      </c>
      <c r="O235" t="s">
        <v>5072</v>
      </c>
      <c r="P235" t="s">
        <v>8021</v>
      </c>
      <c r="R235" s="1" t="b">
        <v>1</v>
      </c>
    </row>
    <row r="236" spans="1:18">
      <c r="A236" t="s">
        <v>3022</v>
      </c>
      <c r="B236" t="s">
        <v>10940</v>
      </c>
      <c r="C236" s="5" t="s">
        <v>7745</v>
      </c>
      <c r="D236" s="1">
        <v>2</v>
      </c>
      <c r="E236" s="1">
        <v>10</v>
      </c>
      <c r="F236" s="1">
        <v>378</v>
      </c>
      <c r="G236" s="1">
        <v>398</v>
      </c>
      <c r="H236" s="13" cm="1">
        <f t="array" ref="H236">_xlfn.LET(_xlpm.s,IFERROR(--F236,""),_xlpm.e,IFERROR(--G236,""),IF(OR(_xlpm.s="",_xlpm.e="",_xlpm.e&lt;_xlpm.s),"",_xlfn.LET(_xlpm.p,_xlfn.SEQUENCE(_xlpm.e-_xlpm.s+1,1,_xlpm.s,1),SUM(1/COUNTIFS($D:$D,D236,$E:$E,E236,$F:$F,"&lt;&gt;N/A",$G:$G,"&lt;&gt;N/A",$F:$F,"&lt;="&amp;_xlpm.p,$G:$G,"&gt;="&amp;_xlpm.p)))))</f>
        <v>20.5</v>
      </c>
      <c r="I236" t="s">
        <v>7</v>
      </c>
      <c r="J236" s="5" t="s">
        <v>1462</v>
      </c>
      <c r="K236" s="5" t="s">
        <v>1457</v>
      </c>
      <c r="L236" s="5" t="s">
        <v>7</v>
      </c>
      <c r="M236" s="5" t="s">
        <v>7</v>
      </c>
      <c r="N236" s="5" t="s">
        <v>7</v>
      </c>
      <c r="O236" t="s">
        <v>778</v>
      </c>
      <c r="P236" t="s">
        <v>7834</v>
      </c>
      <c r="R236" s="1" t="b">
        <v>1</v>
      </c>
    </row>
    <row r="237" spans="1:18">
      <c r="A237" t="s">
        <v>3022</v>
      </c>
      <c r="B237" t="s">
        <v>10941</v>
      </c>
      <c r="C237" s="5" t="s">
        <v>7753</v>
      </c>
      <c r="D237" s="1">
        <v>2</v>
      </c>
      <c r="E237" s="1">
        <v>11</v>
      </c>
      <c r="F237" s="1">
        <v>399</v>
      </c>
      <c r="G237" s="1">
        <v>428</v>
      </c>
      <c r="H237" s="13" cm="1">
        <f t="array" ref="H237">_xlfn.LET(_xlpm.s,IFERROR(--F237,""),_xlpm.e,IFERROR(--G237,""),IF(OR(_xlpm.s="",_xlpm.e="",_xlpm.e&lt;_xlpm.s),"",_xlfn.LET(_xlpm.p,_xlfn.SEQUENCE(_xlpm.e-_xlpm.s+1,1,_xlpm.s,1),SUM(1/COUNTIFS($D:$D,D237,$E:$E,E237,$F:$F,"&lt;&gt;N/A",$G:$G,"&lt;&gt;N/A",$F:$F,"&lt;="&amp;_xlpm.p,$G:$G,"&gt;="&amp;_xlpm.p)))))</f>
        <v>29.5</v>
      </c>
      <c r="I237" t="s">
        <v>1350</v>
      </c>
      <c r="J237" s="5" t="s">
        <v>1463</v>
      </c>
      <c r="K237" s="5" t="s">
        <v>7</v>
      </c>
      <c r="L237" s="5" t="s">
        <v>6436</v>
      </c>
      <c r="M237" t="s">
        <v>7511</v>
      </c>
      <c r="N237" s="5" t="s">
        <v>7655</v>
      </c>
      <c r="O237" t="s">
        <v>5072</v>
      </c>
      <c r="P237" t="s">
        <v>8021</v>
      </c>
      <c r="R237" s="1" t="b">
        <v>1</v>
      </c>
    </row>
    <row r="238" spans="1:18">
      <c r="A238" t="s">
        <v>3022</v>
      </c>
      <c r="B238" t="s">
        <v>10942</v>
      </c>
      <c r="C238" s="5" t="s">
        <v>7753</v>
      </c>
      <c r="D238" s="1">
        <v>2</v>
      </c>
      <c r="E238" s="1">
        <v>11</v>
      </c>
      <c r="F238" s="1">
        <v>428</v>
      </c>
      <c r="G238" s="1">
        <v>430</v>
      </c>
      <c r="H238" s="13" cm="1">
        <f t="array" ref="H238">_xlfn.LET(_xlpm.s,IFERROR(--F238,""),_xlpm.e,IFERROR(--G238,""),IF(OR(_xlpm.s="",_xlpm.e="",_xlpm.e&lt;_xlpm.s),"",_xlfn.LET(_xlpm.p,_xlfn.SEQUENCE(_xlpm.e-_xlpm.s+1,1,_xlpm.s,1),SUM(1/COUNTIFS($D:$D,D238,$E:$E,E238,$F:$F,"&lt;&gt;N/A",$G:$G,"&lt;&gt;N/A",$F:$F,"&lt;="&amp;_xlpm.p,$G:$G,"&gt;="&amp;_xlpm.p)))))</f>
        <v>2.5</v>
      </c>
      <c r="I238" t="s">
        <v>1350</v>
      </c>
      <c r="J238" s="5" t="s">
        <v>1464</v>
      </c>
      <c r="K238" s="5" t="s">
        <v>4859</v>
      </c>
      <c r="L238" s="5" t="s">
        <v>7</v>
      </c>
      <c r="M238" s="5" t="s">
        <v>7</v>
      </c>
      <c r="N238" s="5" t="s">
        <v>7</v>
      </c>
      <c r="O238" t="s">
        <v>778</v>
      </c>
      <c r="P238" t="s">
        <v>7834</v>
      </c>
      <c r="R238" s="1" t="b">
        <v>1</v>
      </c>
    </row>
    <row r="239" spans="1:18">
      <c r="A239" t="s">
        <v>3022</v>
      </c>
      <c r="B239" t="s">
        <v>10943</v>
      </c>
      <c r="C239" s="5" t="s">
        <v>7761</v>
      </c>
      <c r="D239" s="1">
        <v>2</v>
      </c>
      <c r="E239" s="1">
        <v>12</v>
      </c>
      <c r="F239" s="1">
        <v>431</v>
      </c>
      <c r="G239" s="1">
        <v>432</v>
      </c>
      <c r="H239" s="13" cm="1">
        <f t="array" ref="H239">_xlfn.LET(_xlpm.s,IFERROR(--F239,""),_xlpm.e,IFERROR(--G239,""),IF(OR(_xlpm.s="",_xlpm.e="",_xlpm.e&lt;_xlpm.s),"",_xlfn.LET(_xlpm.p,_xlfn.SEQUENCE(_xlpm.e-_xlpm.s+1,1,_xlpm.s,1),SUM(1/COUNTIFS($D:$D,D239,$E:$E,E239,$F:$F,"&lt;&gt;N/A",$G:$G,"&lt;&gt;N/A",$F:$F,"&lt;="&amp;_xlpm.p,$G:$G,"&gt;="&amp;_xlpm.p)))))</f>
        <v>1.5</v>
      </c>
      <c r="I239" t="s">
        <v>1350</v>
      </c>
      <c r="J239" s="5" t="s">
        <v>1465</v>
      </c>
      <c r="K239" s="5" t="s">
        <v>7</v>
      </c>
      <c r="L239" s="5" t="s">
        <v>7</v>
      </c>
      <c r="M239" s="5" t="s">
        <v>7</v>
      </c>
      <c r="N239" s="5" t="s">
        <v>7</v>
      </c>
      <c r="O239" t="s">
        <v>778</v>
      </c>
      <c r="P239" t="s">
        <v>7834</v>
      </c>
      <c r="R239" s="1" t="b">
        <v>1</v>
      </c>
    </row>
    <row r="240" spans="1:18">
      <c r="A240" t="s">
        <v>3022</v>
      </c>
      <c r="B240" t="s">
        <v>10944</v>
      </c>
      <c r="C240" s="5" t="s">
        <v>7761</v>
      </c>
      <c r="D240" s="1">
        <v>2</v>
      </c>
      <c r="E240" s="1">
        <v>12</v>
      </c>
      <c r="F240" s="1">
        <v>432</v>
      </c>
      <c r="G240" s="1">
        <v>433</v>
      </c>
      <c r="H240" s="13" cm="1">
        <f t="array" ref="H240">_xlfn.LET(_xlpm.s,IFERROR(--F240,""),_xlpm.e,IFERROR(--G240,""),IF(OR(_xlpm.s="",_xlpm.e="",_xlpm.e&lt;_xlpm.s),"",_xlfn.LET(_xlpm.p,_xlfn.SEQUENCE(_xlpm.e-_xlpm.s+1,1,_xlpm.s,1),SUM(1/COUNTIFS($D:$D,D240,$E:$E,E240,$F:$F,"&lt;&gt;N/A",$G:$G,"&lt;&gt;N/A",$F:$F,"&lt;="&amp;_xlpm.p,$G:$G,"&gt;="&amp;_xlpm.p)))))</f>
        <v>1</v>
      </c>
      <c r="I240" t="s">
        <v>1350</v>
      </c>
      <c r="J240" s="5" t="s">
        <v>1466</v>
      </c>
      <c r="K240" s="5" t="s">
        <v>7</v>
      </c>
      <c r="L240" s="5" t="s">
        <v>7</v>
      </c>
      <c r="M240" s="5" t="s">
        <v>7</v>
      </c>
      <c r="N240" s="5" t="s">
        <v>7</v>
      </c>
      <c r="O240" t="s">
        <v>778</v>
      </c>
      <c r="P240" t="s">
        <v>7834</v>
      </c>
      <c r="R240" s="1" t="b">
        <v>0</v>
      </c>
    </row>
    <row r="241" spans="1:18">
      <c r="A241" t="s">
        <v>3022</v>
      </c>
      <c r="B241" t="s">
        <v>10945</v>
      </c>
      <c r="C241" s="5" t="s">
        <v>7761</v>
      </c>
      <c r="D241" s="1">
        <v>2</v>
      </c>
      <c r="E241" s="1">
        <v>12</v>
      </c>
      <c r="F241" s="1">
        <v>433</v>
      </c>
      <c r="G241" s="1">
        <v>450</v>
      </c>
      <c r="H241" s="13" cm="1">
        <f t="array" ref="H241">_xlfn.LET(_xlpm.s,IFERROR(--F241,""),_xlpm.e,IFERROR(--G241,""),IF(OR(_xlpm.s="",_xlpm.e="",_xlpm.e&lt;_xlpm.s),"",_xlfn.LET(_xlpm.p,_xlfn.SEQUENCE(_xlpm.e-_xlpm.s+1,1,_xlpm.s,1),SUM(1/COUNTIFS($D:$D,D241,$E:$E,E241,$F:$F,"&lt;&gt;N/A",$G:$G,"&lt;&gt;N/A",$F:$F,"&lt;="&amp;_xlpm.p,$G:$G,"&gt;="&amp;_xlpm.p)))))</f>
        <v>17</v>
      </c>
      <c r="I241" t="s">
        <v>7</v>
      </c>
      <c r="J241" s="5" t="s">
        <v>1467</v>
      </c>
      <c r="K241" s="5" t="s">
        <v>7</v>
      </c>
      <c r="L241" s="5" t="s">
        <v>6436</v>
      </c>
      <c r="M241" t="s">
        <v>7511</v>
      </c>
      <c r="N241" s="5" t="s">
        <v>7655</v>
      </c>
      <c r="O241" t="s">
        <v>5072</v>
      </c>
      <c r="P241" t="s">
        <v>8021</v>
      </c>
      <c r="R241" s="1" t="b">
        <v>1</v>
      </c>
    </row>
    <row r="242" spans="1:18">
      <c r="A242" t="s">
        <v>3022</v>
      </c>
      <c r="B242" t="s">
        <v>10946</v>
      </c>
      <c r="C242" s="5" t="s">
        <v>7761</v>
      </c>
      <c r="D242" s="1">
        <v>2</v>
      </c>
      <c r="E242" s="1">
        <v>12</v>
      </c>
      <c r="F242" s="1">
        <v>450</v>
      </c>
      <c r="G242" s="1">
        <v>460</v>
      </c>
      <c r="H242" s="13" cm="1">
        <f t="array" ref="H242">_xlfn.LET(_xlpm.s,IFERROR(--F242,""),_xlpm.e,IFERROR(--G242,""),IF(OR(_xlpm.s="",_xlpm.e="",_xlpm.e&lt;_xlpm.s),"",_xlfn.LET(_xlpm.p,_xlfn.SEQUENCE(_xlpm.e-_xlpm.s+1,1,_xlpm.s,1),SUM(1/COUNTIFS($D:$D,D242,$E:$E,E242,$F:$F,"&lt;&gt;N/A",$G:$G,"&lt;&gt;N/A",$F:$F,"&lt;="&amp;_xlpm.p,$G:$G,"&gt;="&amp;_xlpm.p)))))</f>
        <v>10</v>
      </c>
      <c r="I242" t="s">
        <v>7</v>
      </c>
      <c r="J242" s="5" t="s">
        <v>1468</v>
      </c>
      <c r="K242" s="5" t="s">
        <v>1457</v>
      </c>
      <c r="L242" s="5" t="s">
        <v>7</v>
      </c>
      <c r="M242" s="5" t="s">
        <v>7</v>
      </c>
      <c r="N242" s="5" t="s">
        <v>7</v>
      </c>
      <c r="O242" t="s">
        <v>778</v>
      </c>
      <c r="P242" t="s">
        <v>7834</v>
      </c>
      <c r="R242" s="1" t="b">
        <v>1</v>
      </c>
    </row>
    <row r="243" spans="1:18">
      <c r="A243" t="s">
        <v>3022</v>
      </c>
      <c r="B243" t="s">
        <v>10947</v>
      </c>
      <c r="C243" s="5" t="s">
        <v>7761</v>
      </c>
      <c r="D243" s="1">
        <v>2</v>
      </c>
      <c r="E243" s="1">
        <v>12</v>
      </c>
      <c r="F243" s="1">
        <v>460</v>
      </c>
      <c r="G243" s="1">
        <v>461</v>
      </c>
      <c r="H243" s="13" cm="1">
        <f t="array" ref="H243">_xlfn.LET(_xlpm.s,IFERROR(--F243,""),_xlpm.e,IFERROR(--G243,""),IF(OR(_xlpm.s="",_xlpm.e="",_xlpm.e&lt;_xlpm.s),"",_xlfn.LET(_xlpm.p,_xlfn.SEQUENCE(_xlpm.e-_xlpm.s+1,1,_xlpm.s,1),SUM(1/COUNTIFS($D:$D,D243,$E:$E,E243,$F:$F,"&lt;&gt;N/A",$G:$G,"&lt;&gt;N/A",$F:$F,"&lt;="&amp;_xlpm.p,$G:$G,"&gt;="&amp;_xlpm.p)))))</f>
        <v>1.5</v>
      </c>
      <c r="I243" t="s">
        <v>7</v>
      </c>
      <c r="J243" s="5" t="s">
        <v>4040</v>
      </c>
      <c r="K243" s="5" t="s">
        <v>847</v>
      </c>
      <c r="L243" s="5" t="s">
        <v>7</v>
      </c>
      <c r="M243" s="5" t="s">
        <v>7</v>
      </c>
      <c r="N243" s="5" t="s">
        <v>7</v>
      </c>
      <c r="O243" t="s">
        <v>778</v>
      </c>
      <c r="P243" t="s">
        <v>7834</v>
      </c>
      <c r="R243" s="1" t="b">
        <v>0</v>
      </c>
    </row>
    <row r="244" spans="1:18">
      <c r="A244" t="s">
        <v>3022</v>
      </c>
      <c r="B244" t="s">
        <v>10948</v>
      </c>
      <c r="C244" s="5" t="s">
        <v>7761</v>
      </c>
      <c r="D244" s="1">
        <v>2</v>
      </c>
      <c r="E244" s="1">
        <v>12</v>
      </c>
      <c r="F244" s="1">
        <v>462</v>
      </c>
      <c r="G244" s="1">
        <v>462</v>
      </c>
      <c r="H244" s="13" cm="1">
        <f t="array" ref="H244">_xlfn.LET(_xlpm.s,IFERROR(--F244,""),_xlpm.e,IFERROR(--G244,""),IF(OR(_xlpm.s="",_xlpm.e="",_xlpm.e&lt;_xlpm.s),"",_xlfn.LET(_xlpm.p,_xlfn.SEQUENCE(_xlpm.e-_xlpm.s+1,1,_xlpm.s,1),SUM(1/COUNTIFS($D:$D,D244,$E:$E,E244,$F:$F,"&lt;&gt;N/A",$G:$G,"&lt;&gt;N/A",$F:$F,"&lt;="&amp;_xlpm.p,$G:$G,"&gt;="&amp;_xlpm.p)))))</f>
        <v>1</v>
      </c>
      <c r="I244" t="s">
        <v>7</v>
      </c>
      <c r="J244" s="5" t="s">
        <v>1374</v>
      </c>
      <c r="K244" s="5" t="s">
        <v>1324</v>
      </c>
      <c r="L244" s="5" t="s">
        <v>7</v>
      </c>
      <c r="M244" s="5" t="s">
        <v>7</v>
      </c>
      <c r="N244" s="5" t="s">
        <v>7</v>
      </c>
      <c r="O244" t="s">
        <v>778</v>
      </c>
      <c r="P244" t="s">
        <v>7834</v>
      </c>
      <c r="R244" s="1" t="b">
        <v>1</v>
      </c>
    </row>
    <row r="245" spans="1:18">
      <c r="A245" t="s">
        <v>7</v>
      </c>
      <c r="B245" t="s">
        <v>3999</v>
      </c>
      <c r="C245" s="5" t="s">
        <v>7769</v>
      </c>
      <c r="D245" s="1">
        <v>3</v>
      </c>
      <c r="E245" s="1">
        <v>1</v>
      </c>
      <c r="F245" s="1">
        <v>3</v>
      </c>
      <c r="G245" s="1">
        <v>4</v>
      </c>
      <c r="H245" s="13" cm="1">
        <f t="array" ref="H245">_xlfn.LET(_xlpm.s,IFERROR(--F245,""),_xlpm.e,IFERROR(--G245,""),IF(OR(_xlpm.s="",_xlpm.e="",_xlpm.e&lt;_xlpm.s),"",_xlfn.LET(_xlpm.p,_xlfn.SEQUENCE(_xlpm.e-_xlpm.s+1,1,_xlpm.s,1),SUM(1/COUNTIFS($D:$D,D245,$E:$E,E245,$F:$F,"&lt;&gt;N/A",$G:$G,"&lt;&gt;N/A",$F:$F,"&lt;="&amp;_xlpm.p,$G:$G,"&gt;="&amp;_xlpm.p)))))</f>
        <v>1.5</v>
      </c>
      <c r="I245" t="s">
        <v>7</v>
      </c>
      <c r="J245" s="5" t="s">
        <v>4039</v>
      </c>
      <c r="K245" s="5" t="s">
        <v>1564</v>
      </c>
      <c r="L245" s="5" t="s">
        <v>7</v>
      </c>
      <c r="M245" s="5" t="s">
        <v>7</v>
      </c>
      <c r="N245" s="5" t="s">
        <v>7</v>
      </c>
      <c r="O245" t="s">
        <v>778</v>
      </c>
      <c r="P245" t="s">
        <v>7834</v>
      </c>
      <c r="R245" s="1" t="b">
        <v>0</v>
      </c>
    </row>
    <row r="246" spans="1:18">
      <c r="A246" t="s">
        <v>7</v>
      </c>
      <c r="B246" t="s">
        <v>4000</v>
      </c>
      <c r="C246" s="5" t="s">
        <v>7769</v>
      </c>
      <c r="D246" s="1">
        <v>3</v>
      </c>
      <c r="E246" s="1">
        <v>1</v>
      </c>
      <c r="F246" s="1">
        <v>4</v>
      </c>
      <c r="G246" s="1">
        <v>8</v>
      </c>
      <c r="H246" s="13" cm="1">
        <f t="array" ref="H246">_xlfn.LET(_xlpm.s,IFERROR(--F246,""),_xlpm.e,IFERROR(--G246,""),IF(OR(_xlpm.s="",_xlpm.e="",_xlpm.e&lt;_xlpm.s),"",_xlfn.LET(_xlpm.p,_xlfn.SEQUENCE(_xlpm.e-_xlpm.s+1,1,_xlpm.s,1),SUM(1/COUNTIFS($D:$D,D246,$E:$E,E246,$F:$F,"&lt;&gt;N/A",$G:$G,"&lt;&gt;N/A",$F:$F,"&lt;="&amp;_xlpm.p,$G:$G,"&gt;="&amp;_xlpm.p)))))</f>
        <v>4</v>
      </c>
      <c r="I246" t="s">
        <v>3055</v>
      </c>
      <c r="J246" s="5" t="s">
        <v>3060</v>
      </c>
      <c r="K246" s="5" t="s">
        <v>7</v>
      </c>
      <c r="L246" s="5" t="s">
        <v>7</v>
      </c>
      <c r="M246" s="5" t="s">
        <v>7</v>
      </c>
      <c r="N246" s="5" t="s">
        <v>7</v>
      </c>
      <c r="O246" t="s">
        <v>778</v>
      </c>
      <c r="P246" t="s">
        <v>7834</v>
      </c>
      <c r="R246" s="1" t="b">
        <v>1</v>
      </c>
    </row>
    <row r="247" spans="1:18">
      <c r="A247" t="s">
        <v>7</v>
      </c>
      <c r="B247" t="s">
        <v>4001</v>
      </c>
      <c r="C247" s="5" t="s">
        <v>7769</v>
      </c>
      <c r="D247" s="1">
        <v>3</v>
      </c>
      <c r="E247" s="1">
        <v>1</v>
      </c>
      <c r="F247" s="1">
        <v>8</v>
      </c>
      <c r="G247" s="1">
        <v>15</v>
      </c>
      <c r="H247" s="13" cm="1">
        <f t="array" ref="H247">_xlfn.LET(_xlpm.s,IFERROR(--F247,""),_xlpm.e,IFERROR(--G247,""),IF(OR(_xlpm.s="",_xlpm.e="",_xlpm.e&lt;_xlpm.s),"",_xlfn.LET(_xlpm.p,_xlfn.SEQUENCE(_xlpm.e-_xlpm.s+1,1,_xlpm.s,1),SUM(1/COUNTIFS($D:$D,D247,$E:$E,E247,$F:$F,"&lt;&gt;N/A",$G:$G,"&lt;&gt;N/A",$F:$F,"&lt;="&amp;_xlpm.p,$G:$G,"&gt;="&amp;_xlpm.p)))))</f>
        <v>7.5</v>
      </c>
      <c r="I247" t="s">
        <v>3056</v>
      </c>
      <c r="J247" s="5" t="s">
        <v>3057</v>
      </c>
      <c r="K247" s="5" t="s">
        <v>4860</v>
      </c>
      <c r="L247" s="5" t="s">
        <v>7</v>
      </c>
      <c r="M247" s="5" t="s">
        <v>7</v>
      </c>
      <c r="N247" s="5" t="s">
        <v>7</v>
      </c>
      <c r="O247" t="s">
        <v>778</v>
      </c>
      <c r="P247" t="s">
        <v>7834</v>
      </c>
      <c r="R247" s="1" t="b">
        <v>1</v>
      </c>
    </row>
    <row r="248" spans="1:18">
      <c r="A248" t="s">
        <v>7</v>
      </c>
      <c r="B248" t="s">
        <v>4002</v>
      </c>
      <c r="C248" s="5" t="s">
        <v>7769</v>
      </c>
      <c r="D248" s="1">
        <v>3</v>
      </c>
      <c r="E248" s="1">
        <v>1</v>
      </c>
      <c r="F248" s="1">
        <v>16</v>
      </c>
      <c r="G248" s="1">
        <v>31</v>
      </c>
      <c r="H248" s="13" cm="1">
        <f t="array" ref="H248">_xlfn.LET(_xlpm.s,IFERROR(--F248,""),_xlpm.e,IFERROR(--G248,""),IF(OR(_xlpm.s="",_xlpm.e="",_xlpm.e&lt;_xlpm.s),"",_xlfn.LET(_xlpm.p,_xlfn.SEQUENCE(_xlpm.e-_xlpm.s+1,1,_xlpm.s,1),SUM(1/COUNTIFS($D:$D,D248,$E:$E,E248,$F:$F,"&lt;&gt;N/A",$G:$G,"&lt;&gt;N/A",$F:$F,"&lt;="&amp;_xlpm.p,$G:$G,"&gt;="&amp;_xlpm.p)))))</f>
        <v>16</v>
      </c>
      <c r="I248" t="s">
        <v>3056</v>
      </c>
      <c r="J248" s="5" t="s">
        <v>3058</v>
      </c>
      <c r="K248" s="5" t="s">
        <v>1457</v>
      </c>
      <c r="L248" s="5" t="s">
        <v>7</v>
      </c>
      <c r="M248" s="5" t="s">
        <v>7</v>
      </c>
      <c r="N248" s="5" t="s">
        <v>7</v>
      </c>
      <c r="O248" t="s">
        <v>778</v>
      </c>
      <c r="P248" t="s">
        <v>7834</v>
      </c>
      <c r="R248" s="1" t="b">
        <v>1</v>
      </c>
    </row>
    <row r="249" spans="1:18">
      <c r="A249" t="s">
        <v>7</v>
      </c>
      <c r="B249" t="s">
        <v>4003</v>
      </c>
      <c r="C249" s="5" t="s">
        <v>7769</v>
      </c>
      <c r="D249" s="1">
        <v>3</v>
      </c>
      <c r="E249" s="1">
        <v>1</v>
      </c>
      <c r="F249" s="1">
        <v>32</v>
      </c>
      <c r="G249" s="1">
        <v>32</v>
      </c>
      <c r="H249" s="13" cm="1">
        <f t="array" ref="H249">_xlfn.LET(_xlpm.s,IFERROR(--F249,""),_xlpm.e,IFERROR(--G249,""),IF(OR(_xlpm.s="",_xlpm.e="",_xlpm.e&lt;_xlpm.s),"",_xlfn.LET(_xlpm.p,_xlfn.SEQUENCE(_xlpm.e-_xlpm.s+1,1,_xlpm.s,1),SUM(1/COUNTIFS($D:$D,D249,$E:$E,E249,$F:$F,"&lt;&gt;N/A",$G:$G,"&lt;&gt;N/A",$F:$F,"&lt;="&amp;_xlpm.p,$G:$G,"&gt;="&amp;_xlpm.p)))))</f>
        <v>0.5</v>
      </c>
      <c r="I249" t="s">
        <v>3059</v>
      </c>
      <c r="J249" s="5" t="s">
        <v>4037</v>
      </c>
      <c r="K249" s="5" t="s">
        <v>7</v>
      </c>
      <c r="L249" s="5" t="s">
        <v>7</v>
      </c>
      <c r="M249" s="5" t="s">
        <v>7</v>
      </c>
      <c r="N249" s="5" t="s">
        <v>7</v>
      </c>
      <c r="O249" t="s">
        <v>778</v>
      </c>
      <c r="P249" t="s">
        <v>7834</v>
      </c>
      <c r="R249" s="1" t="b">
        <v>1</v>
      </c>
    </row>
    <row r="250" spans="1:18">
      <c r="A250" t="s">
        <v>7</v>
      </c>
      <c r="B250" t="s">
        <v>4004</v>
      </c>
      <c r="C250" s="5" t="s">
        <v>7769</v>
      </c>
      <c r="D250" s="1">
        <v>3</v>
      </c>
      <c r="E250" s="1">
        <v>1</v>
      </c>
      <c r="F250" s="1">
        <v>32</v>
      </c>
      <c r="G250" s="1">
        <v>32</v>
      </c>
      <c r="H250" s="13" cm="1">
        <f t="array" ref="H250">_xlfn.LET(_xlpm.s,IFERROR(--F250,""),_xlpm.e,IFERROR(--G250,""),IF(OR(_xlpm.s="",_xlpm.e="",_xlpm.e&lt;_xlpm.s),"",_xlfn.LET(_xlpm.p,_xlfn.SEQUENCE(_xlpm.e-_xlpm.s+1,1,_xlpm.s,1),SUM(1/COUNTIFS($D:$D,D250,$E:$E,E250,$F:$F,"&lt;&gt;N/A",$G:$G,"&lt;&gt;N/A",$F:$F,"&lt;="&amp;_xlpm.p,$G:$G,"&gt;="&amp;_xlpm.p)))))</f>
        <v>0.5</v>
      </c>
      <c r="I250" t="s">
        <v>3059</v>
      </c>
      <c r="J250" s="5" t="s">
        <v>4038</v>
      </c>
      <c r="K250" s="5" t="s">
        <v>7</v>
      </c>
      <c r="L250" s="5" t="s">
        <v>7</v>
      </c>
      <c r="M250" s="5" t="s">
        <v>7</v>
      </c>
      <c r="N250" s="5" t="s">
        <v>7</v>
      </c>
      <c r="O250" t="s">
        <v>778</v>
      </c>
      <c r="P250" t="s">
        <v>7834</v>
      </c>
      <c r="R250" s="1" t="b">
        <v>1</v>
      </c>
    </row>
    <row r="251" spans="1:18">
      <c r="A251" t="s">
        <v>7</v>
      </c>
      <c r="B251" t="s">
        <v>4005</v>
      </c>
      <c r="C251" s="5" t="s">
        <v>7777</v>
      </c>
      <c r="D251" s="1">
        <v>3</v>
      </c>
      <c r="E251" s="1">
        <v>2</v>
      </c>
      <c r="F251" s="1">
        <v>33</v>
      </c>
      <c r="G251" s="1">
        <v>33</v>
      </c>
      <c r="H251" s="13" cm="1">
        <f t="array" ref="H251">_xlfn.LET(_xlpm.s,IFERROR(--F251,""),_xlpm.e,IFERROR(--G251,""),IF(OR(_xlpm.s="",_xlpm.e="",_xlpm.e&lt;_xlpm.s),"",_xlfn.LET(_xlpm.p,_xlfn.SEQUENCE(_xlpm.e-_xlpm.s+1,1,_xlpm.s,1),SUM(1/COUNTIFS($D:$D,D251,$E:$E,E251,$F:$F,"&lt;&gt;N/A",$G:$G,"&lt;&gt;N/A",$F:$F,"&lt;="&amp;_xlpm.p,$G:$G,"&gt;="&amp;_xlpm.p)))))</f>
        <v>0.5</v>
      </c>
      <c r="I251" t="s">
        <v>1350</v>
      </c>
      <c r="J251" s="5" t="s">
        <v>3061</v>
      </c>
      <c r="K251" s="5" t="s">
        <v>7</v>
      </c>
      <c r="L251" s="5" t="s">
        <v>7</v>
      </c>
      <c r="M251" s="5" t="s">
        <v>7</v>
      </c>
      <c r="N251" s="5" t="s">
        <v>7</v>
      </c>
      <c r="O251" t="s">
        <v>778</v>
      </c>
      <c r="P251" t="s">
        <v>7834</v>
      </c>
      <c r="R251" s="1" t="b">
        <v>1</v>
      </c>
    </row>
    <row r="252" spans="1:18">
      <c r="A252" t="s">
        <v>7</v>
      </c>
      <c r="B252" t="s">
        <v>4006</v>
      </c>
      <c r="C252" s="5" t="s">
        <v>7777</v>
      </c>
      <c r="D252" s="1">
        <v>3</v>
      </c>
      <c r="E252" s="1">
        <v>2</v>
      </c>
      <c r="F252" s="1">
        <v>33</v>
      </c>
      <c r="G252" s="1">
        <v>37</v>
      </c>
      <c r="H252" s="13" cm="1">
        <f t="array" ref="H252">_xlfn.LET(_xlpm.s,IFERROR(--F252,""),_xlpm.e,IFERROR(--G252,""),IF(OR(_xlpm.s="",_xlpm.e="",_xlpm.e&lt;_xlpm.s),"",_xlfn.LET(_xlpm.p,_xlfn.SEQUENCE(_xlpm.e-_xlpm.s+1,1,_xlpm.s,1),SUM(1/COUNTIFS($D:$D,D252,$E:$E,E252,$F:$F,"&lt;&gt;N/A",$G:$G,"&lt;&gt;N/A",$F:$F,"&lt;="&amp;_xlpm.p,$G:$G,"&gt;="&amp;_xlpm.p)))))</f>
        <v>4</v>
      </c>
      <c r="I252" t="s">
        <v>3056</v>
      </c>
      <c r="J252" s="5" t="s">
        <v>3062</v>
      </c>
      <c r="K252" s="5" t="s">
        <v>7</v>
      </c>
      <c r="L252" s="5" t="s">
        <v>7</v>
      </c>
      <c r="M252" s="5" t="s">
        <v>7</v>
      </c>
      <c r="N252" s="5" t="s">
        <v>7</v>
      </c>
      <c r="O252" t="s">
        <v>778</v>
      </c>
      <c r="P252" t="s">
        <v>7834</v>
      </c>
      <c r="R252" s="1" t="b">
        <v>1</v>
      </c>
    </row>
    <row r="253" spans="1:18">
      <c r="A253" t="s">
        <v>7</v>
      </c>
      <c r="B253" t="s">
        <v>4007</v>
      </c>
      <c r="C253" s="5" t="s">
        <v>7777</v>
      </c>
      <c r="D253" s="1">
        <v>3</v>
      </c>
      <c r="E253" s="1">
        <v>2</v>
      </c>
      <c r="F253" s="1">
        <v>37</v>
      </c>
      <c r="G253" s="1">
        <v>43</v>
      </c>
      <c r="H253" s="13" cm="1">
        <f t="array" ref="H253">_xlfn.LET(_xlpm.s,IFERROR(--F253,""),_xlpm.e,IFERROR(--G253,""),IF(OR(_xlpm.s="",_xlpm.e="",_xlpm.e&lt;_xlpm.s),"",_xlfn.LET(_xlpm.p,_xlfn.SEQUENCE(_xlpm.e-_xlpm.s+1,1,_xlpm.s,1),SUM(1/COUNTIFS($D:$D,D253,$E:$E,E253,$F:$F,"&lt;&gt;N/A",$G:$G,"&lt;&gt;N/A",$F:$F,"&lt;="&amp;_xlpm.p,$G:$G,"&gt;="&amp;_xlpm.p)))))</f>
        <v>6.5</v>
      </c>
      <c r="I253" t="s">
        <v>3056</v>
      </c>
      <c r="J253" s="5" t="s">
        <v>3063</v>
      </c>
      <c r="K253" s="5" t="s">
        <v>3064</v>
      </c>
      <c r="L253" s="5" t="s">
        <v>7</v>
      </c>
      <c r="M253" s="5" t="s">
        <v>7</v>
      </c>
      <c r="N253" s="5" t="s">
        <v>7</v>
      </c>
      <c r="O253" t="s">
        <v>778</v>
      </c>
      <c r="P253" t="s">
        <v>7834</v>
      </c>
      <c r="R253" s="1" t="b">
        <v>1</v>
      </c>
    </row>
    <row r="254" spans="1:18">
      <c r="A254" t="s">
        <v>7</v>
      </c>
      <c r="B254" t="s">
        <v>4008</v>
      </c>
      <c r="C254" s="5" t="s">
        <v>7777</v>
      </c>
      <c r="D254" s="1">
        <v>3</v>
      </c>
      <c r="E254" s="1">
        <v>2</v>
      </c>
      <c r="F254" s="1">
        <v>44</v>
      </c>
      <c r="G254" s="1">
        <v>52</v>
      </c>
      <c r="H254" s="13" cm="1">
        <f t="array" ref="H254">_xlfn.LET(_xlpm.s,IFERROR(--F254,""),_xlpm.e,IFERROR(--G254,""),IF(OR(_xlpm.s="",_xlpm.e="",_xlpm.e&lt;_xlpm.s),"",_xlfn.LET(_xlpm.p,_xlfn.SEQUENCE(_xlpm.e-_xlpm.s+1,1,_xlpm.s,1),SUM(1/COUNTIFS($D:$D,D254,$E:$E,E254,$F:$F,"&lt;&gt;N/A",$G:$G,"&lt;&gt;N/A",$F:$F,"&lt;="&amp;_xlpm.p,$G:$G,"&gt;="&amp;_xlpm.p)))))</f>
        <v>8.5</v>
      </c>
      <c r="I254" t="s">
        <v>3056</v>
      </c>
      <c r="J254" s="5" t="s">
        <v>3065</v>
      </c>
      <c r="K254" s="5" t="s">
        <v>7</v>
      </c>
      <c r="L254" s="5" t="s">
        <v>7</v>
      </c>
      <c r="M254" s="5" t="s">
        <v>7</v>
      </c>
      <c r="N254" s="5" t="s">
        <v>7</v>
      </c>
      <c r="O254" t="s">
        <v>778</v>
      </c>
      <c r="P254" t="s">
        <v>7834</v>
      </c>
      <c r="R254" s="1" t="b">
        <v>1</v>
      </c>
    </row>
    <row r="255" spans="1:18">
      <c r="A255" t="s">
        <v>7</v>
      </c>
      <c r="B255" t="s">
        <v>4009</v>
      </c>
      <c r="C255" s="5" t="s">
        <v>7777</v>
      </c>
      <c r="D255" s="1">
        <v>3</v>
      </c>
      <c r="E255" s="1">
        <v>2</v>
      </c>
      <c r="F255" s="1">
        <v>52</v>
      </c>
      <c r="G255" s="1">
        <v>63</v>
      </c>
      <c r="H255" s="13" cm="1">
        <f t="array" ref="H255">_xlfn.LET(_xlpm.s,IFERROR(--F255,""),_xlpm.e,IFERROR(--G255,""),IF(OR(_xlpm.s="",_xlpm.e="",_xlpm.e&lt;_xlpm.s),"",_xlfn.LET(_xlpm.p,_xlfn.SEQUENCE(_xlpm.e-_xlpm.s+1,1,_xlpm.s,1),SUM(1/COUNTIFS($D:$D,D255,$E:$E,E255,$F:$F,"&lt;&gt;N/A",$G:$G,"&lt;&gt;N/A",$F:$F,"&lt;="&amp;_xlpm.p,$G:$G,"&gt;="&amp;_xlpm.p)))))</f>
        <v>11.5</v>
      </c>
      <c r="I255" t="s">
        <v>3056</v>
      </c>
      <c r="J255" s="5" t="s">
        <v>3066</v>
      </c>
      <c r="K255" s="5" t="s">
        <v>7</v>
      </c>
      <c r="L255" s="5" t="s">
        <v>7</v>
      </c>
      <c r="M255" s="5" t="s">
        <v>7</v>
      </c>
      <c r="N255" s="5" t="s">
        <v>7</v>
      </c>
      <c r="O255" t="s">
        <v>778</v>
      </c>
      <c r="P255" t="s">
        <v>7834</v>
      </c>
      <c r="R255" s="1" t="b">
        <v>1</v>
      </c>
    </row>
    <row r="256" spans="1:18">
      <c r="A256" t="s">
        <v>7</v>
      </c>
      <c r="B256" t="s">
        <v>4010</v>
      </c>
      <c r="C256" s="5" t="s">
        <v>7777</v>
      </c>
      <c r="D256" s="1">
        <v>3</v>
      </c>
      <c r="E256" s="1">
        <v>2</v>
      </c>
      <c r="F256" s="1">
        <v>64</v>
      </c>
      <c r="G256" s="1">
        <v>64</v>
      </c>
      <c r="H256" s="13" cm="1">
        <f t="array" ref="H256">_xlfn.LET(_xlpm.s,IFERROR(--F256,""),_xlpm.e,IFERROR(--G256,""),IF(OR(_xlpm.s="",_xlpm.e="",_xlpm.e&lt;_xlpm.s),"",_xlfn.LET(_xlpm.p,_xlfn.SEQUENCE(_xlpm.e-_xlpm.s+1,1,_xlpm.s,1),SUM(1/COUNTIFS($D:$D,D256,$E:$E,E256,$F:$F,"&lt;&gt;N/A",$G:$G,"&lt;&gt;N/A",$F:$F,"&lt;="&amp;_xlpm.p,$G:$G,"&gt;="&amp;_xlpm.p)))))</f>
        <v>1</v>
      </c>
      <c r="I256" t="s">
        <v>7</v>
      </c>
      <c r="J256" s="5" t="s">
        <v>1374</v>
      </c>
      <c r="K256" s="5" t="s">
        <v>7</v>
      </c>
      <c r="L256" s="5" t="s">
        <v>7</v>
      </c>
      <c r="M256" s="5" t="s">
        <v>7</v>
      </c>
      <c r="N256" s="5" t="s">
        <v>7</v>
      </c>
      <c r="O256" t="s">
        <v>778</v>
      </c>
      <c r="P256" t="s">
        <v>7834</v>
      </c>
      <c r="R256" s="1" t="b">
        <v>1</v>
      </c>
    </row>
    <row r="257" spans="1:18">
      <c r="A257" t="s">
        <v>7</v>
      </c>
      <c r="B257" t="s">
        <v>4011</v>
      </c>
      <c r="C257" s="5" t="s">
        <v>7785</v>
      </c>
      <c r="D257" s="1">
        <v>3</v>
      </c>
      <c r="E257" s="1">
        <v>3</v>
      </c>
      <c r="F257" s="1">
        <v>65</v>
      </c>
      <c r="G257" s="1">
        <v>65</v>
      </c>
      <c r="H257" s="13" cm="1">
        <f t="array" ref="H257">_xlfn.LET(_xlpm.s,IFERROR(--F257,""),_xlpm.e,IFERROR(--G257,""),IF(OR(_xlpm.s="",_xlpm.e="",_xlpm.e&lt;_xlpm.s),"",_xlfn.LET(_xlpm.p,_xlfn.SEQUENCE(_xlpm.e-_xlpm.s+1,1,_xlpm.s,1),SUM(1/COUNTIFS($D:$D,D257,$E:$E,E257,$F:$F,"&lt;&gt;N/A",$G:$G,"&lt;&gt;N/A",$F:$F,"&lt;="&amp;_xlpm.p,$G:$G,"&gt;="&amp;_xlpm.p)))))</f>
        <v>0.5</v>
      </c>
      <c r="I257" t="s">
        <v>1350</v>
      </c>
      <c r="J257" s="5" t="s">
        <v>3067</v>
      </c>
      <c r="K257" s="5" t="s">
        <v>7</v>
      </c>
      <c r="L257" s="5" t="s">
        <v>7</v>
      </c>
      <c r="M257" s="5" t="s">
        <v>7</v>
      </c>
      <c r="N257" s="5" t="s">
        <v>7</v>
      </c>
      <c r="O257" t="s">
        <v>778</v>
      </c>
      <c r="P257" t="s">
        <v>7834</v>
      </c>
      <c r="R257" s="1" t="b">
        <v>1</v>
      </c>
    </row>
    <row r="258" spans="1:18">
      <c r="A258" t="s">
        <v>7</v>
      </c>
      <c r="B258" t="s">
        <v>4012</v>
      </c>
      <c r="C258" s="5" t="s">
        <v>7785</v>
      </c>
      <c r="D258" s="1">
        <v>3</v>
      </c>
      <c r="E258" s="1">
        <v>3</v>
      </c>
      <c r="F258" s="1">
        <v>65</v>
      </c>
      <c r="G258" s="1">
        <v>66</v>
      </c>
      <c r="H258" s="13" cm="1">
        <f t="array" ref="H258">_xlfn.LET(_xlpm.s,IFERROR(--F258,""),_xlpm.e,IFERROR(--G258,""),IF(OR(_xlpm.s="",_xlpm.e="",_xlpm.e&lt;_xlpm.s),"",_xlfn.LET(_xlpm.p,_xlfn.SEQUENCE(_xlpm.e-_xlpm.s+1,1,_xlpm.s,1),SUM(1/COUNTIFS($D:$D,D258,$E:$E,E258,$F:$F,"&lt;&gt;N/A",$G:$G,"&lt;&gt;N/A",$F:$F,"&lt;="&amp;_xlpm.p,$G:$G,"&gt;="&amp;_xlpm.p)))))</f>
        <v>0.83333333333333326</v>
      </c>
      <c r="I258" t="s">
        <v>1350</v>
      </c>
      <c r="J258" s="5" t="s">
        <v>3068</v>
      </c>
      <c r="K258" s="5" t="s">
        <v>7</v>
      </c>
      <c r="L258" s="5" t="s">
        <v>7</v>
      </c>
      <c r="M258" s="5" t="s">
        <v>7</v>
      </c>
      <c r="N258" s="5" t="s">
        <v>7</v>
      </c>
      <c r="O258" t="s">
        <v>778</v>
      </c>
      <c r="P258" t="s">
        <v>7834</v>
      </c>
      <c r="R258" s="1" t="b">
        <v>0</v>
      </c>
    </row>
    <row r="259" spans="1:18">
      <c r="A259" t="s">
        <v>7</v>
      </c>
      <c r="B259" t="s">
        <v>4013</v>
      </c>
      <c r="C259" s="5" t="s">
        <v>7785</v>
      </c>
      <c r="D259" s="1">
        <v>3</v>
      </c>
      <c r="E259" s="1">
        <v>3</v>
      </c>
      <c r="F259" s="1">
        <v>66</v>
      </c>
      <c r="G259" s="1">
        <v>66</v>
      </c>
      <c r="H259" s="13" cm="1">
        <f t="array" ref="H259">_xlfn.LET(_xlpm.s,IFERROR(--F259,""),_xlpm.e,IFERROR(--G259,""),IF(OR(_xlpm.s="",_xlpm.e="",_xlpm.e&lt;_xlpm.s),"",_xlfn.LET(_xlpm.p,_xlfn.SEQUENCE(_xlpm.e-_xlpm.s+1,1,_xlpm.s,1),SUM(1/COUNTIFS($D:$D,D259,$E:$E,E259,$F:$F,"&lt;&gt;N/A",$G:$G,"&lt;&gt;N/A",$F:$F,"&lt;="&amp;_xlpm.p,$G:$G,"&gt;="&amp;_xlpm.p)))))</f>
        <v>0.33333333333333331</v>
      </c>
      <c r="I259" t="s">
        <v>1350</v>
      </c>
      <c r="J259" s="5" t="s">
        <v>3069</v>
      </c>
      <c r="K259" s="5" t="s">
        <v>7</v>
      </c>
      <c r="L259" s="5" t="s">
        <v>7</v>
      </c>
      <c r="M259" s="5" t="s">
        <v>7</v>
      </c>
      <c r="N259" s="5" t="s">
        <v>7</v>
      </c>
      <c r="O259" t="s">
        <v>778</v>
      </c>
      <c r="P259" t="s">
        <v>7834</v>
      </c>
      <c r="R259" s="1" t="b">
        <v>0</v>
      </c>
    </row>
    <row r="260" spans="1:18">
      <c r="A260" t="s">
        <v>7</v>
      </c>
      <c r="B260" t="s">
        <v>4014</v>
      </c>
      <c r="C260" s="5" t="s">
        <v>7785</v>
      </c>
      <c r="D260" s="1">
        <v>3</v>
      </c>
      <c r="E260" s="1">
        <v>3</v>
      </c>
      <c r="F260" s="1">
        <v>66</v>
      </c>
      <c r="G260" s="1">
        <v>71</v>
      </c>
      <c r="H260" s="13" cm="1">
        <f t="array" ref="H260">_xlfn.LET(_xlpm.s,IFERROR(--F260,""),_xlpm.e,IFERROR(--G260,""),IF(OR(_xlpm.s="",_xlpm.e="",_xlpm.e&lt;_xlpm.s),"",_xlfn.LET(_xlpm.p,_xlfn.SEQUENCE(_xlpm.e-_xlpm.s+1,1,_xlpm.s,1),SUM(1/COUNTIFS($D:$D,D260,$E:$E,E260,$F:$F,"&lt;&gt;N/A",$G:$G,"&lt;&gt;N/A",$F:$F,"&lt;="&amp;_xlpm.p,$G:$G,"&gt;="&amp;_xlpm.p)))))</f>
        <v>4.833333333333333</v>
      </c>
      <c r="I260" t="s">
        <v>1350</v>
      </c>
      <c r="J260" s="5" t="s">
        <v>3070</v>
      </c>
      <c r="K260" s="5" t="s">
        <v>7</v>
      </c>
      <c r="L260" s="5" t="s">
        <v>7</v>
      </c>
      <c r="M260" s="5" t="s">
        <v>7</v>
      </c>
      <c r="N260" s="5" t="s">
        <v>7</v>
      </c>
      <c r="O260" t="s">
        <v>778</v>
      </c>
      <c r="P260" t="s">
        <v>7834</v>
      </c>
      <c r="R260" s="1" t="b">
        <v>0</v>
      </c>
    </row>
    <row r="261" spans="1:18">
      <c r="A261" t="s">
        <v>7</v>
      </c>
      <c r="B261" t="s">
        <v>4015</v>
      </c>
      <c r="C261" s="5" t="s">
        <v>7785</v>
      </c>
      <c r="D261" s="1">
        <v>3</v>
      </c>
      <c r="E261" s="1">
        <v>3</v>
      </c>
      <c r="F261" s="1">
        <v>71</v>
      </c>
      <c r="G261" s="1">
        <v>75</v>
      </c>
      <c r="H261" s="13" cm="1">
        <f t="array" ref="H261">_xlfn.LET(_xlpm.s,IFERROR(--F261,""),_xlpm.e,IFERROR(--G261,""),IF(OR(_xlpm.s="",_xlpm.e="",_xlpm.e&lt;_xlpm.s),"",_xlfn.LET(_xlpm.p,_xlfn.SEQUENCE(_xlpm.e-_xlpm.s+1,1,_xlpm.s,1),SUM(1/COUNTIFS($D:$D,D261,$E:$E,E261,$F:$F,"&lt;&gt;N/A",$G:$G,"&lt;&gt;N/A",$F:$F,"&lt;="&amp;_xlpm.p,$G:$G,"&gt;="&amp;_xlpm.p)))))</f>
        <v>4</v>
      </c>
      <c r="I261" t="s">
        <v>3056</v>
      </c>
      <c r="J261" s="5" t="s">
        <v>3071</v>
      </c>
      <c r="K261" s="5" t="s">
        <v>7</v>
      </c>
      <c r="L261" s="5" t="s">
        <v>7</v>
      </c>
      <c r="M261" s="5" t="s">
        <v>7</v>
      </c>
      <c r="N261" s="5" t="s">
        <v>7</v>
      </c>
      <c r="O261" t="s">
        <v>778</v>
      </c>
      <c r="P261" t="s">
        <v>7834</v>
      </c>
      <c r="R261" s="1" t="b">
        <v>1</v>
      </c>
    </row>
    <row r="262" spans="1:18">
      <c r="A262" t="s">
        <v>7</v>
      </c>
      <c r="B262" t="s">
        <v>4016</v>
      </c>
      <c r="C262" s="5" t="s">
        <v>7785</v>
      </c>
      <c r="D262" s="1">
        <v>3</v>
      </c>
      <c r="E262" s="1">
        <v>3</v>
      </c>
      <c r="F262" s="1">
        <v>75</v>
      </c>
      <c r="G262" s="1">
        <v>78</v>
      </c>
      <c r="H262" s="13" cm="1">
        <f t="array" ref="H262">_xlfn.LET(_xlpm.s,IFERROR(--F262,""),_xlpm.e,IFERROR(--G262,""),IF(OR(_xlpm.s="",_xlpm.e="",_xlpm.e&lt;_xlpm.s),"",_xlfn.LET(_xlpm.p,_xlfn.SEQUENCE(_xlpm.e-_xlpm.s+1,1,_xlpm.s,1),SUM(1/COUNTIFS($D:$D,D262,$E:$E,E262,$F:$F,"&lt;&gt;N/A",$G:$G,"&lt;&gt;N/A",$F:$F,"&lt;="&amp;_xlpm.p,$G:$G,"&gt;="&amp;_xlpm.p)))))</f>
        <v>3</v>
      </c>
      <c r="I262" t="s">
        <v>3056</v>
      </c>
      <c r="J262" s="5" t="s">
        <v>3072</v>
      </c>
      <c r="K262" s="5" t="s">
        <v>7</v>
      </c>
      <c r="L262" s="5" t="s">
        <v>7</v>
      </c>
      <c r="M262" s="5" t="s">
        <v>7</v>
      </c>
      <c r="N262" s="5" t="s">
        <v>7</v>
      </c>
      <c r="O262" t="s">
        <v>778</v>
      </c>
      <c r="P262" t="s">
        <v>7834</v>
      </c>
      <c r="R262" s="1" t="b">
        <v>1</v>
      </c>
    </row>
    <row r="263" spans="1:18">
      <c r="A263" t="s">
        <v>7</v>
      </c>
      <c r="B263" t="s">
        <v>4017</v>
      </c>
      <c r="C263" s="5" t="s">
        <v>7785</v>
      </c>
      <c r="D263" s="1">
        <v>3</v>
      </c>
      <c r="E263" s="1">
        <v>3</v>
      </c>
      <c r="F263" s="1">
        <v>78</v>
      </c>
      <c r="G263" s="1">
        <v>91</v>
      </c>
      <c r="H263" s="13" cm="1">
        <f t="array" ref="H263">_xlfn.LET(_xlpm.s,IFERROR(--F263,""),_xlpm.e,IFERROR(--G263,""),IF(OR(_xlpm.s="",_xlpm.e="",_xlpm.e&lt;_xlpm.s),"",_xlfn.LET(_xlpm.p,_xlfn.SEQUENCE(_xlpm.e-_xlpm.s+1,1,_xlpm.s,1),SUM(1/COUNTIFS($D:$D,D263,$E:$E,E263,$F:$F,"&lt;&gt;N/A",$G:$G,"&lt;&gt;N/A",$F:$F,"&lt;="&amp;_xlpm.p,$G:$G,"&gt;="&amp;_xlpm.p)))))</f>
        <v>13.5</v>
      </c>
      <c r="I263" t="s">
        <v>3056</v>
      </c>
      <c r="J263" s="5" t="s">
        <v>3073</v>
      </c>
      <c r="K263" s="5" t="s">
        <v>4861</v>
      </c>
      <c r="L263" s="5" t="s">
        <v>7</v>
      </c>
      <c r="M263" s="5" t="s">
        <v>6434</v>
      </c>
      <c r="N263" s="5" t="s">
        <v>3076</v>
      </c>
      <c r="O263" s="5" t="s">
        <v>5072</v>
      </c>
      <c r="P263" s="5" t="s">
        <v>8021</v>
      </c>
      <c r="Q263" s="5" t="s">
        <v>2509</v>
      </c>
      <c r="R263" s="1" t="b">
        <v>1</v>
      </c>
    </row>
    <row r="264" spans="1:18">
      <c r="A264" t="s">
        <v>7</v>
      </c>
      <c r="B264" t="s">
        <v>4018</v>
      </c>
      <c r="C264" s="5" t="s">
        <v>7785</v>
      </c>
      <c r="D264" s="1">
        <v>3</v>
      </c>
      <c r="E264" s="1">
        <v>3</v>
      </c>
      <c r="F264" s="1">
        <v>92</v>
      </c>
      <c r="G264" s="1">
        <v>93</v>
      </c>
      <c r="H264" s="13" cm="1">
        <f t="array" ref="H264">_xlfn.LET(_xlpm.s,IFERROR(--F264,""),_xlpm.e,IFERROR(--G264,""),IF(OR(_xlpm.s="",_xlpm.e="",_xlpm.e&lt;_xlpm.s),"",_xlfn.LET(_xlpm.p,_xlfn.SEQUENCE(_xlpm.e-_xlpm.s+1,1,_xlpm.s,1),SUM(1/COUNTIFS($D:$D,D264,$E:$E,E264,$F:$F,"&lt;&gt;N/A",$G:$G,"&lt;&gt;N/A",$F:$F,"&lt;="&amp;_xlpm.p,$G:$G,"&gt;="&amp;_xlpm.p)))))</f>
        <v>2</v>
      </c>
      <c r="I264" t="s">
        <v>3056</v>
      </c>
      <c r="J264" s="5" t="s">
        <v>3074</v>
      </c>
      <c r="K264" s="5" t="s">
        <v>7</v>
      </c>
      <c r="L264" s="5" t="s">
        <v>7</v>
      </c>
      <c r="M264" s="5" t="s">
        <v>7</v>
      </c>
      <c r="N264" s="5" t="s">
        <v>7</v>
      </c>
      <c r="O264" t="s">
        <v>778</v>
      </c>
      <c r="P264" t="s">
        <v>7834</v>
      </c>
      <c r="R264" s="1" t="b">
        <v>1</v>
      </c>
    </row>
    <row r="265" spans="1:18">
      <c r="A265" t="s">
        <v>7</v>
      </c>
      <c r="B265" t="s">
        <v>4019</v>
      </c>
      <c r="C265" s="5" t="s">
        <v>7785</v>
      </c>
      <c r="D265" s="1">
        <v>3</v>
      </c>
      <c r="E265" s="1">
        <v>3</v>
      </c>
      <c r="F265" s="1">
        <v>94</v>
      </c>
      <c r="G265" s="1">
        <v>96</v>
      </c>
      <c r="H265" s="13" cm="1">
        <f t="array" ref="H265">_xlfn.LET(_xlpm.s,IFERROR(--F265,""),_xlpm.e,IFERROR(--G265,""),IF(OR(_xlpm.s="",_xlpm.e="",_xlpm.e&lt;_xlpm.s),"",_xlfn.LET(_xlpm.p,_xlfn.SEQUENCE(_xlpm.e-_xlpm.s+1,1,_xlpm.s,1),SUM(1/COUNTIFS($D:$D,D265,$E:$E,E265,$F:$F,"&lt;&gt;N/A",$G:$G,"&lt;&gt;N/A",$F:$F,"&lt;="&amp;_xlpm.p,$G:$G,"&gt;="&amp;_xlpm.p)))))</f>
        <v>3</v>
      </c>
      <c r="I265" t="s">
        <v>170</v>
      </c>
      <c r="J265" s="5" t="s">
        <v>3075</v>
      </c>
      <c r="K265" s="5" t="s">
        <v>7</v>
      </c>
      <c r="L265" s="5" t="s">
        <v>7</v>
      </c>
      <c r="M265" s="5" t="s">
        <v>7</v>
      </c>
      <c r="N265" s="5" t="s">
        <v>7</v>
      </c>
      <c r="O265" t="s">
        <v>778</v>
      </c>
      <c r="P265" t="s">
        <v>7834</v>
      </c>
      <c r="R265" s="1" t="b">
        <v>1</v>
      </c>
    </row>
    <row r="266" spans="1:18">
      <c r="A266" t="s">
        <v>7</v>
      </c>
      <c r="B266" t="s">
        <v>4020</v>
      </c>
      <c r="C266" s="5" t="s">
        <v>7793</v>
      </c>
      <c r="D266" s="1">
        <v>3</v>
      </c>
      <c r="E266" s="1">
        <v>4</v>
      </c>
      <c r="F266" s="1">
        <v>97</v>
      </c>
      <c r="G266" s="1">
        <v>102</v>
      </c>
      <c r="H266" s="13" cm="1">
        <f t="array" ref="H266">_xlfn.LET(_xlpm.s,IFERROR(--F266,""),_xlpm.e,IFERROR(--G266,""),IF(OR(_xlpm.s="",_xlpm.e="",_xlpm.e&lt;_xlpm.s),"",_xlfn.LET(_xlpm.p,_xlfn.SEQUENCE(_xlpm.e-_xlpm.s+1,1,_xlpm.s,1),SUM(1/COUNTIFS($D:$D,D266,$E:$E,E266,$F:$F,"&lt;&gt;N/A",$G:$G,"&lt;&gt;N/A",$F:$F,"&lt;="&amp;_xlpm.p,$G:$G,"&gt;="&amp;_xlpm.p)))))</f>
        <v>5.5</v>
      </c>
      <c r="I266" t="s">
        <v>1350</v>
      </c>
      <c r="J266" s="5" t="s">
        <v>3077</v>
      </c>
      <c r="K266" s="5" t="s">
        <v>4860</v>
      </c>
      <c r="L266" s="5" t="s">
        <v>7</v>
      </c>
      <c r="M266" s="5" t="s">
        <v>7</v>
      </c>
      <c r="N266" s="5" t="s">
        <v>7</v>
      </c>
      <c r="O266" t="s">
        <v>778</v>
      </c>
      <c r="P266" t="s">
        <v>7834</v>
      </c>
      <c r="R266" s="1" t="b">
        <v>0</v>
      </c>
    </row>
    <row r="267" spans="1:18">
      <c r="A267" t="s">
        <v>7</v>
      </c>
      <c r="B267" t="s">
        <v>4021</v>
      </c>
      <c r="C267" s="5" t="s">
        <v>7793</v>
      </c>
      <c r="D267" s="1">
        <v>3</v>
      </c>
      <c r="E267" s="1">
        <v>4</v>
      </c>
      <c r="F267" s="1">
        <v>102</v>
      </c>
      <c r="G267" s="1">
        <v>103</v>
      </c>
      <c r="H267" s="13" cm="1">
        <f t="array" ref="H267">_xlfn.LET(_xlpm.s,IFERROR(--F267,""),_xlpm.e,IFERROR(--G267,""),IF(OR(_xlpm.s="",_xlpm.e="",_xlpm.e&lt;_xlpm.s),"",_xlfn.LET(_xlpm.p,_xlfn.SEQUENCE(_xlpm.e-_xlpm.s+1,1,_xlpm.s,1),SUM(1/COUNTIFS($D:$D,D267,$E:$E,E267,$F:$F,"&lt;&gt;N/A",$G:$G,"&lt;&gt;N/A",$F:$F,"&lt;="&amp;_xlpm.p,$G:$G,"&gt;="&amp;_xlpm.p)))))</f>
        <v>1</v>
      </c>
      <c r="I267" t="s">
        <v>1350</v>
      </c>
      <c r="J267" s="5" t="s">
        <v>3078</v>
      </c>
      <c r="K267" s="5" t="s">
        <v>3079</v>
      </c>
      <c r="L267" s="5" t="s">
        <v>7</v>
      </c>
      <c r="M267" s="5" t="s">
        <v>7</v>
      </c>
      <c r="N267" s="5" t="s">
        <v>7</v>
      </c>
      <c r="O267" t="s">
        <v>778</v>
      </c>
      <c r="P267" t="s">
        <v>7834</v>
      </c>
      <c r="R267" s="1" t="b">
        <v>0</v>
      </c>
    </row>
    <row r="268" spans="1:18">
      <c r="A268" t="s">
        <v>7</v>
      </c>
      <c r="B268" t="s">
        <v>4022</v>
      </c>
      <c r="C268" s="5" t="s">
        <v>7793</v>
      </c>
      <c r="D268" s="1">
        <v>3</v>
      </c>
      <c r="E268" s="1">
        <v>4</v>
      </c>
      <c r="F268" s="1">
        <v>103</v>
      </c>
      <c r="G268" s="1">
        <v>117</v>
      </c>
      <c r="H268" s="13" cm="1">
        <f t="array" ref="H268">_xlfn.LET(_xlpm.s,IFERROR(--F268,""),_xlpm.e,IFERROR(--G268,""),IF(OR(_xlpm.s="",_xlpm.e="",_xlpm.e&lt;_xlpm.s),"",_xlfn.LET(_xlpm.p,_xlfn.SEQUENCE(_xlpm.e-_xlpm.s+1,1,_xlpm.s,1),SUM(1/COUNTIFS($D:$D,D268,$E:$E,E268,$F:$F,"&lt;&gt;N/A",$G:$G,"&lt;&gt;N/A",$F:$F,"&lt;="&amp;_xlpm.p,$G:$G,"&gt;="&amp;_xlpm.p)))))</f>
        <v>14</v>
      </c>
      <c r="I268" t="s">
        <v>1350</v>
      </c>
      <c r="J268" s="5" t="s">
        <v>10934</v>
      </c>
      <c r="K268" s="5" t="s">
        <v>10935</v>
      </c>
      <c r="L268" s="5" t="s">
        <v>7</v>
      </c>
      <c r="M268" s="5" t="s">
        <v>7</v>
      </c>
      <c r="N268" s="5" t="s">
        <v>7</v>
      </c>
      <c r="O268" t="s">
        <v>778</v>
      </c>
      <c r="P268" t="s">
        <v>7834</v>
      </c>
      <c r="R268" s="1" t="b">
        <v>1</v>
      </c>
    </row>
    <row r="269" spans="1:18">
      <c r="A269" t="s">
        <v>7</v>
      </c>
      <c r="B269" t="s">
        <v>4023</v>
      </c>
      <c r="C269" s="5" t="s">
        <v>7793</v>
      </c>
      <c r="D269" s="1">
        <v>3</v>
      </c>
      <c r="E269" s="1">
        <v>4</v>
      </c>
      <c r="F269" s="1">
        <v>117</v>
      </c>
      <c r="G269" s="1">
        <v>122</v>
      </c>
      <c r="H269" s="13" cm="1">
        <f t="array" ref="H269">_xlfn.LET(_xlpm.s,IFERROR(--F269,""),_xlpm.e,IFERROR(--G269,""),IF(OR(_xlpm.s="",_xlpm.e="",_xlpm.e&lt;_xlpm.s),"",_xlfn.LET(_xlpm.p,_xlfn.SEQUENCE(_xlpm.e-_xlpm.s+1,1,_xlpm.s,1),SUM(1/COUNTIFS($D:$D,D269,$E:$E,E269,$F:$F,"&lt;&gt;N/A",$G:$G,"&lt;&gt;N/A",$F:$F,"&lt;="&amp;_xlpm.p,$G:$G,"&gt;="&amp;_xlpm.p)))))</f>
        <v>5.5</v>
      </c>
      <c r="I269" t="s">
        <v>1350</v>
      </c>
      <c r="J269" s="5" t="s">
        <v>3080</v>
      </c>
      <c r="K269" s="5" t="s">
        <v>3081</v>
      </c>
      <c r="L269" s="5" t="s">
        <v>7</v>
      </c>
      <c r="M269" s="5" t="s">
        <v>7</v>
      </c>
      <c r="N269" s="5" t="s">
        <v>7</v>
      </c>
      <c r="O269" t="s">
        <v>778</v>
      </c>
      <c r="P269" t="s">
        <v>7834</v>
      </c>
      <c r="R269" s="1" t="b">
        <v>1</v>
      </c>
    </row>
    <row r="270" spans="1:18">
      <c r="A270" t="s">
        <v>7</v>
      </c>
      <c r="B270" t="s">
        <v>4024</v>
      </c>
      <c r="C270" s="5" t="s">
        <v>7793</v>
      </c>
      <c r="D270" s="1">
        <v>3</v>
      </c>
      <c r="E270" s="1">
        <v>4</v>
      </c>
      <c r="F270" s="1">
        <v>123</v>
      </c>
      <c r="G270" s="1">
        <v>127</v>
      </c>
      <c r="H270" s="13" cm="1">
        <f t="array" ref="H270">_xlfn.LET(_xlpm.s,IFERROR(--F270,""),_xlpm.e,IFERROR(--G270,""),IF(OR(_xlpm.s="",_xlpm.e="",_xlpm.e&lt;_xlpm.s),"",_xlfn.LET(_xlpm.p,_xlfn.SEQUENCE(_xlpm.e-_xlpm.s+1,1,_xlpm.s,1),SUM(1/COUNTIFS($D:$D,D270,$E:$E,E270,$F:$F,"&lt;&gt;N/A",$G:$G,"&lt;&gt;N/A",$F:$F,"&lt;="&amp;_xlpm.p,$G:$G,"&gt;="&amp;_xlpm.p)))))</f>
        <v>4.5</v>
      </c>
      <c r="I270" t="s">
        <v>3082</v>
      </c>
      <c r="J270" s="5" t="s">
        <v>3083</v>
      </c>
      <c r="K270" s="5" t="s">
        <v>4860</v>
      </c>
      <c r="L270" s="5" t="s">
        <v>7</v>
      </c>
      <c r="M270" s="5" t="s">
        <v>7</v>
      </c>
      <c r="N270" s="5" t="s">
        <v>7</v>
      </c>
      <c r="O270" t="s">
        <v>778</v>
      </c>
      <c r="P270" t="s">
        <v>7834</v>
      </c>
      <c r="R270" s="1" t="b">
        <v>1</v>
      </c>
    </row>
    <row r="271" spans="1:18">
      <c r="A271" t="s">
        <v>7</v>
      </c>
      <c r="B271" t="s">
        <v>10936</v>
      </c>
      <c r="C271" s="5" t="s">
        <v>7793</v>
      </c>
      <c r="D271" s="1">
        <v>3</v>
      </c>
      <c r="E271" s="1">
        <v>4</v>
      </c>
      <c r="F271" s="1">
        <v>127</v>
      </c>
      <c r="G271" s="1">
        <v>128</v>
      </c>
      <c r="H271" s="13" cm="1">
        <f t="array" ref="H271">_xlfn.LET(_xlpm.s,IFERROR(--F271,""),_xlpm.e,IFERROR(--G271,""),IF(OR(_xlpm.s="",_xlpm.e="",_xlpm.e&lt;_xlpm.s),"",_xlfn.LET(_xlpm.p,_xlfn.SEQUENCE(_xlpm.e-_xlpm.s+1,1,_xlpm.s,1),SUM(1/COUNTIFS($D:$D,D271,$E:$E,E271,$F:$F,"&lt;&gt;N/A",$G:$G,"&lt;&gt;N/A",$F:$F,"&lt;="&amp;_xlpm.p,$G:$G,"&gt;="&amp;_xlpm.p)))))</f>
        <v>1.5</v>
      </c>
      <c r="I271" t="s">
        <v>170</v>
      </c>
      <c r="J271" s="5" t="s">
        <v>3084</v>
      </c>
      <c r="K271" s="5" t="s">
        <v>7</v>
      </c>
      <c r="L271" s="5" t="s">
        <v>7</v>
      </c>
      <c r="M271" t="s">
        <v>7717</v>
      </c>
      <c r="N271" s="5" t="s">
        <v>10119</v>
      </c>
      <c r="O271" t="s">
        <v>5072</v>
      </c>
      <c r="P271" t="s">
        <v>8019</v>
      </c>
      <c r="Q271" s="5" t="s">
        <v>2509</v>
      </c>
      <c r="R271" s="1" t="b">
        <v>1</v>
      </c>
    </row>
    <row r="272" spans="1:18">
      <c r="A272" t="s">
        <v>7</v>
      </c>
      <c r="B272" t="s">
        <v>10949</v>
      </c>
      <c r="C272" s="5" t="s">
        <v>7800</v>
      </c>
      <c r="D272" s="1">
        <v>3</v>
      </c>
      <c r="E272" s="1">
        <v>5</v>
      </c>
      <c r="F272" s="1">
        <v>129</v>
      </c>
      <c r="G272" s="1">
        <v>131</v>
      </c>
      <c r="H272" s="13" cm="1">
        <f t="array" ref="H272">_xlfn.LET(_xlpm.s,IFERROR(--F272,""),_xlpm.e,IFERROR(--G272,""),IF(OR(_xlpm.s="",_xlpm.e="",_xlpm.e&lt;_xlpm.s),"",_xlfn.LET(_xlpm.p,_xlfn.SEQUENCE(_xlpm.e-_xlpm.s+1,1,_xlpm.s,1),SUM(1/COUNTIFS($D:$D,D272,$E:$E,E272,$F:$F,"&lt;&gt;N/A",$G:$G,"&lt;&gt;N/A",$F:$F,"&lt;="&amp;_xlpm.p,$G:$G,"&gt;="&amp;_xlpm.p)))))</f>
        <v>3</v>
      </c>
      <c r="I272" t="s">
        <v>1350</v>
      </c>
      <c r="J272" s="5" t="s">
        <v>3085</v>
      </c>
      <c r="K272" s="5" t="s">
        <v>7</v>
      </c>
      <c r="L272" s="5" t="s">
        <v>7</v>
      </c>
      <c r="M272" s="5" t="s">
        <v>7</v>
      </c>
      <c r="N272" s="5" t="s">
        <v>7</v>
      </c>
      <c r="O272" t="s">
        <v>778</v>
      </c>
      <c r="P272" t="s">
        <v>7834</v>
      </c>
      <c r="R272" s="1" t="b">
        <v>1</v>
      </c>
    </row>
    <row r="273" spans="1:18">
      <c r="A273" t="s">
        <v>7</v>
      </c>
      <c r="B273" t="s">
        <v>10950</v>
      </c>
      <c r="C273" s="5" t="s">
        <v>7800</v>
      </c>
      <c r="D273" s="1">
        <v>3</v>
      </c>
      <c r="E273" s="1">
        <v>5</v>
      </c>
      <c r="F273" s="1">
        <v>132</v>
      </c>
      <c r="G273" s="1">
        <v>145</v>
      </c>
      <c r="H273" s="13" cm="1">
        <f t="array" ref="H273">_xlfn.LET(_xlpm.s,IFERROR(--F273,""),_xlpm.e,IFERROR(--G273,""),IF(OR(_xlpm.s="",_xlpm.e="",_xlpm.e&lt;_xlpm.s),"",_xlfn.LET(_xlpm.p,_xlfn.SEQUENCE(_xlpm.e-_xlpm.s+1,1,_xlpm.s,1),SUM(1/COUNTIFS($D:$D,D273,$E:$E,E273,$F:$F,"&lt;&gt;N/A",$G:$G,"&lt;&gt;N/A",$F:$F,"&lt;="&amp;_xlpm.p,$G:$G,"&gt;="&amp;_xlpm.p)))))</f>
        <v>14</v>
      </c>
      <c r="I273" t="s">
        <v>1350</v>
      </c>
      <c r="J273" s="5" t="s">
        <v>3086</v>
      </c>
      <c r="K273" s="5" t="s">
        <v>7</v>
      </c>
      <c r="L273" s="5" t="s">
        <v>7</v>
      </c>
      <c r="M273" s="5" t="s">
        <v>7</v>
      </c>
      <c r="N273" s="5" t="s">
        <v>7</v>
      </c>
      <c r="O273" t="s">
        <v>778</v>
      </c>
      <c r="P273" t="s">
        <v>7834</v>
      </c>
      <c r="R273" s="1" t="b">
        <v>1</v>
      </c>
    </row>
    <row r="274" spans="1:18">
      <c r="A274" t="s">
        <v>7</v>
      </c>
      <c r="B274" t="s">
        <v>10951</v>
      </c>
      <c r="C274" s="5" t="s">
        <v>7800</v>
      </c>
      <c r="D274" s="1">
        <v>3</v>
      </c>
      <c r="E274" s="1">
        <v>5</v>
      </c>
      <c r="F274" s="1">
        <v>146</v>
      </c>
      <c r="G274" s="1">
        <v>153</v>
      </c>
      <c r="H274" s="13" cm="1">
        <f t="array" ref="H274">_xlfn.LET(_xlpm.s,IFERROR(--F274,""),_xlpm.e,IFERROR(--G274,""),IF(OR(_xlpm.s="",_xlpm.e="",_xlpm.e&lt;_xlpm.s),"",_xlfn.LET(_xlpm.p,_xlfn.SEQUENCE(_xlpm.e-_xlpm.s+1,1,_xlpm.s,1),SUM(1/COUNTIFS($D:$D,D274,$E:$E,E274,$F:$F,"&lt;&gt;N/A",$G:$G,"&lt;&gt;N/A",$F:$F,"&lt;="&amp;_xlpm.p,$G:$G,"&gt;="&amp;_xlpm.p)))))</f>
        <v>8</v>
      </c>
      <c r="I274" t="s">
        <v>1350</v>
      </c>
      <c r="J274" s="5" t="s">
        <v>3087</v>
      </c>
      <c r="K274" s="5" t="s">
        <v>3088</v>
      </c>
      <c r="L274" s="5" t="s">
        <v>7</v>
      </c>
      <c r="M274" s="5" t="s">
        <v>7</v>
      </c>
      <c r="N274" s="5" t="s">
        <v>7</v>
      </c>
      <c r="O274" t="s">
        <v>778</v>
      </c>
      <c r="P274" t="s">
        <v>7834</v>
      </c>
      <c r="R274" s="1" t="b">
        <v>1</v>
      </c>
    </row>
    <row r="275" spans="1:18">
      <c r="A275" t="s">
        <v>7</v>
      </c>
      <c r="B275" t="s">
        <v>10952</v>
      </c>
      <c r="C275" s="5" t="s">
        <v>7800</v>
      </c>
      <c r="D275" s="1">
        <v>3</v>
      </c>
      <c r="E275" s="1">
        <v>5</v>
      </c>
      <c r="F275" s="1">
        <v>154</v>
      </c>
      <c r="G275" s="1">
        <v>160</v>
      </c>
      <c r="H275" s="13" cm="1">
        <f t="array" ref="H275">_xlfn.LET(_xlpm.s,IFERROR(--F275,""),_xlpm.e,IFERROR(--G275,""),IF(OR(_xlpm.s="",_xlpm.e="",_xlpm.e&lt;_xlpm.s),"",_xlfn.LET(_xlpm.p,_xlfn.SEQUENCE(_xlpm.e-_xlpm.s+1,1,_xlpm.s,1),SUM(1/COUNTIFS($D:$D,D275,$E:$E,E275,$F:$F,"&lt;&gt;N/A",$G:$G,"&lt;&gt;N/A",$F:$F,"&lt;="&amp;_xlpm.p,$G:$G,"&gt;="&amp;_xlpm.p)))))</f>
        <v>7</v>
      </c>
      <c r="I275" t="s">
        <v>1350</v>
      </c>
      <c r="J275" s="5" t="s">
        <v>3157</v>
      </c>
      <c r="K275" s="5" t="s">
        <v>1457</v>
      </c>
      <c r="L275" s="5" t="s">
        <v>7</v>
      </c>
      <c r="M275" s="5" t="s">
        <v>7</v>
      </c>
      <c r="N275" s="5" t="s">
        <v>7</v>
      </c>
      <c r="O275" t="s">
        <v>778</v>
      </c>
      <c r="P275" t="s">
        <v>7834</v>
      </c>
      <c r="R275" s="1" t="b">
        <v>1</v>
      </c>
    </row>
    <row r="276" spans="1:18">
      <c r="A276" t="s">
        <v>7</v>
      </c>
      <c r="B276" t="s">
        <v>10953</v>
      </c>
      <c r="C276" s="5" t="s">
        <v>7807</v>
      </c>
      <c r="D276" s="1">
        <v>3</v>
      </c>
      <c r="E276" s="1">
        <v>6</v>
      </c>
      <c r="F276" s="1">
        <v>161</v>
      </c>
      <c r="G276" s="1">
        <v>173</v>
      </c>
      <c r="H276" s="13" cm="1">
        <f t="array" ref="H276">_xlfn.LET(_xlpm.s,IFERROR(--F276,""),_xlpm.e,IFERROR(--G276,""),IF(OR(_xlpm.s="",_xlpm.e="",_xlpm.e&lt;_xlpm.s),"",_xlfn.LET(_xlpm.p,_xlfn.SEQUENCE(_xlpm.e-_xlpm.s+1,1,_xlpm.s,1),SUM(1/COUNTIFS($D:$D,D276,$E:$E,E276,$F:$F,"&lt;&gt;N/A",$G:$G,"&lt;&gt;N/A",$F:$F,"&lt;="&amp;_xlpm.p,$G:$G,"&gt;="&amp;_xlpm.p)))))</f>
        <v>12.5</v>
      </c>
      <c r="I276" t="s">
        <v>1350</v>
      </c>
      <c r="J276" s="5" t="s">
        <v>3089</v>
      </c>
      <c r="K276" s="5" t="s">
        <v>7</v>
      </c>
      <c r="L276" s="5" t="s">
        <v>7</v>
      </c>
      <c r="M276" s="5" t="s">
        <v>7</v>
      </c>
      <c r="N276" s="5" t="s">
        <v>7</v>
      </c>
      <c r="O276" t="s">
        <v>778</v>
      </c>
      <c r="P276" t="s">
        <v>7834</v>
      </c>
      <c r="R276" s="1" t="b">
        <v>1</v>
      </c>
    </row>
    <row r="277" spans="1:18">
      <c r="A277" t="s">
        <v>7</v>
      </c>
      <c r="B277" t="s">
        <v>10954</v>
      </c>
      <c r="C277" s="5" t="s">
        <v>7807</v>
      </c>
      <c r="D277" s="1">
        <v>3</v>
      </c>
      <c r="E277" s="1">
        <v>6</v>
      </c>
      <c r="F277" s="1">
        <v>173</v>
      </c>
      <c r="G277" s="1">
        <v>176</v>
      </c>
      <c r="H277" s="13" cm="1">
        <f t="array" ref="H277">_xlfn.LET(_xlpm.s,IFERROR(--F277,""),_xlpm.e,IFERROR(--G277,""),IF(OR(_xlpm.s="",_xlpm.e="",_xlpm.e&lt;_xlpm.s),"",_xlfn.LET(_xlpm.p,_xlfn.SEQUENCE(_xlpm.e-_xlpm.s+1,1,_xlpm.s,1),SUM(1/COUNTIFS($D:$D,D277,$E:$E,E277,$F:$F,"&lt;&gt;N/A",$G:$G,"&lt;&gt;N/A",$F:$F,"&lt;="&amp;_xlpm.p,$G:$G,"&gt;="&amp;_xlpm.p)))))</f>
        <v>3.5</v>
      </c>
      <c r="I277" t="s">
        <v>1350</v>
      </c>
      <c r="J277" s="5" t="s">
        <v>3090</v>
      </c>
      <c r="K277" s="5" t="s">
        <v>1457</v>
      </c>
      <c r="L277" s="5" t="s">
        <v>7</v>
      </c>
      <c r="M277" s="5" t="s">
        <v>7</v>
      </c>
      <c r="N277" s="5" t="s">
        <v>7</v>
      </c>
      <c r="O277" s="5" t="s">
        <v>778</v>
      </c>
      <c r="P277" s="5" t="s">
        <v>7834</v>
      </c>
      <c r="R277" s="1" t="b">
        <v>1</v>
      </c>
    </row>
    <row r="278" spans="1:18">
      <c r="A278" t="s">
        <v>7</v>
      </c>
      <c r="B278" t="s">
        <v>10955</v>
      </c>
      <c r="C278" s="5" t="s">
        <v>7807</v>
      </c>
      <c r="D278" s="1">
        <v>3</v>
      </c>
      <c r="E278" s="1">
        <v>6</v>
      </c>
      <c r="F278" s="1">
        <v>177</v>
      </c>
      <c r="G278" s="1">
        <v>181</v>
      </c>
      <c r="H278" s="13" cm="1">
        <f t="array" ref="H278">_xlfn.LET(_xlpm.s,IFERROR(--F278,""),_xlpm.e,IFERROR(--G278,""),IF(OR(_xlpm.s="",_xlpm.e="",_xlpm.e&lt;_xlpm.s),"",_xlfn.LET(_xlpm.p,_xlfn.SEQUENCE(_xlpm.e-_xlpm.s+1,1,_xlpm.s,1),SUM(1/COUNTIFS($D:$D,D278,$E:$E,E278,$F:$F,"&lt;&gt;N/A",$G:$G,"&lt;&gt;N/A",$F:$F,"&lt;="&amp;_xlpm.p,$G:$G,"&gt;="&amp;_xlpm.p)))))</f>
        <v>5</v>
      </c>
      <c r="I278" t="s">
        <v>1350</v>
      </c>
      <c r="J278" s="5" t="s">
        <v>3100</v>
      </c>
      <c r="K278" s="5" t="s">
        <v>3099</v>
      </c>
      <c r="L278" s="5" t="s">
        <v>7</v>
      </c>
      <c r="M278" s="5" t="s">
        <v>7</v>
      </c>
      <c r="N278" s="5" t="s">
        <v>7</v>
      </c>
      <c r="O278" s="5" t="s">
        <v>778</v>
      </c>
      <c r="P278" t="s">
        <v>7834</v>
      </c>
      <c r="Q278" s="5" t="s">
        <v>10793</v>
      </c>
      <c r="R278" s="1" t="b">
        <v>1</v>
      </c>
    </row>
    <row r="279" spans="1:18">
      <c r="A279" t="s">
        <v>7</v>
      </c>
      <c r="B279" t="s">
        <v>10956</v>
      </c>
      <c r="C279" s="5" t="s">
        <v>7807</v>
      </c>
      <c r="D279" s="1">
        <v>3</v>
      </c>
      <c r="E279" s="1">
        <v>6</v>
      </c>
      <c r="F279" s="1">
        <v>182</v>
      </c>
      <c r="G279" s="1">
        <v>184</v>
      </c>
      <c r="H279" s="13" cm="1">
        <f t="array" ref="H279">_xlfn.LET(_xlpm.s,IFERROR(--F279,""),_xlpm.e,IFERROR(--G279,""),IF(OR(_xlpm.s="",_xlpm.e="",_xlpm.e&lt;_xlpm.s),"",_xlfn.LET(_xlpm.p,_xlfn.SEQUENCE(_xlpm.e-_xlpm.s+1,1,_xlpm.s,1),SUM(1/COUNTIFS($D:$D,D279,$E:$E,E279,$F:$F,"&lt;&gt;N/A",$G:$G,"&lt;&gt;N/A",$F:$F,"&lt;="&amp;_xlpm.p,$G:$G,"&gt;="&amp;_xlpm.p)))))</f>
        <v>2.3333333333333335</v>
      </c>
      <c r="I279" t="s">
        <v>1506</v>
      </c>
      <c r="J279" s="5" t="s">
        <v>3098</v>
      </c>
      <c r="K279" s="5" t="s">
        <v>7</v>
      </c>
      <c r="L279" s="5" t="s">
        <v>4862</v>
      </c>
      <c r="M279" s="5" t="s">
        <v>7659</v>
      </c>
      <c r="N279" s="5" t="s">
        <v>10118</v>
      </c>
      <c r="O279" s="5" t="s">
        <v>5072</v>
      </c>
      <c r="P279" s="5" t="s">
        <v>8021</v>
      </c>
      <c r="R279" s="1" t="b">
        <v>1</v>
      </c>
    </row>
    <row r="280" spans="1:18">
      <c r="A280" t="s">
        <v>7</v>
      </c>
      <c r="B280" t="s">
        <v>10957</v>
      </c>
      <c r="C280" s="5" t="s">
        <v>7807</v>
      </c>
      <c r="D280" s="1">
        <v>3</v>
      </c>
      <c r="E280" s="1">
        <v>6</v>
      </c>
      <c r="F280" s="1">
        <v>184</v>
      </c>
      <c r="G280" s="1">
        <v>184</v>
      </c>
      <c r="H280" s="13" cm="1">
        <f t="array" ref="H280">_xlfn.LET(_xlpm.s,IFERROR(--F280,""),_xlpm.e,IFERROR(--G280,""),IF(OR(_xlpm.s="",_xlpm.e="",_xlpm.e&lt;_xlpm.s),"",_xlfn.LET(_xlpm.p,_xlfn.SEQUENCE(_xlpm.e-_xlpm.s+1,1,_xlpm.s,1),SUM(1/COUNTIFS($D:$D,D280,$E:$E,E280,$F:$F,"&lt;&gt;N/A",$G:$G,"&lt;&gt;N/A",$F:$F,"&lt;="&amp;_xlpm.p,$G:$G,"&gt;="&amp;_xlpm.p)))))</f>
        <v>0.33333333333333331</v>
      </c>
      <c r="I280" t="s">
        <v>1506</v>
      </c>
      <c r="J280" s="5" t="s">
        <v>3097</v>
      </c>
      <c r="K280" s="5" t="s">
        <v>7</v>
      </c>
      <c r="L280" s="5" t="s">
        <v>4863</v>
      </c>
      <c r="M280" s="5" t="s">
        <v>7566</v>
      </c>
      <c r="N280" s="5" t="s">
        <v>3159</v>
      </c>
      <c r="O280" s="5" t="s">
        <v>5072</v>
      </c>
      <c r="P280" s="5" t="s">
        <v>8021</v>
      </c>
      <c r="R280" s="1" t="b">
        <v>1</v>
      </c>
    </row>
    <row r="281" spans="1:18">
      <c r="A281" t="s">
        <v>7</v>
      </c>
      <c r="B281" t="s">
        <v>10958</v>
      </c>
      <c r="C281" s="5" t="s">
        <v>7807</v>
      </c>
      <c r="D281" s="1">
        <v>3</v>
      </c>
      <c r="E281" s="1">
        <v>6</v>
      </c>
      <c r="F281" s="1">
        <v>184</v>
      </c>
      <c r="G281" s="1">
        <v>185</v>
      </c>
      <c r="H281" s="13" cm="1">
        <f t="array" ref="H281">_xlfn.LET(_xlpm.s,IFERROR(--F281,""),_xlpm.e,IFERROR(--G281,""),IF(OR(_xlpm.s="",_xlpm.e="",_xlpm.e&lt;_xlpm.s),"",_xlfn.LET(_xlpm.p,_xlfn.SEQUENCE(_xlpm.e-_xlpm.s+1,1,_xlpm.s,1),SUM(1/COUNTIFS($D:$D,D281,$E:$E,E281,$F:$F,"&lt;&gt;N/A",$G:$G,"&lt;&gt;N/A",$F:$F,"&lt;="&amp;_xlpm.p,$G:$G,"&gt;="&amp;_xlpm.p)))))</f>
        <v>0.58333333333333326</v>
      </c>
      <c r="I281" t="s">
        <v>1506</v>
      </c>
      <c r="J281" s="5" t="s">
        <v>3096</v>
      </c>
      <c r="K281" s="5" t="s">
        <v>7</v>
      </c>
      <c r="L281" s="5" t="s">
        <v>4863</v>
      </c>
      <c r="M281" s="5" t="s">
        <v>7566</v>
      </c>
      <c r="N281" s="5" t="s">
        <v>3160</v>
      </c>
      <c r="O281" s="5" t="s">
        <v>5072</v>
      </c>
      <c r="P281" s="5" t="s">
        <v>8021</v>
      </c>
      <c r="R281" s="1" t="b">
        <v>1</v>
      </c>
    </row>
    <row r="282" spans="1:18">
      <c r="A282" t="s">
        <v>7</v>
      </c>
      <c r="B282" t="s">
        <v>10959</v>
      </c>
      <c r="C282" s="5" t="s">
        <v>7807</v>
      </c>
      <c r="D282" s="1">
        <v>3</v>
      </c>
      <c r="E282" s="1">
        <v>6</v>
      </c>
      <c r="F282" s="1">
        <v>185</v>
      </c>
      <c r="G282" s="1">
        <v>185</v>
      </c>
      <c r="H282" s="13" cm="1">
        <f t="array" ref="H282">_xlfn.LET(_xlpm.s,IFERROR(--F282,""),_xlpm.e,IFERROR(--G282,""),IF(OR(_xlpm.s="",_xlpm.e="",_xlpm.e&lt;_xlpm.s),"",_xlfn.LET(_xlpm.p,_xlfn.SEQUENCE(_xlpm.e-_xlpm.s+1,1,_xlpm.s,1),SUM(1/COUNTIFS($D:$D,D282,$E:$E,E282,$F:$F,"&lt;&gt;N/A",$G:$G,"&lt;&gt;N/A",$F:$F,"&lt;="&amp;_xlpm.p,$G:$G,"&gt;="&amp;_xlpm.p)))))</f>
        <v>0.25</v>
      </c>
      <c r="I282" t="s">
        <v>1506</v>
      </c>
      <c r="J282" s="5" t="s">
        <v>3095</v>
      </c>
      <c r="K282" s="5" t="s">
        <v>7</v>
      </c>
      <c r="L282" s="5" t="s">
        <v>4864</v>
      </c>
      <c r="M282" s="5" t="s">
        <v>6510</v>
      </c>
      <c r="N282" s="5" t="s">
        <v>3163</v>
      </c>
      <c r="O282" s="5" t="s">
        <v>10264</v>
      </c>
      <c r="P282" s="5" t="s">
        <v>8021</v>
      </c>
      <c r="R282" s="1" t="b">
        <v>1</v>
      </c>
    </row>
    <row r="283" spans="1:18">
      <c r="A283" t="s">
        <v>7</v>
      </c>
      <c r="B283" t="s">
        <v>10960</v>
      </c>
      <c r="C283" s="5" t="s">
        <v>7807</v>
      </c>
      <c r="D283" s="1">
        <v>3</v>
      </c>
      <c r="E283" s="1">
        <v>6</v>
      </c>
      <c r="F283" s="1">
        <v>185</v>
      </c>
      <c r="G283" s="1">
        <v>185</v>
      </c>
      <c r="H283" s="13" cm="1">
        <f t="array" ref="H283">_xlfn.LET(_xlpm.s,IFERROR(--F283,""),_xlpm.e,IFERROR(--G283,""),IF(OR(_xlpm.s="",_xlpm.e="",_xlpm.e&lt;_xlpm.s),"",_xlfn.LET(_xlpm.p,_xlfn.SEQUENCE(_xlpm.e-_xlpm.s+1,1,_xlpm.s,1),SUM(1/COUNTIFS($D:$D,D283,$E:$E,E283,$F:$F,"&lt;&gt;N/A",$G:$G,"&lt;&gt;N/A",$F:$F,"&lt;="&amp;_xlpm.p,$G:$G,"&gt;="&amp;_xlpm.p)))))</f>
        <v>0.25</v>
      </c>
      <c r="I283" t="s">
        <v>1506</v>
      </c>
      <c r="J283" s="5" t="s">
        <v>3094</v>
      </c>
      <c r="K283" s="5" t="s">
        <v>7</v>
      </c>
      <c r="L283" s="5" t="s">
        <v>4864</v>
      </c>
      <c r="M283" s="5" t="s">
        <v>6510</v>
      </c>
      <c r="N283" s="5" t="s">
        <v>3162</v>
      </c>
      <c r="O283" s="5" t="s">
        <v>10264</v>
      </c>
      <c r="P283" s="5" t="s">
        <v>8021</v>
      </c>
      <c r="R283" s="1" t="b">
        <v>1</v>
      </c>
    </row>
    <row r="284" spans="1:18">
      <c r="A284" t="s">
        <v>7</v>
      </c>
      <c r="B284" t="s">
        <v>10961</v>
      </c>
      <c r="C284" s="5" t="s">
        <v>7807</v>
      </c>
      <c r="D284" s="1">
        <v>3</v>
      </c>
      <c r="E284" s="1">
        <v>6</v>
      </c>
      <c r="F284" s="1">
        <v>185</v>
      </c>
      <c r="G284" s="1">
        <v>186</v>
      </c>
      <c r="H284" s="13" cm="1">
        <f t="array" ref="H284">_xlfn.LET(_xlpm.s,IFERROR(--F284,""),_xlpm.e,IFERROR(--G284,""),IF(OR(_xlpm.s="",_xlpm.e="",_xlpm.e&lt;_xlpm.s),"",_xlfn.LET(_xlpm.p,_xlfn.SEQUENCE(_xlpm.e-_xlpm.s+1,1,_xlpm.s,1),SUM(1/COUNTIFS($D:$D,D284,$E:$E,E284,$F:$F,"&lt;&gt;N/A",$G:$G,"&lt;&gt;N/A",$F:$F,"&lt;="&amp;_xlpm.p,$G:$G,"&gt;="&amp;_xlpm.p)))))</f>
        <v>0.58333333333333326</v>
      </c>
      <c r="I284" t="s">
        <v>1506</v>
      </c>
      <c r="J284" s="5" t="s">
        <v>3093</v>
      </c>
      <c r="K284" s="5" t="s">
        <v>7</v>
      </c>
      <c r="L284" s="5" t="s">
        <v>4864</v>
      </c>
      <c r="M284" s="5" t="s">
        <v>6510</v>
      </c>
      <c r="N284" s="5" t="s">
        <v>3161</v>
      </c>
      <c r="O284" s="5" t="s">
        <v>10264</v>
      </c>
      <c r="P284" s="5" t="s">
        <v>8021</v>
      </c>
      <c r="R284" s="1" t="b">
        <v>1</v>
      </c>
    </row>
    <row r="285" spans="1:18">
      <c r="A285" t="s">
        <v>7</v>
      </c>
      <c r="B285" t="s">
        <v>10962</v>
      </c>
      <c r="C285" s="5" t="s">
        <v>7807</v>
      </c>
      <c r="D285" s="1">
        <v>3</v>
      </c>
      <c r="E285" s="1">
        <v>6</v>
      </c>
      <c r="F285" s="1">
        <v>186</v>
      </c>
      <c r="G285" s="1">
        <v>186</v>
      </c>
      <c r="H285" s="13" cm="1">
        <f t="array" ref="H285">_xlfn.LET(_xlpm.s,IFERROR(--F285,""),_xlpm.e,IFERROR(--G285,""),IF(OR(_xlpm.s="",_xlpm.e="",_xlpm.e&lt;_xlpm.s),"",_xlfn.LET(_xlpm.p,_xlfn.SEQUENCE(_xlpm.e-_xlpm.s+1,1,_xlpm.s,1),SUM(1/COUNTIFS($D:$D,D285,$E:$E,E285,$F:$F,"&lt;&gt;N/A",$G:$G,"&lt;&gt;N/A",$F:$F,"&lt;="&amp;_xlpm.p,$G:$G,"&gt;="&amp;_xlpm.p)))))</f>
        <v>0.33333333333333331</v>
      </c>
      <c r="I285" t="s">
        <v>1506</v>
      </c>
      <c r="J285" s="5" t="s">
        <v>3092</v>
      </c>
      <c r="K285" s="5" t="s">
        <v>7</v>
      </c>
      <c r="L285" s="5" t="s">
        <v>4864</v>
      </c>
      <c r="M285" s="5" t="s">
        <v>6510</v>
      </c>
      <c r="N285" s="5" t="s">
        <v>3164</v>
      </c>
      <c r="O285" s="5" t="s">
        <v>10264</v>
      </c>
      <c r="P285" s="5" t="s">
        <v>8021</v>
      </c>
      <c r="R285" s="1" t="b">
        <v>1</v>
      </c>
    </row>
    <row r="286" spans="1:18">
      <c r="A286" t="s">
        <v>7</v>
      </c>
      <c r="B286" t="s">
        <v>10963</v>
      </c>
      <c r="C286" s="5" t="s">
        <v>7807</v>
      </c>
      <c r="D286" s="1">
        <v>3</v>
      </c>
      <c r="E286" s="1">
        <v>6</v>
      </c>
      <c r="F286" s="1">
        <v>186</v>
      </c>
      <c r="G286" s="1">
        <v>191</v>
      </c>
      <c r="H286" s="13" cm="1">
        <f t="array" ref="H286">_xlfn.LET(_xlpm.s,IFERROR(--F286,""),_xlpm.e,IFERROR(--G286,""),IF(OR(_xlpm.s="",_xlpm.e="",_xlpm.e&lt;_xlpm.s),"",_xlfn.LET(_xlpm.p,_xlfn.SEQUENCE(_xlpm.e-_xlpm.s+1,1,_xlpm.s,1),SUM(1/COUNTIFS($D:$D,D286,$E:$E,E286,$F:$F,"&lt;&gt;N/A",$G:$G,"&lt;&gt;N/A",$F:$F,"&lt;="&amp;_xlpm.p,$G:$G,"&gt;="&amp;_xlpm.p)))))</f>
        <v>5.333333333333333</v>
      </c>
      <c r="I286" t="s">
        <v>1506</v>
      </c>
      <c r="J286" s="5" t="s">
        <v>3091</v>
      </c>
      <c r="K286" s="5" t="s">
        <v>2486</v>
      </c>
      <c r="L286" s="5" t="s">
        <v>6512</v>
      </c>
      <c r="M286" s="5" t="s">
        <v>7</v>
      </c>
      <c r="N286" s="5" t="s">
        <v>7</v>
      </c>
      <c r="O286" t="s">
        <v>778</v>
      </c>
      <c r="P286" t="s">
        <v>7834</v>
      </c>
      <c r="R286" s="1" t="b">
        <v>1</v>
      </c>
    </row>
    <row r="287" spans="1:18">
      <c r="A287" t="s">
        <v>7</v>
      </c>
      <c r="B287" t="s">
        <v>10964</v>
      </c>
      <c r="C287" s="5" t="s">
        <v>7807</v>
      </c>
      <c r="D287" s="1">
        <v>3</v>
      </c>
      <c r="E287" s="1">
        <v>6</v>
      </c>
      <c r="F287" s="1">
        <v>192</v>
      </c>
      <c r="G287" s="1">
        <v>192</v>
      </c>
      <c r="H287" s="13" cm="1">
        <f t="array" ref="H287">_xlfn.LET(_xlpm.s,IFERROR(--F287,""),_xlpm.e,IFERROR(--G287,""),IF(OR(_xlpm.s="",_xlpm.e="",_xlpm.e&lt;_xlpm.s),"",_xlfn.LET(_xlpm.p,_xlfn.SEQUENCE(_xlpm.e-_xlpm.s+1,1,_xlpm.s,1),SUM(1/COUNTIFS($D:$D,D287,$E:$E,E287,$F:$F,"&lt;&gt;N/A",$G:$G,"&lt;&gt;N/A",$F:$F,"&lt;="&amp;_xlpm.p,$G:$G,"&gt;="&amp;_xlpm.p)))))</f>
        <v>1</v>
      </c>
      <c r="I287" t="s">
        <v>7</v>
      </c>
      <c r="J287" s="5" t="s">
        <v>1374</v>
      </c>
      <c r="K287" s="5" t="s">
        <v>7</v>
      </c>
      <c r="L287" s="5" t="s">
        <v>7</v>
      </c>
      <c r="M287" s="5" t="s">
        <v>7</v>
      </c>
      <c r="N287" s="5" t="s">
        <v>7</v>
      </c>
      <c r="O287" t="s">
        <v>778</v>
      </c>
      <c r="P287" t="s">
        <v>7834</v>
      </c>
      <c r="R287" s="1" t="b">
        <v>1</v>
      </c>
    </row>
    <row r="288" spans="1:18">
      <c r="A288" t="s">
        <v>7</v>
      </c>
      <c r="B288" t="s">
        <v>10965</v>
      </c>
      <c r="C288" s="5" t="s">
        <v>7732</v>
      </c>
      <c r="D288" s="1">
        <v>3</v>
      </c>
      <c r="E288" s="1">
        <v>7</v>
      </c>
      <c r="F288" s="1">
        <v>193</v>
      </c>
      <c r="G288" s="1">
        <v>209</v>
      </c>
      <c r="H288" s="13" cm="1">
        <f t="array" ref="H288">_xlfn.LET(_xlpm.s,IFERROR(--F288,""),_xlpm.e,IFERROR(--G288,""),IF(OR(_xlpm.s="",_xlpm.e="",_xlpm.e&lt;_xlpm.s),"",_xlfn.LET(_xlpm.p,_xlfn.SEQUENCE(_xlpm.e-_xlpm.s+1,1,_xlpm.s,1),SUM(1/COUNTIFS($D:$D,D288,$E:$E,E288,$F:$F,"&lt;&gt;N/A",$G:$G,"&lt;&gt;N/A",$F:$F,"&lt;="&amp;_xlpm.p,$G:$G,"&gt;="&amp;_xlpm.p)))))</f>
        <v>16.5</v>
      </c>
      <c r="I288" t="s">
        <v>1350</v>
      </c>
      <c r="J288" s="5" t="s">
        <v>3101</v>
      </c>
      <c r="K288" s="5" t="s">
        <v>618</v>
      </c>
      <c r="L288" s="5" t="s">
        <v>7</v>
      </c>
      <c r="M288" s="5" t="s">
        <v>7</v>
      </c>
      <c r="N288" s="5" t="s">
        <v>7</v>
      </c>
      <c r="O288" t="s">
        <v>778</v>
      </c>
      <c r="P288" t="s">
        <v>7834</v>
      </c>
      <c r="R288" s="1" t="b">
        <v>1</v>
      </c>
    </row>
    <row r="289" spans="1:19">
      <c r="A289" t="s">
        <v>7</v>
      </c>
      <c r="B289" t="s">
        <v>10966</v>
      </c>
      <c r="C289" s="5" t="s">
        <v>7732</v>
      </c>
      <c r="D289" s="1">
        <v>3</v>
      </c>
      <c r="E289" s="1">
        <v>7</v>
      </c>
      <c r="F289" s="1">
        <v>209</v>
      </c>
      <c r="G289" s="1">
        <v>214</v>
      </c>
      <c r="H289" s="13" cm="1">
        <f t="array" ref="H289">_xlfn.LET(_xlpm.s,IFERROR(--F289,""),_xlpm.e,IFERROR(--G289,""),IF(OR(_xlpm.s="",_xlpm.e="",_xlpm.e&lt;_xlpm.s),"",_xlfn.LET(_xlpm.p,_xlfn.SEQUENCE(_xlpm.e-_xlpm.s+1,1,_xlpm.s,1),SUM(1/COUNTIFS($D:$D,D289,$E:$E,E289,$F:$F,"&lt;&gt;N/A",$G:$G,"&lt;&gt;N/A",$F:$F,"&lt;="&amp;_xlpm.p,$G:$G,"&gt;="&amp;_xlpm.p)))))</f>
        <v>5.5</v>
      </c>
      <c r="I289" t="s">
        <v>1350</v>
      </c>
      <c r="J289" s="5" t="s">
        <v>3102</v>
      </c>
      <c r="K289" s="5" t="s">
        <v>533</v>
      </c>
      <c r="L289" s="5" t="s">
        <v>7</v>
      </c>
      <c r="M289" s="5" t="s">
        <v>7</v>
      </c>
      <c r="N289" s="5" t="s">
        <v>7</v>
      </c>
      <c r="O289" t="s">
        <v>778</v>
      </c>
      <c r="P289" t="s">
        <v>7834</v>
      </c>
      <c r="R289" s="1" t="b">
        <v>1</v>
      </c>
    </row>
    <row r="290" spans="1:19">
      <c r="A290" t="s">
        <v>7</v>
      </c>
      <c r="B290" t="s">
        <v>10967</v>
      </c>
      <c r="C290" s="5" t="s">
        <v>7732</v>
      </c>
      <c r="D290" s="1">
        <v>3</v>
      </c>
      <c r="E290" s="1">
        <v>7</v>
      </c>
      <c r="F290" s="1">
        <v>215</v>
      </c>
      <c r="G290" s="1">
        <v>216</v>
      </c>
      <c r="H290" s="13" cm="1">
        <f t="array" ref="H290">_xlfn.LET(_xlpm.s,IFERROR(--F290,""),_xlpm.e,IFERROR(--G290,""),IF(OR(_xlpm.s="",_xlpm.e="",_xlpm.e&lt;_xlpm.s),"",_xlfn.LET(_xlpm.p,_xlfn.SEQUENCE(_xlpm.e-_xlpm.s+1,1,_xlpm.s,1),SUM(1/COUNTIFS($D:$D,D290,$E:$E,E290,$F:$F,"&lt;&gt;N/A",$G:$G,"&lt;&gt;N/A",$F:$F,"&lt;="&amp;_xlpm.p,$G:$G,"&gt;="&amp;_xlpm.p)))))</f>
        <v>1.5</v>
      </c>
      <c r="I290" t="s">
        <v>1506</v>
      </c>
      <c r="J290" s="5" t="s">
        <v>3103</v>
      </c>
      <c r="K290" s="5" t="s">
        <v>7</v>
      </c>
      <c r="L290" s="5" t="s">
        <v>4865</v>
      </c>
      <c r="M290" s="5" t="s">
        <v>7</v>
      </c>
      <c r="N290" s="5" t="s">
        <v>7</v>
      </c>
      <c r="O290" s="5" t="s">
        <v>11522</v>
      </c>
      <c r="P290" s="5" t="s">
        <v>8021</v>
      </c>
      <c r="R290" s="1" t="b">
        <v>1</v>
      </c>
    </row>
    <row r="291" spans="1:19">
      <c r="A291" t="s">
        <v>7</v>
      </c>
      <c r="B291" t="s">
        <v>10968</v>
      </c>
      <c r="C291" s="5" t="s">
        <v>7732</v>
      </c>
      <c r="D291" s="1">
        <v>3</v>
      </c>
      <c r="E291" s="1">
        <v>7</v>
      </c>
      <c r="F291" s="1">
        <v>216</v>
      </c>
      <c r="G291" s="1">
        <v>217</v>
      </c>
      <c r="H291" s="13" cm="1">
        <f t="array" ref="H291">_xlfn.LET(_xlpm.s,IFERROR(--F291,""),_xlpm.e,IFERROR(--G291,""),IF(OR(_xlpm.s="",_xlpm.e="",_xlpm.e&lt;_xlpm.s),"",_xlfn.LET(_xlpm.p,_xlfn.SEQUENCE(_xlpm.e-_xlpm.s+1,1,_xlpm.s,1),SUM(1/COUNTIFS($D:$D,D291,$E:$E,E291,$F:$F,"&lt;&gt;N/A",$G:$G,"&lt;&gt;N/A",$F:$F,"&lt;="&amp;_xlpm.p,$G:$G,"&gt;="&amp;_xlpm.p)))))</f>
        <v>1</v>
      </c>
      <c r="I291" t="s">
        <v>1506</v>
      </c>
      <c r="J291" s="5" t="s">
        <v>2718</v>
      </c>
      <c r="K291" s="5" t="s">
        <v>7</v>
      </c>
      <c r="L291" s="5" t="s">
        <v>4864</v>
      </c>
      <c r="M291" s="5" t="s">
        <v>6510</v>
      </c>
      <c r="N291" s="5" t="s">
        <v>3165</v>
      </c>
      <c r="O291" s="5" t="s">
        <v>10264</v>
      </c>
      <c r="P291" s="5" t="s">
        <v>8021</v>
      </c>
      <c r="R291" s="1" t="b">
        <v>1</v>
      </c>
    </row>
    <row r="292" spans="1:19">
      <c r="A292" t="s">
        <v>7</v>
      </c>
      <c r="B292" t="s">
        <v>10969</v>
      </c>
      <c r="C292" s="5" t="s">
        <v>7732</v>
      </c>
      <c r="D292" s="1">
        <v>3</v>
      </c>
      <c r="E292" s="1">
        <v>7</v>
      </c>
      <c r="F292" s="1">
        <v>217</v>
      </c>
      <c r="G292" s="1">
        <v>218</v>
      </c>
      <c r="H292" s="13" cm="1">
        <f t="array" ref="H292">_xlfn.LET(_xlpm.s,IFERROR(--F292,""),_xlpm.e,IFERROR(--G292,""),IF(OR(_xlpm.s="",_xlpm.e="",_xlpm.e&lt;_xlpm.s),"",_xlfn.LET(_xlpm.p,_xlfn.SEQUENCE(_xlpm.e-_xlpm.s+1,1,_xlpm.s,1),SUM(1/COUNTIFS($D:$D,D292,$E:$E,E292,$F:$F,"&lt;&gt;N/A",$G:$G,"&lt;&gt;N/A",$F:$F,"&lt;="&amp;_xlpm.p,$G:$G,"&gt;="&amp;_xlpm.p)))))</f>
        <v>1</v>
      </c>
      <c r="I292" t="s">
        <v>1506</v>
      </c>
      <c r="J292" s="5" t="s">
        <v>3104</v>
      </c>
      <c r="K292" s="5" t="s">
        <v>7</v>
      </c>
      <c r="L292" s="5" t="s">
        <v>4864</v>
      </c>
      <c r="M292" s="5" t="s">
        <v>6510</v>
      </c>
      <c r="N292" s="5" t="s">
        <v>3166</v>
      </c>
      <c r="O292" s="5" t="s">
        <v>10264</v>
      </c>
      <c r="P292" s="5" t="s">
        <v>8021</v>
      </c>
      <c r="R292" s="1" t="b">
        <v>1</v>
      </c>
    </row>
    <row r="293" spans="1:19">
      <c r="A293" t="s">
        <v>7</v>
      </c>
      <c r="B293" t="s">
        <v>10970</v>
      </c>
      <c r="C293" s="5" t="s">
        <v>7732</v>
      </c>
      <c r="D293" s="1">
        <v>3</v>
      </c>
      <c r="E293" s="1">
        <v>7</v>
      </c>
      <c r="F293" s="1">
        <v>218</v>
      </c>
      <c r="G293" s="1">
        <v>219</v>
      </c>
      <c r="H293" s="13" cm="1">
        <f t="array" ref="H293">_xlfn.LET(_xlpm.s,IFERROR(--F293,""),_xlpm.e,IFERROR(--G293,""),IF(OR(_xlpm.s="",_xlpm.e="",_xlpm.e&lt;_xlpm.s),"",_xlfn.LET(_xlpm.p,_xlfn.SEQUENCE(_xlpm.e-_xlpm.s+1,1,_xlpm.s,1),SUM(1/COUNTIFS($D:$D,D293,$E:$E,E293,$F:$F,"&lt;&gt;N/A",$G:$G,"&lt;&gt;N/A",$F:$F,"&lt;="&amp;_xlpm.p,$G:$G,"&gt;="&amp;_xlpm.p)))))</f>
        <v>0.83333333333333326</v>
      </c>
      <c r="I293" t="s">
        <v>1506</v>
      </c>
      <c r="J293" s="5" t="s">
        <v>3105</v>
      </c>
      <c r="K293" s="5" t="s">
        <v>7</v>
      </c>
      <c r="L293" s="5" t="s">
        <v>4864</v>
      </c>
      <c r="M293" s="5" t="s">
        <v>6510</v>
      </c>
      <c r="N293" s="5" t="s">
        <v>3167</v>
      </c>
      <c r="O293" s="5" t="s">
        <v>10264</v>
      </c>
      <c r="P293" s="5" t="s">
        <v>8021</v>
      </c>
      <c r="R293" s="1" t="b">
        <v>1</v>
      </c>
    </row>
    <row r="294" spans="1:19">
      <c r="A294" t="s">
        <v>7</v>
      </c>
      <c r="B294" t="s">
        <v>10971</v>
      </c>
      <c r="C294" s="5" t="s">
        <v>7732</v>
      </c>
      <c r="D294" s="1">
        <v>3</v>
      </c>
      <c r="E294" s="1">
        <v>7</v>
      </c>
      <c r="F294" s="1">
        <v>219</v>
      </c>
      <c r="G294" s="1">
        <v>219</v>
      </c>
      <c r="H294" s="13" cm="1">
        <f t="array" ref="H294">_xlfn.LET(_xlpm.s,IFERROR(--F294,""),_xlpm.e,IFERROR(--G294,""),IF(OR(_xlpm.s="",_xlpm.e="",_xlpm.e&lt;_xlpm.s),"",_xlfn.LET(_xlpm.p,_xlfn.SEQUENCE(_xlpm.e-_xlpm.s+1,1,_xlpm.s,1),SUM(1/COUNTIFS($D:$D,D294,$E:$E,E294,$F:$F,"&lt;&gt;N/A",$G:$G,"&lt;&gt;N/A",$F:$F,"&lt;="&amp;_xlpm.p,$G:$G,"&gt;="&amp;_xlpm.p)))))</f>
        <v>0.33333333333333331</v>
      </c>
      <c r="I294" t="s">
        <v>1506</v>
      </c>
      <c r="J294" s="5" t="s">
        <v>3106</v>
      </c>
      <c r="K294" s="5" t="s">
        <v>7</v>
      </c>
      <c r="L294" s="5" t="s">
        <v>4864</v>
      </c>
      <c r="M294" s="5" t="s">
        <v>6510</v>
      </c>
      <c r="N294" s="5" t="s">
        <v>3168</v>
      </c>
      <c r="O294" s="5" t="s">
        <v>10264</v>
      </c>
      <c r="P294" s="5" t="s">
        <v>8021</v>
      </c>
      <c r="R294" s="1" t="b">
        <v>1</v>
      </c>
    </row>
    <row r="295" spans="1:19">
      <c r="A295" t="s">
        <v>7</v>
      </c>
      <c r="B295" t="s">
        <v>10972</v>
      </c>
      <c r="C295" s="5" t="s">
        <v>7732</v>
      </c>
      <c r="D295" s="1">
        <v>3</v>
      </c>
      <c r="E295" s="1">
        <v>7</v>
      </c>
      <c r="F295" s="1">
        <v>219</v>
      </c>
      <c r="G295" s="1">
        <v>220</v>
      </c>
      <c r="H295" s="13" cm="1">
        <f t="array" ref="H295">_xlfn.LET(_xlpm.s,IFERROR(--F295,""),_xlpm.e,IFERROR(--G295,""),IF(OR(_xlpm.s="",_xlpm.e="",_xlpm.e&lt;_xlpm.s),"",_xlfn.LET(_xlpm.p,_xlfn.SEQUENCE(_xlpm.e-_xlpm.s+1,1,_xlpm.s,1),SUM(1/COUNTIFS($D:$D,D295,$E:$E,E295,$F:$F,"&lt;&gt;N/A",$G:$G,"&lt;&gt;N/A",$F:$F,"&lt;="&amp;_xlpm.p,$G:$G,"&gt;="&amp;_xlpm.p)))))</f>
        <v>0.83333333333333326</v>
      </c>
      <c r="I295" t="s">
        <v>1506</v>
      </c>
      <c r="J295" s="5" t="s">
        <v>3107</v>
      </c>
      <c r="K295" s="5" t="s">
        <v>7</v>
      </c>
      <c r="L295" s="5" t="s">
        <v>4864</v>
      </c>
      <c r="M295" s="5" t="s">
        <v>6510</v>
      </c>
      <c r="N295" s="5" t="s">
        <v>3169</v>
      </c>
      <c r="O295" s="5" t="s">
        <v>10264</v>
      </c>
      <c r="P295" s="5" t="s">
        <v>8021</v>
      </c>
      <c r="R295" s="1" t="b">
        <v>1</v>
      </c>
    </row>
    <row r="296" spans="1:19">
      <c r="A296" t="s">
        <v>7</v>
      </c>
      <c r="B296" t="s">
        <v>10973</v>
      </c>
      <c r="C296" s="5" t="s">
        <v>7732</v>
      </c>
      <c r="D296" s="1">
        <v>3</v>
      </c>
      <c r="E296" s="1">
        <v>7</v>
      </c>
      <c r="F296" s="1">
        <v>220</v>
      </c>
      <c r="G296" s="1">
        <v>221</v>
      </c>
      <c r="H296" s="13" cm="1">
        <f t="array" ref="H296">_xlfn.LET(_xlpm.s,IFERROR(--F296,""),_xlpm.e,IFERROR(--G296,""),IF(OR(_xlpm.s="",_xlpm.e="",_xlpm.e&lt;_xlpm.s),"",_xlfn.LET(_xlpm.p,_xlfn.SEQUENCE(_xlpm.e-_xlpm.s+1,1,_xlpm.s,1),SUM(1/COUNTIFS($D:$D,D296,$E:$E,E296,$F:$F,"&lt;&gt;N/A",$G:$G,"&lt;&gt;N/A",$F:$F,"&lt;="&amp;_xlpm.p,$G:$G,"&gt;="&amp;_xlpm.p)))))</f>
        <v>1</v>
      </c>
      <c r="I296" t="s">
        <v>1506</v>
      </c>
      <c r="J296" s="5" t="s">
        <v>3108</v>
      </c>
      <c r="K296" s="5" t="s">
        <v>7</v>
      </c>
      <c r="L296" s="5" t="s">
        <v>4864</v>
      </c>
      <c r="M296" s="5" t="s">
        <v>6510</v>
      </c>
      <c r="N296" s="5" t="s">
        <v>3170</v>
      </c>
      <c r="O296" s="5" t="s">
        <v>10264</v>
      </c>
      <c r="P296" s="5" t="s">
        <v>8021</v>
      </c>
      <c r="R296" s="1" t="b">
        <v>1</v>
      </c>
    </row>
    <row r="297" spans="1:19">
      <c r="A297" t="s">
        <v>7</v>
      </c>
      <c r="B297" t="s">
        <v>10974</v>
      </c>
      <c r="C297" s="5" t="s">
        <v>7732</v>
      </c>
      <c r="D297" s="1">
        <v>3</v>
      </c>
      <c r="E297" s="1">
        <v>7</v>
      </c>
      <c r="F297" s="1">
        <v>221</v>
      </c>
      <c r="G297" s="1">
        <v>223</v>
      </c>
      <c r="H297" s="13" cm="1">
        <f t="array" ref="H297">_xlfn.LET(_xlpm.s,IFERROR(--F297,""),_xlpm.e,IFERROR(--G297,""),IF(OR(_xlpm.s="",_xlpm.e="",_xlpm.e&lt;_xlpm.s),"",_xlfn.LET(_xlpm.p,_xlfn.SEQUENCE(_xlpm.e-_xlpm.s+1,1,_xlpm.s,1),SUM(1/COUNTIFS($D:$D,D297,$E:$E,E297,$F:$F,"&lt;&gt;N/A",$G:$G,"&lt;&gt;N/A",$F:$F,"&lt;="&amp;_xlpm.p,$G:$G,"&gt;="&amp;_xlpm.p)))))</f>
        <v>2</v>
      </c>
      <c r="I297" t="s">
        <v>1506</v>
      </c>
      <c r="J297" s="5" t="s">
        <v>3109</v>
      </c>
      <c r="K297" s="5" t="s">
        <v>7</v>
      </c>
      <c r="L297" s="5" t="s">
        <v>4866</v>
      </c>
      <c r="M297" t="s">
        <v>7482</v>
      </c>
      <c r="N297" s="5" t="s">
        <v>10120</v>
      </c>
      <c r="O297" s="5" t="s">
        <v>5072</v>
      </c>
      <c r="P297" s="5" t="s">
        <v>8021</v>
      </c>
      <c r="R297" s="1" t="b">
        <v>1</v>
      </c>
    </row>
    <row r="298" spans="1:19">
      <c r="A298" t="s">
        <v>7</v>
      </c>
      <c r="B298" t="s">
        <v>10975</v>
      </c>
      <c r="C298" s="5" t="s">
        <v>7732</v>
      </c>
      <c r="D298" s="1">
        <v>3</v>
      </c>
      <c r="E298" s="1">
        <v>7</v>
      </c>
      <c r="F298" s="1">
        <v>223</v>
      </c>
      <c r="G298" s="1">
        <v>223</v>
      </c>
      <c r="H298" s="13" cm="1">
        <f t="array" ref="H298">_xlfn.LET(_xlpm.s,IFERROR(--F298,""),_xlpm.e,IFERROR(--G298,""),IF(OR(_xlpm.s="",_xlpm.e="",_xlpm.e&lt;_xlpm.s),"",_xlfn.LET(_xlpm.p,_xlfn.SEQUENCE(_xlpm.e-_xlpm.s+1,1,_xlpm.s,1),SUM(1/COUNTIFS($D:$D,D298,$E:$E,E298,$F:$F,"&lt;&gt;N/A",$G:$G,"&lt;&gt;N/A",$F:$F,"&lt;="&amp;_xlpm.p,$G:$G,"&gt;="&amp;_xlpm.p)))))</f>
        <v>0.5</v>
      </c>
      <c r="I298" t="s">
        <v>1506</v>
      </c>
      <c r="J298" s="5" t="s">
        <v>3110</v>
      </c>
      <c r="K298" s="5" t="s">
        <v>7</v>
      </c>
      <c r="L298" s="5" t="s">
        <v>4867</v>
      </c>
      <c r="M298" s="5" t="s">
        <v>7</v>
      </c>
      <c r="N298" s="5" t="s">
        <v>6513</v>
      </c>
      <c r="O298" s="5" t="s">
        <v>10264</v>
      </c>
      <c r="P298" s="5" t="s">
        <v>8020</v>
      </c>
      <c r="R298" s="1" t="b">
        <v>1</v>
      </c>
    </row>
    <row r="299" spans="1:19">
      <c r="A299" t="s">
        <v>7</v>
      </c>
      <c r="B299" t="s">
        <v>10976</v>
      </c>
      <c r="C299" s="5" t="s">
        <v>7732</v>
      </c>
      <c r="D299" s="1">
        <v>3</v>
      </c>
      <c r="E299" s="1">
        <v>7</v>
      </c>
      <c r="F299" s="1">
        <v>226</v>
      </c>
      <c r="G299" s="1">
        <v>226</v>
      </c>
      <c r="H299" s="13" cm="1">
        <f t="array" ref="H299">_xlfn.LET(_xlpm.s,IFERROR(--F299,""),_xlpm.e,IFERROR(--G299,""),IF(OR(_xlpm.s="",_xlpm.e="",_xlpm.e&lt;_xlpm.s),"",_xlfn.LET(_xlpm.p,_xlfn.SEQUENCE(_xlpm.e-_xlpm.s+1,1,_xlpm.s,1),SUM(1/COUNTIFS($D:$D,D299,$E:$E,E299,$F:$F,"&lt;&gt;N/A",$G:$G,"&lt;&gt;N/A",$F:$F,"&lt;="&amp;_xlpm.p,$G:$G,"&gt;="&amp;_xlpm.p)))))</f>
        <v>1</v>
      </c>
      <c r="I299" t="s">
        <v>7</v>
      </c>
      <c r="J299" s="5" t="s">
        <v>1374</v>
      </c>
      <c r="K299" s="5" t="s">
        <v>1934</v>
      </c>
      <c r="L299" s="5" t="s">
        <v>7</v>
      </c>
      <c r="M299" s="5" t="s">
        <v>7</v>
      </c>
      <c r="N299" s="5" t="s">
        <v>7</v>
      </c>
      <c r="O299" t="s">
        <v>778</v>
      </c>
      <c r="P299" t="s">
        <v>7834</v>
      </c>
      <c r="R299" s="1" t="b">
        <v>1</v>
      </c>
    </row>
    <row r="300" spans="1:19">
      <c r="A300" t="s">
        <v>7</v>
      </c>
      <c r="B300" t="s">
        <v>10977</v>
      </c>
      <c r="C300" s="5" t="s">
        <v>7733</v>
      </c>
      <c r="D300" s="1">
        <v>3</v>
      </c>
      <c r="E300" s="1">
        <v>8</v>
      </c>
      <c r="F300" s="1">
        <v>225</v>
      </c>
      <c r="G300" s="1">
        <v>236</v>
      </c>
      <c r="H300" s="13" cm="1">
        <f t="array" ref="H300">_xlfn.LET(_xlpm.s,IFERROR(--F300,""),_xlpm.e,IFERROR(--G300,""),IF(OR(_xlpm.s="",_xlpm.e="",_xlpm.e&lt;_xlpm.s),"",_xlfn.LET(_xlpm.p,_xlfn.SEQUENCE(_xlpm.e-_xlpm.s+1,1,_xlpm.s,1),SUM(1/COUNTIFS($D:$D,D300,$E:$E,E300,$F:$F,"&lt;&gt;N/A",$G:$G,"&lt;&gt;N/A",$F:$F,"&lt;="&amp;_xlpm.p,$G:$G,"&gt;="&amp;_xlpm.p)))))</f>
        <v>11.5</v>
      </c>
      <c r="I300" t="s">
        <v>1350</v>
      </c>
      <c r="J300" s="5" t="s">
        <v>3111</v>
      </c>
      <c r="K300" s="5" t="s">
        <v>639</v>
      </c>
      <c r="L300" s="5" t="s">
        <v>7</v>
      </c>
      <c r="M300" s="5" t="s">
        <v>7</v>
      </c>
      <c r="N300" s="5" t="s">
        <v>7</v>
      </c>
      <c r="O300" t="s">
        <v>778</v>
      </c>
      <c r="P300" t="s">
        <v>7834</v>
      </c>
      <c r="R300" s="1" t="b">
        <v>1</v>
      </c>
    </row>
    <row r="301" spans="1:19">
      <c r="A301" t="s">
        <v>7</v>
      </c>
      <c r="B301" t="s">
        <v>10978</v>
      </c>
      <c r="C301" s="5" t="s">
        <v>7733</v>
      </c>
      <c r="D301" s="1">
        <v>3</v>
      </c>
      <c r="E301" s="1">
        <v>8</v>
      </c>
      <c r="F301" s="1">
        <v>236</v>
      </c>
      <c r="G301" s="1">
        <v>245</v>
      </c>
      <c r="H301" s="13" cm="1">
        <f t="array" ref="H301">_xlfn.LET(_xlpm.s,IFERROR(--F301,""),_xlpm.e,IFERROR(--G301,""),IF(OR(_xlpm.s="",_xlpm.e="",_xlpm.e&lt;_xlpm.s),"",_xlfn.LET(_xlpm.p,_xlfn.SEQUENCE(_xlpm.e-_xlpm.s+1,1,_xlpm.s,1),SUM(1/COUNTIFS($D:$D,D301,$E:$E,E301,$F:$F,"&lt;&gt;N/A",$G:$G,"&lt;&gt;N/A",$F:$F,"&lt;="&amp;_xlpm.p,$G:$G,"&gt;="&amp;_xlpm.p)))))</f>
        <v>9</v>
      </c>
      <c r="I301" t="s">
        <v>1350</v>
      </c>
      <c r="J301" s="5" t="s">
        <v>3112</v>
      </c>
      <c r="K301" s="5" t="s">
        <v>3158</v>
      </c>
      <c r="L301" s="5" t="s">
        <v>7</v>
      </c>
      <c r="M301" s="5" t="s">
        <v>7</v>
      </c>
      <c r="N301" s="5" t="s">
        <v>7</v>
      </c>
      <c r="O301" t="s">
        <v>778</v>
      </c>
      <c r="P301" t="s">
        <v>7834</v>
      </c>
      <c r="R301" s="1" t="b">
        <v>1</v>
      </c>
      <c r="S301" s="5"/>
    </row>
    <row r="302" spans="1:19">
      <c r="A302" t="s">
        <v>7</v>
      </c>
      <c r="B302" t="s">
        <v>10979</v>
      </c>
      <c r="C302" s="5" t="s">
        <v>7733</v>
      </c>
      <c r="D302" s="1">
        <v>3</v>
      </c>
      <c r="E302" s="1">
        <v>8</v>
      </c>
      <c r="F302" s="1">
        <v>245</v>
      </c>
      <c r="G302" s="1">
        <v>246</v>
      </c>
      <c r="H302" s="13" cm="1">
        <f t="array" ref="H302">_xlfn.LET(_xlpm.s,IFERROR(--F302,""),_xlpm.e,IFERROR(--G302,""),IF(OR(_xlpm.s="",_xlpm.e="",_xlpm.e&lt;_xlpm.s),"",_xlfn.LET(_xlpm.p,_xlfn.SEQUENCE(_xlpm.e-_xlpm.s+1,1,_xlpm.s,1),SUM(1/COUNTIFS($D:$D,D302,$E:$E,E302,$F:$F,"&lt;&gt;N/A",$G:$G,"&lt;&gt;N/A",$F:$F,"&lt;="&amp;_xlpm.p,$G:$G,"&gt;="&amp;_xlpm.p)))))</f>
        <v>1</v>
      </c>
      <c r="I302" t="s">
        <v>1506</v>
      </c>
      <c r="J302" s="5" t="s">
        <v>3113</v>
      </c>
      <c r="K302" s="5" t="s">
        <v>7</v>
      </c>
      <c r="L302" s="5" t="s">
        <v>7</v>
      </c>
      <c r="M302" s="5" t="s">
        <v>7</v>
      </c>
      <c r="N302" s="5" t="s">
        <v>7</v>
      </c>
      <c r="O302" t="s">
        <v>778</v>
      </c>
      <c r="P302" t="s">
        <v>7834</v>
      </c>
      <c r="R302" s="1" t="b">
        <v>1</v>
      </c>
      <c r="S302" s="5"/>
    </row>
    <row r="303" spans="1:19">
      <c r="A303" t="s">
        <v>7</v>
      </c>
      <c r="B303" t="s">
        <v>10980</v>
      </c>
      <c r="C303" s="5" t="s">
        <v>7733</v>
      </c>
      <c r="D303" s="1">
        <v>3</v>
      </c>
      <c r="E303" s="1">
        <v>8</v>
      </c>
      <c r="F303" s="1">
        <v>246</v>
      </c>
      <c r="G303" s="1">
        <v>247</v>
      </c>
      <c r="H303" s="13" cm="1">
        <f t="array" ref="H303">_xlfn.LET(_xlpm.s,IFERROR(--F303,""),_xlpm.e,IFERROR(--G303,""),IF(OR(_xlpm.s="",_xlpm.e="",_xlpm.e&lt;_xlpm.s),"",_xlfn.LET(_xlpm.p,_xlfn.SEQUENCE(_xlpm.e-_xlpm.s+1,1,_xlpm.s,1),SUM(1/COUNTIFS($D:$D,D303,$E:$E,E303,$F:$F,"&lt;&gt;N/A",$G:$G,"&lt;&gt;N/A",$F:$F,"&lt;="&amp;_xlpm.p,$G:$G,"&gt;="&amp;_xlpm.p)))))</f>
        <v>1</v>
      </c>
      <c r="I303" t="s">
        <v>1506</v>
      </c>
      <c r="J303" s="5" t="s">
        <v>3114</v>
      </c>
      <c r="K303" s="5" t="s">
        <v>7</v>
      </c>
      <c r="L303" s="5" t="s">
        <v>4868</v>
      </c>
      <c r="M303" t="s">
        <v>7717</v>
      </c>
      <c r="N303" s="5" t="s">
        <v>7718</v>
      </c>
      <c r="O303" s="5" t="s">
        <v>11522</v>
      </c>
      <c r="P303" s="5" t="s">
        <v>8019</v>
      </c>
      <c r="R303" s="1" t="b">
        <v>1</v>
      </c>
      <c r="S303" s="5"/>
    </row>
    <row r="304" spans="1:19">
      <c r="A304" t="s">
        <v>7</v>
      </c>
      <c r="B304" t="s">
        <v>10981</v>
      </c>
      <c r="C304" s="5" t="s">
        <v>7733</v>
      </c>
      <c r="D304" s="1">
        <v>3</v>
      </c>
      <c r="E304" s="1">
        <v>8</v>
      </c>
      <c r="F304" s="1">
        <v>247</v>
      </c>
      <c r="G304" s="1">
        <v>258</v>
      </c>
      <c r="H304" s="13" cm="1">
        <f t="array" ref="H304">_xlfn.LET(_xlpm.s,IFERROR(--F304,""),_xlpm.e,IFERROR(--G304,""),IF(OR(_xlpm.s="",_xlpm.e="",_xlpm.e&lt;_xlpm.s),"",_xlfn.LET(_xlpm.p,_xlfn.SEQUENCE(_xlpm.e-_xlpm.s+1,1,_xlpm.s,1),SUM(1/COUNTIFS($D:$D,D304,$E:$E,E304,$F:$F,"&lt;&gt;N/A",$G:$G,"&lt;&gt;N/A",$F:$F,"&lt;="&amp;_xlpm.p,$G:$G,"&gt;="&amp;_xlpm.p)))))</f>
        <v>11</v>
      </c>
      <c r="I304" t="s">
        <v>1506</v>
      </c>
      <c r="J304" s="5" t="s">
        <v>3115</v>
      </c>
      <c r="K304" s="5" t="s">
        <v>7</v>
      </c>
      <c r="L304" s="5" t="s">
        <v>4523</v>
      </c>
      <c r="M304" t="s">
        <v>7719</v>
      </c>
      <c r="N304" s="5" t="s">
        <v>10126</v>
      </c>
      <c r="O304" s="5" t="s">
        <v>5072</v>
      </c>
      <c r="P304" s="5" t="s">
        <v>8019</v>
      </c>
      <c r="R304" s="1" t="b">
        <v>1</v>
      </c>
      <c r="S304" s="5"/>
    </row>
    <row r="305" spans="1:19">
      <c r="A305" t="s">
        <v>7</v>
      </c>
      <c r="B305" t="s">
        <v>10982</v>
      </c>
      <c r="C305" s="5" t="s">
        <v>7733</v>
      </c>
      <c r="D305" s="1">
        <v>3</v>
      </c>
      <c r="E305" s="1">
        <v>8</v>
      </c>
      <c r="F305" s="1">
        <v>258</v>
      </c>
      <c r="G305" s="1">
        <v>259</v>
      </c>
      <c r="H305" s="13" cm="1">
        <f t="array" ref="H305">_xlfn.LET(_xlpm.s,IFERROR(--F305,""),_xlpm.e,IFERROR(--G305,""),IF(OR(_xlpm.s="",_xlpm.e="",_xlpm.e&lt;_xlpm.s),"",_xlfn.LET(_xlpm.p,_xlfn.SEQUENCE(_xlpm.e-_xlpm.s+1,1,_xlpm.s,1),SUM(1/COUNTIFS($D:$D,D305,$E:$E,E305,$F:$F,"&lt;&gt;N/A",$G:$G,"&lt;&gt;N/A",$F:$F,"&lt;="&amp;_xlpm.p,$G:$G,"&gt;="&amp;_xlpm.p)))))</f>
        <v>1</v>
      </c>
      <c r="I305" t="s">
        <v>1506</v>
      </c>
      <c r="J305" s="5" t="s">
        <v>3120</v>
      </c>
      <c r="K305" s="5" t="s">
        <v>7</v>
      </c>
      <c r="L305" s="5" t="s">
        <v>4869</v>
      </c>
      <c r="M305" s="5" t="s">
        <v>7</v>
      </c>
      <c r="N305" s="5" t="s">
        <v>7</v>
      </c>
      <c r="O305" s="5" t="s">
        <v>10264</v>
      </c>
      <c r="P305" s="5" t="s">
        <v>8020</v>
      </c>
      <c r="R305" s="1" t="b">
        <v>1</v>
      </c>
      <c r="S305" s="5"/>
    </row>
    <row r="306" spans="1:19">
      <c r="A306" t="s">
        <v>7</v>
      </c>
      <c r="B306" t="s">
        <v>10983</v>
      </c>
      <c r="C306" s="5" t="s">
        <v>7733</v>
      </c>
      <c r="D306" s="1">
        <v>3</v>
      </c>
      <c r="E306" s="1">
        <v>8</v>
      </c>
      <c r="F306" s="1">
        <v>259</v>
      </c>
      <c r="G306" s="1">
        <v>260</v>
      </c>
      <c r="H306" s="13" cm="1">
        <f t="array" ref="H306">_xlfn.LET(_xlpm.s,IFERROR(--F306,""),_xlpm.e,IFERROR(--G306,""),IF(OR(_xlpm.s="",_xlpm.e="",_xlpm.e&lt;_xlpm.s),"",_xlfn.LET(_xlpm.p,_xlfn.SEQUENCE(_xlpm.e-_xlpm.s+1,1,_xlpm.s,1),SUM(1/COUNTIFS($D:$D,D306,$E:$E,E306,$F:$F,"&lt;&gt;N/A",$G:$G,"&lt;&gt;N/A",$F:$F,"&lt;="&amp;_xlpm.p,$G:$G,"&gt;="&amp;_xlpm.p)))))</f>
        <v>0.7</v>
      </c>
      <c r="I306" t="s">
        <v>1506</v>
      </c>
      <c r="J306" s="5" t="s">
        <v>3119</v>
      </c>
      <c r="K306" s="5" t="s">
        <v>7</v>
      </c>
      <c r="L306" s="5" t="s">
        <v>4869</v>
      </c>
      <c r="M306" s="5" t="s">
        <v>7</v>
      </c>
      <c r="N306" s="5" t="s">
        <v>7</v>
      </c>
      <c r="O306" s="5" t="s">
        <v>10264</v>
      </c>
      <c r="P306" s="5" t="s">
        <v>8020</v>
      </c>
      <c r="R306" s="1" t="b">
        <v>1</v>
      </c>
      <c r="S306" s="5"/>
    </row>
    <row r="307" spans="1:19">
      <c r="A307" t="s">
        <v>7</v>
      </c>
      <c r="B307" t="s">
        <v>10984</v>
      </c>
      <c r="C307" s="5" t="s">
        <v>7733</v>
      </c>
      <c r="D307" s="1">
        <v>3</v>
      </c>
      <c r="E307" s="1">
        <v>8</v>
      </c>
      <c r="F307" s="1">
        <v>260</v>
      </c>
      <c r="G307" s="1">
        <v>260</v>
      </c>
      <c r="H307" s="13" cm="1">
        <f t="array" ref="H307">_xlfn.LET(_xlpm.s,IFERROR(--F307,""),_xlpm.e,IFERROR(--G307,""),IF(OR(_xlpm.s="",_xlpm.e="",_xlpm.e&lt;_xlpm.s),"",_xlfn.LET(_xlpm.p,_xlfn.SEQUENCE(_xlpm.e-_xlpm.s+1,1,_xlpm.s,1),SUM(1/COUNTIFS($D:$D,D307,$E:$E,E307,$F:$F,"&lt;&gt;N/A",$G:$G,"&lt;&gt;N/A",$F:$F,"&lt;="&amp;_xlpm.p,$G:$G,"&gt;="&amp;_xlpm.p)))))</f>
        <v>0.2</v>
      </c>
      <c r="I307" t="s">
        <v>1506</v>
      </c>
      <c r="J307" s="5" t="s">
        <v>3118</v>
      </c>
      <c r="K307" s="5" t="s">
        <v>7</v>
      </c>
      <c r="L307" s="5" t="s">
        <v>7</v>
      </c>
      <c r="M307" t="s">
        <v>8030</v>
      </c>
      <c r="N307" s="5" t="s">
        <v>8029</v>
      </c>
      <c r="O307" s="5" t="s">
        <v>11522</v>
      </c>
      <c r="P307" s="5" t="s">
        <v>8021</v>
      </c>
      <c r="R307" s="1" t="b">
        <v>1</v>
      </c>
      <c r="S307" s="5"/>
    </row>
    <row r="308" spans="1:19">
      <c r="A308" t="s">
        <v>7</v>
      </c>
      <c r="B308" t="s">
        <v>10985</v>
      </c>
      <c r="C308" s="5" t="s">
        <v>7733</v>
      </c>
      <c r="D308" s="1">
        <v>3</v>
      </c>
      <c r="E308" s="1">
        <v>8</v>
      </c>
      <c r="F308" s="1">
        <v>260</v>
      </c>
      <c r="G308" s="1">
        <v>260</v>
      </c>
      <c r="H308" s="13" cm="1">
        <f t="array" ref="H308">_xlfn.LET(_xlpm.s,IFERROR(--F308,""),_xlpm.e,IFERROR(--G308,""),IF(OR(_xlpm.s="",_xlpm.e="",_xlpm.e&lt;_xlpm.s),"",_xlfn.LET(_xlpm.p,_xlfn.SEQUENCE(_xlpm.e-_xlpm.s+1,1,_xlpm.s,1),SUM(1/COUNTIFS($D:$D,D308,$E:$E,E308,$F:$F,"&lt;&gt;N/A",$G:$G,"&lt;&gt;N/A",$F:$F,"&lt;="&amp;_xlpm.p,$G:$G,"&gt;="&amp;_xlpm.p)))))</f>
        <v>0.2</v>
      </c>
      <c r="I308" t="s">
        <v>1506</v>
      </c>
      <c r="J308" s="5" t="s">
        <v>3210</v>
      </c>
      <c r="K308" s="5" t="s">
        <v>7</v>
      </c>
      <c r="L308" s="5" t="s">
        <v>7</v>
      </c>
      <c r="M308" s="5" t="s">
        <v>7482</v>
      </c>
      <c r="N308" s="5" t="s">
        <v>4419</v>
      </c>
      <c r="O308" s="5" t="s">
        <v>11522</v>
      </c>
      <c r="P308" s="5" t="s">
        <v>8021</v>
      </c>
      <c r="R308" s="1" t="b">
        <v>1</v>
      </c>
      <c r="S308" s="5"/>
    </row>
    <row r="309" spans="1:19">
      <c r="A309" t="s">
        <v>7</v>
      </c>
      <c r="B309" t="s">
        <v>10986</v>
      </c>
      <c r="C309" s="5" t="s">
        <v>7733</v>
      </c>
      <c r="D309" s="1">
        <v>3</v>
      </c>
      <c r="E309" s="1">
        <v>8</v>
      </c>
      <c r="F309" s="1">
        <v>260</v>
      </c>
      <c r="G309" s="1">
        <v>260</v>
      </c>
      <c r="H309" s="13" cm="1">
        <f t="array" ref="H309">_xlfn.LET(_xlpm.s,IFERROR(--F309,""),_xlpm.e,IFERROR(--G309,""),IF(OR(_xlpm.s="",_xlpm.e="",_xlpm.e&lt;_xlpm.s),"",_xlfn.LET(_xlpm.p,_xlfn.SEQUENCE(_xlpm.e-_xlpm.s+1,1,_xlpm.s,1),SUM(1/COUNTIFS($D:$D,D309,$E:$E,E309,$F:$F,"&lt;&gt;N/A",$G:$G,"&lt;&gt;N/A",$F:$F,"&lt;="&amp;_xlpm.p,$G:$G,"&gt;="&amp;_xlpm.p)))))</f>
        <v>0.2</v>
      </c>
      <c r="I309" t="s">
        <v>1506</v>
      </c>
      <c r="J309" s="5" t="s">
        <v>4420</v>
      </c>
      <c r="K309" s="5" t="s">
        <v>7</v>
      </c>
      <c r="L309" s="5" t="s">
        <v>7</v>
      </c>
      <c r="M309" s="5" t="s">
        <v>7482</v>
      </c>
      <c r="N309" s="5" t="s">
        <v>4421</v>
      </c>
      <c r="O309" s="5" t="s">
        <v>11522</v>
      </c>
      <c r="P309" s="5" t="s">
        <v>8021</v>
      </c>
      <c r="R309" s="1" t="b">
        <v>1</v>
      </c>
      <c r="S309" s="5"/>
    </row>
    <row r="310" spans="1:19">
      <c r="A310" t="s">
        <v>7</v>
      </c>
      <c r="B310" t="s">
        <v>10987</v>
      </c>
      <c r="C310" s="5" t="s">
        <v>7733</v>
      </c>
      <c r="D310" s="1">
        <v>3</v>
      </c>
      <c r="E310" s="1">
        <v>8</v>
      </c>
      <c r="F310" s="1">
        <v>260</v>
      </c>
      <c r="G310" s="1">
        <v>261</v>
      </c>
      <c r="H310" s="13" cm="1">
        <f t="array" ref="H310">_xlfn.LET(_xlpm.s,IFERROR(--F310,""),_xlpm.e,IFERROR(--G310,""),IF(OR(_xlpm.s="",_xlpm.e="",_xlpm.e&lt;_xlpm.s),"",_xlfn.LET(_xlpm.p,_xlfn.SEQUENCE(_xlpm.e-_xlpm.s+1,1,_xlpm.s,1),SUM(1/COUNTIFS($D:$D,D310,$E:$E,E310,$F:$F,"&lt;&gt;N/A",$G:$G,"&lt;&gt;N/A",$F:$F,"&lt;="&amp;_xlpm.p,$G:$G,"&gt;="&amp;_xlpm.p)))))</f>
        <v>0.7</v>
      </c>
      <c r="I310" t="s">
        <v>1506</v>
      </c>
      <c r="J310" s="5" t="s">
        <v>3117</v>
      </c>
      <c r="K310" s="5" t="s">
        <v>7</v>
      </c>
      <c r="L310" s="5" t="s">
        <v>7</v>
      </c>
      <c r="M310" s="5" t="s">
        <v>7482</v>
      </c>
      <c r="N310" s="5" t="s">
        <v>4422</v>
      </c>
      <c r="O310" s="5" t="s">
        <v>5072</v>
      </c>
      <c r="P310" s="5" t="s">
        <v>8021</v>
      </c>
      <c r="R310" s="1" t="b">
        <v>1</v>
      </c>
    </row>
    <row r="311" spans="1:19">
      <c r="A311" t="s">
        <v>7</v>
      </c>
      <c r="B311" t="s">
        <v>10988</v>
      </c>
      <c r="C311" s="5" t="s">
        <v>7733</v>
      </c>
      <c r="D311" s="1">
        <v>3</v>
      </c>
      <c r="E311" s="1">
        <v>8</v>
      </c>
      <c r="F311" s="1">
        <v>261</v>
      </c>
      <c r="G311" s="1">
        <v>264</v>
      </c>
      <c r="H311" s="13" cm="1">
        <f t="array" ref="H311">_xlfn.LET(_xlpm.s,IFERROR(--F311,""),_xlpm.e,IFERROR(--G311,""),IF(OR(_xlpm.s="",_xlpm.e="",_xlpm.e&lt;_xlpm.s),"",_xlfn.LET(_xlpm.p,_xlfn.SEQUENCE(_xlpm.e-_xlpm.s+1,1,_xlpm.s,1),SUM(1/COUNTIFS($D:$D,D311,$E:$E,E311,$F:$F,"&lt;&gt;N/A",$G:$G,"&lt;&gt;N/A",$F:$F,"&lt;="&amp;_xlpm.p,$G:$G,"&gt;="&amp;_xlpm.p)))))</f>
        <v>3.5</v>
      </c>
      <c r="I311" t="s">
        <v>7</v>
      </c>
      <c r="J311" s="5" t="s">
        <v>3116</v>
      </c>
      <c r="K311" s="5" t="s">
        <v>4870</v>
      </c>
      <c r="L311" s="5" t="s">
        <v>7</v>
      </c>
      <c r="M311" s="5" t="s">
        <v>7</v>
      </c>
      <c r="N311" s="5" t="s">
        <v>7</v>
      </c>
      <c r="O311" t="s">
        <v>778</v>
      </c>
      <c r="P311" t="s">
        <v>7834</v>
      </c>
      <c r="R311" s="1" t="b">
        <v>1</v>
      </c>
    </row>
    <row r="312" spans="1:19">
      <c r="A312" t="s">
        <v>7</v>
      </c>
      <c r="B312" t="s">
        <v>10989</v>
      </c>
      <c r="C312" s="5" t="s">
        <v>7734</v>
      </c>
      <c r="D312" s="1">
        <v>3</v>
      </c>
      <c r="E312" s="1">
        <v>9</v>
      </c>
      <c r="F312" s="1">
        <v>265</v>
      </c>
      <c r="G312" s="1">
        <v>276</v>
      </c>
      <c r="H312" s="13" cm="1">
        <f t="array" ref="H312">_xlfn.LET(_xlpm.s,IFERROR(--F312,""),_xlpm.e,IFERROR(--G312,""),IF(OR(_xlpm.s="",_xlpm.e="",_xlpm.e&lt;_xlpm.s),"",_xlfn.LET(_xlpm.p,_xlfn.SEQUENCE(_xlpm.e-_xlpm.s+1,1,_xlpm.s,1),SUM(1/COUNTIFS($D:$D,D312,$E:$E,E312,$F:$F,"&lt;&gt;N/A",$G:$G,"&lt;&gt;N/A",$F:$F,"&lt;="&amp;_xlpm.p,$G:$G,"&gt;="&amp;_xlpm.p)))))</f>
        <v>11.5</v>
      </c>
      <c r="I312" t="s">
        <v>1350</v>
      </c>
      <c r="J312" s="5" t="s">
        <v>3121</v>
      </c>
      <c r="K312" s="5" t="s">
        <v>1022</v>
      </c>
      <c r="L312" s="5" t="s">
        <v>7</v>
      </c>
      <c r="M312" s="5" t="s">
        <v>7</v>
      </c>
      <c r="N312" s="5" t="s">
        <v>7</v>
      </c>
      <c r="O312" t="s">
        <v>778</v>
      </c>
      <c r="P312" t="s">
        <v>7834</v>
      </c>
      <c r="R312" s="1" t="b">
        <v>1</v>
      </c>
    </row>
    <row r="313" spans="1:19">
      <c r="A313" t="s">
        <v>7</v>
      </c>
      <c r="B313" t="s">
        <v>10990</v>
      </c>
      <c r="C313" s="5" t="s">
        <v>7734</v>
      </c>
      <c r="D313" s="1">
        <v>3</v>
      </c>
      <c r="E313" s="1">
        <v>9</v>
      </c>
      <c r="F313" s="1">
        <v>276</v>
      </c>
      <c r="G313" s="1">
        <v>278</v>
      </c>
      <c r="H313" s="13" cm="1">
        <f t="array" ref="H313">_xlfn.LET(_xlpm.s,IFERROR(--F313,""),_xlpm.e,IFERROR(--G313,""),IF(OR(_xlpm.s="",_xlpm.e="",_xlpm.e&lt;_xlpm.s),"",_xlfn.LET(_xlpm.p,_xlfn.SEQUENCE(_xlpm.e-_xlpm.s+1,1,_xlpm.s,1),SUM(1/COUNTIFS($D:$D,D313,$E:$E,E313,$F:$F,"&lt;&gt;N/A",$G:$G,"&lt;&gt;N/A",$F:$F,"&lt;="&amp;_xlpm.p,$G:$G,"&gt;="&amp;_xlpm.p)))))</f>
        <v>2</v>
      </c>
      <c r="I313" t="s">
        <v>1350</v>
      </c>
      <c r="J313" s="5" t="s">
        <v>3124</v>
      </c>
      <c r="K313" s="5" t="s">
        <v>3123</v>
      </c>
      <c r="L313" s="5" t="s">
        <v>7</v>
      </c>
      <c r="M313" s="5" t="s">
        <v>7</v>
      </c>
      <c r="N313" s="5" t="s">
        <v>7</v>
      </c>
      <c r="O313" t="s">
        <v>778</v>
      </c>
      <c r="P313" t="s">
        <v>7834</v>
      </c>
      <c r="R313" s="1" t="b">
        <v>1</v>
      </c>
    </row>
    <row r="314" spans="1:19">
      <c r="A314" t="s">
        <v>7</v>
      </c>
      <c r="B314" t="s">
        <v>10991</v>
      </c>
      <c r="C314" s="5" t="s">
        <v>7734</v>
      </c>
      <c r="D314" s="1">
        <v>3</v>
      </c>
      <c r="E314" s="1">
        <v>9</v>
      </c>
      <c r="F314" s="1">
        <v>278</v>
      </c>
      <c r="G314" s="1">
        <v>294</v>
      </c>
      <c r="H314" s="13" cm="1">
        <f t="array" ref="H314">_xlfn.LET(_xlpm.s,IFERROR(--F314,""),_xlpm.e,IFERROR(--G314,""),IF(OR(_xlpm.s="",_xlpm.e="",_xlpm.e&lt;_xlpm.s),"",_xlfn.LET(_xlpm.p,_xlfn.SEQUENCE(_xlpm.e-_xlpm.s+1,1,_xlpm.s,1),SUM(1/COUNTIFS($D:$D,D314,$E:$E,E314,$F:$F,"&lt;&gt;N/A",$G:$G,"&lt;&gt;N/A",$F:$F,"&lt;="&amp;_xlpm.p,$G:$G,"&gt;="&amp;_xlpm.p)))))</f>
        <v>16</v>
      </c>
      <c r="I314" t="s">
        <v>1350</v>
      </c>
      <c r="J314" s="5" t="s">
        <v>3122</v>
      </c>
      <c r="K314" s="5" t="s">
        <v>3125</v>
      </c>
      <c r="L314" s="5" t="s">
        <v>7</v>
      </c>
      <c r="M314" s="5" t="s">
        <v>7</v>
      </c>
      <c r="N314" s="5" t="s">
        <v>7</v>
      </c>
      <c r="O314" t="s">
        <v>778</v>
      </c>
      <c r="P314" t="s">
        <v>7834</v>
      </c>
      <c r="R314" s="1" t="b">
        <v>1</v>
      </c>
    </row>
    <row r="315" spans="1:19">
      <c r="A315" t="s">
        <v>7</v>
      </c>
      <c r="B315" t="s">
        <v>10992</v>
      </c>
      <c r="C315" s="5" t="s">
        <v>7734</v>
      </c>
      <c r="D315" s="1">
        <v>3</v>
      </c>
      <c r="E315" s="1">
        <v>9</v>
      </c>
      <c r="F315" s="1">
        <v>294</v>
      </c>
      <c r="G315" s="1">
        <v>295</v>
      </c>
      <c r="H315" s="13" cm="1">
        <f t="array" ref="H315">_xlfn.LET(_xlpm.s,IFERROR(--F315,""),_xlpm.e,IFERROR(--G315,""),IF(OR(_xlpm.s="",_xlpm.e="",_xlpm.e&lt;_xlpm.s),"",_xlfn.LET(_xlpm.p,_xlfn.SEQUENCE(_xlpm.e-_xlpm.s+1,1,_xlpm.s,1),SUM(1/COUNTIFS($D:$D,D315,$E:$E,E315,$F:$F,"&lt;&gt;N/A",$G:$G,"&lt;&gt;N/A",$F:$F,"&lt;="&amp;_xlpm.p,$G:$G,"&gt;="&amp;_xlpm.p)))))</f>
        <v>0.83333333333333326</v>
      </c>
      <c r="I315" t="s">
        <v>1506</v>
      </c>
      <c r="J315" s="5" t="s">
        <v>7709</v>
      </c>
      <c r="K315" s="5" t="s">
        <v>7</v>
      </c>
      <c r="L315" s="5" t="s">
        <v>4871</v>
      </c>
      <c r="M315" s="5" t="s">
        <v>7</v>
      </c>
      <c r="N315" s="5" t="s">
        <v>7</v>
      </c>
      <c r="O315" s="5" t="s">
        <v>10264</v>
      </c>
      <c r="P315" s="5" t="s">
        <v>8020</v>
      </c>
      <c r="R315" s="1" t="b">
        <v>1</v>
      </c>
    </row>
    <row r="316" spans="1:19">
      <c r="A316" t="s">
        <v>7</v>
      </c>
      <c r="B316" t="s">
        <v>10993</v>
      </c>
      <c r="C316" s="5" t="s">
        <v>7734</v>
      </c>
      <c r="D316" s="1">
        <v>3</v>
      </c>
      <c r="E316" s="1">
        <v>9</v>
      </c>
      <c r="F316" s="1">
        <v>295</v>
      </c>
      <c r="G316" s="1">
        <v>295</v>
      </c>
      <c r="H316" s="13" cm="1">
        <f t="array" ref="H316">_xlfn.LET(_xlpm.s,IFERROR(--F316,""),_xlpm.e,IFERROR(--G316,""),IF(OR(_xlpm.s="",_xlpm.e="",_xlpm.e&lt;_xlpm.s),"",_xlfn.LET(_xlpm.p,_xlfn.SEQUENCE(_xlpm.e-_xlpm.s+1,1,_xlpm.s,1),SUM(1/COUNTIFS($D:$D,D316,$E:$E,E316,$F:$F,"&lt;&gt;N/A",$G:$G,"&lt;&gt;N/A",$F:$F,"&lt;="&amp;_xlpm.p,$G:$G,"&gt;="&amp;_xlpm.p)))))</f>
        <v>0.33333333333333331</v>
      </c>
      <c r="I316" t="s">
        <v>1506</v>
      </c>
      <c r="J316" s="5" t="s">
        <v>3126</v>
      </c>
      <c r="K316" s="5" t="s">
        <v>7</v>
      </c>
      <c r="L316" s="5" t="s">
        <v>4872</v>
      </c>
      <c r="M316" t="s">
        <v>5035</v>
      </c>
      <c r="N316" s="5" t="s">
        <v>10121</v>
      </c>
      <c r="O316" s="5" t="s">
        <v>5072</v>
      </c>
      <c r="P316" s="5" t="s">
        <v>8019</v>
      </c>
      <c r="R316" s="1" t="b">
        <v>1</v>
      </c>
    </row>
    <row r="317" spans="1:19">
      <c r="A317" t="s">
        <v>7</v>
      </c>
      <c r="B317" t="s">
        <v>10994</v>
      </c>
      <c r="C317" s="5" t="s">
        <v>7734</v>
      </c>
      <c r="D317" s="1">
        <v>3</v>
      </c>
      <c r="E317" s="1">
        <v>9</v>
      </c>
      <c r="F317" s="1">
        <v>295</v>
      </c>
      <c r="G317" s="1">
        <v>296</v>
      </c>
      <c r="H317" s="13" cm="1">
        <f t="array" ref="H317">_xlfn.LET(_xlpm.s,IFERROR(--F317,""),_xlpm.e,IFERROR(--G317,""),IF(OR(_xlpm.s="",_xlpm.e="",_xlpm.e&lt;_xlpm.s),"",_xlfn.LET(_xlpm.p,_xlfn.SEQUENCE(_xlpm.e-_xlpm.s+1,1,_xlpm.s,1),SUM(1/COUNTIFS($D:$D,D317,$E:$E,E317,$F:$F,"&lt;&gt;N/A",$G:$G,"&lt;&gt;N/A",$F:$F,"&lt;="&amp;_xlpm.p,$G:$G,"&gt;="&amp;_xlpm.p)))))</f>
        <v>0.83333333333333326</v>
      </c>
      <c r="I317" t="s">
        <v>1506</v>
      </c>
      <c r="J317" s="5" t="s">
        <v>3127</v>
      </c>
      <c r="K317" s="5" t="s">
        <v>7</v>
      </c>
      <c r="L317" s="5" t="s">
        <v>7</v>
      </c>
      <c r="M317" s="5" t="s">
        <v>5047</v>
      </c>
      <c r="N317" s="5" t="s">
        <v>7708</v>
      </c>
      <c r="O317" s="5" t="s">
        <v>5072</v>
      </c>
      <c r="P317" s="5" t="s">
        <v>8021</v>
      </c>
      <c r="R317" s="1" t="b">
        <v>1</v>
      </c>
    </row>
    <row r="318" spans="1:19">
      <c r="A318" t="s">
        <v>7</v>
      </c>
      <c r="B318" t="s">
        <v>10995</v>
      </c>
      <c r="C318" s="5" t="s">
        <v>7734</v>
      </c>
      <c r="D318" s="1">
        <v>3</v>
      </c>
      <c r="E318" s="1">
        <v>9</v>
      </c>
      <c r="F318" s="1">
        <v>296</v>
      </c>
      <c r="G318" s="1">
        <v>304</v>
      </c>
      <c r="H318" s="13" cm="1">
        <f t="array" ref="H318">_xlfn.LET(_xlpm.s,IFERROR(--F318,""),_xlpm.e,IFERROR(--G318,""),IF(OR(_xlpm.s="",_xlpm.e="",_xlpm.e&lt;_xlpm.s),"",_xlfn.LET(_xlpm.p,_xlfn.SEQUENCE(_xlpm.e-_xlpm.s+1,1,_xlpm.s,1),SUM(1/COUNTIFS($D:$D,D318,$E:$E,E318,$F:$F,"&lt;&gt;N/A",$G:$G,"&lt;&gt;N/A",$F:$F,"&lt;="&amp;_xlpm.p,$G:$G,"&gt;="&amp;_xlpm.p)))))</f>
        <v>8.5</v>
      </c>
      <c r="I318" t="s">
        <v>7</v>
      </c>
      <c r="J318" s="5" t="s">
        <v>3128</v>
      </c>
      <c r="K318" s="5" t="s">
        <v>847</v>
      </c>
      <c r="L318" s="5" t="s">
        <v>7</v>
      </c>
      <c r="M318" s="5" t="s">
        <v>7</v>
      </c>
      <c r="N318" s="5" t="s">
        <v>7</v>
      </c>
      <c r="O318" t="s">
        <v>778</v>
      </c>
      <c r="P318" t="s">
        <v>7834</v>
      </c>
      <c r="R318" s="1" t="b">
        <v>1</v>
      </c>
    </row>
    <row r="319" spans="1:19">
      <c r="A319" t="s">
        <v>7</v>
      </c>
      <c r="B319" t="s">
        <v>10996</v>
      </c>
      <c r="C319" s="5" t="s">
        <v>7746</v>
      </c>
      <c r="D319" s="1">
        <v>3</v>
      </c>
      <c r="E319" s="1">
        <v>10</v>
      </c>
      <c r="F319" s="1">
        <v>305</v>
      </c>
      <c r="G319" s="1">
        <v>319</v>
      </c>
      <c r="H319" s="13" cm="1">
        <f t="array" ref="H319">_xlfn.LET(_xlpm.s,IFERROR(--F319,""),_xlpm.e,IFERROR(--G319,""),IF(OR(_xlpm.s="",_xlpm.e="",_xlpm.e&lt;_xlpm.s),"",_xlfn.LET(_xlpm.p,_xlfn.SEQUENCE(_xlpm.e-_xlpm.s+1,1,_xlpm.s,1),SUM(1/COUNTIFS($D:$D,D319,$E:$E,E319,$F:$F,"&lt;&gt;N/A",$G:$G,"&lt;&gt;N/A",$F:$F,"&lt;="&amp;_xlpm.p,$G:$G,"&gt;="&amp;_xlpm.p)))))</f>
        <v>14.5</v>
      </c>
      <c r="I319" t="s">
        <v>1350</v>
      </c>
      <c r="J319" s="5" t="s">
        <v>3129</v>
      </c>
      <c r="K319" s="5" t="s">
        <v>1022</v>
      </c>
      <c r="L319" s="5" t="s">
        <v>7</v>
      </c>
      <c r="M319" s="5" t="s">
        <v>7</v>
      </c>
      <c r="N319" s="5" t="s">
        <v>7</v>
      </c>
      <c r="O319" t="s">
        <v>778</v>
      </c>
      <c r="P319" t="s">
        <v>7834</v>
      </c>
      <c r="R319" s="1" t="b">
        <v>1</v>
      </c>
    </row>
    <row r="320" spans="1:19">
      <c r="A320" t="s">
        <v>7</v>
      </c>
      <c r="B320" t="s">
        <v>10997</v>
      </c>
      <c r="C320" s="5" t="s">
        <v>7746</v>
      </c>
      <c r="D320" s="1">
        <v>3</v>
      </c>
      <c r="E320" s="1">
        <v>10</v>
      </c>
      <c r="F320" s="1">
        <v>319</v>
      </c>
      <c r="G320" s="1">
        <v>324</v>
      </c>
      <c r="H320" s="13" cm="1">
        <f t="array" ref="H320">_xlfn.LET(_xlpm.s,IFERROR(--F320,""),_xlpm.e,IFERROR(--G320,""),IF(OR(_xlpm.s="",_xlpm.e="",_xlpm.e&lt;_xlpm.s),"",_xlfn.LET(_xlpm.p,_xlfn.SEQUENCE(_xlpm.e-_xlpm.s+1,1,_xlpm.s,1),SUM(1/COUNTIFS($D:$D,D320,$E:$E,E320,$F:$F,"&lt;&gt;N/A",$G:$G,"&lt;&gt;N/A",$F:$F,"&lt;="&amp;_xlpm.p,$G:$G,"&gt;="&amp;_xlpm.p)))))</f>
        <v>5</v>
      </c>
      <c r="I320" t="s">
        <v>1350</v>
      </c>
      <c r="J320" s="5" t="s">
        <v>3130</v>
      </c>
      <c r="K320" s="5" t="s">
        <v>4873</v>
      </c>
      <c r="L320" s="5" t="s">
        <v>7</v>
      </c>
      <c r="M320" s="5" t="s">
        <v>7</v>
      </c>
      <c r="N320" s="5" t="s">
        <v>7</v>
      </c>
      <c r="O320" t="s">
        <v>778</v>
      </c>
      <c r="P320" t="s">
        <v>7834</v>
      </c>
      <c r="R320" s="1" t="b">
        <v>1</v>
      </c>
    </row>
    <row r="321" spans="1:18">
      <c r="A321" t="s">
        <v>7</v>
      </c>
      <c r="B321" t="s">
        <v>10998</v>
      </c>
      <c r="C321" s="5" t="s">
        <v>7746</v>
      </c>
      <c r="D321" s="1">
        <v>3</v>
      </c>
      <c r="E321" s="1">
        <v>10</v>
      </c>
      <c r="F321" s="1">
        <v>324</v>
      </c>
      <c r="G321" s="1">
        <v>331</v>
      </c>
      <c r="H321" s="13" cm="1">
        <f t="array" ref="H321">_xlfn.LET(_xlpm.s,IFERROR(--F321,""),_xlpm.e,IFERROR(--G321,""),IF(OR(_xlpm.s="",_xlpm.e="",_xlpm.e&lt;_xlpm.s),"",_xlfn.LET(_xlpm.p,_xlfn.SEQUENCE(_xlpm.e-_xlpm.s+1,1,_xlpm.s,1),SUM(1/COUNTIFS($D:$D,D321,$E:$E,E321,$F:$F,"&lt;&gt;N/A",$G:$G,"&lt;&gt;N/A",$F:$F,"&lt;="&amp;_xlpm.p,$G:$G,"&gt;="&amp;_xlpm.p)))))</f>
        <v>7</v>
      </c>
      <c r="I321" t="s">
        <v>1506</v>
      </c>
      <c r="J321" s="5" t="s">
        <v>3131</v>
      </c>
      <c r="K321" s="5" t="s">
        <v>4860</v>
      </c>
      <c r="L321" s="5" t="s">
        <v>7</v>
      </c>
      <c r="M321" s="5" t="s">
        <v>7</v>
      </c>
      <c r="N321" s="5" t="s">
        <v>7</v>
      </c>
      <c r="O321" t="s">
        <v>778</v>
      </c>
      <c r="P321" t="s">
        <v>7834</v>
      </c>
      <c r="R321" s="1" t="b">
        <v>1</v>
      </c>
    </row>
    <row r="322" spans="1:18">
      <c r="A322" t="s">
        <v>7</v>
      </c>
      <c r="B322" t="s">
        <v>10999</v>
      </c>
      <c r="C322" s="5" t="s">
        <v>7746</v>
      </c>
      <c r="D322" s="1">
        <v>3</v>
      </c>
      <c r="E322" s="1">
        <v>10</v>
      </c>
      <c r="F322" s="1">
        <v>331</v>
      </c>
      <c r="G322" s="1">
        <v>333</v>
      </c>
      <c r="H322" s="13" cm="1">
        <f t="array" ref="H322">_xlfn.LET(_xlpm.s,IFERROR(--F322,""),_xlpm.e,IFERROR(--G322,""),IF(OR(_xlpm.s="",_xlpm.e="",_xlpm.e&lt;_xlpm.s),"",_xlfn.LET(_xlpm.p,_xlfn.SEQUENCE(_xlpm.e-_xlpm.s+1,1,_xlpm.s,1),SUM(1/COUNTIFS($D:$D,D322,$E:$E,E322,$F:$F,"&lt;&gt;N/A",$G:$G,"&lt;&gt;N/A",$F:$F,"&lt;="&amp;_xlpm.p,$G:$G,"&gt;="&amp;_xlpm.p)))))</f>
        <v>2</v>
      </c>
      <c r="I322" t="s">
        <v>1506</v>
      </c>
      <c r="J322" s="5" t="s">
        <v>3132</v>
      </c>
      <c r="K322" s="5" t="s">
        <v>4874</v>
      </c>
      <c r="L322" s="5" t="s">
        <v>7</v>
      </c>
      <c r="M322" s="5" t="s">
        <v>7</v>
      </c>
      <c r="N322" s="5" t="s">
        <v>7</v>
      </c>
      <c r="O322" t="s">
        <v>778</v>
      </c>
      <c r="P322" t="s">
        <v>7834</v>
      </c>
      <c r="R322" s="1" t="b">
        <v>1</v>
      </c>
    </row>
    <row r="323" spans="1:18">
      <c r="A323" t="s">
        <v>7</v>
      </c>
      <c r="B323" t="s">
        <v>11000</v>
      </c>
      <c r="C323" s="5" t="s">
        <v>7746</v>
      </c>
      <c r="D323" s="1">
        <v>3</v>
      </c>
      <c r="E323" s="1">
        <v>10</v>
      </c>
      <c r="F323" s="1">
        <v>333</v>
      </c>
      <c r="G323" s="1">
        <v>335</v>
      </c>
      <c r="H323" s="13" cm="1">
        <f t="array" ref="H323">_xlfn.LET(_xlpm.s,IFERROR(--F323,""),_xlpm.e,IFERROR(--G323,""),IF(OR(_xlpm.s="",_xlpm.e="",_xlpm.e&lt;_xlpm.s),"",_xlfn.LET(_xlpm.p,_xlfn.SEQUENCE(_xlpm.e-_xlpm.s+1,1,_xlpm.s,1),SUM(1/COUNTIFS($D:$D,D323,$E:$E,E323,$F:$F,"&lt;&gt;N/A",$G:$G,"&lt;&gt;N/A",$F:$F,"&lt;="&amp;_xlpm.p,$G:$G,"&gt;="&amp;_xlpm.p)))))</f>
        <v>2</v>
      </c>
      <c r="I323" t="s">
        <v>1506</v>
      </c>
      <c r="J323" s="5" t="s">
        <v>3133</v>
      </c>
      <c r="K323" s="5" t="s">
        <v>847</v>
      </c>
      <c r="L323" s="5" t="s">
        <v>7</v>
      </c>
      <c r="M323" s="5" t="s">
        <v>7</v>
      </c>
      <c r="N323" s="5" t="s">
        <v>7</v>
      </c>
      <c r="O323" t="s">
        <v>778</v>
      </c>
      <c r="P323" t="s">
        <v>7834</v>
      </c>
      <c r="R323" s="1" t="b">
        <v>1</v>
      </c>
    </row>
    <row r="324" spans="1:18">
      <c r="A324" t="s">
        <v>7</v>
      </c>
      <c r="B324" t="s">
        <v>11001</v>
      </c>
      <c r="C324" s="5" t="s">
        <v>7746</v>
      </c>
      <c r="D324" s="1">
        <v>3</v>
      </c>
      <c r="E324" s="1">
        <v>10</v>
      </c>
      <c r="F324" s="1">
        <v>335</v>
      </c>
      <c r="G324" s="1">
        <v>336</v>
      </c>
      <c r="H324" s="13" cm="1">
        <f t="array" ref="H324">_xlfn.LET(_xlpm.s,IFERROR(--F324,""),_xlpm.e,IFERROR(--G324,""),IF(OR(_xlpm.s="",_xlpm.e="",_xlpm.e&lt;_xlpm.s),"",_xlfn.LET(_xlpm.p,_xlfn.SEQUENCE(_xlpm.e-_xlpm.s+1,1,_xlpm.s,1),SUM(1/COUNTIFS($D:$D,D324,$E:$E,E324,$F:$F,"&lt;&gt;N/A",$G:$G,"&lt;&gt;N/A",$F:$F,"&lt;="&amp;_xlpm.p,$G:$G,"&gt;="&amp;_xlpm.p)))))</f>
        <v>1.5</v>
      </c>
      <c r="I324" t="s">
        <v>1506</v>
      </c>
      <c r="J324" s="5" t="s">
        <v>3134</v>
      </c>
      <c r="K324" s="5" t="s">
        <v>7</v>
      </c>
      <c r="L324" s="5" t="s">
        <v>4875</v>
      </c>
      <c r="M324" t="s">
        <v>7468</v>
      </c>
      <c r="N324" s="5" t="s">
        <v>7714</v>
      </c>
      <c r="O324" s="5" t="s">
        <v>5072</v>
      </c>
      <c r="P324" s="5" t="s">
        <v>8021</v>
      </c>
      <c r="R324" s="1" t="b">
        <v>1</v>
      </c>
    </row>
    <row r="325" spans="1:18">
      <c r="A325" t="s">
        <v>7</v>
      </c>
      <c r="B325" t="s">
        <v>11002</v>
      </c>
      <c r="C325" s="5" t="s">
        <v>7754</v>
      </c>
      <c r="D325" s="1">
        <v>3</v>
      </c>
      <c r="E325" s="1">
        <v>11</v>
      </c>
      <c r="F325" s="1">
        <v>337</v>
      </c>
      <c r="G325" s="1">
        <v>340</v>
      </c>
      <c r="H325" s="13" cm="1">
        <f t="array" ref="H325">_xlfn.LET(_xlpm.s,IFERROR(--F325,""),_xlpm.e,IFERROR(--G325,""),IF(OR(_xlpm.s="",_xlpm.e="",_xlpm.e&lt;_xlpm.s),"",_xlfn.LET(_xlpm.p,_xlfn.SEQUENCE(_xlpm.e-_xlpm.s+1,1,_xlpm.s,1),SUM(1/COUNTIFS($D:$D,D325,$E:$E,E325,$F:$F,"&lt;&gt;N/A",$G:$G,"&lt;&gt;N/A",$F:$F,"&lt;="&amp;_xlpm.p,$G:$G,"&gt;="&amp;_xlpm.p)))))</f>
        <v>3.5</v>
      </c>
      <c r="I325" t="s">
        <v>1350</v>
      </c>
      <c r="J325" s="5" t="s">
        <v>3135</v>
      </c>
      <c r="K325" s="5" t="s">
        <v>1213</v>
      </c>
      <c r="L325" s="5" t="s">
        <v>7</v>
      </c>
      <c r="M325" s="5" t="s">
        <v>7</v>
      </c>
      <c r="N325" s="5" t="s">
        <v>7</v>
      </c>
      <c r="O325" t="s">
        <v>778</v>
      </c>
      <c r="P325" t="s">
        <v>7834</v>
      </c>
      <c r="R325" s="1" t="b">
        <v>1</v>
      </c>
    </row>
    <row r="326" spans="1:18">
      <c r="A326" t="s">
        <v>7</v>
      </c>
      <c r="B326" t="s">
        <v>11003</v>
      </c>
      <c r="C326" s="5" t="s">
        <v>7754</v>
      </c>
      <c r="D326" s="1">
        <v>3</v>
      </c>
      <c r="E326" s="1">
        <v>11</v>
      </c>
      <c r="F326" s="1">
        <v>340</v>
      </c>
      <c r="G326" s="1">
        <v>352</v>
      </c>
      <c r="H326" s="13" cm="1">
        <f t="array" ref="H326">_xlfn.LET(_xlpm.s,IFERROR(--F326,""),_xlpm.e,IFERROR(--G326,""),IF(OR(_xlpm.s="",_xlpm.e="",_xlpm.e&lt;_xlpm.s),"",_xlfn.LET(_xlpm.p,_xlfn.SEQUENCE(_xlpm.e-_xlpm.s+1,1,_xlpm.s,1),SUM(1/COUNTIFS($D:$D,D326,$E:$E,E326,$F:$F,"&lt;&gt;N/A",$G:$G,"&lt;&gt;N/A",$F:$F,"&lt;="&amp;_xlpm.p,$G:$G,"&gt;="&amp;_xlpm.p)))))</f>
        <v>12.5</v>
      </c>
      <c r="I326" t="s">
        <v>1350</v>
      </c>
      <c r="J326" s="5" t="s">
        <v>3136</v>
      </c>
      <c r="K326" s="5" t="s">
        <v>4873</v>
      </c>
      <c r="L326" s="5" t="s">
        <v>7</v>
      </c>
      <c r="M326" s="5" t="s">
        <v>7</v>
      </c>
      <c r="N326" s="5" t="s">
        <v>7</v>
      </c>
      <c r="O326" t="s">
        <v>778</v>
      </c>
      <c r="P326" t="s">
        <v>7834</v>
      </c>
      <c r="R326" s="1" t="b">
        <v>1</v>
      </c>
    </row>
    <row r="327" spans="1:18">
      <c r="A327" t="s">
        <v>7</v>
      </c>
      <c r="B327" t="s">
        <v>11004</v>
      </c>
      <c r="C327" s="5" t="s">
        <v>7754</v>
      </c>
      <c r="D327" s="1">
        <v>3</v>
      </c>
      <c r="E327" s="1">
        <v>11</v>
      </c>
      <c r="F327" s="1">
        <v>353</v>
      </c>
      <c r="G327" s="1">
        <v>378</v>
      </c>
      <c r="H327" s="13" cm="1">
        <f t="array" ref="H327">_xlfn.LET(_xlpm.s,IFERROR(--F327,""),_xlpm.e,IFERROR(--G327,""),IF(OR(_xlpm.s="",_xlpm.e="",_xlpm.e&lt;_xlpm.s),"",_xlfn.LET(_xlpm.p,_xlfn.SEQUENCE(_xlpm.e-_xlpm.s+1,1,_xlpm.s,1),SUM(1/COUNTIFS($D:$D,D327,$E:$E,E327,$F:$F,"&lt;&gt;N/A",$G:$G,"&lt;&gt;N/A",$F:$F,"&lt;="&amp;_xlpm.p,$G:$G,"&gt;="&amp;_xlpm.p)))))</f>
        <v>25.333333333333332</v>
      </c>
      <c r="I327" t="s">
        <v>1506</v>
      </c>
      <c r="J327" s="5" t="s">
        <v>3138</v>
      </c>
      <c r="K327" t="s">
        <v>4812</v>
      </c>
      <c r="L327" s="5" t="s">
        <v>7</v>
      </c>
      <c r="M327" s="5" t="s">
        <v>7</v>
      </c>
      <c r="N327" t="s">
        <v>7</v>
      </c>
      <c r="O327" t="s">
        <v>778</v>
      </c>
      <c r="P327" t="s">
        <v>7834</v>
      </c>
      <c r="R327" s="1" t="b">
        <v>1</v>
      </c>
    </row>
    <row r="328" spans="1:18">
      <c r="A328" t="s">
        <v>7</v>
      </c>
      <c r="B328" t="s">
        <v>11005</v>
      </c>
      <c r="C328" s="5" t="s">
        <v>7754</v>
      </c>
      <c r="D328" s="1">
        <v>3</v>
      </c>
      <c r="E328" s="1">
        <v>11</v>
      </c>
      <c r="F328" s="1">
        <v>378</v>
      </c>
      <c r="G328" s="1">
        <v>378</v>
      </c>
      <c r="H328" s="13" cm="1">
        <f t="array" ref="H328">_xlfn.LET(_xlpm.s,IFERROR(--F328,""),_xlpm.e,IFERROR(--G328,""),IF(OR(_xlpm.s="",_xlpm.e="",_xlpm.e&lt;_xlpm.s),"",_xlfn.LET(_xlpm.p,_xlfn.SEQUENCE(_xlpm.e-_xlpm.s+1,1,_xlpm.s,1),SUM(1/COUNTIFS($D:$D,D328,$E:$E,E328,$F:$F,"&lt;&gt;N/A",$G:$G,"&lt;&gt;N/A",$F:$F,"&lt;="&amp;_xlpm.p,$G:$G,"&gt;="&amp;_xlpm.p)))))</f>
        <v>0.33333333333333331</v>
      </c>
      <c r="I328" t="s">
        <v>1506</v>
      </c>
      <c r="J328" s="5" t="s">
        <v>3139</v>
      </c>
      <c r="K328" s="5" t="s">
        <v>7</v>
      </c>
      <c r="L328" s="5" t="s">
        <v>4876</v>
      </c>
      <c r="M328" s="5" t="s">
        <v>7</v>
      </c>
      <c r="N328" t="s">
        <v>7</v>
      </c>
      <c r="O328" s="5" t="s">
        <v>11522</v>
      </c>
      <c r="P328" s="5" t="s">
        <v>8019</v>
      </c>
      <c r="R328" s="1" t="b">
        <v>1</v>
      </c>
    </row>
    <row r="329" spans="1:18">
      <c r="A329" t="s">
        <v>7</v>
      </c>
      <c r="B329" t="s">
        <v>11006</v>
      </c>
      <c r="C329" s="5" t="s">
        <v>7754</v>
      </c>
      <c r="D329" s="1">
        <v>3</v>
      </c>
      <c r="E329" s="1">
        <v>11</v>
      </c>
      <c r="F329" s="1">
        <v>378</v>
      </c>
      <c r="G329" s="1">
        <v>379</v>
      </c>
      <c r="H329" s="13" cm="1">
        <f t="array" ref="H329">_xlfn.LET(_xlpm.s,IFERROR(--F329,""),_xlpm.e,IFERROR(--G329,""),IF(OR(_xlpm.s="",_xlpm.e="",_xlpm.e&lt;_xlpm.s),"",_xlfn.LET(_xlpm.p,_xlfn.SEQUENCE(_xlpm.e-_xlpm.s+1,1,_xlpm.s,1),SUM(1/COUNTIFS($D:$D,D329,$E:$E,E329,$F:$F,"&lt;&gt;N/A",$G:$G,"&lt;&gt;N/A",$F:$F,"&lt;="&amp;_xlpm.p,$G:$G,"&gt;="&amp;_xlpm.p)))))</f>
        <v>0.83333333333333326</v>
      </c>
      <c r="I329" t="s">
        <v>1506</v>
      </c>
      <c r="J329" s="5" t="s">
        <v>3140</v>
      </c>
      <c r="K329" s="5" t="s">
        <v>7</v>
      </c>
      <c r="L329" s="5" t="s">
        <v>4876</v>
      </c>
      <c r="M329" s="5" t="s">
        <v>7</v>
      </c>
      <c r="N329" t="s">
        <v>7</v>
      </c>
      <c r="O329" s="5" t="s">
        <v>11522</v>
      </c>
      <c r="P329" s="5" t="s">
        <v>8019</v>
      </c>
      <c r="R329" s="1" t="b">
        <v>1</v>
      </c>
    </row>
    <row r="330" spans="1:18">
      <c r="A330" t="s">
        <v>7</v>
      </c>
      <c r="B330" t="s">
        <v>11007</v>
      </c>
      <c r="C330" s="5" t="s">
        <v>7754</v>
      </c>
      <c r="D330" s="1">
        <v>3</v>
      </c>
      <c r="E330" s="1">
        <v>11</v>
      </c>
      <c r="F330" s="1">
        <v>379</v>
      </c>
      <c r="G330" s="1">
        <v>383</v>
      </c>
      <c r="H330" s="13" cm="1">
        <f t="array" ref="H330">_xlfn.LET(_xlpm.s,IFERROR(--F330,""),_xlpm.e,IFERROR(--G330,""),IF(OR(_xlpm.s="",_xlpm.e="",_xlpm.e&lt;_xlpm.s),"",_xlfn.LET(_xlpm.p,_xlfn.SEQUENCE(_xlpm.e-_xlpm.s+1,1,_xlpm.s,1),SUM(1/COUNTIFS($D:$D,D330,$E:$E,E330,$F:$F,"&lt;&gt;N/A",$G:$G,"&lt;&gt;N/A",$F:$F,"&lt;="&amp;_xlpm.p,$G:$G,"&gt;="&amp;_xlpm.p)))))</f>
        <v>4</v>
      </c>
      <c r="I330" t="s">
        <v>1506</v>
      </c>
      <c r="J330" s="5" t="s">
        <v>3141</v>
      </c>
      <c r="K330" s="5" t="s">
        <v>7</v>
      </c>
      <c r="L330" s="5" t="s">
        <v>7</v>
      </c>
      <c r="M330" s="5" t="s">
        <v>7</v>
      </c>
      <c r="N330" s="5" t="s">
        <v>7</v>
      </c>
      <c r="O330" t="s">
        <v>778</v>
      </c>
      <c r="P330" t="s">
        <v>7834</v>
      </c>
      <c r="R330" s="1" t="b">
        <v>1</v>
      </c>
    </row>
    <row r="331" spans="1:18">
      <c r="A331" t="s">
        <v>7</v>
      </c>
      <c r="B331" t="s">
        <v>11008</v>
      </c>
      <c r="C331" s="5" t="s">
        <v>7754</v>
      </c>
      <c r="D331" s="1">
        <v>3</v>
      </c>
      <c r="E331" s="1">
        <v>11</v>
      </c>
      <c r="F331" s="1">
        <v>383</v>
      </c>
      <c r="G331" s="1">
        <v>383</v>
      </c>
      <c r="H331" s="13" cm="1">
        <f t="array" ref="H331">_xlfn.LET(_xlpm.s,IFERROR(--F331,""),_xlpm.e,IFERROR(--G331,""),IF(OR(_xlpm.s="",_xlpm.e="",_xlpm.e&lt;_xlpm.s),"",_xlfn.LET(_xlpm.p,_xlfn.SEQUENCE(_xlpm.e-_xlpm.s+1,1,_xlpm.s,1),SUM(1/COUNTIFS($D:$D,D331,$E:$E,E331,$F:$F,"&lt;&gt;N/A",$G:$G,"&lt;&gt;N/A",$F:$F,"&lt;="&amp;_xlpm.p,$G:$G,"&gt;="&amp;_xlpm.p)))))</f>
        <v>0.5</v>
      </c>
      <c r="I331" t="s">
        <v>1506</v>
      </c>
      <c r="J331" s="5" t="s">
        <v>3142</v>
      </c>
      <c r="K331" s="5" t="s">
        <v>7</v>
      </c>
      <c r="L331" s="5" t="s">
        <v>7</v>
      </c>
      <c r="M331" s="5" t="s">
        <v>7</v>
      </c>
      <c r="N331" s="5" t="s">
        <v>7</v>
      </c>
      <c r="O331" t="s">
        <v>778</v>
      </c>
      <c r="P331" t="s">
        <v>7834</v>
      </c>
      <c r="R331" s="1" t="b">
        <v>1</v>
      </c>
    </row>
    <row r="332" spans="1:18">
      <c r="A332" t="s">
        <v>7</v>
      </c>
      <c r="B332" t="s">
        <v>11009</v>
      </c>
      <c r="C332" s="5" t="s">
        <v>7754</v>
      </c>
      <c r="D332" s="1">
        <v>3</v>
      </c>
      <c r="E332" s="1">
        <v>11</v>
      </c>
      <c r="F332" s="1">
        <v>384</v>
      </c>
      <c r="G332" s="1">
        <v>384</v>
      </c>
      <c r="H332" s="13" cm="1">
        <f t="array" ref="H332">_xlfn.LET(_xlpm.s,IFERROR(--F332,""),_xlpm.e,IFERROR(--G332,""),IF(OR(_xlpm.s="",_xlpm.e="",_xlpm.e&lt;_xlpm.s),"",_xlfn.LET(_xlpm.p,_xlfn.SEQUENCE(_xlpm.e-_xlpm.s+1,1,_xlpm.s,1),SUM(1/COUNTIFS($D:$D,D332,$E:$E,E332,$F:$F,"&lt;&gt;N/A",$G:$G,"&lt;&gt;N/A",$F:$F,"&lt;="&amp;_xlpm.p,$G:$G,"&gt;="&amp;_xlpm.p)))))</f>
        <v>1</v>
      </c>
      <c r="I332" t="s">
        <v>1506</v>
      </c>
      <c r="J332" s="5" t="s">
        <v>1374</v>
      </c>
      <c r="K332" s="5" t="s">
        <v>1934</v>
      </c>
      <c r="L332" s="5" t="s">
        <v>7</v>
      </c>
      <c r="M332" s="5" t="s">
        <v>7</v>
      </c>
      <c r="N332" s="5" t="s">
        <v>7</v>
      </c>
      <c r="O332" t="s">
        <v>778</v>
      </c>
      <c r="P332" t="s">
        <v>7834</v>
      </c>
      <c r="R332" s="1" t="b">
        <v>1</v>
      </c>
    </row>
    <row r="333" spans="1:18">
      <c r="A333" t="s">
        <v>7</v>
      </c>
      <c r="B333" t="s">
        <v>11010</v>
      </c>
      <c r="C333" s="5" t="s">
        <v>7762</v>
      </c>
      <c r="D333" s="1">
        <v>3</v>
      </c>
      <c r="E333" s="1">
        <v>12</v>
      </c>
      <c r="F333" s="1">
        <v>385</v>
      </c>
      <c r="G333" s="1">
        <v>396</v>
      </c>
      <c r="H333" s="13" cm="1">
        <f t="array" ref="H333">_xlfn.LET(_xlpm.s,IFERROR(--F333,""),_xlpm.e,IFERROR(--G333,""),IF(OR(_xlpm.s="",_xlpm.e="",_xlpm.e&lt;_xlpm.s),"",_xlfn.LET(_xlpm.p,_xlfn.SEQUENCE(_xlpm.e-_xlpm.s+1,1,_xlpm.s,1),SUM(1/COUNTIFS($D:$D,D333,$E:$E,E333,$F:$F,"&lt;&gt;N/A",$G:$G,"&lt;&gt;N/A",$F:$F,"&lt;="&amp;_xlpm.p,$G:$G,"&gt;="&amp;_xlpm.p)))))</f>
        <v>11.5</v>
      </c>
      <c r="I333" t="s">
        <v>1506</v>
      </c>
      <c r="J333" s="5" t="s">
        <v>3143</v>
      </c>
      <c r="K333" s="5" t="s">
        <v>3144</v>
      </c>
      <c r="L333" s="5" t="s">
        <v>7</v>
      </c>
      <c r="M333" s="5" t="s">
        <v>7</v>
      </c>
      <c r="N333" s="5" t="s">
        <v>7</v>
      </c>
      <c r="O333" t="s">
        <v>778</v>
      </c>
      <c r="P333" t="s">
        <v>7834</v>
      </c>
      <c r="R333" s="1" t="b">
        <v>1</v>
      </c>
    </row>
    <row r="334" spans="1:18">
      <c r="A334" t="s">
        <v>7</v>
      </c>
      <c r="B334" t="s">
        <v>11011</v>
      </c>
      <c r="C334" s="5" t="s">
        <v>7762</v>
      </c>
      <c r="D334" s="1">
        <v>3</v>
      </c>
      <c r="E334" s="1">
        <v>12</v>
      </c>
      <c r="F334" s="1">
        <v>396</v>
      </c>
      <c r="G334" s="1">
        <v>401</v>
      </c>
      <c r="H334" s="13" cm="1">
        <f t="array" ref="H334">_xlfn.LET(_xlpm.s,IFERROR(--F334,""),_xlpm.e,IFERROR(--G334,""),IF(OR(_xlpm.s="",_xlpm.e="",_xlpm.e&lt;_xlpm.s),"",_xlfn.LET(_xlpm.p,_xlfn.SEQUENCE(_xlpm.e-_xlpm.s+1,1,_xlpm.s,1),SUM(1/COUNTIFS($D:$D,D334,$E:$E,E334,$F:$F,"&lt;&gt;N/A",$G:$G,"&lt;&gt;N/A",$F:$F,"&lt;="&amp;_xlpm.p,$G:$G,"&gt;="&amp;_xlpm.p)))))</f>
        <v>5.5</v>
      </c>
      <c r="I334" t="s">
        <v>1506</v>
      </c>
      <c r="J334" s="5" t="s">
        <v>3156</v>
      </c>
      <c r="K334" s="5" t="s">
        <v>3155</v>
      </c>
      <c r="L334" s="5" t="s">
        <v>7</v>
      </c>
      <c r="M334" s="5" t="s">
        <v>7</v>
      </c>
      <c r="N334" s="5" t="s">
        <v>7</v>
      </c>
      <c r="O334" t="s">
        <v>778</v>
      </c>
      <c r="P334" t="s">
        <v>7834</v>
      </c>
      <c r="R334" s="1" t="b">
        <v>1</v>
      </c>
    </row>
    <row r="335" spans="1:18">
      <c r="A335" t="s">
        <v>7</v>
      </c>
      <c r="B335" t="s">
        <v>11012</v>
      </c>
      <c r="C335" s="5" t="s">
        <v>7762</v>
      </c>
      <c r="D335" s="1">
        <v>3</v>
      </c>
      <c r="E335" s="1">
        <v>12</v>
      </c>
      <c r="F335" s="1">
        <v>402</v>
      </c>
      <c r="G335" s="1">
        <v>410</v>
      </c>
      <c r="H335" s="13" cm="1">
        <f t="array" ref="H335">_xlfn.LET(_xlpm.s,IFERROR(--F335,""),_xlpm.e,IFERROR(--G335,""),IF(OR(_xlpm.s="",_xlpm.e="",_xlpm.e&lt;_xlpm.s),"",_xlfn.LET(_xlpm.p,_xlfn.SEQUENCE(_xlpm.e-_xlpm.s+1,1,_xlpm.s,1),SUM(1/COUNTIFS($D:$D,D335,$E:$E,E335,$F:$F,"&lt;&gt;N/A",$G:$G,"&lt;&gt;N/A",$F:$F,"&lt;="&amp;_xlpm.p,$G:$G,"&gt;="&amp;_xlpm.p)))))</f>
        <v>8.5</v>
      </c>
      <c r="I335" t="s">
        <v>1506</v>
      </c>
      <c r="J335" s="5" t="s">
        <v>3147</v>
      </c>
      <c r="K335" s="5" t="s">
        <v>4046</v>
      </c>
      <c r="L335" s="5" t="s">
        <v>4877</v>
      </c>
      <c r="M335" s="5" t="s">
        <v>7</v>
      </c>
      <c r="N335" s="5" t="s">
        <v>7</v>
      </c>
      <c r="O335" s="5" t="s">
        <v>10264</v>
      </c>
      <c r="P335" s="5" t="s">
        <v>8020</v>
      </c>
      <c r="R335" s="1" t="b">
        <v>1</v>
      </c>
    </row>
    <row r="336" spans="1:18">
      <c r="A336" t="s">
        <v>7</v>
      </c>
      <c r="B336" t="s">
        <v>11013</v>
      </c>
      <c r="C336" s="5" t="s">
        <v>7762</v>
      </c>
      <c r="D336" s="1">
        <v>3</v>
      </c>
      <c r="E336" s="1">
        <v>12</v>
      </c>
      <c r="F336" s="1">
        <v>410</v>
      </c>
      <c r="G336" s="1">
        <v>411</v>
      </c>
      <c r="H336" s="13" cm="1">
        <f t="array" ref="H336">_xlfn.LET(_xlpm.s,IFERROR(--F336,""),_xlpm.e,IFERROR(--G336,""),IF(OR(_xlpm.s="",_xlpm.e="",_xlpm.e&lt;_xlpm.s),"",_xlfn.LET(_xlpm.p,_xlfn.SEQUENCE(_xlpm.e-_xlpm.s+1,1,_xlpm.s,1),SUM(1/COUNTIFS($D:$D,D336,$E:$E,E336,$F:$F,"&lt;&gt;N/A",$G:$G,"&lt;&gt;N/A",$F:$F,"&lt;="&amp;_xlpm.p,$G:$G,"&gt;="&amp;_xlpm.p)))))</f>
        <v>1.5</v>
      </c>
      <c r="I336" t="s">
        <v>1506</v>
      </c>
      <c r="J336" s="5" t="s">
        <v>3146</v>
      </c>
      <c r="K336" s="5" t="s">
        <v>7</v>
      </c>
      <c r="L336" s="5" t="s">
        <v>4878</v>
      </c>
      <c r="M336" s="5" t="s">
        <v>7</v>
      </c>
      <c r="N336" s="5" t="s">
        <v>7</v>
      </c>
      <c r="O336" s="5" t="s">
        <v>10264</v>
      </c>
      <c r="P336" s="5" t="s">
        <v>8020</v>
      </c>
      <c r="R336" s="1" t="b">
        <v>1</v>
      </c>
    </row>
    <row r="337" spans="1:18">
      <c r="A337" t="s">
        <v>7</v>
      </c>
      <c r="B337" t="s">
        <v>11014</v>
      </c>
      <c r="C337" s="5" t="s">
        <v>7762</v>
      </c>
      <c r="D337" s="1">
        <v>3</v>
      </c>
      <c r="E337" s="1">
        <v>12</v>
      </c>
      <c r="F337" s="1">
        <v>412</v>
      </c>
      <c r="G337" s="1">
        <v>414</v>
      </c>
      <c r="H337" s="13" cm="1">
        <f t="array" ref="H337">_xlfn.LET(_xlpm.s,IFERROR(--F337,""),_xlpm.e,IFERROR(--G337,""),IF(OR(_xlpm.s="",_xlpm.e="",_xlpm.e&lt;_xlpm.s),"",_xlfn.LET(_xlpm.p,_xlfn.SEQUENCE(_xlpm.e-_xlpm.s+1,1,_xlpm.s,1),SUM(1/COUNTIFS($D:$D,D337,$E:$E,E337,$F:$F,"&lt;&gt;N/A",$G:$G,"&lt;&gt;N/A",$F:$F,"&lt;="&amp;_xlpm.p,$G:$G,"&gt;="&amp;_xlpm.p)))))</f>
        <v>3</v>
      </c>
      <c r="I337" t="s">
        <v>7</v>
      </c>
      <c r="J337" s="5" t="s">
        <v>3145</v>
      </c>
      <c r="K337" s="5" t="s">
        <v>7</v>
      </c>
      <c r="L337" s="5" t="s">
        <v>7</v>
      </c>
      <c r="M337" s="5" t="s">
        <v>7</v>
      </c>
      <c r="N337" s="5" t="s">
        <v>7</v>
      </c>
      <c r="O337" t="s">
        <v>778</v>
      </c>
      <c r="P337" t="s">
        <v>7834</v>
      </c>
      <c r="R337" s="1" t="b">
        <v>1</v>
      </c>
    </row>
    <row r="338" spans="1:18">
      <c r="A338" t="s">
        <v>3023</v>
      </c>
      <c r="B338" t="s">
        <v>11015</v>
      </c>
      <c r="C338" s="5" t="s">
        <v>7770</v>
      </c>
      <c r="D338" s="1">
        <v>4</v>
      </c>
      <c r="E338" s="1">
        <v>1</v>
      </c>
      <c r="F338" s="1">
        <v>3</v>
      </c>
      <c r="G338" s="1">
        <v>5</v>
      </c>
      <c r="H338" s="13" cm="1">
        <f t="array" ref="H338">_xlfn.LET(_xlpm.s,IFERROR(--F338,""),_xlpm.e,IFERROR(--G338,""),IF(OR(_xlpm.s="",_xlpm.e="",_xlpm.e&lt;_xlpm.s),"",_xlfn.LET(_xlpm.p,_xlfn.SEQUENCE(_xlpm.e-_xlpm.s+1,1,_xlpm.s,1),SUM(1/COUNTIFS($D:$D,D338,$E:$E,E338,$F:$F,"&lt;&gt;N/A",$G:$G,"&lt;&gt;N/A",$F:$F,"&lt;="&amp;_xlpm.p,$G:$G,"&gt;="&amp;_xlpm.p)))))</f>
        <v>2.5</v>
      </c>
      <c r="I338" t="s">
        <v>7</v>
      </c>
      <c r="J338" s="5" t="s">
        <v>1503</v>
      </c>
      <c r="K338" s="5" t="s">
        <v>1280</v>
      </c>
      <c r="L338" s="5" t="s">
        <v>7</v>
      </c>
      <c r="M338" s="5" t="s">
        <v>7</v>
      </c>
      <c r="N338" s="5" t="s">
        <v>7</v>
      </c>
      <c r="O338" t="s">
        <v>778</v>
      </c>
      <c r="P338" t="s">
        <v>7834</v>
      </c>
      <c r="R338" s="1" t="b">
        <v>1</v>
      </c>
    </row>
    <row r="339" spans="1:18">
      <c r="A339" t="s">
        <v>3023</v>
      </c>
      <c r="B339" t="s">
        <v>11016</v>
      </c>
      <c r="C339" s="5" t="s">
        <v>7770</v>
      </c>
      <c r="D339" s="1">
        <v>4</v>
      </c>
      <c r="E339" s="1">
        <v>1</v>
      </c>
      <c r="F339" s="1">
        <v>5</v>
      </c>
      <c r="G339" s="1">
        <v>14</v>
      </c>
      <c r="H339" s="13" cm="1">
        <f t="array" ref="H339">_xlfn.LET(_xlpm.s,IFERROR(--F339,""),_xlpm.e,IFERROR(--G339,""),IF(OR(_xlpm.s="",_xlpm.e="",_xlpm.e&lt;_xlpm.s),"",_xlfn.LET(_xlpm.p,_xlfn.SEQUENCE(_xlpm.e-_xlpm.s+1,1,_xlpm.s,1),SUM(1/COUNTIFS($D:$D,D339,$E:$E,E339,$F:$F,"&lt;&gt;N/A",$G:$G,"&lt;&gt;N/A",$F:$F,"&lt;="&amp;_xlpm.p,$G:$G,"&gt;="&amp;_xlpm.p)))))</f>
        <v>9</v>
      </c>
      <c r="I339" t="s">
        <v>7</v>
      </c>
      <c r="J339" s="5" t="s">
        <v>1504</v>
      </c>
      <c r="K339" s="5" t="s">
        <v>7</v>
      </c>
      <c r="L339" s="5" t="s">
        <v>7</v>
      </c>
      <c r="M339" s="5" t="s">
        <v>7</v>
      </c>
      <c r="N339" s="5" t="s">
        <v>7</v>
      </c>
      <c r="O339" t="s">
        <v>778</v>
      </c>
      <c r="P339" t="s">
        <v>7834</v>
      </c>
      <c r="R339" s="1" t="b">
        <v>1</v>
      </c>
    </row>
    <row r="340" spans="1:18">
      <c r="A340" t="s">
        <v>3023</v>
      </c>
      <c r="B340" t="s">
        <v>11017</v>
      </c>
      <c r="C340" s="5" t="s">
        <v>7770</v>
      </c>
      <c r="D340" s="1">
        <v>4</v>
      </c>
      <c r="E340" s="1">
        <v>1</v>
      </c>
      <c r="F340" s="1">
        <v>14</v>
      </c>
      <c r="G340" s="1">
        <v>19</v>
      </c>
      <c r="H340" s="13" cm="1">
        <f t="array" ref="H340">_xlfn.LET(_xlpm.s,IFERROR(--F340,""),_xlpm.e,IFERROR(--G340,""),IF(OR(_xlpm.s="",_xlpm.e="",_xlpm.e&lt;_xlpm.s),"",_xlfn.LET(_xlpm.p,_xlfn.SEQUENCE(_xlpm.e-_xlpm.s+1,1,_xlpm.s,1),SUM(1/COUNTIFS($D:$D,D340,$E:$E,E340,$F:$F,"&lt;&gt;N/A",$G:$G,"&lt;&gt;N/A",$F:$F,"&lt;="&amp;_xlpm.p,$G:$G,"&gt;="&amp;_xlpm.p)))))</f>
        <v>5</v>
      </c>
      <c r="I340" t="s">
        <v>7</v>
      </c>
      <c r="J340" s="5" t="s">
        <v>1505</v>
      </c>
      <c r="K340" s="5" t="s">
        <v>1144</v>
      </c>
      <c r="L340" s="5" t="s">
        <v>7</v>
      </c>
      <c r="M340" s="5" t="s">
        <v>7</v>
      </c>
      <c r="N340" s="5" t="s">
        <v>7</v>
      </c>
      <c r="O340" t="s">
        <v>778</v>
      </c>
      <c r="P340" t="s">
        <v>7834</v>
      </c>
      <c r="R340" s="1" t="b">
        <v>1</v>
      </c>
    </row>
    <row r="341" spans="1:18">
      <c r="A341" t="s">
        <v>3023</v>
      </c>
      <c r="B341" t="s">
        <v>11018</v>
      </c>
      <c r="C341" s="5" t="s">
        <v>7770</v>
      </c>
      <c r="D341" s="1">
        <v>4</v>
      </c>
      <c r="E341" s="1">
        <v>1</v>
      </c>
      <c r="F341" s="1">
        <v>19</v>
      </c>
      <c r="G341" s="1">
        <v>32</v>
      </c>
      <c r="H341" s="13" cm="1">
        <f t="array" ref="H341">_xlfn.LET(_xlpm.s,IFERROR(--F341,""),_xlpm.e,IFERROR(--G341,""),IF(OR(_xlpm.s="",_xlpm.e="",_xlpm.e&lt;_xlpm.s),"",_xlfn.LET(_xlpm.p,_xlfn.SEQUENCE(_xlpm.e-_xlpm.s+1,1,_xlpm.s,1),SUM(1/COUNTIFS($D:$D,D341,$E:$E,E341,$F:$F,"&lt;&gt;N/A",$G:$G,"&lt;&gt;N/A",$F:$F,"&lt;="&amp;_xlpm.p,$G:$G,"&gt;="&amp;_xlpm.p)))))</f>
        <v>13</v>
      </c>
      <c r="I341" t="s">
        <v>1506</v>
      </c>
      <c r="J341" s="5" t="s">
        <v>6948</v>
      </c>
      <c r="K341" s="5" t="s">
        <v>11509</v>
      </c>
      <c r="L341" s="5" t="s">
        <v>7</v>
      </c>
      <c r="M341" s="5" t="s">
        <v>7</v>
      </c>
      <c r="N341" s="5" t="s">
        <v>7</v>
      </c>
      <c r="O341" t="s">
        <v>778</v>
      </c>
      <c r="P341" t="s">
        <v>7834</v>
      </c>
      <c r="R341" s="1" t="b">
        <v>1</v>
      </c>
    </row>
    <row r="342" spans="1:18">
      <c r="A342" t="s">
        <v>3023</v>
      </c>
      <c r="B342" t="s">
        <v>11019</v>
      </c>
      <c r="C342" s="5" t="s">
        <v>7770</v>
      </c>
      <c r="D342" s="1">
        <v>4</v>
      </c>
      <c r="E342" s="1">
        <v>1</v>
      </c>
      <c r="F342" s="1">
        <v>32</v>
      </c>
      <c r="G342" s="1">
        <v>34</v>
      </c>
      <c r="H342" s="13" cm="1">
        <f t="array" ref="H342">_xlfn.LET(_xlpm.s,IFERROR(--F342,""),_xlpm.e,IFERROR(--G342,""),IF(OR(_xlpm.s="",_xlpm.e="",_xlpm.e&lt;_xlpm.s),"",_xlfn.LET(_xlpm.p,_xlfn.SEQUENCE(_xlpm.e-_xlpm.s+1,1,_xlpm.s,1),SUM(1/COUNTIFS($D:$D,D342,$E:$E,E342,$F:$F,"&lt;&gt;N/A",$G:$G,"&lt;&gt;N/A",$F:$F,"&lt;="&amp;_xlpm.p,$G:$G,"&gt;="&amp;_xlpm.p)))))</f>
        <v>2</v>
      </c>
      <c r="I342" t="s">
        <v>1506</v>
      </c>
      <c r="J342" s="5" t="s">
        <v>6947</v>
      </c>
      <c r="K342" s="5" t="s">
        <v>1507</v>
      </c>
      <c r="L342" s="5" t="s">
        <v>7</v>
      </c>
      <c r="M342" s="5" t="s">
        <v>7</v>
      </c>
      <c r="N342" s="5" t="s">
        <v>7</v>
      </c>
      <c r="O342" t="s">
        <v>778</v>
      </c>
      <c r="P342" t="s">
        <v>7834</v>
      </c>
      <c r="R342" s="1" t="b">
        <v>1</v>
      </c>
    </row>
    <row r="343" spans="1:18">
      <c r="A343" t="s">
        <v>3023</v>
      </c>
      <c r="B343" t="s">
        <v>11020</v>
      </c>
      <c r="C343" s="5" t="s">
        <v>7770</v>
      </c>
      <c r="D343" s="1">
        <v>4</v>
      </c>
      <c r="E343" s="1">
        <v>1</v>
      </c>
      <c r="F343" s="1">
        <v>34</v>
      </c>
      <c r="G343" s="1">
        <v>35</v>
      </c>
      <c r="H343" s="13" cm="1">
        <f t="array" ref="H343">_xlfn.LET(_xlpm.s,IFERROR(--F343,""),_xlpm.e,IFERROR(--G343,""),IF(OR(_xlpm.s="",_xlpm.e="",_xlpm.e&lt;_xlpm.s),"",_xlfn.LET(_xlpm.p,_xlfn.SEQUENCE(_xlpm.e-_xlpm.s+1,1,_xlpm.s,1),SUM(1/COUNTIFS($D:$D,D343,$E:$E,E343,$F:$F,"&lt;&gt;N/A",$G:$G,"&lt;&gt;N/A",$F:$F,"&lt;="&amp;_xlpm.p,$G:$G,"&gt;="&amp;_xlpm.p)))))</f>
        <v>1</v>
      </c>
      <c r="I343" t="s">
        <v>1506</v>
      </c>
      <c r="J343" s="5" t="s">
        <v>1508</v>
      </c>
      <c r="K343" s="5" t="s">
        <v>7</v>
      </c>
      <c r="L343" s="5" t="s">
        <v>10836</v>
      </c>
      <c r="M343" t="s">
        <v>7468</v>
      </c>
      <c r="N343" s="5" t="s">
        <v>10838</v>
      </c>
      <c r="O343" s="5" t="s">
        <v>11522</v>
      </c>
      <c r="P343" t="s">
        <v>8021</v>
      </c>
      <c r="R343" s="1" t="b">
        <v>1</v>
      </c>
    </row>
    <row r="344" spans="1:18">
      <c r="A344" t="s">
        <v>3023</v>
      </c>
      <c r="B344" t="s">
        <v>11021</v>
      </c>
      <c r="C344" s="5" t="s">
        <v>7770</v>
      </c>
      <c r="D344" s="1">
        <v>4</v>
      </c>
      <c r="E344" s="1">
        <v>1</v>
      </c>
      <c r="F344" s="1">
        <v>35</v>
      </c>
      <c r="G344" s="1">
        <v>37</v>
      </c>
      <c r="H344" s="13" cm="1">
        <f t="array" ref="H344">_xlfn.LET(_xlpm.s,IFERROR(--F344,""),_xlpm.e,IFERROR(--G344,""),IF(OR(_xlpm.s="",_xlpm.e="",_xlpm.e&lt;_xlpm.s),"",_xlfn.LET(_xlpm.p,_xlfn.SEQUENCE(_xlpm.e-_xlpm.s+1,1,_xlpm.s,1),SUM(1/COUNTIFS($D:$D,D344,$E:$E,E344,$F:$F,"&lt;&gt;N/A",$G:$G,"&lt;&gt;N/A",$F:$F,"&lt;="&amp;_xlpm.p,$G:$G,"&gt;="&amp;_xlpm.p)))))</f>
        <v>2</v>
      </c>
      <c r="I344" t="s">
        <v>1506</v>
      </c>
      <c r="J344" s="5" t="s">
        <v>10833</v>
      </c>
      <c r="K344" s="5" t="s">
        <v>7</v>
      </c>
      <c r="L344" s="5" t="s">
        <v>4895</v>
      </c>
      <c r="M344" s="5" t="s">
        <v>7</v>
      </c>
      <c r="N344" s="5" t="s">
        <v>7</v>
      </c>
      <c r="O344" s="5" t="s">
        <v>11522</v>
      </c>
      <c r="P344" t="s">
        <v>8020</v>
      </c>
      <c r="R344" s="1" t="b">
        <v>1</v>
      </c>
    </row>
    <row r="345" spans="1:18">
      <c r="A345" t="s">
        <v>3023</v>
      </c>
      <c r="B345" t="s">
        <v>11022</v>
      </c>
      <c r="C345" s="5" t="s">
        <v>7770</v>
      </c>
      <c r="D345" s="1">
        <v>4</v>
      </c>
      <c r="E345" s="1">
        <v>1</v>
      </c>
      <c r="F345" s="1">
        <v>37</v>
      </c>
      <c r="G345" s="1">
        <v>38</v>
      </c>
      <c r="H345" s="13" cm="1">
        <f t="array" ref="H345">_xlfn.LET(_xlpm.s,IFERROR(--F345,""),_xlpm.e,IFERROR(--G345,""),IF(OR(_xlpm.s="",_xlpm.e="",_xlpm.e&lt;_xlpm.s),"",_xlfn.LET(_xlpm.p,_xlfn.SEQUENCE(_xlpm.e-_xlpm.s+1,1,_xlpm.s,1),SUM(1/COUNTIFS($D:$D,D345,$E:$E,E345,$F:$F,"&lt;&gt;N/A",$G:$G,"&lt;&gt;N/A",$F:$F,"&lt;="&amp;_xlpm.p,$G:$G,"&gt;="&amp;_xlpm.p)))))</f>
        <v>1</v>
      </c>
      <c r="I345" t="s">
        <v>1506</v>
      </c>
      <c r="J345" s="5" t="s">
        <v>11381</v>
      </c>
      <c r="K345" s="5" t="s">
        <v>7</v>
      </c>
      <c r="L345" s="5" t="s">
        <v>4895</v>
      </c>
      <c r="M345" s="5" t="s">
        <v>7</v>
      </c>
      <c r="N345" s="5" t="s">
        <v>7</v>
      </c>
      <c r="O345" s="5" t="s">
        <v>11522</v>
      </c>
      <c r="P345" t="s">
        <v>8020</v>
      </c>
      <c r="R345" s="1" t="b">
        <v>1</v>
      </c>
    </row>
    <row r="346" spans="1:18">
      <c r="A346" t="s">
        <v>3023</v>
      </c>
      <c r="B346" t="s">
        <v>11023</v>
      </c>
      <c r="C346" s="5" t="s">
        <v>7770</v>
      </c>
      <c r="D346" s="1">
        <v>4</v>
      </c>
      <c r="E346" s="1">
        <v>1</v>
      </c>
      <c r="F346" s="1">
        <v>38</v>
      </c>
      <c r="G346" s="1">
        <v>39</v>
      </c>
      <c r="H346" s="13" cm="1">
        <f t="array" ref="H346">_xlfn.LET(_xlpm.s,IFERROR(--F346,""),_xlpm.e,IFERROR(--G346,""),IF(OR(_xlpm.s="",_xlpm.e="",_xlpm.e&lt;_xlpm.s),"",_xlfn.LET(_xlpm.p,_xlfn.SEQUENCE(_xlpm.e-_xlpm.s+1,1,_xlpm.s,1),SUM(1/COUNTIFS($D:$D,D346,$E:$E,E346,$F:$F,"&lt;&gt;N/A",$G:$G,"&lt;&gt;N/A",$F:$F,"&lt;="&amp;_xlpm.p,$G:$G,"&gt;="&amp;_xlpm.p)))))</f>
        <v>1.5</v>
      </c>
      <c r="I346" t="s">
        <v>1506</v>
      </c>
      <c r="J346" s="5" t="s">
        <v>1709</v>
      </c>
      <c r="K346" s="5" t="s">
        <v>4859</v>
      </c>
      <c r="L346" s="5" t="s">
        <v>7</v>
      </c>
      <c r="M346" s="5" t="s">
        <v>7</v>
      </c>
      <c r="N346" s="5" t="s">
        <v>7</v>
      </c>
      <c r="O346" t="s">
        <v>778</v>
      </c>
      <c r="P346" t="s">
        <v>7834</v>
      </c>
      <c r="R346" s="1" t="b">
        <v>1</v>
      </c>
    </row>
    <row r="347" spans="1:18">
      <c r="A347" t="s">
        <v>3023</v>
      </c>
      <c r="B347" t="s">
        <v>11024</v>
      </c>
      <c r="C347" s="5" t="s">
        <v>7770</v>
      </c>
      <c r="D347" s="1">
        <v>4</v>
      </c>
      <c r="E347" s="1">
        <v>1</v>
      </c>
      <c r="F347" s="1">
        <v>40</v>
      </c>
      <c r="G347" s="1">
        <v>40</v>
      </c>
      <c r="H347" s="13" cm="1">
        <f t="array" ref="H347">_xlfn.LET(_xlpm.s,IFERROR(--F347,""),_xlpm.e,IFERROR(--G347,""),IF(OR(_xlpm.s="",_xlpm.e="",_xlpm.e&lt;_xlpm.s),"",_xlfn.LET(_xlpm.p,_xlfn.SEQUENCE(_xlpm.e-_xlpm.s+1,1,_xlpm.s,1),SUM(1/COUNTIFS($D:$D,D347,$E:$E,E347,$F:$F,"&lt;&gt;N/A",$G:$G,"&lt;&gt;N/A",$F:$F,"&lt;="&amp;_xlpm.p,$G:$G,"&gt;="&amp;_xlpm.p)))))</f>
        <v>1</v>
      </c>
      <c r="I347" t="s">
        <v>1506</v>
      </c>
      <c r="J347" s="5" t="s">
        <v>1374</v>
      </c>
      <c r="K347" s="5" t="s">
        <v>1324</v>
      </c>
      <c r="L347" s="5" t="s">
        <v>7</v>
      </c>
      <c r="M347" s="5" t="s">
        <v>7</v>
      </c>
      <c r="N347" s="5" t="s">
        <v>7</v>
      </c>
      <c r="O347" t="s">
        <v>778</v>
      </c>
      <c r="P347" t="s">
        <v>7834</v>
      </c>
      <c r="R347" s="1" t="b">
        <v>1</v>
      </c>
    </row>
    <row r="348" spans="1:18">
      <c r="A348" t="s">
        <v>3023</v>
      </c>
      <c r="B348" t="s">
        <v>11025</v>
      </c>
      <c r="C348" s="5" t="s">
        <v>7778</v>
      </c>
      <c r="D348" s="1">
        <v>4</v>
      </c>
      <c r="E348" s="1">
        <v>2</v>
      </c>
      <c r="F348" s="1">
        <v>41</v>
      </c>
      <c r="G348" s="1">
        <v>42</v>
      </c>
      <c r="H348" s="13" cm="1">
        <f t="array" ref="H348">_xlfn.LET(_xlpm.s,IFERROR(--F348,""),_xlpm.e,IFERROR(--G348,""),IF(OR(_xlpm.s="",_xlpm.e="",_xlpm.e&lt;_xlpm.s),"",_xlfn.LET(_xlpm.p,_xlfn.SEQUENCE(_xlpm.e-_xlpm.s+1,1,_xlpm.s,1),SUM(1/COUNTIFS($D:$D,D348,$E:$E,E348,$F:$F,"&lt;&gt;N/A",$G:$G,"&lt;&gt;N/A",$F:$F,"&lt;="&amp;_xlpm.p,$G:$G,"&gt;="&amp;_xlpm.p)))))</f>
        <v>1.5</v>
      </c>
      <c r="I348" t="s">
        <v>1350</v>
      </c>
      <c r="J348" s="5" t="s">
        <v>1769</v>
      </c>
      <c r="K348" s="5" t="s">
        <v>7</v>
      </c>
      <c r="L348" s="5" t="s">
        <v>7</v>
      </c>
      <c r="M348" s="5" t="s">
        <v>7</v>
      </c>
      <c r="N348" s="5" t="s">
        <v>7</v>
      </c>
      <c r="O348" t="s">
        <v>778</v>
      </c>
      <c r="P348" t="s">
        <v>7834</v>
      </c>
      <c r="R348" s="1" t="b">
        <v>0</v>
      </c>
    </row>
    <row r="349" spans="1:18">
      <c r="A349" t="s">
        <v>3023</v>
      </c>
      <c r="B349" t="s">
        <v>11026</v>
      </c>
      <c r="C349" s="5" t="s">
        <v>7778</v>
      </c>
      <c r="D349" s="1">
        <v>4</v>
      </c>
      <c r="E349" s="1">
        <v>2</v>
      </c>
      <c r="F349" s="1">
        <v>42</v>
      </c>
      <c r="G349" s="1">
        <v>43</v>
      </c>
      <c r="H349" s="13" cm="1">
        <f t="array" ref="H349">_xlfn.LET(_xlpm.s,IFERROR(--F349,""),_xlpm.e,IFERROR(--G349,""),IF(OR(_xlpm.s="",_xlpm.e="",_xlpm.e&lt;_xlpm.s),"",_xlfn.LET(_xlpm.p,_xlfn.SEQUENCE(_xlpm.e-_xlpm.s+1,1,_xlpm.s,1),SUM(1/COUNTIFS($D:$D,D349,$E:$E,E349,$F:$F,"&lt;&gt;N/A",$G:$G,"&lt;&gt;N/A",$F:$F,"&lt;="&amp;_xlpm.p,$G:$G,"&gt;="&amp;_xlpm.p)))))</f>
        <v>1</v>
      </c>
      <c r="I349" t="s">
        <v>1350</v>
      </c>
      <c r="J349" s="5" t="s">
        <v>1770</v>
      </c>
      <c r="K349" s="5" t="s">
        <v>7</v>
      </c>
      <c r="L349" s="5" t="s">
        <v>7</v>
      </c>
      <c r="M349" s="5" t="s">
        <v>7</v>
      </c>
      <c r="N349" s="5" t="s">
        <v>7</v>
      </c>
      <c r="O349" t="s">
        <v>778</v>
      </c>
      <c r="P349" t="s">
        <v>7834</v>
      </c>
      <c r="R349" s="1" t="b">
        <v>0</v>
      </c>
    </row>
    <row r="350" spans="1:18">
      <c r="A350" t="s">
        <v>3023</v>
      </c>
      <c r="B350" t="s">
        <v>11027</v>
      </c>
      <c r="C350" s="5" t="s">
        <v>7778</v>
      </c>
      <c r="D350" s="1">
        <v>4</v>
      </c>
      <c r="E350" s="1">
        <v>2</v>
      </c>
      <c r="F350" s="1">
        <v>43</v>
      </c>
      <c r="G350" s="1">
        <v>44</v>
      </c>
      <c r="H350" s="13" cm="1">
        <f t="array" ref="H350">_xlfn.LET(_xlpm.s,IFERROR(--F350,""),_xlpm.e,IFERROR(--G350,""),IF(OR(_xlpm.s="",_xlpm.e="",_xlpm.e&lt;_xlpm.s),"",_xlfn.LET(_xlpm.p,_xlfn.SEQUENCE(_xlpm.e-_xlpm.s+1,1,_xlpm.s,1),SUM(1/COUNTIFS($D:$D,D350,$E:$E,E350,$F:$F,"&lt;&gt;N/A",$G:$G,"&lt;&gt;N/A",$F:$F,"&lt;="&amp;_xlpm.p,$G:$G,"&gt;="&amp;_xlpm.p)))))</f>
        <v>1</v>
      </c>
      <c r="I350" t="s">
        <v>1350</v>
      </c>
      <c r="J350" s="5" t="s">
        <v>1771</v>
      </c>
      <c r="K350" s="5" t="s">
        <v>7</v>
      </c>
      <c r="L350" s="5" t="s">
        <v>7</v>
      </c>
      <c r="M350" s="5" t="s">
        <v>7</v>
      </c>
      <c r="N350" s="5" t="s">
        <v>7</v>
      </c>
      <c r="O350" t="s">
        <v>778</v>
      </c>
      <c r="P350" t="s">
        <v>7834</v>
      </c>
      <c r="R350" s="1" t="b">
        <v>0</v>
      </c>
    </row>
    <row r="351" spans="1:18">
      <c r="A351" t="s">
        <v>3023</v>
      </c>
      <c r="B351" t="s">
        <v>11028</v>
      </c>
      <c r="C351" s="5" t="s">
        <v>7778</v>
      </c>
      <c r="D351" s="1">
        <v>4</v>
      </c>
      <c r="E351" s="1">
        <v>2</v>
      </c>
      <c r="F351" s="1">
        <v>44</v>
      </c>
      <c r="G351" s="1">
        <v>45</v>
      </c>
      <c r="H351" s="13" cm="1">
        <f t="array" ref="H351">_xlfn.LET(_xlpm.s,IFERROR(--F351,""),_xlpm.e,IFERROR(--G351,""),IF(OR(_xlpm.s="",_xlpm.e="",_xlpm.e&lt;_xlpm.s),"",_xlfn.LET(_xlpm.p,_xlfn.SEQUENCE(_xlpm.e-_xlpm.s+1,1,_xlpm.s,1),SUM(1/COUNTIFS($D:$D,D351,$E:$E,E351,$F:$F,"&lt;&gt;N/A",$G:$G,"&lt;&gt;N/A",$F:$F,"&lt;="&amp;_xlpm.p,$G:$G,"&gt;="&amp;_xlpm.p)))))</f>
        <v>1</v>
      </c>
      <c r="I351" t="s">
        <v>1350</v>
      </c>
      <c r="J351" s="5" t="s">
        <v>1772</v>
      </c>
      <c r="K351" s="5" t="s">
        <v>7</v>
      </c>
      <c r="L351" s="5" t="s">
        <v>7</v>
      </c>
      <c r="M351" s="5" t="s">
        <v>7</v>
      </c>
      <c r="N351" s="5" t="s">
        <v>7</v>
      </c>
      <c r="O351" t="s">
        <v>778</v>
      </c>
      <c r="P351" t="s">
        <v>7834</v>
      </c>
      <c r="R351" s="1" t="b">
        <v>0</v>
      </c>
    </row>
    <row r="352" spans="1:18">
      <c r="A352" t="s">
        <v>3023</v>
      </c>
      <c r="B352" t="s">
        <v>11029</v>
      </c>
      <c r="C352" s="5" t="s">
        <v>7778</v>
      </c>
      <c r="D352" s="1">
        <v>4</v>
      </c>
      <c r="E352" s="1">
        <v>2</v>
      </c>
      <c r="F352" s="1">
        <v>45</v>
      </c>
      <c r="G352" s="1">
        <v>46</v>
      </c>
      <c r="H352" s="13" cm="1">
        <f t="array" ref="H352">_xlfn.LET(_xlpm.s,IFERROR(--F352,""),_xlpm.e,IFERROR(--G352,""),IF(OR(_xlpm.s="",_xlpm.e="",_xlpm.e&lt;_xlpm.s),"",_xlfn.LET(_xlpm.p,_xlfn.SEQUENCE(_xlpm.e-_xlpm.s+1,1,_xlpm.s,1),SUM(1/COUNTIFS($D:$D,D352,$E:$E,E352,$F:$F,"&lt;&gt;N/A",$G:$G,"&lt;&gt;N/A",$F:$F,"&lt;="&amp;_xlpm.p,$G:$G,"&gt;="&amp;_xlpm.p)))))</f>
        <v>1</v>
      </c>
      <c r="I352" t="s">
        <v>1350</v>
      </c>
      <c r="J352" s="5" t="s">
        <v>1773</v>
      </c>
      <c r="K352" s="5" t="s">
        <v>7</v>
      </c>
      <c r="L352" s="5" t="s">
        <v>7</v>
      </c>
      <c r="M352" s="5" t="s">
        <v>7</v>
      </c>
      <c r="N352" s="5" t="s">
        <v>7</v>
      </c>
      <c r="O352" t="s">
        <v>778</v>
      </c>
      <c r="P352" t="s">
        <v>7834</v>
      </c>
      <c r="R352" s="1" t="b">
        <v>0</v>
      </c>
    </row>
    <row r="353" spans="1:18">
      <c r="A353" t="s">
        <v>3023</v>
      </c>
      <c r="B353" t="s">
        <v>11030</v>
      </c>
      <c r="C353" s="5" t="s">
        <v>7778</v>
      </c>
      <c r="D353" s="1">
        <v>4</v>
      </c>
      <c r="E353" s="1">
        <v>2</v>
      </c>
      <c r="F353" s="1">
        <v>46</v>
      </c>
      <c r="G353" s="1">
        <v>73</v>
      </c>
      <c r="H353" s="13" cm="1">
        <f t="array" ref="H353">_xlfn.LET(_xlpm.s,IFERROR(--F353,""),_xlpm.e,IFERROR(--G353,""),IF(OR(_xlpm.s="",_xlpm.e="",_xlpm.e&lt;_xlpm.s),"",_xlfn.LET(_xlpm.p,_xlfn.SEQUENCE(_xlpm.e-_xlpm.s+1,1,_xlpm.s,1),SUM(1/COUNTIFS($D:$D,D353,$E:$E,E353,$F:$F,"&lt;&gt;N/A",$G:$G,"&lt;&gt;N/A",$F:$F,"&lt;="&amp;_xlpm.p,$G:$G,"&gt;="&amp;_xlpm.p)))))</f>
        <v>27</v>
      </c>
      <c r="I353" t="s">
        <v>1350</v>
      </c>
      <c r="J353" s="5" t="s">
        <v>1774</v>
      </c>
      <c r="K353" s="5" t="s">
        <v>4879</v>
      </c>
      <c r="L353" s="5" t="s">
        <v>7</v>
      </c>
      <c r="M353" s="5" t="s">
        <v>7</v>
      </c>
      <c r="N353" s="5" t="s">
        <v>7</v>
      </c>
      <c r="O353" t="s">
        <v>778</v>
      </c>
      <c r="P353" t="s">
        <v>7834</v>
      </c>
      <c r="R353" s="1" t="b">
        <v>1</v>
      </c>
    </row>
    <row r="354" spans="1:18">
      <c r="A354" t="s">
        <v>3023</v>
      </c>
      <c r="B354" t="s">
        <v>11031</v>
      </c>
      <c r="C354" s="5" t="s">
        <v>7778</v>
      </c>
      <c r="D354" s="1">
        <v>4</v>
      </c>
      <c r="E354" s="1">
        <v>2</v>
      </c>
      <c r="F354" s="1">
        <v>73</v>
      </c>
      <c r="G354" s="1">
        <v>74</v>
      </c>
      <c r="H354" s="13" cm="1">
        <f t="array" ref="H354">_xlfn.LET(_xlpm.s,IFERROR(--F354,""),_xlpm.e,IFERROR(--G354,""),IF(OR(_xlpm.s="",_xlpm.e="",_xlpm.e&lt;_xlpm.s),"",_xlfn.LET(_xlpm.p,_xlfn.SEQUENCE(_xlpm.e-_xlpm.s+1,1,_xlpm.s,1),SUM(1/COUNTIFS($D:$D,D354,$E:$E,E354,$F:$F,"&lt;&gt;N/A",$G:$G,"&lt;&gt;N/A",$F:$F,"&lt;="&amp;_xlpm.p,$G:$G,"&gt;="&amp;_xlpm.p)))))</f>
        <v>1.5</v>
      </c>
      <c r="I354" t="s">
        <v>208</v>
      </c>
      <c r="J354" s="5" t="s">
        <v>6949</v>
      </c>
      <c r="K354" s="5" t="s">
        <v>4880</v>
      </c>
      <c r="L354" s="5" t="s">
        <v>7</v>
      </c>
      <c r="M354" s="5" t="s">
        <v>7</v>
      </c>
      <c r="N354" s="5" t="s">
        <v>7</v>
      </c>
      <c r="O354" s="5" t="s">
        <v>10264</v>
      </c>
      <c r="P354" s="5" t="s">
        <v>8020</v>
      </c>
      <c r="Q354" s="5" t="s">
        <v>2078</v>
      </c>
      <c r="R354" s="1" t="b">
        <v>1</v>
      </c>
    </row>
    <row r="355" spans="1:18">
      <c r="A355" t="s">
        <v>3023</v>
      </c>
      <c r="B355" t="s">
        <v>11032</v>
      </c>
      <c r="C355" s="5" t="s">
        <v>7778</v>
      </c>
      <c r="D355" s="1">
        <v>4</v>
      </c>
      <c r="E355" s="1">
        <v>2</v>
      </c>
      <c r="F355" s="1">
        <v>75</v>
      </c>
      <c r="G355" s="1">
        <v>75</v>
      </c>
      <c r="H355" s="13" cm="1">
        <f t="array" ref="H355">_xlfn.LET(_xlpm.s,IFERROR(--F355,""),_xlpm.e,IFERROR(--G355,""),IF(OR(_xlpm.s="",_xlpm.e="",_xlpm.e&lt;_xlpm.s),"",_xlfn.LET(_xlpm.p,_xlfn.SEQUENCE(_xlpm.e-_xlpm.s+1,1,_xlpm.s,1),SUM(1/COUNTIFS($D:$D,D355,$E:$E,E355,$F:$F,"&lt;&gt;N/A",$G:$G,"&lt;&gt;N/A",$F:$F,"&lt;="&amp;_xlpm.p,$G:$G,"&gt;="&amp;_xlpm.p)))))</f>
        <v>0.5</v>
      </c>
      <c r="I355" t="s">
        <v>208</v>
      </c>
      <c r="J355" s="5" t="s">
        <v>7620</v>
      </c>
      <c r="K355" s="5" t="s">
        <v>7</v>
      </c>
      <c r="L355" s="5" t="s">
        <v>4881</v>
      </c>
      <c r="M355" t="s">
        <v>6961</v>
      </c>
      <c r="N355" s="5" t="s">
        <v>7621</v>
      </c>
      <c r="O355" s="5" t="s">
        <v>5072</v>
      </c>
      <c r="P355" s="5" t="s">
        <v>8021</v>
      </c>
      <c r="Q355" s="5" t="s">
        <v>2509</v>
      </c>
      <c r="R355" s="1" t="b">
        <v>1</v>
      </c>
    </row>
    <row r="356" spans="1:18">
      <c r="A356" t="s">
        <v>3023</v>
      </c>
      <c r="B356" t="s">
        <v>11033</v>
      </c>
      <c r="C356" s="5" t="s">
        <v>7778</v>
      </c>
      <c r="D356" s="1">
        <v>4</v>
      </c>
      <c r="E356" s="1">
        <v>2</v>
      </c>
      <c r="F356" s="1">
        <v>75</v>
      </c>
      <c r="G356" s="1">
        <v>77</v>
      </c>
      <c r="H356" s="13" cm="1">
        <f t="array" ref="H356">_xlfn.LET(_xlpm.s,IFERROR(--F356,""),_xlpm.e,IFERROR(--G356,""),IF(OR(_xlpm.s="",_xlpm.e="",_xlpm.e&lt;_xlpm.s),"",_xlfn.LET(_xlpm.p,_xlfn.SEQUENCE(_xlpm.e-_xlpm.s+1,1,_xlpm.s,1),SUM(1/COUNTIFS($D:$D,D356,$E:$E,E356,$F:$F,"&lt;&gt;N/A",$G:$G,"&lt;&gt;N/A",$F:$F,"&lt;="&amp;_xlpm.p,$G:$G,"&gt;="&amp;_xlpm.p)))))</f>
        <v>2</v>
      </c>
      <c r="I356" t="s">
        <v>208</v>
      </c>
      <c r="J356" s="5" t="s">
        <v>1775</v>
      </c>
      <c r="K356" s="5" t="s">
        <v>4880</v>
      </c>
      <c r="L356" s="5" t="s">
        <v>4882</v>
      </c>
      <c r="M356" s="5" t="s">
        <v>7</v>
      </c>
      <c r="N356" s="5" t="s">
        <v>7</v>
      </c>
      <c r="O356" s="5" t="s">
        <v>10264</v>
      </c>
      <c r="P356" s="5" t="s">
        <v>8020</v>
      </c>
      <c r="R356" s="1" t="b">
        <v>1</v>
      </c>
    </row>
    <row r="357" spans="1:18">
      <c r="A357" t="s">
        <v>3023</v>
      </c>
      <c r="B357" t="s">
        <v>11034</v>
      </c>
      <c r="C357" s="5" t="s">
        <v>7778</v>
      </c>
      <c r="D357" s="1">
        <v>4</v>
      </c>
      <c r="E357" s="1">
        <v>2</v>
      </c>
      <c r="F357" s="1">
        <v>77</v>
      </c>
      <c r="G357" s="1">
        <v>78</v>
      </c>
      <c r="H357" s="13" cm="1">
        <f t="array" ref="H357">_xlfn.LET(_xlpm.s,IFERROR(--F357,""),_xlpm.e,IFERROR(--G357,""),IF(OR(_xlpm.s="",_xlpm.e="",_xlpm.e&lt;_xlpm.s),"",_xlfn.LET(_xlpm.p,_xlfn.SEQUENCE(_xlpm.e-_xlpm.s+1,1,_xlpm.s,1),SUM(1/COUNTIFS($D:$D,D357,$E:$E,E357,$F:$F,"&lt;&gt;N/A",$G:$G,"&lt;&gt;N/A",$F:$F,"&lt;="&amp;_xlpm.p,$G:$G,"&gt;="&amp;_xlpm.p)))))</f>
        <v>1</v>
      </c>
      <c r="I357" t="s">
        <v>208</v>
      </c>
      <c r="J357" s="5" t="s">
        <v>1776</v>
      </c>
      <c r="K357" s="5" t="s">
        <v>4883</v>
      </c>
      <c r="L357" s="5" t="s">
        <v>7501</v>
      </c>
      <c r="M357" t="s">
        <v>7822</v>
      </c>
      <c r="N357" s="5" t="s">
        <v>7831</v>
      </c>
      <c r="O357" s="5" t="s">
        <v>11522</v>
      </c>
      <c r="P357" s="5" t="s">
        <v>8019</v>
      </c>
      <c r="R357" s="1" t="b">
        <v>1</v>
      </c>
    </row>
    <row r="358" spans="1:18">
      <c r="A358" t="s">
        <v>3023</v>
      </c>
      <c r="B358" t="s">
        <v>11035</v>
      </c>
      <c r="C358" s="5" t="s">
        <v>7778</v>
      </c>
      <c r="D358" s="1">
        <v>4</v>
      </c>
      <c r="E358" s="1">
        <v>2</v>
      </c>
      <c r="F358" s="1">
        <v>78</v>
      </c>
      <c r="G358" s="1">
        <v>79</v>
      </c>
      <c r="H358" s="13" cm="1">
        <f t="array" ref="H358">_xlfn.LET(_xlpm.s,IFERROR(--F358,""),_xlpm.e,IFERROR(--G358,""),IF(OR(_xlpm.s="",_xlpm.e="",_xlpm.e&lt;_xlpm.s),"",_xlfn.LET(_xlpm.p,_xlfn.SEQUENCE(_xlpm.e-_xlpm.s+1,1,_xlpm.s,1),SUM(1/COUNTIFS($D:$D,D358,$E:$E,E358,$F:$F,"&lt;&gt;N/A",$G:$G,"&lt;&gt;N/A",$F:$F,"&lt;="&amp;_xlpm.p,$G:$G,"&gt;="&amp;_xlpm.p)))))</f>
        <v>1</v>
      </c>
      <c r="I358" t="s">
        <v>208</v>
      </c>
      <c r="J358" s="5" t="s">
        <v>1777</v>
      </c>
      <c r="K358" s="5" t="s">
        <v>4884</v>
      </c>
      <c r="L358" s="5" t="s">
        <v>4885</v>
      </c>
      <c r="M358" t="s">
        <v>7468</v>
      </c>
      <c r="N358" s="5" t="s">
        <v>7510</v>
      </c>
      <c r="O358" s="5" t="s">
        <v>5072</v>
      </c>
      <c r="P358" s="5" t="s">
        <v>8021</v>
      </c>
      <c r="R358" s="1" t="b">
        <v>1</v>
      </c>
    </row>
    <row r="359" spans="1:18">
      <c r="A359" t="s">
        <v>3023</v>
      </c>
      <c r="B359" t="s">
        <v>11036</v>
      </c>
      <c r="C359" s="5" t="s">
        <v>7778</v>
      </c>
      <c r="D359" s="1">
        <v>4</v>
      </c>
      <c r="E359" s="1">
        <v>2</v>
      </c>
      <c r="F359" s="1">
        <v>79</v>
      </c>
      <c r="G359" s="1">
        <v>80</v>
      </c>
      <c r="H359" s="13" cm="1">
        <f t="array" ref="H359">_xlfn.LET(_xlpm.s,IFERROR(--F359,""),_xlpm.e,IFERROR(--G359,""),IF(OR(_xlpm.s="",_xlpm.e="",_xlpm.e&lt;_xlpm.s),"",_xlfn.LET(_xlpm.p,_xlfn.SEQUENCE(_xlpm.e-_xlpm.s+1,1,_xlpm.s,1),SUM(1/COUNTIFS($D:$D,D359,$E:$E,E359,$F:$F,"&lt;&gt;N/A",$G:$G,"&lt;&gt;N/A",$F:$F,"&lt;="&amp;_xlpm.p,$G:$G,"&gt;="&amp;_xlpm.p)))))</f>
        <v>0.83333333333333326</v>
      </c>
      <c r="I359" t="s">
        <v>208</v>
      </c>
      <c r="J359" s="5" t="s">
        <v>1778</v>
      </c>
      <c r="K359" s="5" t="s">
        <v>7</v>
      </c>
      <c r="L359" s="5" t="s">
        <v>7</v>
      </c>
      <c r="M359" s="5" t="s">
        <v>7</v>
      </c>
      <c r="N359" s="5" t="s">
        <v>7</v>
      </c>
      <c r="O359" t="s">
        <v>778</v>
      </c>
      <c r="P359" t="s">
        <v>7834</v>
      </c>
      <c r="R359" s="1" t="b">
        <v>1</v>
      </c>
    </row>
    <row r="360" spans="1:18">
      <c r="A360" t="s">
        <v>3023</v>
      </c>
      <c r="B360" t="s">
        <v>11037</v>
      </c>
      <c r="C360" s="5" t="s">
        <v>7778</v>
      </c>
      <c r="D360" s="1">
        <v>4</v>
      </c>
      <c r="E360" s="1">
        <v>2</v>
      </c>
      <c r="F360" s="1">
        <v>80</v>
      </c>
      <c r="G360" s="1">
        <v>80</v>
      </c>
      <c r="H360" s="13" cm="1">
        <f t="array" ref="H360">_xlfn.LET(_xlpm.s,IFERROR(--F360,""),_xlpm.e,IFERROR(--G360,""),IF(OR(_xlpm.s="",_xlpm.e="",_xlpm.e&lt;_xlpm.s),"",_xlfn.LET(_xlpm.p,_xlfn.SEQUENCE(_xlpm.e-_xlpm.s+1,1,_xlpm.s,1),SUM(1/COUNTIFS($D:$D,D360,$E:$E,E360,$F:$F,"&lt;&gt;N/A",$G:$G,"&lt;&gt;N/A",$F:$F,"&lt;="&amp;_xlpm.p,$G:$G,"&gt;="&amp;_xlpm.p)))))</f>
        <v>0.33333333333333331</v>
      </c>
      <c r="I360" t="s">
        <v>208</v>
      </c>
      <c r="J360" s="5" t="s">
        <v>1779</v>
      </c>
      <c r="K360" s="5" t="s">
        <v>7</v>
      </c>
      <c r="L360" s="5" t="s">
        <v>7</v>
      </c>
      <c r="M360" s="5" t="s">
        <v>7</v>
      </c>
      <c r="N360" s="5" t="s">
        <v>7</v>
      </c>
      <c r="O360" t="s">
        <v>778</v>
      </c>
      <c r="P360" t="s">
        <v>7834</v>
      </c>
      <c r="R360" s="1" t="b">
        <v>1</v>
      </c>
    </row>
    <row r="361" spans="1:18">
      <c r="A361" t="s">
        <v>3023</v>
      </c>
      <c r="B361" t="s">
        <v>11038</v>
      </c>
      <c r="C361" s="5" t="s">
        <v>7778</v>
      </c>
      <c r="D361" s="1">
        <v>4</v>
      </c>
      <c r="E361" s="1">
        <v>2</v>
      </c>
      <c r="F361" s="1">
        <v>80</v>
      </c>
      <c r="G361" s="1">
        <v>80</v>
      </c>
      <c r="H361" s="13" cm="1">
        <f t="array" ref="H361">_xlfn.LET(_xlpm.s,IFERROR(--F361,""),_xlpm.e,IFERROR(--G361,""),IF(OR(_xlpm.s="",_xlpm.e="",_xlpm.e&lt;_xlpm.s),"",_xlfn.LET(_xlpm.p,_xlfn.SEQUENCE(_xlpm.e-_xlpm.s+1,1,_xlpm.s,1),SUM(1/COUNTIFS($D:$D,D361,$E:$E,E361,$F:$F,"&lt;&gt;N/A",$G:$G,"&lt;&gt;N/A",$F:$F,"&lt;="&amp;_xlpm.p,$G:$G,"&gt;="&amp;_xlpm.p)))))</f>
        <v>0.33333333333333331</v>
      </c>
      <c r="I361" t="s">
        <v>208</v>
      </c>
      <c r="J361" s="5" t="s">
        <v>1780</v>
      </c>
      <c r="K361" s="5" t="s">
        <v>7</v>
      </c>
      <c r="L361" s="5" t="s">
        <v>7</v>
      </c>
      <c r="M361" s="5" t="s">
        <v>7</v>
      </c>
      <c r="N361" s="5" t="s">
        <v>7</v>
      </c>
      <c r="O361" t="s">
        <v>778</v>
      </c>
      <c r="P361" t="s">
        <v>7834</v>
      </c>
      <c r="R361" s="1" t="b">
        <v>1</v>
      </c>
    </row>
    <row r="362" spans="1:18">
      <c r="A362" t="s">
        <v>3023</v>
      </c>
      <c r="B362" t="s">
        <v>11039</v>
      </c>
      <c r="C362" s="5" t="s">
        <v>7786</v>
      </c>
      <c r="D362" s="1">
        <v>4</v>
      </c>
      <c r="E362" s="1">
        <v>3</v>
      </c>
      <c r="F362" s="1">
        <v>81</v>
      </c>
      <c r="G362" s="1">
        <v>82</v>
      </c>
      <c r="H362" s="13" cm="1">
        <f t="array" ref="H362">_xlfn.LET(_xlpm.s,IFERROR(--F362,""),_xlpm.e,IFERROR(--G362,""),IF(OR(_xlpm.s="",_xlpm.e="",_xlpm.e&lt;_xlpm.s),"",_xlfn.LET(_xlpm.p,_xlfn.SEQUENCE(_xlpm.e-_xlpm.s+1,1,_xlpm.s,1),SUM(1/COUNTIFS($D:$D,D362,$E:$E,E362,$F:$F,"&lt;&gt;N/A",$G:$G,"&lt;&gt;N/A",$F:$F,"&lt;="&amp;_xlpm.p,$G:$G,"&gt;="&amp;_xlpm.p)))))</f>
        <v>1.5</v>
      </c>
      <c r="I362" t="s">
        <v>1350</v>
      </c>
      <c r="J362" s="5" t="s">
        <v>1756</v>
      </c>
      <c r="K362" s="5" t="s">
        <v>7</v>
      </c>
      <c r="L362" s="5" t="s">
        <v>7</v>
      </c>
      <c r="M362" s="5" t="s">
        <v>7</v>
      </c>
      <c r="N362" s="5" t="s">
        <v>7</v>
      </c>
      <c r="O362" t="s">
        <v>778</v>
      </c>
      <c r="P362" t="s">
        <v>7834</v>
      </c>
      <c r="R362" s="1" t="b">
        <v>0</v>
      </c>
    </row>
    <row r="363" spans="1:18">
      <c r="A363" t="s">
        <v>3023</v>
      </c>
      <c r="B363" t="s">
        <v>11040</v>
      </c>
      <c r="C363" s="5" t="s">
        <v>7786</v>
      </c>
      <c r="D363" s="1">
        <v>4</v>
      </c>
      <c r="E363" s="1">
        <v>3</v>
      </c>
      <c r="F363" s="1">
        <v>82</v>
      </c>
      <c r="G363" s="1">
        <v>84</v>
      </c>
      <c r="H363" s="13" cm="1">
        <f t="array" ref="H363">_xlfn.LET(_xlpm.s,IFERROR(--F363,""),_xlpm.e,IFERROR(--G363,""),IF(OR(_xlpm.s="",_xlpm.e="",_xlpm.e&lt;_xlpm.s),"",_xlfn.LET(_xlpm.p,_xlfn.SEQUENCE(_xlpm.e-_xlpm.s+1,1,_xlpm.s,1),SUM(1/COUNTIFS($D:$D,D363,$E:$E,E363,$F:$F,"&lt;&gt;N/A",$G:$G,"&lt;&gt;N/A",$F:$F,"&lt;="&amp;_xlpm.p,$G:$G,"&gt;="&amp;_xlpm.p)))))</f>
        <v>2</v>
      </c>
      <c r="I363" t="s">
        <v>1350</v>
      </c>
      <c r="J363" s="5" t="s">
        <v>1757</v>
      </c>
      <c r="K363" s="5" t="s">
        <v>7</v>
      </c>
      <c r="L363" s="5" t="s">
        <v>7</v>
      </c>
      <c r="M363" s="5" t="s">
        <v>7</v>
      </c>
      <c r="N363" s="5" t="s">
        <v>7</v>
      </c>
      <c r="O363" t="s">
        <v>778</v>
      </c>
      <c r="P363" t="s">
        <v>7834</v>
      </c>
      <c r="R363" s="1" t="b">
        <v>0</v>
      </c>
    </row>
    <row r="364" spans="1:18">
      <c r="A364" t="s">
        <v>3023</v>
      </c>
      <c r="B364" t="s">
        <v>11041</v>
      </c>
      <c r="C364" s="5" t="s">
        <v>7786</v>
      </c>
      <c r="D364" s="1">
        <v>4</v>
      </c>
      <c r="E364" s="1">
        <v>3</v>
      </c>
      <c r="F364" s="1">
        <v>84</v>
      </c>
      <c r="G364" s="1">
        <v>85</v>
      </c>
      <c r="H364" s="13" cm="1">
        <f t="array" ref="H364">_xlfn.LET(_xlpm.s,IFERROR(--F364,""),_xlpm.e,IFERROR(--G364,""),IF(OR(_xlpm.s="",_xlpm.e="",_xlpm.e&lt;_xlpm.s),"",_xlfn.LET(_xlpm.p,_xlfn.SEQUENCE(_xlpm.e-_xlpm.s+1,1,_xlpm.s,1),SUM(1/COUNTIFS($D:$D,D364,$E:$E,E364,$F:$F,"&lt;&gt;N/A",$G:$G,"&lt;&gt;N/A",$F:$F,"&lt;="&amp;_xlpm.p,$G:$G,"&gt;="&amp;_xlpm.p)))))</f>
        <v>1</v>
      </c>
      <c r="I364" t="s">
        <v>1350</v>
      </c>
      <c r="J364" s="5" t="s">
        <v>1758</v>
      </c>
      <c r="K364" s="5" t="s">
        <v>7</v>
      </c>
      <c r="L364" s="5" t="s">
        <v>7</v>
      </c>
      <c r="M364" s="5" t="s">
        <v>7</v>
      </c>
      <c r="N364" s="5" t="s">
        <v>7</v>
      </c>
      <c r="O364" t="s">
        <v>778</v>
      </c>
      <c r="P364" t="s">
        <v>7834</v>
      </c>
      <c r="R364" s="1" t="b">
        <v>0</v>
      </c>
    </row>
    <row r="365" spans="1:18">
      <c r="A365" t="s">
        <v>3023</v>
      </c>
      <c r="B365" t="s">
        <v>11042</v>
      </c>
      <c r="C365" s="5" t="s">
        <v>7786</v>
      </c>
      <c r="D365" s="1">
        <v>4</v>
      </c>
      <c r="E365" s="1">
        <v>3</v>
      </c>
      <c r="F365" s="1">
        <v>85</v>
      </c>
      <c r="G365" s="1">
        <v>86</v>
      </c>
      <c r="H365" s="13" cm="1">
        <f t="array" ref="H365">_xlfn.LET(_xlpm.s,IFERROR(--F365,""),_xlpm.e,IFERROR(--G365,""),IF(OR(_xlpm.s="",_xlpm.e="",_xlpm.e&lt;_xlpm.s),"",_xlfn.LET(_xlpm.p,_xlfn.SEQUENCE(_xlpm.e-_xlpm.s+1,1,_xlpm.s,1),SUM(1/COUNTIFS($D:$D,D365,$E:$E,E365,$F:$F,"&lt;&gt;N/A",$G:$G,"&lt;&gt;N/A",$F:$F,"&lt;="&amp;_xlpm.p,$G:$G,"&gt;="&amp;_xlpm.p)))))</f>
        <v>1</v>
      </c>
      <c r="I365" t="s">
        <v>1350</v>
      </c>
      <c r="J365" s="5" t="s">
        <v>1759</v>
      </c>
      <c r="K365" s="5" t="s">
        <v>7</v>
      </c>
      <c r="L365" s="5" t="s">
        <v>7</v>
      </c>
      <c r="M365" s="5" t="s">
        <v>7</v>
      </c>
      <c r="N365" s="5" t="s">
        <v>7</v>
      </c>
      <c r="O365" t="s">
        <v>778</v>
      </c>
      <c r="P365" t="s">
        <v>7834</v>
      </c>
      <c r="R365" s="1" t="b">
        <v>0</v>
      </c>
    </row>
    <row r="366" spans="1:18">
      <c r="A366" t="s">
        <v>3023</v>
      </c>
      <c r="B366" t="s">
        <v>11043</v>
      </c>
      <c r="C366" s="5" t="s">
        <v>7786</v>
      </c>
      <c r="D366" s="1">
        <v>4</v>
      </c>
      <c r="E366" s="1">
        <v>3</v>
      </c>
      <c r="F366" s="1">
        <v>86</v>
      </c>
      <c r="G366" s="1">
        <v>87</v>
      </c>
      <c r="H366" s="13" cm="1">
        <f t="array" ref="H366">_xlfn.LET(_xlpm.s,IFERROR(--F366,""),_xlpm.e,IFERROR(--G366,""),IF(OR(_xlpm.s="",_xlpm.e="",_xlpm.e&lt;_xlpm.s),"",_xlfn.LET(_xlpm.p,_xlfn.SEQUENCE(_xlpm.e-_xlpm.s+1,1,_xlpm.s,1),SUM(1/COUNTIFS($D:$D,D366,$E:$E,E366,$F:$F,"&lt;&gt;N/A",$G:$G,"&lt;&gt;N/A",$F:$F,"&lt;="&amp;_xlpm.p,$G:$G,"&gt;="&amp;_xlpm.p)))))</f>
        <v>1</v>
      </c>
      <c r="I366" t="s">
        <v>1350</v>
      </c>
      <c r="J366" s="5" t="s">
        <v>1760</v>
      </c>
      <c r="K366" s="5" t="s">
        <v>7</v>
      </c>
      <c r="L366" s="5" t="s">
        <v>7</v>
      </c>
      <c r="M366" s="5" t="s">
        <v>7</v>
      </c>
      <c r="N366" s="5" t="s">
        <v>7</v>
      </c>
      <c r="O366" t="s">
        <v>778</v>
      </c>
      <c r="P366" t="s">
        <v>7834</v>
      </c>
      <c r="R366" s="1" t="b">
        <v>0</v>
      </c>
    </row>
    <row r="367" spans="1:18">
      <c r="A367" t="s">
        <v>3023</v>
      </c>
      <c r="B367" t="s">
        <v>11044</v>
      </c>
      <c r="C367" s="5" t="s">
        <v>7786</v>
      </c>
      <c r="D367" s="1">
        <v>4</v>
      </c>
      <c r="E367" s="1">
        <v>3</v>
      </c>
      <c r="F367" s="1">
        <v>87</v>
      </c>
      <c r="G367" s="1">
        <v>97</v>
      </c>
      <c r="H367" s="13" cm="1">
        <f t="array" ref="H367">_xlfn.LET(_xlpm.s,IFERROR(--F367,""),_xlpm.e,IFERROR(--G367,""),IF(OR(_xlpm.s="",_xlpm.e="",_xlpm.e&lt;_xlpm.s),"",_xlfn.LET(_xlpm.p,_xlfn.SEQUENCE(_xlpm.e-_xlpm.s+1,1,_xlpm.s,1),SUM(1/COUNTIFS($D:$D,D367,$E:$E,E367,$F:$F,"&lt;&gt;N/A",$G:$G,"&lt;&gt;N/A",$F:$F,"&lt;="&amp;_xlpm.p,$G:$G,"&gt;="&amp;_xlpm.p)))))</f>
        <v>10</v>
      </c>
      <c r="I367" t="s">
        <v>1350</v>
      </c>
      <c r="J367" s="5" t="s">
        <v>1761</v>
      </c>
      <c r="K367" s="5" t="s">
        <v>1614</v>
      </c>
      <c r="L367" s="5" t="s">
        <v>7</v>
      </c>
      <c r="M367" s="5" t="s">
        <v>7</v>
      </c>
      <c r="N367" s="5" t="s">
        <v>7</v>
      </c>
      <c r="O367" t="s">
        <v>778</v>
      </c>
      <c r="P367" t="s">
        <v>7834</v>
      </c>
      <c r="R367" s="1" t="b">
        <v>1</v>
      </c>
    </row>
    <row r="368" spans="1:18">
      <c r="A368" t="s">
        <v>3023</v>
      </c>
      <c r="B368" t="s">
        <v>11045</v>
      </c>
      <c r="C368" s="5" t="s">
        <v>7786</v>
      </c>
      <c r="D368" s="1">
        <v>4</v>
      </c>
      <c r="E368" s="1">
        <v>3</v>
      </c>
      <c r="F368" s="1">
        <v>97</v>
      </c>
      <c r="G368" s="1">
        <v>110</v>
      </c>
      <c r="H368" s="13" cm="1">
        <f t="array" ref="H368">_xlfn.LET(_xlpm.s,IFERROR(--F368,""),_xlpm.e,IFERROR(--G368,""),IF(OR(_xlpm.s="",_xlpm.e="",_xlpm.e&lt;_xlpm.s),"",_xlfn.LET(_xlpm.p,_xlfn.SEQUENCE(_xlpm.e-_xlpm.s+1,1,_xlpm.s,1),SUM(1/COUNTIFS($D:$D,D368,$E:$E,E368,$F:$F,"&lt;&gt;N/A",$G:$G,"&lt;&gt;N/A",$F:$F,"&lt;="&amp;_xlpm.p,$G:$G,"&gt;="&amp;_xlpm.p)))))</f>
        <v>13</v>
      </c>
      <c r="I368" t="s">
        <v>208</v>
      </c>
      <c r="J368" s="5" t="s">
        <v>1762</v>
      </c>
      <c r="K368" s="5" t="s">
        <v>1763</v>
      </c>
      <c r="L368" s="5" t="s">
        <v>7463</v>
      </c>
      <c r="M368" s="5" t="s">
        <v>7</v>
      </c>
      <c r="N368" s="5" t="s">
        <v>7</v>
      </c>
      <c r="O368" s="5" t="s">
        <v>10264</v>
      </c>
      <c r="P368" s="5" t="s">
        <v>8020</v>
      </c>
      <c r="R368" s="1" t="b">
        <v>1</v>
      </c>
    </row>
    <row r="369" spans="1:18">
      <c r="A369" t="s">
        <v>3023</v>
      </c>
      <c r="B369" t="s">
        <v>11046</v>
      </c>
      <c r="C369" s="5" t="s">
        <v>7786</v>
      </c>
      <c r="D369" s="1">
        <v>4</v>
      </c>
      <c r="E369" s="1">
        <v>3</v>
      </c>
      <c r="F369" s="1">
        <v>110</v>
      </c>
      <c r="G369" s="1">
        <v>113</v>
      </c>
      <c r="H369" s="13" cm="1">
        <f t="array" ref="H369">_xlfn.LET(_xlpm.s,IFERROR(--F369,""),_xlpm.e,IFERROR(--G369,""),IF(OR(_xlpm.s="",_xlpm.e="",_xlpm.e&lt;_xlpm.s),"",_xlfn.LET(_xlpm.p,_xlfn.SEQUENCE(_xlpm.e-_xlpm.s+1,1,_xlpm.s,1),SUM(1/COUNTIFS($D:$D,D369,$E:$E,E369,$F:$F,"&lt;&gt;N/A",$G:$G,"&lt;&gt;N/A",$F:$F,"&lt;="&amp;_xlpm.p,$G:$G,"&gt;="&amp;_xlpm.p)))))</f>
        <v>2.8333333333333335</v>
      </c>
      <c r="I369" t="s">
        <v>208</v>
      </c>
      <c r="J369" s="5" t="s">
        <v>1764</v>
      </c>
      <c r="K369" s="5" t="s">
        <v>7</v>
      </c>
      <c r="L369" s="5" t="s">
        <v>4886</v>
      </c>
      <c r="M369" s="5" t="s">
        <v>7509</v>
      </c>
      <c r="N369" t="s">
        <v>10130</v>
      </c>
      <c r="O369" s="5" t="s">
        <v>5072</v>
      </c>
      <c r="P369" s="5" t="s">
        <v>8021</v>
      </c>
      <c r="R369" s="1" t="b">
        <v>1</v>
      </c>
    </row>
    <row r="370" spans="1:18">
      <c r="A370" t="s">
        <v>3023</v>
      </c>
      <c r="B370" t="s">
        <v>11047</v>
      </c>
      <c r="C370" s="5" t="s">
        <v>7786</v>
      </c>
      <c r="D370" s="1">
        <v>4</v>
      </c>
      <c r="E370" s="1">
        <v>3</v>
      </c>
      <c r="F370" s="1">
        <v>113</v>
      </c>
      <c r="G370" s="1">
        <v>113</v>
      </c>
      <c r="H370" s="13" cm="1">
        <f t="array" ref="H370">_xlfn.LET(_xlpm.s,IFERROR(--F370,""),_xlpm.e,IFERROR(--G370,""),IF(OR(_xlpm.s="",_xlpm.e="",_xlpm.e&lt;_xlpm.s),"",_xlfn.LET(_xlpm.p,_xlfn.SEQUENCE(_xlpm.e-_xlpm.s+1,1,_xlpm.s,1),SUM(1/COUNTIFS($D:$D,D370,$E:$E,E370,$F:$F,"&lt;&gt;N/A",$G:$G,"&lt;&gt;N/A",$F:$F,"&lt;="&amp;_xlpm.p,$G:$G,"&gt;="&amp;_xlpm.p)))))</f>
        <v>0.33333333333333331</v>
      </c>
      <c r="I370" t="s">
        <v>208</v>
      </c>
      <c r="J370" s="5" t="s">
        <v>7618</v>
      </c>
      <c r="K370" s="5" t="s">
        <v>7</v>
      </c>
      <c r="L370" s="5" t="s">
        <v>4887</v>
      </c>
      <c r="M370" t="s">
        <v>6961</v>
      </c>
      <c r="N370" s="5" t="s">
        <v>7619</v>
      </c>
      <c r="O370" s="5" t="s">
        <v>5072</v>
      </c>
      <c r="P370" s="5" t="s">
        <v>8021</v>
      </c>
      <c r="R370" s="1" t="b">
        <v>1</v>
      </c>
    </row>
    <row r="371" spans="1:18">
      <c r="A371" t="s">
        <v>3023</v>
      </c>
      <c r="B371" t="s">
        <v>11048</v>
      </c>
      <c r="C371" s="5" t="s">
        <v>7786</v>
      </c>
      <c r="D371" s="1">
        <v>4</v>
      </c>
      <c r="E371" s="1">
        <v>3</v>
      </c>
      <c r="F371" s="1">
        <v>113</v>
      </c>
      <c r="G371" s="1">
        <v>117</v>
      </c>
      <c r="H371" s="13" cm="1">
        <f t="array" ref="H371">_xlfn.LET(_xlpm.s,IFERROR(--F371,""),_xlpm.e,IFERROR(--G371,""),IF(OR(_xlpm.s="",_xlpm.e="",_xlpm.e&lt;_xlpm.s),"",_xlfn.LET(_xlpm.p,_xlfn.SEQUENCE(_xlpm.e-_xlpm.s+1,1,_xlpm.s,1),SUM(1/COUNTIFS($D:$D,D371,$E:$E,E371,$F:$F,"&lt;&gt;N/A",$G:$G,"&lt;&gt;N/A",$F:$F,"&lt;="&amp;_xlpm.p,$G:$G,"&gt;="&amp;_xlpm.p)))))</f>
        <v>3.833333333333333</v>
      </c>
      <c r="I371" t="s">
        <v>208</v>
      </c>
      <c r="J371" s="5" t="s">
        <v>1765</v>
      </c>
      <c r="K371" s="5" t="s">
        <v>7</v>
      </c>
      <c r="L371" s="5" t="s">
        <v>4888</v>
      </c>
      <c r="M371" s="5" t="s">
        <v>7</v>
      </c>
      <c r="N371" s="5" t="s">
        <v>7</v>
      </c>
      <c r="O371" s="5" t="s">
        <v>10264</v>
      </c>
      <c r="P371" s="5" t="s">
        <v>8020</v>
      </c>
      <c r="R371" s="1" t="b">
        <v>1</v>
      </c>
    </row>
    <row r="372" spans="1:18">
      <c r="A372" t="s">
        <v>3023</v>
      </c>
      <c r="B372" t="s">
        <v>11049</v>
      </c>
      <c r="C372" s="5" t="s">
        <v>7786</v>
      </c>
      <c r="D372" s="1">
        <v>4</v>
      </c>
      <c r="E372" s="1">
        <v>3</v>
      </c>
      <c r="F372" s="1">
        <v>117</v>
      </c>
      <c r="G372" s="1">
        <v>119</v>
      </c>
      <c r="H372" s="13" cm="1">
        <f t="array" ref="H372">_xlfn.LET(_xlpm.s,IFERROR(--F372,""),_xlpm.e,IFERROR(--G372,""),IF(OR(_xlpm.s="",_xlpm.e="",_xlpm.e&lt;_xlpm.s),"",_xlfn.LET(_xlpm.p,_xlfn.SEQUENCE(_xlpm.e-_xlpm.s+1,1,_xlpm.s,1),SUM(1/COUNTIFS($D:$D,D372,$E:$E,E372,$F:$F,"&lt;&gt;N/A",$G:$G,"&lt;&gt;N/A",$F:$F,"&lt;="&amp;_xlpm.p,$G:$G,"&gt;="&amp;_xlpm.p)))))</f>
        <v>2</v>
      </c>
      <c r="I372" t="s">
        <v>208</v>
      </c>
      <c r="J372" s="5" t="s">
        <v>1766</v>
      </c>
      <c r="K372" s="5" t="s">
        <v>4889</v>
      </c>
      <c r="L372" s="5" t="s">
        <v>7502</v>
      </c>
      <c r="M372" s="5" t="s">
        <v>6942</v>
      </c>
      <c r="N372" s="5" t="s">
        <v>7503</v>
      </c>
      <c r="O372" s="5" t="s">
        <v>11522</v>
      </c>
      <c r="P372" s="5" t="s">
        <v>8021</v>
      </c>
      <c r="R372" s="1" t="b">
        <v>1</v>
      </c>
    </row>
    <row r="373" spans="1:18">
      <c r="A373" t="s">
        <v>3023</v>
      </c>
      <c r="B373" t="s">
        <v>11050</v>
      </c>
      <c r="C373" s="5" t="s">
        <v>7786</v>
      </c>
      <c r="D373" s="1">
        <v>4</v>
      </c>
      <c r="E373" s="1">
        <v>3</v>
      </c>
      <c r="F373" s="1">
        <v>119</v>
      </c>
      <c r="G373" s="1">
        <v>120</v>
      </c>
      <c r="H373" s="13" cm="1">
        <f t="array" ref="H373">_xlfn.LET(_xlpm.s,IFERROR(--F373,""),_xlpm.e,IFERROR(--G373,""),IF(OR(_xlpm.s="",_xlpm.e="",_xlpm.e&lt;_xlpm.s),"",_xlfn.LET(_xlpm.p,_xlfn.SEQUENCE(_xlpm.e-_xlpm.s+1,1,_xlpm.s,1),SUM(1/COUNTIFS($D:$D,D373,$E:$E,E373,$F:$F,"&lt;&gt;N/A",$G:$G,"&lt;&gt;N/A",$F:$F,"&lt;="&amp;_xlpm.p,$G:$G,"&gt;="&amp;_xlpm.p)))))</f>
        <v>1</v>
      </c>
      <c r="I373" t="s">
        <v>208</v>
      </c>
      <c r="J373" s="5" t="s">
        <v>1767</v>
      </c>
      <c r="K373" s="5" t="s">
        <v>7</v>
      </c>
      <c r="L373" s="5" t="s">
        <v>7</v>
      </c>
      <c r="M373" t="s">
        <v>6942</v>
      </c>
      <c r="N373" t="s">
        <v>10131</v>
      </c>
      <c r="O373" s="5" t="s">
        <v>11522</v>
      </c>
      <c r="P373" s="5" t="s">
        <v>8021</v>
      </c>
      <c r="R373" s="1" t="b">
        <v>1</v>
      </c>
    </row>
    <row r="374" spans="1:18">
      <c r="A374" t="s">
        <v>3023</v>
      </c>
      <c r="B374" t="s">
        <v>11051</v>
      </c>
      <c r="C374" s="5" t="s">
        <v>7786</v>
      </c>
      <c r="D374" s="1">
        <v>4</v>
      </c>
      <c r="E374" s="1">
        <v>3</v>
      </c>
      <c r="F374" s="1">
        <v>120</v>
      </c>
      <c r="G374" s="1">
        <v>120</v>
      </c>
      <c r="H374" s="13" cm="1">
        <f t="array" ref="H374">_xlfn.LET(_xlpm.s,IFERROR(--F374,""),_xlpm.e,IFERROR(--G374,""),IF(OR(_xlpm.s="",_xlpm.e="",_xlpm.e&lt;_xlpm.s),"",_xlfn.LET(_xlpm.p,_xlfn.SEQUENCE(_xlpm.e-_xlpm.s+1,1,_xlpm.s,1),SUM(1/COUNTIFS($D:$D,D374,$E:$E,E374,$F:$F,"&lt;&gt;N/A",$G:$G,"&lt;&gt;N/A",$F:$F,"&lt;="&amp;_xlpm.p,$G:$G,"&gt;="&amp;_xlpm.p)))))</f>
        <v>0.5</v>
      </c>
      <c r="I374" t="s">
        <v>208</v>
      </c>
      <c r="J374" s="5" t="s">
        <v>1768</v>
      </c>
      <c r="K374" s="5" t="s">
        <v>7</v>
      </c>
      <c r="L374" s="5" t="s">
        <v>7</v>
      </c>
      <c r="M374" t="s">
        <v>6942</v>
      </c>
      <c r="N374" t="s">
        <v>10132</v>
      </c>
      <c r="O374" s="5" t="s">
        <v>11522</v>
      </c>
      <c r="P374" s="5" t="s">
        <v>8021</v>
      </c>
      <c r="R374" s="1" t="b">
        <v>1</v>
      </c>
    </row>
    <row r="375" spans="1:18">
      <c r="A375" t="s">
        <v>3023</v>
      </c>
      <c r="B375" t="s">
        <v>11052</v>
      </c>
      <c r="C375" s="5" t="s">
        <v>7794</v>
      </c>
      <c r="D375" s="1">
        <v>4</v>
      </c>
      <c r="E375" s="1">
        <v>4</v>
      </c>
      <c r="F375" s="1">
        <v>121</v>
      </c>
      <c r="G375" s="1">
        <v>122</v>
      </c>
      <c r="H375" s="13" cm="1">
        <f t="array" ref="H375">_xlfn.LET(_xlpm.s,IFERROR(--F375,""),_xlpm.e,IFERROR(--G375,""),IF(OR(_xlpm.s="",_xlpm.e="",_xlpm.e&lt;_xlpm.s),"",_xlfn.LET(_xlpm.p,_xlfn.SEQUENCE(_xlpm.e-_xlpm.s+1,1,_xlpm.s,1),SUM(1/COUNTIFS($D:$D,D375,$E:$E,E375,$F:$F,"&lt;&gt;N/A",$G:$G,"&lt;&gt;N/A",$F:$F,"&lt;="&amp;_xlpm.p,$G:$G,"&gt;="&amp;_xlpm.p)))))</f>
        <v>1.5</v>
      </c>
      <c r="I375" t="s">
        <v>1350</v>
      </c>
      <c r="J375" s="5" t="s">
        <v>1747</v>
      </c>
      <c r="K375" s="5" t="s">
        <v>7</v>
      </c>
      <c r="L375" s="5" t="s">
        <v>7</v>
      </c>
      <c r="M375" s="5" t="s">
        <v>7</v>
      </c>
      <c r="N375" s="5" t="s">
        <v>7</v>
      </c>
      <c r="O375" t="s">
        <v>778</v>
      </c>
      <c r="P375" t="s">
        <v>7834</v>
      </c>
      <c r="R375" s="1" t="b">
        <v>0</v>
      </c>
    </row>
    <row r="376" spans="1:18">
      <c r="A376" t="s">
        <v>3023</v>
      </c>
      <c r="B376" t="s">
        <v>11053</v>
      </c>
      <c r="C376" s="5" t="s">
        <v>7794</v>
      </c>
      <c r="D376" s="1">
        <v>4</v>
      </c>
      <c r="E376" s="1">
        <v>4</v>
      </c>
      <c r="F376" s="1">
        <v>122</v>
      </c>
      <c r="G376" s="1">
        <v>124</v>
      </c>
      <c r="H376" s="13" cm="1">
        <f t="array" ref="H376">_xlfn.LET(_xlpm.s,IFERROR(--F376,""),_xlpm.e,IFERROR(--G376,""),IF(OR(_xlpm.s="",_xlpm.e="",_xlpm.e&lt;_xlpm.s),"",_xlfn.LET(_xlpm.p,_xlfn.SEQUENCE(_xlpm.e-_xlpm.s+1,1,_xlpm.s,1),SUM(1/COUNTIFS($D:$D,D376,$E:$E,E376,$F:$F,"&lt;&gt;N/A",$G:$G,"&lt;&gt;N/A",$F:$F,"&lt;="&amp;_xlpm.p,$G:$G,"&gt;="&amp;_xlpm.p)))))</f>
        <v>2</v>
      </c>
      <c r="I376" t="s">
        <v>1350</v>
      </c>
      <c r="J376" s="5" t="s">
        <v>1748</v>
      </c>
      <c r="K376" s="5" t="s">
        <v>7</v>
      </c>
      <c r="L376" s="5" t="s">
        <v>7</v>
      </c>
      <c r="M376" s="5" t="s">
        <v>7</v>
      </c>
      <c r="N376" s="5" t="s">
        <v>7</v>
      </c>
      <c r="O376" t="s">
        <v>778</v>
      </c>
      <c r="P376" t="s">
        <v>7834</v>
      </c>
      <c r="R376" s="1" t="b">
        <v>0</v>
      </c>
    </row>
    <row r="377" spans="1:18">
      <c r="A377" t="s">
        <v>3023</v>
      </c>
      <c r="B377" t="s">
        <v>11054</v>
      </c>
      <c r="C377" s="5" t="s">
        <v>7794</v>
      </c>
      <c r="D377" s="1">
        <v>4</v>
      </c>
      <c r="E377" s="1">
        <v>4</v>
      </c>
      <c r="F377" s="1">
        <v>124</v>
      </c>
      <c r="G377" s="1">
        <v>127</v>
      </c>
      <c r="H377" s="13" cm="1">
        <f t="array" ref="H377">_xlfn.LET(_xlpm.s,IFERROR(--F377,""),_xlpm.e,IFERROR(--G377,""),IF(OR(_xlpm.s="",_xlpm.e="",_xlpm.e&lt;_xlpm.s),"",_xlfn.LET(_xlpm.p,_xlfn.SEQUENCE(_xlpm.e-_xlpm.s+1,1,_xlpm.s,1),SUM(1/COUNTIFS($D:$D,D377,$E:$E,E377,$F:$F,"&lt;&gt;N/A",$G:$G,"&lt;&gt;N/A",$F:$F,"&lt;="&amp;_xlpm.p,$G:$G,"&gt;="&amp;_xlpm.p)))))</f>
        <v>3</v>
      </c>
      <c r="I377" t="s">
        <v>1350</v>
      </c>
      <c r="J377" s="5" t="s">
        <v>1749</v>
      </c>
      <c r="K377" s="5" t="s">
        <v>11509</v>
      </c>
      <c r="L377" s="5" t="s">
        <v>7</v>
      </c>
      <c r="M377" s="5" t="s">
        <v>7</v>
      </c>
      <c r="N377" s="5" t="s">
        <v>7</v>
      </c>
      <c r="O377" t="s">
        <v>778</v>
      </c>
      <c r="P377" t="s">
        <v>7834</v>
      </c>
      <c r="R377" s="1" t="b">
        <v>1</v>
      </c>
    </row>
    <row r="378" spans="1:18">
      <c r="A378" t="s">
        <v>3023</v>
      </c>
      <c r="B378" t="s">
        <v>11055</v>
      </c>
      <c r="C378" s="5" t="s">
        <v>7794</v>
      </c>
      <c r="D378" s="1">
        <v>4</v>
      </c>
      <c r="E378" s="1">
        <v>4</v>
      </c>
      <c r="F378" s="1">
        <v>127</v>
      </c>
      <c r="G378" s="1">
        <v>143</v>
      </c>
      <c r="H378" s="13" cm="1">
        <f t="array" ref="H378">_xlfn.LET(_xlpm.s,IFERROR(--F378,""),_xlpm.e,IFERROR(--G378,""),IF(OR(_xlpm.s="",_xlpm.e="",_xlpm.e&lt;_xlpm.s),"",_xlfn.LET(_xlpm.p,_xlfn.SEQUENCE(_xlpm.e-_xlpm.s+1,1,_xlpm.s,1),SUM(1/COUNTIFS($D:$D,D378,$E:$E,E378,$F:$F,"&lt;&gt;N/A",$G:$G,"&lt;&gt;N/A",$F:$F,"&lt;="&amp;_xlpm.p,$G:$G,"&gt;="&amp;_xlpm.p)))))</f>
        <v>16</v>
      </c>
      <c r="I378" t="s">
        <v>1350</v>
      </c>
      <c r="J378" s="5" t="s">
        <v>1750</v>
      </c>
      <c r="K378" s="5" t="s">
        <v>11509</v>
      </c>
      <c r="L378" s="5" t="s">
        <v>7</v>
      </c>
      <c r="M378" s="5" t="s">
        <v>7</v>
      </c>
      <c r="N378" s="5" t="s">
        <v>7</v>
      </c>
      <c r="O378" t="s">
        <v>778</v>
      </c>
      <c r="P378" t="s">
        <v>7834</v>
      </c>
      <c r="R378" s="1" t="b">
        <v>1</v>
      </c>
    </row>
    <row r="379" spans="1:18">
      <c r="A379" t="s">
        <v>3023</v>
      </c>
      <c r="B379" t="s">
        <v>11056</v>
      </c>
      <c r="C379" s="5" t="s">
        <v>7794</v>
      </c>
      <c r="D379" s="1">
        <v>4</v>
      </c>
      <c r="E379" s="1">
        <v>4</v>
      </c>
      <c r="F379" s="1">
        <v>143</v>
      </c>
      <c r="G379" s="1">
        <v>145</v>
      </c>
      <c r="H379" s="13" cm="1">
        <f t="array" ref="H379">_xlfn.LET(_xlpm.s,IFERROR(--F379,""),_xlpm.e,IFERROR(--G379,""),IF(OR(_xlpm.s="",_xlpm.e="",_xlpm.e&lt;_xlpm.s),"",_xlfn.LET(_xlpm.p,_xlfn.SEQUENCE(_xlpm.e-_xlpm.s+1,1,_xlpm.s,1),SUM(1/COUNTIFS($D:$D,D379,$E:$E,E379,$F:$F,"&lt;&gt;N/A",$G:$G,"&lt;&gt;N/A",$F:$F,"&lt;="&amp;_xlpm.p,$G:$G,"&gt;="&amp;_xlpm.p)))))</f>
        <v>2.5</v>
      </c>
      <c r="I379" t="s">
        <v>208</v>
      </c>
      <c r="J379" s="5" t="s">
        <v>1751</v>
      </c>
      <c r="K379" s="5" t="s">
        <v>4890</v>
      </c>
      <c r="L379" s="5" t="s">
        <v>7</v>
      </c>
      <c r="M379" s="5" t="s">
        <v>7</v>
      </c>
      <c r="N379" s="5" t="s">
        <v>7</v>
      </c>
      <c r="O379" t="s">
        <v>778</v>
      </c>
      <c r="P379" t="s">
        <v>7834</v>
      </c>
      <c r="R379" s="1" t="b">
        <v>1</v>
      </c>
    </row>
    <row r="380" spans="1:18">
      <c r="A380" t="s">
        <v>3023</v>
      </c>
      <c r="B380" t="s">
        <v>11057</v>
      </c>
      <c r="C380" s="5" t="s">
        <v>7794</v>
      </c>
      <c r="D380" s="1">
        <v>4</v>
      </c>
      <c r="E380" s="1">
        <v>4</v>
      </c>
      <c r="F380" s="1">
        <v>146</v>
      </c>
      <c r="G380" s="1">
        <v>147</v>
      </c>
      <c r="H380" s="13" cm="1">
        <f t="array" ref="H380">_xlfn.LET(_xlpm.s,IFERROR(--F380,""),_xlpm.e,IFERROR(--G380,""),IF(OR(_xlpm.s="",_xlpm.e="",_xlpm.e&lt;_xlpm.s),"",_xlfn.LET(_xlpm.p,_xlfn.SEQUENCE(_xlpm.e-_xlpm.s+1,1,_xlpm.s,1),SUM(1/COUNTIFS($D:$D,D380,$E:$E,E380,$F:$F,"&lt;&gt;N/A",$G:$G,"&lt;&gt;N/A",$F:$F,"&lt;="&amp;_xlpm.p,$G:$G,"&gt;="&amp;_xlpm.p)))))</f>
        <v>1.5</v>
      </c>
      <c r="I380" t="s">
        <v>208</v>
      </c>
      <c r="J380" s="5" t="s">
        <v>1752</v>
      </c>
      <c r="K380" s="5" t="s">
        <v>4891</v>
      </c>
      <c r="L380" s="5" t="s">
        <v>7</v>
      </c>
      <c r="M380" s="5" t="s">
        <v>7</v>
      </c>
      <c r="N380" s="5" t="s">
        <v>7</v>
      </c>
      <c r="O380" s="5" t="s">
        <v>10264</v>
      </c>
      <c r="P380" s="5" t="s">
        <v>8020</v>
      </c>
      <c r="Q380" t="s">
        <v>2078</v>
      </c>
      <c r="R380" s="1" t="b">
        <v>1</v>
      </c>
    </row>
    <row r="381" spans="1:18">
      <c r="A381" t="s">
        <v>3023</v>
      </c>
      <c r="B381" t="s">
        <v>11058</v>
      </c>
      <c r="C381" s="5" t="s">
        <v>7794</v>
      </c>
      <c r="D381" s="1">
        <v>4</v>
      </c>
      <c r="E381" s="1">
        <v>4</v>
      </c>
      <c r="F381" s="1">
        <v>147</v>
      </c>
      <c r="G381" s="1">
        <v>148</v>
      </c>
      <c r="H381" s="13" cm="1">
        <f t="array" ref="H381">_xlfn.LET(_xlpm.s,IFERROR(--F381,""),_xlpm.e,IFERROR(--G381,""),IF(OR(_xlpm.s="",_xlpm.e="",_xlpm.e&lt;_xlpm.s),"",_xlfn.LET(_xlpm.p,_xlfn.SEQUENCE(_xlpm.e-_xlpm.s+1,1,_xlpm.s,1),SUM(1/COUNTIFS($D:$D,D381,$E:$E,E381,$F:$F,"&lt;&gt;N/A",$G:$G,"&lt;&gt;N/A",$F:$F,"&lt;="&amp;_xlpm.p,$G:$G,"&gt;="&amp;_xlpm.p)))))</f>
        <v>1</v>
      </c>
      <c r="I381" t="s">
        <v>208</v>
      </c>
      <c r="J381" s="5" t="s">
        <v>1753</v>
      </c>
      <c r="K381" s="5" t="s">
        <v>7</v>
      </c>
      <c r="L381" s="5" t="s">
        <v>4892</v>
      </c>
      <c r="M381" s="5" t="s">
        <v>7</v>
      </c>
      <c r="N381" s="5" t="s">
        <v>7</v>
      </c>
      <c r="O381" s="5" t="s">
        <v>10264</v>
      </c>
      <c r="P381" s="5" t="s">
        <v>8020</v>
      </c>
      <c r="R381" s="1" t="b">
        <v>1</v>
      </c>
    </row>
    <row r="382" spans="1:18">
      <c r="A382" t="s">
        <v>3023</v>
      </c>
      <c r="B382" t="s">
        <v>11059</v>
      </c>
      <c r="C382" s="5" t="s">
        <v>7794</v>
      </c>
      <c r="D382" s="1">
        <v>4</v>
      </c>
      <c r="E382" s="1">
        <v>4</v>
      </c>
      <c r="F382" s="1">
        <v>148</v>
      </c>
      <c r="G382" s="1">
        <v>151</v>
      </c>
      <c r="H382" s="13" cm="1">
        <f t="array" ref="H382">_xlfn.LET(_xlpm.s,IFERROR(--F382,""),_xlpm.e,IFERROR(--G382,""),IF(OR(_xlpm.s="",_xlpm.e="",_xlpm.e&lt;_xlpm.s),"",_xlfn.LET(_xlpm.p,_xlfn.SEQUENCE(_xlpm.e-_xlpm.s+1,1,_xlpm.s,1),SUM(1/COUNTIFS($D:$D,D382,$E:$E,E382,$F:$F,"&lt;&gt;N/A",$G:$G,"&lt;&gt;N/A",$F:$F,"&lt;="&amp;_xlpm.p,$G:$G,"&gt;="&amp;_xlpm.p)))))</f>
        <v>3</v>
      </c>
      <c r="I382" t="s">
        <v>208</v>
      </c>
      <c r="J382" s="5" t="s">
        <v>1754</v>
      </c>
      <c r="K382" s="5" t="s">
        <v>7</v>
      </c>
      <c r="L382" s="5" t="s">
        <v>4893</v>
      </c>
      <c r="M382" t="s">
        <v>7482</v>
      </c>
      <c r="N382" s="5" t="s">
        <v>4434</v>
      </c>
      <c r="O382" t="s">
        <v>5072</v>
      </c>
      <c r="P382" t="s">
        <v>8021</v>
      </c>
      <c r="R382" s="1" t="b">
        <v>1</v>
      </c>
    </row>
    <row r="383" spans="1:18">
      <c r="A383" t="s">
        <v>3023</v>
      </c>
      <c r="B383" t="s">
        <v>11060</v>
      </c>
      <c r="C383" s="5" t="s">
        <v>7794</v>
      </c>
      <c r="D383" s="1">
        <v>4</v>
      </c>
      <c r="E383" s="1">
        <v>4</v>
      </c>
      <c r="F383" s="1">
        <v>151</v>
      </c>
      <c r="G383" s="1">
        <v>152</v>
      </c>
      <c r="H383" s="13" cm="1">
        <f t="array" ref="H383">_xlfn.LET(_xlpm.s,IFERROR(--F383,""),_xlpm.e,IFERROR(--G383,""),IF(OR(_xlpm.s="",_xlpm.e="",_xlpm.e&lt;_xlpm.s),"",_xlfn.LET(_xlpm.p,_xlfn.SEQUENCE(_xlpm.e-_xlpm.s+1,1,_xlpm.s,1),SUM(1/COUNTIFS($D:$D,D383,$E:$E,E383,$F:$F,"&lt;&gt;N/A",$G:$G,"&lt;&gt;N/A",$F:$F,"&lt;="&amp;_xlpm.p,$G:$G,"&gt;="&amp;_xlpm.p)))))</f>
        <v>1.5</v>
      </c>
      <c r="I383" t="s">
        <v>208</v>
      </c>
      <c r="J383" s="5" t="s">
        <v>1755</v>
      </c>
      <c r="K383" s="5" t="s">
        <v>4894</v>
      </c>
      <c r="L383" s="5" t="s">
        <v>4895</v>
      </c>
      <c r="M383" s="5" t="s">
        <v>7</v>
      </c>
      <c r="N383" s="5" t="s">
        <v>7</v>
      </c>
      <c r="O383" s="5" t="s">
        <v>10264</v>
      </c>
      <c r="P383" s="5" t="s">
        <v>8020</v>
      </c>
      <c r="R383" s="1" t="b">
        <v>1</v>
      </c>
    </row>
    <row r="384" spans="1:18">
      <c r="A384" t="s">
        <v>3023</v>
      </c>
      <c r="B384" t="s">
        <v>11061</v>
      </c>
      <c r="C384" s="5" t="s">
        <v>7801</v>
      </c>
      <c r="D384" s="1">
        <v>4</v>
      </c>
      <c r="E384" s="1">
        <v>5</v>
      </c>
      <c r="F384" s="1">
        <v>153</v>
      </c>
      <c r="G384" s="1">
        <v>155</v>
      </c>
      <c r="H384" s="13" cm="1">
        <f t="array" ref="H384">_xlfn.LET(_xlpm.s,IFERROR(--F384,""),_xlpm.e,IFERROR(--G384,""),IF(OR(_xlpm.s="",_xlpm.e="",_xlpm.e&lt;_xlpm.s),"",_xlfn.LET(_xlpm.p,_xlfn.SEQUENCE(_xlpm.e-_xlpm.s+1,1,_xlpm.s,1),SUM(1/COUNTIFS($D:$D,D384,$E:$E,E384,$F:$F,"&lt;&gt;N/A",$G:$G,"&lt;&gt;N/A",$F:$F,"&lt;="&amp;_xlpm.p,$G:$G,"&gt;="&amp;_xlpm.p)))))</f>
        <v>2.5</v>
      </c>
      <c r="I384" t="s">
        <v>1350</v>
      </c>
      <c r="J384" s="5" t="s">
        <v>11382</v>
      </c>
      <c r="K384" s="5" t="s">
        <v>7</v>
      </c>
      <c r="L384" s="5" t="s">
        <v>7</v>
      </c>
      <c r="M384" s="5" t="s">
        <v>7</v>
      </c>
      <c r="N384" s="5" t="s">
        <v>7</v>
      </c>
      <c r="O384" s="5" t="s">
        <v>778</v>
      </c>
      <c r="P384" s="5" t="s">
        <v>7834</v>
      </c>
      <c r="R384" s="1" t="b">
        <v>0</v>
      </c>
    </row>
    <row r="385" spans="1:18">
      <c r="A385" t="s">
        <v>3023</v>
      </c>
      <c r="B385" t="s">
        <v>11062</v>
      </c>
      <c r="C385" s="5" t="s">
        <v>7801</v>
      </c>
      <c r="D385" s="1">
        <v>4</v>
      </c>
      <c r="E385" s="1">
        <v>5</v>
      </c>
      <c r="F385" s="1">
        <v>155</v>
      </c>
      <c r="G385" s="1">
        <v>156</v>
      </c>
      <c r="H385" s="13" cm="1">
        <f t="array" ref="H385">_xlfn.LET(_xlpm.s,IFERROR(--F385,""),_xlpm.e,IFERROR(--G385,""),IF(OR(_xlpm.s="",_xlpm.e="",_xlpm.e&lt;_xlpm.s),"",_xlfn.LET(_xlpm.p,_xlfn.SEQUENCE(_xlpm.e-_xlpm.s+1,1,_xlpm.s,1),SUM(1/COUNTIFS($D:$D,D385,$E:$E,E385,$F:$F,"&lt;&gt;N/A",$G:$G,"&lt;&gt;N/A",$F:$F,"&lt;="&amp;_xlpm.p,$G:$G,"&gt;="&amp;_xlpm.p)))))</f>
        <v>1.5</v>
      </c>
      <c r="I385" t="s">
        <v>1350</v>
      </c>
      <c r="J385" s="5" t="s">
        <v>11383</v>
      </c>
      <c r="K385" s="5" t="s">
        <v>7</v>
      </c>
      <c r="L385" s="5" t="s">
        <v>7</v>
      </c>
      <c r="M385" s="5" t="s">
        <v>7</v>
      </c>
      <c r="N385" s="5" t="s">
        <v>7</v>
      </c>
      <c r="O385" s="5" t="s">
        <v>778</v>
      </c>
      <c r="P385" s="5" t="s">
        <v>7834</v>
      </c>
      <c r="R385" s="1" t="b">
        <v>0</v>
      </c>
    </row>
    <row r="386" spans="1:18">
      <c r="A386" t="s">
        <v>3023</v>
      </c>
      <c r="B386" t="s">
        <v>11063</v>
      </c>
      <c r="C386" s="5" t="s">
        <v>7801</v>
      </c>
      <c r="D386" s="1">
        <v>4</v>
      </c>
      <c r="E386" s="1">
        <v>5</v>
      </c>
      <c r="F386" s="1">
        <v>157</v>
      </c>
      <c r="G386" s="1">
        <v>158</v>
      </c>
      <c r="H386" s="13" cm="1">
        <f t="array" ref="H386">_xlfn.LET(_xlpm.s,IFERROR(--F386,""),_xlpm.e,IFERROR(--G386,""),IF(OR(_xlpm.s="",_xlpm.e="",_xlpm.e&lt;_xlpm.s),"",_xlfn.LET(_xlpm.p,_xlfn.SEQUENCE(_xlpm.e-_xlpm.s+1,1,_xlpm.s,1),SUM(1/COUNTIFS($D:$D,D386,$E:$E,E386,$F:$F,"&lt;&gt;N/A",$G:$G,"&lt;&gt;N/A",$F:$F,"&lt;="&amp;_xlpm.p,$G:$G,"&gt;="&amp;_xlpm.p)))))</f>
        <v>1</v>
      </c>
      <c r="I386" t="s">
        <v>1350</v>
      </c>
      <c r="J386" s="5" t="s">
        <v>11384</v>
      </c>
      <c r="K386" s="5" t="s">
        <v>847</v>
      </c>
      <c r="L386" s="5" t="s">
        <v>7</v>
      </c>
      <c r="M386" s="5" t="s">
        <v>7</v>
      </c>
      <c r="N386" s="5" t="s">
        <v>7</v>
      </c>
      <c r="O386" s="5" t="s">
        <v>778</v>
      </c>
      <c r="P386" s="5" t="s">
        <v>7834</v>
      </c>
      <c r="R386" s="1" t="b">
        <v>1</v>
      </c>
    </row>
    <row r="387" spans="1:18">
      <c r="A387" t="s">
        <v>3023</v>
      </c>
      <c r="B387" t="s">
        <v>11064</v>
      </c>
      <c r="C387" s="5" t="s">
        <v>7801</v>
      </c>
      <c r="D387" s="1">
        <v>4</v>
      </c>
      <c r="E387" s="1">
        <v>5</v>
      </c>
      <c r="F387" s="1">
        <v>157</v>
      </c>
      <c r="G387" s="1">
        <v>166</v>
      </c>
      <c r="H387" s="13" cm="1">
        <f t="array" ref="H387">_xlfn.LET(_xlpm.s,IFERROR(--F387,""),_xlpm.e,IFERROR(--G387,""),IF(OR(_xlpm.s="",_xlpm.e="",_xlpm.e&lt;_xlpm.s),"",_xlfn.LET(_xlpm.p,_xlfn.SEQUENCE(_xlpm.e-_xlpm.s+1,1,_xlpm.s,1),SUM(1/COUNTIFS($D:$D,D387,$E:$E,E387,$F:$F,"&lt;&gt;N/A",$G:$G,"&lt;&gt;N/A",$F:$F,"&lt;="&amp;_xlpm.p,$G:$G,"&gt;="&amp;_xlpm.p)))))</f>
        <v>8.5</v>
      </c>
      <c r="I387" t="s">
        <v>1350</v>
      </c>
      <c r="J387" s="5" t="s">
        <v>11385</v>
      </c>
      <c r="K387" s="5" t="s">
        <v>11386</v>
      </c>
      <c r="L387" s="5" t="s">
        <v>7</v>
      </c>
      <c r="M387" s="5" t="s">
        <v>7</v>
      </c>
      <c r="N387" s="5" t="s">
        <v>7</v>
      </c>
      <c r="O387" s="5" t="s">
        <v>778</v>
      </c>
      <c r="P387" s="5" t="s">
        <v>7834</v>
      </c>
      <c r="R387" s="1" t="b">
        <v>1</v>
      </c>
    </row>
    <row r="388" spans="1:18">
      <c r="A388" t="s">
        <v>3023</v>
      </c>
      <c r="B388" t="s">
        <v>11065</v>
      </c>
      <c r="C388" s="5" t="s">
        <v>7801</v>
      </c>
      <c r="D388" s="1">
        <v>4</v>
      </c>
      <c r="E388" s="1">
        <v>5</v>
      </c>
      <c r="F388" s="1">
        <v>166</v>
      </c>
      <c r="G388" s="1">
        <v>188</v>
      </c>
      <c r="H388" s="13" cm="1">
        <f t="array" ref="H388">_xlfn.LET(_xlpm.s,IFERROR(--F388,""),_xlpm.e,IFERROR(--G388,""),IF(OR(_xlpm.s="",_xlpm.e="",_xlpm.e&lt;_xlpm.s),"",_xlfn.LET(_xlpm.p,_xlfn.SEQUENCE(_xlpm.e-_xlpm.s+1,1,_xlpm.s,1),SUM(1/COUNTIFS($D:$D,D388,$E:$E,E388,$F:$F,"&lt;&gt;N/A",$G:$G,"&lt;&gt;N/A",$F:$F,"&lt;="&amp;_xlpm.p,$G:$G,"&gt;="&amp;_xlpm.p)))))</f>
        <v>22.5</v>
      </c>
      <c r="I388" t="s">
        <v>1350</v>
      </c>
      <c r="J388" t="s">
        <v>11387</v>
      </c>
      <c r="K388" s="5" t="s">
        <v>1280</v>
      </c>
      <c r="L388" s="5" t="s">
        <v>7</v>
      </c>
      <c r="M388" s="5" t="s">
        <v>7</v>
      </c>
      <c r="N388" s="5" t="s">
        <v>7</v>
      </c>
      <c r="O388" s="5" t="s">
        <v>778</v>
      </c>
      <c r="P388" s="5" t="s">
        <v>7834</v>
      </c>
      <c r="R388" s="1" t="b">
        <v>1</v>
      </c>
    </row>
    <row r="389" spans="1:18">
      <c r="A389" t="s">
        <v>3023</v>
      </c>
      <c r="B389" t="s">
        <v>11066</v>
      </c>
      <c r="C389" s="5" t="s">
        <v>7801</v>
      </c>
      <c r="D389" s="1">
        <v>4</v>
      </c>
      <c r="E389" s="1">
        <v>5</v>
      </c>
      <c r="F389" s="1">
        <v>189</v>
      </c>
      <c r="G389" s="1">
        <v>189</v>
      </c>
      <c r="H389" s="13" cm="1">
        <f t="array" ref="H389">_xlfn.LET(_xlpm.s,IFERROR(--F389,""),_xlpm.e,IFERROR(--G389,""),IF(OR(_xlpm.s="",_xlpm.e="",_xlpm.e&lt;_xlpm.s),"",_xlfn.LET(_xlpm.p,_xlfn.SEQUENCE(_xlpm.e-_xlpm.s+1,1,_xlpm.s,1),SUM(1/COUNTIFS($D:$D,D389,$E:$E,E389,$F:$F,"&lt;&gt;N/A",$G:$G,"&lt;&gt;N/A",$F:$F,"&lt;="&amp;_xlpm.p,$G:$G,"&gt;="&amp;_xlpm.p)))))</f>
        <v>0.5</v>
      </c>
      <c r="I389" t="s">
        <v>208</v>
      </c>
      <c r="J389" s="5" t="s">
        <v>10834</v>
      </c>
      <c r="K389" s="5" t="s">
        <v>11388</v>
      </c>
      <c r="L389" s="5" t="s">
        <v>7</v>
      </c>
      <c r="M389" s="5" t="s">
        <v>7</v>
      </c>
      <c r="N389" s="5" t="s">
        <v>7</v>
      </c>
      <c r="O389" s="5" t="s">
        <v>778</v>
      </c>
      <c r="P389" s="5" t="s">
        <v>7834</v>
      </c>
      <c r="R389" s="1" t="b">
        <v>1</v>
      </c>
    </row>
    <row r="390" spans="1:18">
      <c r="A390" t="s">
        <v>3023</v>
      </c>
      <c r="B390" t="s">
        <v>11067</v>
      </c>
      <c r="C390" s="5" t="s">
        <v>7801</v>
      </c>
      <c r="D390" s="1">
        <v>4</v>
      </c>
      <c r="E390" s="1">
        <v>5</v>
      </c>
      <c r="F390" s="1">
        <v>189</v>
      </c>
      <c r="G390" s="1">
        <v>192</v>
      </c>
      <c r="H390" s="13" cm="1">
        <f t="array" ref="H390">_xlfn.LET(_xlpm.s,IFERROR(--F390,""),_xlpm.e,IFERROR(--G390,""),IF(OR(_xlpm.s="",_xlpm.e="",_xlpm.e&lt;_xlpm.s),"",_xlfn.LET(_xlpm.p,_xlfn.SEQUENCE(_xlpm.e-_xlpm.s+1,1,_xlpm.s,1),SUM(1/COUNTIFS($D:$D,D390,$E:$E,E390,$F:$F,"&lt;&gt;N/A",$G:$G,"&lt;&gt;N/A",$F:$F,"&lt;="&amp;_xlpm.p,$G:$G,"&gt;="&amp;_xlpm.p)))))</f>
        <v>3</v>
      </c>
      <c r="I390" t="s">
        <v>208</v>
      </c>
      <c r="J390" s="5" t="s">
        <v>10835</v>
      </c>
      <c r="K390" s="5" t="s">
        <v>7</v>
      </c>
      <c r="L390" s="5" t="s">
        <v>4489</v>
      </c>
      <c r="M390" t="s">
        <v>5084</v>
      </c>
      <c r="N390" s="5" t="s">
        <v>11396</v>
      </c>
      <c r="O390" s="5" t="s">
        <v>10264</v>
      </c>
      <c r="P390" s="5" t="s">
        <v>8020</v>
      </c>
      <c r="R390" s="1" t="b">
        <v>1</v>
      </c>
    </row>
    <row r="391" spans="1:18">
      <c r="A391" t="s">
        <v>3023</v>
      </c>
      <c r="B391" t="s">
        <v>11068</v>
      </c>
      <c r="C391" s="5" t="s">
        <v>7801</v>
      </c>
      <c r="D391" s="1">
        <v>4</v>
      </c>
      <c r="E391" s="1">
        <v>5</v>
      </c>
      <c r="F391" s="1">
        <v>192</v>
      </c>
      <c r="G391" s="1">
        <v>192</v>
      </c>
      <c r="H391" s="13" cm="1">
        <f t="array" ref="H391">_xlfn.LET(_xlpm.s,IFERROR(--F391,""),_xlpm.e,IFERROR(--G391,""),IF(OR(_xlpm.s="",_xlpm.e="",_xlpm.e&lt;_xlpm.s),"",_xlfn.LET(_xlpm.p,_xlfn.SEQUENCE(_xlpm.e-_xlpm.s+1,1,_xlpm.s,1),SUM(1/COUNTIFS($D:$D,D391,$E:$E,E391,$F:$F,"&lt;&gt;N/A",$G:$G,"&lt;&gt;N/A",$F:$F,"&lt;="&amp;_xlpm.p,$G:$G,"&gt;="&amp;_xlpm.p)))))</f>
        <v>0.5</v>
      </c>
      <c r="I391" t="s">
        <v>208</v>
      </c>
      <c r="J391" s="5" t="s">
        <v>11390</v>
      </c>
      <c r="K391" s="5" t="s">
        <v>7</v>
      </c>
      <c r="L391" s="5" t="s">
        <v>7</v>
      </c>
      <c r="M391" s="5" t="s">
        <v>7</v>
      </c>
      <c r="N391" s="5" t="s">
        <v>7</v>
      </c>
      <c r="O391" s="5" t="s">
        <v>778</v>
      </c>
      <c r="P391" s="5" t="s">
        <v>7834</v>
      </c>
      <c r="R391" s="1" t="b">
        <v>0</v>
      </c>
    </row>
    <row r="392" spans="1:18">
      <c r="A392" t="s">
        <v>3023</v>
      </c>
      <c r="B392" t="s">
        <v>11389</v>
      </c>
      <c r="C392" s="5" t="s">
        <v>7808</v>
      </c>
      <c r="D392" s="1">
        <v>4</v>
      </c>
      <c r="E392" s="1">
        <v>6</v>
      </c>
      <c r="F392" s="1">
        <v>193</v>
      </c>
      <c r="G392" s="1">
        <v>196</v>
      </c>
      <c r="H392" s="13" cm="1">
        <f t="array" ref="H392">_xlfn.LET(_xlpm.s,IFERROR(--F392,""),_xlpm.e,IFERROR(--G392,""),IF(OR(_xlpm.s="",_xlpm.e="",_xlpm.e&lt;_xlpm.s),"",_xlfn.LET(_xlpm.p,_xlfn.SEQUENCE(_xlpm.e-_xlpm.s+1,1,_xlpm.s,1),SUM(1/COUNTIFS($D:$D,D392,$E:$E,E392,$F:$F,"&lt;&gt;N/A",$G:$G,"&lt;&gt;N/A",$F:$F,"&lt;="&amp;_xlpm.p,$G:$G,"&gt;="&amp;_xlpm.p)))))</f>
        <v>3.5</v>
      </c>
      <c r="I392" t="s">
        <v>1350</v>
      </c>
      <c r="J392" s="5" t="s">
        <v>1738</v>
      </c>
      <c r="K392" s="5" t="s">
        <v>7</v>
      </c>
      <c r="L392" s="5" t="s">
        <v>7</v>
      </c>
      <c r="M392" s="5" t="s">
        <v>7</v>
      </c>
      <c r="N392" s="5" t="s">
        <v>7</v>
      </c>
      <c r="O392" t="s">
        <v>778</v>
      </c>
      <c r="P392" t="s">
        <v>7834</v>
      </c>
      <c r="R392" s="1" t="b">
        <v>0</v>
      </c>
    </row>
    <row r="393" spans="1:18">
      <c r="A393" t="s">
        <v>3023</v>
      </c>
      <c r="B393" t="s">
        <v>11069</v>
      </c>
      <c r="C393" s="5" t="s">
        <v>7808</v>
      </c>
      <c r="D393" s="1">
        <v>4</v>
      </c>
      <c r="E393" s="1">
        <v>6</v>
      </c>
      <c r="F393" s="1">
        <v>196</v>
      </c>
      <c r="G393" s="1">
        <v>197</v>
      </c>
      <c r="H393" s="13" cm="1">
        <f t="array" ref="H393">_xlfn.LET(_xlpm.s,IFERROR(--F393,""),_xlpm.e,IFERROR(--G393,""),IF(OR(_xlpm.s="",_xlpm.e="",_xlpm.e&lt;_xlpm.s),"",_xlfn.LET(_xlpm.p,_xlfn.SEQUENCE(_xlpm.e-_xlpm.s+1,1,_xlpm.s,1),SUM(1/COUNTIFS($D:$D,D393,$E:$E,E393,$F:$F,"&lt;&gt;N/A",$G:$G,"&lt;&gt;N/A",$F:$F,"&lt;="&amp;_xlpm.p,$G:$G,"&gt;="&amp;_xlpm.p)))))</f>
        <v>1</v>
      </c>
      <c r="I393" t="s">
        <v>1350</v>
      </c>
      <c r="J393" s="5" t="s">
        <v>1739</v>
      </c>
      <c r="K393" s="5" t="s">
        <v>7</v>
      </c>
      <c r="L393" s="5" t="s">
        <v>7</v>
      </c>
      <c r="M393" s="5" t="s">
        <v>7</v>
      </c>
      <c r="N393" s="5" t="s">
        <v>7</v>
      </c>
      <c r="O393" t="s">
        <v>778</v>
      </c>
      <c r="P393" t="s">
        <v>7834</v>
      </c>
      <c r="R393" s="1" t="b">
        <v>0</v>
      </c>
    </row>
    <row r="394" spans="1:18">
      <c r="A394" t="s">
        <v>3023</v>
      </c>
      <c r="B394" t="s">
        <v>11070</v>
      </c>
      <c r="C394" s="5" t="s">
        <v>7808</v>
      </c>
      <c r="D394" s="1">
        <v>4</v>
      </c>
      <c r="E394" s="1">
        <v>6</v>
      </c>
      <c r="F394" s="1">
        <v>197</v>
      </c>
      <c r="G394" s="1">
        <v>201</v>
      </c>
      <c r="H394" s="13" cm="1">
        <f t="array" ref="H394">_xlfn.LET(_xlpm.s,IFERROR(--F394,""),_xlpm.e,IFERROR(--G394,""),IF(OR(_xlpm.s="",_xlpm.e="",_xlpm.e&lt;_xlpm.s),"",_xlfn.LET(_xlpm.p,_xlfn.SEQUENCE(_xlpm.e-_xlpm.s+1,1,_xlpm.s,1),SUM(1/COUNTIFS($D:$D,D394,$E:$E,E394,$F:$F,"&lt;&gt;N/A",$G:$G,"&lt;&gt;N/A",$F:$F,"&lt;="&amp;_xlpm.p,$G:$G,"&gt;="&amp;_xlpm.p)))))</f>
        <v>4.5</v>
      </c>
      <c r="I394" t="s">
        <v>1350</v>
      </c>
      <c r="J394" s="5" t="s">
        <v>1740</v>
      </c>
      <c r="K394" s="5" t="s">
        <v>639</v>
      </c>
      <c r="L394" s="5" t="s">
        <v>7</v>
      </c>
      <c r="M394" s="5" t="s">
        <v>7</v>
      </c>
      <c r="N394" s="5" t="s">
        <v>7</v>
      </c>
      <c r="O394" t="s">
        <v>778</v>
      </c>
      <c r="P394" t="s">
        <v>7834</v>
      </c>
      <c r="R394" s="1" t="b">
        <v>1</v>
      </c>
    </row>
    <row r="395" spans="1:18">
      <c r="A395" t="s">
        <v>3023</v>
      </c>
      <c r="B395" t="s">
        <v>11071</v>
      </c>
      <c r="C395" s="5" t="s">
        <v>7808</v>
      </c>
      <c r="D395" s="1">
        <v>4</v>
      </c>
      <c r="E395" s="1">
        <v>6</v>
      </c>
      <c r="F395" s="1">
        <v>202</v>
      </c>
      <c r="G395" s="1">
        <v>207</v>
      </c>
      <c r="H395" s="13" cm="1">
        <f t="array" ref="H395">_xlfn.LET(_xlpm.s,IFERROR(--F395,""),_xlpm.e,IFERROR(--G395,""),IF(OR(_xlpm.s="",_xlpm.e="",_xlpm.e&lt;_xlpm.s),"",_xlfn.LET(_xlpm.p,_xlfn.SEQUENCE(_xlpm.e-_xlpm.s+1,1,_xlpm.s,1),SUM(1/COUNTIFS($D:$D,D395,$E:$E,E395,$F:$F,"&lt;&gt;N/A",$G:$G,"&lt;&gt;N/A",$F:$F,"&lt;="&amp;_xlpm.p,$G:$G,"&gt;="&amp;_xlpm.p)))))</f>
        <v>5.5</v>
      </c>
      <c r="I395" t="s">
        <v>1350</v>
      </c>
      <c r="J395" s="5" t="s">
        <v>1741</v>
      </c>
      <c r="K395" s="5" t="s">
        <v>7</v>
      </c>
      <c r="L395" s="5" t="s">
        <v>7</v>
      </c>
      <c r="M395" s="5" t="s">
        <v>7</v>
      </c>
      <c r="N395" s="5" t="s">
        <v>7</v>
      </c>
      <c r="O395" t="s">
        <v>778</v>
      </c>
      <c r="P395" t="s">
        <v>7834</v>
      </c>
      <c r="R395" s="1" t="b">
        <v>1</v>
      </c>
    </row>
    <row r="396" spans="1:18">
      <c r="A396" t="s">
        <v>3023</v>
      </c>
      <c r="B396" t="s">
        <v>11072</v>
      </c>
      <c r="C396" s="5" t="s">
        <v>7808</v>
      </c>
      <c r="D396" s="1">
        <v>4</v>
      </c>
      <c r="E396" s="1">
        <v>6</v>
      </c>
      <c r="F396" s="1">
        <v>207</v>
      </c>
      <c r="G396" s="1">
        <v>210</v>
      </c>
      <c r="H396" s="13" cm="1">
        <f t="array" ref="H396">_xlfn.LET(_xlpm.s,IFERROR(--F396,""),_xlpm.e,IFERROR(--G396,""),IF(OR(_xlpm.s="",_xlpm.e="",_xlpm.e&lt;_xlpm.s),"",_xlfn.LET(_xlpm.p,_xlfn.SEQUENCE(_xlpm.e-_xlpm.s+1,1,_xlpm.s,1),SUM(1/COUNTIFS($D:$D,D396,$E:$E,E396,$F:$F,"&lt;&gt;N/A",$G:$G,"&lt;&gt;N/A",$F:$F,"&lt;="&amp;_xlpm.p,$G:$G,"&gt;="&amp;_xlpm.p)))))</f>
        <v>3</v>
      </c>
      <c r="I396" t="s">
        <v>1350</v>
      </c>
      <c r="J396" s="5" t="s">
        <v>1742</v>
      </c>
      <c r="K396" s="5" t="s">
        <v>7</v>
      </c>
      <c r="L396" s="5" t="s">
        <v>7</v>
      </c>
      <c r="M396" s="5" t="s">
        <v>7</v>
      </c>
      <c r="N396" s="5" t="s">
        <v>7</v>
      </c>
      <c r="O396" t="s">
        <v>778</v>
      </c>
      <c r="P396" t="s">
        <v>7834</v>
      </c>
      <c r="R396" s="1" t="b">
        <v>1</v>
      </c>
    </row>
    <row r="397" spans="1:18">
      <c r="A397" t="s">
        <v>3023</v>
      </c>
      <c r="B397" t="s">
        <v>11073</v>
      </c>
      <c r="C397" s="5" t="s">
        <v>7808</v>
      </c>
      <c r="D397" s="1">
        <v>4</v>
      </c>
      <c r="E397" s="1">
        <v>6</v>
      </c>
      <c r="F397" s="1">
        <v>210</v>
      </c>
      <c r="G397" s="1">
        <v>216</v>
      </c>
      <c r="H397" s="13" cm="1">
        <f t="array" ref="H397">_xlfn.LET(_xlpm.s,IFERROR(--F397,""),_xlpm.e,IFERROR(--G397,""),IF(OR(_xlpm.s="",_xlpm.e="",_xlpm.e&lt;_xlpm.s),"",_xlfn.LET(_xlpm.p,_xlfn.SEQUENCE(_xlpm.e-_xlpm.s+1,1,_xlpm.s,1),SUM(1/COUNTIFS($D:$D,D397,$E:$E,E397,$F:$F,"&lt;&gt;N/A",$G:$G,"&lt;&gt;N/A",$F:$F,"&lt;="&amp;_xlpm.p,$G:$G,"&gt;="&amp;_xlpm.p)))))</f>
        <v>6.5</v>
      </c>
      <c r="I397" t="s">
        <v>208</v>
      </c>
      <c r="J397" s="5" t="s">
        <v>1743</v>
      </c>
      <c r="K397" s="5" t="s">
        <v>7</v>
      </c>
      <c r="L397" s="5" t="s">
        <v>7</v>
      </c>
      <c r="M397" s="5" t="s">
        <v>7</v>
      </c>
      <c r="N397" s="5" t="s">
        <v>7</v>
      </c>
      <c r="O397" t="s">
        <v>778</v>
      </c>
      <c r="P397" t="s">
        <v>7834</v>
      </c>
      <c r="R397" s="1" t="b">
        <v>1</v>
      </c>
    </row>
    <row r="398" spans="1:18">
      <c r="A398" t="s">
        <v>3023</v>
      </c>
      <c r="B398" t="s">
        <v>11074</v>
      </c>
      <c r="C398" s="5" t="s">
        <v>7808</v>
      </c>
      <c r="D398" s="1">
        <v>4</v>
      </c>
      <c r="E398" s="1">
        <v>6</v>
      </c>
      <c r="F398" s="1">
        <v>217</v>
      </c>
      <c r="G398" s="1">
        <v>222</v>
      </c>
      <c r="H398" s="13" cm="1">
        <f t="array" ref="H398">_xlfn.LET(_xlpm.s,IFERROR(--F398,""),_xlpm.e,IFERROR(--G398,""),IF(OR(_xlpm.s="",_xlpm.e="",_xlpm.e&lt;_xlpm.s),"",_xlfn.LET(_xlpm.p,_xlfn.SEQUENCE(_xlpm.e-_xlpm.s+1,1,_xlpm.s,1),SUM(1/COUNTIFS($D:$D,D398,$E:$E,E398,$F:$F,"&lt;&gt;N/A",$G:$G,"&lt;&gt;N/A",$F:$F,"&lt;="&amp;_xlpm.p,$G:$G,"&gt;="&amp;_xlpm.p)))))</f>
        <v>5.5</v>
      </c>
      <c r="I398" t="s">
        <v>208</v>
      </c>
      <c r="J398" s="5" t="s">
        <v>11391</v>
      </c>
      <c r="K398" s="5" t="s">
        <v>7</v>
      </c>
      <c r="L398" s="5" t="s">
        <v>7</v>
      </c>
      <c r="M398" s="5" t="s">
        <v>7</v>
      </c>
      <c r="N398" s="5" t="s">
        <v>7</v>
      </c>
      <c r="O398" t="s">
        <v>778</v>
      </c>
      <c r="P398" t="s">
        <v>7834</v>
      </c>
      <c r="R398" s="1" t="b">
        <v>1</v>
      </c>
    </row>
    <row r="399" spans="1:18">
      <c r="A399" t="s">
        <v>3023</v>
      </c>
      <c r="B399" t="s">
        <v>11075</v>
      </c>
      <c r="C399" s="5" t="s">
        <v>7808</v>
      </c>
      <c r="D399" s="1">
        <v>4</v>
      </c>
      <c r="E399" s="1">
        <v>6</v>
      </c>
      <c r="F399" s="1">
        <v>222</v>
      </c>
      <c r="G399" s="1">
        <v>227</v>
      </c>
      <c r="H399" s="13" cm="1">
        <f t="array" ref="H399">_xlfn.LET(_xlpm.s,IFERROR(--F399,""),_xlpm.e,IFERROR(--G399,""),IF(OR(_xlpm.s="",_xlpm.e="",_xlpm.e&lt;_xlpm.s),"",_xlfn.LET(_xlpm.p,_xlfn.SEQUENCE(_xlpm.e-_xlpm.s+1,1,_xlpm.s,1),SUM(1/COUNTIFS($D:$D,D399,$E:$E,E399,$F:$F,"&lt;&gt;N/A",$G:$G,"&lt;&gt;N/A",$F:$F,"&lt;="&amp;_xlpm.p,$G:$G,"&gt;="&amp;_xlpm.p)))))</f>
        <v>5</v>
      </c>
      <c r="I399" t="s">
        <v>208</v>
      </c>
      <c r="J399" s="5" t="s">
        <v>11392</v>
      </c>
      <c r="K399" s="5" t="s">
        <v>1280</v>
      </c>
      <c r="L399" s="5" t="s">
        <v>7</v>
      </c>
      <c r="M399" s="5" t="s">
        <v>7</v>
      </c>
      <c r="N399" s="5" t="s">
        <v>7</v>
      </c>
      <c r="O399" t="s">
        <v>778</v>
      </c>
      <c r="P399" t="s">
        <v>7834</v>
      </c>
      <c r="R399" s="1" t="b">
        <v>1</v>
      </c>
    </row>
    <row r="400" spans="1:18">
      <c r="A400" t="s">
        <v>3023</v>
      </c>
      <c r="B400" t="s">
        <v>11076</v>
      </c>
      <c r="C400" s="5" t="s">
        <v>7808</v>
      </c>
      <c r="D400" s="1">
        <v>4</v>
      </c>
      <c r="E400" s="1">
        <v>6</v>
      </c>
      <c r="F400" s="1">
        <v>227</v>
      </c>
      <c r="G400" s="1">
        <v>228</v>
      </c>
      <c r="H400" s="13" cm="1">
        <f t="array" ref="H400">_xlfn.LET(_xlpm.s,IFERROR(--F400,""),_xlpm.e,IFERROR(--G400,""),IF(OR(_xlpm.s="",_xlpm.e="",_xlpm.e&lt;_xlpm.s),"",_xlfn.LET(_xlpm.p,_xlfn.SEQUENCE(_xlpm.e-_xlpm.s+1,1,_xlpm.s,1),SUM(1/COUNTIFS($D:$D,D400,$E:$E,E400,$F:$F,"&lt;&gt;N/A",$G:$G,"&lt;&gt;N/A",$F:$F,"&lt;="&amp;_xlpm.p,$G:$G,"&gt;="&amp;_xlpm.p)))))</f>
        <v>0.83333333333333326</v>
      </c>
      <c r="I400" t="s">
        <v>208</v>
      </c>
      <c r="J400" s="5" t="s">
        <v>1744</v>
      </c>
      <c r="K400" s="5" t="s">
        <v>7</v>
      </c>
      <c r="L400" s="5" t="s">
        <v>7</v>
      </c>
      <c r="M400" s="5" t="s">
        <v>7</v>
      </c>
      <c r="N400" s="5" t="s">
        <v>7</v>
      </c>
      <c r="O400" t="s">
        <v>778</v>
      </c>
      <c r="P400" t="s">
        <v>7834</v>
      </c>
      <c r="R400" s="1" t="b">
        <v>1</v>
      </c>
    </row>
    <row r="401" spans="1:18">
      <c r="A401" t="s">
        <v>3023</v>
      </c>
      <c r="B401" t="s">
        <v>11077</v>
      </c>
      <c r="C401" s="5" t="s">
        <v>7808</v>
      </c>
      <c r="D401" s="1">
        <v>4</v>
      </c>
      <c r="E401" s="1">
        <v>6</v>
      </c>
      <c r="F401" s="1">
        <v>228</v>
      </c>
      <c r="G401" s="1">
        <v>228</v>
      </c>
      <c r="H401" s="13" cm="1">
        <f t="array" ref="H401">_xlfn.LET(_xlpm.s,IFERROR(--F401,""),_xlpm.e,IFERROR(--G401,""),IF(OR(_xlpm.s="",_xlpm.e="",_xlpm.e&lt;_xlpm.s),"",_xlfn.LET(_xlpm.p,_xlfn.SEQUENCE(_xlpm.e-_xlpm.s+1,1,_xlpm.s,1),SUM(1/COUNTIFS($D:$D,D401,$E:$E,E401,$F:$F,"&lt;&gt;N/A",$G:$G,"&lt;&gt;N/A",$F:$F,"&lt;="&amp;_xlpm.p,$G:$G,"&gt;="&amp;_xlpm.p)))))</f>
        <v>0.33333333333333331</v>
      </c>
      <c r="I401" t="s">
        <v>208</v>
      </c>
      <c r="J401" s="5" t="s">
        <v>1745</v>
      </c>
      <c r="K401" s="5" t="s">
        <v>7</v>
      </c>
      <c r="L401" s="5" t="s">
        <v>4896</v>
      </c>
      <c r="M401" t="s">
        <v>7464</v>
      </c>
      <c r="N401" s="5" t="s">
        <v>7616</v>
      </c>
      <c r="O401" t="s">
        <v>5072</v>
      </c>
      <c r="P401" t="s">
        <v>8021</v>
      </c>
      <c r="R401" s="1" t="b">
        <v>1</v>
      </c>
    </row>
    <row r="402" spans="1:18">
      <c r="A402" t="s">
        <v>3023</v>
      </c>
      <c r="B402" t="s">
        <v>11078</v>
      </c>
      <c r="C402" s="5" t="s">
        <v>7808</v>
      </c>
      <c r="D402" s="1">
        <v>4</v>
      </c>
      <c r="E402" s="1">
        <v>6</v>
      </c>
      <c r="F402" s="1">
        <v>228</v>
      </c>
      <c r="G402" s="1">
        <v>231</v>
      </c>
      <c r="H402" s="13" cm="1">
        <f t="array" ref="H402">_xlfn.LET(_xlpm.s,IFERROR(--F402,""),_xlpm.e,IFERROR(--G402,""),IF(OR(_xlpm.s="",_xlpm.e="",_xlpm.e&lt;_xlpm.s),"",_xlfn.LET(_xlpm.p,_xlfn.SEQUENCE(_xlpm.e-_xlpm.s+1,1,_xlpm.s,1),SUM(1/COUNTIFS($D:$D,D402,$E:$E,E402,$F:$F,"&lt;&gt;N/A",$G:$G,"&lt;&gt;N/A",$F:$F,"&lt;="&amp;_xlpm.p,$G:$G,"&gt;="&amp;_xlpm.p)))))</f>
        <v>3.333333333333333</v>
      </c>
      <c r="I402" t="s">
        <v>208</v>
      </c>
      <c r="J402" s="5" t="s">
        <v>1746</v>
      </c>
      <c r="K402" s="5" t="s">
        <v>7</v>
      </c>
      <c r="L402" s="5" t="s">
        <v>4897</v>
      </c>
      <c r="M402" t="s">
        <v>7466</v>
      </c>
      <c r="N402" s="5" t="s">
        <v>4418</v>
      </c>
      <c r="O402" t="s">
        <v>5072</v>
      </c>
      <c r="P402" t="s">
        <v>8021</v>
      </c>
      <c r="R402" s="1" t="b">
        <v>1</v>
      </c>
    </row>
    <row r="403" spans="1:18">
      <c r="A403" t="s">
        <v>3023</v>
      </c>
      <c r="B403" t="s">
        <v>11079</v>
      </c>
      <c r="C403" s="5" t="s">
        <v>7808</v>
      </c>
      <c r="D403" s="1">
        <v>4</v>
      </c>
      <c r="E403" s="1">
        <v>6</v>
      </c>
      <c r="F403" s="1">
        <v>232</v>
      </c>
      <c r="G403" s="1">
        <v>232</v>
      </c>
      <c r="H403" s="13" cm="1">
        <f t="array" ref="H403">_xlfn.LET(_xlpm.s,IFERROR(--F403,""),_xlpm.e,IFERROR(--G403,""),IF(OR(_xlpm.s="",_xlpm.e="",_xlpm.e&lt;_xlpm.s),"",_xlfn.LET(_xlpm.p,_xlfn.SEQUENCE(_xlpm.e-_xlpm.s+1,1,_xlpm.s,1),SUM(1/COUNTIFS($D:$D,D403,$E:$E,E403,$F:$F,"&lt;&gt;N/A",$G:$G,"&lt;&gt;N/A",$F:$F,"&lt;="&amp;_xlpm.p,$G:$G,"&gt;="&amp;_xlpm.p)))))</f>
        <v>1</v>
      </c>
      <c r="I403" t="s">
        <v>208</v>
      </c>
      <c r="J403" s="5" t="s">
        <v>1374</v>
      </c>
      <c r="K403" s="5" t="s">
        <v>1934</v>
      </c>
      <c r="L403" s="5" t="s">
        <v>7</v>
      </c>
      <c r="M403" s="5" t="s">
        <v>7</v>
      </c>
      <c r="N403" s="5" t="s">
        <v>7</v>
      </c>
      <c r="O403" t="s">
        <v>778</v>
      </c>
      <c r="P403" t="s">
        <v>7834</v>
      </c>
      <c r="R403" s="1" t="b">
        <v>1</v>
      </c>
    </row>
    <row r="404" spans="1:18">
      <c r="A404" t="s">
        <v>3023</v>
      </c>
      <c r="B404" t="s">
        <v>11080</v>
      </c>
      <c r="C404" s="5" t="s">
        <v>7735</v>
      </c>
      <c r="D404" s="1">
        <v>4</v>
      </c>
      <c r="E404" s="1">
        <v>7</v>
      </c>
      <c r="F404" s="1">
        <v>233</v>
      </c>
      <c r="G404" s="1">
        <v>235</v>
      </c>
      <c r="H404" s="13" cm="1">
        <f t="array" ref="H404">_xlfn.LET(_xlpm.s,IFERROR(--F404,""),_xlpm.e,IFERROR(--G404,""),IF(OR(_xlpm.s="",_xlpm.e="",_xlpm.e&lt;_xlpm.s),"",_xlfn.LET(_xlpm.p,_xlfn.SEQUENCE(_xlpm.e-_xlpm.s+1,1,_xlpm.s,1),SUM(1/COUNTIFS($D:$D,D404,$E:$E,E404,$F:$F,"&lt;&gt;N/A",$G:$G,"&lt;&gt;N/A",$F:$F,"&lt;="&amp;_xlpm.p,$G:$G,"&gt;="&amp;_xlpm.p)))))</f>
        <v>2.5</v>
      </c>
      <c r="I404" t="s">
        <v>1350</v>
      </c>
      <c r="J404" s="5" t="s">
        <v>1725</v>
      </c>
      <c r="K404" s="5" t="s">
        <v>7</v>
      </c>
      <c r="L404" s="5" t="s">
        <v>7</v>
      </c>
      <c r="M404" s="5" t="s">
        <v>7</v>
      </c>
      <c r="N404" s="5" t="s">
        <v>7</v>
      </c>
      <c r="O404" t="s">
        <v>778</v>
      </c>
      <c r="P404" t="s">
        <v>7834</v>
      </c>
      <c r="R404" s="1" t="b">
        <v>0</v>
      </c>
    </row>
    <row r="405" spans="1:18">
      <c r="A405" t="s">
        <v>3023</v>
      </c>
      <c r="B405" t="s">
        <v>11081</v>
      </c>
      <c r="C405" s="5" t="s">
        <v>7735</v>
      </c>
      <c r="D405" s="1">
        <v>4</v>
      </c>
      <c r="E405" s="1">
        <v>7</v>
      </c>
      <c r="F405" s="1">
        <v>235</v>
      </c>
      <c r="G405" s="1">
        <v>242</v>
      </c>
      <c r="H405" s="13" cm="1">
        <f t="array" ref="H405">_xlfn.LET(_xlpm.s,IFERROR(--F405,""),_xlpm.e,IFERROR(--G405,""),IF(OR(_xlpm.s="",_xlpm.e="",_xlpm.e&lt;_xlpm.s),"",_xlfn.LET(_xlpm.p,_xlfn.SEQUENCE(_xlpm.e-_xlpm.s+1,1,_xlpm.s,1),SUM(1/COUNTIFS($D:$D,D405,$E:$E,E405,$F:$F,"&lt;&gt;N/A",$G:$G,"&lt;&gt;N/A",$F:$F,"&lt;="&amp;_xlpm.p,$G:$G,"&gt;="&amp;_xlpm.p)))))</f>
        <v>7</v>
      </c>
      <c r="I405" t="s">
        <v>1350</v>
      </c>
      <c r="J405" s="5" t="s">
        <v>1726</v>
      </c>
      <c r="K405" s="5" t="s">
        <v>1727</v>
      </c>
      <c r="L405" s="5" t="s">
        <v>7</v>
      </c>
      <c r="M405" s="5" t="s">
        <v>7</v>
      </c>
      <c r="N405" s="5" t="s">
        <v>7</v>
      </c>
      <c r="O405" t="s">
        <v>778</v>
      </c>
      <c r="P405" t="s">
        <v>7834</v>
      </c>
      <c r="R405" s="1" t="b">
        <v>1</v>
      </c>
    </row>
    <row r="406" spans="1:18">
      <c r="A406" t="s">
        <v>3023</v>
      </c>
      <c r="B406" t="s">
        <v>11082</v>
      </c>
      <c r="C406" s="5" t="s">
        <v>7735</v>
      </c>
      <c r="D406" s="1">
        <v>4</v>
      </c>
      <c r="E406" s="1">
        <v>7</v>
      </c>
      <c r="F406" s="1">
        <v>242</v>
      </c>
      <c r="G406" s="1">
        <v>254</v>
      </c>
      <c r="H406" s="13" cm="1">
        <f t="array" ref="H406">_xlfn.LET(_xlpm.s,IFERROR(--F406,""),_xlpm.e,IFERROR(--G406,""),IF(OR(_xlpm.s="",_xlpm.e="",_xlpm.e&lt;_xlpm.s),"",_xlfn.LET(_xlpm.p,_xlfn.SEQUENCE(_xlpm.e-_xlpm.s+1,1,_xlpm.s,1),SUM(1/COUNTIFS($D:$D,D406,$E:$E,E406,$F:$F,"&lt;&gt;N/A",$G:$G,"&lt;&gt;N/A",$F:$F,"&lt;="&amp;_xlpm.p,$G:$G,"&gt;="&amp;_xlpm.p)))))</f>
        <v>12</v>
      </c>
      <c r="I406" t="s">
        <v>1350</v>
      </c>
      <c r="J406" s="5" t="s">
        <v>1728</v>
      </c>
      <c r="K406" s="5" t="s">
        <v>1729</v>
      </c>
      <c r="L406" s="5" t="s">
        <v>7</v>
      </c>
      <c r="M406" s="5" t="s">
        <v>7</v>
      </c>
      <c r="N406" s="5" t="s">
        <v>7</v>
      </c>
      <c r="O406" t="s">
        <v>778</v>
      </c>
      <c r="P406" t="s">
        <v>7834</v>
      </c>
      <c r="R406" s="1" t="b">
        <v>1</v>
      </c>
    </row>
    <row r="407" spans="1:18">
      <c r="A407" t="s">
        <v>3023</v>
      </c>
      <c r="B407" t="s">
        <v>11083</v>
      </c>
      <c r="C407" s="5" t="s">
        <v>7735</v>
      </c>
      <c r="D407" s="1">
        <v>4</v>
      </c>
      <c r="E407" s="1">
        <v>7</v>
      </c>
      <c r="F407" s="1">
        <v>254</v>
      </c>
      <c r="G407" s="1">
        <v>259</v>
      </c>
      <c r="H407" s="13" cm="1">
        <f t="array" ref="H407">_xlfn.LET(_xlpm.s,IFERROR(--F407,""),_xlpm.e,IFERROR(--G407,""),IF(OR(_xlpm.s="",_xlpm.e="",_xlpm.e&lt;_xlpm.s),"",_xlfn.LET(_xlpm.p,_xlfn.SEQUENCE(_xlpm.e-_xlpm.s+1,1,_xlpm.s,1),SUM(1/COUNTIFS($D:$D,D407,$E:$E,E407,$F:$F,"&lt;&gt;N/A",$G:$G,"&lt;&gt;N/A",$F:$F,"&lt;="&amp;_xlpm.p,$G:$G,"&gt;="&amp;_xlpm.p)))))</f>
        <v>5</v>
      </c>
      <c r="I407" t="s">
        <v>208</v>
      </c>
      <c r="J407" s="5" t="s">
        <v>1730</v>
      </c>
      <c r="K407" s="5" t="s">
        <v>7</v>
      </c>
      <c r="L407" s="5" t="s">
        <v>4897</v>
      </c>
      <c r="M407" t="s">
        <v>7466</v>
      </c>
      <c r="N407" s="5" t="s">
        <v>7465</v>
      </c>
      <c r="O407" t="s">
        <v>5072</v>
      </c>
      <c r="P407" t="s">
        <v>8021</v>
      </c>
      <c r="R407" s="1" t="b">
        <v>1</v>
      </c>
    </row>
    <row r="408" spans="1:18">
      <c r="A408" t="s">
        <v>3023</v>
      </c>
      <c r="B408" t="s">
        <v>11084</v>
      </c>
      <c r="C408" s="5" t="s">
        <v>7735</v>
      </c>
      <c r="D408" s="1">
        <v>4</v>
      </c>
      <c r="E408" s="1">
        <v>7</v>
      </c>
      <c r="F408" s="1">
        <v>259</v>
      </c>
      <c r="G408" s="1">
        <v>260</v>
      </c>
      <c r="H408" s="13" cm="1">
        <f t="array" ref="H408">_xlfn.LET(_xlpm.s,IFERROR(--F408,""),_xlpm.e,IFERROR(--G408,""),IF(OR(_xlpm.s="",_xlpm.e="",_xlpm.e&lt;_xlpm.s),"",_xlfn.LET(_xlpm.p,_xlfn.SEQUENCE(_xlpm.e-_xlpm.s+1,1,_xlpm.s,1),SUM(1/COUNTIFS($D:$D,D408,$E:$E,E408,$F:$F,"&lt;&gt;N/A",$G:$G,"&lt;&gt;N/A",$F:$F,"&lt;="&amp;_xlpm.p,$G:$G,"&gt;="&amp;_xlpm.p)))))</f>
        <v>1</v>
      </c>
      <c r="I408" t="s">
        <v>208</v>
      </c>
      <c r="J408" s="5" t="s">
        <v>1731</v>
      </c>
      <c r="K408" s="5" t="s">
        <v>7</v>
      </c>
      <c r="L408" s="5" t="s">
        <v>7</v>
      </c>
      <c r="M408" t="s">
        <v>7464</v>
      </c>
      <c r="N408" s="5" t="s">
        <v>2698</v>
      </c>
      <c r="O408" t="s">
        <v>5072</v>
      </c>
      <c r="P408" t="s">
        <v>8021</v>
      </c>
      <c r="R408" s="1" t="b">
        <v>1</v>
      </c>
    </row>
    <row r="409" spans="1:18">
      <c r="A409" t="s">
        <v>3023</v>
      </c>
      <c r="B409" t="s">
        <v>11085</v>
      </c>
      <c r="C409" s="5" t="s">
        <v>7735</v>
      </c>
      <c r="D409" s="1">
        <v>4</v>
      </c>
      <c r="E409" s="1">
        <v>7</v>
      </c>
      <c r="F409" s="1">
        <v>260</v>
      </c>
      <c r="G409" s="1">
        <v>260</v>
      </c>
      <c r="H409" s="13" cm="1">
        <f t="array" ref="H409">_xlfn.LET(_xlpm.s,IFERROR(--F409,""),_xlpm.e,IFERROR(--G409,""),IF(OR(_xlpm.s="",_xlpm.e="",_xlpm.e&lt;_xlpm.s),"",_xlfn.LET(_xlpm.p,_xlfn.SEQUENCE(_xlpm.e-_xlpm.s+1,1,_xlpm.s,1),SUM(1/COUNTIFS($D:$D,D409,$E:$E,E409,$F:$F,"&lt;&gt;N/A",$G:$G,"&lt;&gt;N/A",$F:$F,"&lt;="&amp;_xlpm.p,$G:$G,"&gt;="&amp;_xlpm.p)))))</f>
        <v>0.5</v>
      </c>
      <c r="I409" t="s">
        <v>208</v>
      </c>
      <c r="J409" s="5" t="s">
        <v>1732</v>
      </c>
      <c r="K409" s="5" t="s">
        <v>7</v>
      </c>
      <c r="L409" s="5" t="s">
        <v>7</v>
      </c>
      <c r="M409" t="s">
        <v>7464</v>
      </c>
      <c r="N409" s="5" t="s">
        <v>2699</v>
      </c>
      <c r="O409" t="s">
        <v>5072</v>
      </c>
      <c r="P409" t="s">
        <v>8021</v>
      </c>
      <c r="R409" s="1" t="b">
        <v>1</v>
      </c>
    </row>
    <row r="410" spans="1:18">
      <c r="A410" t="s">
        <v>3023</v>
      </c>
      <c r="B410" t="s">
        <v>11086</v>
      </c>
      <c r="C410" s="5" t="s">
        <v>7735</v>
      </c>
      <c r="D410" s="1">
        <v>4</v>
      </c>
      <c r="E410" s="1">
        <v>7</v>
      </c>
      <c r="F410" s="1">
        <v>261</v>
      </c>
      <c r="G410" s="1">
        <v>261</v>
      </c>
      <c r="H410" s="13" cm="1">
        <f t="array" ref="H410">_xlfn.LET(_xlpm.s,IFERROR(--F410,""),_xlpm.e,IFERROR(--G410,""),IF(OR(_xlpm.s="",_xlpm.e="",_xlpm.e&lt;_xlpm.s),"",_xlfn.LET(_xlpm.p,_xlfn.SEQUENCE(_xlpm.e-_xlpm.s+1,1,_xlpm.s,1),SUM(1/COUNTIFS($D:$D,D410,$E:$E,E410,$F:$F,"&lt;&gt;N/A",$G:$G,"&lt;&gt;N/A",$F:$F,"&lt;="&amp;_xlpm.p,$G:$G,"&gt;="&amp;_xlpm.p)))))</f>
        <v>0.33333333333333331</v>
      </c>
      <c r="I410" t="s">
        <v>208</v>
      </c>
      <c r="J410" s="5" t="s">
        <v>1734</v>
      </c>
      <c r="K410" s="5" t="s">
        <v>7</v>
      </c>
      <c r="L410" s="5" t="s">
        <v>7</v>
      </c>
      <c r="M410" t="s">
        <v>7464</v>
      </c>
      <c r="N410" s="5" t="s">
        <v>2700</v>
      </c>
      <c r="O410" t="s">
        <v>5072</v>
      </c>
      <c r="P410" t="s">
        <v>8021</v>
      </c>
      <c r="R410" s="1" t="b">
        <v>1</v>
      </c>
    </row>
    <row r="411" spans="1:18">
      <c r="A411" t="s">
        <v>3023</v>
      </c>
      <c r="B411" t="s">
        <v>11087</v>
      </c>
      <c r="C411" s="5" t="s">
        <v>7735</v>
      </c>
      <c r="D411" s="1">
        <v>4</v>
      </c>
      <c r="E411" s="1">
        <v>7</v>
      </c>
      <c r="F411" s="1">
        <v>261</v>
      </c>
      <c r="G411" s="1">
        <v>261</v>
      </c>
      <c r="H411" s="13" cm="1">
        <f t="array" ref="H411">_xlfn.LET(_xlpm.s,IFERROR(--F411,""),_xlpm.e,IFERROR(--G411,""),IF(OR(_xlpm.s="",_xlpm.e="",_xlpm.e&lt;_xlpm.s),"",_xlfn.LET(_xlpm.p,_xlfn.SEQUENCE(_xlpm.e-_xlpm.s+1,1,_xlpm.s,1),SUM(1/COUNTIFS($D:$D,D411,$E:$E,E411,$F:$F,"&lt;&gt;N/A",$G:$G,"&lt;&gt;N/A",$F:$F,"&lt;="&amp;_xlpm.p,$G:$G,"&gt;="&amp;_xlpm.p)))))</f>
        <v>0.33333333333333331</v>
      </c>
      <c r="I411" t="s">
        <v>208</v>
      </c>
      <c r="J411" s="5" t="s">
        <v>1733</v>
      </c>
      <c r="K411" s="5" t="s">
        <v>7</v>
      </c>
      <c r="L411" s="5" t="s">
        <v>4898</v>
      </c>
      <c r="M411" t="s">
        <v>7464</v>
      </c>
      <c r="N411" s="5" t="s">
        <v>7617</v>
      </c>
      <c r="O411" t="s">
        <v>5072</v>
      </c>
      <c r="P411" t="s">
        <v>8021</v>
      </c>
      <c r="R411" s="1" t="b">
        <v>1</v>
      </c>
    </row>
    <row r="412" spans="1:18">
      <c r="A412" t="s">
        <v>3023</v>
      </c>
      <c r="B412" t="s">
        <v>11088</v>
      </c>
      <c r="C412" s="5" t="s">
        <v>7735</v>
      </c>
      <c r="D412" s="1">
        <v>4</v>
      </c>
      <c r="E412" s="1">
        <v>7</v>
      </c>
      <c r="F412" s="1">
        <v>261</v>
      </c>
      <c r="G412" s="1">
        <v>262</v>
      </c>
      <c r="H412" s="13" cm="1">
        <f t="array" ref="H412">_xlfn.LET(_xlpm.s,IFERROR(--F412,""),_xlpm.e,IFERROR(--G412,""),IF(OR(_xlpm.s="",_xlpm.e="",_xlpm.e&lt;_xlpm.s),"",_xlfn.LET(_xlpm.p,_xlfn.SEQUENCE(_xlpm.e-_xlpm.s+1,1,_xlpm.s,1),SUM(1/COUNTIFS($D:$D,D412,$E:$E,E412,$F:$F,"&lt;&gt;N/A",$G:$G,"&lt;&gt;N/A",$F:$F,"&lt;="&amp;_xlpm.p,$G:$G,"&gt;="&amp;_xlpm.p)))))</f>
        <v>1.3333333333333333</v>
      </c>
      <c r="I412" t="s">
        <v>208</v>
      </c>
      <c r="J412" s="5" t="s">
        <v>1735</v>
      </c>
      <c r="K412" s="5" t="s">
        <v>7</v>
      </c>
      <c r="L412" s="5" t="s">
        <v>7469</v>
      </c>
      <c r="M412" s="5" t="s">
        <v>7</v>
      </c>
      <c r="N412" s="5" t="s">
        <v>7</v>
      </c>
      <c r="O412" t="s">
        <v>11522</v>
      </c>
      <c r="P412" t="s">
        <v>8021</v>
      </c>
      <c r="R412" s="1" t="b">
        <v>1</v>
      </c>
    </row>
    <row r="413" spans="1:18">
      <c r="A413" t="s">
        <v>3023</v>
      </c>
      <c r="B413" t="s">
        <v>11089</v>
      </c>
      <c r="C413" s="5" t="s">
        <v>7735</v>
      </c>
      <c r="D413" s="1">
        <v>4</v>
      </c>
      <c r="E413" s="1">
        <v>7</v>
      </c>
      <c r="F413" s="1">
        <v>263</v>
      </c>
      <c r="G413" s="1">
        <v>265</v>
      </c>
      <c r="H413" s="13" cm="1">
        <f t="array" ref="H413">_xlfn.LET(_xlpm.s,IFERROR(--F413,""),_xlpm.e,IFERROR(--G413,""),IF(OR(_xlpm.s="",_xlpm.e="",_xlpm.e&lt;_xlpm.s),"",_xlfn.LET(_xlpm.p,_xlfn.SEQUENCE(_xlpm.e-_xlpm.s+1,1,_xlpm.s,1),SUM(1/COUNTIFS($D:$D,D413,$E:$E,E413,$F:$F,"&lt;&gt;N/A",$G:$G,"&lt;&gt;N/A",$F:$F,"&lt;="&amp;_xlpm.p,$G:$G,"&gt;="&amp;_xlpm.p)))))</f>
        <v>2.5</v>
      </c>
      <c r="I413" t="s">
        <v>208</v>
      </c>
      <c r="J413" s="5" t="s">
        <v>1736</v>
      </c>
      <c r="K413" s="5" t="s">
        <v>7</v>
      </c>
      <c r="L413" s="5" t="s">
        <v>4899</v>
      </c>
      <c r="M413" s="5" t="s">
        <v>7</v>
      </c>
      <c r="N413" s="5" t="s">
        <v>7</v>
      </c>
      <c r="O413" s="5" t="s">
        <v>10264</v>
      </c>
      <c r="P413" s="5" t="s">
        <v>8020</v>
      </c>
      <c r="R413" s="1" t="b">
        <v>1</v>
      </c>
    </row>
    <row r="414" spans="1:18">
      <c r="A414" t="s">
        <v>3023</v>
      </c>
      <c r="B414" t="s">
        <v>11090</v>
      </c>
      <c r="C414" s="5" t="s">
        <v>7735</v>
      </c>
      <c r="D414" s="1">
        <v>4</v>
      </c>
      <c r="E414" s="1">
        <v>7</v>
      </c>
      <c r="F414" s="1">
        <v>265</v>
      </c>
      <c r="G414" s="1">
        <v>274</v>
      </c>
      <c r="H414" s="13" cm="1">
        <f t="array" ref="H414">_xlfn.LET(_xlpm.s,IFERROR(--F414,""),_xlpm.e,IFERROR(--G414,""),IF(OR(_xlpm.s="",_xlpm.e="",_xlpm.e&lt;_xlpm.s),"",_xlfn.LET(_xlpm.p,_xlfn.SEQUENCE(_xlpm.e-_xlpm.s+1,1,_xlpm.s,1),SUM(1/COUNTIFS($D:$D,D414,$E:$E,E414,$F:$F,"&lt;&gt;N/A",$G:$G,"&lt;&gt;N/A",$F:$F,"&lt;="&amp;_xlpm.p,$G:$G,"&gt;="&amp;_xlpm.p)))))</f>
        <v>9</v>
      </c>
      <c r="I414" t="s">
        <v>208</v>
      </c>
      <c r="J414" s="5" t="s">
        <v>11393</v>
      </c>
      <c r="K414" s="5" t="s">
        <v>4900</v>
      </c>
      <c r="L414" s="5" t="s">
        <v>4489</v>
      </c>
      <c r="M414" t="s">
        <v>5084</v>
      </c>
      <c r="N414" s="5" t="s">
        <v>7667</v>
      </c>
      <c r="O414" s="5" t="s">
        <v>10264</v>
      </c>
      <c r="P414" s="5" t="s">
        <v>8020</v>
      </c>
      <c r="R414" s="1" t="b">
        <v>1</v>
      </c>
    </row>
    <row r="415" spans="1:18">
      <c r="A415" t="s">
        <v>3023</v>
      </c>
      <c r="B415" t="s">
        <v>11091</v>
      </c>
      <c r="C415" s="5" t="s">
        <v>7735</v>
      </c>
      <c r="D415" s="1">
        <v>4</v>
      </c>
      <c r="E415" s="1">
        <v>7</v>
      </c>
      <c r="F415" s="1">
        <v>274</v>
      </c>
      <c r="G415" s="1">
        <v>274</v>
      </c>
      <c r="H415" s="13" cm="1">
        <f t="array" ref="H415">_xlfn.LET(_xlpm.s,IFERROR(--F415,""),_xlpm.e,IFERROR(--G415,""),IF(OR(_xlpm.s="",_xlpm.e="",_xlpm.e&lt;_xlpm.s),"",_xlfn.LET(_xlpm.p,_xlfn.SEQUENCE(_xlpm.e-_xlpm.s+1,1,_xlpm.s,1),SUM(1/COUNTIFS($D:$D,D415,$E:$E,E415,$F:$F,"&lt;&gt;N/A",$G:$G,"&lt;&gt;N/A",$F:$F,"&lt;="&amp;_xlpm.p,$G:$G,"&gt;="&amp;_xlpm.p)))))</f>
        <v>0.5</v>
      </c>
      <c r="I415" t="s">
        <v>208</v>
      </c>
      <c r="J415" s="5" t="s">
        <v>1737</v>
      </c>
      <c r="K415" s="5" t="s">
        <v>7</v>
      </c>
      <c r="L415" s="5" t="s">
        <v>4901</v>
      </c>
      <c r="M415" s="5" t="s">
        <v>7</v>
      </c>
      <c r="N415" s="5" t="s">
        <v>7</v>
      </c>
      <c r="O415" t="s">
        <v>11522</v>
      </c>
      <c r="P415" t="s">
        <v>8036</v>
      </c>
      <c r="R415" s="1" t="b">
        <v>1</v>
      </c>
    </row>
    <row r="416" spans="1:18">
      <c r="A416" t="s">
        <v>3023</v>
      </c>
      <c r="B416" t="s">
        <v>11092</v>
      </c>
      <c r="C416" s="5" t="s">
        <v>7736</v>
      </c>
      <c r="D416" s="1">
        <v>4</v>
      </c>
      <c r="E416" s="1">
        <v>8</v>
      </c>
      <c r="F416" s="1">
        <v>275</v>
      </c>
      <c r="G416" s="1">
        <v>289</v>
      </c>
      <c r="H416" s="13" cm="1">
        <f t="array" ref="H416">_xlfn.LET(_xlpm.s,IFERROR(--F416,""),_xlpm.e,IFERROR(--G416,""),IF(OR(_xlpm.s="",_xlpm.e="",_xlpm.e&lt;_xlpm.s),"",_xlfn.LET(_xlpm.p,_xlfn.SEQUENCE(_xlpm.e-_xlpm.s+1,1,_xlpm.s,1),SUM(1/COUNTIFS($D:$D,D416,$E:$E,E416,$F:$F,"&lt;&gt;N/A",$G:$G,"&lt;&gt;N/A",$F:$F,"&lt;="&amp;_xlpm.p,$G:$G,"&gt;="&amp;_xlpm.p)))))</f>
        <v>15</v>
      </c>
      <c r="I416" t="s">
        <v>1350</v>
      </c>
      <c r="J416" s="5" t="s">
        <v>1720</v>
      </c>
      <c r="K416" s="5" t="s">
        <v>7</v>
      </c>
      <c r="L416" s="5" t="s">
        <v>7</v>
      </c>
      <c r="M416" s="5" t="s">
        <v>7</v>
      </c>
      <c r="N416" s="5" t="s">
        <v>7</v>
      </c>
      <c r="O416" t="s">
        <v>778</v>
      </c>
      <c r="P416" t="s">
        <v>7834</v>
      </c>
      <c r="R416" s="1" t="b">
        <v>0</v>
      </c>
    </row>
    <row r="417" spans="1:18">
      <c r="A417" t="s">
        <v>3023</v>
      </c>
      <c r="B417" t="s">
        <v>11093</v>
      </c>
      <c r="C417" s="5" t="s">
        <v>7736</v>
      </c>
      <c r="D417" s="1">
        <v>4</v>
      </c>
      <c r="E417" s="1">
        <v>8</v>
      </c>
      <c r="F417" s="1">
        <v>290</v>
      </c>
      <c r="G417" s="1">
        <v>296</v>
      </c>
      <c r="H417" s="13" cm="1">
        <f t="array" ref="H417">_xlfn.LET(_xlpm.s,IFERROR(--F417,""),_xlpm.e,IFERROR(--G417,""),IF(OR(_xlpm.s="",_xlpm.e="",_xlpm.e&lt;_xlpm.s),"",_xlfn.LET(_xlpm.p,_xlfn.SEQUENCE(_xlpm.e-_xlpm.s+1,1,_xlpm.s,1),SUM(1/COUNTIFS($D:$D,D417,$E:$E,E417,$F:$F,"&lt;&gt;N/A",$G:$G,"&lt;&gt;N/A",$F:$F,"&lt;="&amp;_xlpm.p,$G:$G,"&gt;="&amp;_xlpm.p)))))</f>
        <v>6.5</v>
      </c>
      <c r="I417" t="s">
        <v>1350</v>
      </c>
      <c r="J417" s="5" t="s">
        <v>1721</v>
      </c>
      <c r="K417" s="5" t="s">
        <v>1324</v>
      </c>
      <c r="L417" s="5" t="s">
        <v>7</v>
      </c>
      <c r="M417" s="5" t="s">
        <v>7</v>
      </c>
      <c r="N417" s="5" t="s">
        <v>7</v>
      </c>
      <c r="O417" t="s">
        <v>778</v>
      </c>
      <c r="P417" t="s">
        <v>7834</v>
      </c>
      <c r="R417" s="1" t="b">
        <v>1</v>
      </c>
    </row>
    <row r="418" spans="1:18">
      <c r="A418" t="s">
        <v>3023</v>
      </c>
      <c r="B418" t="s">
        <v>11094</v>
      </c>
      <c r="C418" s="5" t="s">
        <v>7736</v>
      </c>
      <c r="D418" s="1">
        <v>4</v>
      </c>
      <c r="E418" s="1">
        <v>8</v>
      </c>
      <c r="F418" s="1">
        <v>296</v>
      </c>
      <c r="G418" s="1">
        <v>298</v>
      </c>
      <c r="H418" s="13" cm="1">
        <f t="array" ref="H418">_xlfn.LET(_xlpm.s,IFERROR(--F418,""),_xlpm.e,IFERROR(--G418,""),IF(OR(_xlpm.s="",_xlpm.e="",_xlpm.e&lt;_xlpm.s),"",_xlfn.LET(_xlpm.p,_xlfn.SEQUENCE(_xlpm.e-_xlpm.s+1,1,_xlpm.s,1),SUM(1/COUNTIFS($D:$D,D418,$E:$E,E418,$F:$F,"&lt;&gt;N/A",$G:$G,"&lt;&gt;N/A",$F:$F,"&lt;="&amp;_xlpm.p,$G:$G,"&gt;="&amp;_xlpm.p)))))</f>
        <v>2.5</v>
      </c>
      <c r="I418" t="s">
        <v>1350</v>
      </c>
      <c r="J418" s="5" t="s">
        <v>1722</v>
      </c>
      <c r="K418" s="5" t="s">
        <v>7</v>
      </c>
      <c r="L418" s="5" t="s">
        <v>7</v>
      </c>
      <c r="M418" s="5" t="s">
        <v>7</v>
      </c>
      <c r="N418" s="5" t="s">
        <v>7</v>
      </c>
      <c r="O418" t="s">
        <v>778</v>
      </c>
      <c r="P418" t="s">
        <v>7834</v>
      </c>
      <c r="R418" s="1" t="b">
        <v>1</v>
      </c>
    </row>
    <row r="419" spans="1:18">
      <c r="A419" t="s">
        <v>3023</v>
      </c>
      <c r="B419" t="s">
        <v>11095</v>
      </c>
      <c r="C419" s="5" t="s">
        <v>7736</v>
      </c>
      <c r="D419" s="1">
        <v>4</v>
      </c>
      <c r="E419" s="1">
        <v>8</v>
      </c>
      <c r="F419" s="1">
        <v>299</v>
      </c>
      <c r="G419" s="1">
        <v>303</v>
      </c>
      <c r="H419" s="13" cm="1">
        <f t="array" ref="H419">_xlfn.LET(_xlpm.s,IFERROR(--F419,""),_xlpm.e,IFERROR(--G419,""),IF(OR(_xlpm.s="",_xlpm.e="",_xlpm.e&lt;_xlpm.s),"",_xlfn.LET(_xlpm.p,_xlfn.SEQUENCE(_xlpm.e-_xlpm.s+1,1,_xlpm.s,1),SUM(1/COUNTIFS($D:$D,D419,$E:$E,E419,$F:$F,"&lt;&gt;N/A",$G:$G,"&lt;&gt;N/A",$F:$F,"&lt;="&amp;_xlpm.p,$G:$G,"&gt;="&amp;_xlpm.p)))))</f>
        <v>4.5</v>
      </c>
      <c r="I419" t="s">
        <v>208</v>
      </c>
      <c r="J419" s="5" t="s">
        <v>1723</v>
      </c>
      <c r="K419" s="5" t="s">
        <v>7</v>
      </c>
      <c r="L419" s="5" t="s">
        <v>4902</v>
      </c>
      <c r="M419" t="s">
        <v>7464</v>
      </c>
      <c r="N419" s="5" t="s">
        <v>7615</v>
      </c>
      <c r="O419" t="s">
        <v>5072</v>
      </c>
      <c r="P419" t="s">
        <v>8021</v>
      </c>
      <c r="R419" s="1" t="b">
        <v>1</v>
      </c>
    </row>
    <row r="420" spans="1:18">
      <c r="A420" t="s">
        <v>3023</v>
      </c>
      <c r="B420" t="s">
        <v>11096</v>
      </c>
      <c r="C420" s="5" t="s">
        <v>7736</v>
      </c>
      <c r="D420" s="1">
        <v>4</v>
      </c>
      <c r="E420" s="1">
        <v>8</v>
      </c>
      <c r="F420" s="1">
        <v>303</v>
      </c>
      <c r="G420" s="1">
        <v>309</v>
      </c>
      <c r="H420" s="13" cm="1">
        <f t="array" ref="H420">_xlfn.LET(_xlpm.s,IFERROR(--F420,""),_xlpm.e,IFERROR(--G420,""),IF(OR(_xlpm.s="",_xlpm.e="",_xlpm.e&lt;_xlpm.s),"",_xlfn.LET(_xlpm.p,_xlfn.SEQUENCE(_xlpm.e-_xlpm.s+1,1,_xlpm.s,1),SUM(1/COUNTIFS($D:$D,D420,$E:$E,E420,$F:$F,"&lt;&gt;N/A",$G:$G,"&lt;&gt;N/A",$F:$F,"&lt;="&amp;_xlpm.p,$G:$G,"&gt;="&amp;_xlpm.p)))))</f>
        <v>6</v>
      </c>
      <c r="I420" t="s">
        <v>208</v>
      </c>
      <c r="J420" s="5" t="s">
        <v>1724</v>
      </c>
      <c r="K420" s="5" t="s">
        <v>7</v>
      </c>
      <c r="L420" s="5" t="s">
        <v>7</v>
      </c>
      <c r="M420" s="5" t="s">
        <v>7</v>
      </c>
      <c r="N420" s="5" t="s">
        <v>7</v>
      </c>
      <c r="O420" t="s">
        <v>778</v>
      </c>
      <c r="P420" t="s">
        <v>7834</v>
      </c>
      <c r="R420" s="1" t="b">
        <v>1</v>
      </c>
    </row>
    <row r="421" spans="1:18">
      <c r="A421" t="s">
        <v>3023</v>
      </c>
      <c r="B421" t="s">
        <v>11097</v>
      </c>
      <c r="C421" s="5" t="s">
        <v>7736</v>
      </c>
      <c r="D421" s="1">
        <v>4</v>
      </c>
      <c r="E421" s="1">
        <v>8</v>
      </c>
      <c r="F421" s="1">
        <v>309</v>
      </c>
      <c r="G421" s="1">
        <v>310</v>
      </c>
      <c r="H421" s="13" cm="1">
        <f t="array" ref="H421">_xlfn.LET(_xlpm.s,IFERROR(--F421,""),_xlpm.e,IFERROR(--G421,""),IF(OR(_xlpm.s="",_xlpm.e="",_xlpm.e&lt;_xlpm.s),"",_xlfn.LET(_xlpm.p,_xlfn.SEQUENCE(_xlpm.e-_xlpm.s+1,1,_xlpm.s,1),SUM(1/COUNTIFS($D:$D,D421,$E:$E,E421,$F:$F,"&lt;&gt;N/A",$G:$G,"&lt;&gt;N/A",$F:$F,"&lt;="&amp;_xlpm.p,$G:$G,"&gt;="&amp;_xlpm.p)))))</f>
        <v>1.5</v>
      </c>
      <c r="I421" t="s">
        <v>208</v>
      </c>
      <c r="J421" s="5" t="s">
        <v>11394</v>
      </c>
      <c r="K421" s="5" t="s">
        <v>4903</v>
      </c>
      <c r="L421" s="5" t="s">
        <v>4904</v>
      </c>
      <c r="M421" t="s">
        <v>7468</v>
      </c>
      <c r="N421" s="5" t="s">
        <v>7650</v>
      </c>
      <c r="O421" t="s">
        <v>5072</v>
      </c>
      <c r="P421" t="s">
        <v>8021</v>
      </c>
      <c r="R421" s="1" t="b">
        <v>1</v>
      </c>
    </row>
    <row r="422" spans="1:18">
      <c r="A422" t="s">
        <v>3023</v>
      </c>
      <c r="B422" t="s">
        <v>11098</v>
      </c>
      <c r="C422" s="5" t="s">
        <v>7737</v>
      </c>
      <c r="D422" s="1">
        <v>4</v>
      </c>
      <c r="E422" s="1">
        <v>9</v>
      </c>
      <c r="F422" s="1">
        <v>311</v>
      </c>
      <c r="G422" s="1">
        <v>313</v>
      </c>
      <c r="H422" s="13" cm="1">
        <f t="array" ref="H422">_xlfn.LET(_xlpm.s,IFERROR(--F422,""),_xlpm.e,IFERROR(--G422,""),IF(OR(_xlpm.s="",_xlpm.e="",_xlpm.e&lt;_xlpm.s),"",_xlfn.LET(_xlpm.p,_xlfn.SEQUENCE(_xlpm.e-_xlpm.s+1,1,_xlpm.s,1),SUM(1/COUNTIFS($D:$D,D422,$E:$E,E422,$F:$F,"&lt;&gt;N/A",$G:$G,"&lt;&gt;N/A",$F:$F,"&lt;="&amp;_xlpm.p,$G:$G,"&gt;="&amp;_xlpm.p)))))</f>
        <v>2.25</v>
      </c>
      <c r="I422" t="s">
        <v>1350</v>
      </c>
      <c r="J422" s="5" t="s">
        <v>1710</v>
      </c>
      <c r="K422" s="5" t="s">
        <v>7</v>
      </c>
      <c r="L422" s="5" t="s">
        <v>7</v>
      </c>
      <c r="M422" s="5" t="s">
        <v>7</v>
      </c>
      <c r="N422" s="5" t="s">
        <v>7</v>
      </c>
      <c r="O422" t="s">
        <v>778</v>
      </c>
      <c r="P422" t="s">
        <v>7834</v>
      </c>
      <c r="R422" s="1" t="b">
        <v>0</v>
      </c>
    </row>
    <row r="423" spans="1:18">
      <c r="A423" t="s">
        <v>3023</v>
      </c>
      <c r="B423" t="s">
        <v>11099</v>
      </c>
      <c r="C423" s="5" t="s">
        <v>7737</v>
      </c>
      <c r="D423" s="1">
        <v>4</v>
      </c>
      <c r="E423" s="1">
        <v>9</v>
      </c>
      <c r="F423" s="1">
        <v>313</v>
      </c>
      <c r="G423" s="1">
        <v>313</v>
      </c>
      <c r="H423" s="13" cm="1">
        <f t="array" ref="H423">_xlfn.LET(_xlpm.s,IFERROR(--F423,""),_xlpm.e,IFERROR(--G423,""),IF(OR(_xlpm.s="",_xlpm.e="",_xlpm.e&lt;_xlpm.s),"",_xlfn.LET(_xlpm.p,_xlfn.SEQUENCE(_xlpm.e-_xlpm.s+1,1,_xlpm.s,1),SUM(1/COUNTIFS($D:$D,D423,$E:$E,E423,$F:$F,"&lt;&gt;N/A",$G:$G,"&lt;&gt;N/A",$F:$F,"&lt;="&amp;_xlpm.p,$G:$G,"&gt;="&amp;_xlpm.p)))))</f>
        <v>0.25</v>
      </c>
      <c r="I423" t="s">
        <v>1350</v>
      </c>
      <c r="J423" s="5" t="s">
        <v>1678</v>
      </c>
      <c r="K423" s="5" t="s">
        <v>7</v>
      </c>
      <c r="L423" s="5" t="s">
        <v>7</v>
      </c>
      <c r="M423" s="5" t="s">
        <v>7</v>
      </c>
      <c r="N423" s="5" t="s">
        <v>7</v>
      </c>
      <c r="O423" t="s">
        <v>778</v>
      </c>
      <c r="P423" t="s">
        <v>7834</v>
      </c>
      <c r="R423" s="1" t="b">
        <v>0</v>
      </c>
    </row>
    <row r="424" spans="1:18">
      <c r="A424" t="s">
        <v>3023</v>
      </c>
      <c r="B424" t="s">
        <v>11100</v>
      </c>
      <c r="C424" s="5" t="s">
        <v>7737</v>
      </c>
      <c r="D424" s="1">
        <v>4</v>
      </c>
      <c r="E424" s="1">
        <v>9</v>
      </c>
      <c r="F424" s="1">
        <v>313</v>
      </c>
      <c r="G424" s="1">
        <v>313</v>
      </c>
      <c r="H424" s="13" cm="1">
        <f t="array" ref="H424">_xlfn.LET(_xlpm.s,IFERROR(--F424,""),_xlpm.e,IFERROR(--G424,""),IF(OR(_xlpm.s="",_xlpm.e="",_xlpm.e&lt;_xlpm.s),"",_xlfn.LET(_xlpm.p,_xlfn.SEQUENCE(_xlpm.e-_xlpm.s+1,1,_xlpm.s,1),SUM(1/COUNTIFS($D:$D,D424,$E:$E,E424,$F:$F,"&lt;&gt;N/A",$G:$G,"&lt;&gt;N/A",$F:$F,"&lt;="&amp;_xlpm.p,$G:$G,"&gt;="&amp;_xlpm.p)))))</f>
        <v>0.25</v>
      </c>
      <c r="I424" t="s">
        <v>1350</v>
      </c>
      <c r="J424" s="5" t="s">
        <v>1679</v>
      </c>
      <c r="K424" s="5" t="s">
        <v>7</v>
      </c>
      <c r="L424" s="5" t="s">
        <v>7</v>
      </c>
      <c r="M424" s="5" t="s">
        <v>7</v>
      </c>
      <c r="N424" s="5" t="s">
        <v>7</v>
      </c>
      <c r="O424" t="s">
        <v>778</v>
      </c>
      <c r="P424" t="s">
        <v>7834</v>
      </c>
      <c r="R424" s="1" t="b">
        <v>0</v>
      </c>
    </row>
    <row r="425" spans="1:18">
      <c r="A425" t="s">
        <v>3023</v>
      </c>
      <c r="B425" t="s">
        <v>11101</v>
      </c>
      <c r="C425" s="5" t="s">
        <v>7737</v>
      </c>
      <c r="D425" s="1">
        <v>4</v>
      </c>
      <c r="E425" s="1">
        <v>9</v>
      </c>
      <c r="F425" s="1">
        <v>313</v>
      </c>
      <c r="G425" s="1">
        <v>314</v>
      </c>
      <c r="H425" s="13" cm="1">
        <f t="array" ref="H425">_xlfn.LET(_xlpm.s,IFERROR(--F425,""),_xlpm.e,IFERROR(--G425,""),IF(OR(_xlpm.s="",_xlpm.e="",_xlpm.e&lt;_xlpm.s),"",_xlfn.LET(_xlpm.p,_xlfn.SEQUENCE(_xlpm.e-_xlpm.s+1,1,_xlpm.s,1),SUM(1/COUNTIFS($D:$D,D425,$E:$E,E425,$F:$F,"&lt;&gt;N/A",$G:$G,"&lt;&gt;N/A",$F:$F,"&lt;="&amp;_xlpm.p,$G:$G,"&gt;="&amp;_xlpm.p)))))</f>
        <v>0.75</v>
      </c>
      <c r="I425" t="s">
        <v>1350</v>
      </c>
      <c r="J425" s="5" t="s">
        <v>1680</v>
      </c>
      <c r="K425" s="5" t="s">
        <v>7</v>
      </c>
      <c r="L425" s="5" t="s">
        <v>7</v>
      </c>
      <c r="M425" s="5" t="s">
        <v>7</v>
      </c>
      <c r="N425" s="5" t="s">
        <v>7</v>
      </c>
      <c r="O425" t="s">
        <v>778</v>
      </c>
      <c r="P425" t="s">
        <v>7834</v>
      </c>
      <c r="R425" s="1" t="b">
        <v>0</v>
      </c>
    </row>
    <row r="426" spans="1:18">
      <c r="A426" t="s">
        <v>3023</v>
      </c>
      <c r="B426" t="s">
        <v>11102</v>
      </c>
      <c r="C426" s="5" t="s">
        <v>7737</v>
      </c>
      <c r="D426" s="1">
        <v>4</v>
      </c>
      <c r="E426" s="1">
        <v>9</v>
      </c>
      <c r="F426" s="1">
        <v>314</v>
      </c>
      <c r="G426" s="1">
        <v>315</v>
      </c>
      <c r="H426" s="13" cm="1">
        <f t="array" ref="H426">_xlfn.LET(_xlpm.s,IFERROR(--F426,""),_xlpm.e,IFERROR(--G426,""),IF(OR(_xlpm.s="",_xlpm.e="",_xlpm.e&lt;_xlpm.s),"",_xlfn.LET(_xlpm.p,_xlfn.SEQUENCE(_xlpm.e-_xlpm.s+1,1,_xlpm.s,1),SUM(1/COUNTIFS($D:$D,D426,$E:$E,E426,$F:$F,"&lt;&gt;N/A",$G:$G,"&lt;&gt;N/A",$F:$F,"&lt;="&amp;_xlpm.p,$G:$G,"&gt;="&amp;_xlpm.p)))))</f>
        <v>0.83333333333333326</v>
      </c>
      <c r="I426" t="s">
        <v>1350</v>
      </c>
      <c r="J426" s="5" t="s">
        <v>1681</v>
      </c>
      <c r="K426" s="5" t="s">
        <v>7</v>
      </c>
      <c r="L426" s="5" t="s">
        <v>7</v>
      </c>
      <c r="M426" s="5" t="s">
        <v>7</v>
      </c>
      <c r="N426" s="5" t="s">
        <v>7</v>
      </c>
      <c r="O426" t="s">
        <v>778</v>
      </c>
      <c r="P426" t="s">
        <v>7834</v>
      </c>
      <c r="R426" s="1" t="b">
        <v>0</v>
      </c>
    </row>
    <row r="427" spans="1:18">
      <c r="A427" t="s">
        <v>3023</v>
      </c>
      <c r="B427" t="s">
        <v>11103</v>
      </c>
      <c r="C427" s="5" t="s">
        <v>7737</v>
      </c>
      <c r="D427" s="1">
        <v>4</v>
      </c>
      <c r="E427" s="1">
        <v>9</v>
      </c>
      <c r="F427" s="1">
        <v>315</v>
      </c>
      <c r="G427" s="1">
        <v>315</v>
      </c>
      <c r="H427" s="13" cm="1">
        <f t="array" ref="H427">_xlfn.LET(_xlpm.s,IFERROR(--F427,""),_xlpm.e,IFERROR(--G427,""),IF(OR(_xlpm.s="",_xlpm.e="",_xlpm.e&lt;_xlpm.s),"",_xlfn.LET(_xlpm.p,_xlfn.SEQUENCE(_xlpm.e-_xlpm.s+1,1,_xlpm.s,1),SUM(1/COUNTIFS($D:$D,D427,$E:$E,E427,$F:$F,"&lt;&gt;N/A",$G:$G,"&lt;&gt;N/A",$F:$F,"&lt;="&amp;_xlpm.p,$G:$G,"&gt;="&amp;_xlpm.p)))))</f>
        <v>0.33333333333333331</v>
      </c>
      <c r="I427" t="s">
        <v>1350</v>
      </c>
      <c r="J427" s="5" t="s">
        <v>1711</v>
      </c>
      <c r="K427" s="5" t="s">
        <v>7</v>
      </c>
      <c r="L427" s="5" t="s">
        <v>7</v>
      </c>
      <c r="M427" s="5" t="s">
        <v>7</v>
      </c>
      <c r="N427" s="5" t="s">
        <v>7</v>
      </c>
      <c r="O427" t="s">
        <v>778</v>
      </c>
      <c r="P427" t="s">
        <v>7834</v>
      </c>
      <c r="R427" s="1" t="b">
        <v>1</v>
      </c>
    </row>
    <row r="428" spans="1:18">
      <c r="A428" t="s">
        <v>3023</v>
      </c>
      <c r="B428" t="s">
        <v>11104</v>
      </c>
      <c r="C428" s="5" t="s">
        <v>7737</v>
      </c>
      <c r="D428" s="1">
        <v>4</v>
      </c>
      <c r="E428" s="1">
        <v>9</v>
      </c>
      <c r="F428" s="1">
        <v>315</v>
      </c>
      <c r="G428" s="1">
        <v>316</v>
      </c>
      <c r="H428" s="13" cm="1">
        <f t="array" ref="H428">_xlfn.LET(_xlpm.s,IFERROR(--F428,""),_xlpm.e,IFERROR(--G428,""),IF(OR(_xlpm.s="",_xlpm.e="",_xlpm.e&lt;_xlpm.s),"",_xlfn.LET(_xlpm.p,_xlfn.SEQUENCE(_xlpm.e-_xlpm.s+1,1,_xlpm.s,1),SUM(1/COUNTIFS($D:$D,D428,$E:$E,E428,$F:$F,"&lt;&gt;N/A",$G:$G,"&lt;&gt;N/A",$F:$F,"&lt;="&amp;_xlpm.p,$G:$G,"&gt;="&amp;_xlpm.p)))))</f>
        <v>0.83333333333333326</v>
      </c>
      <c r="I428" t="s">
        <v>1350</v>
      </c>
      <c r="J428" s="5" t="s">
        <v>1712</v>
      </c>
      <c r="K428" s="5" t="s">
        <v>7</v>
      </c>
      <c r="L428" s="5" t="s">
        <v>7</v>
      </c>
      <c r="M428" s="5" t="s">
        <v>7</v>
      </c>
      <c r="N428" s="5" t="s">
        <v>7</v>
      </c>
      <c r="O428" t="s">
        <v>778</v>
      </c>
      <c r="P428" t="s">
        <v>7834</v>
      </c>
      <c r="R428" s="1" t="b">
        <v>0</v>
      </c>
    </row>
    <row r="429" spans="1:18">
      <c r="A429" t="s">
        <v>3023</v>
      </c>
      <c r="B429" t="s">
        <v>11105</v>
      </c>
      <c r="C429" s="5" t="s">
        <v>7737</v>
      </c>
      <c r="D429" s="1">
        <v>4</v>
      </c>
      <c r="E429" s="1">
        <v>9</v>
      </c>
      <c r="F429" s="1">
        <v>316</v>
      </c>
      <c r="G429" s="1">
        <v>318</v>
      </c>
      <c r="H429" s="13" cm="1">
        <f t="array" ref="H429">_xlfn.LET(_xlpm.s,IFERROR(--F429,""),_xlpm.e,IFERROR(--G429,""),IF(OR(_xlpm.s="",_xlpm.e="",_xlpm.e&lt;_xlpm.s),"",_xlfn.LET(_xlpm.p,_xlfn.SEQUENCE(_xlpm.e-_xlpm.s+1,1,_xlpm.s,1),SUM(1/COUNTIFS($D:$D,D429,$E:$E,E429,$F:$F,"&lt;&gt;N/A",$G:$G,"&lt;&gt;N/A",$F:$F,"&lt;="&amp;_xlpm.p,$G:$G,"&gt;="&amp;_xlpm.p)))))</f>
        <v>2.5</v>
      </c>
      <c r="I429" t="s">
        <v>1350</v>
      </c>
      <c r="J429" s="5" t="s">
        <v>11395</v>
      </c>
      <c r="K429" s="5" t="s">
        <v>11509</v>
      </c>
      <c r="L429" s="5" t="s">
        <v>7</v>
      </c>
      <c r="M429" s="5" t="s">
        <v>7</v>
      </c>
      <c r="N429" s="5" t="s">
        <v>7</v>
      </c>
      <c r="O429" t="s">
        <v>778</v>
      </c>
      <c r="P429" t="s">
        <v>7834</v>
      </c>
      <c r="R429" s="1" t="b">
        <v>1</v>
      </c>
    </row>
    <row r="430" spans="1:18">
      <c r="A430" t="s">
        <v>3023</v>
      </c>
      <c r="B430" t="s">
        <v>11106</v>
      </c>
      <c r="C430" s="5" t="s">
        <v>7737</v>
      </c>
      <c r="D430" s="1">
        <v>4</v>
      </c>
      <c r="E430" s="1">
        <v>9</v>
      </c>
      <c r="F430" s="1">
        <v>319</v>
      </c>
      <c r="G430" s="1">
        <v>327</v>
      </c>
      <c r="H430" s="13" cm="1">
        <f t="array" ref="H430">_xlfn.LET(_xlpm.s,IFERROR(--F430,""),_xlpm.e,IFERROR(--G430,""),IF(OR(_xlpm.s="",_xlpm.e="",_xlpm.e&lt;_xlpm.s),"",_xlfn.LET(_xlpm.p,_xlfn.SEQUENCE(_xlpm.e-_xlpm.s+1,1,_xlpm.s,1),SUM(1/COUNTIFS($D:$D,D430,$E:$E,E430,$F:$F,"&lt;&gt;N/A",$G:$G,"&lt;&gt;N/A",$F:$F,"&lt;="&amp;_xlpm.p,$G:$G,"&gt;="&amp;_xlpm.p)))))</f>
        <v>8.5</v>
      </c>
      <c r="I430" t="s">
        <v>1350</v>
      </c>
      <c r="J430" s="5" t="s">
        <v>1714</v>
      </c>
      <c r="K430" s="5" t="s">
        <v>4905</v>
      </c>
      <c r="L430" s="5" t="s">
        <v>7</v>
      </c>
      <c r="M430" s="5" t="s">
        <v>7</v>
      </c>
      <c r="N430" s="5" t="s">
        <v>7</v>
      </c>
      <c r="O430" s="5" t="s">
        <v>778</v>
      </c>
      <c r="P430" s="5" t="s">
        <v>7834</v>
      </c>
      <c r="R430" s="1" t="b">
        <v>1</v>
      </c>
    </row>
    <row r="431" spans="1:18">
      <c r="A431" t="s">
        <v>3023</v>
      </c>
      <c r="B431" t="s">
        <v>11107</v>
      </c>
      <c r="C431" s="5" t="s">
        <v>7737</v>
      </c>
      <c r="D431" s="1">
        <v>4</v>
      </c>
      <c r="E431" s="1">
        <v>9</v>
      </c>
      <c r="F431" s="1">
        <v>327</v>
      </c>
      <c r="G431" s="1">
        <v>331</v>
      </c>
      <c r="H431" s="13" cm="1">
        <f t="array" ref="H431">_xlfn.LET(_xlpm.s,IFERROR(--F431,""),_xlpm.e,IFERROR(--G431,""),IF(OR(_xlpm.s="",_xlpm.e="",_xlpm.e&lt;_xlpm.s),"",_xlfn.LET(_xlpm.p,_xlfn.SEQUENCE(_xlpm.e-_xlpm.s+1,1,_xlpm.s,1),SUM(1/COUNTIFS($D:$D,D431,$E:$E,E431,$F:$F,"&lt;&gt;N/A",$G:$G,"&lt;&gt;N/A",$F:$F,"&lt;="&amp;_xlpm.p,$G:$G,"&gt;="&amp;_xlpm.p)))))</f>
        <v>4</v>
      </c>
      <c r="I431" t="s">
        <v>1350</v>
      </c>
      <c r="J431" s="5" t="s">
        <v>1715</v>
      </c>
      <c r="K431" s="5" t="s">
        <v>4906</v>
      </c>
      <c r="L431" s="5" t="s">
        <v>7</v>
      </c>
      <c r="M431" s="5" t="s">
        <v>7</v>
      </c>
      <c r="N431" s="5" t="s">
        <v>7</v>
      </c>
      <c r="O431" t="s">
        <v>778</v>
      </c>
      <c r="P431" t="s">
        <v>7834</v>
      </c>
      <c r="R431" s="1" t="b">
        <v>1</v>
      </c>
    </row>
    <row r="432" spans="1:18">
      <c r="A432" t="s">
        <v>3023</v>
      </c>
      <c r="B432" t="s">
        <v>11108</v>
      </c>
      <c r="C432" s="5" t="s">
        <v>7737</v>
      </c>
      <c r="D432" s="1">
        <v>4</v>
      </c>
      <c r="E432" s="1">
        <v>9</v>
      </c>
      <c r="F432" s="1">
        <v>331</v>
      </c>
      <c r="G432" s="1">
        <v>339</v>
      </c>
      <c r="H432" s="13" cm="1">
        <f t="array" ref="H432">_xlfn.LET(_xlpm.s,IFERROR(--F432,""),_xlpm.e,IFERROR(--G432,""),IF(OR(_xlpm.s="",_xlpm.e="",_xlpm.e&lt;_xlpm.s),"",_xlfn.LET(_xlpm.p,_xlfn.SEQUENCE(_xlpm.e-_xlpm.s+1,1,_xlpm.s,1),SUM(1/COUNTIFS($D:$D,D432,$E:$E,E432,$F:$F,"&lt;&gt;N/A",$G:$G,"&lt;&gt;N/A",$F:$F,"&lt;="&amp;_xlpm.p,$G:$G,"&gt;="&amp;_xlpm.p)))))</f>
        <v>6.333333333333333</v>
      </c>
      <c r="I432" t="s">
        <v>1350</v>
      </c>
      <c r="J432" s="5" t="s">
        <v>1716</v>
      </c>
      <c r="K432" s="5" t="s">
        <v>1614</v>
      </c>
      <c r="L432" s="5" t="s">
        <v>7</v>
      </c>
      <c r="M432" s="5" t="s">
        <v>7</v>
      </c>
      <c r="N432" s="5" t="s">
        <v>7</v>
      </c>
      <c r="O432" t="s">
        <v>778</v>
      </c>
      <c r="P432" t="s">
        <v>7834</v>
      </c>
      <c r="R432" s="1" t="b">
        <v>1</v>
      </c>
    </row>
    <row r="433" spans="1:18">
      <c r="A433" t="s">
        <v>3023</v>
      </c>
      <c r="B433" t="s">
        <v>11109</v>
      </c>
      <c r="C433" s="5" t="s">
        <v>7737</v>
      </c>
      <c r="D433" s="1">
        <v>4</v>
      </c>
      <c r="E433" s="1">
        <v>9</v>
      </c>
      <c r="F433" s="1">
        <v>336</v>
      </c>
      <c r="G433" s="1">
        <v>339</v>
      </c>
      <c r="H433" s="13" cm="1">
        <f t="array" ref="H433">_xlfn.LET(_xlpm.s,IFERROR(--F433,""),_xlpm.e,IFERROR(--G433,""),IF(OR(_xlpm.s="",_xlpm.e="",_xlpm.e&lt;_xlpm.s),"",_xlfn.LET(_xlpm.p,_xlfn.SEQUENCE(_xlpm.e-_xlpm.s+1,1,_xlpm.s,1),SUM(1/COUNTIFS($D:$D,D433,$E:$E,E433,$F:$F,"&lt;&gt;N/A",$G:$G,"&lt;&gt;N/A",$F:$F,"&lt;="&amp;_xlpm.p,$G:$G,"&gt;="&amp;_xlpm.p)))))</f>
        <v>1.8333333333333333</v>
      </c>
      <c r="I433" t="s">
        <v>208</v>
      </c>
      <c r="J433" s="5" t="s">
        <v>1717</v>
      </c>
      <c r="K433" s="5" t="s">
        <v>7</v>
      </c>
      <c r="L433" s="5" t="s">
        <v>4907</v>
      </c>
      <c r="M433" s="5" t="s">
        <v>7472</v>
      </c>
      <c r="N433" s="5" t="s">
        <v>2692</v>
      </c>
      <c r="O433" t="s">
        <v>5072</v>
      </c>
      <c r="P433" t="s">
        <v>8021</v>
      </c>
      <c r="R433" s="1" t="b">
        <v>1</v>
      </c>
    </row>
    <row r="434" spans="1:18">
      <c r="A434" t="s">
        <v>3023</v>
      </c>
      <c r="B434" t="s">
        <v>11110</v>
      </c>
      <c r="C434" s="5" t="s">
        <v>7737</v>
      </c>
      <c r="D434" s="1">
        <v>4</v>
      </c>
      <c r="E434" s="1">
        <v>9</v>
      </c>
      <c r="F434" s="1">
        <v>339</v>
      </c>
      <c r="G434" s="1">
        <v>340</v>
      </c>
      <c r="H434" s="13" cm="1">
        <f t="array" ref="H434">_xlfn.LET(_xlpm.s,IFERROR(--F434,""),_xlpm.e,IFERROR(--G434,""),IF(OR(_xlpm.s="",_xlpm.e="",_xlpm.e&lt;_xlpm.s),"",_xlfn.LET(_xlpm.p,_xlfn.SEQUENCE(_xlpm.e-_xlpm.s+1,1,_xlpm.s,1),SUM(1/COUNTIFS($D:$D,D434,$E:$E,E434,$F:$F,"&lt;&gt;N/A",$G:$G,"&lt;&gt;N/A",$F:$F,"&lt;="&amp;_xlpm.p,$G:$G,"&gt;="&amp;_xlpm.p)))))</f>
        <v>0.83333333333333326</v>
      </c>
      <c r="I434" t="s">
        <v>208</v>
      </c>
      <c r="J434" s="5" t="s">
        <v>1718</v>
      </c>
      <c r="K434" s="5" t="s">
        <v>7</v>
      </c>
      <c r="L434" s="5" t="s">
        <v>7</v>
      </c>
      <c r="M434" s="5" t="s">
        <v>7653</v>
      </c>
      <c r="N434" s="5" t="s">
        <v>7652</v>
      </c>
      <c r="O434" s="5" t="s">
        <v>11522</v>
      </c>
      <c r="P434" s="5" t="s">
        <v>8021</v>
      </c>
      <c r="R434" s="1" t="b">
        <v>1</v>
      </c>
    </row>
    <row r="435" spans="1:18">
      <c r="A435" t="s">
        <v>3023</v>
      </c>
      <c r="B435" t="s">
        <v>11111</v>
      </c>
      <c r="C435" s="5" t="s">
        <v>7737</v>
      </c>
      <c r="D435" s="1">
        <v>4</v>
      </c>
      <c r="E435" s="1">
        <v>9</v>
      </c>
      <c r="F435" s="1">
        <v>340</v>
      </c>
      <c r="G435" s="1">
        <v>340</v>
      </c>
      <c r="H435" s="13" cm="1">
        <f t="array" ref="H435">_xlfn.LET(_xlpm.s,IFERROR(--F435,""),_xlpm.e,IFERROR(--G435,""),IF(OR(_xlpm.s="",_xlpm.e="",_xlpm.e&lt;_xlpm.s),"",_xlfn.LET(_xlpm.p,_xlfn.SEQUENCE(_xlpm.e-_xlpm.s+1,1,_xlpm.s,1),SUM(1/COUNTIFS($D:$D,D435,$E:$E,E435,$F:$F,"&lt;&gt;N/A",$G:$G,"&lt;&gt;N/A",$F:$F,"&lt;="&amp;_xlpm.p,$G:$G,"&gt;="&amp;_xlpm.p)))))</f>
        <v>0.5</v>
      </c>
      <c r="I435" t="s">
        <v>208</v>
      </c>
      <c r="J435" s="5" t="s">
        <v>1719</v>
      </c>
      <c r="K435" s="5" t="s">
        <v>7</v>
      </c>
      <c r="L435" s="5" t="s">
        <v>4908</v>
      </c>
      <c r="M435" s="5" t="s">
        <v>7</v>
      </c>
      <c r="N435" s="5" t="s">
        <v>7</v>
      </c>
      <c r="O435" s="5" t="s">
        <v>10264</v>
      </c>
      <c r="P435" s="5" t="s">
        <v>8020</v>
      </c>
      <c r="R435" s="1" t="b">
        <v>1</v>
      </c>
    </row>
    <row r="436" spans="1:18">
      <c r="A436" t="s">
        <v>3023</v>
      </c>
      <c r="B436" t="s">
        <v>11112</v>
      </c>
      <c r="C436" s="5" t="s">
        <v>7737</v>
      </c>
      <c r="D436" s="1">
        <v>4</v>
      </c>
      <c r="E436" s="1">
        <v>9</v>
      </c>
      <c r="F436" s="1">
        <v>341</v>
      </c>
      <c r="G436" s="1">
        <v>341</v>
      </c>
      <c r="H436" s="13" cm="1">
        <f t="array" ref="H436">_xlfn.LET(_xlpm.s,IFERROR(--F436,""),_xlpm.e,IFERROR(--G436,""),IF(OR(_xlpm.s="",_xlpm.e="",_xlpm.e&lt;_xlpm.s),"",_xlfn.LET(_xlpm.p,_xlfn.SEQUENCE(_xlpm.e-_xlpm.s+1,1,_xlpm.s,1),SUM(1/COUNTIFS($D:$D,D436,$E:$E,E436,$F:$F,"&lt;&gt;N/A",$G:$G,"&lt;&gt;N/A",$F:$F,"&lt;="&amp;_xlpm.p,$G:$G,"&gt;="&amp;_xlpm.p)))))</f>
        <v>0.33333333333333331</v>
      </c>
      <c r="I436" t="s">
        <v>208</v>
      </c>
      <c r="J436" s="5" t="s">
        <v>7224</v>
      </c>
      <c r="K436" s="5" t="s">
        <v>7</v>
      </c>
      <c r="L436" s="5" t="s">
        <v>7227</v>
      </c>
      <c r="M436" s="5" t="s">
        <v>7</v>
      </c>
      <c r="N436" s="5" t="s">
        <v>7</v>
      </c>
      <c r="O436" t="s">
        <v>11522</v>
      </c>
      <c r="P436" t="s">
        <v>8034</v>
      </c>
      <c r="R436" s="1" t="b">
        <v>1</v>
      </c>
    </row>
    <row r="437" spans="1:18">
      <c r="A437" t="s">
        <v>3023</v>
      </c>
      <c r="B437" t="s">
        <v>11113</v>
      </c>
      <c r="C437" s="5" t="s">
        <v>7737</v>
      </c>
      <c r="D437" s="1">
        <v>4</v>
      </c>
      <c r="E437" s="1">
        <v>9</v>
      </c>
      <c r="F437" s="1">
        <v>341</v>
      </c>
      <c r="G437" s="1">
        <v>341</v>
      </c>
      <c r="H437" s="13" cm="1">
        <f t="array" ref="H437">_xlfn.LET(_xlpm.s,IFERROR(--F437,""),_xlpm.e,IFERROR(--G437,""),IF(OR(_xlpm.s="",_xlpm.e="",_xlpm.e&lt;_xlpm.s),"",_xlfn.LET(_xlpm.p,_xlfn.SEQUENCE(_xlpm.e-_xlpm.s+1,1,_xlpm.s,1),SUM(1/COUNTIFS($D:$D,D437,$E:$E,E437,$F:$F,"&lt;&gt;N/A",$G:$G,"&lt;&gt;N/A",$F:$F,"&lt;="&amp;_xlpm.p,$G:$G,"&gt;="&amp;_xlpm.p)))))</f>
        <v>0.33333333333333331</v>
      </c>
      <c r="I437" t="s">
        <v>208</v>
      </c>
      <c r="J437" s="5" t="s">
        <v>7225</v>
      </c>
      <c r="K437" s="5" t="s">
        <v>7</v>
      </c>
      <c r="L437" s="5" t="s">
        <v>7227</v>
      </c>
      <c r="M437" s="5" t="s">
        <v>7</v>
      </c>
      <c r="N437" s="5" t="s">
        <v>7711</v>
      </c>
      <c r="O437" t="s">
        <v>5072</v>
      </c>
      <c r="P437" t="s">
        <v>8034</v>
      </c>
      <c r="Q437" t="s">
        <v>7710</v>
      </c>
      <c r="R437" s="1" t="b">
        <v>1</v>
      </c>
    </row>
    <row r="438" spans="1:18">
      <c r="A438" t="s">
        <v>3023</v>
      </c>
      <c r="B438" t="s">
        <v>11114</v>
      </c>
      <c r="C438" s="5" t="s">
        <v>7737</v>
      </c>
      <c r="D438" s="1">
        <v>4</v>
      </c>
      <c r="E438" s="1">
        <v>9</v>
      </c>
      <c r="F438" s="1">
        <v>341</v>
      </c>
      <c r="G438" s="1">
        <v>341</v>
      </c>
      <c r="H438" s="13" cm="1">
        <f t="array" ref="H438">_xlfn.LET(_xlpm.s,IFERROR(--F438,""),_xlpm.e,IFERROR(--G438,""),IF(OR(_xlpm.s="",_xlpm.e="",_xlpm.e&lt;_xlpm.s),"",_xlfn.LET(_xlpm.p,_xlfn.SEQUENCE(_xlpm.e-_xlpm.s+1,1,_xlpm.s,1),SUM(1/COUNTIFS($D:$D,D438,$E:$E,E438,$F:$F,"&lt;&gt;N/A",$G:$G,"&lt;&gt;N/A",$F:$F,"&lt;="&amp;_xlpm.p,$G:$G,"&gt;="&amp;_xlpm.p)))))</f>
        <v>0.33333333333333331</v>
      </c>
      <c r="I438" t="s">
        <v>208</v>
      </c>
      <c r="J438" s="5" t="s">
        <v>7226</v>
      </c>
      <c r="K438" s="5" t="s">
        <v>7</v>
      </c>
      <c r="L438" s="5" t="s">
        <v>7227</v>
      </c>
      <c r="M438" s="5" t="s">
        <v>7</v>
      </c>
      <c r="N438" s="5" t="s">
        <v>7712</v>
      </c>
      <c r="O438" t="s">
        <v>5072</v>
      </c>
      <c r="P438" t="s">
        <v>8034</v>
      </c>
      <c r="R438" s="1" t="b">
        <v>1</v>
      </c>
    </row>
    <row r="439" spans="1:18">
      <c r="A439" t="s">
        <v>3023</v>
      </c>
      <c r="B439" t="s">
        <v>11115</v>
      </c>
      <c r="C439" s="5" t="s">
        <v>7747</v>
      </c>
      <c r="D439" s="1">
        <v>4</v>
      </c>
      <c r="E439" s="1">
        <v>10</v>
      </c>
      <c r="F439" s="1">
        <v>341</v>
      </c>
      <c r="G439" s="1">
        <v>345</v>
      </c>
      <c r="H439" s="13" cm="1">
        <f t="array" ref="H439">_xlfn.LET(_xlpm.s,IFERROR(--F439,""),_xlpm.e,IFERROR(--G439,""),IF(OR(_xlpm.s="",_xlpm.e="",_xlpm.e&lt;_xlpm.s),"",_xlfn.LET(_xlpm.p,_xlfn.SEQUENCE(_xlpm.e-_xlpm.s+1,1,_xlpm.s,1),SUM(1/COUNTIFS($D:$D,D439,$E:$E,E439,$F:$F,"&lt;&gt;N/A",$G:$G,"&lt;&gt;N/A",$F:$F,"&lt;="&amp;_xlpm.p,$G:$G,"&gt;="&amp;_xlpm.p)))))</f>
        <v>4.5</v>
      </c>
      <c r="I439" t="s">
        <v>1350</v>
      </c>
      <c r="J439" s="5" t="s">
        <v>3227</v>
      </c>
      <c r="K439" s="5" t="s">
        <v>1713</v>
      </c>
      <c r="L439" s="5" t="s">
        <v>4909</v>
      </c>
      <c r="M439" s="5" t="s">
        <v>7</v>
      </c>
      <c r="N439" s="5" t="s">
        <v>7</v>
      </c>
      <c r="O439" s="5" t="s">
        <v>778</v>
      </c>
      <c r="P439" s="5" t="s">
        <v>7834</v>
      </c>
      <c r="Q439" s="5" t="s">
        <v>7706</v>
      </c>
      <c r="R439" s="1" t="b">
        <v>1</v>
      </c>
    </row>
    <row r="440" spans="1:18">
      <c r="A440" t="s">
        <v>3023</v>
      </c>
      <c r="B440" t="s">
        <v>11116</v>
      </c>
      <c r="C440" s="5" t="s">
        <v>7747</v>
      </c>
      <c r="D440" s="1">
        <v>4</v>
      </c>
      <c r="E440" s="1">
        <v>10</v>
      </c>
      <c r="F440" s="1">
        <v>345</v>
      </c>
      <c r="G440" s="1">
        <v>354</v>
      </c>
      <c r="H440" s="13" cm="1">
        <f t="array" ref="H440">_xlfn.LET(_xlpm.s,IFERROR(--F440,""),_xlpm.e,IFERROR(--G440,""),IF(OR(_xlpm.s="",_xlpm.e="",_xlpm.e&lt;_xlpm.s),"",_xlfn.LET(_xlpm.p,_xlfn.SEQUENCE(_xlpm.e-_xlpm.s+1,1,_xlpm.s,1),SUM(1/COUNTIFS($D:$D,D440,$E:$E,E440,$F:$F,"&lt;&gt;N/A",$G:$G,"&lt;&gt;N/A",$F:$F,"&lt;="&amp;_xlpm.p,$G:$G,"&gt;="&amp;_xlpm.p)))))</f>
        <v>9</v>
      </c>
      <c r="I440" t="s">
        <v>1350</v>
      </c>
      <c r="J440" s="5" t="s">
        <v>1702</v>
      </c>
      <c r="K440" s="5" t="s">
        <v>4905</v>
      </c>
      <c r="L440" s="5" t="s">
        <v>7</v>
      </c>
      <c r="M440" s="5" t="s">
        <v>7</v>
      </c>
      <c r="N440" s="5" t="s">
        <v>7</v>
      </c>
      <c r="O440" s="5" t="s">
        <v>778</v>
      </c>
      <c r="P440" s="5" t="s">
        <v>7834</v>
      </c>
      <c r="R440" s="1" t="b">
        <v>1</v>
      </c>
    </row>
    <row r="441" spans="1:18">
      <c r="A441" t="s">
        <v>3023</v>
      </c>
      <c r="B441" t="s">
        <v>11117</v>
      </c>
      <c r="C441" s="5" t="s">
        <v>7747</v>
      </c>
      <c r="D441" s="1">
        <v>4</v>
      </c>
      <c r="E441" s="1">
        <v>10</v>
      </c>
      <c r="F441" s="1">
        <v>354</v>
      </c>
      <c r="G441" s="1">
        <v>363</v>
      </c>
      <c r="H441" s="13" cm="1">
        <f t="array" ref="H441">_xlfn.LET(_xlpm.s,IFERROR(--F441,""),_xlpm.e,IFERROR(--G441,""),IF(OR(_xlpm.s="",_xlpm.e="",_xlpm.e&lt;_xlpm.s),"",_xlfn.LET(_xlpm.p,_xlfn.SEQUENCE(_xlpm.e-_xlpm.s+1,1,_xlpm.s,1),SUM(1/COUNTIFS($D:$D,D441,$E:$E,E441,$F:$F,"&lt;&gt;N/A",$G:$G,"&lt;&gt;N/A",$F:$F,"&lt;="&amp;_xlpm.p,$G:$G,"&gt;="&amp;_xlpm.p)))))</f>
        <v>9</v>
      </c>
      <c r="I441" t="s">
        <v>1350</v>
      </c>
      <c r="J441" s="5" t="s">
        <v>1703</v>
      </c>
      <c r="K441" s="5" t="s">
        <v>1704</v>
      </c>
      <c r="L441" s="5" t="s">
        <v>7</v>
      </c>
      <c r="M441" s="5" t="s">
        <v>7</v>
      </c>
      <c r="N441" s="5" t="s">
        <v>7</v>
      </c>
      <c r="O441" s="5" t="s">
        <v>778</v>
      </c>
      <c r="P441" s="5" t="s">
        <v>7834</v>
      </c>
      <c r="R441" s="1" t="b">
        <v>1</v>
      </c>
    </row>
    <row r="442" spans="1:18">
      <c r="A442" t="s">
        <v>3023</v>
      </c>
      <c r="B442" t="s">
        <v>11118</v>
      </c>
      <c r="C442" s="5" t="s">
        <v>7747</v>
      </c>
      <c r="D442" s="1">
        <v>4</v>
      </c>
      <c r="E442" s="1">
        <v>10</v>
      </c>
      <c r="F442" s="1">
        <v>363</v>
      </c>
      <c r="G442" s="1">
        <v>367</v>
      </c>
      <c r="H442" s="13" cm="1">
        <f t="array" ref="H442">_xlfn.LET(_xlpm.s,IFERROR(--F442,""),_xlpm.e,IFERROR(--G442,""),IF(OR(_xlpm.s="",_xlpm.e="",_xlpm.e&lt;_xlpm.s),"",_xlfn.LET(_xlpm.p,_xlfn.SEQUENCE(_xlpm.e-_xlpm.s+1,1,_xlpm.s,1),SUM(1/COUNTIFS($D:$D,D442,$E:$E,E442,$F:$F,"&lt;&gt;N/A",$G:$G,"&lt;&gt;N/A",$F:$F,"&lt;="&amp;_xlpm.p,$G:$G,"&gt;="&amp;_xlpm.p)))))</f>
        <v>4</v>
      </c>
      <c r="I442" t="s">
        <v>1350</v>
      </c>
      <c r="J442" s="5" t="s">
        <v>1705</v>
      </c>
      <c r="K442" s="5" t="s">
        <v>7</v>
      </c>
      <c r="L442" s="5" t="s">
        <v>7</v>
      </c>
      <c r="M442" s="5" t="s">
        <v>7</v>
      </c>
      <c r="N442" s="5" t="s">
        <v>7</v>
      </c>
      <c r="O442" s="5" t="s">
        <v>778</v>
      </c>
      <c r="P442" s="5" t="s">
        <v>7834</v>
      </c>
      <c r="R442" s="1" t="b">
        <v>1</v>
      </c>
    </row>
    <row r="443" spans="1:18">
      <c r="A443" t="s">
        <v>3023</v>
      </c>
      <c r="B443" t="s">
        <v>11119</v>
      </c>
      <c r="C443" s="5" t="s">
        <v>7747</v>
      </c>
      <c r="D443" s="1">
        <v>4</v>
      </c>
      <c r="E443" s="1">
        <v>10</v>
      </c>
      <c r="F443" s="1">
        <v>367</v>
      </c>
      <c r="G443" s="1">
        <v>369</v>
      </c>
      <c r="H443" s="13" cm="1">
        <f t="array" ref="H443">_xlfn.LET(_xlpm.s,IFERROR(--F443,""),_xlpm.e,IFERROR(--G443,""),IF(OR(_xlpm.s="",_xlpm.e="",_xlpm.e&lt;_xlpm.s),"",_xlfn.LET(_xlpm.p,_xlfn.SEQUENCE(_xlpm.e-_xlpm.s+1,1,_xlpm.s,1),SUM(1/COUNTIFS($D:$D,D443,$E:$E,E443,$F:$F,"&lt;&gt;N/A",$G:$G,"&lt;&gt;N/A",$F:$F,"&lt;="&amp;_xlpm.p,$G:$G,"&gt;="&amp;_xlpm.p)))))</f>
        <v>2</v>
      </c>
      <c r="I443" t="s">
        <v>208</v>
      </c>
      <c r="J443" s="5" t="s">
        <v>1706</v>
      </c>
      <c r="K443" s="5" t="s">
        <v>11509</v>
      </c>
      <c r="L443" s="5" t="s">
        <v>7477</v>
      </c>
      <c r="M443" t="s">
        <v>7494</v>
      </c>
      <c r="N443" s="5" t="s">
        <v>10122</v>
      </c>
      <c r="O443" t="s">
        <v>5072</v>
      </c>
      <c r="P443" t="s">
        <v>8021</v>
      </c>
      <c r="R443" s="1" t="b">
        <v>1</v>
      </c>
    </row>
    <row r="444" spans="1:18">
      <c r="A444" t="s">
        <v>3023</v>
      </c>
      <c r="B444" t="s">
        <v>11120</v>
      </c>
      <c r="C444" s="5" t="s">
        <v>7747</v>
      </c>
      <c r="D444" s="1">
        <v>4</v>
      </c>
      <c r="E444" s="1">
        <v>10</v>
      </c>
      <c r="F444" s="1">
        <v>369</v>
      </c>
      <c r="G444" s="1">
        <v>370</v>
      </c>
      <c r="H444" s="13" cm="1">
        <f t="array" ref="H444">_xlfn.LET(_xlpm.s,IFERROR(--F444,""),_xlpm.e,IFERROR(--G444,""),IF(OR(_xlpm.s="",_xlpm.e="",_xlpm.e&lt;_xlpm.s),"",_xlfn.LET(_xlpm.p,_xlfn.SEQUENCE(_xlpm.e-_xlpm.s+1,1,_xlpm.s,1),SUM(1/COUNTIFS($D:$D,D444,$E:$E,E444,$F:$F,"&lt;&gt;N/A",$G:$G,"&lt;&gt;N/A",$F:$F,"&lt;="&amp;_xlpm.p,$G:$G,"&gt;="&amp;_xlpm.p)))))</f>
        <v>1</v>
      </c>
      <c r="I444" t="s">
        <v>208</v>
      </c>
      <c r="J444" s="5" t="s">
        <v>1707</v>
      </c>
      <c r="K444" s="5" t="s">
        <v>4910</v>
      </c>
      <c r="L444" s="5" t="s">
        <v>4911</v>
      </c>
      <c r="M444" t="s">
        <v>7468</v>
      </c>
      <c r="N444" s="5" t="s">
        <v>7631</v>
      </c>
      <c r="O444" t="s">
        <v>5072</v>
      </c>
      <c r="P444" t="s">
        <v>8021</v>
      </c>
      <c r="R444" s="1" t="b">
        <v>1</v>
      </c>
    </row>
    <row r="445" spans="1:18">
      <c r="A445" t="s">
        <v>3023</v>
      </c>
      <c r="B445" t="s">
        <v>11121</v>
      </c>
      <c r="C445" s="5" t="s">
        <v>7747</v>
      </c>
      <c r="D445" s="1">
        <v>4</v>
      </c>
      <c r="E445" s="1">
        <v>10</v>
      </c>
      <c r="F445" s="1">
        <v>370</v>
      </c>
      <c r="G445" s="1">
        <v>371</v>
      </c>
      <c r="H445" s="13" cm="1">
        <f t="array" ref="H445">_xlfn.LET(_xlpm.s,IFERROR(--F445,""),_xlpm.e,IFERROR(--G445,""),IF(OR(_xlpm.s="",_xlpm.e="",_xlpm.e&lt;_xlpm.s),"",_xlfn.LET(_xlpm.p,_xlfn.SEQUENCE(_xlpm.e-_xlpm.s+1,1,_xlpm.s,1),SUM(1/COUNTIFS($D:$D,D445,$E:$E,E445,$F:$F,"&lt;&gt;N/A",$G:$G,"&lt;&gt;N/A",$F:$F,"&lt;="&amp;_xlpm.p,$G:$G,"&gt;="&amp;_xlpm.p)))))</f>
        <v>1</v>
      </c>
      <c r="I445" t="s">
        <v>208</v>
      </c>
      <c r="J445" s="5" t="s">
        <v>1708</v>
      </c>
      <c r="K445" s="5" t="s">
        <v>7</v>
      </c>
      <c r="L445" s="5" t="s">
        <v>4912</v>
      </c>
      <c r="M445" t="s">
        <v>7468</v>
      </c>
      <c r="N445" s="5" t="s">
        <v>7632</v>
      </c>
      <c r="O445" t="s">
        <v>5072</v>
      </c>
      <c r="P445" t="s">
        <v>8021</v>
      </c>
      <c r="R445" s="1" t="b">
        <v>1</v>
      </c>
    </row>
    <row r="446" spans="1:18">
      <c r="A446" t="s">
        <v>3023</v>
      </c>
      <c r="B446" t="s">
        <v>11122</v>
      </c>
      <c r="C446" s="5" t="s">
        <v>7747</v>
      </c>
      <c r="D446" s="1">
        <v>4</v>
      </c>
      <c r="E446" s="1">
        <v>10</v>
      </c>
      <c r="F446" s="1">
        <v>371</v>
      </c>
      <c r="G446" s="1">
        <v>372</v>
      </c>
      <c r="H446" s="13" cm="1">
        <f t="array" ref="H446">_xlfn.LET(_xlpm.s,IFERROR(--F446,""),_xlpm.e,IFERROR(--G446,""),IF(OR(_xlpm.s="",_xlpm.e="",_xlpm.e&lt;_xlpm.s),"",_xlfn.LET(_xlpm.p,_xlfn.SEQUENCE(_xlpm.e-_xlpm.s+1,1,_xlpm.s,1),SUM(1/COUNTIFS($D:$D,D446,$E:$E,E446,$F:$F,"&lt;&gt;N/A",$G:$G,"&lt;&gt;N/A",$F:$F,"&lt;="&amp;_xlpm.p,$G:$G,"&gt;="&amp;_xlpm.p)))))</f>
        <v>1</v>
      </c>
      <c r="I446" t="s">
        <v>208</v>
      </c>
      <c r="J446" s="5" t="s">
        <v>7223</v>
      </c>
      <c r="K446" s="5" t="s">
        <v>7</v>
      </c>
      <c r="L446" s="5" t="s">
        <v>7</v>
      </c>
      <c r="M446" s="5" t="s">
        <v>7</v>
      </c>
      <c r="N446" s="5" t="s">
        <v>7</v>
      </c>
      <c r="O446" s="5" t="s">
        <v>778</v>
      </c>
      <c r="P446" s="5" t="s">
        <v>7834</v>
      </c>
      <c r="R446" s="1" t="b">
        <v>1</v>
      </c>
    </row>
    <row r="447" spans="1:18">
      <c r="A447" t="s">
        <v>3023</v>
      </c>
      <c r="B447" t="s">
        <v>11123</v>
      </c>
      <c r="C447" s="5" t="s">
        <v>7747</v>
      </c>
      <c r="D447" s="1">
        <v>4</v>
      </c>
      <c r="E447" s="1">
        <v>10</v>
      </c>
      <c r="F447" s="1">
        <v>372</v>
      </c>
      <c r="G447" s="1">
        <v>372</v>
      </c>
      <c r="H447" s="13" cm="1">
        <f t="array" ref="H447">_xlfn.LET(_xlpm.s,IFERROR(--F447,""),_xlpm.e,IFERROR(--G447,""),IF(OR(_xlpm.s="",_xlpm.e="",_xlpm.e&lt;_xlpm.s),"",_xlfn.LET(_xlpm.p,_xlfn.SEQUENCE(_xlpm.e-_xlpm.s+1,1,_xlpm.s,1),SUM(1/COUNTIFS($D:$D,D447,$E:$E,E447,$F:$F,"&lt;&gt;N/A",$G:$G,"&lt;&gt;N/A",$F:$F,"&lt;="&amp;_xlpm.p,$G:$G,"&gt;="&amp;_xlpm.p)))))</f>
        <v>0.5</v>
      </c>
      <c r="I447" t="s">
        <v>208</v>
      </c>
      <c r="J447" s="5" t="s">
        <v>1709</v>
      </c>
      <c r="K447" s="5" t="s">
        <v>7</v>
      </c>
      <c r="L447" s="5" t="s">
        <v>7</v>
      </c>
      <c r="M447" s="5" t="s">
        <v>7</v>
      </c>
      <c r="N447" s="5" t="s">
        <v>7</v>
      </c>
      <c r="O447" s="5" t="s">
        <v>778</v>
      </c>
      <c r="P447" s="5" t="s">
        <v>7834</v>
      </c>
      <c r="R447" s="1" t="b">
        <v>1</v>
      </c>
    </row>
    <row r="448" spans="1:18">
      <c r="A448" t="s">
        <v>3023</v>
      </c>
      <c r="B448" t="s">
        <v>11124</v>
      </c>
      <c r="C448" s="5" t="s">
        <v>7755</v>
      </c>
      <c r="D448" s="1">
        <v>4</v>
      </c>
      <c r="E448" s="1">
        <v>11</v>
      </c>
      <c r="F448" s="1">
        <v>372</v>
      </c>
      <c r="G448" s="1">
        <v>373</v>
      </c>
      <c r="H448" s="13" cm="1">
        <f t="array" ref="H448">_xlfn.LET(_xlpm.s,IFERROR(--F448,""),_xlpm.e,IFERROR(--G448,""),IF(OR(_xlpm.s="",_xlpm.e="",_xlpm.e&lt;_xlpm.s),"",_xlfn.LET(_xlpm.p,_xlfn.SEQUENCE(_xlpm.e-_xlpm.s+1,1,_xlpm.s,1),SUM(1/COUNTIFS($D:$D,D448,$E:$E,E448,$F:$F,"&lt;&gt;N/A",$G:$G,"&lt;&gt;N/A",$F:$F,"&lt;="&amp;_xlpm.p,$G:$G,"&gt;="&amp;_xlpm.p)))))</f>
        <v>1.5</v>
      </c>
      <c r="I448" t="s">
        <v>1350</v>
      </c>
      <c r="J448" s="5" t="s">
        <v>1682</v>
      </c>
      <c r="K448" s="5" t="s">
        <v>7</v>
      </c>
      <c r="L448" s="5" t="s">
        <v>7</v>
      </c>
      <c r="M448" s="5" t="s">
        <v>7</v>
      </c>
      <c r="N448" s="5" t="s">
        <v>7</v>
      </c>
      <c r="O448" t="s">
        <v>778</v>
      </c>
      <c r="P448" t="s">
        <v>7834</v>
      </c>
      <c r="R448" s="1" t="b">
        <v>0</v>
      </c>
    </row>
    <row r="449" spans="1:18">
      <c r="A449" t="s">
        <v>3023</v>
      </c>
      <c r="B449" t="s">
        <v>11125</v>
      </c>
      <c r="C449" s="5" t="s">
        <v>7755</v>
      </c>
      <c r="D449" s="1">
        <v>4</v>
      </c>
      <c r="E449" s="1">
        <v>11</v>
      </c>
      <c r="F449" s="1">
        <v>373</v>
      </c>
      <c r="G449" s="1">
        <v>374</v>
      </c>
      <c r="H449" s="13" cm="1">
        <f t="array" ref="H449">_xlfn.LET(_xlpm.s,IFERROR(--F449,""),_xlpm.e,IFERROR(--G449,""),IF(OR(_xlpm.s="",_xlpm.e="",_xlpm.e&lt;_xlpm.s),"",_xlfn.LET(_xlpm.p,_xlfn.SEQUENCE(_xlpm.e-_xlpm.s+1,1,_xlpm.s,1),SUM(1/COUNTIFS($D:$D,D449,$E:$E,E449,$F:$F,"&lt;&gt;N/A",$G:$G,"&lt;&gt;N/A",$F:$F,"&lt;="&amp;_xlpm.p,$G:$G,"&gt;="&amp;_xlpm.p)))))</f>
        <v>1</v>
      </c>
      <c r="I449" t="s">
        <v>1350</v>
      </c>
      <c r="J449" s="5" t="s">
        <v>1697</v>
      </c>
      <c r="K449" s="5" t="s">
        <v>7</v>
      </c>
      <c r="L449" s="5" t="s">
        <v>7</v>
      </c>
      <c r="M449" s="5" t="s">
        <v>7</v>
      </c>
      <c r="N449" s="5" t="s">
        <v>7</v>
      </c>
      <c r="O449" t="s">
        <v>778</v>
      </c>
      <c r="P449" t="s">
        <v>7834</v>
      </c>
      <c r="R449" s="1" t="b">
        <v>1</v>
      </c>
    </row>
    <row r="450" spans="1:18">
      <c r="A450" t="s">
        <v>3023</v>
      </c>
      <c r="B450" t="s">
        <v>11126</v>
      </c>
      <c r="C450" s="5" t="s">
        <v>7755</v>
      </c>
      <c r="D450" s="1">
        <v>4</v>
      </c>
      <c r="E450" s="1">
        <v>11</v>
      </c>
      <c r="F450" s="1">
        <v>374</v>
      </c>
      <c r="G450" s="1">
        <v>399</v>
      </c>
      <c r="H450" s="13" cm="1">
        <f t="array" ref="H450">_xlfn.LET(_xlpm.s,IFERROR(--F450,""),_xlpm.e,IFERROR(--G450,""),IF(OR(_xlpm.s="",_xlpm.e="",_xlpm.e&lt;_xlpm.s),"",_xlfn.LET(_xlpm.p,_xlfn.SEQUENCE(_xlpm.e-_xlpm.s+1,1,_xlpm.s,1),SUM(1/COUNTIFS($D:$D,D450,$E:$E,E450,$F:$F,"&lt;&gt;N/A",$G:$G,"&lt;&gt;N/A",$F:$F,"&lt;="&amp;_xlpm.p,$G:$G,"&gt;="&amp;_xlpm.p)))))</f>
        <v>24.833333333333332</v>
      </c>
      <c r="I450" t="s">
        <v>1350</v>
      </c>
      <c r="J450" s="5" t="s">
        <v>1698</v>
      </c>
      <c r="K450" s="5" t="s">
        <v>7</v>
      </c>
      <c r="L450" s="5" t="s">
        <v>7</v>
      </c>
      <c r="M450" s="5" t="s">
        <v>7</v>
      </c>
      <c r="N450" s="5" t="s">
        <v>7</v>
      </c>
      <c r="O450" t="s">
        <v>778</v>
      </c>
      <c r="P450" t="s">
        <v>7834</v>
      </c>
      <c r="R450" s="1" t="b">
        <v>1</v>
      </c>
    </row>
    <row r="451" spans="1:18">
      <c r="A451" t="s">
        <v>3023</v>
      </c>
      <c r="B451" t="s">
        <v>11127</v>
      </c>
      <c r="C451" s="5" t="s">
        <v>7755</v>
      </c>
      <c r="D451" s="1">
        <v>4</v>
      </c>
      <c r="E451" s="1">
        <v>11</v>
      </c>
      <c r="F451" s="1">
        <v>399</v>
      </c>
      <c r="G451" s="1">
        <v>399</v>
      </c>
      <c r="H451" s="13" cm="1">
        <f t="array" ref="H451">_xlfn.LET(_xlpm.s,IFERROR(--F451,""),_xlpm.e,IFERROR(--G451,""),IF(OR(_xlpm.s="",_xlpm.e="",_xlpm.e&lt;_xlpm.s),"",_xlfn.LET(_xlpm.p,_xlfn.SEQUENCE(_xlpm.e-_xlpm.s+1,1,_xlpm.s,1),SUM(1/COUNTIFS($D:$D,D451,$E:$E,E451,$F:$F,"&lt;&gt;N/A",$G:$G,"&lt;&gt;N/A",$F:$F,"&lt;="&amp;_xlpm.p,$G:$G,"&gt;="&amp;_xlpm.p)))))</f>
        <v>0.33333333333333331</v>
      </c>
      <c r="I451" t="s">
        <v>208</v>
      </c>
      <c r="J451" s="5" t="s">
        <v>7234</v>
      </c>
      <c r="K451" s="5" t="s">
        <v>7473</v>
      </c>
      <c r="L451" s="5" t="s">
        <v>7474</v>
      </c>
      <c r="M451" s="5" t="s">
        <v>7</v>
      </c>
      <c r="N451" s="5" t="s">
        <v>7</v>
      </c>
      <c r="O451" s="5" t="s">
        <v>11522</v>
      </c>
      <c r="P451" s="5" t="s">
        <v>10179</v>
      </c>
      <c r="R451" s="1" t="b">
        <v>1</v>
      </c>
    </row>
    <row r="452" spans="1:18">
      <c r="A452" t="s">
        <v>3023</v>
      </c>
      <c r="B452" t="s">
        <v>11128</v>
      </c>
      <c r="C452" s="5" t="s">
        <v>7755</v>
      </c>
      <c r="D452" s="1">
        <v>4</v>
      </c>
      <c r="E452" s="1">
        <v>11</v>
      </c>
      <c r="F452" s="1">
        <v>399</v>
      </c>
      <c r="G452" s="1">
        <v>400</v>
      </c>
      <c r="H452" s="13" cm="1">
        <f t="array" ref="H452">_xlfn.LET(_xlpm.s,IFERROR(--F452,""),_xlpm.e,IFERROR(--G452,""),IF(OR(_xlpm.s="",_xlpm.e="",_xlpm.e&lt;_xlpm.s),"",_xlfn.LET(_xlpm.p,_xlfn.SEQUENCE(_xlpm.e-_xlpm.s+1,1,_xlpm.s,1),SUM(1/COUNTIFS($D:$D,D452,$E:$E,E452,$F:$F,"&lt;&gt;N/A",$G:$G,"&lt;&gt;N/A",$F:$F,"&lt;="&amp;_xlpm.p,$G:$G,"&gt;="&amp;_xlpm.p)))))</f>
        <v>0.83333333333333326</v>
      </c>
      <c r="I452" t="s">
        <v>208</v>
      </c>
      <c r="J452" s="5" t="s">
        <v>1699</v>
      </c>
      <c r="K452" s="5" t="s">
        <v>7</v>
      </c>
      <c r="L452" s="5" t="s">
        <v>4913</v>
      </c>
      <c r="M452" t="s">
        <v>7468</v>
      </c>
      <c r="N452" s="5" t="s">
        <v>2691</v>
      </c>
      <c r="O452" t="s">
        <v>5072</v>
      </c>
      <c r="P452" t="s">
        <v>8021</v>
      </c>
      <c r="R452" s="1" t="b">
        <v>1</v>
      </c>
    </row>
    <row r="453" spans="1:18">
      <c r="A453" t="s">
        <v>3023</v>
      </c>
      <c r="B453" t="s">
        <v>11129</v>
      </c>
      <c r="C453" s="5" t="s">
        <v>7755</v>
      </c>
      <c r="D453" s="1">
        <v>4</v>
      </c>
      <c r="E453" s="1">
        <v>11</v>
      </c>
      <c r="F453" s="1">
        <v>400</v>
      </c>
      <c r="G453" s="1">
        <v>401</v>
      </c>
      <c r="H453" s="13" cm="1">
        <f t="array" ref="H453">_xlfn.LET(_xlpm.s,IFERROR(--F453,""),_xlpm.e,IFERROR(--G453,""),IF(OR(_xlpm.s="",_xlpm.e="",_xlpm.e&lt;_xlpm.s),"",_xlfn.LET(_xlpm.p,_xlfn.SEQUENCE(_xlpm.e-_xlpm.s+1,1,_xlpm.s,1),SUM(1/COUNTIFS($D:$D,D453,$E:$E,E453,$F:$F,"&lt;&gt;N/A",$G:$G,"&lt;&gt;N/A",$F:$F,"&lt;="&amp;_xlpm.p,$G:$G,"&gt;="&amp;_xlpm.p)))))</f>
        <v>1</v>
      </c>
      <c r="I453" t="s">
        <v>208</v>
      </c>
      <c r="J453" s="5" t="s">
        <v>1700</v>
      </c>
      <c r="K453" s="5" t="s">
        <v>7</v>
      </c>
      <c r="L453" s="5" t="s">
        <v>4914</v>
      </c>
      <c r="M453" t="s">
        <v>5082</v>
      </c>
      <c r="N453" t="s">
        <v>10412</v>
      </c>
      <c r="O453" s="5" t="s">
        <v>10264</v>
      </c>
      <c r="P453" s="5" t="s">
        <v>8020</v>
      </c>
      <c r="R453" s="1" t="b">
        <v>1</v>
      </c>
    </row>
    <row r="454" spans="1:18">
      <c r="A454" t="s">
        <v>3023</v>
      </c>
      <c r="B454" t="s">
        <v>11130</v>
      </c>
      <c r="C454" s="5" t="s">
        <v>7755</v>
      </c>
      <c r="D454" s="1">
        <v>4</v>
      </c>
      <c r="E454" s="1">
        <v>11</v>
      </c>
      <c r="F454" s="1">
        <v>401</v>
      </c>
      <c r="G454" s="1">
        <v>402</v>
      </c>
      <c r="H454" s="13" cm="1">
        <f t="array" ref="H454">_xlfn.LET(_xlpm.s,IFERROR(--F454,""),_xlpm.e,IFERROR(--G454,""),IF(OR(_xlpm.s="",_xlpm.e="",_xlpm.e&lt;_xlpm.s),"",_xlfn.LET(_xlpm.p,_xlfn.SEQUENCE(_xlpm.e-_xlpm.s+1,1,_xlpm.s,1),SUM(1/COUNTIFS($D:$D,D454,$E:$E,E454,$F:$F,"&lt;&gt;N/A",$G:$G,"&lt;&gt;N/A",$F:$F,"&lt;="&amp;_xlpm.p,$G:$G,"&gt;="&amp;_xlpm.p)))))</f>
        <v>1.5</v>
      </c>
      <c r="I454" t="s">
        <v>208</v>
      </c>
      <c r="J454" s="5" t="s">
        <v>1701</v>
      </c>
      <c r="K454" s="5" t="s">
        <v>7</v>
      </c>
      <c r="L454" s="5" t="s">
        <v>7</v>
      </c>
      <c r="M454" s="5" t="s">
        <v>7</v>
      </c>
      <c r="N454" s="5" t="s">
        <v>7</v>
      </c>
      <c r="O454" t="s">
        <v>778</v>
      </c>
      <c r="P454" t="s">
        <v>7834</v>
      </c>
      <c r="R454" s="1" t="b">
        <v>1</v>
      </c>
    </row>
    <row r="455" spans="1:18">
      <c r="A455" t="s">
        <v>3023</v>
      </c>
      <c r="B455" t="s">
        <v>11131</v>
      </c>
      <c r="C455" s="5" t="s">
        <v>7755</v>
      </c>
      <c r="D455" s="1">
        <v>4</v>
      </c>
      <c r="E455" s="1">
        <v>11</v>
      </c>
      <c r="F455" s="1">
        <v>403</v>
      </c>
      <c r="G455" s="1">
        <v>403</v>
      </c>
      <c r="H455" s="13" cm="1">
        <f t="array" ref="H455">_xlfn.LET(_xlpm.s,IFERROR(--F455,""),_xlpm.e,IFERROR(--G455,""),IF(OR(_xlpm.s="",_xlpm.e="",_xlpm.e&lt;_xlpm.s),"",_xlfn.LET(_xlpm.p,_xlfn.SEQUENCE(_xlpm.e-_xlpm.s+1,1,_xlpm.s,1),SUM(1/COUNTIFS($D:$D,D455,$E:$E,E455,$F:$F,"&lt;&gt;N/A",$G:$G,"&lt;&gt;N/A",$F:$F,"&lt;="&amp;_xlpm.p,$G:$G,"&gt;="&amp;_xlpm.p)))))</f>
        <v>0.5</v>
      </c>
      <c r="I455" t="s">
        <v>208</v>
      </c>
      <c r="J455" s="5" t="s">
        <v>7228</v>
      </c>
      <c r="K455" s="5" t="s">
        <v>7229</v>
      </c>
      <c r="L455" s="5" t="s">
        <v>7</v>
      </c>
      <c r="M455" t="s">
        <v>5135</v>
      </c>
      <c r="N455" s="5" t="s">
        <v>10125</v>
      </c>
      <c r="O455" s="5" t="s">
        <v>11522</v>
      </c>
      <c r="P455" t="s">
        <v>8021</v>
      </c>
      <c r="R455" s="1" t="b">
        <v>1</v>
      </c>
    </row>
    <row r="456" spans="1:18">
      <c r="A456" t="s">
        <v>3023</v>
      </c>
      <c r="B456" t="s">
        <v>11132</v>
      </c>
      <c r="C456" s="5" t="s">
        <v>7755</v>
      </c>
      <c r="D456" s="1">
        <v>4</v>
      </c>
      <c r="E456" s="1">
        <v>11</v>
      </c>
      <c r="F456" s="1">
        <v>403</v>
      </c>
      <c r="G456" s="1">
        <v>403</v>
      </c>
      <c r="H456" s="13" cm="1">
        <f t="array" ref="H456">_xlfn.LET(_xlpm.s,IFERROR(--F456,""),_xlpm.e,IFERROR(--G456,""),IF(OR(_xlpm.s="",_xlpm.e="",_xlpm.e&lt;_xlpm.s),"",_xlfn.LET(_xlpm.p,_xlfn.SEQUENCE(_xlpm.e-_xlpm.s+1,1,_xlpm.s,1),SUM(1/COUNTIFS($D:$D,D456,$E:$E,E456,$F:$F,"&lt;&gt;N/A",$G:$G,"&lt;&gt;N/A",$F:$F,"&lt;="&amp;_xlpm.p,$G:$G,"&gt;="&amp;_xlpm.p)))))</f>
        <v>0.5</v>
      </c>
      <c r="I456" t="s">
        <v>208</v>
      </c>
      <c r="J456" s="5" t="s">
        <v>7230</v>
      </c>
      <c r="K456" s="5" t="s">
        <v>7</v>
      </c>
      <c r="L456" s="5" t="s">
        <v>7</v>
      </c>
      <c r="M456" s="5" t="s">
        <v>7</v>
      </c>
      <c r="N456" s="5" t="s">
        <v>7</v>
      </c>
      <c r="O456" t="s">
        <v>778</v>
      </c>
      <c r="P456" t="s">
        <v>7834</v>
      </c>
      <c r="R456" s="1" t="b">
        <v>0</v>
      </c>
    </row>
    <row r="457" spans="1:18">
      <c r="A457" t="s">
        <v>3023</v>
      </c>
      <c r="B457" t="s">
        <v>11133</v>
      </c>
      <c r="C457" s="5" t="s">
        <v>7763</v>
      </c>
      <c r="D457" s="1">
        <v>4</v>
      </c>
      <c r="E457" s="1">
        <v>12</v>
      </c>
      <c r="F457" s="1">
        <v>404</v>
      </c>
      <c r="G457" s="1">
        <v>431</v>
      </c>
      <c r="H457" s="13" cm="1">
        <f t="array" ref="H457">_xlfn.LET(_xlpm.s,IFERROR(--F457,""),_xlpm.e,IFERROR(--G457,""),IF(OR(_xlpm.s="",_xlpm.e="",_xlpm.e&lt;_xlpm.s),"",_xlfn.LET(_xlpm.p,_xlfn.SEQUENCE(_xlpm.e-_xlpm.s+1,1,_xlpm.s,1),SUM(1/COUNTIFS($D:$D,D457,$E:$E,E457,$F:$F,"&lt;&gt;N/A",$G:$G,"&lt;&gt;N/A",$F:$F,"&lt;="&amp;_xlpm.p,$G:$G,"&gt;="&amp;_xlpm.p)))))</f>
        <v>27.5</v>
      </c>
      <c r="I457" t="s">
        <v>1350</v>
      </c>
      <c r="J457" s="5" t="s">
        <v>1691</v>
      </c>
      <c r="K457" s="5" t="s">
        <v>4905</v>
      </c>
      <c r="L457" s="5" t="s">
        <v>7</v>
      </c>
      <c r="M457" s="5" t="s">
        <v>7</v>
      </c>
      <c r="N457" s="5" t="s">
        <v>7</v>
      </c>
      <c r="O457" t="s">
        <v>778</v>
      </c>
      <c r="P457" t="s">
        <v>7834</v>
      </c>
      <c r="R457" s="1" t="b">
        <v>1</v>
      </c>
    </row>
    <row r="458" spans="1:18">
      <c r="A458" t="s">
        <v>3023</v>
      </c>
      <c r="B458" t="s">
        <v>11134</v>
      </c>
      <c r="C458" s="5" t="s">
        <v>7763</v>
      </c>
      <c r="D458" s="1">
        <v>4</v>
      </c>
      <c r="E458" s="1">
        <v>12</v>
      </c>
      <c r="F458" s="1">
        <v>431</v>
      </c>
      <c r="G458" s="1">
        <v>433</v>
      </c>
      <c r="H458" s="13" cm="1">
        <f t="array" ref="H458">_xlfn.LET(_xlpm.s,IFERROR(--F458,""),_xlpm.e,IFERROR(--G458,""),IF(OR(_xlpm.s="",_xlpm.e="",_xlpm.e&lt;_xlpm.s),"",_xlfn.LET(_xlpm.p,_xlfn.SEQUENCE(_xlpm.e-_xlpm.s+1,1,_xlpm.s,1),SUM(1/COUNTIFS($D:$D,D458,$E:$E,E458,$F:$F,"&lt;&gt;N/A",$G:$G,"&lt;&gt;N/A",$F:$F,"&lt;="&amp;_xlpm.p,$G:$G,"&gt;="&amp;_xlpm.p)))))</f>
        <v>2</v>
      </c>
      <c r="I458" t="s">
        <v>208</v>
      </c>
      <c r="J458" s="5" t="s">
        <v>1692</v>
      </c>
      <c r="K458" s="5" t="s">
        <v>7</v>
      </c>
      <c r="L458" s="5" t="s">
        <v>4915</v>
      </c>
      <c r="M458" s="5" t="s">
        <v>7472</v>
      </c>
      <c r="N458" s="5" t="s">
        <v>2690</v>
      </c>
      <c r="O458" t="s">
        <v>5072</v>
      </c>
      <c r="P458" t="s">
        <v>8021</v>
      </c>
      <c r="R458" s="1" t="b">
        <v>1</v>
      </c>
    </row>
    <row r="459" spans="1:18">
      <c r="A459" t="s">
        <v>3023</v>
      </c>
      <c r="B459" t="s">
        <v>11135</v>
      </c>
      <c r="C459" s="5" t="s">
        <v>7763</v>
      </c>
      <c r="D459" s="1">
        <v>4</v>
      </c>
      <c r="E459" s="1">
        <v>12</v>
      </c>
      <c r="F459" s="1">
        <v>433</v>
      </c>
      <c r="G459" s="1">
        <v>435</v>
      </c>
      <c r="H459" s="13" cm="1">
        <f t="array" ref="H459">_xlfn.LET(_xlpm.s,IFERROR(--F459,""),_xlpm.e,IFERROR(--G459,""),IF(OR(_xlpm.s="",_xlpm.e="",_xlpm.e&lt;_xlpm.s),"",_xlfn.LET(_xlpm.p,_xlfn.SEQUENCE(_xlpm.e-_xlpm.s+1,1,_xlpm.s,1),SUM(1/COUNTIFS($D:$D,D459,$E:$E,E459,$F:$F,"&lt;&gt;N/A",$G:$G,"&lt;&gt;N/A",$F:$F,"&lt;="&amp;_xlpm.p,$G:$G,"&gt;="&amp;_xlpm.p)))))</f>
        <v>2</v>
      </c>
      <c r="I459" t="s">
        <v>208</v>
      </c>
      <c r="J459" s="5" t="s">
        <v>1693</v>
      </c>
      <c r="K459" s="5" t="s">
        <v>7</v>
      </c>
      <c r="L459" s="5" t="s">
        <v>4916</v>
      </c>
      <c r="M459" s="5" t="s">
        <v>7472</v>
      </c>
      <c r="N459" s="5" t="s">
        <v>2689</v>
      </c>
      <c r="O459" t="s">
        <v>5072</v>
      </c>
      <c r="P459" t="s">
        <v>8021</v>
      </c>
      <c r="R459" s="1" t="b">
        <v>1</v>
      </c>
    </row>
    <row r="460" spans="1:18">
      <c r="A460" t="s">
        <v>3023</v>
      </c>
      <c r="B460" t="s">
        <v>11136</v>
      </c>
      <c r="C460" s="5" t="s">
        <v>7763</v>
      </c>
      <c r="D460" s="1">
        <v>4</v>
      </c>
      <c r="E460" s="1">
        <v>12</v>
      </c>
      <c r="F460" s="1">
        <v>435</v>
      </c>
      <c r="G460" s="1">
        <v>435</v>
      </c>
      <c r="H460" s="13" cm="1">
        <f t="array" ref="H460">_xlfn.LET(_xlpm.s,IFERROR(--F460,""),_xlpm.e,IFERROR(--G460,""),IF(OR(_xlpm.s="",_xlpm.e="",_xlpm.e&lt;_xlpm.s),"",_xlfn.LET(_xlpm.p,_xlfn.SEQUENCE(_xlpm.e-_xlpm.s+1,1,_xlpm.s,1),SUM(1/COUNTIFS($D:$D,D460,$E:$E,E460,$F:$F,"&lt;&gt;N/A",$G:$G,"&lt;&gt;N/A",$F:$F,"&lt;="&amp;_xlpm.p,$G:$G,"&gt;="&amp;_xlpm.p)))))</f>
        <v>0.5</v>
      </c>
      <c r="I460" t="s">
        <v>208</v>
      </c>
      <c r="J460" s="5" t="s">
        <v>1694</v>
      </c>
      <c r="K460" s="5" t="s">
        <v>7</v>
      </c>
      <c r="L460" s="5" t="s">
        <v>7</v>
      </c>
      <c r="M460" s="5" t="s">
        <v>7</v>
      </c>
      <c r="N460" s="5" t="s">
        <v>7</v>
      </c>
      <c r="O460" s="5" t="s">
        <v>778</v>
      </c>
      <c r="P460" s="5" t="s">
        <v>7834</v>
      </c>
      <c r="R460" s="1" t="b">
        <v>1</v>
      </c>
    </row>
    <row r="461" spans="1:18">
      <c r="A461" t="s">
        <v>3023</v>
      </c>
      <c r="B461" t="s">
        <v>11137</v>
      </c>
      <c r="C461" s="5" t="s">
        <v>7763</v>
      </c>
      <c r="D461" s="1">
        <v>4</v>
      </c>
      <c r="E461" s="1">
        <v>12</v>
      </c>
      <c r="F461" s="1">
        <v>436</v>
      </c>
      <c r="G461" s="1">
        <v>436</v>
      </c>
      <c r="H461" s="13" cm="1">
        <f t="array" ref="H461">_xlfn.LET(_xlpm.s,IFERROR(--F461,""),_xlpm.e,IFERROR(--G461,""),IF(OR(_xlpm.s="",_xlpm.e="",_xlpm.e&lt;_xlpm.s),"",_xlfn.LET(_xlpm.p,_xlfn.SEQUENCE(_xlpm.e-_xlpm.s+1,1,_xlpm.s,1),SUM(1/COUNTIFS($D:$D,D461,$E:$E,E461,$F:$F,"&lt;&gt;N/A",$G:$G,"&lt;&gt;N/A",$F:$F,"&lt;="&amp;_xlpm.p,$G:$G,"&gt;="&amp;_xlpm.p)))))</f>
        <v>0.5</v>
      </c>
      <c r="I461" t="s">
        <v>208</v>
      </c>
      <c r="J461" s="5" t="s">
        <v>1695</v>
      </c>
      <c r="K461" s="5" t="s">
        <v>7</v>
      </c>
      <c r="L461" s="5" t="s">
        <v>4917</v>
      </c>
      <c r="M461" s="5" t="s">
        <v>7</v>
      </c>
      <c r="N461" s="5" t="s">
        <v>2071</v>
      </c>
      <c r="O461" s="5" t="s">
        <v>10264</v>
      </c>
      <c r="P461" s="5" t="s">
        <v>8020</v>
      </c>
      <c r="R461" s="1" t="b">
        <v>1</v>
      </c>
    </row>
    <row r="462" spans="1:18">
      <c r="A462" t="s">
        <v>3023</v>
      </c>
      <c r="B462" t="s">
        <v>11138</v>
      </c>
      <c r="C462" s="5" t="s">
        <v>7763</v>
      </c>
      <c r="D462" s="1">
        <v>4</v>
      </c>
      <c r="E462" s="1">
        <v>12</v>
      </c>
      <c r="F462" s="1">
        <v>436</v>
      </c>
      <c r="G462" s="1">
        <v>436</v>
      </c>
      <c r="H462" s="13" cm="1">
        <f t="array" ref="H462">_xlfn.LET(_xlpm.s,IFERROR(--F462,""),_xlpm.e,IFERROR(--G462,""),IF(OR(_xlpm.s="",_xlpm.e="",_xlpm.e&lt;_xlpm.s),"",_xlfn.LET(_xlpm.p,_xlfn.SEQUENCE(_xlpm.e-_xlpm.s+1,1,_xlpm.s,1),SUM(1/COUNTIFS($D:$D,D462,$E:$E,E462,$F:$F,"&lt;&gt;N/A",$G:$G,"&lt;&gt;N/A",$F:$F,"&lt;="&amp;_xlpm.p,$G:$G,"&gt;="&amp;_xlpm.p)))))</f>
        <v>0.5</v>
      </c>
      <c r="I462" t="s">
        <v>208</v>
      </c>
      <c r="J462" s="5" t="s">
        <v>1696</v>
      </c>
      <c r="K462" s="5" t="s">
        <v>7</v>
      </c>
      <c r="L462" s="5" t="s">
        <v>7</v>
      </c>
      <c r="M462" s="5" t="s">
        <v>7</v>
      </c>
      <c r="N462" s="5" t="s">
        <v>7</v>
      </c>
      <c r="O462" t="s">
        <v>778</v>
      </c>
      <c r="P462" t="s">
        <v>7834</v>
      </c>
      <c r="R462" s="1" t="b">
        <v>1</v>
      </c>
    </row>
    <row r="463" spans="1:18">
      <c r="A463" t="s">
        <v>3023</v>
      </c>
      <c r="B463" t="s">
        <v>11139</v>
      </c>
      <c r="C463" s="5" t="s">
        <v>7763</v>
      </c>
      <c r="D463" s="1">
        <v>4</v>
      </c>
      <c r="E463" s="1">
        <v>12</v>
      </c>
      <c r="F463" s="1">
        <v>437</v>
      </c>
      <c r="G463" s="1">
        <v>437</v>
      </c>
      <c r="H463" s="13" cm="1">
        <f t="array" ref="H463">_xlfn.LET(_xlpm.s,IFERROR(--F463,""),_xlpm.e,IFERROR(--G463,""),IF(OR(_xlpm.s="",_xlpm.e="",_xlpm.e&lt;_xlpm.s),"",_xlfn.LET(_xlpm.p,_xlfn.SEQUENCE(_xlpm.e-_xlpm.s+1,1,_xlpm.s,1),SUM(1/COUNTIFS($D:$D,D463,$E:$E,E463,$F:$F,"&lt;&gt;N/A",$G:$G,"&lt;&gt;N/A",$F:$F,"&lt;="&amp;_xlpm.p,$G:$G,"&gt;="&amp;_xlpm.p)))))</f>
        <v>1</v>
      </c>
      <c r="I463" t="s">
        <v>208</v>
      </c>
      <c r="J463" s="5" t="s">
        <v>1374</v>
      </c>
      <c r="K463" s="5" t="s">
        <v>1324</v>
      </c>
      <c r="L463" s="5" t="s">
        <v>7</v>
      </c>
      <c r="M463" s="5" t="s">
        <v>7</v>
      </c>
      <c r="N463" s="5" t="s">
        <v>7</v>
      </c>
      <c r="O463" t="s">
        <v>778</v>
      </c>
      <c r="P463" t="s">
        <v>7834</v>
      </c>
      <c r="R463" s="1" t="b">
        <v>1</v>
      </c>
    </row>
    <row r="464" spans="1:18">
      <c r="A464" t="s">
        <v>3024</v>
      </c>
      <c r="B464" t="s">
        <v>11140</v>
      </c>
      <c r="C464" s="5" t="s">
        <v>7771</v>
      </c>
      <c r="D464" s="1">
        <v>5</v>
      </c>
      <c r="E464" s="1">
        <v>1</v>
      </c>
      <c r="F464" s="1">
        <v>3</v>
      </c>
      <c r="G464" s="1">
        <v>6</v>
      </c>
      <c r="H464" s="13" cm="1">
        <f t="array" ref="H464">_xlfn.LET(_xlpm.s,IFERROR(--F464,""),_xlpm.e,IFERROR(--G464,""),IF(OR(_xlpm.s="",_xlpm.e="",_xlpm.e&lt;_xlpm.s),"",_xlfn.LET(_xlpm.p,_xlfn.SEQUENCE(_xlpm.e-_xlpm.s+1,1,_xlpm.s,1),SUM(1/COUNTIFS($D:$D,D464,$E:$E,E464,$F:$F,"&lt;&gt;N/A",$G:$G,"&lt;&gt;N/A",$F:$F,"&lt;="&amp;_xlpm.p,$G:$G,"&gt;="&amp;_xlpm.p)))))</f>
        <v>3.5</v>
      </c>
      <c r="I464" t="s">
        <v>7</v>
      </c>
      <c r="J464" s="5" t="s">
        <v>4036</v>
      </c>
      <c r="K464" s="5" t="s">
        <v>1280</v>
      </c>
      <c r="L464" s="5" t="s">
        <v>7</v>
      </c>
      <c r="M464" s="5" t="s">
        <v>7</v>
      </c>
      <c r="N464" s="5" t="s">
        <v>7</v>
      </c>
      <c r="O464" s="5" t="s">
        <v>778</v>
      </c>
      <c r="P464" s="5" t="s">
        <v>7834</v>
      </c>
      <c r="R464" s="1" t="b">
        <v>1</v>
      </c>
    </row>
    <row r="465" spans="1:18">
      <c r="A465" t="s">
        <v>3024</v>
      </c>
      <c r="B465" t="s">
        <v>11141</v>
      </c>
      <c r="C465" s="5" t="s">
        <v>7771</v>
      </c>
      <c r="D465" s="1">
        <v>5</v>
      </c>
      <c r="E465" s="1">
        <v>1</v>
      </c>
      <c r="F465" s="1">
        <v>6</v>
      </c>
      <c r="G465" s="1">
        <v>12</v>
      </c>
      <c r="H465" s="13" cm="1">
        <f t="array" ref="H465">_xlfn.LET(_xlpm.s,IFERROR(--F465,""),_xlpm.e,IFERROR(--G465,""),IF(OR(_xlpm.s="",_xlpm.e="",_xlpm.e&lt;_xlpm.s),"",_xlfn.LET(_xlpm.p,_xlfn.SEQUENCE(_xlpm.e-_xlpm.s+1,1,_xlpm.s,1),SUM(1/COUNTIFS($D:$D,D465,$E:$E,E465,$F:$F,"&lt;&gt;N/A",$G:$G,"&lt;&gt;N/A",$F:$F,"&lt;="&amp;_xlpm.p,$G:$G,"&gt;="&amp;_xlpm.p)))))</f>
        <v>6</v>
      </c>
      <c r="I465" t="s">
        <v>7</v>
      </c>
      <c r="J465" s="5" t="s">
        <v>1647</v>
      </c>
      <c r="K465" s="5" t="s">
        <v>4918</v>
      </c>
      <c r="L465" s="5" t="s">
        <v>7</v>
      </c>
      <c r="M465" s="5" t="s">
        <v>7</v>
      </c>
      <c r="N465" s="5" t="s">
        <v>7</v>
      </c>
      <c r="O465" s="5" t="s">
        <v>778</v>
      </c>
      <c r="P465" s="5" t="s">
        <v>7834</v>
      </c>
      <c r="R465" s="1" t="b">
        <v>1</v>
      </c>
    </row>
    <row r="466" spans="1:18">
      <c r="A466" t="s">
        <v>3024</v>
      </c>
      <c r="B466" t="s">
        <v>11142</v>
      </c>
      <c r="C466" s="5" t="s">
        <v>7771</v>
      </c>
      <c r="D466" s="1">
        <v>5</v>
      </c>
      <c r="E466" s="1">
        <v>1</v>
      </c>
      <c r="F466" s="1">
        <v>12</v>
      </c>
      <c r="G466" s="1">
        <v>16</v>
      </c>
      <c r="H466" s="13" cm="1">
        <f t="array" ref="H466">_xlfn.LET(_xlpm.s,IFERROR(--F466,""),_xlpm.e,IFERROR(--G466,""),IF(OR(_xlpm.s="",_xlpm.e="",_xlpm.e&lt;_xlpm.s),"",_xlfn.LET(_xlpm.p,_xlfn.SEQUENCE(_xlpm.e-_xlpm.s+1,1,_xlpm.s,1),SUM(1/COUNTIFS($D:$D,D466,$E:$E,E466,$F:$F,"&lt;&gt;N/A",$G:$G,"&lt;&gt;N/A",$F:$F,"&lt;="&amp;_xlpm.p,$G:$G,"&gt;="&amp;_xlpm.p)))))</f>
        <v>4</v>
      </c>
      <c r="I466" t="s">
        <v>7</v>
      </c>
      <c r="J466" s="5" t="s">
        <v>1676</v>
      </c>
      <c r="K466" s="5" t="s">
        <v>4919</v>
      </c>
      <c r="L466" s="5" t="s">
        <v>7</v>
      </c>
      <c r="M466" s="5" t="s">
        <v>7</v>
      </c>
      <c r="N466" s="5" t="s">
        <v>7</v>
      </c>
      <c r="O466" s="5" t="s">
        <v>778</v>
      </c>
      <c r="P466" s="5" t="s">
        <v>7834</v>
      </c>
      <c r="R466" s="1" t="b">
        <v>1</v>
      </c>
    </row>
    <row r="467" spans="1:18">
      <c r="A467" t="s">
        <v>3024</v>
      </c>
      <c r="B467" t="s">
        <v>11143</v>
      </c>
      <c r="C467" s="5" t="s">
        <v>7771</v>
      </c>
      <c r="D467" s="1">
        <v>5</v>
      </c>
      <c r="E467" s="1">
        <v>1</v>
      </c>
      <c r="F467" s="1">
        <v>16</v>
      </c>
      <c r="G467" s="1">
        <v>18</v>
      </c>
      <c r="H467" s="13" cm="1">
        <f t="array" ref="H467">_xlfn.LET(_xlpm.s,IFERROR(--F467,""),_xlpm.e,IFERROR(--G467,""),IF(OR(_xlpm.s="",_xlpm.e="",_xlpm.e&lt;_xlpm.s),"",_xlfn.LET(_xlpm.p,_xlfn.SEQUENCE(_xlpm.e-_xlpm.s+1,1,_xlpm.s,1),SUM(1/COUNTIFS($D:$D,D467,$E:$E,E467,$F:$F,"&lt;&gt;N/A",$G:$G,"&lt;&gt;N/A",$F:$F,"&lt;="&amp;_xlpm.p,$G:$G,"&gt;="&amp;_xlpm.p)))))</f>
        <v>2.5</v>
      </c>
      <c r="I467" t="s">
        <v>7</v>
      </c>
      <c r="J467" s="5" t="s">
        <v>1677</v>
      </c>
      <c r="K467" s="5" t="s">
        <v>7</v>
      </c>
      <c r="L467" s="5" t="s">
        <v>7</v>
      </c>
      <c r="M467" s="5" t="s">
        <v>7</v>
      </c>
      <c r="N467" s="5" t="s">
        <v>7</v>
      </c>
      <c r="O467" s="5" t="s">
        <v>778</v>
      </c>
      <c r="P467" s="5" t="s">
        <v>7834</v>
      </c>
      <c r="R467" s="1" t="b">
        <v>1</v>
      </c>
    </row>
    <row r="468" spans="1:18">
      <c r="A468" t="s">
        <v>3024</v>
      </c>
      <c r="B468" t="s">
        <v>11144</v>
      </c>
      <c r="C468" s="5" t="s">
        <v>7771</v>
      </c>
      <c r="D468" s="1">
        <v>5</v>
      </c>
      <c r="E468" s="1">
        <v>1</v>
      </c>
      <c r="F468" s="1">
        <v>19</v>
      </c>
      <c r="G468" s="1">
        <v>19</v>
      </c>
      <c r="H468" s="13" cm="1">
        <f t="array" ref="H468">_xlfn.LET(_xlpm.s,IFERROR(--F468,""),_xlpm.e,IFERROR(--G468,""),IF(OR(_xlpm.s="",_xlpm.e="",_xlpm.e&lt;_xlpm.s),"",_xlfn.LET(_xlpm.p,_xlfn.SEQUENCE(_xlpm.e-_xlpm.s+1,1,_xlpm.s,1),SUM(1/COUNTIFS($D:$D,D468,$E:$E,E468,$F:$F,"&lt;&gt;N/A",$G:$G,"&lt;&gt;N/A",$F:$F,"&lt;="&amp;_xlpm.p,$G:$G,"&gt;="&amp;_xlpm.p)))))</f>
        <v>0.5</v>
      </c>
      <c r="I468" t="s">
        <v>1350</v>
      </c>
      <c r="J468" s="5" t="s">
        <v>1678</v>
      </c>
      <c r="K468" s="5" t="s">
        <v>7</v>
      </c>
      <c r="L468" s="5" t="s">
        <v>7</v>
      </c>
      <c r="M468" s="5" t="s">
        <v>7</v>
      </c>
      <c r="N468" s="5" t="s">
        <v>7</v>
      </c>
      <c r="O468" s="5" t="s">
        <v>778</v>
      </c>
      <c r="P468" s="5" t="s">
        <v>7834</v>
      </c>
      <c r="R468" s="1" t="b">
        <v>0</v>
      </c>
    </row>
    <row r="469" spans="1:18">
      <c r="A469" t="s">
        <v>3024</v>
      </c>
      <c r="B469" t="s">
        <v>11145</v>
      </c>
      <c r="C469" s="5" t="s">
        <v>7771</v>
      </c>
      <c r="D469" s="1">
        <v>5</v>
      </c>
      <c r="E469" s="1">
        <v>1</v>
      </c>
      <c r="F469" s="1">
        <v>19</v>
      </c>
      <c r="G469" s="1">
        <v>19</v>
      </c>
      <c r="H469" s="13" cm="1">
        <f t="array" ref="H469">_xlfn.LET(_xlpm.s,IFERROR(--F469,""),_xlpm.e,IFERROR(--G469,""),IF(OR(_xlpm.s="",_xlpm.e="",_xlpm.e&lt;_xlpm.s),"",_xlfn.LET(_xlpm.p,_xlfn.SEQUENCE(_xlpm.e-_xlpm.s+1,1,_xlpm.s,1),SUM(1/COUNTIFS($D:$D,D469,$E:$E,E469,$F:$F,"&lt;&gt;N/A",$G:$G,"&lt;&gt;N/A",$F:$F,"&lt;="&amp;_xlpm.p,$G:$G,"&gt;="&amp;_xlpm.p)))))</f>
        <v>0.5</v>
      </c>
      <c r="I469" t="s">
        <v>1350</v>
      </c>
      <c r="J469" s="5" t="s">
        <v>1679</v>
      </c>
      <c r="K469" s="5" t="s">
        <v>7</v>
      </c>
      <c r="L469" s="5" t="s">
        <v>7</v>
      </c>
      <c r="M469" s="5" t="s">
        <v>7</v>
      </c>
      <c r="N469" s="5" t="s">
        <v>7</v>
      </c>
      <c r="O469" s="5" t="s">
        <v>778</v>
      </c>
      <c r="P469" s="5" t="s">
        <v>7834</v>
      </c>
      <c r="R469" s="1" t="b">
        <v>0</v>
      </c>
    </row>
    <row r="470" spans="1:18">
      <c r="A470" t="s">
        <v>3024</v>
      </c>
      <c r="B470" t="s">
        <v>11146</v>
      </c>
      <c r="C470" s="5" t="s">
        <v>7771</v>
      </c>
      <c r="D470" s="1">
        <v>5</v>
      </c>
      <c r="E470" s="1">
        <v>1</v>
      </c>
      <c r="F470" s="1">
        <v>20</v>
      </c>
      <c r="G470" s="1">
        <v>21</v>
      </c>
      <c r="H470" s="13" cm="1">
        <f t="array" ref="H470">_xlfn.LET(_xlpm.s,IFERROR(--F470,""),_xlpm.e,IFERROR(--G470,""),IF(OR(_xlpm.s="",_xlpm.e="",_xlpm.e&lt;_xlpm.s),"",_xlfn.LET(_xlpm.p,_xlfn.SEQUENCE(_xlpm.e-_xlpm.s+1,1,_xlpm.s,1),SUM(1/COUNTIFS($D:$D,D470,$E:$E,E470,$F:$F,"&lt;&gt;N/A",$G:$G,"&lt;&gt;N/A",$F:$F,"&lt;="&amp;_xlpm.p,$G:$G,"&gt;="&amp;_xlpm.p)))))</f>
        <v>1.3333333333333333</v>
      </c>
      <c r="I470" t="s">
        <v>1350</v>
      </c>
      <c r="J470" s="5" t="s">
        <v>1680</v>
      </c>
      <c r="K470" s="5" t="s">
        <v>7</v>
      </c>
      <c r="L470" s="5" t="s">
        <v>7</v>
      </c>
      <c r="M470" s="5" t="s">
        <v>7</v>
      </c>
      <c r="N470" s="5" t="s">
        <v>7</v>
      </c>
      <c r="O470" s="5" t="s">
        <v>778</v>
      </c>
      <c r="P470" s="5" t="s">
        <v>7834</v>
      </c>
      <c r="R470" s="1" t="b">
        <v>0</v>
      </c>
    </row>
    <row r="471" spans="1:18">
      <c r="A471" t="s">
        <v>3024</v>
      </c>
      <c r="B471" t="s">
        <v>11147</v>
      </c>
      <c r="C471" s="5" t="s">
        <v>7771</v>
      </c>
      <c r="D471" s="1">
        <v>5</v>
      </c>
      <c r="E471" s="1">
        <v>1</v>
      </c>
      <c r="F471" s="1">
        <v>21</v>
      </c>
      <c r="G471" s="1">
        <v>21</v>
      </c>
      <c r="H471" s="13" cm="1">
        <f t="array" ref="H471">_xlfn.LET(_xlpm.s,IFERROR(--F471,""),_xlpm.e,IFERROR(--G471,""),IF(OR(_xlpm.s="",_xlpm.e="",_xlpm.e&lt;_xlpm.s),"",_xlfn.LET(_xlpm.p,_xlfn.SEQUENCE(_xlpm.e-_xlpm.s+1,1,_xlpm.s,1),SUM(1/COUNTIFS($D:$D,D471,$E:$E,E471,$F:$F,"&lt;&gt;N/A",$G:$G,"&lt;&gt;N/A",$F:$F,"&lt;="&amp;_xlpm.p,$G:$G,"&gt;="&amp;_xlpm.p)))))</f>
        <v>0.33333333333333331</v>
      </c>
      <c r="I471" t="s">
        <v>1350</v>
      </c>
      <c r="J471" s="5" t="s">
        <v>1681</v>
      </c>
      <c r="K471" s="5" t="s">
        <v>7</v>
      </c>
      <c r="L471" s="5" t="s">
        <v>7</v>
      </c>
      <c r="M471" s="5" t="s">
        <v>7</v>
      </c>
      <c r="N471" s="5" t="s">
        <v>7</v>
      </c>
      <c r="O471" s="5" t="s">
        <v>778</v>
      </c>
      <c r="P471" s="5" t="s">
        <v>7834</v>
      </c>
      <c r="R471" s="1" t="b">
        <v>0</v>
      </c>
    </row>
    <row r="472" spans="1:18">
      <c r="A472" t="s">
        <v>3024</v>
      </c>
      <c r="B472" t="s">
        <v>11148</v>
      </c>
      <c r="C472" s="5" t="s">
        <v>7771</v>
      </c>
      <c r="D472" s="1">
        <v>5</v>
      </c>
      <c r="E472" s="1">
        <v>1</v>
      </c>
      <c r="F472" s="1">
        <v>21</v>
      </c>
      <c r="G472" s="1">
        <v>21</v>
      </c>
      <c r="H472" s="13" cm="1">
        <f t="array" ref="H472">_xlfn.LET(_xlpm.s,IFERROR(--F472,""),_xlpm.e,IFERROR(--G472,""),IF(OR(_xlpm.s="",_xlpm.e="",_xlpm.e&lt;_xlpm.s),"",_xlfn.LET(_xlpm.p,_xlfn.SEQUENCE(_xlpm.e-_xlpm.s+1,1,_xlpm.s,1),SUM(1/COUNTIFS($D:$D,D472,$E:$E,E472,$F:$F,"&lt;&gt;N/A",$G:$G,"&lt;&gt;N/A",$F:$F,"&lt;="&amp;_xlpm.p,$G:$G,"&gt;="&amp;_xlpm.p)))))</f>
        <v>0.33333333333333331</v>
      </c>
      <c r="I472" t="s">
        <v>1350</v>
      </c>
      <c r="J472" s="5" t="s">
        <v>1682</v>
      </c>
      <c r="K472" s="5" t="s">
        <v>7</v>
      </c>
      <c r="L472" s="5" t="s">
        <v>7</v>
      </c>
      <c r="M472" s="5" t="s">
        <v>7</v>
      </c>
      <c r="N472" s="5" t="s">
        <v>7</v>
      </c>
      <c r="O472" s="5" t="s">
        <v>778</v>
      </c>
      <c r="P472" s="5" t="s">
        <v>7834</v>
      </c>
      <c r="R472" s="1" t="b">
        <v>0</v>
      </c>
    </row>
    <row r="473" spans="1:18">
      <c r="A473" t="s">
        <v>3024</v>
      </c>
      <c r="B473" t="s">
        <v>11149</v>
      </c>
      <c r="C473" s="5" t="s">
        <v>7771</v>
      </c>
      <c r="D473" s="1">
        <v>5</v>
      </c>
      <c r="E473" s="1">
        <v>1</v>
      </c>
      <c r="F473" s="1">
        <v>22</v>
      </c>
      <c r="G473" s="1">
        <v>36</v>
      </c>
      <c r="H473" s="13" cm="1">
        <f t="array" ref="H473">_xlfn.LET(_xlpm.s,IFERROR(--F473,""),_xlpm.e,IFERROR(--G473,""),IF(OR(_xlpm.s="",_xlpm.e="",_xlpm.e&lt;_xlpm.s),"",_xlfn.LET(_xlpm.p,_xlfn.SEQUENCE(_xlpm.e-_xlpm.s+1,1,_xlpm.s,1),SUM(1/COUNTIFS($D:$D,D473,$E:$E,E473,$F:$F,"&lt;&gt;N/A",$G:$G,"&lt;&gt;N/A",$F:$F,"&lt;="&amp;_xlpm.p,$G:$G,"&gt;="&amp;_xlpm.p)))))</f>
        <v>14.5</v>
      </c>
      <c r="I473" t="s">
        <v>1506</v>
      </c>
      <c r="J473" s="5" t="s">
        <v>2072</v>
      </c>
      <c r="K473" s="5" t="s">
        <v>7</v>
      </c>
      <c r="L473" s="5" t="s">
        <v>7</v>
      </c>
      <c r="M473" t="s">
        <v>7558</v>
      </c>
      <c r="N473" s="5" t="s">
        <v>7697</v>
      </c>
      <c r="O473" s="5" t="s">
        <v>5072</v>
      </c>
      <c r="P473" s="5" t="s">
        <v>8036</v>
      </c>
      <c r="Q473" s="5" t="s">
        <v>2509</v>
      </c>
      <c r="R473" s="1" t="b">
        <v>1</v>
      </c>
    </row>
    <row r="474" spans="1:18">
      <c r="A474" t="s">
        <v>3024</v>
      </c>
      <c r="B474" t="s">
        <v>11150</v>
      </c>
      <c r="C474" s="5" t="s">
        <v>7771</v>
      </c>
      <c r="D474" s="1">
        <v>5</v>
      </c>
      <c r="E474" s="1">
        <v>1</v>
      </c>
      <c r="F474" s="1">
        <v>36</v>
      </c>
      <c r="G474" s="1">
        <v>37</v>
      </c>
      <c r="H474" s="13" cm="1">
        <f t="array" ref="H474">_xlfn.LET(_xlpm.s,IFERROR(--F474,""),_xlpm.e,IFERROR(--G474,""),IF(OR(_xlpm.s="",_xlpm.e="",_xlpm.e&lt;_xlpm.s),"",_xlfn.LET(_xlpm.p,_xlfn.SEQUENCE(_xlpm.e-_xlpm.s+1,1,_xlpm.s,1),SUM(1/COUNTIFS($D:$D,D474,$E:$E,E474,$F:$F,"&lt;&gt;N/A",$G:$G,"&lt;&gt;N/A",$F:$F,"&lt;="&amp;_xlpm.p,$G:$G,"&gt;="&amp;_xlpm.p)))))</f>
        <v>1</v>
      </c>
      <c r="I474" t="s">
        <v>1506</v>
      </c>
      <c r="J474" s="5" t="s">
        <v>1683</v>
      </c>
      <c r="K474" s="5" t="s">
        <v>7</v>
      </c>
      <c r="L474" s="5" t="s">
        <v>7</v>
      </c>
      <c r="M474" s="5" t="s">
        <v>6939</v>
      </c>
      <c r="N474" s="5" t="s">
        <v>2688</v>
      </c>
      <c r="O474" s="5" t="s">
        <v>11522</v>
      </c>
      <c r="P474" s="5" t="s">
        <v>8021</v>
      </c>
      <c r="R474" s="1" t="b">
        <v>1</v>
      </c>
    </row>
    <row r="475" spans="1:18">
      <c r="A475" t="s">
        <v>3024</v>
      </c>
      <c r="B475" t="s">
        <v>11151</v>
      </c>
      <c r="C475" s="5" t="s">
        <v>7771</v>
      </c>
      <c r="D475" s="1">
        <v>5</v>
      </c>
      <c r="E475" s="1">
        <v>1</v>
      </c>
      <c r="F475" s="1">
        <v>37</v>
      </c>
      <c r="G475" s="1">
        <v>37</v>
      </c>
      <c r="H475" s="13" cm="1">
        <f t="array" ref="H475">_xlfn.LET(_xlpm.s,IFERROR(--F475,""),_xlpm.e,IFERROR(--G475,""),IF(OR(_xlpm.s="",_xlpm.e="",_xlpm.e&lt;_xlpm.s),"",_xlfn.LET(_xlpm.p,_xlfn.SEQUENCE(_xlpm.e-_xlpm.s+1,1,_xlpm.s,1),SUM(1/COUNTIFS($D:$D,D475,$E:$E,E475,$F:$F,"&lt;&gt;N/A",$G:$G,"&lt;&gt;N/A",$F:$F,"&lt;="&amp;_xlpm.p,$G:$G,"&gt;="&amp;_xlpm.p)))))</f>
        <v>0.5</v>
      </c>
      <c r="I475" t="s">
        <v>1506</v>
      </c>
      <c r="J475" s="5" t="s">
        <v>1684</v>
      </c>
      <c r="K475" s="5" t="s">
        <v>7</v>
      </c>
      <c r="L475" s="5" t="s">
        <v>7</v>
      </c>
      <c r="M475" s="5" t="s">
        <v>7</v>
      </c>
      <c r="N475" s="5" t="s">
        <v>7</v>
      </c>
      <c r="O475" s="5" t="s">
        <v>11522</v>
      </c>
      <c r="P475" s="5" t="s">
        <v>7</v>
      </c>
      <c r="Q475" s="5" t="s">
        <v>10156</v>
      </c>
      <c r="R475" s="1" t="b">
        <v>1</v>
      </c>
    </row>
    <row r="476" spans="1:18">
      <c r="A476" t="s">
        <v>3024</v>
      </c>
      <c r="B476" t="s">
        <v>11152</v>
      </c>
      <c r="C476" s="5" t="s">
        <v>7771</v>
      </c>
      <c r="D476" s="1">
        <v>5</v>
      </c>
      <c r="E476" s="1">
        <v>1</v>
      </c>
      <c r="F476" s="1">
        <v>38</v>
      </c>
      <c r="G476" s="1">
        <v>38</v>
      </c>
      <c r="H476" s="13" cm="1">
        <f t="array" ref="H476">_xlfn.LET(_xlpm.s,IFERROR(--F476,""),_xlpm.e,IFERROR(--G476,""),IF(OR(_xlpm.s="",_xlpm.e="",_xlpm.e&lt;_xlpm.s),"",_xlfn.LET(_xlpm.p,_xlfn.SEQUENCE(_xlpm.e-_xlpm.s+1,1,_xlpm.s,1),SUM(1/COUNTIFS($D:$D,D476,$E:$E,E476,$F:$F,"&lt;&gt;N/A",$G:$G,"&lt;&gt;N/A",$F:$F,"&lt;="&amp;_xlpm.p,$G:$G,"&gt;="&amp;_xlpm.p)))))</f>
        <v>0.33333333333333331</v>
      </c>
      <c r="I476" t="s">
        <v>1506</v>
      </c>
      <c r="J476" s="5" t="s">
        <v>10176</v>
      </c>
      <c r="K476" s="5" t="s">
        <v>7</v>
      </c>
      <c r="L476" s="5" t="s">
        <v>7</v>
      </c>
      <c r="M476" s="5" t="s">
        <v>7</v>
      </c>
      <c r="N476" s="5" t="s">
        <v>7</v>
      </c>
      <c r="O476" s="5" t="s">
        <v>11522</v>
      </c>
      <c r="P476" s="5" t="s">
        <v>8036</v>
      </c>
      <c r="Q476" s="5" t="s">
        <v>10177</v>
      </c>
      <c r="R476" s="1" t="b">
        <v>1</v>
      </c>
    </row>
    <row r="477" spans="1:18">
      <c r="A477" t="s">
        <v>3024</v>
      </c>
      <c r="B477" t="s">
        <v>11153</v>
      </c>
      <c r="C477" s="5" t="s">
        <v>7771</v>
      </c>
      <c r="D477" s="1">
        <v>5</v>
      </c>
      <c r="E477" s="1">
        <v>1</v>
      </c>
      <c r="F477" s="1">
        <v>38</v>
      </c>
      <c r="G477" s="1">
        <v>38</v>
      </c>
      <c r="H477" s="13" cm="1">
        <f t="array" ref="H477">_xlfn.LET(_xlpm.s,IFERROR(--F477,""),_xlpm.e,IFERROR(--G477,""),IF(OR(_xlpm.s="",_xlpm.e="",_xlpm.e&lt;_xlpm.s),"",_xlfn.LET(_xlpm.p,_xlfn.SEQUENCE(_xlpm.e-_xlpm.s+1,1,_xlpm.s,1),SUM(1/COUNTIFS($D:$D,D477,$E:$E,E477,$F:$F,"&lt;&gt;N/A",$G:$G,"&lt;&gt;N/A",$F:$F,"&lt;="&amp;_xlpm.p,$G:$G,"&gt;="&amp;_xlpm.p)))))</f>
        <v>0.33333333333333331</v>
      </c>
      <c r="I477" t="s">
        <v>1506</v>
      </c>
      <c r="J477" s="5" t="s">
        <v>1685</v>
      </c>
      <c r="K477" s="5" t="s">
        <v>7</v>
      </c>
      <c r="L477" s="5" t="s">
        <v>7</v>
      </c>
      <c r="M477" t="s">
        <v>7554</v>
      </c>
      <c r="N477" s="5" t="s">
        <v>7555</v>
      </c>
      <c r="O477" s="5" t="s">
        <v>11522</v>
      </c>
      <c r="P477" s="5" t="s">
        <v>8021</v>
      </c>
      <c r="R477" s="1" t="b">
        <v>1</v>
      </c>
    </row>
    <row r="478" spans="1:18">
      <c r="A478" t="s">
        <v>3024</v>
      </c>
      <c r="B478" t="s">
        <v>11154</v>
      </c>
      <c r="C478" s="5" t="s">
        <v>7771</v>
      </c>
      <c r="D478" s="1">
        <v>5</v>
      </c>
      <c r="E478" s="1">
        <v>1</v>
      </c>
      <c r="F478" s="1">
        <v>38</v>
      </c>
      <c r="G478" s="1">
        <v>38</v>
      </c>
      <c r="H478" s="13" cm="1">
        <f t="array" ref="H478">_xlfn.LET(_xlpm.s,IFERROR(--F478,""),_xlpm.e,IFERROR(--G478,""),IF(OR(_xlpm.s="",_xlpm.e="",_xlpm.e&lt;_xlpm.s),"",_xlfn.LET(_xlpm.p,_xlfn.SEQUENCE(_xlpm.e-_xlpm.s+1,1,_xlpm.s,1),SUM(1/COUNTIFS($D:$D,D478,$E:$E,E478,$F:$F,"&lt;&gt;N/A",$G:$G,"&lt;&gt;N/A",$F:$F,"&lt;="&amp;_xlpm.p,$G:$G,"&gt;="&amp;_xlpm.p)))))</f>
        <v>0.33333333333333331</v>
      </c>
      <c r="I478" t="s">
        <v>1506</v>
      </c>
      <c r="J478" s="5" t="s">
        <v>1686</v>
      </c>
      <c r="K478" s="5" t="s">
        <v>7</v>
      </c>
      <c r="L478" s="5" t="s">
        <v>7</v>
      </c>
      <c r="M478" t="s">
        <v>6942</v>
      </c>
      <c r="N478" s="5" t="s">
        <v>7564</v>
      </c>
      <c r="O478" s="5" t="s">
        <v>11522</v>
      </c>
      <c r="P478" s="5" t="s">
        <v>8021</v>
      </c>
      <c r="Q478" s="5" t="s">
        <v>11529</v>
      </c>
      <c r="R478" s="1" t="b">
        <v>1</v>
      </c>
    </row>
    <row r="479" spans="1:18">
      <c r="A479" t="s">
        <v>3024</v>
      </c>
      <c r="B479" t="s">
        <v>11155</v>
      </c>
      <c r="C479" s="5" t="s">
        <v>7771</v>
      </c>
      <c r="D479" s="1">
        <v>5</v>
      </c>
      <c r="E479" s="1">
        <v>1</v>
      </c>
      <c r="F479" s="1">
        <v>39</v>
      </c>
      <c r="G479" s="1">
        <v>39</v>
      </c>
      <c r="H479" s="13" cm="1">
        <f t="array" ref="H479">_xlfn.LET(_xlpm.s,IFERROR(--F479,""),_xlpm.e,IFERROR(--G479,""),IF(OR(_xlpm.s="",_xlpm.e="",_xlpm.e&lt;_xlpm.s),"",_xlfn.LET(_xlpm.p,_xlfn.SEQUENCE(_xlpm.e-_xlpm.s+1,1,_xlpm.s,1),SUM(1/COUNTIFS($D:$D,D479,$E:$E,E479,$F:$F,"&lt;&gt;N/A",$G:$G,"&lt;&gt;N/A",$F:$F,"&lt;="&amp;_xlpm.p,$G:$G,"&gt;="&amp;_xlpm.p)))))</f>
        <v>0.5</v>
      </c>
      <c r="I479" t="s">
        <v>1506</v>
      </c>
      <c r="J479" s="5" t="s">
        <v>1687</v>
      </c>
      <c r="K479" s="5" t="s">
        <v>7</v>
      </c>
      <c r="L479" s="5" t="s">
        <v>7</v>
      </c>
      <c r="M479" t="s">
        <v>7476</v>
      </c>
      <c r="N479" s="5" t="s">
        <v>7556</v>
      </c>
      <c r="O479" t="s">
        <v>5072</v>
      </c>
      <c r="P479" t="s">
        <v>8021</v>
      </c>
      <c r="R479" s="1" t="b">
        <v>1</v>
      </c>
    </row>
    <row r="480" spans="1:18">
      <c r="A480" t="s">
        <v>3024</v>
      </c>
      <c r="B480" t="s">
        <v>11156</v>
      </c>
      <c r="C480" s="5" t="s">
        <v>7771</v>
      </c>
      <c r="D480" s="1">
        <v>5</v>
      </c>
      <c r="E480" s="1">
        <v>1</v>
      </c>
      <c r="F480" s="1">
        <v>39</v>
      </c>
      <c r="G480" s="1">
        <v>40</v>
      </c>
      <c r="H480" s="13" cm="1">
        <f t="array" ref="H480">_xlfn.LET(_xlpm.s,IFERROR(--F480,""),_xlpm.e,IFERROR(--G480,""),IF(OR(_xlpm.s="",_xlpm.e="",_xlpm.e&lt;_xlpm.s),"",_xlfn.LET(_xlpm.p,_xlfn.SEQUENCE(_xlpm.e-_xlpm.s+1,1,_xlpm.s,1),SUM(1/COUNTIFS($D:$D,D480,$E:$E,E480,$F:$F,"&lt;&gt;N/A",$G:$G,"&lt;&gt;N/A",$F:$F,"&lt;="&amp;_xlpm.p,$G:$G,"&gt;="&amp;_xlpm.p)))))</f>
        <v>0.83333333333333326</v>
      </c>
      <c r="I480" t="s">
        <v>1506</v>
      </c>
      <c r="J480" s="5" t="s">
        <v>1688</v>
      </c>
      <c r="K480" s="5" t="s">
        <v>7</v>
      </c>
      <c r="L480" s="5" t="s">
        <v>7</v>
      </c>
      <c r="M480" t="s">
        <v>10453</v>
      </c>
      <c r="N480" s="5" t="s">
        <v>7563</v>
      </c>
      <c r="O480" s="5" t="s">
        <v>11522</v>
      </c>
      <c r="P480" s="5" t="s">
        <v>8021</v>
      </c>
      <c r="Q480" s="5" t="s">
        <v>7561</v>
      </c>
      <c r="R480" s="1" t="b">
        <v>1</v>
      </c>
    </row>
    <row r="481" spans="1:18">
      <c r="A481" t="s">
        <v>3024</v>
      </c>
      <c r="B481" t="s">
        <v>11157</v>
      </c>
      <c r="C481" s="5" t="s">
        <v>7771</v>
      </c>
      <c r="D481" s="1">
        <v>5</v>
      </c>
      <c r="E481" s="1">
        <v>1</v>
      </c>
      <c r="F481" s="1">
        <v>40</v>
      </c>
      <c r="G481" s="1">
        <v>40</v>
      </c>
      <c r="H481" s="13" cm="1">
        <f t="array" ref="H481">_xlfn.LET(_xlpm.s,IFERROR(--F481,""),_xlpm.e,IFERROR(--G481,""),IF(OR(_xlpm.s="",_xlpm.e="",_xlpm.e&lt;_xlpm.s),"",_xlfn.LET(_xlpm.p,_xlfn.SEQUENCE(_xlpm.e-_xlpm.s+1,1,_xlpm.s,1),SUM(1/COUNTIFS($D:$D,D481,$E:$E,E481,$F:$F,"&lt;&gt;N/A",$G:$G,"&lt;&gt;N/A",$F:$F,"&lt;="&amp;_xlpm.p,$G:$G,"&gt;="&amp;_xlpm.p)))))</f>
        <v>0.33333333333333331</v>
      </c>
      <c r="I481" t="s">
        <v>1506</v>
      </c>
      <c r="J481" s="5" t="s">
        <v>1689</v>
      </c>
      <c r="K481" s="5" t="s">
        <v>7</v>
      </c>
      <c r="L481" s="5" t="s">
        <v>7</v>
      </c>
      <c r="M481" s="5" t="s">
        <v>7</v>
      </c>
      <c r="N481" s="5" t="s">
        <v>7</v>
      </c>
      <c r="O481" s="5" t="s">
        <v>778</v>
      </c>
      <c r="P481" s="5" t="s">
        <v>7834</v>
      </c>
      <c r="R481" s="1" t="b">
        <v>1</v>
      </c>
    </row>
    <row r="482" spans="1:18">
      <c r="A482" t="s">
        <v>3024</v>
      </c>
      <c r="B482" t="s">
        <v>11158</v>
      </c>
      <c r="C482" s="5" t="s">
        <v>7771</v>
      </c>
      <c r="D482" s="1">
        <v>5</v>
      </c>
      <c r="E482" s="1">
        <v>1</v>
      </c>
      <c r="F482" s="1">
        <v>40</v>
      </c>
      <c r="G482" s="1">
        <v>40</v>
      </c>
      <c r="H482" s="13" cm="1">
        <f t="array" ref="H482">_xlfn.LET(_xlpm.s,IFERROR(--F482,""),_xlpm.e,IFERROR(--G482,""),IF(OR(_xlpm.s="",_xlpm.e="",_xlpm.e&lt;_xlpm.s),"",_xlfn.LET(_xlpm.p,_xlfn.SEQUENCE(_xlpm.e-_xlpm.s+1,1,_xlpm.s,1),SUM(1/COUNTIFS($D:$D,D482,$E:$E,E482,$F:$F,"&lt;&gt;N/A",$G:$G,"&lt;&gt;N/A",$F:$F,"&lt;="&amp;_xlpm.p,$G:$G,"&gt;="&amp;_xlpm.p)))))</f>
        <v>0.33333333333333331</v>
      </c>
      <c r="I482" t="s">
        <v>1506</v>
      </c>
      <c r="J482" s="5" t="s">
        <v>1690</v>
      </c>
      <c r="K482" s="5" t="s">
        <v>7</v>
      </c>
      <c r="L482" s="5" t="s">
        <v>7</v>
      </c>
      <c r="M482" s="5" t="s">
        <v>7</v>
      </c>
      <c r="N482" s="5" t="s">
        <v>7</v>
      </c>
      <c r="O482" s="5" t="s">
        <v>778</v>
      </c>
      <c r="P482" s="5" t="s">
        <v>7834</v>
      </c>
      <c r="R482" s="1" t="b">
        <v>1</v>
      </c>
    </row>
    <row r="483" spans="1:18">
      <c r="A483" t="s">
        <v>3024</v>
      </c>
      <c r="B483" t="s">
        <v>11159</v>
      </c>
      <c r="C483" s="5" t="s">
        <v>7779</v>
      </c>
      <c r="D483" s="1">
        <v>5</v>
      </c>
      <c r="E483" s="1">
        <v>2</v>
      </c>
      <c r="F483" s="1">
        <v>41</v>
      </c>
      <c r="G483" s="1">
        <v>43</v>
      </c>
      <c r="H483" s="13" cm="1">
        <f t="array" ref="H483">_xlfn.LET(_xlpm.s,IFERROR(--F483,""),_xlpm.e,IFERROR(--G483,""),IF(OR(_xlpm.s="",_xlpm.e="",_xlpm.e&lt;_xlpm.s),"",_xlfn.LET(_xlpm.p,_xlfn.SEQUENCE(_xlpm.e-_xlpm.s+1,1,_xlpm.s,1),SUM(1/COUNTIFS($D:$D,D483,$E:$E,E483,$F:$F,"&lt;&gt;N/A",$G:$G,"&lt;&gt;N/A",$F:$F,"&lt;="&amp;_xlpm.p,$G:$G,"&gt;="&amp;_xlpm.p)))))</f>
        <v>3</v>
      </c>
      <c r="I483" t="s">
        <v>7</v>
      </c>
      <c r="J483" s="5" t="s">
        <v>1647</v>
      </c>
      <c r="K483" s="5" t="s">
        <v>4918</v>
      </c>
      <c r="L483" s="5" t="s">
        <v>7</v>
      </c>
      <c r="M483" s="5" t="s">
        <v>7</v>
      </c>
      <c r="N483" s="5" t="s">
        <v>7</v>
      </c>
      <c r="O483" s="5" t="s">
        <v>778</v>
      </c>
      <c r="P483" s="5" t="s">
        <v>7834</v>
      </c>
      <c r="R483" s="1" t="b">
        <v>1</v>
      </c>
    </row>
    <row r="484" spans="1:18">
      <c r="A484" t="s">
        <v>3024</v>
      </c>
      <c r="B484" t="s">
        <v>11160</v>
      </c>
      <c r="C484" s="5" t="s">
        <v>7779</v>
      </c>
      <c r="D484" s="1">
        <v>5</v>
      </c>
      <c r="E484" s="1">
        <v>2</v>
      </c>
      <c r="F484" s="1">
        <v>44</v>
      </c>
      <c r="G484" s="1">
        <v>48</v>
      </c>
      <c r="H484" s="13" cm="1">
        <f t="array" ref="H484">_xlfn.LET(_xlpm.s,IFERROR(--F484,""),_xlpm.e,IFERROR(--G484,""),IF(OR(_xlpm.s="",_xlpm.e="",_xlpm.e&lt;_xlpm.s),"",_xlfn.LET(_xlpm.p,_xlfn.SEQUENCE(_xlpm.e-_xlpm.s+1,1,_xlpm.s,1),SUM(1/COUNTIFS($D:$D,D484,$E:$E,E484,$F:$F,"&lt;&gt;N/A",$G:$G,"&lt;&gt;N/A",$F:$F,"&lt;="&amp;_xlpm.p,$G:$G,"&gt;="&amp;_xlpm.p)))))</f>
        <v>5</v>
      </c>
      <c r="I484" t="s">
        <v>7</v>
      </c>
      <c r="J484" s="5" t="s">
        <v>1665</v>
      </c>
      <c r="K484" s="5" t="s">
        <v>1666</v>
      </c>
      <c r="L484" s="5" t="s">
        <v>7</v>
      </c>
      <c r="M484" s="5" t="s">
        <v>7</v>
      </c>
      <c r="N484" s="5" t="s">
        <v>7</v>
      </c>
      <c r="O484" s="5" t="s">
        <v>778</v>
      </c>
      <c r="P484" s="5" t="s">
        <v>7834</v>
      </c>
      <c r="R484" s="1" t="b">
        <v>1</v>
      </c>
    </row>
    <row r="485" spans="1:18">
      <c r="A485" t="s">
        <v>3024</v>
      </c>
      <c r="B485" t="s">
        <v>11161</v>
      </c>
      <c r="C485" s="5" t="s">
        <v>7779</v>
      </c>
      <c r="D485" s="1">
        <v>5</v>
      </c>
      <c r="E485" s="1">
        <v>2</v>
      </c>
      <c r="F485" s="1">
        <v>49</v>
      </c>
      <c r="G485" s="1">
        <v>50</v>
      </c>
      <c r="H485" s="13" cm="1">
        <f t="array" ref="H485">_xlfn.LET(_xlpm.s,IFERROR(--F485,""),_xlpm.e,IFERROR(--G485,""),IF(OR(_xlpm.s="",_xlpm.e="",_xlpm.e&lt;_xlpm.s),"",_xlfn.LET(_xlpm.p,_xlfn.SEQUENCE(_xlpm.e-_xlpm.s+1,1,_xlpm.s,1),SUM(1/COUNTIFS($D:$D,D485,$E:$E,E485,$F:$F,"&lt;&gt;N/A",$G:$G,"&lt;&gt;N/A",$F:$F,"&lt;="&amp;_xlpm.p,$G:$G,"&gt;="&amp;_xlpm.p)))))</f>
        <v>1.5</v>
      </c>
      <c r="I485" t="s">
        <v>7</v>
      </c>
      <c r="J485" s="5" t="s">
        <v>1667</v>
      </c>
      <c r="K485" s="5" t="s">
        <v>1668</v>
      </c>
      <c r="L485" s="5" t="s">
        <v>7</v>
      </c>
      <c r="M485" s="5" t="s">
        <v>7</v>
      </c>
      <c r="N485" s="5" t="s">
        <v>7</v>
      </c>
      <c r="O485" s="5" t="s">
        <v>778</v>
      </c>
      <c r="P485" s="5" t="s">
        <v>7834</v>
      </c>
      <c r="R485" s="1" t="b">
        <v>1</v>
      </c>
    </row>
    <row r="486" spans="1:18">
      <c r="A486" t="s">
        <v>3024</v>
      </c>
      <c r="B486" t="s">
        <v>11162</v>
      </c>
      <c r="C486" s="5" t="s">
        <v>7779</v>
      </c>
      <c r="D486" s="1">
        <v>5</v>
      </c>
      <c r="E486" s="1">
        <v>2</v>
      </c>
      <c r="F486" s="1">
        <v>50</v>
      </c>
      <c r="G486" s="1">
        <v>52</v>
      </c>
      <c r="H486" s="13" cm="1">
        <f t="array" ref="H486">_xlfn.LET(_xlpm.s,IFERROR(--F486,""),_xlpm.e,IFERROR(--G486,""),IF(OR(_xlpm.s="",_xlpm.e="",_xlpm.e&lt;_xlpm.s),"",_xlfn.LET(_xlpm.p,_xlfn.SEQUENCE(_xlpm.e-_xlpm.s+1,1,_xlpm.s,1),SUM(1/COUNTIFS($D:$D,D486,$E:$E,E486,$F:$F,"&lt;&gt;N/A",$G:$G,"&lt;&gt;N/A",$F:$F,"&lt;="&amp;_xlpm.p,$G:$G,"&gt;="&amp;_xlpm.p)))))</f>
        <v>2</v>
      </c>
      <c r="I486" t="s">
        <v>7</v>
      </c>
      <c r="J486" s="5" t="s">
        <v>3226</v>
      </c>
      <c r="K486" s="5" t="s">
        <v>7</v>
      </c>
      <c r="L486" s="5" t="s">
        <v>7</v>
      </c>
      <c r="M486" s="5" t="s">
        <v>7</v>
      </c>
      <c r="N486" s="5" t="s">
        <v>7</v>
      </c>
      <c r="O486" s="5" t="s">
        <v>778</v>
      </c>
      <c r="P486" s="5" t="s">
        <v>7834</v>
      </c>
      <c r="R486" s="1" t="b">
        <v>1</v>
      </c>
    </row>
    <row r="487" spans="1:18">
      <c r="A487" t="s">
        <v>3024</v>
      </c>
      <c r="B487" t="s">
        <v>11163</v>
      </c>
      <c r="C487" s="5" t="s">
        <v>7779</v>
      </c>
      <c r="D487" s="1">
        <v>5</v>
      </c>
      <c r="E487" s="1">
        <v>2</v>
      </c>
      <c r="F487" s="1">
        <v>52</v>
      </c>
      <c r="G487" s="1">
        <v>54</v>
      </c>
      <c r="H487" s="13" cm="1">
        <f t="array" ref="H487">_xlfn.LET(_xlpm.s,IFERROR(--F487,""),_xlpm.e,IFERROR(--G487,""),IF(OR(_xlpm.s="",_xlpm.e="",_xlpm.e&lt;_xlpm.s),"",_xlfn.LET(_xlpm.p,_xlfn.SEQUENCE(_xlpm.e-_xlpm.s+1,1,_xlpm.s,1),SUM(1/COUNTIFS($D:$D,D487,$E:$E,E487,$F:$F,"&lt;&gt;N/A",$G:$G,"&lt;&gt;N/A",$F:$F,"&lt;="&amp;_xlpm.p,$G:$G,"&gt;="&amp;_xlpm.p)))))</f>
        <v>2.5</v>
      </c>
      <c r="I487" t="s">
        <v>1350</v>
      </c>
      <c r="J487" s="5" t="s">
        <v>1669</v>
      </c>
      <c r="K487" s="5" t="s">
        <v>7</v>
      </c>
      <c r="L487" s="5" t="s">
        <v>7</v>
      </c>
      <c r="M487" s="5" t="s">
        <v>7</v>
      </c>
      <c r="N487" s="5" t="s">
        <v>7</v>
      </c>
      <c r="O487" s="5" t="s">
        <v>778</v>
      </c>
      <c r="P487" s="5" t="s">
        <v>7834</v>
      </c>
      <c r="R487" s="1" t="b">
        <v>1</v>
      </c>
    </row>
    <row r="488" spans="1:18">
      <c r="A488" t="s">
        <v>3024</v>
      </c>
      <c r="B488" t="s">
        <v>11164</v>
      </c>
      <c r="C488" s="5" t="s">
        <v>7779</v>
      </c>
      <c r="D488" s="1">
        <v>5</v>
      </c>
      <c r="E488" s="1">
        <v>2</v>
      </c>
      <c r="F488" s="1">
        <v>55</v>
      </c>
      <c r="G488" s="1">
        <v>58</v>
      </c>
      <c r="H488" s="13" cm="1">
        <f t="array" ref="H488">_xlfn.LET(_xlpm.s,IFERROR(--F488,""),_xlpm.e,IFERROR(--G488,""),IF(OR(_xlpm.s="",_xlpm.e="",_xlpm.e&lt;_xlpm.s),"",_xlfn.LET(_xlpm.p,_xlfn.SEQUENCE(_xlpm.e-_xlpm.s+1,1,_xlpm.s,1),SUM(1/COUNTIFS($D:$D,D488,$E:$E,E488,$F:$F,"&lt;&gt;N/A",$G:$G,"&lt;&gt;N/A",$F:$F,"&lt;="&amp;_xlpm.p,$G:$G,"&gt;="&amp;_xlpm.p)))))</f>
        <v>3.5</v>
      </c>
      <c r="I488" t="s">
        <v>1350</v>
      </c>
      <c r="J488" s="5" t="s">
        <v>1670</v>
      </c>
      <c r="K488" s="5" t="s">
        <v>7</v>
      </c>
      <c r="L488" s="5" t="s">
        <v>7</v>
      </c>
      <c r="M488" s="5" t="s">
        <v>7</v>
      </c>
      <c r="N488" s="5" t="s">
        <v>7</v>
      </c>
      <c r="O488" s="5" t="s">
        <v>778</v>
      </c>
      <c r="P488" s="5" t="s">
        <v>7834</v>
      </c>
      <c r="R488" s="1" t="b">
        <v>1</v>
      </c>
    </row>
    <row r="489" spans="1:18">
      <c r="A489" t="s">
        <v>3024</v>
      </c>
      <c r="B489" t="s">
        <v>11165</v>
      </c>
      <c r="C489" s="5" t="s">
        <v>7779</v>
      </c>
      <c r="D489" s="1">
        <v>5</v>
      </c>
      <c r="E489" s="1">
        <v>2</v>
      </c>
      <c r="F489" s="1">
        <v>58</v>
      </c>
      <c r="G489" s="1">
        <v>67</v>
      </c>
      <c r="H489" s="13" cm="1">
        <f t="array" ref="H489">_xlfn.LET(_xlpm.s,IFERROR(--F489,""),_xlpm.e,IFERROR(--G489,""),IF(OR(_xlpm.s="",_xlpm.e="",_xlpm.e&lt;_xlpm.s),"",_xlfn.LET(_xlpm.p,_xlfn.SEQUENCE(_xlpm.e-_xlpm.s+1,1,_xlpm.s,1),SUM(1/COUNTIFS($D:$D,D489,$E:$E,E489,$F:$F,"&lt;&gt;N/A",$G:$G,"&lt;&gt;N/A",$F:$F,"&lt;="&amp;_xlpm.p,$G:$G,"&gt;="&amp;_xlpm.p)))))</f>
        <v>9</v>
      </c>
      <c r="I489" t="s">
        <v>1506</v>
      </c>
      <c r="J489" s="5" t="s">
        <v>1671</v>
      </c>
      <c r="K489" s="5" t="s">
        <v>7</v>
      </c>
      <c r="L489" s="5" t="s">
        <v>7</v>
      </c>
      <c r="M489" t="s">
        <v>7558</v>
      </c>
      <c r="N489" s="5" t="s">
        <v>7697</v>
      </c>
      <c r="O489" s="5" t="s">
        <v>5072</v>
      </c>
      <c r="P489" s="5" t="s">
        <v>8036</v>
      </c>
      <c r="R489" s="1" t="b">
        <v>1</v>
      </c>
    </row>
    <row r="490" spans="1:18">
      <c r="A490" t="s">
        <v>3024</v>
      </c>
      <c r="B490" t="s">
        <v>11166</v>
      </c>
      <c r="C490" s="5" t="s">
        <v>7779</v>
      </c>
      <c r="D490" s="1">
        <v>5</v>
      </c>
      <c r="E490" s="1">
        <v>2</v>
      </c>
      <c r="F490" s="1">
        <v>67</v>
      </c>
      <c r="G490" s="1">
        <v>72</v>
      </c>
      <c r="H490" s="13" cm="1">
        <f t="array" ref="H490">_xlfn.LET(_xlpm.s,IFERROR(--F490,""),_xlpm.e,IFERROR(--G490,""),IF(OR(_xlpm.s="",_xlpm.e="",_xlpm.e&lt;_xlpm.s),"",_xlfn.LET(_xlpm.p,_xlfn.SEQUENCE(_xlpm.e-_xlpm.s+1,1,_xlpm.s,1),SUM(1/COUNTIFS($D:$D,D490,$E:$E,E490,$F:$F,"&lt;&gt;N/A",$G:$G,"&lt;&gt;N/A",$F:$F,"&lt;="&amp;_xlpm.p,$G:$G,"&gt;="&amp;_xlpm.p)))))</f>
        <v>5</v>
      </c>
      <c r="I490" t="s">
        <v>1506</v>
      </c>
      <c r="J490" s="5" t="s">
        <v>1672</v>
      </c>
      <c r="K490" s="5" t="s">
        <v>7</v>
      </c>
      <c r="L490" s="5" t="s">
        <v>4920</v>
      </c>
      <c r="M490" t="s">
        <v>7557</v>
      </c>
      <c r="N490" s="5" t="s">
        <v>10430</v>
      </c>
      <c r="O490" s="5" t="s">
        <v>5072</v>
      </c>
      <c r="P490" s="5" t="s">
        <v>8021</v>
      </c>
      <c r="R490" s="1" t="b">
        <v>1</v>
      </c>
    </row>
    <row r="491" spans="1:18">
      <c r="A491" t="s">
        <v>3024</v>
      </c>
      <c r="B491" t="s">
        <v>11167</v>
      </c>
      <c r="C491" s="5" t="s">
        <v>7779</v>
      </c>
      <c r="D491" s="1">
        <v>5</v>
      </c>
      <c r="E491" s="1">
        <v>2</v>
      </c>
      <c r="F491" s="1">
        <v>72</v>
      </c>
      <c r="G491" s="1">
        <v>73</v>
      </c>
      <c r="H491" s="13" cm="1">
        <f t="array" ref="H491">_xlfn.LET(_xlpm.s,IFERROR(--F491,""),_xlpm.e,IFERROR(--G491,""),IF(OR(_xlpm.s="",_xlpm.e="",_xlpm.e&lt;_xlpm.s),"",_xlfn.LET(_xlpm.p,_xlfn.SEQUENCE(_xlpm.e-_xlpm.s+1,1,_xlpm.s,1),SUM(1/COUNTIFS($D:$D,D491,$E:$E,E491,$F:$F,"&lt;&gt;N/A",$G:$G,"&lt;&gt;N/A",$F:$F,"&lt;="&amp;_xlpm.p,$G:$G,"&gt;="&amp;_xlpm.p)))))</f>
        <v>1</v>
      </c>
      <c r="I491" t="s">
        <v>1506</v>
      </c>
      <c r="J491" s="5" t="s">
        <v>1673</v>
      </c>
      <c r="K491" s="5" t="s">
        <v>1674</v>
      </c>
      <c r="L491" s="5" t="s">
        <v>7</v>
      </c>
      <c r="M491" t="s">
        <v>7476</v>
      </c>
      <c r="N491" s="5" t="s">
        <v>7637</v>
      </c>
      <c r="O491" s="5" t="s">
        <v>5072</v>
      </c>
      <c r="P491" s="5" t="s">
        <v>8021</v>
      </c>
      <c r="R491" s="1" t="b">
        <v>1</v>
      </c>
    </row>
    <row r="492" spans="1:18">
      <c r="A492" t="s">
        <v>3024</v>
      </c>
      <c r="B492" t="s">
        <v>11168</v>
      </c>
      <c r="C492" s="5" t="s">
        <v>7779</v>
      </c>
      <c r="D492" s="1">
        <v>5</v>
      </c>
      <c r="E492" s="1">
        <v>2</v>
      </c>
      <c r="F492" s="1">
        <v>73</v>
      </c>
      <c r="G492" s="1">
        <v>75</v>
      </c>
      <c r="H492" s="13" cm="1">
        <f t="array" ref="H492">_xlfn.LET(_xlpm.s,IFERROR(--F492,""),_xlpm.e,IFERROR(--G492,""),IF(OR(_xlpm.s="",_xlpm.e="",_xlpm.e&lt;_xlpm.s),"",_xlfn.LET(_xlpm.p,_xlfn.SEQUENCE(_xlpm.e-_xlpm.s+1,1,_xlpm.s,1),SUM(1/COUNTIFS($D:$D,D492,$E:$E,E492,$F:$F,"&lt;&gt;N/A",$G:$G,"&lt;&gt;N/A",$F:$F,"&lt;="&amp;_xlpm.p,$G:$G,"&gt;="&amp;_xlpm.p)))))</f>
        <v>2.5</v>
      </c>
      <c r="I492" t="s">
        <v>1506</v>
      </c>
      <c r="J492" s="5" t="s">
        <v>7634</v>
      </c>
      <c r="K492" s="5" t="s">
        <v>4921</v>
      </c>
      <c r="L492" s="5" t="s">
        <v>7633</v>
      </c>
      <c r="M492" t="s">
        <v>7476</v>
      </c>
      <c r="N492" s="5" t="s">
        <v>7638</v>
      </c>
      <c r="O492" s="5" t="s">
        <v>5072</v>
      </c>
      <c r="P492" s="5" t="s">
        <v>8021</v>
      </c>
      <c r="Q492" s="5" t="s">
        <v>2509</v>
      </c>
      <c r="R492" s="1" t="b">
        <v>1</v>
      </c>
    </row>
    <row r="493" spans="1:18">
      <c r="A493" t="s">
        <v>3024</v>
      </c>
      <c r="B493" t="s">
        <v>11169</v>
      </c>
      <c r="C493" s="5" t="s">
        <v>7779</v>
      </c>
      <c r="D493" s="1">
        <v>5</v>
      </c>
      <c r="E493" s="1">
        <v>2</v>
      </c>
      <c r="F493" s="1">
        <v>76</v>
      </c>
      <c r="G493" s="1">
        <v>79</v>
      </c>
      <c r="H493" s="13" cm="1">
        <f t="array" ref="H493">_xlfn.LET(_xlpm.s,IFERROR(--F493,""),_xlpm.e,IFERROR(--G493,""),IF(OR(_xlpm.s="",_xlpm.e="",_xlpm.e&lt;_xlpm.s),"",_xlfn.LET(_xlpm.p,_xlfn.SEQUENCE(_xlpm.e-_xlpm.s+1,1,_xlpm.s,1),SUM(1/COUNTIFS($D:$D,D493,$E:$E,E493,$F:$F,"&lt;&gt;N/A",$G:$G,"&lt;&gt;N/A",$F:$F,"&lt;="&amp;_xlpm.p,$G:$G,"&gt;="&amp;_xlpm.p)))))</f>
        <v>3.5</v>
      </c>
      <c r="I493" t="s">
        <v>1506</v>
      </c>
      <c r="J493" s="5" t="s">
        <v>7636</v>
      </c>
      <c r="K493" s="5" t="s">
        <v>4922</v>
      </c>
      <c r="L493" s="5" t="s">
        <v>7635</v>
      </c>
      <c r="M493" t="s">
        <v>7476</v>
      </c>
      <c r="N493" s="5" t="s">
        <v>7639</v>
      </c>
      <c r="O493" s="5" t="s">
        <v>5072</v>
      </c>
      <c r="P493" s="5" t="s">
        <v>8021</v>
      </c>
      <c r="Q493" s="5" t="s">
        <v>2509</v>
      </c>
      <c r="R493" s="1" t="b">
        <v>1</v>
      </c>
    </row>
    <row r="494" spans="1:18">
      <c r="A494" t="s">
        <v>3024</v>
      </c>
      <c r="B494" t="s">
        <v>11170</v>
      </c>
      <c r="C494" s="5" t="s">
        <v>7779</v>
      </c>
      <c r="D494" s="1">
        <v>5</v>
      </c>
      <c r="E494" s="1">
        <v>2</v>
      </c>
      <c r="F494" s="1">
        <v>79</v>
      </c>
      <c r="G494" s="1">
        <v>80</v>
      </c>
      <c r="H494" s="13" cm="1">
        <f t="array" ref="H494">_xlfn.LET(_xlpm.s,IFERROR(--F494,""),_xlpm.e,IFERROR(--G494,""),IF(OR(_xlpm.s="",_xlpm.e="",_xlpm.e&lt;_xlpm.s),"",_xlfn.LET(_xlpm.p,_xlfn.SEQUENCE(_xlpm.e-_xlpm.s+1,1,_xlpm.s,1),SUM(1/COUNTIFS($D:$D,D494,$E:$E,E494,$F:$F,"&lt;&gt;N/A",$G:$G,"&lt;&gt;N/A",$F:$F,"&lt;="&amp;_xlpm.p,$G:$G,"&gt;="&amp;_xlpm.p)))))</f>
        <v>1.5</v>
      </c>
      <c r="I494" t="s">
        <v>1506</v>
      </c>
      <c r="J494" s="5" t="s">
        <v>1675</v>
      </c>
      <c r="K494" s="5" t="s">
        <v>7</v>
      </c>
      <c r="L494" s="5" t="s">
        <v>7</v>
      </c>
      <c r="M494" s="5" t="s">
        <v>7</v>
      </c>
      <c r="N494" s="5" t="s">
        <v>7</v>
      </c>
      <c r="O494" s="5" t="s">
        <v>11522</v>
      </c>
      <c r="P494" s="5" t="s">
        <v>8020</v>
      </c>
      <c r="Q494" s="5" t="s">
        <v>11530</v>
      </c>
      <c r="R494" s="1" t="b">
        <v>1</v>
      </c>
    </row>
    <row r="495" spans="1:18">
      <c r="A495" t="s">
        <v>3024</v>
      </c>
      <c r="B495" t="s">
        <v>11171</v>
      </c>
      <c r="C495" s="5" t="s">
        <v>7787</v>
      </c>
      <c r="D495" s="1">
        <v>5</v>
      </c>
      <c r="E495" s="1">
        <v>3</v>
      </c>
      <c r="F495" s="1">
        <v>81</v>
      </c>
      <c r="G495" s="1">
        <v>89</v>
      </c>
      <c r="H495" s="13" cm="1">
        <f t="array" ref="H495">_xlfn.LET(_xlpm.s,IFERROR(--F495,""),_xlpm.e,IFERROR(--G495,""),IF(OR(_xlpm.s="",_xlpm.e="",_xlpm.e&lt;_xlpm.s),"",_xlfn.LET(_xlpm.p,_xlfn.SEQUENCE(_xlpm.e-_xlpm.s+1,1,_xlpm.s,1),SUM(1/COUNTIFS($D:$D,D495,$E:$E,E495,$F:$F,"&lt;&gt;N/A",$G:$G,"&lt;&gt;N/A",$F:$F,"&lt;="&amp;_xlpm.p,$G:$G,"&gt;="&amp;_xlpm.p)))))</f>
        <v>8.5</v>
      </c>
      <c r="I495" t="s">
        <v>7</v>
      </c>
      <c r="J495" s="5" t="s">
        <v>1655</v>
      </c>
      <c r="K495" s="5" t="s">
        <v>1656</v>
      </c>
      <c r="L495" s="5" t="s">
        <v>7</v>
      </c>
      <c r="M495" s="5" t="s">
        <v>7</v>
      </c>
      <c r="N495" s="5" t="s">
        <v>7</v>
      </c>
      <c r="O495" s="5" t="s">
        <v>778</v>
      </c>
      <c r="P495" s="5" t="s">
        <v>7834</v>
      </c>
      <c r="R495" s="1" t="b">
        <v>1</v>
      </c>
    </row>
    <row r="496" spans="1:18">
      <c r="A496" t="s">
        <v>3024</v>
      </c>
      <c r="B496" t="s">
        <v>11172</v>
      </c>
      <c r="C496" s="5" t="s">
        <v>7787</v>
      </c>
      <c r="D496" s="1">
        <v>5</v>
      </c>
      <c r="E496" s="1">
        <v>3</v>
      </c>
      <c r="F496" s="1">
        <v>89</v>
      </c>
      <c r="G496" s="1">
        <v>92</v>
      </c>
      <c r="H496" s="13" cm="1">
        <f t="array" ref="H496">_xlfn.LET(_xlpm.s,IFERROR(--F496,""),_xlpm.e,IFERROR(--G496,""),IF(OR(_xlpm.s="",_xlpm.e="",_xlpm.e&lt;_xlpm.s),"",_xlfn.LET(_xlpm.p,_xlfn.SEQUENCE(_xlpm.e-_xlpm.s+1,1,_xlpm.s,1),SUM(1/COUNTIFS($D:$D,D496,$E:$E,E496,$F:$F,"&lt;&gt;N/A",$G:$G,"&lt;&gt;N/A",$F:$F,"&lt;="&amp;_xlpm.p,$G:$G,"&gt;="&amp;_xlpm.p)))))</f>
        <v>3.5</v>
      </c>
      <c r="I496" t="s">
        <v>7</v>
      </c>
      <c r="J496" s="5" t="s">
        <v>7182</v>
      </c>
      <c r="K496" s="5" t="s">
        <v>7</v>
      </c>
      <c r="L496" s="5" t="s">
        <v>7</v>
      </c>
      <c r="M496" s="5" t="s">
        <v>7</v>
      </c>
      <c r="N496" s="5" t="s">
        <v>7</v>
      </c>
      <c r="O496" s="5" t="s">
        <v>778</v>
      </c>
      <c r="P496" s="5" t="s">
        <v>7834</v>
      </c>
      <c r="R496" s="1" t="b">
        <v>1</v>
      </c>
    </row>
    <row r="497" spans="1:18">
      <c r="A497" t="s">
        <v>3024</v>
      </c>
      <c r="B497" t="s">
        <v>11173</v>
      </c>
      <c r="C497" s="5" t="s">
        <v>7787</v>
      </c>
      <c r="D497" s="1">
        <v>5</v>
      </c>
      <c r="E497" s="1">
        <v>3</v>
      </c>
      <c r="F497" s="1">
        <v>93</v>
      </c>
      <c r="G497" s="1">
        <v>98</v>
      </c>
      <c r="H497" s="13" cm="1">
        <f t="array" ref="H497">_xlfn.LET(_xlpm.s,IFERROR(--F497,""),_xlpm.e,IFERROR(--G497,""),IF(OR(_xlpm.s="",_xlpm.e="",_xlpm.e&lt;_xlpm.s),"",_xlfn.LET(_xlpm.p,_xlfn.SEQUENCE(_xlpm.e-_xlpm.s+1,1,_xlpm.s,1),SUM(1/COUNTIFS($D:$D,D497,$E:$E,E497,$F:$F,"&lt;&gt;N/A",$G:$G,"&lt;&gt;N/A",$F:$F,"&lt;="&amp;_xlpm.p,$G:$G,"&gt;="&amp;_xlpm.p)))))</f>
        <v>5.5</v>
      </c>
      <c r="I497" t="s">
        <v>7</v>
      </c>
      <c r="J497" s="5" t="s">
        <v>4481</v>
      </c>
      <c r="K497" s="5" t="s">
        <v>1280</v>
      </c>
      <c r="L497" s="5" t="s">
        <v>7</v>
      </c>
      <c r="M497" s="5" t="s">
        <v>7</v>
      </c>
      <c r="N497" s="5" t="s">
        <v>7</v>
      </c>
      <c r="O497" s="5" t="s">
        <v>778</v>
      </c>
      <c r="P497" s="5" t="s">
        <v>7834</v>
      </c>
      <c r="R497" s="1" t="b">
        <v>1</v>
      </c>
    </row>
    <row r="498" spans="1:18">
      <c r="A498" t="s">
        <v>3024</v>
      </c>
      <c r="B498" t="s">
        <v>11174</v>
      </c>
      <c r="C498" s="5" t="s">
        <v>7787</v>
      </c>
      <c r="D498" s="1">
        <v>5</v>
      </c>
      <c r="E498" s="1">
        <v>3</v>
      </c>
      <c r="F498" s="1">
        <v>98</v>
      </c>
      <c r="G498" s="1">
        <v>102</v>
      </c>
      <c r="H498" s="13" cm="1">
        <f t="array" ref="H498">_xlfn.LET(_xlpm.s,IFERROR(--F498,""),_xlpm.e,IFERROR(--G498,""),IF(OR(_xlpm.s="",_xlpm.e="",_xlpm.e&lt;_xlpm.s),"",_xlfn.LET(_xlpm.p,_xlfn.SEQUENCE(_xlpm.e-_xlpm.s+1,1,_xlpm.s,1),SUM(1/COUNTIFS($D:$D,D498,$E:$E,E498,$F:$F,"&lt;&gt;N/A",$G:$G,"&lt;&gt;N/A",$F:$F,"&lt;="&amp;_xlpm.p,$G:$G,"&gt;="&amp;_xlpm.p)))))</f>
        <v>4.5</v>
      </c>
      <c r="I498" t="s">
        <v>1350</v>
      </c>
      <c r="J498" s="5" t="s">
        <v>1657</v>
      </c>
      <c r="K498" s="5" t="s">
        <v>7</v>
      </c>
      <c r="L498" s="5" t="s">
        <v>7</v>
      </c>
      <c r="M498" s="5" t="s">
        <v>7</v>
      </c>
      <c r="N498" s="5" t="s">
        <v>7</v>
      </c>
      <c r="O498" s="5" t="s">
        <v>778</v>
      </c>
      <c r="P498" s="5" t="s">
        <v>7834</v>
      </c>
      <c r="R498" s="1" t="b">
        <v>0</v>
      </c>
    </row>
    <row r="499" spans="1:18">
      <c r="A499" t="s">
        <v>3024</v>
      </c>
      <c r="B499" t="s">
        <v>11175</v>
      </c>
      <c r="C499" s="5" t="s">
        <v>7787</v>
      </c>
      <c r="D499" s="1">
        <v>5</v>
      </c>
      <c r="E499" s="1">
        <v>3</v>
      </c>
      <c r="F499" s="1">
        <v>103</v>
      </c>
      <c r="G499" s="1">
        <v>112</v>
      </c>
      <c r="H499" s="13" cm="1">
        <f t="array" ref="H499">_xlfn.LET(_xlpm.s,IFERROR(--F499,""),_xlpm.e,IFERROR(--G499,""),IF(OR(_xlpm.s="",_xlpm.e="",_xlpm.e&lt;_xlpm.s),"",_xlfn.LET(_xlpm.p,_xlfn.SEQUENCE(_xlpm.e-_xlpm.s+1,1,_xlpm.s,1),SUM(1/COUNTIFS($D:$D,D499,$E:$E,E499,$F:$F,"&lt;&gt;N/A",$G:$G,"&lt;&gt;N/A",$F:$F,"&lt;="&amp;_xlpm.p,$G:$G,"&gt;="&amp;_xlpm.p)))))</f>
        <v>9.5</v>
      </c>
      <c r="I499" t="s">
        <v>1506</v>
      </c>
      <c r="J499" s="5" t="s">
        <v>7641</v>
      </c>
      <c r="K499" s="5" t="s">
        <v>4923</v>
      </c>
      <c r="L499" s="5" t="s">
        <v>4924</v>
      </c>
      <c r="M499" s="5" t="s">
        <v>6435</v>
      </c>
      <c r="N499" s="5" t="s">
        <v>2687</v>
      </c>
      <c r="O499" s="5" t="s">
        <v>5072</v>
      </c>
      <c r="P499" s="5" t="s">
        <v>8021</v>
      </c>
      <c r="Q499" s="5" t="s">
        <v>2509</v>
      </c>
      <c r="R499" s="1" t="b">
        <v>1</v>
      </c>
    </row>
    <row r="500" spans="1:18">
      <c r="A500" t="s">
        <v>3024</v>
      </c>
      <c r="B500" t="s">
        <v>11176</v>
      </c>
      <c r="C500" s="5" t="s">
        <v>7787</v>
      </c>
      <c r="D500" s="1">
        <v>5</v>
      </c>
      <c r="E500" s="1">
        <v>3</v>
      </c>
      <c r="F500" s="1">
        <v>112</v>
      </c>
      <c r="G500" s="1">
        <v>115</v>
      </c>
      <c r="H500" s="13" cm="1">
        <f t="array" ref="H500">_xlfn.LET(_xlpm.s,IFERROR(--F500,""),_xlpm.e,IFERROR(--G500,""),IF(OR(_xlpm.s="",_xlpm.e="",_xlpm.e&lt;_xlpm.s),"",_xlfn.LET(_xlpm.p,_xlfn.SEQUENCE(_xlpm.e-_xlpm.s+1,1,_xlpm.s,1),SUM(1/COUNTIFS($D:$D,D500,$E:$E,E500,$F:$F,"&lt;&gt;N/A",$G:$G,"&lt;&gt;N/A",$F:$F,"&lt;="&amp;_xlpm.p,$G:$G,"&gt;="&amp;_xlpm.p)))))</f>
        <v>3</v>
      </c>
      <c r="I500" t="s">
        <v>1506</v>
      </c>
      <c r="J500" s="5" t="s">
        <v>1658</v>
      </c>
      <c r="K500" s="5" t="s">
        <v>1659</v>
      </c>
      <c r="L500" s="5" t="s">
        <v>7</v>
      </c>
      <c r="M500" t="s">
        <v>7476</v>
      </c>
      <c r="N500" s="5" t="s">
        <v>7640</v>
      </c>
      <c r="O500" s="5" t="s">
        <v>5072</v>
      </c>
      <c r="P500" s="5" t="s">
        <v>8019</v>
      </c>
      <c r="Q500" s="5" t="s">
        <v>2509</v>
      </c>
      <c r="R500" s="1" t="b">
        <v>1</v>
      </c>
    </row>
    <row r="501" spans="1:18">
      <c r="A501" t="s">
        <v>3024</v>
      </c>
      <c r="B501" t="s">
        <v>11177</v>
      </c>
      <c r="C501" s="5" t="s">
        <v>7787</v>
      </c>
      <c r="D501" s="1">
        <v>5</v>
      </c>
      <c r="E501" s="1">
        <v>3</v>
      </c>
      <c r="F501" s="1">
        <v>115</v>
      </c>
      <c r="G501" s="1">
        <v>115</v>
      </c>
      <c r="H501" s="13" cm="1">
        <f t="array" ref="H501">_xlfn.LET(_xlpm.s,IFERROR(--F501,""),_xlpm.e,IFERROR(--G501,""),IF(OR(_xlpm.s="",_xlpm.e="",_xlpm.e&lt;_xlpm.s),"",_xlfn.LET(_xlpm.p,_xlfn.SEQUENCE(_xlpm.e-_xlpm.s+1,1,_xlpm.s,1),SUM(1/COUNTIFS($D:$D,D501,$E:$E,E501,$F:$F,"&lt;&gt;N/A",$G:$G,"&lt;&gt;N/A",$F:$F,"&lt;="&amp;_xlpm.p,$G:$G,"&gt;="&amp;_xlpm.p)))))</f>
        <v>0.5</v>
      </c>
      <c r="I501" t="s">
        <v>1506</v>
      </c>
      <c r="J501" s="5" t="s">
        <v>1660</v>
      </c>
      <c r="K501" s="5" t="s">
        <v>4925</v>
      </c>
      <c r="L501" s="5" t="s">
        <v>7</v>
      </c>
      <c r="M501" t="s">
        <v>7476</v>
      </c>
      <c r="N501" s="5" t="s">
        <v>7642</v>
      </c>
      <c r="O501" s="5" t="s">
        <v>5072</v>
      </c>
      <c r="P501" s="5" t="s">
        <v>8021</v>
      </c>
      <c r="Q501" s="5" t="s">
        <v>2509</v>
      </c>
      <c r="R501" s="1" t="b">
        <v>1</v>
      </c>
    </row>
    <row r="502" spans="1:18">
      <c r="A502" t="s">
        <v>3024</v>
      </c>
      <c r="B502" t="s">
        <v>11178</v>
      </c>
      <c r="C502" s="5" t="s">
        <v>7787</v>
      </c>
      <c r="D502" s="1">
        <v>5</v>
      </c>
      <c r="E502" s="1">
        <v>3</v>
      </c>
      <c r="F502" s="1">
        <v>116</v>
      </c>
      <c r="G502" s="1">
        <v>126</v>
      </c>
      <c r="H502" s="13" cm="1">
        <f t="array" ref="H502">_xlfn.LET(_xlpm.s,IFERROR(--F502,""),_xlpm.e,IFERROR(--G502,""),IF(OR(_xlpm.s="",_xlpm.e="",_xlpm.e&lt;_xlpm.s),"",_xlfn.LET(_xlpm.p,_xlfn.SEQUENCE(_xlpm.e-_xlpm.s+1,1,_xlpm.s,1),SUM(1/COUNTIFS($D:$D,D502,$E:$E,E502,$F:$F,"&lt;&gt;N/A",$G:$G,"&lt;&gt;N/A",$F:$F,"&lt;="&amp;_xlpm.p,$G:$G,"&gt;="&amp;_xlpm.p)))))</f>
        <v>10.5</v>
      </c>
      <c r="I502" t="s">
        <v>1506</v>
      </c>
      <c r="J502" s="5" t="s">
        <v>1661</v>
      </c>
      <c r="K502" s="5" t="s">
        <v>1662</v>
      </c>
      <c r="L502" s="5" t="s">
        <v>4926</v>
      </c>
      <c r="M502" s="5" t="s">
        <v>7</v>
      </c>
      <c r="N502" s="5" t="s">
        <v>7</v>
      </c>
      <c r="O502" s="5" t="s">
        <v>10264</v>
      </c>
      <c r="P502" s="5" t="s">
        <v>8020</v>
      </c>
      <c r="R502" s="1" t="b">
        <v>1</v>
      </c>
    </row>
    <row r="503" spans="1:18">
      <c r="A503" t="s">
        <v>3024</v>
      </c>
      <c r="B503" t="s">
        <v>11179</v>
      </c>
      <c r="C503" s="5" t="s">
        <v>7787</v>
      </c>
      <c r="D503" s="1">
        <v>5</v>
      </c>
      <c r="E503" s="1">
        <v>3</v>
      </c>
      <c r="F503" s="1">
        <v>126</v>
      </c>
      <c r="G503" s="1">
        <v>127</v>
      </c>
      <c r="H503" s="13" cm="1">
        <f t="array" ref="H503">_xlfn.LET(_xlpm.s,IFERROR(--F503,""),_xlpm.e,IFERROR(--G503,""),IF(OR(_xlpm.s="",_xlpm.e="",_xlpm.e&lt;_xlpm.s),"",_xlfn.LET(_xlpm.p,_xlfn.SEQUENCE(_xlpm.e-_xlpm.s+1,1,_xlpm.s,1),SUM(1/COUNTIFS($D:$D,D503,$E:$E,E503,$F:$F,"&lt;&gt;N/A",$G:$G,"&lt;&gt;N/A",$F:$F,"&lt;="&amp;_xlpm.p,$G:$G,"&gt;="&amp;_xlpm.p)))))</f>
        <v>1</v>
      </c>
      <c r="I503" t="s">
        <v>1506</v>
      </c>
      <c r="J503" s="5" t="s">
        <v>1663</v>
      </c>
      <c r="K503" s="5" t="s">
        <v>7</v>
      </c>
      <c r="L503" s="5" t="s">
        <v>7</v>
      </c>
      <c r="M503" s="5" t="s">
        <v>7</v>
      </c>
      <c r="N503" s="5" t="s">
        <v>7</v>
      </c>
      <c r="O503" s="5" t="s">
        <v>778</v>
      </c>
      <c r="P503" s="5" t="s">
        <v>7834</v>
      </c>
      <c r="R503" s="1" t="b">
        <v>1</v>
      </c>
    </row>
    <row r="504" spans="1:18">
      <c r="A504" t="s">
        <v>3024</v>
      </c>
      <c r="B504" t="s">
        <v>11180</v>
      </c>
      <c r="C504" s="5" t="s">
        <v>7787</v>
      </c>
      <c r="D504" s="1">
        <v>5</v>
      </c>
      <c r="E504" s="1">
        <v>3</v>
      </c>
      <c r="F504" s="1">
        <v>127</v>
      </c>
      <c r="G504" s="1">
        <v>128</v>
      </c>
      <c r="H504" s="13" cm="1">
        <f t="array" ref="H504">_xlfn.LET(_xlpm.s,IFERROR(--F504,""),_xlpm.e,IFERROR(--G504,""),IF(OR(_xlpm.s="",_xlpm.e="",_xlpm.e&lt;_xlpm.s),"",_xlfn.LET(_xlpm.p,_xlfn.SEQUENCE(_xlpm.e-_xlpm.s+1,1,_xlpm.s,1),SUM(1/COUNTIFS($D:$D,D504,$E:$E,E504,$F:$F,"&lt;&gt;N/A",$G:$G,"&lt;&gt;N/A",$F:$F,"&lt;="&amp;_xlpm.p,$G:$G,"&gt;="&amp;_xlpm.p)))))</f>
        <v>1.5</v>
      </c>
      <c r="I504" t="s">
        <v>1506</v>
      </c>
      <c r="J504" s="5" t="s">
        <v>1664</v>
      </c>
      <c r="K504" s="5" t="s">
        <v>7</v>
      </c>
      <c r="L504" s="5" t="s">
        <v>7</v>
      </c>
      <c r="M504" s="5" t="s">
        <v>7</v>
      </c>
      <c r="N504" s="5" t="s">
        <v>7</v>
      </c>
      <c r="O504" s="5" t="s">
        <v>778</v>
      </c>
      <c r="P504" s="5" t="s">
        <v>7834</v>
      </c>
      <c r="R504" s="1" t="b">
        <v>1</v>
      </c>
    </row>
    <row r="505" spans="1:18">
      <c r="A505" t="s">
        <v>3024</v>
      </c>
      <c r="B505" t="s">
        <v>11181</v>
      </c>
      <c r="C505" s="5" t="s">
        <v>7795</v>
      </c>
      <c r="D505" s="1">
        <v>5</v>
      </c>
      <c r="E505" s="1">
        <v>4</v>
      </c>
      <c r="F505" s="1">
        <v>129</v>
      </c>
      <c r="G505" s="1">
        <v>132</v>
      </c>
      <c r="H505" s="13" cm="1">
        <f t="array" ref="H505">_xlfn.LET(_xlpm.s,IFERROR(--F505,""),_xlpm.e,IFERROR(--G505,""),IF(OR(_xlpm.s="",_xlpm.e="",_xlpm.e&lt;_xlpm.s),"",_xlfn.LET(_xlpm.p,_xlfn.SEQUENCE(_xlpm.e-_xlpm.s+1,1,_xlpm.s,1),SUM(1/COUNTIFS($D:$D,D505,$E:$E,E505,$F:$F,"&lt;&gt;N/A",$G:$G,"&lt;&gt;N/A",$F:$F,"&lt;="&amp;_xlpm.p,$G:$G,"&gt;="&amp;_xlpm.p)))))</f>
        <v>4</v>
      </c>
      <c r="I505" t="s">
        <v>7</v>
      </c>
      <c r="J505" s="5" t="s">
        <v>1647</v>
      </c>
      <c r="K505" s="5" t="s">
        <v>7</v>
      </c>
      <c r="L505" s="5" t="s">
        <v>7</v>
      </c>
      <c r="M505" s="5" t="s">
        <v>7</v>
      </c>
      <c r="N505" s="5" t="s">
        <v>7</v>
      </c>
      <c r="O505" s="5" t="s">
        <v>778</v>
      </c>
      <c r="P505" s="5" t="s">
        <v>7834</v>
      </c>
      <c r="R505" s="1" t="b">
        <v>1</v>
      </c>
    </row>
    <row r="506" spans="1:18">
      <c r="A506" t="s">
        <v>3024</v>
      </c>
      <c r="B506" t="s">
        <v>11182</v>
      </c>
      <c r="C506" s="5" t="s">
        <v>7795</v>
      </c>
      <c r="D506" s="1">
        <v>5</v>
      </c>
      <c r="E506" s="1">
        <v>4</v>
      </c>
      <c r="F506" s="1">
        <v>133</v>
      </c>
      <c r="G506" s="1">
        <v>135</v>
      </c>
      <c r="H506" s="13" cm="1">
        <f t="array" ref="H506">_xlfn.LET(_xlpm.s,IFERROR(--F506,""),_xlpm.e,IFERROR(--G506,""),IF(OR(_xlpm.s="",_xlpm.e="",_xlpm.e&lt;_xlpm.s),"",_xlfn.LET(_xlpm.p,_xlfn.SEQUENCE(_xlpm.e-_xlpm.s+1,1,_xlpm.s,1),SUM(1/COUNTIFS($D:$D,D506,$E:$E,E506,$F:$F,"&lt;&gt;N/A",$G:$G,"&lt;&gt;N/A",$F:$F,"&lt;="&amp;_xlpm.p,$G:$G,"&gt;="&amp;_xlpm.p)))))</f>
        <v>3</v>
      </c>
      <c r="I506" t="s">
        <v>7</v>
      </c>
      <c r="J506" s="5" t="s">
        <v>1648</v>
      </c>
      <c r="K506" s="5" t="s">
        <v>1649</v>
      </c>
      <c r="L506" s="5" t="s">
        <v>7</v>
      </c>
      <c r="M506" s="5" t="s">
        <v>7</v>
      </c>
      <c r="N506" s="5" t="s">
        <v>7</v>
      </c>
      <c r="O506" s="5" t="s">
        <v>778</v>
      </c>
      <c r="P506" s="5" t="s">
        <v>7834</v>
      </c>
      <c r="R506" s="1" t="b">
        <v>1</v>
      </c>
    </row>
    <row r="507" spans="1:18">
      <c r="A507" t="s">
        <v>3024</v>
      </c>
      <c r="B507" t="s">
        <v>11183</v>
      </c>
      <c r="C507" s="5" t="s">
        <v>7795</v>
      </c>
      <c r="D507" s="1">
        <v>5</v>
      </c>
      <c r="E507" s="1">
        <v>4</v>
      </c>
      <c r="F507" s="1">
        <v>136</v>
      </c>
      <c r="G507" s="1">
        <v>139</v>
      </c>
      <c r="H507" s="13" cm="1">
        <f t="array" ref="H507">_xlfn.LET(_xlpm.s,IFERROR(--F507,""),_xlpm.e,IFERROR(--G507,""),IF(OR(_xlpm.s="",_xlpm.e="",_xlpm.e&lt;_xlpm.s),"",_xlfn.LET(_xlpm.p,_xlfn.SEQUENCE(_xlpm.e-_xlpm.s+1,1,_xlpm.s,1),SUM(1/COUNTIFS($D:$D,D507,$E:$E,E507,$F:$F,"&lt;&gt;N/A",$G:$G,"&lt;&gt;N/A",$F:$F,"&lt;="&amp;_xlpm.p,$G:$G,"&gt;="&amp;_xlpm.p)))))</f>
        <v>3.5</v>
      </c>
      <c r="I507" t="s">
        <v>7</v>
      </c>
      <c r="J507" s="5" t="s">
        <v>1650</v>
      </c>
      <c r="K507" s="5" t="s">
        <v>7</v>
      </c>
      <c r="L507" s="5" t="s">
        <v>7</v>
      </c>
      <c r="M507" s="5" t="s">
        <v>7</v>
      </c>
      <c r="N507" s="5" t="s">
        <v>7</v>
      </c>
      <c r="O507" s="5" t="s">
        <v>778</v>
      </c>
      <c r="P507" s="5" t="s">
        <v>7834</v>
      </c>
      <c r="R507" s="1" t="b">
        <v>1</v>
      </c>
    </row>
    <row r="508" spans="1:18">
      <c r="A508" t="s">
        <v>3024</v>
      </c>
      <c r="B508" t="s">
        <v>11184</v>
      </c>
      <c r="C508" s="5" t="s">
        <v>7795</v>
      </c>
      <c r="D508" s="1">
        <v>5</v>
      </c>
      <c r="E508" s="1">
        <v>4</v>
      </c>
      <c r="F508" s="1">
        <v>139</v>
      </c>
      <c r="G508" s="1">
        <v>146</v>
      </c>
      <c r="H508" s="13" cm="1">
        <f t="array" ref="H508">_xlfn.LET(_xlpm.s,IFERROR(--F508,""),_xlpm.e,IFERROR(--G508,""),IF(OR(_xlpm.s="",_xlpm.e="",_xlpm.e&lt;_xlpm.s),"",_xlfn.LET(_xlpm.p,_xlfn.SEQUENCE(_xlpm.e-_xlpm.s+1,1,_xlpm.s,1),SUM(1/COUNTIFS($D:$D,D508,$E:$E,E508,$F:$F,"&lt;&gt;N/A",$G:$G,"&lt;&gt;N/A",$F:$F,"&lt;="&amp;_xlpm.p,$G:$G,"&gt;="&amp;_xlpm.p)))))</f>
        <v>7.5</v>
      </c>
      <c r="I508" t="s">
        <v>7</v>
      </c>
      <c r="J508" s="5" t="s">
        <v>1651</v>
      </c>
      <c r="K508" s="5" t="s">
        <v>7</v>
      </c>
      <c r="L508" s="5" t="s">
        <v>7</v>
      </c>
      <c r="M508" s="5" t="s">
        <v>7</v>
      </c>
      <c r="N508" s="5" t="s">
        <v>7</v>
      </c>
      <c r="O508" s="5" t="s">
        <v>778</v>
      </c>
      <c r="P508" s="5" t="s">
        <v>7834</v>
      </c>
      <c r="R508" s="1" t="b">
        <v>1</v>
      </c>
    </row>
    <row r="509" spans="1:18">
      <c r="A509" t="s">
        <v>3024</v>
      </c>
      <c r="B509" t="s">
        <v>11185</v>
      </c>
      <c r="C509" s="5" t="s">
        <v>7795</v>
      </c>
      <c r="D509" s="1">
        <v>5</v>
      </c>
      <c r="E509" s="1">
        <v>4</v>
      </c>
      <c r="F509" s="1">
        <v>147</v>
      </c>
      <c r="G509" s="1">
        <v>155</v>
      </c>
      <c r="H509" s="13" cm="1">
        <f t="array" ref="H509">_xlfn.LET(_xlpm.s,IFERROR(--F509,""),_xlpm.e,IFERROR(--G509,""),IF(OR(_xlpm.s="",_xlpm.e="",_xlpm.e&lt;_xlpm.s),"",_xlfn.LET(_xlpm.p,_xlfn.SEQUENCE(_xlpm.e-_xlpm.s+1,1,_xlpm.s,1),SUM(1/COUNTIFS($D:$D,D509,$E:$E,E509,$F:$F,"&lt;&gt;N/A",$G:$G,"&lt;&gt;N/A",$F:$F,"&lt;="&amp;_xlpm.p,$G:$G,"&gt;="&amp;_xlpm.p)))))</f>
        <v>9</v>
      </c>
      <c r="I509" t="s">
        <v>1350</v>
      </c>
      <c r="J509" s="5" t="s">
        <v>1652</v>
      </c>
      <c r="K509" s="5" t="s">
        <v>7</v>
      </c>
      <c r="L509" s="5" t="s">
        <v>7</v>
      </c>
      <c r="M509" s="5" t="s">
        <v>7</v>
      </c>
      <c r="N509" s="5" t="s">
        <v>7</v>
      </c>
      <c r="O509" s="5" t="s">
        <v>778</v>
      </c>
      <c r="P509" s="5" t="s">
        <v>7834</v>
      </c>
      <c r="R509" s="1" t="b">
        <v>0</v>
      </c>
    </row>
    <row r="510" spans="1:18">
      <c r="A510" t="s">
        <v>3024</v>
      </c>
      <c r="B510" t="s">
        <v>11186</v>
      </c>
      <c r="C510" s="5" t="s">
        <v>7795</v>
      </c>
      <c r="D510" s="1">
        <v>5</v>
      </c>
      <c r="E510" s="1">
        <v>4</v>
      </c>
      <c r="F510" s="1">
        <v>156</v>
      </c>
      <c r="G510" s="1">
        <v>159</v>
      </c>
      <c r="H510" s="13" cm="1">
        <f t="array" ref="H510">_xlfn.LET(_xlpm.s,IFERROR(--F510,""),_xlpm.e,IFERROR(--G510,""),IF(OR(_xlpm.s="",_xlpm.e="",_xlpm.e&lt;_xlpm.s),"",_xlfn.LET(_xlpm.p,_xlfn.SEQUENCE(_xlpm.e-_xlpm.s+1,1,_xlpm.s,1),SUM(1/COUNTIFS($D:$D,D510,$E:$E,E510,$F:$F,"&lt;&gt;N/A",$G:$G,"&lt;&gt;N/A",$F:$F,"&lt;="&amp;_xlpm.p,$G:$G,"&gt;="&amp;_xlpm.p)))))</f>
        <v>4</v>
      </c>
      <c r="I510" t="s">
        <v>1350</v>
      </c>
      <c r="J510" s="5" t="s">
        <v>1653</v>
      </c>
      <c r="K510" s="5" t="s">
        <v>7</v>
      </c>
      <c r="L510" s="5" t="s">
        <v>7</v>
      </c>
      <c r="M510" s="5" t="s">
        <v>7</v>
      </c>
      <c r="N510" s="5" t="s">
        <v>7</v>
      </c>
      <c r="O510" s="5" t="s">
        <v>778</v>
      </c>
      <c r="P510" s="5" t="s">
        <v>7834</v>
      </c>
      <c r="R510" s="1" t="b">
        <v>1</v>
      </c>
    </row>
    <row r="511" spans="1:18">
      <c r="A511" t="s">
        <v>3024</v>
      </c>
      <c r="B511" t="s">
        <v>11187</v>
      </c>
      <c r="C511" s="5" t="s">
        <v>7795</v>
      </c>
      <c r="D511" s="1">
        <v>5</v>
      </c>
      <c r="E511" s="1">
        <v>4</v>
      </c>
      <c r="F511" s="1">
        <v>160</v>
      </c>
      <c r="G511" s="1">
        <v>181</v>
      </c>
      <c r="H511" s="13" cm="1">
        <f t="array" ref="H511">_xlfn.LET(_xlpm.s,IFERROR(--F511,""),_xlpm.e,IFERROR(--G511,""),IF(OR(_xlpm.s="",_xlpm.e="",_xlpm.e&lt;_xlpm.s),"",_xlfn.LET(_xlpm.p,_xlfn.SEQUENCE(_xlpm.e-_xlpm.s+1,1,_xlpm.s,1),SUM(1/COUNTIFS($D:$D,D511,$E:$E,E511,$F:$F,"&lt;&gt;N/A",$G:$G,"&lt;&gt;N/A",$F:$F,"&lt;="&amp;_xlpm.p,$G:$G,"&gt;="&amp;_xlpm.p)))))</f>
        <v>22</v>
      </c>
      <c r="I511" t="s">
        <v>1506</v>
      </c>
      <c r="J511" s="5" t="s">
        <v>7517</v>
      </c>
      <c r="K511" s="5" t="s">
        <v>1654</v>
      </c>
      <c r="L511" s="5" t="s">
        <v>4926</v>
      </c>
      <c r="M511" s="5" t="s">
        <v>7</v>
      </c>
      <c r="N511" s="5" t="s">
        <v>7</v>
      </c>
      <c r="O511" t="s">
        <v>10264</v>
      </c>
      <c r="P511" t="s">
        <v>8020</v>
      </c>
      <c r="R511" s="1" t="b">
        <v>1</v>
      </c>
    </row>
    <row r="512" spans="1:18">
      <c r="A512" t="s">
        <v>3024</v>
      </c>
      <c r="B512" t="s">
        <v>11188</v>
      </c>
      <c r="C512" s="5" t="s">
        <v>7795</v>
      </c>
      <c r="D512" s="1">
        <v>5</v>
      </c>
      <c r="E512" s="1">
        <v>4</v>
      </c>
      <c r="F512" s="1">
        <v>182</v>
      </c>
      <c r="G512" s="1">
        <v>184</v>
      </c>
      <c r="H512" s="13" cm="1">
        <f t="array" ref="H512">_xlfn.LET(_xlpm.s,IFERROR(--F512,""),_xlpm.e,IFERROR(--G512,""),IF(OR(_xlpm.s="",_xlpm.e="",_xlpm.e&lt;_xlpm.s),"",_xlfn.LET(_xlpm.p,_xlfn.SEQUENCE(_xlpm.e-_xlpm.s+1,1,_xlpm.s,1),SUM(1/COUNTIFS($D:$D,D512,$E:$E,E512,$F:$F,"&lt;&gt;N/A",$G:$G,"&lt;&gt;N/A",$F:$F,"&lt;="&amp;_xlpm.p,$G:$G,"&gt;="&amp;_xlpm.p)))))</f>
        <v>3</v>
      </c>
      <c r="I512" t="s">
        <v>1506</v>
      </c>
      <c r="J512" s="5" t="s">
        <v>1627</v>
      </c>
      <c r="K512" s="5" t="s">
        <v>7</v>
      </c>
      <c r="L512" s="5" t="s">
        <v>7</v>
      </c>
      <c r="M512" s="5" t="s">
        <v>7</v>
      </c>
      <c r="N512" s="5" t="s">
        <v>7</v>
      </c>
      <c r="O512" s="5" t="s">
        <v>778</v>
      </c>
      <c r="P512" s="5" t="s">
        <v>7834</v>
      </c>
      <c r="R512" s="1" t="b">
        <v>1</v>
      </c>
    </row>
    <row r="513" spans="1:18">
      <c r="A513" t="s">
        <v>3024</v>
      </c>
      <c r="B513" t="s">
        <v>11189</v>
      </c>
      <c r="C513" s="5" t="s">
        <v>7802</v>
      </c>
      <c r="D513" s="1">
        <v>5</v>
      </c>
      <c r="E513" s="1">
        <v>5</v>
      </c>
      <c r="F513" s="1">
        <v>185</v>
      </c>
      <c r="G513" s="1">
        <v>188</v>
      </c>
      <c r="H513" s="13" cm="1">
        <f t="array" ref="H513">_xlfn.LET(_xlpm.s,IFERROR(--F513,""),_xlpm.e,IFERROR(--G513,""),IF(OR(_xlpm.s="",_xlpm.e="",_xlpm.e&lt;_xlpm.s),"",_xlfn.LET(_xlpm.p,_xlfn.SEQUENCE(_xlpm.e-_xlpm.s+1,1,_xlpm.s,1),SUM(1/COUNTIFS($D:$D,D513,$E:$E,E513,$F:$F,"&lt;&gt;N/A",$G:$G,"&lt;&gt;N/A",$F:$F,"&lt;="&amp;_xlpm.p,$G:$G,"&gt;="&amp;_xlpm.p)))))</f>
        <v>4</v>
      </c>
      <c r="I513" t="s">
        <v>7</v>
      </c>
      <c r="J513" s="5" t="s">
        <v>1637</v>
      </c>
      <c r="K513" s="5" t="s">
        <v>1638</v>
      </c>
      <c r="L513" s="5" t="s">
        <v>7</v>
      </c>
      <c r="M513" s="5" t="s">
        <v>7</v>
      </c>
      <c r="N513" s="5" t="s">
        <v>7</v>
      </c>
      <c r="O513" s="5" t="s">
        <v>778</v>
      </c>
      <c r="P513" s="5" t="s">
        <v>7834</v>
      </c>
      <c r="R513" s="1" t="b">
        <v>1</v>
      </c>
    </row>
    <row r="514" spans="1:18">
      <c r="A514" t="s">
        <v>3024</v>
      </c>
      <c r="B514" t="s">
        <v>11190</v>
      </c>
      <c r="C514" s="5" t="s">
        <v>7802</v>
      </c>
      <c r="D514" s="1">
        <v>5</v>
      </c>
      <c r="E514" s="1">
        <v>5</v>
      </c>
      <c r="F514" s="1">
        <v>189</v>
      </c>
      <c r="G514" s="1">
        <v>196</v>
      </c>
      <c r="H514" s="13" cm="1">
        <f t="array" ref="H514">_xlfn.LET(_xlpm.s,IFERROR(--F514,""),_xlpm.e,IFERROR(--G514,""),IF(OR(_xlpm.s="",_xlpm.e="",_xlpm.e&lt;_xlpm.s),"",_xlfn.LET(_xlpm.p,_xlfn.SEQUENCE(_xlpm.e-_xlpm.s+1,1,_xlpm.s,1),SUM(1/COUNTIFS($D:$D,D514,$E:$E,E514,$F:$F,"&lt;&gt;N/A",$G:$G,"&lt;&gt;N/A",$F:$F,"&lt;="&amp;_xlpm.p,$G:$G,"&gt;="&amp;_xlpm.p)))))</f>
        <v>7.5</v>
      </c>
      <c r="I514" t="s">
        <v>7</v>
      </c>
      <c r="J514" s="5" t="s">
        <v>1639</v>
      </c>
      <c r="K514" s="5" t="s">
        <v>7</v>
      </c>
      <c r="L514" s="5" t="s">
        <v>7</v>
      </c>
      <c r="M514" s="5" t="s">
        <v>7</v>
      </c>
      <c r="N514" s="5" t="s">
        <v>7</v>
      </c>
      <c r="O514" s="5" t="s">
        <v>778</v>
      </c>
      <c r="P514" s="5" t="s">
        <v>7834</v>
      </c>
      <c r="R514" s="1" t="b">
        <v>1</v>
      </c>
    </row>
    <row r="515" spans="1:18">
      <c r="A515" t="s">
        <v>3024</v>
      </c>
      <c r="B515" t="s">
        <v>11191</v>
      </c>
      <c r="C515" s="5" t="s">
        <v>7802</v>
      </c>
      <c r="D515" s="1">
        <v>5</v>
      </c>
      <c r="E515" s="1">
        <v>5</v>
      </c>
      <c r="F515" s="1">
        <v>196</v>
      </c>
      <c r="G515" s="1">
        <v>202</v>
      </c>
      <c r="H515" s="13" cm="1">
        <f t="array" ref="H515">_xlfn.LET(_xlpm.s,IFERROR(--F515,""),_xlpm.e,IFERROR(--G515,""),IF(OR(_xlpm.s="",_xlpm.e="",_xlpm.e&lt;_xlpm.s),"",_xlfn.LET(_xlpm.p,_xlfn.SEQUENCE(_xlpm.e-_xlpm.s+1,1,_xlpm.s,1),SUM(1/COUNTIFS($D:$D,D515,$E:$E,E515,$F:$F,"&lt;&gt;N/A",$G:$G,"&lt;&gt;N/A",$F:$F,"&lt;="&amp;_xlpm.p,$G:$G,"&gt;="&amp;_xlpm.p)))))</f>
        <v>6</v>
      </c>
      <c r="I515" t="s">
        <v>7</v>
      </c>
      <c r="J515" s="5" t="s">
        <v>1640</v>
      </c>
      <c r="K515" s="5" t="s">
        <v>1614</v>
      </c>
      <c r="L515" s="5" t="s">
        <v>7</v>
      </c>
      <c r="M515" s="5" t="s">
        <v>7</v>
      </c>
      <c r="N515" s="5" t="s">
        <v>7</v>
      </c>
      <c r="O515" s="5" t="s">
        <v>778</v>
      </c>
      <c r="P515" s="5" t="s">
        <v>7834</v>
      </c>
      <c r="R515" s="1" t="b">
        <v>1</v>
      </c>
    </row>
    <row r="516" spans="1:18">
      <c r="A516" t="s">
        <v>3024</v>
      </c>
      <c r="B516" t="s">
        <v>11192</v>
      </c>
      <c r="C516" s="5" t="s">
        <v>7802</v>
      </c>
      <c r="D516" s="1">
        <v>5</v>
      </c>
      <c r="E516" s="1">
        <v>5</v>
      </c>
      <c r="F516" s="1">
        <v>202</v>
      </c>
      <c r="G516" s="1">
        <v>208</v>
      </c>
      <c r="H516" s="13" cm="1">
        <f t="array" ref="H516">_xlfn.LET(_xlpm.s,IFERROR(--F516,""),_xlpm.e,IFERROR(--G516,""),IF(OR(_xlpm.s="",_xlpm.e="",_xlpm.e&lt;_xlpm.s),"",_xlfn.LET(_xlpm.p,_xlfn.SEQUENCE(_xlpm.e-_xlpm.s+1,1,_xlpm.s,1),SUM(1/COUNTIFS($D:$D,D516,$E:$E,E516,$F:$F,"&lt;&gt;N/A",$G:$G,"&lt;&gt;N/A",$F:$F,"&lt;="&amp;_xlpm.p,$G:$G,"&gt;="&amp;_xlpm.p)))))</f>
        <v>6</v>
      </c>
      <c r="I516" t="s">
        <v>1519</v>
      </c>
      <c r="J516" s="5" t="s">
        <v>1641</v>
      </c>
      <c r="K516" s="5" t="s">
        <v>1280</v>
      </c>
      <c r="L516" s="5" t="s">
        <v>7</v>
      </c>
      <c r="M516" s="5" t="s">
        <v>7</v>
      </c>
      <c r="N516" s="5" t="s">
        <v>7</v>
      </c>
      <c r="O516" s="5" t="s">
        <v>778</v>
      </c>
      <c r="P516" s="5" t="s">
        <v>7834</v>
      </c>
      <c r="R516" s="1" t="b">
        <v>1</v>
      </c>
    </row>
    <row r="517" spans="1:18">
      <c r="A517" t="s">
        <v>3024</v>
      </c>
      <c r="B517" t="s">
        <v>11193</v>
      </c>
      <c r="C517" s="5" t="s">
        <v>7802</v>
      </c>
      <c r="D517" s="1">
        <v>5</v>
      </c>
      <c r="E517" s="1">
        <v>5</v>
      </c>
      <c r="F517" s="1">
        <v>208</v>
      </c>
      <c r="G517" s="1">
        <v>210</v>
      </c>
      <c r="H517" s="13" cm="1">
        <f t="array" ref="H517">_xlfn.LET(_xlpm.s,IFERROR(--F517,""),_xlpm.e,IFERROR(--G517,""),IF(OR(_xlpm.s="",_xlpm.e="",_xlpm.e&lt;_xlpm.s),"",_xlfn.LET(_xlpm.p,_xlfn.SEQUENCE(_xlpm.e-_xlpm.s+1,1,_xlpm.s,1),SUM(1/COUNTIFS($D:$D,D517,$E:$E,E517,$F:$F,"&lt;&gt;N/A",$G:$G,"&lt;&gt;N/A",$F:$F,"&lt;="&amp;_xlpm.p,$G:$G,"&gt;="&amp;_xlpm.p)))))</f>
        <v>2</v>
      </c>
      <c r="I517" t="s">
        <v>1350</v>
      </c>
      <c r="J517" s="5" t="s">
        <v>1642</v>
      </c>
      <c r="K517" s="5" t="s">
        <v>7</v>
      </c>
      <c r="L517" s="5" t="s">
        <v>7</v>
      </c>
      <c r="M517" s="5" t="s">
        <v>7</v>
      </c>
      <c r="N517" s="5" t="s">
        <v>7</v>
      </c>
      <c r="O517" s="5" t="s">
        <v>778</v>
      </c>
      <c r="P517" s="5" t="s">
        <v>7834</v>
      </c>
      <c r="R517" s="1" t="b">
        <v>0</v>
      </c>
    </row>
    <row r="518" spans="1:18">
      <c r="A518" t="s">
        <v>3024</v>
      </c>
      <c r="B518" t="s">
        <v>11194</v>
      </c>
      <c r="C518" s="5" t="s">
        <v>7802</v>
      </c>
      <c r="D518" s="1">
        <v>5</v>
      </c>
      <c r="E518" s="1">
        <v>5</v>
      </c>
      <c r="F518" s="1">
        <v>210</v>
      </c>
      <c r="G518" s="1">
        <v>213</v>
      </c>
      <c r="H518" s="13" cm="1">
        <f t="array" ref="H518">_xlfn.LET(_xlpm.s,IFERROR(--F518,""),_xlpm.e,IFERROR(--G518,""),IF(OR(_xlpm.s="",_xlpm.e="",_xlpm.e&lt;_xlpm.s),"",_xlfn.LET(_xlpm.p,_xlfn.SEQUENCE(_xlpm.e-_xlpm.s+1,1,_xlpm.s,1),SUM(1/COUNTIFS($D:$D,D518,$E:$E,E518,$F:$F,"&lt;&gt;N/A",$G:$G,"&lt;&gt;N/A",$F:$F,"&lt;="&amp;_xlpm.p,$G:$G,"&gt;="&amp;_xlpm.p)))))</f>
        <v>3.5</v>
      </c>
      <c r="I518" t="s">
        <v>1350</v>
      </c>
      <c r="J518" s="5" t="s">
        <v>1643</v>
      </c>
      <c r="K518" s="5" t="s">
        <v>7</v>
      </c>
      <c r="L518" s="5" t="s">
        <v>7</v>
      </c>
      <c r="M518" s="5" t="s">
        <v>7</v>
      </c>
      <c r="N518" s="5" t="s">
        <v>7</v>
      </c>
      <c r="O518" s="5" t="s">
        <v>778</v>
      </c>
      <c r="P518" s="5" t="s">
        <v>7834</v>
      </c>
      <c r="R518" s="1" t="b">
        <v>1</v>
      </c>
    </row>
    <row r="519" spans="1:18">
      <c r="A519" t="s">
        <v>3024</v>
      </c>
      <c r="B519" t="s">
        <v>11195</v>
      </c>
      <c r="C519" s="5" t="s">
        <v>7802</v>
      </c>
      <c r="D519" s="1">
        <v>5</v>
      </c>
      <c r="E519" s="1">
        <v>5</v>
      </c>
      <c r="F519" s="1">
        <v>214</v>
      </c>
      <c r="G519" s="1">
        <v>219</v>
      </c>
      <c r="H519" s="13" cm="1">
        <f t="array" ref="H519">_xlfn.LET(_xlpm.s,IFERROR(--F519,""),_xlpm.e,IFERROR(--G519,""),IF(OR(_xlpm.s="",_xlpm.e="",_xlpm.e&lt;_xlpm.s),"",_xlfn.LET(_xlpm.p,_xlfn.SEQUENCE(_xlpm.e-_xlpm.s+1,1,_xlpm.s,1),SUM(1/COUNTIFS($D:$D,D519,$E:$E,E519,$F:$F,"&lt;&gt;N/A",$G:$G,"&lt;&gt;N/A",$F:$F,"&lt;="&amp;_xlpm.p,$G:$G,"&gt;="&amp;_xlpm.p)))))</f>
        <v>5.5</v>
      </c>
      <c r="I519" t="s">
        <v>1506</v>
      </c>
      <c r="J519" s="5" t="s">
        <v>1644</v>
      </c>
      <c r="K519" s="5" t="s">
        <v>2073</v>
      </c>
      <c r="L519" s="5" t="s">
        <v>7</v>
      </c>
      <c r="M519" t="s">
        <v>7560</v>
      </c>
      <c r="N519" t="s">
        <v>10144</v>
      </c>
      <c r="O519" s="5" t="s">
        <v>11522</v>
      </c>
      <c r="P519" s="5" t="s">
        <v>8021</v>
      </c>
      <c r="R519" s="1" t="b">
        <v>1</v>
      </c>
    </row>
    <row r="520" spans="1:18">
      <c r="A520" t="s">
        <v>3024</v>
      </c>
      <c r="B520" t="s">
        <v>11196</v>
      </c>
      <c r="C520" s="5" t="s">
        <v>7802</v>
      </c>
      <c r="D520" s="1">
        <v>5</v>
      </c>
      <c r="E520" s="1">
        <v>5</v>
      </c>
      <c r="F520" s="1">
        <v>219</v>
      </c>
      <c r="G520" s="1">
        <v>223</v>
      </c>
      <c r="H520" s="13" cm="1">
        <f t="array" ref="H520">_xlfn.LET(_xlpm.s,IFERROR(--F520,""),_xlpm.e,IFERROR(--G520,""),IF(OR(_xlpm.s="",_xlpm.e="",_xlpm.e&lt;_xlpm.s),"",_xlfn.LET(_xlpm.p,_xlfn.SEQUENCE(_xlpm.e-_xlpm.s+1,1,_xlpm.s,1),SUM(1/COUNTIFS($D:$D,D520,$E:$E,E520,$F:$F,"&lt;&gt;N/A",$G:$G,"&lt;&gt;N/A",$F:$F,"&lt;="&amp;_xlpm.p,$G:$G,"&gt;="&amp;_xlpm.p)))))</f>
        <v>4.5</v>
      </c>
      <c r="I520" t="s">
        <v>1506</v>
      </c>
      <c r="J520" s="5" t="s">
        <v>7643</v>
      </c>
      <c r="K520" s="5" t="s">
        <v>4927</v>
      </c>
      <c r="L520" s="5" t="s">
        <v>4928</v>
      </c>
      <c r="M520" t="s">
        <v>7476</v>
      </c>
      <c r="N520" s="5" t="s">
        <v>7644</v>
      </c>
      <c r="O520" s="5" t="s">
        <v>5072</v>
      </c>
      <c r="P520" s="5" t="s">
        <v>8021</v>
      </c>
      <c r="R520" s="1" t="b">
        <v>1</v>
      </c>
    </row>
    <row r="521" spans="1:18">
      <c r="A521" t="s">
        <v>3024</v>
      </c>
      <c r="B521" t="s">
        <v>11197</v>
      </c>
      <c r="C521" s="5" t="s">
        <v>7802</v>
      </c>
      <c r="D521" s="1">
        <v>5</v>
      </c>
      <c r="E521" s="1">
        <v>5</v>
      </c>
      <c r="F521" s="1">
        <v>224</v>
      </c>
      <c r="G521" s="1">
        <v>228</v>
      </c>
      <c r="H521" s="13" cm="1">
        <f t="array" ref="H521">_xlfn.LET(_xlpm.s,IFERROR(--F521,""),_xlpm.e,IFERROR(--G521,""),IF(OR(_xlpm.s="",_xlpm.e="",_xlpm.e&lt;_xlpm.s),"",_xlfn.LET(_xlpm.p,_xlfn.SEQUENCE(_xlpm.e-_xlpm.s+1,1,_xlpm.s,1),SUM(1/COUNTIFS($D:$D,D521,$E:$E,E521,$F:$F,"&lt;&gt;N/A",$G:$G,"&lt;&gt;N/A",$F:$F,"&lt;="&amp;_xlpm.p,$G:$G,"&gt;="&amp;_xlpm.p)))))</f>
        <v>4.5</v>
      </c>
      <c r="I521" t="s">
        <v>1506</v>
      </c>
      <c r="J521" s="5" t="s">
        <v>1645</v>
      </c>
      <c r="K521" s="5" t="s">
        <v>4929</v>
      </c>
      <c r="L521" s="5" t="s">
        <v>4930</v>
      </c>
      <c r="M521" t="s">
        <v>7476</v>
      </c>
      <c r="N521" s="5" t="s">
        <v>7645</v>
      </c>
      <c r="O521" s="5" t="s">
        <v>5072</v>
      </c>
      <c r="P521" s="5" t="s">
        <v>8021</v>
      </c>
      <c r="R521" s="1" t="b">
        <v>1</v>
      </c>
    </row>
    <row r="522" spans="1:18">
      <c r="A522" t="s">
        <v>3024</v>
      </c>
      <c r="B522" t="s">
        <v>11198</v>
      </c>
      <c r="C522" s="5" t="s">
        <v>7802</v>
      </c>
      <c r="D522" s="1">
        <v>5</v>
      </c>
      <c r="E522" s="1">
        <v>5</v>
      </c>
      <c r="F522" s="1">
        <v>228</v>
      </c>
      <c r="G522" s="1">
        <v>233</v>
      </c>
      <c r="H522" s="13" cm="1">
        <f t="array" ref="H522">_xlfn.LET(_xlpm.s,IFERROR(--F522,""),_xlpm.e,IFERROR(--G522,""),IF(OR(_xlpm.s="",_xlpm.e="",_xlpm.e&lt;_xlpm.s),"",_xlfn.LET(_xlpm.p,_xlfn.SEQUENCE(_xlpm.e-_xlpm.s+1,1,_xlpm.s,1),SUM(1/COUNTIFS($D:$D,D522,$E:$E,E522,$F:$F,"&lt;&gt;N/A",$G:$G,"&lt;&gt;N/A",$F:$F,"&lt;="&amp;_xlpm.p,$G:$G,"&gt;="&amp;_xlpm.p)))))</f>
        <v>5</v>
      </c>
      <c r="I522" t="s">
        <v>1506</v>
      </c>
      <c r="J522" s="5" t="s">
        <v>2686</v>
      </c>
      <c r="K522" s="5" t="s">
        <v>7</v>
      </c>
      <c r="L522" s="5" t="s">
        <v>7</v>
      </c>
      <c r="M522" s="5" t="s">
        <v>7</v>
      </c>
      <c r="N522" s="5" t="s">
        <v>7</v>
      </c>
      <c r="O522" s="5" t="s">
        <v>10264</v>
      </c>
      <c r="P522" s="5" t="s">
        <v>8020</v>
      </c>
      <c r="Q522" t="s">
        <v>7523</v>
      </c>
      <c r="R522" s="1" t="b">
        <v>1</v>
      </c>
    </row>
    <row r="523" spans="1:18">
      <c r="A523" t="s">
        <v>3024</v>
      </c>
      <c r="B523" t="s">
        <v>11199</v>
      </c>
      <c r="C523" s="5" t="s">
        <v>7802</v>
      </c>
      <c r="D523" s="1">
        <v>5</v>
      </c>
      <c r="E523" s="1">
        <v>5</v>
      </c>
      <c r="F523" s="1">
        <v>233</v>
      </c>
      <c r="G523" s="1">
        <v>236</v>
      </c>
      <c r="H523" s="13" cm="1">
        <f t="array" ref="H523">_xlfn.LET(_xlpm.s,IFERROR(--F523,""),_xlpm.e,IFERROR(--G523,""),IF(OR(_xlpm.s="",_xlpm.e="",_xlpm.e&lt;_xlpm.s),"",_xlfn.LET(_xlpm.p,_xlfn.SEQUENCE(_xlpm.e-_xlpm.s+1,1,_xlpm.s,1),SUM(1/COUNTIFS($D:$D,D523,$E:$E,E523,$F:$F,"&lt;&gt;N/A",$G:$G,"&lt;&gt;N/A",$F:$F,"&lt;="&amp;_xlpm.p,$G:$G,"&gt;="&amp;_xlpm.p)))))</f>
        <v>3</v>
      </c>
      <c r="I523" t="s">
        <v>1506</v>
      </c>
      <c r="J523" s="5" t="s">
        <v>1646</v>
      </c>
      <c r="K523" s="5" t="s">
        <v>7</v>
      </c>
      <c r="L523" s="5" t="s">
        <v>7</v>
      </c>
      <c r="M523" s="5" t="s">
        <v>7</v>
      </c>
      <c r="N523" s="5" t="s">
        <v>7</v>
      </c>
      <c r="O523" s="5" t="s">
        <v>778</v>
      </c>
      <c r="P523" s="5" t="s">
        <v>7834</v>
      </c>
      <c r="R523" s="1" t="b">
        <v>1</v>
      </c>
    </row>
    <row r="524" spans="1:18">
      <c r="A524" t="s">
        <v>3024</v>
      </c>
      <c r="B524" t="s">
        <v>11200</v>
      </c>
      <c r="C524" s="5" t="s">
        <v>7802</v>
      </c>
      <c r="D524" s="1">
        <v>5</v>
      </c>
      <c r="E524" s="1">
        <v>5</v>
      </c>
      <c r="F524" s="1">
        <v>236</v>
      </c>
      <c r="G524" s="1">
        <v>239</v>
      </c>
      <c r="H524" s="13" cm="1">
        <f t="array" ref="H524">_xlfn.LET(_xlpm.s,IFERROR(--F524,""),_xlpm.e,IFERROR(--G524,""),IF(OR(_xlpm.s="",_xlpm.e="",_xlpm.e&lt;_xlpm.s),"",_xlfn.LET(_xlpm.p,_xlfn.SEQUENCE(_xlpm.e-_xlpm.s+1,1,_xlpm.s,1),SUM(1/COUNTIFS($D:$D,D524,$E:$E,E524,$F:$F,"&lt;&gt;N/A",$G:$G,"&lt;&gt;N/A",$F:$F,"&lt;="&amp;_xlpm.p,$G:$G,"&gt;="&amp;_xlpm.p)))))</f>
        <v>3.5</v>
      </c>
      <c r="I524" t="s">
        <v>1506</v>
      </c>
      <c r="J524" s="5" t="s">
        <v>6952</v>
      </c>
      <c r="K524" s="5" t="s">
        <v>4931</v>
      </c>
      <c r="L524" s="5" t="s">
        <v>7</v>
      </c>
      <c r="M524" s="5" t="s">
        <v>7</v>
      </c>
      <c r="N524" s="5" t="s">
        <v>7</v>
      </c>
      <c r="O524" s="5" t="s">
        <v>778</v>
      </c>
      <c r="P524" s="5" t="s">
        <v>7834</v>
      </c>
      <c r="R524" s="1" t="b">
        <v>1</v>
      </c>
    </row>
    <row r="525" spans="1:18">
      <c r="A525" t="s">
        <v>3024</v>
      </c>
      <c r="B525" t="s">
        <v>11201</v>
      </c>
      <c r="C525" s="5" t="s">
        <v>7802</v>
      </c>
      <c r="D525" s="1">
        <v>5</v>
      </c>
      <c r="E525" s="1">
        <v>5</v>
      </c>
      <c r="F525" s="1">
        <v>240</v>
      </c>
      <c r="G525" s="1">
        <v>240</v>
      </c>
      <c r="H525" s="13" cm="1">
        <f t="array" ref="H525">_xlfn.LET(_xlpm.s,IFERROR(--F525,""),_xlpm.e,IFERROR(--G525,""),IF(OR(_xlpm.s="",_xlpm.e="",_xlpm.e&lt;_xlpm.s),"",_xlfn.LET(_xlpm.p,_xlfn.SEQUENCE(_xlpm.e-_xlpm.s+1,1,_xlpm.s,1),SUM(1/COUNTIFS($D:$D,D525,$E:$E,E525,$F:$F,"&lt;&gt;N/A",$G:$G,"&lt;&gt;N/A",$F:$F,"&lt;="&amp;_xlpm.p,$G:$G,"&gt;="&amp;_xlpm.p)))))</f>
        <v>1</v>
      </c>
      <c r="I525" t="s">
        <v>1506</v>
      </c>
      <c r="J525" s="5" t="s">
        <v>1627</v>
      </c>
      <c r="K525" s="5" t="s">
        <v>7</v>
      </c>
      <c r="L525" s="5" t="s">
        <v>7</v>
      </c>
      <c r="M525" s="5" t="s">
        <v>7</v>
      </c>
      <c r="N525" s="5" t="s">
        <v>7</v>
      </c>
      <c r="O525" s="5" t="s">
        <v>778</v>
      </c>
      <c r="P525" s="5" t="s">
        <v>7834</v>
      </c>
      <c r="R525" s="1" t="b">
        <v>1</v>
      </c>
    </row>
    <row r="526" spans="1:18">
      <c r="A526" t="s">
        <v>3024</v>
      </c>
      <c r="B526" t="s">
        <v>11202</v>
      </c>
      <c r="C526" s="5" t="s">
        <v>7809</v>
      </c>
      <c r="D526" s="1">
        <v>5</v>
      </c>
      <c r="E526" s="1">
        <v>6</v>
      </c>
      <c r="F526" s="1">
        <v>241</v>
      </c>
      <c r="G526" s="1">
        <v>262</v>
      </c>
      <c r="H526" s="13" cm="1">
        <f t="array" ref="H526">_xlfn.LET(_xlpm.s,IFERROR(--F526,""),_xlpm.e,IFERROR(--G526,""),IF(OR(_xlpm.s="",_xlpm.e="",_xlpm.e&lt;_xlpm.s),"",_xlfn.LET(_xlpm.p,_xlfn.SEQUENCE(_xlpm.e-_xlpm.s+1,1,_xlpm.s,1),SUM(1/COUNTIFS($D:$D,D526,$E:$E,E526,$F:$F,"&lt;&gt;N/A",$G:$G,"&lt;&gt;N/A",$F:$F,"&lt;="&amp;_xlpm.p,$G:$G,"&gt;="&amp;_xlpm.p)))))</f>
        <v>21.5</v>
      </c>
      <c r="I526" t="s">
        <v>7</v>
      </c>
      <c r="J526" s="5" t="s">
        <v>1628</v>
      </c>
      <c r="K526" s="5" t="s">
        <v>11509</v>
      </c>
      <c r="L526" s="5" t="s">
        <v>7</v>
      </c>
      <c r="M526" s="5" t="s">
        <v>7</v>
      </c>
      <c r="N526" s="5" t="s">
        <v>7</v>
      </c>
      <c r="O526" s="5" t="s">
        <v>778</v>
      </c>
      <c r="P526" s="5" t="s">
        <v>7834</v>
      </c>
      <c r="R526" s="1" t="b">
        <v>1</v>
      </c>
    </row>
    <row r="527" spans="1:18">
      <c r="A527" t="s">
        <v>3024</v>
      </c>
      <c r="B527" t="s">
        <v>11203</v>
      </c>
      <c r="C527" s="5" t="s">
        <v>7809</v>
      </c>
      <c r="D527" s="1">
        <v>5</v>
      </c>
      <c r="E527" s="1">
        <v>6</v>
      </c>
      <c r="F527" s="1">
        <v>262</v>
      </c>
      <c r="G527" s="1">
        <v>274</v>
      </c>
      <c r="H527" s="13" cm="1">
        <f t="array" ref="H527">_xlfn.LET(_xlpm.s,IFERROR(--F527,""),_xlpm.e,IFERROR(--G527,""),IF(OR(_xlpm.s="",_xlpm.e="",_xlpm.e&lt;_xlpm.s),"",_xlfn.LET(_xlpm.p,_xlfn.SEQUENCE(_xlpm.e-_xlpm.s+1,1,_xlpm.s,1),SUM(1/COUNTIFS($D:$D,D527,$E:$E,E527,$F:$F,"&lt;&gt;N/A",$G:$G,"&lt;&gt;N/A",$F:$F,"&lt;="&amp;_xlpm.p,$G:$G,"&gt;="&amp;_xlpm.p)))))</f>
        <v>12</v>
      </c>
      <c r="I527" t="s">
        <v>7</v>
      </c>
      <c r="J527" s="5" t="s">
        <v>1630</v>
      </c>
      <c r="K527" s="5" t="s">
        <v>7</v>
      </c>
      <c r="L527" s="5" t="s">
        <v>7</v>
      </c>
      <c r="M527" s="5" t="s">
        <v>7</v>
      </c>
      <c r="N527" s="5" t="s">
        <v>7</v>
      </c>
      <c r="O527" s="5" t="s">
        <v>778</v>
      </c>
      <c r="P527" s="5" t="s">
        <v>7834</v>
      </c>
      <c r="R527" s="1" t="b">
        <v>1</v>
      </c>
    </row>
    <row r="528" spans="1:18">
      <c r="A528" t="s">
        <v>3024</v>
      </c>
      <c r="B528" t="s">
        <v>11204</v>
      </c>
      <c r="C528" s="5" t="s">
        <v>7809</v>
      </c>
      <c r="D528" s="1">
        <v>5</v>
      </c>
      <c r="E528" s="1">
        <v>6</v>
      </c>
      <c r="F528" s="1">
        <v>274</v>
      </c>
      <c r="G528" s="1">
        <v>277</v>
      </c>
      <c r="H528" s="13" cm="1">
        <f t="array" ref="H528">_xlfn.LET(_xlpm.s,IFERROR(--F528,""),_xlpm.e,IFERROR(--G528,""),IF(OR(_xlpm.s="",_xlpm.e="",_xlpm.e&lt;_xlpm.s),"",_xlfn.LET(_xlpm.p,_xlfn.SEQUENCE(_xlpm.e-_xlpm.s+1,1,_xlpm.s,1),SUM(1/COUNTIFS($D:$D,D528,$E:$E,E528,$F:$F,"&lt;&gt;N/A",$G:$G,"&lt;&gt;N/A",$F:$F,"&lt;="&amp;_xlpm.p,$G:$G,"&gt;="&amp;_xlpm.p)))))</f>
        <v>3.5</v>
      </c>
      <c r="I528" t="s">
        <v>1350</v>
      </c>
      <c r="J528" s="5" t="s">
        <v>1631</v>
      </c>
      <c r="K528" s="5" t="s">
        <v>1632</v>
      </c>
      <c r="L528" s="5" t="s">
        <v>7</v>
      </c>
      <c r="M528" s="5" t="s">
        <v>7</v>
      </c>
      <c r="N528" s="5" t="s">
        <v>7</v>
      </c>
      <c r="O528" s="5" t="s">
        <v>778</v>
      </c>
      <c r="P528" s="5" t="s">
        <v>7834</v>
      </c>
      <c r="R528" s="1" t="b">
        <v>1</v>
      </c>
    </row>
    <row r="529" spans="1:18">
      <c r="A529" t="s">
        <v>3024</v>
      </c>
      <c r="B529" t="s">
        <v>11205</v>
      </c>
      <c r="C529" s="5" t="s">
        <v>7809</v>
      </c>
      <c r="D529" s="1">
        <v>5</v>
      </c>
      <c r="E529" s="1">
        <v>6</v>
      </c>
      <c r="F529" s="1">
        <v>278</v>
      </c>
      <c r="G529" s="1">
        <v>281</v>
      </c>
      <c r="H529" s="13" cm="1">
        <f t="array" ref="H529">_xlfn.LET(_xlpm.s,IFERROR(--F529,""),_xlpm.e,IFERROR(--G529,""),IF(OR(_xlpm.s="",_xlpm.e="",_xlpm.e&lt;_xlpm.s),"",_xlfn.LET(_xlpm.p,_xlfn.SEQUENCE(_xlpm.e-_xlpm.s+1,1,_xlpm.s,1),SUM(1/COUNTIFS($D:$D,D529,$E:$E,E529,$F:$F,"&lt;&gt;N/A",$G:$G,"&lt;&gt;N/A",$F:$F,"&lt;="&amp;_xlpm.p,$G:$G,"&gt;="&amp;_xlpm.p)))))</f>
        <v>4</v>
      </c>
      <c r="I529" t="s">
        <v>1506</v>
      </c>
      <c r="J529" s="5" t="s">
        <v>1633</v>
      </c>
      <c r="K529" s="5" t="s">
        <v>1634</v>
      </c>
      <c r="L529" s="5" t="s">
        <v>7</v>
      </c>
      <c r="M529" t="s">
        <v>7476</v>
      </c>
      <c r="N529" s="5" t="s">
        <v>7646</v>
      </c>
      <c r="O529" s="5" t="s">
        <v>5072</v>
      </c>
      <c r="P529" s="5" t="s">
        <v>8021</v>
      </c>
      <c r="R529" s="1" t="b">
        <v>1</v>
      </c>
    </row>
    <row r="530" spans="1:18">
      <c r="A530" t="s">
        <v>3024</v>
      </c>
      <c r="B530" t="s">
        <v>11206</v>
      </c>
      <c r="C530" s="5" t="s">
        <v>7809</v>
      </c>
      <c r="D530" s="1">
        <v>5</v>
      </c>
      <c r="E530" s="1">
        <v>6</v>
      </c>
      <c r="F530" s="1">
        <v>282</v>
      </c>
      <c r="G530" s="1">
        <v>284</v>
      </c>
      <c r="H530" s="13" cm="1">
        <f t="array" ref="H530">_xlfn.LET(_xlpm.s,IFERROR(--F530,""),_xlpm.e,IFERROR(--G530,""),IF(OR(_xlpm.s="",_xlpm.e="",_xlpm.e&lt;_xlpm.s),"",_xlfn.LET(_xlpm.p,_xlfn.SEQUENCE(_xlpm.e-_xlpm.s+1,1,_xlpm.s,1),SUM(1/COUNTIFS($D:$D,D530,$E:$E,E530,$F:$F,"&lt;&gt;N/A",$G:$G,"&lt;&gt;N/A",$F:$F,"&lt;="&amp;_xlpm.p,$G:$G,"&gt;="&amp;_xlpm.p)))))</f>
        <v>2.5</v>
      </c>
      <c r="I530" t="s">
        <v>1506</v>
      </c>
      <c r="J530" s="5" t="s">
        <v>1635</v>
      </c>
      <c r="K530" s="5" t="s">
        <v>4932</v>
      </c>
      <c r="L530" s="5" t="s">
        <v>7</v>
      </c>
      <c r="M530" t="s">
        <v>7476</v>
      </c>
      <c r="N530" s="5" t="s">
        <v>7647</v>
      </c>
      <c r="O530" s="5" t="s">
        <v>5072</v>
      </c>
      <c r="P530" s="5" t="s">
        <v>8021</v>
      </c>
      <c r="Q530" s="5" t="s">
        <v>2509</v>
      </c>
      <c r="R530" s="1" t="b">
        <v>1</v>
      </c>
    </row>
    <row r="531" spans="1:18">
      <c r="A531" t="s">
        <v>3024</v>
      </c>
      <c r="B531" t="s">
        <v>11207</v>
      </c>
      <c r="C531" s="5" t="s">
        <v>7809</v>
      </c>
      <c r="D531" s="1">
        <v>5</v>
      </c>
      <c r="E531" s="1">
        <v>6</v>
      </c>
      <c r="F531" s="1">
        <v>284</v>
      </c>
      <c r="G531" s="1">
        <v>284</v>
      </c>
      <c r="H531" s="13" cm="1">
        <f t="array" ref="H531">_xlfn.LET(_xlpm.s,IFERROR(--F531,""),_xlpm.e,IFERROR(--G531,""),IF(OR(_xlpm.s="",_xlpm.e="",_xlpm.e&lt;_xlpm.s),"",_xlfn.LET(_xlpm.p,_xlfn.SEQUENCE(_xlpm.e-_xlpm.s+1,1,_xlpm.s,1),SUM(1/COUNTIFS($D:$D,D531,$E:$E,E531,$F:$F,"&lt;&gt;N/A",$G:$G,"&lt;&gt;N/A",$F:$F,"&lt;="&amp;_xlpm.p,$G:$G,"&gt;="&amp;_xlpm.p)))))</f>
        <v>0.5</v>
      </c>
      <c r="I531" t="s">
        <v>1506</v>
      </c>
      <c r="J531" s="5" t="s">
        <v>7525</v>
      </c>
      <c r="K531" s="5" t="s">
        <v>7</v>
      </c>
      <c r="L531" s="5" t="s">
        <v>4933</v>
      </c>
      <c r="M531" t="s">
        <v>7524</v>
      </c>
      <c r="N531" s="5" t="s">
        <v>7675</v>
      </c>
      <c r="O531" s="5" t="s">
        <v>11522</v>
      </c>
      <c r="P531" s="5" t="s">
        <v>8021</v>
      </c>
      <c r="R531" s="1" t="b">
        <v>1</v>
      </c>
    </row>
    <row r="532" spans="1:18">
      <c r="A532" t="s">
        <v>3024</v>
      </c>
      <c r="B532" t="s">
        <v>11208</v>
      </c>
      <c r="C532" s="5" t="s">
        <v>7809</v>
      </c>
      <c r="D532" s="1">
        <v>5</v>
      </c>
      <c r="E532" s="1">
        <v>6</v>
      </c>
      <c r="F532" s="1">
        <v>285</v>
      </c>
      <c r="G532" s="1">
        <v>286</v>
      </c>
      <c r="H532" s="13" cm="1">
        <f t="array" ref="H532">_xlfn.LET(_xlpm.s,IFERROR(--F532,""),_xlpm.e,IFERROR(--G532,""),IF(OR(_xlpm.s="",_xlpm.e="",_xlpm.e&lt;_xlpm.s),"",_xlfn.LET(_xlpm.p,_xlfn.SEQUENCE(_xlpm.e-_xlpm.s+1,1,_xlpm.s,1),SUM(1/COUNTIFS($D:$D,D532,$E:$E,E532,$F:$F,"&lt;&gt;N/A",$G:$G,"&lt;&gt;N/A",$F:$F,"&lt;="&amp;_xlpm.p,$G:$G,"&gt;="&amp;_xlpm.p)))))</f>
        <v>1.5</v>
      </c>
      <c r="I532" t="s">
        <v>1506</v>
      </c>
      <c r="J532" s="5" t="s">
        <v>1636</v>
      </c>
      <c r="K532" s="5" t="s">
        <v>7</v>
      </c>
      <c r="L532" s="5" t="s">
        <v>2229</v>
      </c>
      <c r="M532" t="s">
        <v>7496</v>
      </c>
      <c r="N532" s="5" t="s">
        <v>2685</v>
      </c>
      <c r="O532" s="5" t="s">
        <v>11522</v>
      </c>
      <c r="P532" s="5" t="s">
        <v>8021</v>
      </c>
      <c r="R532" s="1" t="b">
        <v>1</v>
      </c>
    </row>
    <row r="533" spans="1:18">
      <c r="A533" t="s">
        <v>3024</v>
      </c>
      <c r="B533" t="s">
        <v>11209</v>
      </c>
      <c r="C533" s="5" t="s">
        <v>7809</v>
      </c>
      <c r="D533" s="1">
        <v>5</v>
      </c>
      <c r="E533" s="1">
        <v>6</v>
      </c>
      <c r="F533" s="1">
        <v>286</v>
      </c>
      <c r="G533" s="1">
        <v>286</v>
      </c>
      <c r="H533" s="13" cm="1">
        <f t="array" ref="H533">_xlfn.LET(_xlpm.s,IFERROR(--F533,""),_xlpm.e,IFERROR(--G533,""),IF(OR(_xlpm.s="",_xlpm.e="",_xlpm.e&lt;_xlpm.s),"",_xlfn.LET(_xlpm.p,_xlfn.SEQUENCE(_xlpm.e-_xlpm.s+1,1,_xlpm.s,1),SUM(1/COUNTIFS($D:$D,D533,$E:$E,E533,$F:$F,"&lt;&gt;N/A",$G:$G,"&lt;&gt;N/A",$F:$F,"&lt;="&amp;_xlpm.p,$G:$G,"&gt;="&amp;_xlpm.p)))))</f>
        <v>0.5</v>
      </c>
      <c r="I533" t="s">
        <v>1506</v>
      </c>
      <c r="J533" s="5" t="s">
        <v>1362</v>
      </c>
      <c r="K533" s="5" t="s">
        <v>7</v>
      </c>
      <c r="L533" s="5" t="s">
        <v>4934</v>
      </c>
      <c r="M533" t="s">
        <v>10452</v>
      </c>
      <c r="N533" t="s">
        <v>10133</v>
      </c>
      <c r="O533" s="5" t="s">
        <v>11522</v>
      </c>
      <c r="P533" s="5" t="s">
        <v>8021</v>
      </c>
      <c r="R533" s="1" t="b">
        <v>1</v>
      </c>
    </row>
    <row r="534" spans="1:18">
      <c r="A534" t="s">
        <v>3024</v>
      </c>
      <c r="B534" t="s">
        <v>11210</v>
      </c>
      <c r="C534" s="5" t="s">
        <v>7809</v>
      </c>
      <c r="D534" s="1">
        <v>5</v>
      </c>
      <c r="E534" s="1">
        <v>6</v>
      </c>
      <c r="F534" s="1">
        <v>287</v>
      </c>
      <c r="G534" s="1">
        <v>288</v>
      </c>
      <c r="H534" s="13" cm="1">
        <f t="array" ref="H534">_xlfn.LET(_xlpm.s,IFERROR(--F534,""),_xlpm.e,IFERROR(--G534,""),IF(OR(_xlpm.s="",_xlpm.e="",_xlpm.e&lt;_xlpm.s),"",_xlfn.LET(_xlpm.p,_xlfn.SEQUENCE(_xlpm.e-_xlpm.s+1,1,_xlpm.s,1),SUM(1/COUNTIFS($D:$D,D534,$E:$E,E534,$F:$F,"&lt;&gt;N/A",$G:$G,"&lt;&gt;N/A",$F:$F,"&lt;="&amp;_xlpm.p,$G:$G,"&gt;="&amp;_xlpm.p)))))</f>
        <v>2</v>
      </c>
      <c r="I534" t="s">
        <v>1506</v>
      </c>
      <c r="J534" s="5" t="s">
        <v>1627</v>
      </c>
      <c r="K534" s="5" t="s">
        <v>7</v>
      </c>
      <c r="L534" s="5" t="s">
        <v>7</v>
      </c>
      <c r="M534" s="5" t="s">
        <v>7</v>
      </c>
      <c r="N534" s="5" t="s">
        <v>7</v>
      </c>
      <c r="O534" s="5" t="s">
        <v>778</v>
      </c>
      <c r="P534" s="5" t="s">
        <v>7834</v>
      </c>
      <c r="R534" s="1" t="b">
        <v>1</v>
      </c>
    </row>
    <row r="535" spans="1:18">
      <c r="A535" t="s">
        <v>3024</v>
      </c>
      <c r="B535" t="s">
        <v>11211</v>
      </c>
      <c r="C535" s="5" t="s">
        <v>7738</v>
      </c>
      <c r="D535" s="1">
        <v>5</v>
      </c>
      <c r="E535" s="1">
        <v>7</v>
      </c>
      <c r="F535" s="1">
        <v>289</v>
      </c>
      <c r="G535" s="1">
        <v>300</v>
      </c>
      <c r="H535" s="13" cm="1">
        <f t="array" ref="H535">_xlfn.LET(_xlpm.s,IFERROR(--F535,""),_xlpm.e,IFERROR(--G535,""),IF(OR(_xlpm.s="",_xlpm.e="",_xlpm.e&lt;_xlpm.s),"",_xlfn.LET(_xlpm.p,_xlfn.SEQUENCE(_xlpm.e-_xlpm.s+1,1,_xlpm.s,1),SUM(1/COUNTIFS($D:$D,D535,$E:$E,E535,$F:$F,"&lt;&gt;N/A",$G:$G,"&lt;&gt;N/A",$F:$F,"&lt;="&amp;_xlpm.p,$G:$G,"&gt;="&amp;_xlpm.p)))))</f>
        <v>11.5</v>
      </c>
      <c r="I535" t="s">
        <v>1519</v>
      </c>
      <c r="J535" s="5" t="s">
        <v>1619</v>
      </c>
      <c r="K535" s="5" t="s">
        <v>1280</v>
      </c>
      <c r="L535" s="5" t="s">
        <v>7</v>
      </c>
      <c r="M535" s="5" t="s">
        <v>7</v>
      </c>
      <c r="N535" s="5" t="s">
        <v>7</v>
      </c>
      <c r="O535" s="5" t="s">
        <v>778</v>
      </c>
      <c r="P535" s="5" t="s">
        <v>7834</v>
      </c>
      <c r="R535" s="1" t="b">
        <v>1</v>
      </c>
    </row>
    <row r="536" spans="1:18">
      <c r="A536" t="s">
        <v>3024</v>
      </c>
      <c r="B536" t="s">
        <v>11212</v>
      </c>
      <c r="C536" s="5" t="s">
        <v>7738</v>
      </c>
      <c r="D536" s="1">
        <v>5</v>
      </c>
      <c r="E536" s="1">
        <v>7</v>
      </c>
      <c r="F536" s="1">
        <v>300</v>
      </c>
      <c r="G536" s="1">
        <v>301</v>
      </c>
      <c r="H536" s="13" cm="1">
        <f t="array" ref="H536">_xlfn.LET(_xlpm.s,IFERROR(--F536,""),_xlpm.e,IFERROR(--G536,""),IF(OR(_xlpm.s="",_xlpm.e="",_xlpm.e&lt;_xlpm.s),"",_xlfn.LET(_xlpm.p,_xlfn.SEQUENCE(_xlpm.e-_xlpm.s+1,1,_xlpm.s,1),SUM(1/COUNTIFS($D:$D,D536,$E:$E,E536,$F:$F,"&lt;&gt;N/A",$G:$G,"&lt;&gt;N/A",$F:$F,"&lt;="&amp;_xlpm.p,$G:$G,"&gt;="&amp;_xlpm.p)))))</f>
        <v>1</v>
      </c>
      <c r="I536" t="s">
        <v>1350</v>
      </c>
      <c r="J536" s="5" t="s">
        <v>1620</v>
      </c>
      <c r="K536" s="5" t="s">
        <v>7</v>
      </c>
      <c r="L536" s="5" t="s">
        <v>7</v>
      </c>
      <c r="M536" s="5" t="s">
        <v>7</v>
      </c>
      <c r="N536" s="5" t="s">
        <v>7</v>
      </c>
      <c r="O536" s="5" t="s">
        <v>778</v>
      </c>
      <c r="P536" s="5" t="s">
        <v>7834</v>
      </c>
      <c r="R536" s="1" t="b">
        <v>0</v>
      </c>
    </row>
    <row r="537" spans="1:18">
      <c r="A537" t="s">
        <v>3024</v>
      </c>
      <c r="B537" t="s">
        <v>11213</v>
      </c>
      <c r="C537" s="5" t="s">
        <v>7738</v>
      </c>
      <c r="D537" s="1">
        <v>5</v>
      </c>
      <c r="E537" s="1">
        <v>7</v>
      </c>
      <c r="F537" s="1">
        <v>301</v>
      </c>
      <c r="G537" s="1">
        <v>303</v>
      </c>
      <c r="H537" s="13" cm="1">
        <f t="array" ref="H537">_xlfn.LET(_xlpm.s,IFERROR(--F537,""),_xlpm.e,IFERROR(--G537,""),IF(OR(_xlpm.s="",_xlpm.e="",_xlpm.e&lt;_xlpm.s),"",_xlfn.LET(_xlpm.p,_xlfn.SEQUENCE(_xlpm.e-_xlpm.s+1,1,_xlpm.s,1),SUM(1/COUNTIFS($D:$D,D537,$E:$E,E537,$F:$F,"&lt;&gt;N/A",$G:$G,"&lt;&gt;N/A",$F:$F,"&lt;="&amp;_xlpm.p,$G:$G,"&gt;="&amp;_xlpm.p)))))</f>
        <v>2</v>
      </c>
      <c r="I537" t="s">
        <v>1350</v>
      </c>
      <c r="J537" s="5" t="s">
        <v>1621</v>
      </c>
      <c r="K537" s="5" t="s">
        <v>7</v>
      </c>
      <c r="L537" s="5" t="s">
        <v>7</v>
      </c>
      <c r="M537" s="5" t="s">
        <v>7</v>
      </c>
      <c r="N537" s="5" t="s">
        <v>7</v>
      </c>
      <c r="O537" s="5" t="s">
        <v>778</v>
      </c>
      <c r="P537" s="5" t="s">
        <v>7834</v>
      </c>
      <c r="R537" s="1" t="b">
        <v>0</v>
      </c>
    </row>
    <row r="538" spans="1:18">
      <c r="A538" t="s">
        <v>3024</v>
      </c>
      <c r="B538" t="s">
        <v>11214</v>
      </c>
      <c r="C538" s="5" t="s">
        <v>7738</v>
      </c>
      <c r="D538" s="1">
        <v>5</v>
      </c>
      <c r="E538" s="1">
        <v>7</v>
      </c>
      <c r="F538" s="1">
        <v>303</v>
      </c>
      <c r="G538" s="1">
        <v>305</v>
      </c>
      <c r="H538" s="13" cm="1">
        <f t="array" ref="H538">_xlfn.LET(_xlpm.s,IFERROR(--F538,""),_xlpm.e,IFERROR(--G538,""),IF(OR(_xlpm.s="",_xlpm.e="",_xlpm.e&lt;_xlpm.s),"",_xlfn.LET(_xlpm.p,_xlfn.SEQUENCE(_xlpm.e-_xlpm.s+1,1,_xlpm.s,1),SUM(1/COUNTIFS($D:$D,D538,$E:$E,E538,$F:$F,"&lt;&gt;N/A",$G:$G,"&lt;&gt;N/A",$F:$F,"&lt;="&amp;_xlpm.p,$G:$G,"&gt;="&amp;_xlpm.p)))))</f>
        <v>2</v>
      </c>
      <c r="I538" t="s">
        <v>1350</v>
      </c>
      <c r="J538" s="5" t="s">
        <v>1622</v>
      </c>
      <c r="K538" s="5" t="s">
        <v>7</v>
      </c>
      <c r="L538" s="5" t="s">
        <v>7</v>
      </c>
      <c r="M538" s="5" t="s">
        <v>7</v>
      </c>
      <c r="N538" s="5" t="s">
        <v>7</v>
      </c>
      <c r="O538" s="5" t="s">
        <v>778</v>
      </c>
      <c r="P538" s="5" t="s">
        <v>7834</v>
      </c>
      <c r="R538" s="1" t="b">
        <v>0</v>
      </c>
    </row>
    <row r="539" spans="1:18">
      <c r="A539" t="s">
        <v>3024</v>
      </c>
      <c r="B539" t="s">
        <v>11215</v>
      </c>
      <c r="C539" s="5" t="s">
        <v>7738</v>
      </c>
      <c r="D539" s="1">
        <v>5</v>
      </c>
      <c r="E539" s="1">
        <v>7</v>
      </c>
      <c r="F539" s="1">
        <v>305</v>
      </c>
      <c r="G539" s="1">
        <v>307</v>
      </c>
      <c r="H539" s="13" cm="1">
        <f t="array" ref="H539">_xlfn.LET(_xlpm.s,IFERROR(--F539,""),_xlpm.e,IFERROR(--G539,""),IF(OR(_xlpm.s="",_xlpm.e="",_xlpm.e&lt;_xlpm.s),"",_xlfn.LET(_xlpm.p,_xlfn.SEQUENCE(_xlpm.e-_xlpm.s+1,1,_xlpm.s,1),SUM(1/COUNTIFS($D:$D,D539,$E:$E,E539,$F:$F,"&lt;&gt;N/A",$G:$G,"&lt;&gt;N/A",$F:$F,"&lt;="&amp;_xlpm.p,$G:$G,"&gt;="&amp;_xlpm.p)))))</f>
        <v>2</v>
      </c>
      <c r="I539" t="s">
        <v>1350</v>
      </c>
      <c r="J539" s="5" t="s">
        <v>1623</v>
      </c>
      <c r="K539" s="5" t="s">
        <v>7</v>
      </c>
      <c r="L539" s="5" t="s">
        <v>7</v>
      </c>
      <c r="M539" s="5" t="s">
        <v>7</v>
      </c>
      <c r="N539" s="5" t="s">
        <v>7</v>
      </c>
      <c r="O539" s="5" t="s">
        <v>778</v>
      </c>
      <c r="P539" s="5" t="s">
        <v>7834</v>
      </c>
      <c r="R539" s="1" t="b">
        <v>1</v>
      </c>
    </row>
    <row r="540" spans="1:18">
      <c r="A540" t="s">
        <v>3024</v>
      </c>
      <c r="B540" t="s">
        <v>11216</v>
      </c>
      <c r="C540" s="5" t="s">
        <v>7738</v>
      </c>
      <c r="D540" s="1">
        <v>5</v>
      </c>
      <c r="E540" s="1">
        <v>7</v>
      </c>
      <c r="F540" s="1">
        <v>307</v>
      </c>
      <c r="G540" s="1">
        <v>328</v>
      </c>
      <c r="H540" s="13" cm="1">
        <f t="array" ref="H540">_xlfn.LET(_xlpm.s,IFERROR(--F540,""),_xlpm.e,IFERROR(--G540,""),IF(OR(_xlpm.s="",_xlpm.e="",_xlpm.e&lt;_xlpm.s),"",_xlfn.LET(_xlpm.p,_xlfn.SEQUENCE(_xlpm.e-_xlpm.s+1,1,_xlpm.s,1),SUM(1/COUNTIFS($D:$D,D540,$E:$E,E540,$F:$F,"&lt;&gt;N/A",$G:$G,"&lt;&gt;N/A",$F:$F,"&lt;="&amp;_xlpm.p,$G:$G,"&gt;="&amp;_xlpm.p)))))</f>
        <v>21</v>
      </c>
      <c r="I540" t="s">
        <v>1350</v>
      </c>
      <c r="J540" s="5" t="s">
        <v>1624</v>
      </c>
      <c r="K540" s="5" t="s">
        <v>1511</v>
      </c>
      <c r="L540" s="5" t="s">
        <v>7</v>
      </c>
      <c r="M540" s="5" t="s">
        <v>7</v>
      </c>
      <c r="N540" s="5" t="s">
        <v>7</v>
      </c>
      <c r="O540" s="5" t="s">
        <v>778</v>
      </c>
      <c r="P540" s="5" t="s">
        <v>7834</v>
      </c>
      <c r="R540" s="1" t="b">
        <v>1</v>
      </c>
    </row>
    <row r="541" spans="1:18">
      <c r="A541" t="s">
        <v>3024</v>
      </c>
      <c r="B541" t="s">
        <v>11217</v>
      </c>
      <c r="C541" s="5" t="s">
        <v>7738</v>
      </c>
      <c r="D541" s="1">
        <v>5</v>
      </c>
      <c r="E541" s="1">
        <v>7</v>
      </c>
      <c r="F541" s="1">
        <v>328</v>
      </c>
      <c r="G541" s="1">
        <v>331</v>
      </c>
      <c r="H541" s="13" cm="1">
        <f t="array" ref="H541">_xlfn.LET(_xlpm.s,IFERROR(--F541,""),_xlpm.e,IFERROR(--G541,""),IF(OR(_xlpm.s="",_xlpm.e="",_xlpm.e&lt;_xlpm.s),"",_xlfn.LET(_xlpm.p,_xlfn.SEQUENCE(_xlpm.e-_xlpm.s+1,1,_xlpm.s,1),SUM(1/COUNTIFS($D:$D,D541,$E:$E,E541,$F:$F,"&lt;&gt;N/A",$G:$G,"&lt;&gt;N/A",$F:$F,"&lt;="&amp;_xlpm.p,$G:$G,"&gt;="&amp;_xlpm.p)))))</f>
        <v>3</v>
      </c>
      <c r="I541" t="s">
        <v>1506</v>
      </c>
      <c r="J541" s="5" t="s">
        <v>1625</v>
      </c>
      <c r="K541" s="5" t="s">
        <v>7</v>
      </c>
      <c r="L541" s="5" t="s">
        <v>7</v>
      </c>
      <c r="M541" s="5" t="s">
        <v>7</v>
      </c>
      <c r="N541" t="s">
        <v>10134</v>
      </c>
      <c r="O541" t="s">
        <v>11522</v>
      </c>
      <c r="P541" t="s">
        <v>8019</v>
      </c>
      <c r="R541" s="1" t="b">
        <v>1</v>
      </c>
    </row>
    <row r="542" spans="1:18">
      <c r="A542" t="s">
        <v>3024</v>
      </c>
      <c r="B542" t="s">
        <v>11218</v>
      </c>
      <c r="C542" s="5" t="s">
        <v>7738</v>
      </c>
      <c r="D542" s="1">
        <v>5</v>
      </c>
      <c r="E542" s="1">
        <v>7</v>
      </c>
      <c r="F542" s="1">
        <v>331</v>
      </c>
      <c r="G542" s="1">
        <v>333</v>
      </c>
      <c r="H542" s="13" cm="1">
        <f t="array" ref="H542">_xlfn.LET(_xlpm.s,IFERROR(--F542,""),_xlpm.e,IFERROR(--G542,""),IF(OR(_xlpm.s="",_xlpm.e="",_xlpm.e&lt;_xlpm.s),"",_xlfn.LET(_xlpm.p,_xlfn.SEQUENCE(_xlpm.e-_xlpm.s+1,1,_xlpm.s,1),SUM(1/COUNTIFS($D:$D,D542,$E:$E,E542,$F:$F,"&lt;&gt;N/A",$G:$G,"&lt;&gt;N/A",$F:$F,"&lt;="&amp;_xlpm.p,$G:$G,"&gt;="&amp;_xlpm.p)))))</f>
        <v>2</v>
      </c>
      <c r="I542" t="s">
        <v>1506</v>
      </c>
      <c r="J542" s="5" t="s">
        <v>7515</v>
      </c>
      <c r="K542" s="5" t="s">
        <v>7</v>
      </c>
      <c r="L542" s="5" t="s">
        <v>7</v>
      </c>
      <c r="M542" t="s">
        <v>7476</v>
      </c>
      <c r="N542" s="5" t="s">
        <v>7648</v>
      </c>
      <c r="O542" s="5" t="s">
        <v>5072</v>
      </c>
      <c r="P542" s="5" t="s">
        <v>8021</v>
      </c>
      <c r="R542" s="1" t="b">
        <v>1</v>
      </c>
    </row>
    <row r="543" spans="1:18">
      <c r="A543" t="s">
        <v>3024</v>
      </c>
      <c r="B543" t="s">
        <v>11219</v>
      </c>
      <c r="C543" s="5" t="s">
        <v>7738</v>
      </c>
      <c r="D543" s="1">
        <v>5</v>
      </c>
      <c r="E543" s="1">
        <v>7</v>
      </c>
      <c r="F543" s="1">
        <v>333</v>
      </c>
      <c r="G543" s="1">
        <v>334</v>
      </c>
      <c r="H543" s="13" cm="1">
        <f t="array" ref="H543">_xlfn.LET(_xlpm.s,IFERROR(--F543,""),_xlpm.e,IFERROR(--G543,""),IF(OR(_xlpm.s="",_xlpm.e="",_xlpm.e&lt;_xlpm.s),"",_xlfn.LET(_xlpm.p,_xlfn.SEQUENCE(_xlpm.e-_xlpm.s+1,1,_xlpm.s,1),SUM(1/COUNTIFS($D:$D,D543,$E:$E,E543,$F:$F,"&lt;&gt;N/A",$G:$G,"&lt;&gt;N/A",$F:$F,"&lt;="&amp;_xlpm.p,$G:$G,"&gt;="&amp;_xlpm.p)))))</f>
        <v>1</v>
      </c>
      <c r="I543" t="s">
        <v>1506</v>
      </c>
      <c r="J543" s="5" t="s">
        <v>7516</v>
      </c>
      <c r="K543" s="5" t="s">
        <v>1626</v>
      </c>
      <c r="L543" s="5" t="s">
        <v>7</v>
      </c>
      <c r="M543" t="s">
        <v>7476</v>
      </c>
      <c r="N543" s="5" t="s">
        <v>7649</v>
      </c>
      <c r="O543" s="5" t="s">
        <v>5072</v>
      </c>
      <c r="P543" s="5" t="s">
        <v>8021</v>
      </c>
      <c r="R543" s="1" t="b">
        <v>1</v>
      </c>
    </row>
    <row r="544" spans="1:18">
      <c r="A544" t="s">
        <v>3024</v>
      </c>
      <c r="B544" t="s">
        <v>11220</v>
      </c>
      <c r="C544" s="5" t="s">
        <v>7738</v>
      </c>
      <c r="D544" s="1">
        <v>5</v>
      </c>
      <c r="E544" s="1">
        <v>7</v>
      </c>
      <c r="F544" s="1">
        <v>334</v>
      </c>
      <c r="G544" s="1">
        <v>336</v>
      </c>
      <c r="H544" s="13" cm="1">
        <f t="array" ref="H544">_xlfn.LET(_xlpm.s,IFERROR(--F544,""),_xlpm.e,IFERROR(--G544,""),IF(OR(_xlpm.s="",_xlpm.e="",_xlpm.e&lt;_xlpm.s),"",_xlfn.LET(_xlpm.p,_xlfn.SEQUENCE(_xlpm.e-_xlpm.s+1,1,_xlpm.s,1),SUM(1/COUNTIFS($D:$D,D544,$E:$E,E544,$F:$F,"&lt;&gt;N/A",$G:$G,"&lt;&gt;N/A",$F:$F,"&lt;="&amp;_xlpm.p,$G:$G,"&gt;="&amp;_xlpm.p)))))</f>
        <v>2.5</v>
      </c>
      <c r="I544" t="s">
        <v>1506</v>
      </c>
      <c r="J544" s="5" t="s">
        <v>1627</v>
      </c>
      <c r="K544" s="5" t="s">
        <v>7</v>
      </c>
      <c r="L544" s="5" t="s">
        <v>7</v>
      </c>
      <c r="M544" t="s">
        <v>7562</v>
      </c>
      <c r="N544" s="5" t="s">
        <v>7559</v>
      </c>
      <c r="O544" s="5" t="s">
        <v>11522</v>
      </c>
      <c r="P544" s="5" t="s">
        <v>8021</v>
      </c>
      <c r="R544" s="1" t="b">
        <v>1</v>
      </c>
    </row>
    <row r="545" spans="1:18">
      <c r="A545" t="s">
        <v>3024</v>
      </c>
      <c r="B545" t="s">
        <v>11221</v>
      </c>
      <c r="C545" s="5" t="s">
        <v>7739</v>
      </c>
      <c r="D545" s="1">
        <v>5</v>
      </c>
      <c r="E545" s="1">
        <v>8</v>
      </c>
      <c r="F545" s="1">
        <v>337</v>
      </c>
      <c r="G545" s="1">
        <v>340</v>
      </c>
      <c r="H545" s="13" cm="1">
        <f t="array" ref="H545">_xlfn.LET(_xlpm.s,IFERROR(--F545,""),_xlpm.e,IFERROR(--G545,""),IF(OR(_xlpm.s="",_xlpm.e="",_xlpm.e&lt;_xlpm.s),"",_xlfn.LET(_xlpm.p,_xlfn.SEQUENCE(_xlpm.e-_xlpm.s+1,1,_xlpm.s,1),SUM(1/COUNTIFS($D:$D,D545,$E:$E,E545,$F:$F,"&lt;&gt;N/A",$G:$G,"&lt;&gt;N/A",$F:$F,"&lt;="&amp;_xlpm.p,$G:$G,"&gt;="&amp;_xlpm.p)))))</f>
        <v>3.5</v>
      </c>
      <c r="I545" t="s">
        <v>7</v>
      </c>
      <c r="J545" s="5" t="s">
        <v>1612</v>
      </c>
      <c r="K545" s="5" t="s">
        <v>7</v>
      </c>
      <c r="L545" s="5" t="s">
        <v>7</v>
      </c>
      <c r="M545" s="5" t="s">
        <v>7</v>
      </c>
      <c r="N545" s="5" t="s">
        <v>7</v>
      </c>
      <c r="O545" s="5" t="s">
        <v>778</v>
      </c>
      <c r="P545" s="5" t="s">
        <v>7834</v>
      </c>
      <c r="R545" s="1" t="b">
        <v>1</v>
      </c>
    </row>
    <row r="546" spans="1:18">
      <c r="A546" t="s">
        <v>3024</v>
      </c>
      <c r="B546" t="s">
        <v>11222</v>
      </c>
      <c r="C546" s="5" t="s">
        <v>7739</v>
      </c>
      <c r="D546" s="1">
        <v>5</v>
      </c>
      <c r="E546" s="1">
        <v>8</v>
      </c>
      <c r="F546" s="1">
        <v>340</v>
      </c>
      <c r="G546" s="1">
        <v>344</v>
      </c>
      <c r="H546" s="13" cm="1">
        <f t="array" ref="H546">_xlfn.LET(_xlpm.s,IFERROR(--F546,""),_xlpm.e,IFERROR(--G546,""),IF(OR(_xlpm.s="",_xlpm.e="",_xlpm.e&lt;_xlpm.s),"",_xlfn.LET(_xlpm.p,_xlfn.SEQUENCE(_xlpm.e-_xlpm.s+1,1,_xlpm.s,1),SUM(1/COUNTIFS($D:$D,D546,$E:$E,E546,$F:$F,"&lt;&gt;N/A",$G:$G,"&lt;&gt;N/A",$F:$F,"&lt;="&amp;_xlpm.p,$G:$G,"&gt;="&amp;_xlpm.p)))))</f>
        <v>4</v>
      </c>
      <c r="I546" t="s">
        <v>7</v>
      </c>
      <c r="J546" s="5" t="s">
        <v>1613</v>
      </c>
      <c r="K546" s="5" t="s">
        <v>1614</v>
      </c>
      <c r="L546" s="5" t="s">
        <v>7</v>
      </c>
      <c r="M546" s="5" t="s">
        <v>7</v>
      </c>
      <c r="N546" s="5" t="s">
        <v>7</v>
      </c>
      <c r="O546" s="5" t="s">
        <v>778</v>
      </c>
      <c r="P546" s="5" t="s">
        <v>7834</v>
      </c>
      <c r="R546" s="1" t="b">
        <v>1</v>
      </c>
    </row>
    <row r="547" spans="1:18">
      <c r="A547" t="s">
        <v>3024</v>
      </c>
      <c r="B547" t="s">
        <v>11223</v>
      </c>
      <c r="C547" s="5" t="s">
        <v>7739</v>
      </c>
      <c r="D547" s="1">
        <v>5</v>
      </c>
      <c r="E547" s="1">
        <v>8</v>
      </c>
      <c r="F547" s="1">
        <v>344</v>
      </c>
      <c r="G547" s="1">
        <v>352</v>
      </c>
      <c r="H547" s="13" cm="1">
        <f t="array" ref="H547">_xlfn.LET(_xlpm.s,IFERROR(--F547,""),_xlpm.e,IFERROR(--G547,""),IF(OR(_xlpm.s="",_xlpm.e="",_xlpm.e&lt;_xlpm.s),"",_xlfn.LET(_xlpm.p,_xlfn.SEQUENCE(_xlpm.e-_xlpm.s+1,1,_xlpm.s,1),SUM(1/COUNTIFS($D:$D,D547,$E:$E,E547,$F:$F,"&lt;&gt;N/A",$G:$G,"&lt;&gt;N/A",$F:$F,"&lt;="&amp;_xlpm.p,$G:$G,"&gt;="&amp;_xlpm.p)))))</f>
        <v>8</v>
      </c>
      <c r="I547" t="s">
        <v>1350</v>
      </c>
      <c r="J547" s="5" t="s">
        <v>1615</v>
      </c>
      <c r="K547" s="5" t="s">
        <v>7</v>
      </c>
      <c r="L547" s="5" t="s">
        <v>7</v>
      </c>
      <c r="M547" s="5" t="s">
        <v>7</v>
      </c>
      <c r="N547" s="5" t="s">
        <v>7</v>
      </c>
      <c r="O547" s="5" t="s">
        <v>778</v>
      </c>
      <c r="P547" s="5" t="s">
        <v>7834</v>
      </c>
      <c r="R547" s="1" t="b">
        <v>1</v>
      </c>
    </row>
    <row r="548" spans="1:18">
      <c r="A548" t="s">
        <v>3024</v>
      </c>
      <c r="B548" t="s">
        <v>11224</v>
      </c>
      <c r="C548" s="5" t="s">
        <v>7739</v>
      </c>
      <c r="D548" s="1">
        <v>5</v>
      </c>
      <c r="E548" s="1">
        <v>8</v>
      </c>
      <c r="F548" s="1">
        <v>352</v>
      </c>
      <c r="G548" s="1">
        <v>355</v>
      </c>
      <c r="H548" s="13" cm="1">
        <f t="array" ref="H548">_xlfn.LET(_xlpm.s,IFERROR(--F548,""),_xlpm.e,IFERROR(--G548,""),IF(OR(_xlpm.s="",_xlpm.e="",_xlpm.e&lt;_xlpm.s),"",_xlfn.LET(_xlpm.p,_xlfn.SEQUENCE(_xlpm.e-_xlpm.s+1,1,_xlpm.s,1),SUM(1/COUNTIFS($D:$D,D548,$E:$E,E548,$F:$F,"&lt;&gt;N/A",$G:$G,"&lt;&gt;N/A",$F:$F,"&lt;="&amp;_xlpm.p,$G:$G,"&gt;="&amp;_xlpm.p)))))</f>
        <v>3</v>
      </c>
      <c r="I548" t="s">
        <v>1350</v>
      </c>
      <c r="J548" s="5" t="s">
        <v>1616</v>
      </c>
      <c r="K548" s="5" t="s">
        <v>7</v>
      </c>
      <c r="L548" s="5" t="s">
        <v>7</v>
      </c>
      <c r="M548" s="5" t="s">
        <v>7</v>
      </c>
      <c r="N548" s="5" t="s">
        <v>7</v>
      </c>
      <c r="O548" s="5" t="s">
        <v>778</v>
      </c>
      <c r="P548" s="5" t="s">
        <v>7834</v>
      </c>
      <c r="R548" s="1" t="b">
        <v>0</v>
      </c>
    </row>
    <row r="549" spans="1:18">
      <c r="A549" t="s">
        <v>3024</v>
      </c>
      <c r="B549" t="s">
        <v>11225</v>
      </c>
      <c r="C549" s="5" t="s">
        <v>7739</v>
      </c>
      <c r="D549" s="1">
        <v>5</v>
      </c>
      <c r="E549" s="1">
        <v>8</v>
      </c>
      <c r="F549" s="1">
        <v>355</v>
      </c>
      <c r="G549" s="1">
        <v>361</v>
      </c>
      <c r="H549" s="13" cm="1">
        <f t="array" ref="H549">_xlfn.LET(_xlpm.s,IFERROR(--F549,""),_xlpm.e,IFERROR(--G549,""),IF(OR(_xlpm.s="",_xlpm.e="",_xlpm.e&lt;_xlpm.s),"",_xlfn.LET(_xlpm.p,_xlfn.SEQUENCE(_xlpm.e-_xlpm.s+1,1,_xlpm.s,1),SUM(1/COUNTIFS($D:$D,D549,$E:$E,E549,$F:$F,"&lt;&gt;N/A",$G:$G,"&lt;&gt;N/A",$F:$F,"&lt;="&amp;_xlpm.p,$G:$G,"&gt;="&amp;_xlpm.p)))))</f>
        <v>6.5</v>
      </c>
      <c r="I549" t="s">
        <v>1350</v>
      </c>
      <c r="J549" s="5" t="s">
        <v>1617</v>
      </c>
      <c r="K549" s="5" t="s">
        <v>4935</v>
      </c>
      <c r="L549" s="5" t="s">
        <v>7</v>
      </c>
      <c r="M549" s="5" t="s">
        <v>7</v>
      </c>
      <c r="N549" s="5" t="s">
        <v>7</v>
      </c>
      <c r="O549" s="5" t="s">
        <v>778</v>
      </c>
      <c r="P549" s="5" t="s">
        <v>7834</v>
      </c>
      <c r="R549" s="1" t="b">
        <v>1</v>
      </c>
    </row>
    <row r="550" spans="1:18">
      <c r="A550" t="s">
        <v>3024</v>
      </c>
      <c r="B550" t="s">
        <v>11226</v>
      </c>
      <c r="C550" s="5" t="s">
        <v>7739</v>
      </c>
      <c r="D550" s="1">
        <v>5</v>
      </c>
      <c r="E550" s="1">
        <v>8</v>
      </c>
      <c r="F550" s="1">
        <v>362</v>
      </c>
      <c r="G550" s="1">
        <v>378</v>
      </c>
      <c r="H550" s="13" cm="1">
        <f t="array" ref="H550">_xlfn.LET(_xlpm.s,IFERROR(--F550,""),_xlpm.e,IFERROR(--G550,""),IF(OR(_xlpm.s="",_xlpm.e="",_xlpm.e&lt;_xlpm.s),"",_xlfn.LET(_xlpm.p,_xlfn.SEQUENCE(_xlpm.e-_xlpm.s+1,1,_xlpm.s,1),SUM(1/COUNTIFS($D:$D,D550,$E:$E,E550,$F:$F,"&lt;&gt;N/A",$G:$G,"&lt;&gt;N/A",$F:$F,"&lt;="&amp;_xlpm.p,$G:$G,"&gt;="&amp;_xlpm.p)))))</f>
        <v>16.5</v>
      </c>
      <c r="I550" t="s">
        <v>1506</v>
      </c>
      <c r="J550" s="5" t="s">
        <v>7596</v>
      </c>
      <c r="K550" s="5" t="s">
        <v>4936</v>
      </c>
      <c r="L550" s="5" t="s">
        <v>4937</v>
      </c>
      <c r="M550" s="5" t="s">
        <v>6435</v>
      </c>
      <c r="N550" s="5" t="s">
        <v>2684</v>
      </c>
      <c r="O550" s="5" t="s">
        <v>5072</v>
      </c>
      <c r="P550" s="5" t="s">
        <v>8021</v>
      </c>
      <c r="Q550" s="5" t="s">
        <v>2509</v>
      </c>
      <c r="R550" s="1" t="b">
        <v>1</v>
      </c>
    </row>
    <row r="551" spans="1:18">
      <c r="A551" t="s">
        <v>3024</v>
      </c>
      <c r="B551" t="s">
        <v>11227</v>
      </c>
      <c r="C551" s="5" t="s">
        <v>7739</v>
      </c>
      <c r="D551" s="1">
        <v>5</v>
      </c>
      <c r="E551" s="1">
        <v>8</v>
      </c>
      <c r="F551" s="1">
        <v>378</v>
      </c>
      <c r="G551" s="1">
        <v>382</v>
      </c>
      <c r="H551" s="13" cm="1">
        <f t="array" ref="H551">_xlfn.LET(_xlpm.s,IFERROR(--F551,""),_xlpm.e,IFERROR(--G551,""),IF(OR(_xlpm.s="",_xlpm.e="",_xlpm.e&lt;_xlpm.s),"",_xlfn.LET(_xlpm.p,_xlfn.SEQUENCE(_xlpm.e-_xlpm.s+1,1,_xlpm.s,1),SUM(1/COUNTIFS($D:$D,D551,$E:$E,E551,$F:$F,"&lt;&gt;N/A",$G:$G,"&lt;&gt;N/A",$F:$F,"&lt;="&amp;_xlpm.p,$G:$G,"&gt;="&amp;_xlpm.p)))))</f>
        <v>4</v>
      </c>
      <c r="I551" t="s">
        <v>1506</v>
      </c>
      <c r="J551" s="5" t="s">
        <v>7597</v>
      </c>
      <c r="K551" s="5" t="s">
        <v>7</v>
      </c>
      <c r="L551" s="5" t="s">
        <v>4938</v>
      </c>
      <c r="M551" s="5" t="s">
        <v>6435</v>
      </c>
      <c r="N551" s="5" t="s">
        <v>7600</v>
      </c>
      <c r="O551" s="5" t="s">
        <v>5072</v>
      </c>
      <c r="P551" s="5" t="s">
        <v>8021</v>
      </c>
      <c r="Q551" s="5" t="s">
        <v>2509</v>
      </c>
      <c r="R551" s="1" t="b">
        <v>1</v>
      </c>
    </row>
    <row r="552" spans="1:18">
      <c r="A552" t="s">
        <v>3024</v>
      </c>
      <c r="B552" t="s">
        <v>11228</v>
      </c>
      <c r="C552" s="5" t="s">
        <v>7739</v>
      </c>
      <c r="D552" s="1">
        <v>5</v>
      </c>
      <c r="E552" s="1">
        <v>8</v>
      </c>
      <c r="F552" s="1">
        <v>382</v>
      </c>
      <c r="G552" s="1">
        <v>383</v>
      </c>
      <c r="H552" s="13" cm="1">
        <f t="array" ref="H552">_xlfn.LET(_xlpm.s,IFERROR(--F552,""),_xlpm.e,IFERROR(--G552,""),IF(OR(_xlpm.s="",_xlpm.e="",_xlpm.e&lt;_xlpm.s),"",_xlfn.LET(_xlpm.p,_xlfn.SEQUENCE(_xlpm.e-_xlpm.s+1,1,_xlpm.s,1),SUM(1/COUNTIFS($D:$D,D552,$E:$E,E552,$F:$F,"&lt;&gt;N/A",$G:$G,"&lt;&gt;N/A",$F:$F,"&lt;="&amp;_xlpm.p,$G:$G,"&gt;="&amp;_xlpm.p)))))</f>
        <v>1</v>
      </c>
      <c r="I552" t="s">
        <v>1506</v>
      </c>
      <c r="J552" s="5" t="s">
        <v>1618</v>
      </c>
      <c r="K552" s="5" t="s">
        <v>7</v>
      </c>
      <c r="L552" s="5" t="s">
        <v>4939</v>
      </c>
      <c r="M552" t="s">
        <v>7476</v>
      </c>
      <c r="N552" s="5" t="s">
        <v>7598</v>
      </c>
      <c r="O552" s="5" t="s">
        <v>5072</v>
      </c>
      <c r="P552" s="5" t="s">
        <v>8021</v>
      </c>
      <c r="R552" s="1" t="b">
        <v>1</v>
      </c>
    </row>
    <row r="553" spans="1:18">
      <c r="A553" t="s">
        <v>3024</v>
      </c>
      <c r="B553" t="s">
        <v>11229</v>
      </c>
      <c r="C553" s="5" t="s">
        <v>7739</v>
      </c>
      <c r="D553" s="1">
        <v>5</v>
      </c>
      <c r="E553" s="1">
        <v>8</v>
      </c>
      <c r="F553" s="1">
        <v>383</v>
      </c>
      <c r="G553" s="1">
        <v>384</v>
      </c>
      <c r="H553" s="13" cm="1">
        <f t="array" ref="H553">_xlfn.LET(_xlpm.s,IFERROR(--F553,""),_xlpm.e,IFERROR(--G553,""),IF(OR(_xlpm.s="",_xlpm.e="",_xlpm.e&lt;_xlpm.s),"",_xlfn.LET(_xlpm.p,_xlfn.SEQUENCE(_xlpm.e-_xlpm.s+1,1,_xlpm.s,1),SUM(1/COUNTIFS($D:$D,D553,$E:$E,E553,$F:$F,"&lt;&gt;N/A",$G:$G,"&lt;&gt;N/A",$F:$F,"&lt;="&amp;_xlpm.p,$G:$G,"&gt;="&amp;_xlpm.p)))))</f>
        <v>1.5</v>
      </c>
      <c r="I553" t="s">
        <v>1506</v>
      </c>
      <c r="J553" s="5" t="s">
        <v>7595</v>
      </c>
      <c r="K553" s="5" t="s">
        <v>7</v>
      </c>
      <c r="L553" s="5" t="s">
        <v>4940</v>
      </c>
      <c r="M553" t="s">
        <v>7476</v>
      </c>
      <c r="N553" s="5" t="s">
        <v>7599</v>
      </c>
      <c r="O553" s="5" t="s">
        <v>5072</v>
      </c>
      <c r="P553" s="5" t="s">
        <v>8021</v>
      </c>
      <c r="R553" s="1" t="b">
        <v>1</v>
      </c>
    </row>
    <row r="554" spans="1:18">
      <c r="A554" t="s">
        <v>3024</v>
      </c>
      <c r="B554" t="s">
        <v>11230</v>
      </c>
      <c r="C554" s="5" t="s">
        <v>7740</v>
      </c>
      <c r="D554" s="1">
        <v>5</v>
      </c>
      <c r="E554" s="1">
        <v>9</v>
      </c>
      <c r="F554" s="1">
        <v>385</v>
      </c>
      <c r="G554" s="1">
        <v>412</v>
      </c>
      <c r="H554" s="13" cm="1">
        <f t="array" ref="H554">_xlfn.LET(_xlpm.s,IFERROR(--F554,""),_xlpm.e,IFERROR(--G554,""),IF(OR(_xlpm.s="",_xlpm.e="",_xlpm.e&lt;_xlpm.s),"",_xlfn.LET(_xlpm.p,_xlfn.SEQUENCE(_xlpm.e-_xlpm.s+1,1,_xlpm.s,1),SUM(1/COUNTIFS($D:$D,D554,$E:$E,E554,$F:$F,"&lt;&gt;N/A",$G:$G,"&lt;&gt;N/A",$F:$F,"&lt;="&amp;_xlpm.p,$G:$G,"&gt;="&amp;_xlpm.p)))))</f>
        <v>27.5</v>
      </c>
      <c r="I554" t="s">
        <v>7</v>
      </c>
      <c r="J554" s="5" t="s">
        <v>1604</v>
      </c>
      <c r="K554" s="5" t="s">
        <v>1605</v>
      </c>
      <c r="L554" s="5" t="s">
        <v>7</v>
      </c>
      <c r="M554" s="5" t="s">
        <v>7</v>
      </c>
      <c r="N554" s="5" t="s">
        <v>7</v>
      </c>
      <c r="O554" s="5" t="s">
        <v>778</v>
      </c>
      <c r="P554" s="5" t="s">
        <v>7834</v>
      </c>
      <c r="R554" s="1" t="b">
        <v>1</v>
      </c>
    </row>
    <row r="555" spans="1:18">
      <c r="A555" t="s">
        <v>3024</v>
      </c>
      <c r="B555" t="s">
        <v>11231</v>
      </c>
      <c r="C555" s="5" t="s">
        <v>7740</v>
      </c>
      <c r="D555" s="1">
        <v>5</v>
      </c>
      <c r="E555" s="1">
        <v>9</v>
      </c>
      <c r="F555" s="1">
        <v>412</v>
      </c>
      <c r="G555" s="1">
        <v>414</v>
      </c>
      <c r="H555" s="13" cm="1">
        <f t="array" ref="H555">_xlfn.LET(_xlpm.s,IFERROR(--F555,""),_xlpm.e,IFERROR(--G555,""),IF(OR(_xlpm.s="",_xlpm.e="",_xlpm.e&lt;_xlpm.s),"",_xlfn.LET(_xlpm.p,_xlfn.SEQUENCE(_xlpm.e-_xlpm.s+1,1,_xlpm.s,1),SUM(1/COUNTIFS($D:$D,D555,$E:$E,E555,$F:$F,"&lt;&gt;N/A",$G:$G,"&lt;&gt;N/A",$F:$F,"&lt;="&amp;_xlpm.p,$G:$G,"&gt;="&amp;_xlpm.p)))))</f>
        <v>2</v>
      </c>
      <c r="I555" t="s">
        <v>7</v>
      </c>
      <c r="J555" s="5" t="s">
        <v>1606</v>
      </c>
      <c r="K555" s="5" t="s">
        <v>11509</v>
      </c>
      <c r="L555" s="5" t="s">
        <v>7</v>
      </c>
      <c r="M555" s="5" t="s">
        <v>7</v>
      </c>
      <c r="N555" s="5" t="s">
        <v>7</v>
      </c>
      <c r="O555" s="5" t="s">
        <v>778</v>
      </c>
      <c r="P555" s="5" t="s">
        <v>7834</v>
      </c>
      <c r="R555" s="1" t="b">
        <v>1</v>
      </c>
    </row>
    <row r="556" spans="1:18">
      <c r="A556" t="s">
        <v>3024</v>
      </c>
      <c r="B556" t="s">
        <v>11232</v>
      </c>
      <c r="C556" s="5" t="s">
        <v>7740</v>
      </c>
      <c r="D556" s="1">
        <v>5</v>
      </c>
      <c r="E556" s="1">
        <v>9</v>
      </c>
      <c r="F556" s="1">
        <v>414</v>
      </c>
      <c r="G556" s="1">
        <v>418</v>
      </c>
      <c r="H556" s="13" cm="1">
        <f t="array" ref="H556">_xlfn.LET(_xlpm.s,IFERROR(--F556,""),_xlpm.e,IFERROR(--G556,""),IF(OR(_xlpm.s="",_xlpm.e="",_xlpm.e&lt;_xlpm.s),"",_xlfn.LET(_xlpm.p,_xlfn.SEQUENCE(_xlpm.e-_xlpm.s+1,1,_xlpm.s,1),SUM(1/COUNTIFS($D:$D,D556,$E:$E,E556,$F:$F,"&lt;&gt;N/A",$G:$G,"&lt;&gt;N/A",$F:$F,"&lt;="&amp;_xlpm.p,$G:$G,"&gt;="&amp;_xlpm.p)))))</f>
        <v>4.5</v>
      </c>
      <c r="I556" t="s">
        <v>1350</v>
      </c>
      <c r="J556" s="5" t="s">
        <v>1607</v>
      </c>
      <c r="K556" s="5" t="s">
        <v>7</v>
      </c>
      <c r="L556" s="5" t="s">
        <v>7</v>
      </c>
      <c r="M556" s="5" t="s">
        <v>7</v>
      </c>
      <c r="N556" s="5" t="s">
        <v>7</v>
      </c>
      <c r="O556" s="5" t="s">
        <v>778</v>
      </c>
      <c r="P556" s="5" t="s">
        <v>7834</v>
      </c>
      <c r="R556" s="1" t="b">
        <v>0</v>
      </c>
    </row>
    <row r="557" spans="1:18">
      <c r="A557" t="s">
        <v>3024</v>
      </c>
      <c r="B557" t="s">
        <v>11233</v>
      </c>
      <c r="C557" s="5" t="s">
        <v>7740</v>
      </c>
      <c r="D557" s="1">
        <v>5</v>
      </c>
      <c r="E557" s="1">
        <v>9</v>
      </c>
      <c r="F557" s="1">
        <v>419</v>
      </c>
      <c r="G557" s="1">
        <v>421</v>
      </c>
      <c r="H557" s="13" cm="1">
        <f t="array" ref="H557">_xlfn.LET(_xlpm.s,IFERROR(--F557,""),_xlpm.e,IFERROR(--G557,""),IF(OR(_xlpm.s="",_xlpm.e="",_xlpm.e&lt;_xlpm.s),"",_xlfn.LET(_xlpm.p,_xlfn.SEQUENCE(_xlpm.e-_xlpm.s+1,1,_xlpm.s,1),SUM(1/COUNTIFS($D:$D,D557,$E:$E,E557,$F:$F,"&lt;&gt;N/A",$G:$G,"&lt;&gt;N/A",$F:$F,"&lt;="&amp;_xlpm.p,$G:$G,"&gt;="&amp;_xlpm.p)))))</f>
        <v>2.5</v>
      </c>
      <c r="I557" t="s">
        <v>1506</v>
      </c>
      <c r="J557" s="5" t="s">
        <v>1608</v>
      </c>
      <c r="K557" s="5" t="s">
        <v>7</v>
      </c>
      <c r="L557" s="5" t="s">
        <v>4926</v>
      </c>
      <c r="M557" s="5" t="s">
        <v>7</v>
      </c>
      <c r="N557" s="5" t="s">
        <v>7</v>
      </c>
      <c r="O557" s="5" t="s">
        <v>10264</v>
      </c>
      <c r="P557" s="5" t="s">
        <v>8020</v>
      </c>
      <c r="R557" s="1" t="b">
        <v>1</v>
      </c>
    </row>
    <row r="558" spans="1:18">
      <c r="A558" t="s">
        <v>3024</v>
      </c>
      <c r="B558" t="s">
        <v>11234</v>
      </c>
      <c r="C558" s="5" t="s">
        <v>7740</v>
      </c>
      <c r="D558" s="1">
        <v>5</v>
      </c>
      <c r="E558" s="1">
        <v>9</v>
      </c>
      <c r="F558" s="1">
        <v>421</v>
      </c>
      <c r="G558" s="1">
        <v>422</v>
      </c>
      <c r="H558" s="13" cm="1">
        <f t="array" ref="H558">_xlfn.LET(_xlpm.s,IFERROR(--F558,""),_xlpm.e,IFERROR(--G558,""),IF(OR(_xlpm.s="",_xlpm.e="",_xlpm.e&lt;_xlpm.s),"",_xlfn.LET(_xlpm.p,_xlfn.SEQUENCE(_xlpm.e-_xlpm.s+1,1,_xlpm.s,1),SUM(1/COUNTIFS($D:$D,D558,$E:$E,E558,$F:$F,"&lt;&gt;N/A",$G:$G,"&lt;&gt;N/A",$F:$F,"&lt;="&amp;_xlpm.p,$G:$G,"&gt;="&amp;_xlpm.p)))))</f>
        <v>1</v>
      </c>
      <c r="I558" t="s">
        <v>1506</v>
      </c>
      <c r="J558" s="5" t="s">
        <v>1609</v>
      </c>
      <c r="K558" s="5" t="s">
        <v>7</v>
      </c>
      <c r="L558" s="5" t="s">
        <v>4941</v>
      </c>
      <c r="M558" s="5" t="s">
        <v>7</v>
      </c>
      <c r="N558" s="5" t="s">
        <v>7</v>
      </c>
      <c r="O558" s="5" t="s">
        <v>10264</v>
      </c>
      <c r="P558" s="5" t="s">
        <v>8020</v>
      </c>
      <c r="R558" s="1" t="b">
        <v>1</v>
      </c>
    </row>
    <row r="559" spans="1:18">
      <c r="A559" t="s">
        <v>3024</v>
      </c>
      <c r="B559" t="s">
        <v>11235</v>
      </c>
      <c r="C559" s="5" t="s">
        <v>7740</v>
      </c>
      <c r="D559" s="1">
        <v>5</v>
      </c>
      <c r="E559" s="1">
        <v>9</v>
      </c>
      <c r="F559" s="1">
        <v>422</v>
      </c>
      <c r="G559" s="1">
        <v>423</v>
      </c>
      <c r="H559" s="13" cm="1">
        <f t="array" ref="H559">_xlfn.LET(_xlpm.s,IFERROR(--F559,""),_xlpm.e,IFERROR(--G559,""),IF(OR(_xlpm.s="",_xlpm.e="",_xlpm.e&lt;_xlpm.s),"",_xlfn.LET(_xlpm.p,_xlfn.SEQUENCE(_xlpm.e-_xlpm.s+1,1,_xlpm.s,1),SUM(1/COUNTIFS($D:$D,D559,$E:$E,E559,$F:$F,"&lt;&gt;N/A",$G:$G,"&lt;&gt;N/A",$F:$F,"&lt;="&amp;_xlpm.p,$G:$G,"&gt;="&amp;_xlpm.p)))))</f>
        <v>0.83333333333333326</v>
      </c>
      <c r="I559" t="s">
        <v>1506</v>
      </c>
      <c r="J559" s="5" t="s">
        <v>1610</v>
      </c>
      <c r="K559" s="5" t="s">
        <v>7</v>
      </c>
      <c r="L559" s="5" t="s">
        <v>4942</v>
      </c>
      <c r="M559" t="s">
        <v>7475</v>
      </c>
      <c r="N559" t="s">
        <v>7591</v>
      </c>
      <c r="O559" t="s">
        <v>5072</v>
      </c>
      <c r="P559" t="s">
        <v>8021</v>
      </c>
      <c r="R559" s="1" t="b">
        <v>1</v>
      </c>
    </row>
    <row r="560" spans="1:18">
      <c r="A560" t="s">
        <v>3024</v>
      </c>
      <c r="B560" t="s">
        <v>11236</v>
      </c>
      <c r="C560" s="5" t="s">
        <v>7740</v>
      </c>
      <c r="D560" s="1">
        <v>5</v>
      </c>
      <c r="E560" s="1">
        <v>9</v>
      </c>
      <c r="F560" s="1">
        <v>423</v>
      </c>
      <c r="G560" s="1">
        <v>423</v>
      </c>
      <c r="H560" s="13" cm="1">
        <f t="array" ref="H560">_xlfn.LET(_xlpm.s,IFERROR(--F560,""),_xlpm.e,IFERROR(--G560,""),IF(OR(_xlpm.s="",_xlpm.e="",_xlpm.e&lt;_xlpm.s),"",_xlfn.LET(_xlpm.p,_xlfn.SEQUENCE(_xlpm.e-_xlpm.s+1,1,_xlpm.s,1),SUM(1/COUNTIFS($D:$D,D560,$E:$E,E560,$F:$F,"&lt;&gt;N/A",$G:$G,"&lt;&gt;N/A",$F:$F,"&lt;="&amp;_xlpm.p,$G:$G,"&gt;="&amp;_xlpm.p)))))</f>
        <v>0.33333333333333331</v>
      </c>
      <c r="I560" t="s">
        <v>1506</v>
      </c>
      <c r="J560" s="5" t="s">
        <v>2683</v>
      </c>
      <c r="K560" s="5" t="s">
        <v>7</v>
      </c>
      <c r="L560" s="5" t="s">
        <v>4943</v>
      </c>
      <c r="M560" t="s">
        <v>7476</v>
      </c>
      <c r="N560" s="5" t="s">
        <v>7671</v>
      </c>
      <c r="O560" t="s">
        <v>5072</v>
      </c>
      <c r="P560" t="s">
        <v>8021</v>
      </c>
      <c r="R560" s="1" t="b">
        <v>1</v>
      </c>
    </row>
    <row r="561" spans="1:18">
      <c r="A561" t="s">
        <v>3024</v>
      </c>
      <c r="B561" t="s">
        <v>11237</v>
      </c>
      <c r="C561" s="5" t="s">
        <v>7740</v>
      </c>
      <c r="D561" s="1">
        <v>5</v>
      </c>
      <c r="E561" s="1">
        <v>9</v>
      </c>
      <c r="F561" s="1">
        <v>423</v>
      </c>
      <c r="G561" s="1">
        <v>424</v>
      </c>
      <c r="H561" s="13" cm="1">
        <f t="array" ref="H561">_xlfn.LET(_xlpm.s,IFERROR(--F561,""),_xlpm.e,IFERROR(--G561,""),IF(OR(_xlpm.s="",_xlpm.e="",_xlpm.e&lt;_xlpm.s),"",_xlfn.LET(_xlpm.p,_xlfn.SEQUENCE(_xlpm.e-_xlpm.s+1,1,_xlpm.s,1),SUM(1/COUNTIFS($D:$D,D561,$E:$E,E561,$F:$F,"&lt;&gt;N/A",$G:$G,"&lt;&gt;N/A",$F:$F,"&lt;="&amp;_xlpm.p,$G:$G,"&gt;="&amp;_xlpm.p)))))</f>
        <v>0.83333333333333326</v>
      </c>
      <c r="I561" t="s">
        <v>1506</v>
      </c>
      <c r="J561" s="5" t="s">
        <v>1611</v>
      </c>
      <c r="K561" s="5" t="s">
        <v>7</v>
      </c>
      <c r="L561" s="5" t="s">
        <v>7</v>
      </c>
      <c r="M561" t="s">
        <v>7590</v>
      </c>
      <c r="N561" s="5" t="s">
        <v>2682</v>
      </c>
      <c r="O561" s="5" t="s">
        <v>10264</v>
      </c>
      <c r="P561" s="5" t="s">
        <v>8020</v>
      </c>
      <c r="R561" s="1" t="b">
        <v>1</v>
      </c>
    </row>
    <row r="562" spans="1:18">
      <c r="A562" t="s">
        <v>3024</v>
      </c>
      <c r="B562" t="s">
        <v>11238</v>
      </c>
      <c r="C562" s="5" t="s">
        <v>7740</v>
      </c>
      <c r="D562" s="1">
        <v>5</v>
      </c>
      <c r="E562" s="1">
        <v>9</v>
      </c>
      <c r="F562" s="1">
        <v>424</v>
      </c>
      <c r="G562" s="1">
        <v>424</v>
      </c>
      <c r="H562" s="13" cm="1">
        <f t="array" ref="H562">_xlfn.LET(_xlpm.s,IFERROR(--F562,""),_xlpm.e,IFERROR(--G562,""),IF(OR(_xlpm.s="",_xlpm.e="",_xlpm.e&lt;_xlpm.s),"",_xlfn.LET(_xlpm.p,_xlfn.SEQUENCE(_xlpm.e-_xlpm.s+1,1,_xlpm.s,1),SUM(1/COUNTIFS($D:$D,D562,$E:$E,E562,$F:$F,"&lt;&gt;N/A",$G:$G,"&lt;&gt;N/A",$F:$F,"&lt;="&amp;_xlpm.p,$G:$G,"&gt;="&amp;_xlpm.p)))))</f>
        <v>0.5</v>
      </c>
      <c r="I562" t="s">
        <v>1506</v>
      </c>
      <c r="J562" s="5" t="s">
        <v>10832</v>
      </c>
      <c r="K562" s="5" t="s">
        <v>7</v>
      </c>
      <c r="L562" s="5" t="s">
        <v>7</v>
      </c>
      <c r="M562" t="s">
        <v>7476</v>
      </c>
      <c r="N562" s="5" t="s">
        <v>2701</v>
      </c>
      <c r="O562" t="s">
        <v>5072</v>
      </c>
      <c r="P562" t="s">
        <v>8021</v>
      </c>
      <c r="Q562" s="5"/>
      <c r="R562" s="1" t="b">
        <v>1</v>
      </c>
    </row>
    <row r="563" spans="1:18">
      <c r="A563" t="s">
        <v>3024</v>
      </c>
      <c r="B563" t="s">
        <v>11239</v>
      </c>
      <c r="C563" s="5" t="s">
        <v>7748</v>
      </c>
      <c r="D563" s="1">
        <v>5</v>
      </c>
      <c r="E563" s="1">
        <v>10</v>
      </c>
      <c r="F563" s="1">
        <v>425</v>
      </c>
      <c r="G563" s="1">
        <v>439</v>
      </c>
      <c r="H563" s="13" cm="1">
        <f t="array" ref="H563">_xlfn.LET(_xlpm.s,IFERROR(--F563,""),_xlpm.e,IFERROR(--G563,""),IF(OR(_xlpm.s="",_xlpm.e="",_xlpm.e&lt;_xlpm.s),"",_xlfn.LET(_xlpm.p,_xlfn.SEQUENCE(_xlpm.e-_xlpm.s+1,1,_xlpm.s,1),SUM(1/COUNTIFS($D:$D,D563,$E:$E,E563,$F:$F,"&lt;&gt;N/A",$G:$G,"&lt;&gt;N/A",$F:$F,"&lt;="&amp;_xlpm.p,$G:$G,"&gt;="&amp;_xlpm.p)))))</f>
        <v>14.5</v>
      </c>
      <c r="I563" t="s">
        <v>7</v>
      </c>
      <c r="J563" s="5" t="s">
        <v>10794</v>
      </c>
      <c r="K563" s="5" t="s">
        <v>10795</v>
      </c>
      <c r="L563" s="5" t="s">
        <v>7</v>
      </c>
      <c r="M563" s="5" t="s">
        <v>7</v>
      </c>
      <c r="N563" s="5" t="s">
        <v>7</v>
      </c>
      <c r="O563" s="5" t="s">
        <v>778</v>
      </c>
      <c r="P563" t="s">
        <v>7834</v>
      </c>
      <c r="Q563" s="5"/>
      <c r="R563" s="1" t="b">
        <v>1</v>
      </c>
    </row>
    <row r="564" spans="1:18">
      <c r="A564" t="s">
        <v>10803</v>
      </c>
      <c r="B564" t="s">
        <v>11240</v>
      </c>
      <c r="C564" s="5" t="s">
        <v>7748</v>
      </c>
      <c r="D564" s="1">
        <v>5</v>
      </c>
      <c r="E564" s="1">
        <v>10</v>
      </c>
      <c r="F564" s="1">
        <v>439</v>
      </c>
      <c r="G564" s="1">
        <v>444</v>
      </c>
      <c r="H564" s="13" cm="1">
        <f t="array" ref="H564">_xlfn.LET(_xlpm.s,IFERROR(--F564,""),_xlpm.e,IFERROR(--G564,""),IF(OR(_xlpm.s="",_xlpm.e="",_xlpm.e&lt;_xlpm.s),"",_xlfn.LET(_xlpm.p,_xlfn.SEQUENCE(_xlpm.e-_xlpm.s+1,1,_xlpm.s,1),SUM(1/COUNTIFS($D:$D,D564,$E:$E,E564,$F:$F,"&lt;&gt;N/A",$G:$G,"&lt;&gt;N/A",$F:$F,"&lt;="&amp;_xlpm.p,$G:$G,"&gt;="&amp;_xlpm.p)))))</f>
        <v>5</v>
      </c>
      <c r="I564" t="s">
        <v>1350</v>
      </c>
      <c r="J564" t="s">
        <v>10796</v>
      </c>
      <c r="K564" s="5" t="s">
        <v>7</v>
      </c>
      <c r="L564" s="5" t="s">
        <v>7</v>
      </c>
      <c r="M564" s="5" t="s">
        <v>7</v>
      </c>
      <c r="N564" s="5" t="s">
        <v>7</v>
      </c>
      <c r="O564" s="5" t="s">
        <v>778</v>
      </c>
      <c r="P564" t="s">
        <v>7834</v>
      </c>
      <c r="Q564" s="5"/>
      <c r="R564" s="1" t="b">
        <v>0</v>
      </c>
    </row>
    <row r="565" spans="1:18">
      <c r="A565" t="s">
        <v>10804</v>
      </c>
      <c r="B565" t="s">
        <v>11241</v>
      </c>
      <c r="C565" s="5" t="s">
        <v>7748</v>
      </c>
      <c r="D565" s="1">
        <v>5</v>
      </c>
      <c r="E565" s="1">
        <v>10</v>
      </c>
      <c r="F565" s="1">
        <v>444</v>
      </c>
      <c r="G565" s="1">
        <v>453</v>
      </c>
      <c r="H565" s="13" cm="1">
        <f t="array" ref="H565">_xlfn.LET(_xlpm.s,IFERROR(--F565,""),_xlpm.e,IFERROR(--G565,""),IF(OR(_xlpm.s="",_xlpm.e="",_xlpm.e&lt;_xlpm.s),"",_xlfn.LET(_xlpm.p,_xlfn.SEQUENCE(_xlpm.e-_xlpm.s+1,1,_xlpm.s,1),SUM(1/COUNTIFS($D:$D,D565,$E:$E,E565,$F:$F,"&lt;&gt;N/A",$G:$G,"&lt;&gt;N/A",$F:$F,"&lt;="&amp;_xlpm.p,$G:$G,"&gt;="&amp;_xlpm.p)))))</f>
        <v>9</v>
      </c>
      <c r="I565" t="s">
        <v>1506</v>
      </c>
      <c r="J565" t="s">
        <v>10798</v>
      </c>
      <c r="K565" s="5" t="s">
        <v>7</v>
      </c>
      <c r="L565" s="5" t="s">
        <v>10797</v>
      </c>
      <c r="M565" t="s">
        <v>7476</v>
      </c>
      <c r="N565" s="5" t="s">
        <v>11503</v>
      </c>
      <c r="O565" t="s">
        <v>5072</v>
      </c>
      <c r="P565" t="s">
        <v>8021</v>
      </c>
      <c r="Q565" s="5" t="s">
        <v>2509</v>
      </c>
      <c r="R565" s="1" t="b">
        <v>1</v>
      </c>
    </row>
    <row r="566" spans="1:18">
      <c r="A566" t="s">
        <v>10805</v>
      </c>
      <c r="B566" t="s">
        <v>11242</v>
      </c>
      <c r="C566" s="5" t="s">
        <v>7748</v>
      </c>
      <c r="D566" s="1">
        <v>5</v>
      </c>
      <c r="E566" s="1">
        <v>10</v>
      </c>
      <c r="F566" s="1">
        <v>453</v>
      </c>
      <c r="G566" s="1">
        <v>457</v>
      </c>
      <c r="H566" s="13" cm="1">
        <f t="array" ref="H566">_xlfn.LET(_xlpm.s,IFERROR(--F566,""),_xlpm.e,IFERROR(--G566,""),IF(OR(_xlpm.s="",_xlpm.e="",_xlpm.e&lt;_xlpm.s),"",_xlfn.LET(_xlpm.p,_xlfn.SEQUENCE(_xlpm.e-_xlpm.s+1,1,_xlpm.s,1),SUM(1/COUNTIFS($D:$D,D566,$E:$E,E566,$F:$F,"&lt;&gt;N/A",$G:$G,"&lt;&gt;N/A",$F:$F,"&lt;="&amp;_xlpm.p,$G:$G,"&gt;="&amp;_xlpm.p)))))</f>
        <v>4</v>
      </c>
      <c r="I566" t="s">
        <v>1506</v>
      </c>
      <c r="J566" t="s">
        <v>10799</v>
      </c>
      <c r="K566" s="5" t="s">
        <v>7</v>
      </c>
      <c r="L566" t="s">
        <v>10800</v>
      </c>
      <c r="M566" t="s">
        <v>7505</v>
      </c>
      <c r="N566" s="5" t="s">
        <v>10825</v>
      </c>
      <c r="O566" t="s">
        <v>5072</v>
      </c>
      <c r="P566" t="s">
        <v>8021</v>
      </c>
      <c r="Q566" s="5" t="s">
        <v>2509</v>
      </c>
      <c r="R566" s="1" t="b">
        <v>1</v>
      </c>
    </row>
    <row r="567" spans="1:18">
      <c r="A567" t="s">
        <v>10806</v>
      </c>
      <c r="B567" t="s">
        <v>11243</v>
      </c>
      <c r="C567" s="5" t="s">
        <v>7748</v>
      </c>
      <c r="D567" s="1">
        <v>5</v>
      </c>
      <c r="E567" s="1">
        <v>10</v>
      </c>
      <c r="F567" s="1">
        <v>457</v>
      </c>
      <c r="G567" s="1">
        <v>464</v>
      </c>
      <c r="H567" s="13" cm="1">
        <f t="array" ref="H567">_xlfn.LET(_xlpm.s,IFERROR(--F567,""),_xlpm.e,IFERROR(--G567,""),IF(OR(_xlpm.s="",_xlpm.e="",_xlpm.e&lt;_xlpm.s),"",_xlfn.LET(_xlpm.p,_xlfn.SEQUENCE(_xlpm.e-_xlpm.s+1,1,_xlpm.s,1),SUM(1/COUNTIFS($D:$D,D567,$E:$E,E567,$F:$F,"&lt;&gt;N/A",$G:$G,"&lt;&gt;N/A",$F:$F,"&lt;="&amp;_xlpm.p,$G:$G,"&gt;="&amp;_xlpm.p)))))</f>
        <v>7.5</v>
      </c>
      <c r="I567" t="s">
        <v>1506</v>
      </c>
      <c r="J567" s="5" t="s">
        <v>10801</v>
      </c>
      <c r="K567" s="5" t="s">
        <v>7</v>
      </c>
      <c r="L567" s="5" t="s">
        <v>10802</v>
      </c>
      <c r="M567" s="5" t="s">
        <v>7</v>
      </c>
      <c r="N567" s="5" t="s">
        <v>7</v>
      </c>
      <c r="O567" s="5" t="s">
        <v>10264</v>
      </c>
      <c r="P567" t="s">
        <v>8020</v>
      </c>
      <c r="Q567" s="5"/>
      <c r="R567" s="1" t="b">
        <v>1</v>
      </c>
    </row>
    <row r="568" spans="1:18">
      <c r="A568" t="s">
        <v>3024</v>
      </c>
      <c r="B568" t="s">
        <v>11244</v>
      </c>
      <c r="C568" s="5" t="s">
        <v>7756</v>
      </c>
      <c r="D568" s="1">
        <v>5</v>
      </c>
      <c r="E568" s="1">
        <v>11</v>
      </c>
      <c r="F568" s="1">
        <v>465</v>
      </c>
      <c r="G568" s="1">
        <v>469</v>
      </c>
      <c r="H568" s="13" cm="1">
        <f t="array" ref="H568">_xlfn.LET(_xlpm.s,IFERROR(--F568,""),_xlpm.e,IFERROR(--G568,""),IF(OR(_xlpm.s="",_xlpm.e="",_xlpm.e&lt;_xlpm.s),"",_xlfn.LET(_xlpm.p,_xlfn.SEQUENCE(_xlpm.e-_xlpm.s+1,1,_xlpm.s,1),SUM(1/COUNTIFS($D:$D,D568,$E:$E,E568,$F:$F,"&lt;&gt;N/A",$G:$G,"&lt;&gt;N/A",$F:$F,"&lt;="&amp;_xlpm.p,$G:$G,"&gt;="&amp;_xlpm.p)))))</f>
        <v>4.5</v>
      </c>
      <c r="I568" t="s">
        <v>7</v>
      </c>
      <c r="J568" s="5" t="s">
        <v>1596</v>
      </c>
      <c r="K568" s="5" t="s">
        <v>4944</v>
      </c>
      <c r="L568" s="5" t="s">
        <v>7</v>
      </c>
      <c r="M568" s="5" t="s">
        <v>7</v>
      </c>
      <c r="N568" s="5" t="s">
        <v>7</v>
      </c>
      <c r="O568" s="5" t="s">
        <v>778</v>
      </c>
      <c r="P568" s="5" t="s">
        <v>7834</v>
      </c>
      <c r="R568" s="1" t="b">
        <v>1</v>
      </c>
    </row>
    <row r="569" spans="1:18">
      <c r="A569" t="s">
        <v>3024</v>
      </c>
      <c r="B569" t="s">
        <v>11245</v>
      </c>
      <c r="C569" s="5" t="s">
        <v>7756</v>
      </c>
      <c r="D569" s="1">
        <v>5</v>
      </c>
      <c r="E569" s="1">
        <v>11</v>
      </c>
      <c r="F569" s="1">
        <v>469</v>
      </c>
      <c r="G569" s="1">
        <v>473</v>
      </c>
      <c r="H569" s="13" cm="1">
        <f t="array" ref="H569">_xlfn.LET(_xlpm.s,IFERROR(--F569,""),_xlpm.e,IFERROR(--G569,""),IF(OR(_xlpm.s="",_xlpm.e="",_xlpm.e&lt;_xlpm.s),"",_xlfn.LET(_xlpm.p,_xlfn.SEQUENCE(_xlpm.e-_xlpm.s+1,1,_xlpm.s,1),SUM(1/COUNTIFS($D:$D,D569,$E:$E,E569,$F:$F,"&lt;&gt;N/A",$G:$G,"&lt;&gt;N/A",$F:$F,"&lt;="&amp;_xlpm.p,$G:$G,"&gt;="&amp;_xlpm.p)))))</f>
        <v>4</v>
      </c>
      <c r="I569" t="s">
        <v>7</v>
      </c>
      <c r="J569" s="5" t="s">
        <v>1597</v>
      </c>
      <c r="K569" s="5" t="s">
        <v>1557</v>
      </c>
      <c r="L569" s="5" t="s">
        <v>7</v>
      </c>
      <c r="M569" s="5" t="s">
        <v>7</v>
      </c>
      <c r="N569" s="5" t="s">
        <v>7</v>
      </c>
      <c r="O569" t="s">
        <v>7</v>
      </c>
      <c r="P569" t="s">
        <v>10158</v>
      </c>
      <c r="Q569" s="5" t="s">
        <v>2681</v>
      </c>
      <c r="R569" s="1" t="b">
        <v>1</v>
      </c>
    </row>
    <row r="570" spans="1:18">
      <c r="A570" t="s">
        <v>3024</v>
      </c>
      <c r="B570" t="s">
        <v>11246</v>
      </c>
      <c r="C570" s="5" t="s">
        <v>7756</v>
      </c>
      <c r="D570" s="1">
        <v>5</v>
      </c>
      <c r="E570" s="1">
        <v>11</v>
      </c>
      <c r="F570" s="1">
        <v>473</v>
      </c>
      <c r="G570" s="1">
        <v>481</v>
      </c>
      <c r="H570" s="13" cm="1">
        <f t="array" ref="H570">_xlfn.LET(_xlpm.s,IFERROR(--F570,""),_xlpm.e,IFERROR(--G570,""),IF(OR(_xlpm.s="",_xlpm.e="",_xlpm.e&lt;_xlpm.s),"",_xlfn.LET(_xlpm.p,_xlfn.SEQUENCE(_xlpm.e-_xlpm.s+1,1,_xlpm.s,1),SUM(1/COUNTIFS($D:$D,D570,$E:$E,E570,$F:$F,"&lt;&gt;N/A",$G:$G,"&lt;&gt;N/A",$F:$F,"&lt;="&amp;_xlpm.p,$G:$G,"&gt;="&amp;_xlpm.p)))))</f>
        <v>8</v>
      </c>
      <c r="I570" t="s">
        <v>7</v>
      </c>
      <c r="J570" s="5" t="s">
        <v>1598</v>
      </c>
      <c r="K570" s="5" t="s">
        <v>1280</v>
      </c>
      <c r="L570" s="5" t="s">
        <v>7</v>
      </c>
      <c r="M570" s="5" t="s">
        <v>7</v>
      </c>
      <c r="N570" s="5" t="s">
        <v>7</v>
      </c>
      <c r="O570" s="5" t="s">
        <v>778</v>
      </c>
      <c r="P570" s="5" t="s">
        <v>7834</v>
      </c>
      <c r="R570" s="1" t="b">
        <v>1</v>
      </c>
    </row>
    <row r="571" spans="1:18">
      <c r="A571" t="s">
        <v>3024</v>
      </c>
      <c r="B571" t="s">
        <v>11247</v>
      </c>
      <c r="C571" s="5" t="s">
        <v>7756</v>
      </c>
      <c r="D571" s="1">
        <v>5</v>
      </c>
      <c r="E571" s="1">
        <v>11</v>
      </c>
      <c r="F571" s="1">
        <v>481</v>
      </c>
      <c r="G571" s="1">
        <v>484</v>
      </c>
      <c r="H571" s="13" cm="1">
        <f t="array" ref="H571">_xlfn.LET(_xlpm.s,IFERROR(--F571,""),_xlpm.e,IFERROR(--G571,""),IF(OR(_xlpm.s="",_xlpm.e="",_xlpm.e&lt;_xlpm.s),"",_xlfn.LET(_xlpm.p,_xlfn.SEQUENCE(_xlpm.e-_xlpm.s+1,1,_xlpm.s,1),SUM(1/COUNTIFS($D:$D,D571,$E:$E,E571,$F:$F,"&lt;&gt;N/A",$G:$G,"&lt;&gt;N/A",$F:$F,"&lt;="&amp;_xlpm.p,$G:$G,"&gt;="&amp;_xlpm.p)))))</f>
        <v>3</v>
      </c>
      <c r="I571" t="s">
        <v>1350</v>
      </c>
      <c r="J571" s="5" t="s">
        <v>1599</v>
      </c>
      <c r="K571" s="5" t="s">
        <v>7</v>
      </c>
      <c r="L571" s="5" t="s">
        <v>7</v>
      </c>
      <c r="M571" s="5" t="s">
        <v>7</v>
      </c>
      <c r="N571" s="5" t="s">
        <v>7</v>
      </c>
      <c r="O571" t="s">
        <v>778</v>
      </c>
      <c r="P571" t="s">
        <v>7834</v>
      </c>
      <c r="R571" s="1" t="b">
        <v>0</v>
      </c>
    </row>
    <row r="572" spans="1:18">
      <c r="A572" t="s">
        <v>3024</v>
      </c>
      <c r="B572" t="s">
        <v>11248</v>
      </c>
      <c r="C572" s="5" t="s">
        <v>7756</v>
      </c>
      <c r="D572" s="1">
        <v>5</v>
      </c>
      <c r="E572" s="1">
        <v>11</v>
      </c>
      <c r="F572" s="1">
        <v>484</v>
      </c>
      <c r="G572" s="1">
        <v>484</v>
      </c>
      <c r="H572" s="13" cm="1">
        <f t="array" ref="H572">_xlfn.LET(_xlpm.s,IFERROR(--F572,""),_xlpm.e,IFERROR(--G572,""),IF(OR(_xlpm.s="",_xlpm.e="",_xlpm.e&lt;_xlpm.s),"",_xlfn.LET(_xlpm.p,_xlfn.SEQUENCE(_xlpm.e-_xlpm.s+1,1,_xlpm.s,1),SUM(1/COUNTIFS($D:$D,D572,$E:$E,E572,$F:$F,"&lt;&gt;N/A",$G:$G,"&lt;&gt;N/A",$F:$F,"&lt;="&amp;_xlpm.p,$G:$G,"&gt;="&amp;_xlpm.p)))))</f>
        <v>0.5</v>
      </c>
      <c r="I572" t="s">
        <v>1350</v>
      </c>
      <c r="J572" s="5" t="s">
        <v>1600</v>
      </c>
      <c r="K572" s="5" t="s">
        <v>7</v>
      </c>
      <c r="L572" s="5" t="s">
        <v>7</v>
      </c>
      <c r="M572" s="5" t="s">
        <v>7</v>
      </c>
      <c r="N572" s="5" t="s">
        <v>7</v>
      </c>
      <c r="O572" t="s">
        <v>778</v>
      </c>
      <c r="P572" t="s">
        <v>7834</v>
      </c>
      <c r="R572" s="1" t="b">
        <v>0</v>
      </c>
    </row>
    <row r="573" spans="1:18">
      <c r="A573" t="s">
        <v>3024</v>
      </c>
      <c r="B573" t="s">
        <v>11249</v>
      </c>
      <c r="C573" s="5" t="s">
        <v>7756</v>
      </c>
      <c r="D573" s="1">
        <v>5</v>
      </c>
      <c r="E573" s="1">
        <v>11</v>
      </c>
      <c r="F573" s="1">
        <v>485</v>
      </c>
      <c r="G573" s="1">
        <v>485</v>
      </c>
      <c r="H573" s="13" cm="1">
        <f t="array" ref="H573">_xlfn.LET(_xlpm.s,IFERROR(--F573,""),_xlpm.e,IFERROR(--G573,""),IF(OR(_xlpm.s="",_xlpm.e="",_xlpm.e&lt;_xlpm.s),"",_xlfn.LET(_xlpm.p,_xlfn.SEQUENCE(_xlpm.e-_xlpm.s+1,1,_xlpm.s,1),SUM(1/COUNTIFS($D:$D,D573,$E:$E,E573,$F:$F,"&lt;&gt;N/A",$G:$G,"&lt;&gt;N/A",$F:$F,"&lt;="&amp;_xlpm.p,$G:$G,"&gt;="&amp;_xlpm.p)))))</f>
        <v>1</v>
      </c>
      <c r="I573" t="s">
        <v>1350</v>
      </c>
      <c r="J573" s="5" t="s">
        <v>1601</v>
      </c>
      <c r="K573" s="5" t="s">
        <v>7</v>
      </c>
      <c r="L573" s="5" t="s">
        <v>7</v>
      </c>
      <c r="M573" s="5" t="s">
        <v>7</v>
      </c>
      <c r="N573" s="5" t="s">
        <v>7</v>
      </c>
      <c r="O573" t="s">
        <v>778</v>
      </c>
      <c r="P573" t="s">
        <v>7834</v>
      </c>
      <c r="R573" s="1" t="b">
        <v>0</v>
      </c>
    </row>
    <row r="574" spans="1:18">
      <c r="A574" t="s">
        <v>3024</v>
      </c>
      <c r="B574" t="s">
        <v>11250</v>
      </c>
      <c r="C574" s="5" t="s">
        <v>7756</v>
      </c>
      <c r="D574" s="1">
        <v>5</v>
      </c>
      <c r="E574" s="1">
        <v>11</v>
      </c>
      <c r="F574" s="1">
        <v>486</v>
      </c>
      <c r="G574" s="1">
        <v>494</v>
      </c>
      <c r="H574" s="13" cm="1">
        <f t="array" ref="H574">_xlfn.LET(_xlpm.s,IFERROR(--F574,""),_xlpm.e,IFERROR(--G574,""),IF(OR(_xlpm.s="",_xlpm.e="",_xlpm.e&lt;_xlpm.s),"",_xlfn.LET(_xlpm.p,_xlfn.SEQUENCE(_xlpm.e-_xlpm.s+1,1,_xlpm.s,1),SUM(1/COUNTIFS($D:$D,D574,$E:$E,E574,$F:$F,"&lt;&gt;N/A",$G:$G,"&lt;&gt;N/A",$F:$F,"&lt;="&amp;_xlpm.p,$G:$G,"&gt;="&amp;_xlpm.p)))))</f>
        <v>8.5</v>
      </c>
      <c r="I574" t="s">
        <v>1350</v>
      </c>
      <c r="J574" s="5" t="s">
        <v>1602</v>
      </c>
      <c r="K574" s="5" t="s">
        <v>1603</v>
      </c>
      <c r="L574" s="5" t="s">
        <v>7</v>
      </c>
      <c r="M574" s="5" t="s">
        <v>7</v>
      </c>
      <c r="N574" s="5" t="s">
        <v>7</v>
      </c>
      <c r="O574" t="s">
        <v>778</v>
      </c>
      <c r="P574" t="s">
        <v>7834</v>
      </c>
      <c r="R574" s="1" t="b">
        <v>1</v>
      </c>
    </row>
    <row r="575" spans="1:18">
      <c r="A575" t="s">
        <v>3024</v>
      </c>
      <c r="B575" t="s">
        <v>11251</v>
      </c>
      <c r="C575" s="5" t="s">
        <v>7756</v>
      </c>
      <c r="D575" s="1">
        <v>5</v>
      </c>
      <c r="E575" s="1">
        <v>11</v>
      </c>
      <c r="F575" s="1">
        <v>494</v>
      </c>
      <c r="G575" s="1">
        <v>498</v>
      </c>
      <c r="H575" s="13" cm="1">
        <f t="array" ref="H575">_xlfn.LET(_xlpm.s,IFERROR(--F575,""),_xlpm.e,IFERROR(--G575,""),IF(OR(_xlpm.s="",_xlpm.e="",_xlpm.e&lt;_xlpm.s),"",_xlfn.LET(_xlpm.p,_xlfn.SEQUENCE(_xlpm.e-_xlpm.s+1,1,_xlpm.s,1),SUM(1/COUNTIFS($D:$D,D575,$E:$E,E575,$F:$F,"&lt;&gt;N/A",$G:$G,"&lt;&gt;N/A",$F:$F,"&lt;="&amp;_xlpm.p,$G:$G,"&gt;="&amp;_xlpm.p)))))</f>
        <v>4</v>
      </c>
      <c r="I575" t="s">
        <v>1506</v>
      </c>
      <c r="J575" s="5" t="s">
        <v>7610</v>
      </c>
      <c r="K575" s="5" t="s">
        <v>7</v>
      </c>
      <c r="L575" s="5" t="s">
        <v>4791</v>
      </c>
      <c r="M575" t="s">
        <v>7505</v>
      </c>
      <c r="N575" s="5" t="s">
        <v>7607</v>
      </c>
      <c r="O575" t="s">
        <v>5072</v>
      </c>
      <c r="P575" t="s">
        <v>8021</v>
      </c>
      <c r="Q575" s="5" t="s">
        <v>2509</v>
      </c>
      <c r="R575" s="1" t="b">
        <v>1</v>
      </c>
    </row>
    <row r="576" spans="1:18">
      <c r="A576" t="s">
        <v>3024</v>
      </c>
      <c r="B576" t="s">
        <v>11252</v>
      </c>
      <c r="C576" s="5" t="s">
        <v>7756</v>
      </c>
      <c r="D576" s="1">
        <v>5</v>
      </c>
      <c r="E576" s="1">
        <v>11</v>
      </c>
      <c r="F576" s="1">
        <v>498</v>
      </c>
      <c r="G576" s="1">
        <v>502</v>
      </c>
      <c r="H576" s="13" cm="1">
        <f t="array" ref="H576">_xlfn.LET(_xlpm.s,IFERROR(--F576,""),_xlpm.e,IFERROR(--G576,""),IF(OR(_xlpm.s="",_xlpm.e="",_xlpm.e&lt;_xlpm.s),"",_xlfn.LET(_xlpm.p,_xlfn.SEQUENCE(_xlpm.e-_xlpm.s+1,1,_xlpm.s,1),SUM(1/COUNTIFS($D:$D,D576,$E:$E,E576,$F:$F,"&lt;&gt;N/A",$G:$G,"&lt;&gt;N/A",$F:$F,"&lt;="&amp;_xlpm.p,$G:$G,"&gt;="&amp;_xlpm.p)))))</f>
        <v>4</v>
      </c>
      <c r="I576" t="s">
        <v>1506</v>
      </c>
      <c r="J576" s="5" t="s">
        <v>7606</v>
      </c>
      <c r="K576" s="5" t="s">
        <v>7</v>
      </c>
      <c r="L576" s="5" t="s">
        <v>4930</v>
      </c>
      <c r="M576" t="s">
        <v>7505</v>
      </c>
      <c r="N576" s="5" t="s">
        <v>7608</v>
      </c>
      <c r="O576" t="s">
        <v>5072</v>
      </c>
      <c r="P576" t="s">
        <v>8021</v>
      </c>
      <c r="R576" s="1" t="b">
        <v>1</v>
      </c>
    </row>
    <row r="577" spans="1:18">
      <c r="A577" t="s">
        <v>3024</v>
      </c>
      <c r="B577" t="s">
        <v>11253</v>
      </c>
      <c r="C577" s="5" t="s">
        <v>7756</v>
      </c>
      <c r="D577" s="1">
        <v>5</v>
      </c>
      <c r="E577" s="1">
        <v>11</v>
      </c>
      <c r="F577" s="1">
        <v>502</v>
      </c>
      <c r="G577" s="1">
        <v>503</v>
      </c>
      <c r="H577" s="13" cm="1">
        <f t="array" ref="H577">_xlfn.LET(_xlpm.s,IFERROR(--F577,""),_xlpm.e,IFERROR(--G577,""),IF(OR(_xlpm.s="",_xlpm.e="",_xlpm.e&lt;_xlpm.s),"",_xlfn.LET(_xlpm.p,_xlfn.SEQUENCE(_xlpm.e-_xlpm.s+1,1,_xlpm.s,1),SUM(1/COUNTIFS($D:$D,D577,$E:$E,E577,$F:$F,"&lt;&gt;N/A",$G:$G,"&lt;&gt;N/A",$F:$F,"&lt;="&amp;_xlpm.p,$G:$G,"&gt;="&amp;_xlpm.p)))))</f>
        <v>1</v>
      </c>
      <c r="I577" t="s">
        <v>1506</v>
      </c>
      <c r="J577" s="5" t="s">
        <v>7609</v>
      </c>
      <c r="K577" s="5" t="s">
        <v>7</v>
      </c>
      <c r="L577" s="5" t="s">
        <v>4930</v>
      </c>
      <c r="M577" t="s">
        <v>7505</v>
      </c>
      <c r="N577" s="5" t="s">
        <v>7611</v>
      </c>
      <c r="O577" t="s">
        <v>5072</v>
      </c>
      <c r="P577" t="s">
        <v>8021</v>
      </c>
      <c r="R577" s="1" t="b">
        <v>1</v>
      </c>
    </row>
    <row r="578" spans="1:18">
      <c r="A578" t="s">
        <v>3024</v>
      </c>
      <c r="B578" t="s">
        <v>11254</v>
      </c>
      <c r="C578" s="5" t="s">
        <v>7756</v>
      </c>
      <c r="D578" s="1">
        <v>5</v>
      </c>
      <c r="E578" s="1">
        <v>11</v>
      </c>
      <c r="F578" s="1">
        <v>503</v>
      </c>
      <c r="G578" s="1">
        <v>504</v>
      </c>
      <c r="H578" s="13" cm="1">
        <f t="array" ref="H578">_xlfn.LET(_xlpm.s,IFERROR(--F578,""),_xlpm.e,IFERROR(--G578,""),IF(OR(_xlpm.s="",_xlpm.e="",_xlpm.e&lt;_xlpm.s),"",_xlfn.LET(_xlpm.p,_xlfn.SEQUENCE(_xlpm.e-_xlpm.s+1,1,_xlpm.s,1),SUM(1/COUNTIFS($D:$D,D578,$E:$E,E578,$F:$F,"&lt;&gt;N/A",$G:$G,"&lt;&gt;N/A",$F:$F,"&lt;="&amp;_xlpm.p,$G:$G,"&gt;="&amp;_xlpm.p)))))</f>
        <v>1.5</v>
      </c>
      <c r="I578" t="s">
        <v>1506</v>
      </c>
      <c r="J578" s="5" t="s">
        <v>7672</v>
      </c>
      <c r="K578" s="5" t="s">
        <v>7</v>
      </c>
      <c r="L578" s="5" t="s">
        <v>4945</v>
      </c>
      <c r="M578" s="5" t="s">
        <v>7</v>
      </c>
      <c r="N578" s="5" t="s">
        <v>7</v>
      </c>
      <c r="O578" s="5" t="s">
        <v>10264</v>
      </c>
      <c r="P578" s="5" t="s">
        <v>8020</v>
      </c>
      <c r="R578" s="1" t="b">
        <v>1</v>
      </c>
    </row>
    <row r="579" spans="1:18">
      <c r="A579" t="s">
        <v>3024</v>
      </c>
      <c r="B579" t="s">
        <v>11255</v>
      </c>
      <c r="C579" s="5" t="s">
        <v>7764</v>
      </c>
      <c r="D579" s="1">
        <v>5</v>
      </c>
      <c r="E579" s="1">
        <v>12</v>
      </c>
      <c r="F579" s="1">
        <v>505</v>
      </c>
      <c r="G579" s="1">
        <v>511</v>
      </c>
      <c r="H579" s="13" cm="1">
        <f t="array" ref="H579">_xlfn.LET(_xlpm.s,IFERROR(--F579,""),_xlpm.e,IFERROR(--G579,""),IF(OR(_xlpm.s="",_xlpm.e="",_xlpm.e&lt;_xlpm.s),"",_xlfn.LET(_xlpm.p,_xlfn.SEQUENCE(_xlpm.e-_xlpm.s+1,1,_xlpm.s,1),SUM(1/COUNTIFS($D:$D,D579,$E:$E,E579,$F:$F,"&lt;&gt;N/A",$G:$G,"&lt;&gt;N/A",$F:$F,"&lt;="&amp;_xlpm.p,$G:$G,"&gt;="&amp;_xlpm.p)))))</f>
        <v>6.5</v>
      </c>
      <c r="I579" t="s">
        <v>7</v>
      </c>
      <c r="J579" s="5" t="s">
        <v>11399</v>
      </c>
      <c r="K579" s="5" t="s">
        <v>1507</v>
      </c>
      <c r="L579" s="5" t="s">
        <v>7</v>
      </c>
      <c r="M579" s="5" t="s">
        <v>7</v>
      </c>
      <c r="N579" s="5" t="s">
        <v>7</v>
      </c>
      <c r="O579" t="s">
        <v>778</v>
      </c>
      <c r="P579" s="5" t="s">
        <v>7834</v>
      </c>
      <c r="R579" s="1" t="b">
        <v>1</v>
      </c>
    </row>
    <row r="580" spans="1:18">
      <c r="A580" t="s">
        <v>3024</v>
      </c>
      <c r="B580" t="s">
        <v>11256</v>
      </c>
      <c r="C580" s="5" t="s">
        <v>7764</v>
      </c>
      <c r="D580" s="1">
        <v>5</v>
      </c>
      <c r="E580" s="1">
        <v>12</v>
      </c>
      <c r="F580" s="1">
        <v>511</v>
      </c>
      <c r="G580" s="1">
        <v>515</v>
      </c>
      <c r="H580" s="13" cm="1">
        <f t="array" ref="H580">_xlfn.LET(_xlpm.s,IFERROR(--F580,""),_xlpm.e,IFERROR(--G580,""),IF(OR(_xlpm.s="",_xlpm.e="",_xlpm.e&lt;_xlpm.s),"",_xlfn.LET(_xlpm.p,_xlfn.SEQUENCE(_xlpm.e-_xlpm.s+1,1,_xlpm.s,1),SUM(1/COUNTIFS($D:$D,D580,$E:$E,E580,$F:$F,"&lt;&gt;N/A",$G:$G,"&lt;&gt;N/A",$F:$F,"&lt;="&amp;_xlpm.p,$G:$G,"&gt;="&amp;_xlpm.p)))))</f>
        <v>4</v>
      </c>
      <c r="I580" t="s">
        <v>7</v>
      </c>
      <c r="J580" t="s">
        <v>10807</v>
      </c>
      <c r="K580" s="5" t="s">
        <v>7</v>
      </c>
      <c r="L580" s="5" t="s">
        <v>7</v>
      </c>
      <c r="M580" s="5" t="s">
        <v>7</v>
      </c>
      <c r="N580" s="5" t="s">
        <v>7</v>
      </c>
      <c r="O580" t="s">
        <v>778</v>
      </c>
      <c r="P580" s="5" t="s">
        <v>7834</v>
      </c>
      <c r="R580" s="1" t="b">
        <v>1</v>
      </c>
    </row>
    <row r="581" spans="1:18">
      <c r="A581" t="s">
        <v>3024</v>
      </c>
      <c r="B581" t="s">
        <v>11257</v>
      </c>
      <c r="C581" s="5" t="s">
        <v>7764</v>
      </c>
      <c r="D581" s="1">
        <v>5</v>
      </c>
      <c r="E581" s="1">
        <v>12</v>
      </c>
      <c r="F581" s="1">
        <v>515</v>
      </c>
      <c r="G581" s="1">
        <v>528</v>
      </c>
      <c r="H581" s="13" cm="1">
        <f t="array" ref="H581">_xlfn.LET(_xlpm.s,IFERROR(--F581,""),_xlpm.e,IFERROR(--G581,""),IF(OR(_xlpm.s="",_xlpm.e="",_xlpm.e&lt;_xlpm.s),"",_xlfn.LET(_xlpm.p,_xlfn.SEQUENCE(_xlpm.e-_xlpm.s+1,1,_xlpm.s,1),SUM(1/COUNTIFS($D:$D,D581,$E:$E,E581,$F:$F,"&lt;&gt;N/A",$G:$G,"&lt;&gt;N/A",$F:$F,"&lt;="&amp;_xlpm.p,$G:$G,"&gt;="&amp;_xlpm.p)))))</f>
        <v>13.5</v>
      </c>
      <c r="I581" t="s">
        <v>1519</v>
      </c>
      <c r="J581" s="5" t="s">
        <v>10808</v>
      </c>
      <c r="K581" s="5" t="s">
        <v>1280</v>
      </c>
      <c r="L581" s="5" t="s">
        <v>7</v>
      </c>
      <c r="M581" s="5" t="s">
        <v>7</v>
      </c>
      <c r="N581" s="5" t="s">
        <v>7</v>
      </c>
      <c r="O581" t="s">
        <v>778</v>
      </c>
      <c r="P581" s="5" t="s">
        <v>7834</v>
      </c>
      <c r="R581" s="1" t="b">
        <v>1</v>
      </c>
    </row>
    <row r="582" spans="1:18">
      <c r="A582" t="s">
        <v>3024</v>
      </c>
      <c r="B582" t="s">
        <v>11258</v>
      </c>
      <c r="C582" s="5" t="s">
        <v>7764</v>
      </c>
      <c r="D582" s="1">
        <v>5</v>
      </c>
      <c r="E582" s="1">
        <v>12</v>
      </c>
      <c r="F582" s="1">
        <v>529</v>
      </c>
      <c r="G582" s="1">
        <v>530</v>
      </c>
      <c r="H582" s="13" cm="1">
        <f t="array" ref="H582">_xlfn.LET(_xlpm.s,IFERROR(--F582,""),_xlpm.e,IFERROR(--G582,""),IF(OR(_xlpm.s="",_xlpm.e="",_xlpm.e&lt;_xlpm.s),"",_xlfn.LET(_xlpm.p,_xlfn.SEQUENCE(_xlpm.e-_xlpm.s+1,1,_xlpm.s,1),SUM(1/COUNTIFS($D:$D,D582,$E:$E,E582,$F:$F,"&lt;&gt;N/A",$G:$G,"&lt;&gt;N/A",$F:$F,"&lt;="&amp;_xlpm.p,$G:$G,"&gt;="&amp;_xlpm.p)))))</f>
        <v>1.3333333333333333</v>
      </c>
      <c r="I582" t="s">
        <v>1350</v>
      </c>
      <c r="J582" t="s">
        <v>10809</v>
      </c>
      <c r="K582" s="5" t="s">
        <v>7</v>
      </c>
      <c r="L582" s="5" t="s">
        <v>7</v>
      </c>
      <c r="M582" s="5" t="s">
        <v>7</v>
      </c>
      <c r="N582" s="5" t="s">
        <v>7</v>
      </c>
      <c r="O582" t="s">
        <v>778</v>
      </c>
      <c r="P582" s="5" t="s">
        <v>7834</v>
      </c>
      <c r="R582" s="1" t="b">
        <v>0</v>
      </c>
    </row>
    <row r="583" spans="1:18">
      <c r="A583" t="s">
        <v>3024</v>
      </c>
      <c r="B583" t="s">
        <v>11259</v>
      </c>
      <c r="C583" s="5" t="s">
        <v>7764</v>
      </c>
      <c r="D583" s="1">
        <v>5</v>
      </c>
      <c r="E583" s="1">
        <v>12</v>
      </c>
      <c r="F583" s="1">
        <v>530</v>
      </c>
      <c r="G583" s="1">
        <v>530</v>
      </c>
      <c r="H583" s="13" cm="1">
        <f t="array" ref="H583">_xlfn.LET(_xlpm.s,IFERROR(--F583,""),_xlpm.e,IFERROR(--G583,""),IF(OR(_xlpm.s="",_xlpm.e="",_xlpm.e&lt;_xlpm.s),"",_xlfn.LET(_xlpm.p,_xlfn.SEQUENCE(_xlpm.e-_xlpm.s+1,1,_xlpm.s,1),SUM(1/COUNTIFS($D:$D,D583,$E:$E,E583,$F:$F,"&lt;&gt;N/A",$G:$G,"&lt;&gt;N/A",$F:$F,"&lt;="&amp;_xlpm.p,$G:$G,"&gt;="&amp;_xlpm.p)))))</f>
        <v>0.33333333333333331</v>
      </c>
      <c r="I583" t="s">
        <v>1350</v>
      </c>
      <c r="J583" t="s">
        <v>10810</v>
      </c>
      <c r="K583" s="5" t="s">
        <v>7</v>
      </c>
      <c r="L583" s="5" t="s">
        <v>7</v>
      </c>
      <c r="M583" s="5" t="s">
        <v>7</v>
      </c>
      <c r="N583" s="5" t="s">
        <v>7</v>
      </c>
      <c r="O583" t="s">
        <v>778</v>
      </c>
      <c r="P583" s="5" t="s">
        <v>7834</v>
      </c>
      <c r="R583" s="1" t="b">
        <v>0</v>
      </c>
    </row>
    <row r="584" spans="1:18">
      <c r="A584" t="s">
        <v>3024</v>
      </c>
      <c r="B584" t="s">
        <v>11260</v>
      </c>
      <c r="C584" s="5" t="s">
        <v>7764</v>
      </c>
      <c r="D584" s="1">
        <v>5</v>
      </c>
      <c r="E584" s="1">
        <v>12</v>
      </c>
      <c r="F584" s="1">
        <v>530</v>
      </c>
      <c r="G584" s="1">
        <v>531</v>
      </c>
      <c r="H584" s="13" cm="1">
        <f t="array" ref="H584">_xlfn.LET(_xlpm.s,IFERROR(--F584,""),_xlpm.e,IFERROR(--G584,""),IF(OR(_xlpm.s="",_xlpm.e="",_xlpm.e&lt;_xlpm.s),"",_xlfn.LET(_xlpm.p,_xlfn.SEQUENCE(_xlpm.e-_xlpm.s+1,1,_xlpm.s,1),SUM(1/COUNTIFS($D:$D,D584,$E:$E,E584,$F:$F,"&lt;&gt;N/A",$G:$G,"&lt;&gt;N/A",$F:$F,"&lt;="&amp;_xlpm.p,$G:$G,"&gt;="&amp;_xlpm.p)))))</f>
        <v>0.83333333333333326</v>
      </c>
      <c r="I584" t="s">
        <v>1350</v>
      </c>
      <c r="J584" t="s">
        <v>10811</v>
      </c>
      <c r="K584" s="5" t="s">
        <v>7</v>
      </c>
      <c r="L584" s="5" t="s">
        <v>7</v>
      </c>
      <c r="M584" s="5" t="s">
        <v>7</v>
      </c>
      <c r="N584" s="5" t="s">
        <v>7</v>
      </c>
      <c r="O584" t="s">
        <v>778</v>
      </c>
      <c r="P584" s="5" t="s">
        <v>7834</v>
      </c>
      <c r="R584" s="1" t="b">
        <v>0</v>
      </c>
    </row>
    <row r="585" spans="1:18">
      <c r="A585" t="s">
        <v>3024</v>
      </c>
      <c r="B585" t="s">
        <v>11261</v>
      </c>
      <c r="C585" s="5" t="s">
        <v>7764</v>
      </c>
      <c r="D585" s="1">
        <v>5</v>
      </c>
      <c r="E585" s="1">
        <v>12</v>
      </c>
      <c r="F585" s="1">
        <v>531</v>
      </c>
      <c r="G585" s="1">
        <v>531</v>
      </c>
      <c r="H585" s="13" cm="1">
        <f t="array" ref="H585">_xlfn.LET(_xlpm.s,IFERROR(--F585,""),_xlpm.e,IFERROR(--G585,""),IF(OR(_xlpm.s="",_xlpm.e="",_xlpm.e&lt;_xlpm.s),"",_xlfn.LET(_xlpm.p,_xlfn.SEQUENCE(_xlpm.e-_xlpm.s+1,1,_xlpm.s,1),SUM(1/COUNTIFS($D:$D,D585,$E:$E,E585,$F:$F,"&lt;&gt;N/A",$G:$G,"&lt;&gt;N/A",$F:$F,"&lt;="&amp;_xlpm.p,$G:$G,"&gt;="&amp;_xlpm.p)))))</f>
        <v>0.5</v>
      </c>
      <c r="I585" t="s">
        <v>1350</v>
      </c>
      <c r="J585" t="s">
        <v>10812</v>
      </c>
      <c r="K585" s="5" t="s">
        <v>7</v>
      </c>
      <c r="L585" s="5" t="s">
        <v>7</v>
      </c>
      <c r="M585" s="5" t="s">
        <v>7</v>
      </c>
      <c r="N585" s="5" t="s">
        <v>7</v>
      </c>
      <c r="O585" t="s">
        <v>778</v>
      </c>
      <c r="P585" s="5" t="s">
        <v>7834</v>
      </c>
      <c r="R585" s="1" t="b">
        <v>0</v>
      </c>
    </row>
    <row r="586" spans="1:18">
      <c r="A586" t="s">
        <v>3024</v>
      </c>
      <c r="B586" t="s">
        <v>11262</v>
      </c>
      <c r="C586" s="5" t="s">
        <v>7764</v>
      </c>
      <c r="D586" s="1">
        <v>5</v>
      </c>
      <c r="E586" s="1">
        <v>12</v>
      </c>
      <c r="F586" s="1">
        <v>532</v>
      </c>
      <c r="G586" s="1">
        <v>545</v>
      </c>
      <c r="H586" s="13" cm="1">
        <f t="array" ref="H586">_xlfn.LET(_xlpm.s,IFERROR(--F586,""),_xlpm.e,IFERROR(--G586,""),IF(OR(_xlpm.s="",_xlpm.e="",_xlpm.e&lt;_xlpm.s),"",_xlfn.LET(_xlpm.p,_xlfn.SEQUENCE(_xlpm.e-_xlpm.s+1,1,_xlpm.s,1),SUM(1/COUNTIFS($D:$D,D586,$E:$E,E586,$F:$F,"&lt;&gt;N/A",$G:$G,"&lt;&gt;N/A",$F:$F,"&lt;="&amp;_xlpm.p,$G:$G,"&gt;="&amp;_xlpm.p)))))</f>
        <v>13.5</v>
      </c>
      <c r="I586" t="s">
        <v>1350</v>
      </c>
      <c r="J586" s="5" t="s">
        <v>10813</v>
      </c>
      <c r="K586" s="5" t="s">
        <v>10814</v>
      </c>
      <c r="L586" s="5" t="s">
        <v>7</v>
      </c>
      <c r="M586" s="5" t="s">
        <v>7</v>
      </c>
      <c r="N586" s="5" t="s">
        <v>7</v>
      </c>
      <c r="O586" t="s">
        <v>778</v>
      </c>
      <c r="P586" s="5" t="s">
        <v>7834</v>
      </c>
      <c r="R586" s="1" t="b">
        <v>1</v>
      </c>
    </row>
    <row r="587" spans="1:18">
      <c r="A587" t="s">
        <v>3024</v>
      </c>
      <c r="B587" t="s">
        <v>11263</v>
      </c>
      <c r="C587" s="5" t="s">
        <v>7764</v>
      </c>
      <c r="D587" s="1">
        <v>5</v>
      </c>
      <c r="E587" s="1">
        <v>12</v>
      </c>
      <c r="F587" s="1">
        <v>545</v>
      </c>
      <c r="G587" s="1">
        <v>550</v>
      </c>
      <c r="H587" s="13" cm="1">
        <f t="array" ref="H587">_xlfn.LET(_xlpm.s,IFERROR(--F587,""),_xlpm.e,IFERROR(--G587,""),IF(OR(_xlpm.s="",_xlpm.e="",_xlpm.e&lt;_xlpm.s),"",_xlfn.LET(_xlpm.p,_xlfn.SEQUENCE(_xlpm.e-_xlpm.s+1,1,_xlpm.s,1),SUM(1/COUNTIFS($D:$D,D587,$E:$E,E587,$F:$F,"&lt;&gt;N/A",$G:$G,"&lt;&gt;N/A",$F:$F,"&lt;="&amp;_xlpm.p,$G:$G,"&gt;="&amp;_xlpm.p)))))</f>
        <v>5.5</v>
      </c>
      <c r="I587" t="s">
        <v>1506</v>
      </c>
      <c r="J587" s="5" t="s">
        <v>10816</v>
      </c>
      <c r="K587" s="5" t="s">
        <v>7</v>
      </c>
      <c r="L587" s="5" t="s">
        <v>10815</v>
      </c>
      <c r="M587" s="5" t="s">
        <v>7</v>
      </c>
      <c r="N587" s="5" t="s">
        <v>10831</v>
      </c>
      <c r="O587" s="5" t="s">
        <v>11522</v>
      </c>
      <c r="P587" s="5" t="s">
        <v>8036</v>
      </c>
      <c r="R587" s="1" t="b">
        <v>1</v>
      </c>
    </row>
    <row r="588" spans="1:18">
      <c r="A588" t="s">
        <v>3024</v>
      </c>
      <c r="B588" t="s">
        <v>11264</v>
      </c>
      <c r="C588" s="5" t="s">
        <v>7764</v>
      </c>
      <c r="D588" s="1">
        <v>5</v>
      </c>
      <c r="E588" s="1">
        <v>12</v>
      </c>
      <c r="F588" s="1">
        <v>551</v>
      </c>
      <c r="G588" s="1">
        <v>554</v>
      </c>
      <c r="H588" s="13" cm="1">
        <f t="array" ref="H588">_xlfn.LET(_xlpm.s,IFERROR(--F588,""),_xlpm.e,IFERROR(--G588,""),IF(OR(_xlpm.s="",_xlpm.e="",_xlpm.e&lt;_xlpm.s),"",_xlfn.LET(_xlpm.p,_xlfn.SEQUENCE(_xlpm.e-_xlpm.s+1,1,_xlpm.s,1),SUM(1/COUNTIFS($D:$D,D588,$E:$E,E588,$F:$F,"&lt;&gt;N/A",$G:$G,"&lt;&gt;N/A",$F:$F,"&lt;="&amp;_xlpm.p,$G:$G,"&gt;="&amp;_xlpm.p)))))</f>
        <v>3.5</v>
      </c>
      <c r="I588" t="s">
        <v>1506</v>
      </c>
      <c r="J588" s="5" t="s">
        <v>1362</v>
      </c>
      <c r="K588" s="5" t="s">
        <v>7</v>
      </c>
      <c r="L588" s="5" t="s">
        <v>4945</v>
      </c>
      <c r="M588" s="5" t="s">
        <v>7</v>
      </c>
      <c r="N588" s="5" t="s">
        <v>7</v>
      </c>
      <c r="O588" s="5" t="s">
        <v>11522</v>
      </c>
      <c r="P588" s="5" t="s">
        <v>8020</v>
      </c>
      <c r="R588" s="1" t="b">
        <v>1</v>
      </c>
    </row>
    <row r="589" spans="1:18">
      <c r="A589" t="s">
        <v>3024</v>
      </c>
      <c r="B589" t="s">
        <v>11265</v>
      </c>
      <c r="C589" s="5" t="s">
        <v>7764</v>
      </c>
      <c r="D589" s="1">
        <v>5</v>
      </c>
      <c r="E589" s="1">
        <v>12</v>
      </c>
      <c r="F589" s="1">
        <v>554</v>
      </c>
      <c r="G589" s="1">
        <v>554</v>
      </c>
      <c r="H589" s="13" cm="1">
        <f t="array" ref="H589">_xlfn.LET(_xlpm.s,IFERROR(--F589,""),_xlpm.e,IFERROR(--G589,""),IF(OR(_xlpm.s="",_xlpm.e="",_xlpm.e&lt;_xlpm.s),"",_xlfn.LET(_xlpm.p,_xlfn.SEQUENCE(_xlpm.e-_xlpm.s+1,1,_xlpm.s,1),SUM(1/COUNTIFS($D:$D,D589,$E:$E,E589,$F:$F,"&lt;&gt;N/A",$G:$G,"&lt;&gt;N/A",$F:$F,"&lt;="&amp;_xlpm.p,$G:$G,"&gt;="&amp;_xlpm.p)))))</f>
        <v>0.5</v>
      </c>
      <c r="I589" t="s">
        <v>1506</v>
      </c>
      <c r="J589" t="s">
        <v>10817</v>
      </c>
      <c r="K589" s="5" t="s">
        <v>7</v>
      </c>
      <c r="L589" t="s">
        <v>10818</v>
      </c>
      <c r="M589" t="s">
        <v>8222</v>
      </c>
      <c r="N589" s="5" t="s">
        <v>10826</v>
      </c>
      <c r="O589" t="s">
        <v>5072</v>
      </c>
      <c r="P589" s="5" t="s">
        <v>8021</v>
      </c>
      <c r="R589" s="1" t="b">
        <v>1</v>
      </c>
    </row>
    <row r="590" spans="1:18">
      <c r="A590" t="s">
        <v>3024</v>
      </c>
      <c r="B590" t="s">
        <v>11266</v>
      </c>
      <c r="C590" s="5" t="s">
        <v>7764</v>
      </c>
      <c r="D590" s="1">
        <v>5</v>
      </c>
      <c r="E590" s="1">
        <v>12</v>
      </c>
      <c r="F590" s="1">
        <v>555</v>
      </c>
      <c r="G590" s="1">
        <v>555</v>
      </c>
      <c r="H590" s="13" cm="1">
        <f t="array" ref="H590">_xlfn.LET(_xlpm.s,IFERROR(--F590,""),_xlpm.e,IFERROR(--G590,""),IF(OR(_xlpm.s="",_xlpm.e="",_xlpm.e&lt;_xlpm.s),"",_xlfn.LET(_xlpm.p,_xlfn.SEQUENCE(_xlpm.e-_xlpm.s+1,1,_xlpm.s,1),SUM(1/COUNTIFS($D:$D,D590,$E:$E,E590,$F:$F,"&lt;&gt;N/A",$G:$G,"&lt;&gt;N/A",$F:$F,"&lt;="&amp;_xlpm.p,$G:$G,"&gt;="&amp;_xlpm.p)))))</f>
        <v>1</v>
      </c>
      <c r="I590" t="s">
        <v>1506</v>
      </c>
      <c r="J590" t="s">
        <v>10819</v>
      </c>
      <c r="K590" s="5" t="s">
        <v>7</v>
      </c>
      <c r="L590" t="s">
        <v>10820</v>
      </c>
      <c r="M590" t="s">
        <v>8222</v>
      </c>
      <c r="N590" s="5" t="s">
        <v>10827</v>
      </c>
      <c r="O590" t="s">
        <v>5072</v>
      </c>
      <c r="P590" s="5" t="s">
        <v>8021</v>
      </c>
      <c r="R590" s="1" t="b">
        <v>1</v>
      </c>
    </row>
    <row r="591" spans="1:18">
      <c r="A591" t="s">
        <v>3024</v>
      </c>
      <c r="B591" t="s">
        <v>11267</v>
      </c>
      <c r="C591" s="5" t="s">
        <v>7764</v>
      </c>
      <c r="D591" s="1">
        <v>5</v>
      </c>
      <c r="E591" s="1">
        <v>12</v>
      </c>
      <c r="F591" s="1">
        <v>556</v>
      </c>
      <c r="G591" s="1">
        <v>556</v>
      </c>
      <c r="H591" s="13" cm="1">
        <f t="array" ref="H591">_xlfn.LET(_xlpm.s,IFERROR(--F591,""),_xlpm.e,IFERROR(--G591,""),IF(OR(_xlpm.s="",_xlpm.e="",_xlpm.e&lt;_xlpm.s),"",_xlfn.LET(_xlpm.p,_xlfn.SEQUENCE(_xlpm.e-_xlpm.s+1,1,_xlpm.s,1),SUM(1/COUNTIFS($D:$D,D591,$E:$E,E591,$F:$F,"&lt;&gt;N/A",$G:$G,"&lt;&gt;N/A",$F:$F,"&lt;="&amp;_xlpm.p,$G:$G,"&gt;="&amp;_xlpm.p)))))</f>
        <v>0.5</v>
      </c>
      <c r="I591" t="s">
        <v>1506</v>
      </c>
      <c r="J591" t="s">
        <v>10821</v>
      </c>
      <c r="K591" s="5" t="s">
        <v>7</v>
      </c>
      <c r="L591" t="s">
        <v>10824</v>
      </c>
      <c r="M591" t="s">
        <v>8222</v>
      </c>
      <c r="N591" s="5" t="s">
        <v>10828</v>
      </c>
      <c r="O591" t="s">
        <v>5072</v>
      </c>
      <c r="P591" s="5" t="s">
        <v>8021</v>
      </c>
      <c r="R591" s="1" t="b">
        <v>1</v>
      </c>
    </row>
    <row r="592" spans="1:18">
      <c r="A592" t="s">
        <v>3024</v>
      </c>
      <c r="B592" t="s">
        <v>11268</v>
      </c>
      <c r="C592" s="5" t="s">
        <v>7764</v>
      </c>
      <c r="D592" s="1">
        <v>5</v>
      </c>
      <c r="E592" s="1">
        <v>12</v>
      </c>
      <c r="F592" s="1">
        <v>556</v>
      </c>
      <c r="G592" s="1">
        <v>556</v>
      </c>
      <c r="H592" s="13" cm="1">
        <f t="array" ref="H592">_xlfn.LET(_xlpm.s,IFERROR(--F592,""),_xlpm.e,IFERROR(--G592,""),IF(OR(_xlpm.s="",_xlpm.e="",_xlpm.e&lt;_xlpm.s),"",_xlfn.LET(_xlpm.p,_xlfn.SEQUENCE(_xlpm.e-_xlpm.s+1,1,_xlpm.s,1),SUM(1/COUNTIFS($D:$D,D592,$E:$E,E592,$F:$F,"&lt;&gt;N/A",$G:$G,"&lt;&gt;N/A",$F:$F,"&lt;="&amp;_xlpm.p,$G:$G,"&gt;="&amp;_xlpm.p)))))</f>
        <v>0.5</v>
      </c>
      <c r="I592" t="s">
        <v>1506</v>
      </c>
      <c r="J592" t="s">
        <v>10822</v>
      </c>
      <c r="K592" s="5" t="s">
        <v>7</v>
      </c>
      <c r="L592" t="s">
        <v>10823</v>
      </c>
      <c r="M592" t="s">
        <v>8222</v>
      </c>
      <c r="N592" s="5" t="s">
        <v>10829</v>
      </c>
      <c r="O592" s="5" t="s">
        <v>11522</v>
      </c>
      <c r="P592" s="5" t="s">
        <v>8021</v>
      </c>
      <c r="R592" s="1" t="b">
        <v>1</v>
      </c>
    </row>
    <row r="593" spans="1:18">
      <c r="A593" t="s">
        <v>3025</v>
      </c>
      <c r="B593" t="s">
        <v>11269</v>
      </c>
      <c r="C593" s="5" t="s">
        <v>7772</v>
      </c>
      <c r="D593" s="1">
        <v>6</v>
      </c>
      <c r="E593" s="1">
        <v>1</v>
      </c>
      <c r="F593" s="1">
        <v>1</v>
      </c>
      <c r="G593" s="1">
        <v>3</v>
      </c>
      <c r="H593" s="13" cm="1">
        <f t="array" ref="H593">_xlfn.LET(_xlpm.s,IFERROR(--F593,""),_xlpm.e,IFERROR(--G593,""),IF(OR(_xlpm.s="",_xlpm.e="",_xlpm.e&lt;_xlpm.s),"",_xlfn.LET(_xlpm.p,_xlfn.SEQUENCE(_xlpm.e-_xlpm.s+1,1,_xlpm.s,1),SUM(1/COUNTIFS($D:$D,D593,$E:$E,E593,$F:$F,"&lt;&gt;N/A",$G:$G,"&lt;&gt;N/A",$F:$F,"&lt;="&amp;_xlpm.p,$G:$G,"&gt;="&amp;_xlpm.p)))))</f>
        <v>2.5</v>
      </c>
      <c r="I593" t="s">
        <v>7</v>
      </c>
      <c r="J593" s="5" t="s">
        <v>1586</v>
      </c>
      <c r="K593" s="5" t="s">
        <v>1280</v>
      </c>
      <c r="L593" s="5" t="s">
        <v>7</v>
      </c>
      <c r="M593" s="5" t="s">
        <v>7</v>
      </c>
      <c r="N593" s="5" t="s">
        <v>7</v>
      </c>
      <c r="O593" t="s">
        <v>778</v>
      </c>
      <c r="P593" t="s">
        <v>7834</v>
      </c>
      <c r="R593" s="1" t="b">
        <v>1</v>
      </c>
    </row>
    <row r="594" spans="1:18">
      <c r="A594" t="s">
        <v>3025</v>
      </c>
      <c r="B594" t="s">
        <v>11270</v>
      </c>
      <c r="C594" s="5" t="s">
        <v>7772</v>
      </c>
      <c r="D594" s="1">
        <v>6</v>
      </c>
      <c r="E594" s="1">
        <v>1</v>
      </c>
      <c r="F594" s="1">
        <v>3</v>
      </c>
      <c r="G594" s="1">
        <v>8</v>
      </c>
      <c r="H594" s="13" cm="1">
        <f t="array" ref="H594">_xlfn.LET(_xlpm.s,IFERROR(--F594,""),_xlpm.e,IFERROR(--G594,""),IF(OR(_xlpm.s="",_xlpm.e="",_xlpm.e&lt;_xlpm.s),"",_xlfn.LET(_xlpm.p,_xlfn.SEQUENCE(_xlpm.e-_xlpm.s+1,1,_xlpm.s,1),SUM(1/COUNTIFS($D:$D,D594,$E:$E,E594,$F:$F,"&lt;&gt;N/A",$G:$G,"&lt;&gt;N/A",$F:$F,"&lt;="&amp;_xlpm.p,$G:$G,"&gt;="&amp;_xlpm.p)))))</f>
        <v>5.5</v>
      </c>
      <c r="I594" t="s">
        <v>7</v>
      </c>
      <c r="J594" s="5" t="s">
        <v>1587</v>
      </c>
      <c r="K594" s="5" t="s">
        <v>1511</v>
      </c>
      <c r="L594" s="5" t="s">
        <v>7</v>
      </c>
      <c r="M594" s="5" t="s">
        <v>7</v>
      </c>
      <c r="N594" s="5" t="s">
        <v>7</v>
      </c>
      <c r="O594" t="s">
        <v>778</v>
      </c>
      <c r="P594" t="s">
        <v>7834</v>
      </c>
      <c r="R594" s="1" t="b">
        <v>1</v>
      </c>
    </row>
    <row r="595" spans="1:18">
      <c r="A595" t="s">
        <v>3025</v>
      </c>
      <c r="B595" t="s">
        <v>11271</v>
      </c>
      <c r="C595" s="5" t="s">
        <v>7772</v>
      </c>
      <c r="D595" s="1">
        <v>6</v>
      </c>
      <c r="E595" s="1">
        <v>1</v>
      </c>
      <c r="F595" s="1">
        <v>9</v>
      </c>
      <c r="G595" s="1">
        <v>12</v>
      </c>
      <c r="H595" s="13" cm="1">
        <f t="array" ref="H595">_xlfn.LET(_xlpm.s,IFERROR(--F595,""),_xlpm.e,IFERROR(--G595,""),IF(OR(_xlpm.s="",_xlpm.e="",_xlpm.e&lt;_xlpm.s),"",_xlfn.LET(_xlpm.p,_xlfn.SEQUENCE(_xlpm.e-_xlpm.s+1,1,_xlpm.s,1),SUM(1/COUNTIFS($D:$D,D595,$E:$E,E595,$F:$F,"&lt;&gt;N/A",$G:$G,"&lt;&gt;N/A",$F:$F,"&lt;="&amp;_xlpm.p,$G:$G,"&gt;="&amp;_xlpm.p)))))</f>
        <v>3.5</v>
      </c>
      <c r="I595" t="s">
        <v>7</v>
      </c>
      <c r="J595" s="5" t="s">
        <v>1588</v>
      </c>
      <c r="K595" s="5" t="s">
        <v>1589</v>
      </c>
      <c r="L595" s="5" t="s">
        <v>7</v>
      </c>
      <c r="M595" s="5" t="s">
        <v>7</v>
      </c>
      <c r="N595" s="5" t="s">
        <v>7</v>
      </c>
      <c r="O595" t="s">
        <v>778</v>
      </c>
      <c r="P595" t="s">
        <v>7834</v>
      </c>
      <c r="R595" s="1" t="b">
        <v>1</v>
      </c>
    </row>
    <row r="596" spans="1:18">
      <c r="A596" t="s">
        <v>3025</v>
      </c>
      <c r="B596" t="s">
        <v>11272</v>
      </c>
      <c r="C596" s="5" t="s">
        <v>7772</v>
      </c>
      <c r="D596" s="1">
        <v>6</v>
      </c>
      <c r="E596" s="1">
        <v>1</v>
      </c>
      <c r="F596" s="1">
        <v>12</v>
      </c>
      <c r="G596" s="1">
        <v>24</v>
      </c>
      <c r="H596" s="13" cm="1">
        <f t="array" ref="H596">_xlfn.LET(_xlpm.s,IFERROR(--F596,""),_xlpm.e,IFERROR(--G596,""),IF(OR(_xlpm.s="",_xlpm.e="",_xlpm.e&lt;_xlpm.s),"",_xlfn.LET(_xlpm.p,_xlfn.SEQUENCE(_xlpm.e-_xlpm.s+1,1,_xlpm.s,1),SUM(1/COUNTIFS($D:$D,D596,$E:$E,E596,$F:$F,"&lt;&gt;N/A",$G:$G,"&lt;&gt;N/A",$F:$F,"&lt;="&amp;_xlpm.p,$G:$G,"&gt;="&amp;_xlpm.p)))))</f>
        <v>12</v>
      </c>
      <c r="I596" t="s">
        <v>7</v>
      </c>
      <c r="J596" s="5" t="s">
        <v>1590</v>
      </c>
      <c r="K596" s="5" t="s">
        <v>1557</v>
      </c>
      <c r="L596" s="5" t="s">
        <v>7</v>
      </c>
      <c r="M596" s="5" t="s">
        <v>7</v>
      </c>
      <c r="N596" s="5" t="s">
        <v>7</v>
      </c>
      <c r="O596" s="5" t="s">
        <v>7</v>
      </c>
      <c r="P596" s="5" t="s">
        <v>10158</v>
      </c>
      <c r="Q596" s="5" t="s">
        <v>2681</v>
      </c>
      <c r="R596" s="1" t="b">
        <v>1</v>
      </c>
    </row>
    <row r="597" spans="1:18">
      <c r="A597" t="s">
        <v>3025</v>
      </c>
      <c r="B597" t="s">
        <v>11273</v>
      </c>
      <c r="C597" s="5" t="s">
        <v>7772</v>
      </c>
      <c r="D597" s="1">
        <v>6</v>
      </c>
      <c r="E597" s="1">
        <v>1</v>
      </c>
      <c r="F597" s="1">
        <v>24</v>
      </c>
      <c r="G597" s="1">
        <v>25</v>
      </c>
      <c r="H597" s="13" cm="1">
        <f t="array" ref="H597">_xlfn.LET(_xlpm.s,IFERROR(--F597,""),_xlpm.e,IFERROR(--G597,""),IF(OR(_xlpm.s="",_xlpm.e="",_xlpm.e&lt;_xlpm.s),"",_xlfn.LET(_xlpm.p,_xlfn.SEQUENCE(_xlpm.e-_xlpm.s+1,1,_xlpm.s,1),SUM(1/COUNTIFS($D:$D,D597,$E:$E,E597,$F:$F,"&lt;&gt;N/A",$G:$G,"&lt;&gt;N/A",$F:$F,"&lt;="&amp;_xlpm.p,$G:$G,"&gt;="&amp;_xlpm.p)))))</f>
        <v>1</v>
      </c>
      <c r="I597" t="s">
        <v>1350</v>
      </c>
      <c r="J597" s="5" t="s">
        <v>1591</v>
      </c>
      <c r="K597" s="5" t="s">
        <v>7</v>
      </c>
      <c r="L597" s="5" t="s">
        <v>7</v>
      </c>
      <c r="M597" s="5" t="s">
        <v>7</v>
      </c>
      <c r="N597" s="5" t="s">
        <v>7</v>
      </c>
      <c r="O597" t="s">
        <v>778</v>
      </c>
      <c r="P597" t="s">
        <v>7834</v>
      </c>
      <c r="R597" s="1" t="b">
        <v>0</v>
      </c>
    </row>
    <row r="598" spans="1:18">
      <c r="A598" t="s">
        <v>3025</v>
      </c>
      <c r="B598" t="s">
        <v>11274</v>
      </c>
      <c r="C598" s="5" t="s">
        <v>7772</v>
      </c>
      <c r="D598" s="1">
        <v>6</v>
      </c>
      <c r="E598" s="1">
        <v>1</v>
      </c>
      <c r="F598" s="1">
        <v>25</v>
      </c>
      <c r="G598" s="1">
        <v>27</v>
      </c>
      <c r="H598" s="13" cm="1">
        <f t="array" ref="H598">_xlfn.LET(_xlpm.s,IFERROR(--F598,""),_xlpm.e,IFERROR(--G598,""),IF(OR(_xlpm.s="",_xlpm.e="",_xlpm.e&lt;_xlpm.s),"",_xlfn.LET(_xlpm.p,_xlfn.SEQUENCE(_xlpm.e-_xlpm.s+1,1,_xlpm.s,1),SUM(1/COUNTIFS($D:$D,D598,$E:$E,E598,$F:$F,"&lt;&gt;N/A",$G:$G,"&lt;&gt;N/A",$F:$F,"&lt;="&amp;_xlpm.p,$G:$G,"&gt;="&amp;_xlpm.p)))))</f>
        <v>2.5</v>
      </c>
      <c r="I598" t="s">
        <v>1350</v>
      </c>
      <c r="J598" s="5" t="s">
        <v>1592</v>
      </c>
      <c r="K598" s="5" t="s">
        <v>7</v>
      </c>
      <c r="L598" s="5" t="s">
        <v>7</v>
      </c>
      <c r="M598" s="5" t="s">
        <v>7</v>
      </c>
      <c r="N598" s="5" t="s">
        <v>7</v>
      </c>
      <c r="O598" t="s">
        <v>778</v>
      </c>
      <c r="P598" t="s">
        <v>7834</v>
      </c>
      <c r="R598" s="1" t="b">
        <v>0</v>
      </c>
    </row>
    <row r="599" spans="1:18">
      <c r="A599" t="s">
        <v>3025</v>
      </c>
      <c r="B599" t="s">
        <v>11275</v>
      </c>
      <c r="C599" s="5" t="s">
        <v>7772</v>
      </c>
      <c r="D599" s="1">
        <v>6</v>
      </c>
      <c r="E599" s="1">
        <v>1</v>
      </c>
      <c r="F599" s="1">
        <v>28</v>
      </c>
      <c r="G599" s="1">
        <v>45</v>
      </c>
      <c r="H599" s="13" cm="1">
        <f t="array" ref="H599">_xlfn.LET(_xlpm.s,IFERROR(--F599,""),_xlpm.e,IFERROR(--G599,""),IF(OR(_xlpm.s="",_xlpm.e="",_xlpm.e&lt;_xlpm.s),"",_xlfn.LET(_xlpm.p,_xlfn.SEQUENCE(_xlpm.e-_xlpm.s+1,1,_xlpm.s,1),SUM(1/COUNTIFS($D:$D,D599,$E:$E,E599,$F:$F,"&lt;&gt;N/A",$G:$G,"&lt;&gt;N/A",$F:$F,"&lt;="&amp;_xlpm.p,$G:$G,"&gt;="&amp;_xlpm.p)))))</f>
        <v>17.5</v>
      </c>
      <c r="I599" t="s">
        <v>1506</v>
      </c>
      <c r="J599" s="5" t="s">
        <v>7231</v>
      </c>
      <c r="K599" s="5" t="s">
        <v>1593</v>
      </c>
      <c r="L599" s="5" t="s">
        <v>7</v>
      </c>
      <c r="M599" s="5" t="s">
        <v>7</v>
      </c>
      <c r="N599" s="5" t="s">
        <v>7</v>
      </c>
      <c r="O599" t="s">
        <v>5072</v>
      </c>
      <c r="P599" t="s">
        <v>8021</v>
      </c>
      <c r="Q599" s="5" t="s">
        <v>2509</v>
      </c>
      <c r="R599" s="1" t="b">
        <v>1</v>
      </c>
    </row>
    <row r="600" spans="1:18">
      <c r="A600" t="s">
        <v>3025</v>
      </c>
      <c r="B600" t="s">
        <v>11276</v>
      </c>
      <c r="C600" s="5" t="s">
        <v>7772</v>
      </c>
      <c r="D600" s="1">
        <v>6</v>
      </c>
      <c r="E600" s="1">
        <v>1</v>
      </c>
      <c r="F600" s="1">
        <v>45</v>
      </c>
      <c r="G600" s="1">
        <v>46</v>
      </c>
      <c r="H600" s="13" cm="1">
        <f t="array" ref="H600">_xlfn.LET(_xlpm.s,IFERROR(--F600,""),_xlpm.e,IFERROR(--G600,""),IF(OR(_xlpm.s="",_xlpm.e="",_xlpm.e&lt;_xlpm.s),"",_xlfn.LET(_xlpm.p,_xlfn.SEQUENCE(_xlpm.e-_xlpm.s+1,1,_xlpm.s,1),SUM(1/COUNTIFS($D:$D,D600,$E:$E,E600,$F:$F,"&lt;&gt;N/A",$G:$G,"&lt;&gt;N/A",$F:$F,"&lt;="&amp;_xlpm.p,$G:$G,"&gt;="&amp;_xlpm.p)))))</f>
        <v>1</v>
      </c>
      <c r="I600" t="s">
        <v>1506</v>
      </c>
      <c r="J600" s="5" t="s">
        <v>7522</v>
      </c>
      <c r="K600" s="5" t="s">
        <v>4946</v>
      </c>
      <c r="L600" s="5" t="s">
        <v>7673</v>
      </c>
      <c r="M600" s="5" t="s">
        <v>7</v>
      </c>
      <c r="N600" s="21" t="s">
        <v>10135</v>
      </c>
      <c r="O600" t="s">
        <v>11522</v>
      </c>
      <c r="P600" t="s">
        <v>8036</v>
      </c>
      <c r="R600" s="1" t="b">
        <v>1</v>
      </c>
    </row>
    <row r="601" spans="1:18">
      <c r="A601" t="s">
        <v>3025</v>
      </c>
      <c r="B601" t="s">
        <v>11277</v>
      </c>
      <c r="C601" s="5" t="s">
        <v>7772</v>
      </c>
      <c r="D601" s="1">
        <v>6</v>
      </c>
      <c r="E601" s="1">
        <v>1</v>
      </c>
      <c r="F601" s="1">
        <v>46</v>
      </c>
      <c r="G601" s="1">
        <v>47</v>
      </c>
      <c r="H601" s="13" cm="1">
        <f t="array" ref="H601">_xlfn.LET(_xlpm.s,IFERROR(--F601,""),_xlpm.e,IFERROR(--G601,""),IF(OR(_xlpm.s="",_xlpm.e="",_xlpm.e&lt;_xlpm.s),"",_xlfn.LET(_xlpm.p,_xlfn.SEQUENCE(_xlpm.e-_xlpm.s+1,1,_xlpm.s,1),SUM(1/COUNTIFS($D:$D,D601,$E:$E,E601,$F:$F,"&lt;&gt;N/A",$G:$G,"&lt;&gt;N/A",$F:$F,"&lt;="&amp;_xlpm.p,$G:$G,"&gt;="&amp;_xlpm.p)))))</f>
        <v>1</v>
      </c>
      <c r="I601" t="s">
        <v>1506</v>
      </c>
      <c r="J601" s="5" t="s">
        <v>1594</v>
      </c>
      <c r="K601" s="5" t="s">
        <v>7</v>
      </c>
      <c r="L601" s="5" t="s">
        <v>7</v>
      </c>
      <c r="M601" s="5" t="s">
        <v>7</v>
      </c>
      <c r="N601" t="s">
        <v>10830</v>
      </c>
      <c r="O601" t="s">
        <v>11522</v>
      </c>
      <c r="P601" t="s">
        <v>8021</v>
      </c>
      <c r="Q601" t="s">
        <v>7538</v>
      </c>
      <c r="R601" s="1" t="b">
        <v>1</v>
      </c>
    </row>
    <row r="602" spans="1:18">
      <c r="A602" t="s">
        <v>3025</v>
      </c>
      <c r="B602" t="s">
        <v>11278</v>
      </c>
      <c r="C602" s="5" t="s">
        <v>7772</v>
      </c>
      <c r="D602" s="1">
        <v>6</v>
      </c>
      <c r="E602" s="1">
        <v>1</v>
      </c>
      <c r="F602" s="1">
        <v>47</v>
      </c>
      <c r="G602" s="1">
        <v>47</v>
      </c>
      <c r="H602" s="13" cm="1">
        <f t="array" ref="H602">_xlfn.LET(_xlpm.s,IFERROR(--F602,""),_xlpm.e,IFERROR(--G602,""),IF(OR(_xlpm.s="",_xlpm.e="",_xlpm.e&lt;_xlpm.s),"",_xlfn.LET(_xlpm.p,_xlfn.SEQUENCE(_xlpm.e-_xlpm.s+1,1,_xlpm.s,1),SUM(1/COUNTIFS($D:$D,D602,$E:$E,E602,$F:$F,"&lt;&gt;N/A",$G:$G,"&lt;&gt;N/A",$F:$F,"&lt;="&amp;_xlpm.p,$G:$G,"&gt;="&amp;_xlpm.p)))))</f>
        <v>0.5</v>
      </c>
      <c r="I602" t="s">
        <v>1506</v>
      </c>
      <c r="J602" s="5" t="s">
        <v>7627</v>
      </c>
      <c r="K602" s="5" t="s">
        <v>4947</v>
      </c>
      <c r="L602" s="5" t="s">
        <v>4948</v>
      </c>
      <c r="M602" t="s">
        <v>7475</v>
      </c>
      <c r="N602" s="5" t="s">
        <v>7628</v>
      </c>
      <c r="O602" t="s">
        <v>5072</v>
      </c>
      <c r="P602" t="s">
        <v>8021</v>
      </c>
      <c r="R602" s="1" t="b">
        <v>1</v>
      </c>
    </row>
    <row r="603" spans="1:18">
      <c r="A603" t="s">
        <v>3025</v>
      </c>
      <c r="B603" t="s">
        <v>11279</v>
      </c>
      <c r="C603" s="5" t="s">
        <v>7772</v>
      </c>
      <c r="D603" s="1">
        <v>6</v>
      </c>
      <c r="E603" s="1">
        <v>1</v>
      </c>
      <c r="F603" s="1">
        <v>48</v>
      </c>
      <c r="G603" s="1">
        <v>48</v>
      </c>
      <c r="H603" s="13" cm="1">
        <f t="array" ref="H603">_xlfn.LET(_xlpm.s,IFERROR(--F603,""),_xlpm.e,IFERROR(--G603,""),IF(OR(_xlpm.s="",_xlpm.e="",_xlpm.e&lt;_xlpm.s),"",_xlfn.LET(_xlpm.p,_xlfn.SEQUENCE(_xlpm.e-_xlpm.s+1,1,_xlpm.s,1),SUM(1/COUNTIFS($D:$D,D603,$E:$E,E603,$F:$F,"&lt;&gt;N/A",$G:$G,"&lt;&gt;N/A",$F:$F,"&lt;="&amp;_xlpm.p,$G:$G,"&gt;="&amp;_xlpm.p)))))</f>
        <v>0.5</v>
      </c>
      <c r="I603" t="s">
        <v>1506</v>
      </c>
      <c r="J603" s="5" t="s">
        <v>1595</v>
      </c>
      <c r="K603" s="5" t="s">
        <v>7</v>
      </c>
      <c r="L603" s="5" t="s">
        <v>4949</v>
      </c>
      <c r="M603" t="s">
        <v>7567</v>
      </c>
      <c r="N603" s="5" t="s">
        <v>7568</v>
      </c>
      <c r="O603" t="s">
        <v>5072</v>
      </c>
      <c r="P603" t="s">
        <v>10179</v>
      </c>
      <c r="R603" s="1" t="b">
        <v>1</v>
      </c>
    </row>
    <row r="604" spans="1:18">
      <c r="A604" t="s">
        <v>3025</v>
      </c>
      <c r="B604" t="s">
        <v>11280</v>
      </c>
      <c r="C604" s="5" t="s">
        <v>7772</v>
      </c>
      <c r="D604" s="1">
        <v>6</v>
      </c>
      <c r="E604" s="1">
        <v>1</v>
      </c>
      <c r="F604" s="1">
        <v>48</v>
      </c>
      <c r="G604" s="1">
        <v>48</v>
      </c>
      <c r="H604" s="13" cm="1">
        <f t="array" ref="H604">_xlfn.LET(_xlpm.s,IFERROR(--F604,""),_xlpm.e,IFERROR(--G604,""),IF(OR(_xlpm.s="",_xlpm.e="",_xlpm.e&lt;_xlpm.s),"",_xlfn.LET(_xlpm.p,_xlfn.SEQUENCE(_xlpm.e-_xlpm.s+1,1,_xlpm.s,1),SUM(1/COUNTIFS($D:$D,D604,$E:$E,E604,$F:$F,"&lt;&gt;N/A",$G:$G,"&lt;&gt;N/A",$F:$F,"&lt;="&amp;_xlpm.p,$G:$G,"&gt;="&amp;_xlpm.p)))))</f>
        <v>0.5</v>
      </c>
      <c r="I604" t="s">
        <v>1506</v>
      </c>
      <c r="J604" s="5" t="s">
        <v>7629</v>
      </c>
      <c r="K604" s="5" t="s">
        <v>7</v>
      </c>
      <c r="L604" s="5" t="s">
        <v>4950</v>
      </c>
      <c r="M604" t="s">
        <v>7475</v>
      </c>
      <c r="N604" s="5" t="s">
        <v>7630</v>
      </c>
      <c r="O604" t="s">
        <v>11522</v>
      </c>
      <c r="P604" t="s">
        <v>8021</v>
      </c>
      <c r="R604" s="1" t="b">
        <v>1</v>
      </c>
    </row>
    <row r="605" spans="1:18">
      <c r="A605" t="s">
        <v>3025</v>
      </c>
      <c r="B605" t="s">
        <v>11281</v>
      </c>
      <c r="C605" s="5" t="s">
        <v>7780</v>
      </c>
      <c r="D605" s="1">
        <v>6</v>
      </c>
      <c r="E605" s="1">
        <v>2</v>
      </c>
      <c r="F605" s="1">
        <v>49</v>
      </c>
      <c r="G605" s="1">
        <v>58</v>
      </c>
      <c r="H605" s="13" cm="1">
        <f t="array" ref="H605">_xlfn.LET(_xlpm.s,IFERROR(--F605,""),_xlpm.e,IFERROR(--G605,""),IF(OR(_xlpm.s="",_xlpm.e="",_xlpm.e&lt;_xlpm.s),"",_xlfn.LET(_xlpm.p,_xlfn.SEQUENCE(_xlpm.e-_xlpm.s+1,1,_xlpm.s,1),SUM(1/COUNTIFS($D:$D,D605,$E:$E,E605,$F:$F,"&lt;&gt;N/A",$G:$G,"&lt;&gt;N/A",$F:$F,"&lt;="&amp;_xlpm.p,$G:$G,"&gt;="&amp;_xlpm.p)))))</f>
        <v>9.5</v>
      </c>
      <c r="I605" t="s">
        <v>7</v>
      </c>
      <c r="J605" t="s">
        <v>1579</v>
      </c>
      <c r="K605" s="5" t="s">
        <v>1557</v>
      </c>
      <c r="L605" s="5" t="s">
        <v>7</v>
      </c>
      <c r="M605" s="5" t="s">
        <v>7</v>
      </c>
      <c r="N605" s="5" t="s">
        <v>7</v>
      </c>
      <c r="O605" s="5" t="s">
        <v>7</v>
      </c>
      <c r="P605" s="5" t="s">
        <v>10158</v>
      </c>
      <c r="Q605" s="5" t="s">
        <v>2681</v>
      </c>
      <c r="R605" s="1" t="b">
        <v>1</v>
      </c>
    </row>
    <row r="606" spans="1:18">
      <c r="A606" t="s">
        <v>3025</v>
      </c>
      <c r="B606" t="s">
        <v>11282</v>
      </c>
      <c r="C606" s="5" t="s">
        <v>7780</v>
      </c>
      <c r="D606" s="1">
        <v>6</v>
      </c>
      <c r="E606" s="1">
        <v>2</v>
      </c>
      <c r="F606" s="1">
        <v>58</v>
      </c>
      <c r="G606" s="1">
        <v>63</v>
      </c>
      <c r="H606" s="13" cm="1">
        <f t="array" ref="H606">_xlfn.LET(_xlpm.s,IFERROR(--F606,""),_xlpm.e,IFERROR(--G606,""),IF(OR(_xlpm.s="",_xlpm.e="",_xlpm.e&lt;_xlpm.s),"",_xlfn.LET(_xlpm.p,_xlfn.SEQUENCE(_xlpm.e-_xlpm.s+1,1,_xlpm.s,1),SUM(1/COUNTIFS($D:$D,D606,$E:$E,E606,$F:$F,"&lt;&gt;N/A",$G:$G,"&lt;&gt;N/A",$F:$F,"&lt;="&amp;_xlpm.p,$G:$G,"&gt;="&amp;_xlpm.p)))))</f>
        <v>5</v>
      </c>
      <c r="I606" t="s">
        <v>7</v>
      </c>
      <c r="J606" t="s">
        <v>1580</v>
      </c>
      <c r="K606" s="5" t="s">
        <v>1511</v>
      </c>
      <c r="L606" s="5" t="s">
        <v>7</v>
      </c>
      <c r="M606" s="5" t="s">
        <v>7</v>
      </c>
      <c r="N606" s="5" t="s">
        <v>7</v>
      </c>
      <c r="O606" t="s">
        <v>778</v>
      </c>
      <c r="P606" t="s">
        <v>7834</v>
      </c>
      <c r="R606" s="1" t="b">
        <v>1</v>
      </c>
    </row>
    <row r="607" spans="1:18">
      <c r="A607" t="s">
        <v>3025</v>
      </c>
      <c r="B607" t="s">
        <v>11283</v>
      </c>
      <c r="C607" s="5" t="s">
        <v>7780</v>
      </c>
      <c r="D607" s="1">
        <v>6</v>
      </c>
      <c r="E607" s="1">
        <v>2</v>
      </c>
      <c r="F607" s="1">
        <v>63</v>
      </c>
      <c r="G607" s="1">
        <v>66</v>
      </c>
      <c r="H607" s="13" cm="1">
        <f t="array" ref="H607">_xlfn.LET(_xlpm.s,IFERROR(--F607,""),_xlpm.e,IFERROR(--G607,""),IF(OR(_xlpm.s="",_xlpm.e="",_xlpm.e&lt;_xlpm.s),"",_xlfn.LET(_xlpm.p,_xlfn.SEQUENCE(_xlpm.e-_xlpm.s+1,1,_xlpm.s,1),SUM(1/COUNTIFS($D:$D,D607,$E:$E,E607,$F:$F,"&lt;&gt;N/A",$G:$G,"&lt;&gt;N/A",$F:$F,"&lt;="&amp;_xlpm.p,$G:$G,"&gt;="&amp;_xlpm.p)))))</f>
        <v>3.5</v>
      </c>
      <c r="I607" t="s">
        <v>7</v>
      </c>
      <c r="J607" s="5" t="s">
        <v>1581</v>
      </c>
      <c r="K607" s="5" t="s">
        <v>4951</v>
      </c>
      <c r="L607" s="5" t="s">
        <v>7</v>
      </c>
      <c r="M607" s="5" t="s">
        <v>7</v>
      </c>
      <c r="N607" s="5" t="s">
        <v>7</v>
      </c>
      <c r="O607" t="s">
        <v>778</v>
      </c>
      <c r="P607" t="s">
        <v>7834</v>
      </c>
      <c r="R607" s="1" t="b">
        <v>1</v>
      </c>
    </row>
    <row r="608" spans="1:18">
      <c r="A608" t="s">
        <v>3025</v>
      </c>
      <c r="B608" t="s">
        <v>11284</v>
      </c>
      <c r="C608" s="5" t="s">
        <v>7780</v>
      </c>
      <c r="D608" s="1">
        <v>6</v>
      </c>
      <c r="E608" s="1">
        <v>2</v>
      </c>
      <c r="F608" s="1">
        <v>67</v>
      </c>
      <c r="G608" s="1">
        <v>76</v>
      </c>
      <c r="H608" s="13" cm="1">
        <f t="array" ref="H608">_xlfn.LET(_xlpm.s,IFERROR(--F608,""),_xlpm.e,IFERROR(--G608,""),IF(OR(_xlpm.s="",_xlpm.e="",_xlpm.e&lt;_xlpm.s),"",_xlfn.LET(_xlpm.p,_xlfn.SEQUENCE(_xlpm.e-_xlpm.s+1,1,_xlpm.s,1),SUM(1/COUNTIFS($D:$D,D608,$E:$E,E608,$F:$F,"&lt;&gt;N/A",$G:$G,"&lt;&gt;N/A",$F:$F,"&lt;="&amp;_xlpm.p,$G:$G,"&gt;="&amp;_xlpm.p)))))</f>
        <v>9.5</v>
      </c>
      <c r="I608" t="s">
        <v>7</v>
      </c>
      <c r="J608" s="5" t="s">
        <v>1582</v>
      </c>
      <c r="K608" s="5" t="s">
        <v>11509</v>
      </c>
      <c r="L608" s="5" t="s">
        <v>7</v>
      </c>
      <c r="M608" s="5" t="s">
        <v>7</v>
      </c>
      <c r="N608" s="5" t="s">
        <v>7</v>
      </c>
      <c r="O608" t="s">
        <v>778</v>
      </c>
      <c r="P608" t="s">
        <v>7834</v>
      </c>
      <c r="R608" s="1" t="b">
        <v>1</v>
      </c>
    </row>
    <row r="609" spans="1:18">
      <c r="A609" t="s">
        <v>3025</v>
      </c>
      <c r="B609" t="s">
        <v>11285</v>
      </c>
      <c r="C609" s="5" t="s">
        <v>7780</v>
      </c>
      <c r="D609" s="1">
        <v>6</v>
      </c>
      <c r="E609" s="1">
        <v>2</v>
      </c>
      <c r="F609" s="1">
        <v>76</v>
      </c>
      <c r="G609" s="1">
        <v>80</v>
      </c>
      <c r="H609" s="13" cm="1">
        <f t="array" ref="H609">_xlfn.LET(_xlpm.s,IFERROR(--F609,""),_xlpm.e,IFERROR(--G609,""),IF(OR(_xlpm.s="",_xlpm.e="",_xlpm.e&lt;_xlpm.s),"",_xlfn.LET(_xlpm.p,_xlfn.SEQUENCE(_xlpm.e-_xlpm.s+1,1,_xlpm.s,1),SUM(1/COUNTIFS($D:$D,D609,$E:$E,E609,$F:$F,"&lt;&gt;N/A",$G:$G,"&lt;&gt;N/A",$F:$F,"&lt;="&amp;_xlpm.p,$G:$G,"&gt;="&amp;_xlpm.p)))))</f>
        <v>4</v>
      </c>
      <c r="I609" t="s">
        <v>1350</v>
      </c>
      <c r="J609" s="5" t="s">
        <v>1583</v>
      </c>
      <c r="K609" s="5" t="s">
        <v>7</v>
      </c>
      <c r="L609" s="5" t="s">
        <v>7</v>
      </c>
      <c r="M609" s="5" t="s">
        <v>7</v>
      </c>
      <c r="N609" s="5" t="s">
        <v>7</v>
      </c>
      <c r="O609" t="s">
        <v>778</v>
      </c>
      <c r="P609" t="s">
        <v>7834</v>
      </c>
      <c r="R609" s="1" t="b">
        <v>0</v>
      </c>
    </row>
    <row r="610" spans="1:18">
      <c r="A610" t="s">
        <v>3025</v>
      </c>
      <c r="B610" t="s">
        <v>11286</v>
      </c>
      <c r="C610" s="5" t="s">
        <v>7780</v>
      </c>
      <c r="D610" s="1">
        <v>6</v>
      </c>
      <c r="E610" s="1">
        <v>2</v>
      </c>
      <c r="F610" s="1">
        <v>80</v>
      </c>
      <c r="G610" s="1">
        <v>85</v>
      </c>
      <c r="H610" s="13" cm="1">
        <f t="array" ref="H610">_xlfn.LET(_xlpm.s,IFERROR(--F610,""),_xlpm.e,IFERROR(--G610,""),IF(OR(_xlpm.s="",_xlpm.e="",_xlpm.e&lt;_xlpm.s),"",_xlfn.LET(_xlpm.p,_xlfn.SEQUENCE(_xlpm.e-_xlpm.s+1,1,_xlpm.s,1),SUM(1/COUNTIFS($D:$D,D610,$E:$E,E610,$F:$F,"&lt;&gt;N/A",$G:$G,"&lt;&gt;N/A",$F:$F,"&lt;="&amp;_xlpm.p,$G:$G,"&gt;="&amp;_xlpm.p)))))</f>
        <v>5</v>
      </c>
      <c r="I610" t="s">
        <v>1506</v>
      </c>
      <c r="J610" s="5" t="s">
        <v>7232</v>
      </c>
      <c r="K610" s="5" t="s">
        <v>4952</v>
      </c>
      <c r="L610" s="5" t="s">
        <v>4953</v>
      </c>
      <c r="M610" s="5" t="s">
        <v>7506</v>
      </c>
      <c r="N610" s="5" t="s">
        <v>7507</v>
      </c>
      <c r="O610" t="s">
        <v>5072</v>
      </c>
      <c r="P610" t="s">
        <v>8021</v>
      </c>
      <c r="Q610" s="5" t="s">
        <v>2509</v>
      </c>
      <c r="R610" s="1" t="b">
        <v>1</v>
      </c>
    </row>
    <row r="611" spans="1:18">
      <c r="A611" t="s">
        <v>3025</v>
      </c>
      <c r="B611" t="s">
        <v>11287</v>
      </c>
      <c r="C611" s="5" t="s">
        <v>7780</v>
      </c>
      <c r="D611" s="1">
        <v>6</v>
      </c>
      <c r="E611" s="1">
        <v>2</v>
      </c>
      <c r="F611" s="1">
        <v>85</v>
      </c>
      <c r="G611" s="1">
        <v>87</v>
      </c>
      <c r="H611" s="13" cm="1">
        <f t="array" ref="H611">_xlfn.LET(_xlpm.s,IFERROR(--F611,""),_xlpm.e,IFERROR(--G611,""),IF(OR(_xlpm.s="",_xlpm.e="",_xlpm.e&lt;_xlpm.s),"",_xlfn.LET(_xlpm.p,_xlfn.SEQUENCE(_xlpm.e-_xlpm.s+1,1,_xlpm.s,1),SUM(1/COUNTIFS($D:$D,D611,$E:$E,E611,$F:$F,"&lt;&gt;N/A",$G:$G,"&lt;&gt;N/A",$F:$F,"&lt;="&amp;_xlpm.p,$G:$G,"&gt;="&amp;_xlpm.p)))))</f>
        <v>2.5</v>
      </c>
      <c r="I611" t="s">
        <v>1506</v>
      </c>
      <c r="J611" s="5" t="s">
        <v>7583</v>
      </c>
      <c r="K611" s="5" t="s">
        <v>7</v>
      </c>
      <c r="L611" s="5" t="s">
        <v>4954</v>
      </c>
      <c r="M611" s="5" t="s">
        <v>7</v>
      </c>
      <c r="N611" s="5" t="s">
        <v>7</v>
      </c>
      <c r="O611" t="s">
        <v>11522</v>
      </c>
      <c r="P611" t="s">
        <v>10179</v>
      </c>
      <c r="Q611" s="5" t="s">
        <v>10172</v>
      </c>
      <c r="R611" s="1" t="b">
        <v>1</v>
      </c>
    </row>
    <row r="612" spans="1:18">
      <c r="A612" t="s">
        <v>3025</v>
      </c>
      <c r="B612" t="s">
        <v>11288</v>
      </c>
      <c r="C612" s="5" t="s">
        <v>7780</v>
      </c>
      <c r="D612" s="1">
        <v>6</v>
      </c>
      <c r="E612" s="1">
        <v>2</v>
      </c>
      <c r="F612" s="1">
        <v>88</v>
      </c>
      <c r="G612" s="1">
        <v>90</v>
      </c>
      <c r="H612" s="13" cm="1">
        <f t="array" ref="H612">_xlfn.LET(_xlpm.s,IFERROR(--F612,""),_xlpm.e,IFERROR(--G612,""),IF(OR(_xlpm.s="",_xlpm.e="",_xlpm.e&lt;_xlpm.s),"",_xlfn.LET(_xlpm.p,_xlfn.SEQUENCE(_xlpm.e-_xlpm.s+1,1,_xlpm.s,1),SUM(1/COUNTIFS($D:$D,D612,$E:$E,E612,$F:$F,"&lt;&gt;N/A",$G:$G,"&lt;&gt;N/A",$F:$F,"&lt;="&amp;_xlpm.p,$G:$G,"&gt;="&amp;_xlpm.p)))))</f>
        <v>3</v>
      </c>
      <c r="I612" t="s">
        <v>1506</v>
      </c>
      <c r="J612" s="5" t="s">
        <v>7518</v>
      </c>
      <c r="K612" s="5" t="s">
        <v>1584</v>
      </c>
      <c r="L612" s="5" t="s">
        <v>4955</v>
      </c>
      <c r="M612" s="5" t="s">
        <v>7</v>
      </c>
      <c r="N612" s="5" t="s">
        <v>7</v>
      </c>
      <c r="O612" s="5" t="s">
        <v>10264</v>
      </c>
      <c r="P612" s="5" t="s">
        <v>8020</v>
      </c>
      <c r="R612" s="1" t="b">
        <v>1</v>
      </c>
    </row>
    <row r="613" spans="1:18">
      <c r="A613" t="s">
        <v>3025</v>
      </c>
      <c r="B613" t="s">
        <v>11289</v>
      </c>
      <c r="C613" s="5" t="s">
        <v>7780</v>
      </c>
      <c r="D613" s="1">
        <v>6</v>
      </c>
      <c r="E613" s="1">
        <v>2</v>
      </c>
      <c r="F613" s="1">
        <v>91</v>
      </c>
      <c r="G613" s="1">
        <v>91</v>
      </c>
      <c r="H613" s="13" cm="1">
        <f t="array" ref="H613">_xlfn.LET(_xlpm.s,IFERROR(--F613,""),_xlpm.e,IFERROR(--G613,""),IF(OR(_xlpm.s="",_xlpm.e="",_xlpm.e&lt;_xlpm.s),"",_xlfn.LET(_xlpm.p,_xlfn.SEQUENCE(_xlpm.e-_xlpm.s+1,1,_xlpm.s,1),SUM(1/COUNTIFS($D:$D,D613,$E:$E,E613,$F:$F,"&lt;&gt;N/A",$G:$G,"&lt;&gt;N/A",$F:$F,"&lt;="&amp;_xlpm.p,$G:$G,"&gt;="&amp;_xlpm.p)))))</f>
        <v>1</v>
      </c>
      <c r="I613" t="s">
        <v>1506</v>
      </c>
      <c r="J613" s="5" t="s">
        <v>7233</v>
      </c>
      <c r="K613" s="5" t="s">
        <v>7</v>
      </c>
      <c r="L613" s="5" t="s">
        <v>4956</v>
      </c>
      <c r="M613" t="s">
        <v>7475</v>
      </c>
      <c r="N613" s="5" t="s">
        <v>7624</v>
      </c>
      <c r="O613" t="s">
        <v>5072</v>
      </c>
      <c r="P613" t="s">
        <v>8021</v>
      </c>
      <c r="Q613" s="5" t="s">
        <v>2509</v>
      </c>
      <c r="R613" s="1" t="b">
        <v>1</v>
      </c>
    </row>
    <row r="614" spans="1:18">
      <c r="A614" t="s">
        <v>3025</v>
      </c>
      <c r="B614" t="s">
        <v>11290</v>
      </c>
      <c r="C614" s="5" t="s">
        <v>7780</v>
      </c>
      <c r="D614" s="1">
        <v>6</v>
      </c>
      <c r="E614" s="1">
        <v>2</v>
      </c>
      <c r="F614" s="1">
        <v>92</v>
      </c>
      <c r="G614" s="1">
        <v>94</v>
      </c>
      <c r="H614" s="13" cm="1">
        <f t="array" ref="H614">_xlfn.LET(_xlpm.s,IFERROR(--F614,""),_xlpm.e,IFERROR(--G614,""),IF(OR(_xlpm.s="",_xlpm.e="",_xlpm.e&lt;_xlpm.s),"",_xlfn.LET(_xlpm.p,_xlfn.SEQUENCE(_xlpm.e-_xlpm.s+1,1,_xlpm.s,1),SUM(1/COUNTIFS($D:$D,D614,$E:$E,E614,$F:$F,"&lt;&gt;N/A",$G:$G,"&lt;&gt;N/A",$F:$F,"&lt;="&amp;_xlpm.p,$G:$G,"&gt;="&amp;_xlpm.p)))))</f>
        <v>3</v>
      </c>
      <c r="I614" t="s">
        <v>1506</v>
      </c>
      <c r="J614" s="5" t="s">
        <v>1585</v>
      </c>
      <c r="K614" s="5" t="s">
        <v>7</v>
      </c>
      <c r="L614" s="5" t="s">
        <v>7</v>
      </c>
      <c r="M614" s="5" t="s">
        <v>7</v>
      </c>
      <c r="N614" s="5" t="s">
        <v>7</v>
      </c>
      <c r="O614" t="s">
        <v>778</v>
      </c>
      <c r="P614" t="s">
        <v>7834</v>
      </c>
      <c r="R614" s="1" t="b">
        <v>1</v>
      </c>
    </row>
    <row r="615" spans="1:18">
      <c r="A615" t="s">
        <v>3025</v>
      </c>
      <c r="B615" t="s">
        <v>11291</v>
      </c>
      <c r="C615" s="5" t="s">
        <v>7780</v>
      </c>
      <c r="D615" s="1">
        <v>6</v>
      </c>
      <c r="E615" s="1">
        <v>2</v>
      </c>
      <c r="F615" s="1">
        <v>95</v>
      </c>
      <c r="G615" s="1">
        <v>96</v>
      </c>
      <c r="H615" s="13" cm="1">
        <f t="array" ref="H615">_xlfn.LET(_xlpm.s,IFERROR(--F615,""),_xlpm.e,IFERROR(--G615,""),IF(OR(_xlpm.s="",_xlpm.e="",_xlpm.e&lt;_xlpm.s),"",_xlfn.LET(_xlpm.p,_xlfn.SEQUENCE(_xlpm.e-_xlpm.s+1,1,_xlpm.s,1),SUM(1/COUNTIFS($D:$D,D615,$E:$E,E615,$F:$F,"&lt;&gt;N/A",$G:$G,"&lt;&gt;N/A",$F:$F,"&lt;="&amp;_xlpm.p,$G:$G,"&gt;="&amp;_xlpm.p)))))</f>
        <v>2</v>
      </c>
      <c r="I615" t="s">
        <v>1506</v>
      </c>
      <c r="J615" s="5" t="s">
        <v>1362</v>
      </c>
      <c r="K615" s="5" t="s">
        <v>7</v>
      </c>
      <c r="L615" s="5" t="s">
        <v>7</v>
      </c>
      <c r="M615" s="5" t="s">
        <v>7</v>
      </c>
      <c r="N615" s="5" t="s">
        <v>7</v>
      </c>
      <c r="O615" t="s">
        <v>778</v>
      </c>
      <c r="P615" t="s">
        <v>7834</v>
      </c>
      <c r="R615" s="1" t="b">
        <v>1</v>
      </c>
    </row>
    <row r="616" spans="1:18">
      <c r="A616" t="s">
        <v>3025</v>
      </c>
      <c r="B616" t="s">
        <v>11292</v>
      </c>
      <c r="C616" s="5" t="s">
        <v>7788</v>
      </c>
      <c r="D616" s="1">
        <v>6</v>
      </c>
      <c r="E616" s="1">
        <v>3</v>
      </c>
      <c r="F616" s="1">
        <v>97</v>
      </c>
      <c r="G616" s="1">
        <v>101</v>
      </c>
      <c r="H616" s="13" cm="1">
        <f t="array" ref="H616">_xlfn.LET(_xlpm.s,IFERROR(--F616,""),_xlpm.e,IFERROR(--G616,""),IF(OR(_xlpm.s="",_xlpm.e="",_xlpm.e&lt;_xlpm.s),"",_xlfn.LET(_xlpm.p,_xlfn.SEQUENCE(_xlpm.e-_xlpm.s+1,1,_xlpm.s,1),SUM(1/COUNTIFS($D:$D,D616,$E:$E,E616,$F:$F,"&lt;&gt;N/A",$G:$G,"&lt;&gt;N/A",$F:$F,"&lt;="&amp;_xlpm.p,$G:$G,"&gt;="&amp;_xlpm.p)))))</f>
        <v>4.5</v>
      </c>
      <c r="I616" t="s">
        <v>7</v>
      </c>
      <c r="J616" s="5" t="s">
        <v>1567</v>
      </c>
      <c r="K616" s="5" t="s">
        <v>4957</v>
      </c>
      <c r="L616" s="5" t="s">
        <v>7</v>
      </c>
      <c r="M616" s="5" t="s">
        <v>7</v>
      </c>
      <c r="N616" s="5" t="s">
        <v>7</v>
      </c>
      <c r="O616" t="s">
        <v>778</v>
      </c>
      <c r="P616" t="s">
        <v>7834</v>
      </c>
      <c r="R616" s="1" t="b">
        <v>1</v>
      </c>
    </row>
    <row r="617" spans="1:18">
      <c r="A617" t="s">
        <v>3025</v>
      </c>
      <c r="B617" t="s">
        <v>11293</v>
      </c>
      <c r="C617" s="5" t="s">
        <v>7788</v>
      </c>
      <c r="D617" s="1">
        <v>6</v>
      </c>
      <c r="E617" s="1">
        <v>3</v>
      </c>
      <c r="F617" s="1">
        <v>101</v>
      </c>
      <c r="G617" s="1">
        <v>103</v>
      </c>
      <c r="H617" s="13" cm="1">
        <f t="array" ref="H617">_xlfn.LET(_xlpm.s,IFERROR(--F617,""),_xlpm.e,IFERROR(--G617,""),IF(OR(_xlpm.s="",_xlpm.e="",_xlpm.e&lt;_xlpm.s),"",_xlfn.LET(_xlpm.p,_xlfn.SEQUENCE(_xlpm.e-_xlpm.s+1,1,_xlpm.s,1),SUM(1/COUNTIFS($D:$D,D617,$E:$E,E617,$F:$F,"&lt;&gt;N/A",$G:$G,"&lt;&gt;N/A",$F:$F,"&lt;="&amp;_xlpm.p,$G:$G,"&gt;="&amp;_xlpm.p)))))</f>
        <v>2</v>
      </c>
      <c r="I617" t="s">
        <v>7</v>
      </c>
      <c r="J617" s="5" t="s">
        <v>1568</v>
      </c>
      <c r="K617" s="5" t="s">
        <v>7</v>
      </c>
      <c r="L617" s="5" t="s">
        <v>7</v>
      </c>
      <c r="M617" s="5" t="s">
        <v>7</v>
      </c>
      <c r="N617" s="5" t="s">
        <v>7</v>
      </c>
      <c r="O617" t="s">
        <v>778</v>
      </c>
      <c r="P617" t="s">
        <v>7834</v>
      </c>
      <c r="R617" s="1" t="b">
        <v>1</v>
      </c>
    </row>
    <row r="618" spans="1:18">
      <c r="A618" t="s">
        <v>3025</v>
      </c>
      <c r="B618" t="s">
        <v>11294</v>
      </c>
      <c r="C618" s="5" t="s">
        <v>7788</v>
      </c>
      <c r="D618" s="1">
        <v>6</v>
      </c>
      <c r="E618" s="1">
        <v>3</v>
      </c>
      <c r="F618" s="1">
        <v>103</v>
      </c>
      <c r="G618" s="1">
        <v>104</v>
      </c>
      <c r="H618" s="13" cm="1">
        <f t="array" ref="H618">_xlfn.LET(_xlpm.s,IFERROR(--F618,""),_xlpm.e,IFERROR(--G618,""),IF(OR(_xlpm.s="",_xlpm.e="",_xlpm.e&lt;_xlpm.s),"",_xlfn.LET(_xlpm.p,_xlfn.SEQUENCE(_xlpm.e-_xlpm.s+1,1,_xlpm.s,1),SUM(1/COUNTIFS($D:$D,D618,$E:$E,E618,$F:$F,"&lt;&gt;N/A",$G:$G,"&lt;&gt;N/A",$F:$F,"&lt;="&amp;_xlpm.p,$G:$G,"&gt;="&amp;_xlpm.p)))))</f>
        <v>1</v>
      </c>
      <c r="I618" t="s">
        <v>7</v>
      </c>
      <c r="J618" s="5" t="s">
        <v>1569</v>
      </c>
      <c r="K618" s="5" t="s">
        <v>1570</v>
      </c>
      <c r="L618" s="5" t="s">
        <v>7</v>
      </c>
      <c r="M618" s="5" t="s">
        <v>7</v>
      </c>
      <c r="N618" s="5" t="s">
        <v>7</v>
      </c>
      <c r="O618" t="s">
        <v>778</v>
      </c>
      <c r="P618" t="s">
        <v>7834</v>
      </c>
      <c r="R618" s="1" t="b">
        <v>1</v>
      </c>
    </row>
    <row r="619" spans="1:18">
      <c r="A619" t="s">
        <v>3025</v>
      </c>
      <c r="B619" t="s">
        <v>11295</v>
      </c>
      <c r="C619" s="5" t="s">
        <v>7788</v>
      </c>
      <c r="D619" s="1">
        <v>6</v>
      </c>
      <c r="E619" s="1">
        <v>3</v>
      </c>
      <c r="F619" s="1">
        <v>104</v>
      </c>
      <c r="G619" s="1">
        <v>114</v>
      </c>
      <c r="H619" s="13" cm="1">
        <f t="array" ref="H619">_xlfn.LET(_xlpm.s,IFERROR(--F619,""),_xlpm.e,IFERROR(--G619,""),IF(OR(_xlpm.s="",_xlpm.e="",_xlpm.e&lt;_xlpm.s),"",_xlfn.LET(_xlpm.p,_xlfn.SEQUENCE(_xlpm.e-_xlpm.s+1,1,_xlpm.s,1),SUM(1/COUNTIFS($D:$D,D619,$E:$E,E619,$F:$F,"&lt;&gt;N/A",$G:$G,"&lt;&gt;N/A",$F:$F,"&lt;="&amp;_xlpm.p,$G:$G,"&gt;="&amp;_xlpm.p)))))</f>
        <v>10</v>
      </c>
      <c r="I619" t="s">
        <v>1519</v>
      </c>
      <c r="J619" s="5" t="s">
        <v>1520</v>
      </c>
      <c r="K619" s="5" t="s">
        <v>1280</v>
      </c>
      <c r="L619" s="5" t="s">
        <v>7</v>
      </c>
      <c r="M619" s="5" t="s">
        <v>7</v>
      </c>
      <c r="N619" s="5" t="s">
        <v>7</v>
      </c>
      <c r="O619" t="s">
        <v>778</v>
      </c>
      <c r="P619" t="s">
        <v>7834</v>
      </c>
      <c r="R619" s="1" t="b">
        <v>1</v>
      </c>
    </row>
    <row r="620" spans="1:18">
      <c r="A620" t="s">
        <v>3025</v>
      </c>
      <c r="B620" t="s">
        <v>11296</v>
      </c>
      <c r="C620" s="5" t="s">
        <v>7788</v>
      </c>
      <c r="D620" s="1">
        <v>6</v>
      </c>
      <c r="E620" s="1">
        <v>3</v>
      </c>
      <c r="F620" s="1">
        <v>114</v>
      </c>
      <c r="G620" s="1">
        <v>121</v>
      </c>
      <c r="H620" s="13" cm="1">
        <f t="array" ref="H620">_xlfn.LET(_xlpm.s,IFERROR(--F620,""),_xlpm.e,IFERROR(--G620,""),IF(OR(_xlpm.s="",_xlpm.e="",_xlpm.e&lt;_xlpm.s),"",_xlfn.LET(_xlpm.p,_xlfn.SEQUENCE(_xlpm.e-_xlpm.s+1,1,_xlpm.s,1),SUM(1/COUNTIFS($D:$D,D620,$E:$E,E620,$F:$F,"&lt;&gt;N/A",$G:$G,"&lt;&gt;N/A",$F:$F,"&lt;="&amp;_xlpm.p,$G:$G,"&gt;="&amp;_xlpm.p)))))</f>
        <v>7.5</v>
      </c>
      <c r="I620" t="s">
        <v>1350</v>
      </c>
      <c r="J620" s="5" t="s">
        <v>1571</v>
      </c>
      <c r="K620" s="5" t="s">
        <v>7</v>
      </c>
      <c r="L620" s="5" t="s">
        <v>7</v>
      </c>
      <c r="M620" s="5" t="s">
        <v>7</v>
      </c>
      <c r="N620" s="5" t="s">
        <v>7</v>
      </c>
      <c r="O620" t="s">
        <v>778</v>
      </c>
      <c r="P620" t="s">
        <v>7834</v>
      </c>
      <c r="R620" s="1" t="b">
        <v>0</v>
      </c>
    </row>
    <row r="621" spans="1:18">
      <c r="A621" t="s">
        <v>3025</v>
      </c>
      <c r="B621" t="s">
        <v>11297</v>
      </c>
      <c r="C621" s="5" t="s">
        <v>7788</v>
      </c>
      <c r="D621" s="1">
        <v>6</v>
      </c>
      <c r="E621" s="1">
        <v>3</v>
      </c>
      <c r="F621" s="1">
        <v>122</v>
      </c>
      <c r="G621" s="1">
        <v>124</v>
      </c>
      <c r="H621" s="13" cm="1">
        <f t="array" ref="H621">_xlfn.LET(_xlpm.s,IFERROR(--F621,""),_xlpm.e,IFERROR(--G621,""),IF(OR(_xlpm.s="",_xlpm.e="",_xlpm.e&lt;_xlpm.s),"",_xlfn.LET(_xlpm.p,_xlfn.SEQUENCE(_xlpm.e-_xlpm.s+1,1,_xlpm.s,1),SUM(1/COUNTIFS($D:$D,D621,$E:$E,E621,$F:$F,"&lt;&gt;N/A",$G:$G,"&lt;&gt;N/A",$F:$F,"&lt;="&amp;_xlpm.p,$G:$G,"&gt;="&amp;_xlpm.p)))))</f>
        <v>2.5</v>
      </c>
      <c r="I621" t="s">
        <v>1350</v>
      </c>
      <c r="J621" s="5" t="s">
        <v>1572</v>
      </c>
      <c r="K621" s="5" t="s">
        <v>2231</v>
      </c>
      <c r="L621" s="5" t="s">
        <v>4958</v>
      </c>
      <c r="M621" s="5" t="s">
        <v>7</v>
      </c>
      <c r="N621" s="5" t="s">
        <v>7</v>
      </c>
      <c r="O621" t="s">
        <v>778</v>
      </c>
      <c r="P621" t="s">
        <v>7834</v>
      </c>
      <c r="R621" s="1" t="b">
        <v>1</v>
      </c>
    </row>
    <row r="622" spans="1:18">
      <c r="A622" t="s">
        <v>3025</v>
      </c>
      <c r="B622" t="s">
        <v>11298</v>
      </c>
      <c r="C622" s="5" t="s">
        <v>7788</v>
      </c>
      <c r="D622" s="1">
        <v>6</v>
      </c>
      <c r="E622" s="1">
        <v>3</v>
      </c>
      <c r="F622" s="1">
        <v>124</v>
      </c>
      <c r="G622" s="1">
        <v>129</v>
      </c>
      <c r="H622" s="13" cm="1">
        <f t="array" ref="H622">_xlfn.LET(_xlpm.s,IFERROR(--F622,""),_xlpm.e,IFERROR(--G622,""),IF(OR(_xlpm.s="",_xlpm.e="",_xlpm.e&lt;_xlpm.s),"",_xlfn.LET(_xlpm.p,_xlfn.SEQUENCE(_xlpm.e-_xlpm.s+1,1,_xlpm.s,1),SUM(1/COUNTIFS($D:$D,D622,$E:$E,E622,$F:$F,"&lt;&gt;N/A",$G:$G,"&lt;&gt;N/A",$F:$F,"&lt;="&amp;_xlpm.p,$G:$G,"&gt;="&amp;_xlpm.p)))))</f>
        <v>5.5</v>
      </c>
      <c r="I622" t="s">
        <v>1506</v>
      </c>
      <c r="J622" s="5" t="s">
        <v>1573</v>
      </c>
      <c r="K622" s="5" t="s">
        <v>1574</v>
      </c>
      <c r="L622" s="5" t="s">
        <v>4959</v>
      </c>
      <c r="M622" s="5" t="s">
        <v>7</v>
      </c>
      <c r="N622" s="5" t="s">
        <v>7</v>
      </c>
      <c r="O622" s="5" t="s">
        <v>10264</v>
      </c>
      <c r="P622" s="5" t="s">
        <v>8020</v>
      </c>
      <c r="R622" s="1" t="b">
        <v>1</v>
      </c>
    </row>
    <row r="623" spans="1:18">
      <c r="A623" t="s">
        <v>3025</v>
      </c>
      <c r="B623" t="s">
        <v>11299</v>
      </c>
      <c r="C623" s="5" t="s">
        <v>7788</v>
      </c>
      <c r="D623" s="1">
        <v>6</v>
      </c>
      <c r="E623" s="1">
        <v>3</v>
      </c>
      <c r="F623" s="1">
        <v>130</v>
      </c>
      <c r="G623" s="1">
        <v>135</v>
      </c>
      <c r="H623" s="13" cm="1">
        <f t="array" ref="H623">_xlfn.LET(_xlpm.s,IFERROR(--F623,""),_xlpm.e,IFERROR(--G623,""),IF(OR(_xlpm.s="",_xlpm.e="",_xlpm.e&lt;_xlpm.s),"",_xlfn.LET(_xlpm.p,_xlfn.SEQUENCE(_xlpm.e-_xlpm.s+1,1,_xlpm.s,1),SUM(1/COUNTIFS($D:$D,D623,$E:$E,E623,$F:$F,"&lt;&gt;N/A",$G:$G,"&lt;&gt;N/A",$F:$F,"&lt;="&amp;_xlpm.p,$G:$G,"&gt;="&amp;_xlpm.p)))))</f>
        <v>5.5</v>
      </c>
      <c r="I623" t="s">
        <v>1506</v>
      </c>
      <c r="J623" s="5" t="s">
        <v>1575</v>
      </c>
      <c r="K623" s="5" t="s">
        <v>1576</v>
      </c>
      <c r="L623" s="5" t="s">
        <v>4960</v>
      </c>
      <c r="M623" t="s">
        <v>7497</v>
      </c>
      <c r="N623" s="5" t="s">
        <v>7656</v>
      </c>
      <c r="O623" t="s">
        <v>5072</v>
      </c>
      <c r="P623" t="s">
        <v>8092</v>
      </c>
      <c r="Q623" s="5" t="s">
        <v>11531</v>
      </c>
      <c r="R623" s="1" t="b">
        <v>1</v>
      </c>
    </row>
    <row r="624" spans="1:18">
      <c r="A624" t="s">
        <v>3025</v>
      </c>
      <c r="B624" t="s">
        <v>11300</v>
      </c>
      <c r="C624" s="5" t="s">
        <v>7788</v>
      </c>
      <c r="D624" s="1">
        <v>6</v>
      </c>
      <c r="E624" s="1">
        <v>3</v>
      </c>
      <c r="F624" s="1">
        <v>135</v>
      </c>
      <c r="G624" s="1">
        <v>136</v>
      </c>
      <c r="H624" s="13" cm="1">
        <f t="array" ref="H624">_xlfn.LET(_xlpm.s,IFERROR(--F624,""),_xlpm.e,IFERROR(--G624,""),IF(OR(_xlpm.s="",_xlpm.e="",_xlpm.e&lt;_xlpm.s),"",_xlfn.LET(_xlpm.p,_xlfn.SEQUENCE(_xlpm.e-_xlpm.s+1,1,_xlpm.s,1),SUM(1/COUNTIFS($D:$D,D624,$E:$E,E624,$F:$F,"&lt;&gt;N/A",$G:$G,"&lt;&gt;N/A",$F:$F,"&lt;="&amp;_xlpm.p,$G:$G,"&gt;="&amp;_xlpm.p)))))</f>
        <v>1.5</v>
      </c>
      <c r="I624" t="s">
        <v>1506</v>
      </c>
      <c r="J624" s="5" t="s">
        <v>1577</v>
      </c>
      <c r="K624" s="5" t="s">
        <v>7</v>
      </c>
      <c r="L624" s="5" t="s">
        <v>4961</v>
      </c>
      <c r="M624" t="s">
        <v>7478</v>
      </c>
      <c r="N624" s="5" t="s">
        <v>7670</v>
      </c>
      <c r="O624" t="s">
        <v>5072</v>
      </c>
      <c r="P624" t="s">
        <v>8021</v>
      </c>
      <c r="R624" s="1" t="b">
        <v>1</v>
      </c>
    </row>
    <row r="625" spans="1:18">
      <c r="A625" t="s">
        <v>3025</v>
      </c>
      <c r="B625" t="s">
        <v>11301</v>
      </c>
      <c r="C625" s="5" t="s">
        <v>7788</v>
      </c>
      <c r="D625" s="1">
        <v>6</v>
      </c>
      <c r="E625" s="1">
        <v>3</v>
      </c>
      <c r="F625" s="1">
        <v>137</v>
      </c>
      <c r="G625" s="1">
        <v>138</v>
      </c>
      <c r="H625" s="13" cm="1">
        <f t="array" ref="H625">_xlfn.LET(_xlpm.s,IFERROR(--F625,""),_xlpm.e,IFERROR(--G625,""),IF(OR(_xlpm.s="",_xlpm.e="",_xlpm.e&lt;_xlpm.s),"",_xlfn.LET(_xlpm.p,_xlfn.SEQUENCE(_xlpm.e-_xlpm.s+1,1,_xlpm.s,1),SUM(1/COUNTIFS($D:$D,D625,$E:$E,E625,$F:$F,"&lt;&gt;N/A",$G:$G,"&lt;&gt;N/A",$F:$F,"&lt;="&amp;_xlpm.p,$G:$G,"&gt;="&amp;_xlpm.p)))))</f>
        <v>2</v>
      </c>
      <c r="I625" t="s">
        <v>1506</v>
      </c>
      <c r="J625" s="5" t="s">
        <v>7601</v>
      </c>
      <c r="K625" s="5" t="s">
        <v>7</v>
      </c>
      <c r="L625" s="5" t="s">
        <v>4962</v>
      </c>
      <c r="M625" s="5" t="s">
        <v>7</v>
      </c>
      <c r="N625" s="5" t="s">
        <v>7</v>
      </c>
      <c r="O625" t="s">
        <v>5072</v>
      </c>
      <c r="P625" t="s">
        <v>8036</v>
      </c>
      <c r="R625" s="1" t="b">
        <v>1</v>
      </c>
    </row>
    <row r="626" spans="1:18">
      <c r="A626" t="s">
        <v>3025</v>
      </c>
      <c r="B626" t="s">
        <v>11302</v>
      </c>
      <c r="C626" s="5" t="s">
        <v>7788</v>
      </c>
      <c r="D626" s="1">
        <v>6</v>
      </c>
      <c r="E626" s="1">
        <v>3</v>
      </c>
      <c r="F626" s="1">
        <v>139</v>
      </c>
      <c r="G626" s="1">
        <v>141</v>
      </c>
      <c r="H626" s="13" cm="1">
        <f t="array" ref="H626">_xlfn.LET(_xlpm.s,IFERROR(--F626,""),_xlpm.e,IFERROR(--G626,""),IF(OR(_xlpm.s="",_xlpm.e="",_xlpm.e&lt;_xlpm.s),"",_xlfn.LET(_xlpm.p,_xlfn.SEQUENCE(_xlpm.e-_xlpm.s+1,1,_xlpm.s,1),SUM(1/COUNTIFS($D:$D,D626,$E:$E,E626,$F:$F,"&lt;&gt;N/A",$G:$G,"&lt;&gt;N/A",$F:$F,"&lt;="&amp;_xlpm.p,$G:$G,"&gt;="&amp;_xlpm.p)))))</f>
        <v>2.5</v>
      </c>
      <c r="I626" t="s">
        <v>1506</v>
      </c>
      <c r="J626" s="5" t="s">
        <v>7625</v>
      </c>
      <c r="K626" s="5" t="s">
        <v>4963</v>
      </c>
      <c r="L626" s="5" t="s">
        <v>4964</v>
      </c>
      <c r="M626" t="s">
        <v>7475</v>
      </c>
      <c r="N626" s="5" t="s">
        <v>7626</v>
      </c>
      <c r="O626" t="s">
        <v>5072</v>
      </c>
      <c r="P626" t="s">
        <v>8021</v>
      </c>
      <c r="Q626" s="5" t="s">
        <v>2509</v>
      </c>
      <c r="R626" s="1" t="b">
        <v>1</v>
      </c>
    </row>
    <row r="627" spans="1:18">
      <c r="A627" t="s">
        <v>3025</v>
      </c>
      <c r="B627" t="s">
        <v>11303</v>
      </c>
      <c r="C627" s="5" t="s">
        <v>7788</v>
      </c>
      <c r="D627" s="1">
        <v>6</v>
      </c>
      <c r="E627" s="1">
        <v>3</v>
      </c>
      <c r="F627" s="1">
        <v>141</v>
      </c>
      <c r="G627" s="1">
        <v>141</v>
      </c>
      <c r="H627" s="13" cm="1">
        <f t="array" ref="H627">_xlfn.LET(_xlpm.s,IFERROR(--F627,""),_xlpm.e,IFERROR(--G627,""),IF(OR(_xlpm.s="",_xlpm.e="",_xlpm.e&lt;_xlpm.s),"",_xlfn.LET(_xlpm.p,_xlfn.SEQUENCE(_xlpm.e-_xlpm.s+1,1,_xlpm.s,1),SUM(1/COUNTIFS($D:$D,D627,$E:$E,E627,$F:$F,"&lt;&gt;N/A",$G:$G,"&lt;&gt;N/A",$F:$F,"&lt;="&amp;_xlpm.p,$G:$G,"&gt;="&amp;_xlpm.p)))))</f>
        <v>0.5</v>
      </c>
      <c r="I627" t="s">
        <v>1506</v>
      </c>
      <c r="J627" s="5" t="s">
        <v>7602</v>
      </c>
      <c r="K627" s="5" t="s">
        <v>7</v>
      </c>
      <c r="L627" s="5" t="s">
        <v>4965</v>
      </c>
      <c r="M627" s="5" t="s">
        <v>7</v>
      </c>
      <c r="N627" s="5" t="s">
        <v>7</v>
      </c>
      <c r="O627" t="s">
        <v>5072</v>
      </c>
      <c r="P627" t="s">
        <v>8036</v>
      </c>
      <c r="Q627" s="5" t="s">
        <v>2509</v>
      </c>
      <c r="R627" s="1" t="b">
        <v>1</v>
      </c>
    </row>
    <row r="628" spans="1:18">
      <c r="A628" t="s">
        <v>3025</v>
      </c>
      <c r="B628" t="s">
        <v>11304</v>
      </c>
      <c r="C628" s="5" t="s">
        <v>7788</v>
      </c>
      <c r="D628" s="1">
        <v>6</v>
      </c>
      <c r="E628" s="1">
        <v>3</v>
      </c>
      <c r="F628" s="1">
        <v>142</v>
      </c>
      <c r="G628" s="1">
        <v>143</v>
      </c>
      <c r="H628" s="13" cm="1">
        <f t="array" ref="H628">_xlfn.LET(_xlpm.s,IFERROR(--F628,""),_xlpm.e,IFERROR(--G628,""),IF(OR(_xlpm.s="",_xlpm.e="",_xlpm.e&lt;_xlpm.s),"",_xlfn.LET(_xlpm.p,_xlfn.SEQUENCE(_xlpm.e-_xlpm.s+1,1,_xlpm.s,1),SUM(1/COUNTIFS($D:$D,D628,$E:$E,E628,$F:$F,"&lt;&gt;N/A",$G:$G,"&lt;&gt;N/A",$F:$F,"&lt;="&amp;_xlpm.p,$G:$G,"&gt;="&amp;_xlpm.p)))))</f>
        <v>1.5</v>
      </c>
      <c r="I628" t="s">
        <v>1506</v>
      </c>
      <c r="J628" s="5" t="s">
        <v>1627</v>
      </c>
      <c r="K628" s="5" t="s">
        <v>7</v>
      </c>
      <c r="L628" s="5" t="s">
        <v>7</v>
      </c>
      <c r="M628" s="5" t="s">
        <v>7</v>
      </c>
      <c r="N628" s="5" t="s">
        <v>7</v>
      </c>
      <c r="O628" t="s">
        <v>778</v>
      </c>
      <c r="P628" t="s">
        <v>7834</v>
      </c>
      <c r="R628" s="1" t="b">
        <v>1</v>
      </c>
    </row>
    <row r="629" spans="1:18">
      <c r="A629" t="s">
        <v>3025</v>
      </c>
      <c r="B629" t="s">
        <v>11305</v>
      </c>
      <c r="C629" s="5" t="s">
        <v>7788</v>
      </c>
      <c r="D629" s="1">
        <v>6</v>
      </c>
      <c r="E629" s="1">
        <v>3</v>
      </c>
      <c r="F629" s="1">
        <v>143</v>
      </c>
      <c r="G629" s="1">
        <v>144</v>
      </c>
      <c r="H629" s="13" cm="1">
        <f t="array" ref="H629">_xlfn.LET(_xlpm.s,IFERROR(--F629,""),_xlpm.e,IFERROR(--G629,""),IF(OR(_xlpm.s="",_xlpm.e="",_xlpm.e&lt;_xlpm.s),"",_xlfn.LET(_xlpm.p,_xlfn.SEQUENCE(_xlpm.e-_xlpm.s+1,1,_xlpm.s,1),SUM(1/COUNTIFS($D:$D,D629,$E:$E,E629,$F:$F,"&lt;&gt;N/A",$G:$G,"&lt;&gt;N/A",$F:$F,"&lt;="&amp;_xlpm.p,$G:$G,"&gt;="&amp;_xlpm.p)))))</f>
        <v>1.5</v>
      </c>
      <c r="I629" t="s">
        <v>1506</v>
      </c>
      <c r="J629" s="5" t="s">
        <v>1578</v>
      </c>
      <c r="K629" s="5" t="s">
        <v>7</v>
      </c>
      <c r="L629" s="5" t="s">
        <v>4966</v>
      </c>
      <c r="M629" s="5" t="s">
        <v>7</v>
      </c>
      <c r="N629" s="5" t="s">
        <v>7</v>
      </c>
      <c r="O629" t="s">
        <v>11522</v>
      </c>
      <c r="P629" t="s">
        <v>8034</v>
      </c>
      <c r="R629" s="1" t="b">
        <v>1</v>
      </c>
    </row>
    <row r="630" spans="1:18">
      <c r="A630" t="s">
        <v>3025</v>
      </c>
      <c r="B630" t="s">
        <v>11306</v>
      </c>
      <c r="C630" s="5" t="s">
        <v>7832</v>
      </c>
      <c r="D630" s="1">
        <v>6</v>
      </c>
      <c r="E630" s="1">
        <v>4</v>
      </c>
      <c r="F630" s="1">
        <v>145</v>
      </c>
      <c r="G630" s="1">
        <v>151</v>
      </c>
      <c r="H630" s="13" cm="1">
        <f t="array" ref="H630">_xlfn.LET(_xlpm.s,IFERROR(--F630,""),_xlpm.e,IFERROR(--G630,""),IF(OR(_xlpm.s="",_xlpm.e="",_xlpm.e&lt;_xlpm.s),"",_xlfn.LET(_xlpm.p,_xlfn.SEQUENCE(_xlpm.e-_xlpm.s+1,1,_xlpm.s,1),SUM(1/COUNTIFS($D:$D,D630,$E:$E,E630,$F:$F,"&lt;&gt;N/A",$G:$G,"&lt;&gt;N/A",$F:$F,"&lt;="&amp;_xlpm.p,$G:$G,"&gt;="&amp;_xlpm.p)))))</f>
        <v>6.5</v>
      </c>
      <c r="I630" t="s">
        <v>7</v>
      </c>
      <c r="J630" s="5" t="s">
        <v>1555</v>
      </c>
      <c r="K630" s="5" t="s">
        <v>1511</v>
      </c>
      <c r="L630" s="5" t="s">
        <v>7</v>
      </c>
      <c r="M630" s="5" t="s">
        <v>7</v>
      </c>
      <c r="N630" s="5" t="s">
        <v>7</v>
      </c>
      <c r="O630" t="s">
        <v>778</v>
      </c>
      <c r="P630" t="s">
        <v>7834</v>
      </c>
      <c r="R630" s="1" t="b">
        <v>1</v>
      </c>
    </row>
    <row r="631" spans="1:18">
      <c r="A631" t="s">
        <v>3025</v>
      </c>
      <c r="B631" t="s">
        <v>11307</v>
      </c>
      <c r="C631" s="5" t="s">
        <v>7832</v>
      </c>
      <c r="D631" s="1">
        <v>6</v>
      </c>
      <c r="E631" s="1">
        <v>4</v>
      </c>
      <c r="F631" s="1">
        <v>151</v>
      </c>
      <c r="G631" s="1">
        <v>157</v>
      </c>
      <c r="H631" s="13" cm="1">
        <f t="array" ref="H631">_xlfn.LET(_xlpm.s,IFERROR(--F631,""),_xlpm.e,IFERROR(--G631,""),IF(OR(_xlpm.s="",_xlpm.e="",_xlpm.e&lt;_xlpm.s),"",_xlfn.LET(_xlpm.p,_xlfn.SEQUENCE(_xlpm.e-_xlpm.s+1,1,_xlpm.s,1),SUM(1/COUNTIFS($D:$D,D631,$E:$E,E631,$F:$F,"&lt;&gt;N/A",$G:$G,"&lt;&gt;N/A",$F:$F,"&lt;="&amp;_xlpm.p,$G:$G,"&gt;="&amp;_xlpm.p)))))</f>
        <v>6.5</v>
      </c>
      <c r="I631" t="s">
        <v>7</v>
      </c>
      <c r="J631" s="5" t="s">
        <v>1556</v>
      </c>
      <c r="K631" s="5" t="s">
        <v>1557</v>
      </c>
      <c r="L631" s="5" t="s">
        <v>7</v>
      </c>
      <c r="M631" s="5" t="s">
        <v>7</v>
      </c>
      <c r="N631" s="5" t="s">
        <v>7</v>
      </c>
      <c r="O631" t="s">
        <v>7</v>
      </c>
      <c r="P631" s="5" t="s">
        <v>10158</v>
      </c>
      <c r="Q631" s="5" t="s">
        <v>2681</v>
      </c>
      <c r="R631" s="1" t="b">
        <v>1</v>
      </c>
    </row>
    <row r="632" spans="1:18">
      <c r="A632" t="s">
        <v>3025</v>
      </c>
      <c r="B632" t="s">
        <v>11308</v>
      </c>
      <c r="C632" s="5" t="s">
        <v>7832</v>
      </c>
      <c r="D632" s="1">
        <v>6</v>
      </c>
      <c r="E632" s="1">
        <v>4</v>
      </c>
      <c r="F632" s="1">
        <v>158</v>
      </c>
      <c r="G632" s="1">
        <v>160</v>
      </c>
      <c r="H632" s="13" cm="1">
        <f t="array" ref="H632">_xlfn.LET(_xlpm.s,IFERROR(--F632,""),_xlpm.e,IFERROR(--G632,""),IF(OR(_xlpm.s="",_xlpm.e="",_xlpm.e&lt;_xlpm.s),"",_xlfn.LET(_xlpm.p,_xlfn.SEQUENCE(_xlpm.e-_xlpm.s+1,1,_xlpm.s,1),SUM(1/COUNTIFS($D:$D,D632,$E:$E,E632,$F:$F,"&lt;&gt;N/A",$G:$G,"&lt;&gt;N/A",$F:$F,"&lt;="&amp;_xlpm.p,$G:$G,"&gt;="&amp;_xlpm.p)))))</f>
        <v>2.5</v>
      </c>
      <c r="I632" t="s">
        <v>7</v>
      </c>
      <c r="J632" t="s">
        <v>1558</v>
      </c>
      <c r="K632" s="5" t="s">
        <v>1559</v>
      </c>
      <c r="L632" s="5" t="s">
        <v>7</v>
      </c>
      <c r="M632" s="5" t="s">
        <v>7</v>
      </c>
      <c r="N632" s="5" t="s">
        <v>7</v>
      </c>
      <c r="O632" t="s">
        <v>778</v>
      </c>
      <c r="P632" t="s">
        <v>7834</v>
      </c>
      <c r="R632" s="1" t="b">
        <v>1</v>
      </c>
    </row>
    <row r="633" spans="1:18">
      <c r="A633" t="s">
        <v>3025</v>
      </c>
      <c r="B633" t="s">
        <v>11309</v>
      </c>
      <c r="C633" s="5" t="s">
        <v>7832</v>
      </c>
      <c r="D633" s="1">
        <v>6</v>
      </c>
      <c r="E633" s="1">
        <v>4</v>
      </c>
      <c r="F633" s="1">
        <v>160</v>
      </c>
      <c r="G633" s="1">
        <v>163</v>
      </c>
      <c r="H633" s="13" cm="1">
        <f t="array" ref="H633">_xlfn.LET(_xlpm.s,IFERROR(--F633,""),_xlpm.e,IFERROR(--G633,""),IF(OR(_xlpm.s="",_xlpm.e="",_xlpm.e&lt;_xlpm.s),"",_xlfn.LET(_xlpm.p,_xlfn.SEQUENCE(_xlpm.e-_xlpm.s+1,1,_xlpm.s,1),SUM(1/COUNTIFS($D:$D,D633,$E:$E,E633,$F:$F,"&lt;&gt;N/A",$G:$G,"&lt;&gt;N/A",$F:$F,"&lt;="&amp;_xlpm.p,$G:$G,"&gt;="&amp;_xlpm.p)))))</f>
        <v>3</v>
      </c>
      <c r="I633" t="s">
        <v>1350</v>
      </c>
      <c r="J633" s="5" t="s">
        <v>1560</v>
      </c>
      <c r="K633" s="5" t="s">
        <v>7</v>
      </c>
      <c r="L633" s="5" t="s">
        <v>7</v>
      </c>
      <c r="M633" s="5" t="s">
        <v>7</v>
      </c>
      <c r="N633" s="5" t="s">
        <v>7</v>
      </c>
      <c r="O633" t="s">
        <v>778</v>
      </c>
      <c r="P633" t="s">
        <v>7834</v>
      </c>
      <c r="R633" s="1" t="b">
        <v>0</v>
      </c>
    </row>
    <row r="634" spans="1:18">
      <c r="A634" t="s">
        <v>3025</v>
      </c>
      <c r="B634" t="s">
        <v>11310</v>
      </c>
      <c r="C634" s="5" t="s">
        <v>7832</v>
      </c>
      <c r="D634" s="1">
        <v>6</v>
      </c>
      <c r="E634" s="1">
        <v>4</v>
      </c>
      <c r="F634" s="1">
        <v>163</v>
      </c>
      <c r="G634" s="1">
        <v>170</v>
      </c>
      <c r="H634" s="13" cm="1">
        <f t="array" ref="H634">_xlfn.LET(_xlpm.s,IFERROR(--F634,""),_xlpm.e,IFERROR(--G634,""),IF(OR(_xlpm.s="",_xlpm.e="",_xlpm.e&lt;_xlpm.s),"",_xlfn.LET(_xlpm.p,_xlfn.SEQUENCE(_xlpm.e-_xlpm.s+1,1,_xlpm.s,1),SUM(1/COUNTIFS($D:$D,D634,$E:$E,E634,$F:$F,"&lt;&gt;N/A",$G:$G,"&lt;&gt;N/A",$F:$F,"&lt;="&amp;_xlpm.p,$G:$G,"&gt;="&amp;_xlpm.p)))))</f>
        <v>7</v>
      </c>
      <c r="I634" t="s">
        <v>1350</v>
      </c>
      <c r="J634" s="5" t="s">
        <v>1561</v>
      </c>
      <c r="K634" s="5" t="s">
        <v>1562</v>
      </c>
      <c r="L634" s="5" t="s">
        <v>7</v>
      </c>
      <c r="M634" s="5" t="s">
        <v>7</v>
      </c>
      <c r="N634" s="5" t="s">
        <v>7</v>
      </c>
      <c r="O634" t="s">
        <v>778</v>
      </c>
      <c r="P634" t="s">
        <v>7834</v>
      </c>
      <c r="R634" s="1" t="b">
        <v>1</v>
      </c>
    </row>
    <row r="635" spans="1:18">
      <c r="A635" t="s">
        <v>3025</v>
      </c>
      <c r="B635" t="s">
        <v>11311</v>
      </c>
      <c r="C635" s="5" t="s">
        <v>7832</v>
      </c>
      <c r="D635" s="1">
        <v>6</v>
      </c>
      <c r="E635" s="1">
        <v>4</v>
      </c>
      <c r="F635" s="1">
        <v>170</v>
      </c>
      <c r="G635" s="1">
        <v>178</v>
      </c>
      <c r="H635" s="13" cm="1">
        <f t="array" ref="H635">_xlfn.LET(_xlpm.s,IFERROR(--F635,""),_xlpm.e,IFERROR(--G635,""),IF(OR(_xlpm.s="",_xlpm.e="",_xlpm.e&lt;_xlpm.s),"",_xlfn.LET(_xlpm.p,_xlfn.SEQUENCE(_xlpm.e-_xlpm.s+1,1,_xlpm.s,1),SUM(1/COUNTIFS($D:$D,D635,$E:$E,E635,$F:$F,"&lt;&gt;N/A",$G:$G,"&lt;&gt;N/A",$F:$F,"&lt;="&amp;_xlpm.p,$G:$G,"&gt;="&amp;_xlpm.p)))))</f>
        <v>8</v>
      </c>
      <c r="I635" t="s">
        <v>1350</v>
      </c>
      <c r="J635" s="5" t="s">
        <v>1563</v>
      </c>
      <c r="K635" s="5" t="s">
        <v>1564</v>
      </c>
      <c r="L635" s="5" t="s">
        <v>7</v>
      </c>
      <c r="M635" s="5" t="s">
        <v>7</v>
      </c>
      <c r="N635" s="5" t="s">
        <v>7</v>
      </c>
      <c r="O635" t="s">
        <v>778</v>
      </c>
      <c r="P635" t="s">
        <v>7834</v>
      </c>
      <c r="R635" s="1" t="b">
        <v>1</v>
      </c>
    </row>
    <row r="636" spans="1:18">
      <c r="A636" t="s">
        <v>3025</v>
      </c>
      <c r="B636" t="s">
        <v>11312</v>
      </c>
      <c r="C636" s="5" t="s">
        <v>7832</v>
      </c>
      <c r="D636" s="1">
        <v>6</v>
      </c>
      <c r="E636" s="1">
        <v>4</v>
      </c>
      <c r="F636" s="1">
        <v>178</v>
      </c>
      <c r="G636" s="1">
        <v>183</v>
      </c>
      <c r="H636" s="13" cm="1">
        <f t="array" ref="H636">_xlfn.LET(_xlpm.s,IFERROR(--F636,""),_xlpm.e,IFERROR(--G636,""),IF(OR(_xlpm.s="",_xlpm.e="",_xlpm.e&lt;_xlpm.s),"",_xlfn.LET(_xlpm.p,_xlfn.SEQUENCE(_xlpm.e-_xlpm.s+1,1,_xlpm.s,1),SUM(1/COUNTIFS($D:$D,D636,$E:$E,E636,$F:$F,"&lt;&gt;N/A",$G:$G,"&lt;&gt;N/A",$F:$F,"&lt;="&amp;_xlpm.p,$G:$G,"&gt;="&amp;_xlpm.p)))))</f>
        <v>5</v>
      </c>
      <c r="I636" t="s">
        <v>1506</v>
      </c>
      <c r="J636" s="5" t="s">
        <v>3221</v>
      </c>
      <c r="K636" s="5" t="s">
        <v>4967</v>
      </c>
      <c r="L636" s="5" t="s">
        <v>7483</v>
      </c>
      <c r="M636" t="s">
        <v>7475</v>
      </c>
      <c r="N636" s="5" t="s">
        <v>7669</v>
      </c>
      <c r="O636" t="s">
        <v>5072</v>
      </c>
      <c r="P636" t="s">
        <v>8021</v>
      </c>
      <c r="Q636" s="5" t="s">
        <v>2509</v>
      </c>
      <c r="R636" s="1" t="b">
        <v>1</v>
      </c>
    </row>
    <row r="637" spans="1:18">
      <c r="A637" t="s">
        <v>3025</v>
      </c>
      <c r="B637" t="s">
        <v>11313</v>
      </c>
      <c r="C637" s="5" t="s">
        <v>7832</v>
      </c>
      <c r="D637" s="1">
        <v>6</v>
      </c>
      <c r="E637" s="1">
        <v>4</v>
      </c>
      <c r="F637" s="1">
        <v>183</v>
      </c>
      <c r="G637" s="1">
        <v>187</v>
      </c>
      <c r="H637" s="13" cm="1">
        <f t="array" ref="H637">_xlfn.LET(_xlpm.s,IFERROR(--F637,""),_xlpm.e,IFERROR(--G637,""),IF(OR(_xlpm.s="",_xlpm.e="",_xlpm.e&lt;_xlpm.s),"",_xlfn.LET(_xlpm.p,_xlfn.SEQUENCE(_xlpm.e-_xlpm.s+1,1,_xlpm.s,1),SUM(1/COUNTIFS($D:$D,D637,$E:$E,E637,$F:$F,"&lt;&gt;N/A",$G:$G,"&lt;&gt;N/A",$F:$F,"&lt;="&amp;_xlpm.p,$G:$G,"&gt;="&amp;_xlpm.p)))))</f>
        <v>4</v>
      </c>
      <c r="I637" t="s">
        <v>1506</v>
      </c>
      <c r="J637" s="5" t="s">
        <v>7587</v>
      </c>
      <c r="K637" s="5" t="s">
        <v>7</v>
      </c>
      <c r="L637" s="5" t="s">
        <v>7484</v>
      </c>
      <c r="M637" t="s">
        <v>7485</v>
      </c>
      <c r="N637" s="5" t="s">
        <v>7674</v>
      </c>
      <c r="O637" t="s">
        <v>5072</v>
      </c>
      <c r="P637" t="s">
        <v>8021</v>
      </c>
      <c r="R637" s="1" t="b">
        <v>1</v>
      </c>
    </row>
    <row r="638" spans="1:18">
      <c r="A638" t="s">
        <v>3025</v>
      </c>
      <c r="B638" t="s">
        <v>11314</v>
      </c>
      <c r="C638" s="5" t="s">
        <v>7832</v>
      </c>
      <c r="D638" s="1">
        <v>6</v>
      </c>
      <c r="E638" s="1">
        <v>4</v>
      </c>
      <c r="F638" s="1">
        <v>187</v>
      </c>
      <c r="G638" s="1">
        <v>188</v>
      </c>
      <c r="H638" s="13" cm="1">
        <f t="array" ref="H638">_xlfn.LET(_xlpm.s,IFERROR(--F638,""),_xlpm.e,IFERROR(--G638,""),IF(OR(_xlpm.s="",_xlpm.e="",_xlpm.e&lt;_xlpm.s),"",_xlfn.LET(_xlpm.p,_xlfn.SEQUENCE(_xlpm.e-_xlpm.s+1,1,_xlpm.s,1),SUM(1/COUNTIFS($D:$D,D638,$E:$E,E638,$F:$F,"&lt;&gt;N/A",$G:$G,"&lt;&gt;N/A",$F:$F,"&lt;="&amp;_xlpm.p,$G:$G,"&gt;="&amp;_xlpm.p)))))</f>
        <v>1</v>
      </c>
      <c r="I638" t="s">
        <v>1506</v>
      </c>
      <c r="J638" s="5" t="s">
        <v>1565</v>
      </c>
      <c r="K638" s="5" t="s">
        <v>7</v>
      </c>
      <c r="L638" s="5" t="s">
        <v>7</v>
      </c>
      <c r="M638" s="5" t="s">
        <v>7</v>
      </c>
      <c r="N638" s="5" t="s">
        <v>7</v>
      </c>
      <c r="O638" t="s">
        <v>11522</v>
      </c>
      <c r="P638" t="s">
        <v>8021</v>
      </c>
      <c r="Q638" s="5" t="s">
        <v>7707</v>
      </c>
      <c r="R638" s="1" t="b">
        <v>1</v>
      </c>
    </row>
    <row r="639" spans="1:18">
      <c r="A639" t="s">
        <v>3025</v>
      </c>
      <c r="B639" t="s">
        <v>11315</v>
      </c>
      <c r="C639" s="5" t="s">
        <v>7832</v>
      </c>
      <c r="D639" s="1">
        <v>6</v>
      </c>
      <c r="E639" s="1">
        <v>4</v>
      </c>
      <c r="F639" s="1">
        <v>188</v>
      </c>
      <c r="G639" s="1">
        <v>189</v>
      </c>
      <c r="H639" s="13" cm="1">
        <f t="array" ref="H639">_xlfn.LET(_xlpm.s,IFERROR(--F639,""),_xlpm.e,IFERROR(--G639,""),IF(OR(_xlpm.s="",_xlpm.e="",_xlpm.e&lt;_xlpm.s),"",_xlfn.LET(_xlpm.p,_xlfn.SEQUENCE(_xlpm.e-_xlpm.s+1,1,_xlpm.s,1),SUM(1/COUNTIFS($D:$D,D639,$E:$E,E639,$F:$F,"&lt;&gt;N/A",$G:$G,"&lt;&gt;N/A",$F:$F,"&lt;="&amp;_xlpm.p,$G:$G,"&gt;="&amp;_xlpm.p)))))</f>
        <v>1</v>
      </c>
      <c r="I639" t="s">
        <v>1506</v>
      </c>
      <c r="J639" s="5" t="s">
        <v>7584</v>
      </c>
      <c r="K639" s="5" t="s">
        <v>7</v>
      </c>
      <c r="L639" s="5" t="s">
        <v>4968</v>
      </c>
      <c r="M639" t="s">
        <v>8173</v>
      </c>
      <c r="N639" s="5" t="s">
        <v>10124</v>
      </c>
      <c r="O639" t="s">
        <v>11522</v>
      </c>
      <c r="P639" t="s">
        <v>8021</v>
      </c>
      <c r="R639" s="1" t="b">
        <v>1</v>
      </c>
    </row>
    <row r="640" spans="1:18">
      <c r="A640" t="s">
        <v>3025</v>
      </c>
      <c r="B640" t="s">
        <v>11316</v>
      </c>
      <c r="C640" s="5" t="s">
        <v>7832</v>
      </c>
      <c r="D640" s="1">
        <v>6</v>
      </c>
      <c r="E640" s="1">
        <v>4</v>
      </c>
      <c r="F640" s="1">
        <v>189</v>
      </c>
      <c r="G640" s="1">
        <v>190</v>
      </c>
      <c r="H640" s="13" cm="1">
        <f t="array" ref="H640">_xlfn.LET(_xlpm.s,IFERROR(--F640,""),_xlpm.e,IFERROR(--G640,""),IF(OR(_xlpm.s="",_xlpm.e="",_xlpm.e&lt;_xlpm.s),"",_xlfn.LET(_xlpm.p,_xlfn.SEQUENCE(_xlpm.e-_xlpm.s+1,1,_xlpm.s,1),SUM(1/COUNTIFS($D:$D,D640,$E:$E,E640,$F:$F,"&lt;&gt;N/A",$G:$G,"&lt;&gt;N/A",$F:$F,"&lt;="&amp;_xlpm.p,$G:$G,"&gt;="&amp;_xlpm.p)))))</f>
        <v>1</v>
      </c>
      <c r="I640" t="s">
        <v>1506</v>
      </c>
      <c r="J640" s="5" t="s">
        <v>7585</v>
      </c>
      <c r="K640" s="5" t="s">
        <v>7</v>
      </c>
      <c r="L640" s="5" t="s">
        <v>4969</v>
      </c>
      <c r="M640" t="s">
        <v>7505</v>
      </c>
      <c r="N640" s="5" t="s">
        <v>7508</v>
      </c>
      <c r="O640" t="s">
        <v>5072</v>
      </c>
      <c r="P640" t="s">
        <v>8021</v>
      </c>
      <c r="Q640" s="5" t="s">
        <v>2509</v>
      </c>
      <c r="R640" s="1" t="b">
        <v>1</v>
      </c>
    </row>
    <row r="641" spans="1:18">
      <c r="A641" t="s">
        <v>3025</v>
      </c>
      <c r="B641" t="s">
        <v>11317</v>
      </c>
      <c r="C641" s="5" t="s">
        <v>7832</v>
      </c>
      <c r="D641" s="1">
        <v>6</v>
      </c>
      <c r="E641" s="1">
        <v>4</v>
      </c>
      <c r="F641" s="1">
        <v>190</v>
      </c>
      <c r="G641" s="1">
        <v>191</v>
      </c>
      <c r="H641" s="13" cm="1">
        <f t="array" ref="H641">_xlfn.LET(_xlpm.s,IFERROR(--F641,""),_xlpm.e,IFERROR(--G641,""),IF(OR(_xlpm.s="",_xlpm.e="",_xlpm.e&lt;_xlpm.s),"",_xlfn.LET(_xlpm.p,_xlfn.SEQUENCE(_xlpm.e-_xlpm.s+1,1,_xlpm.s,1),SUM(1/COUNTIFS($D:$D,D641,$E:$E,E641,$F:$F,"&lt;&gt;N/A",$G:$G,"&lt;&gt;N/A",$F:$F,"&lt;="&amp;_xlpm.p,$G:$G,"&gt;="&amp;_xlpm.p)))))</f>
        <v>1</v>
      </c>
      <c r="I641" t="s">
        <v>1506</v>
      </c>
      <c r="J641" s="5" t="s">
        <v>7586</v>
      </c>
      <c r="K641" s="5" t="s">
        <v>7</v>
      </c>
      <c r="L641" s="5" t="s">
        <v>4970</v>
      </c>
      <c r="M641" s="5" t="s">
        <v>7495</v>
      </c>
      <c r="N641" s="5" t="s">
        <v>11511</v>
      </c>
      <c r="O641" t="s">
        <v>5072</v>
      </c>
      <c r="P641" t="s">
        <v>8021</v>
      </c>
      <c r="R641" s="1" t="b">
        <v>1</v>
      </c>
    </row>
    <row r="642" spans="1:18">
      <c r="A642" t="s">
        <v>3025</v>
      </c>
      <c r="B642" t="s">
        <v>11318</v>
      </c>
      <c r="C642" s="5" t="s">
        <v>7832</v>
      </c>
      <c r="D642" s="1">
        <v>6</v>
      </c>
      <c r="E642" s="1">
        <v>4</v>
      </c>
      <c r="F642" s="1">
        <v>191</v>
      </c>
      <c r="G642" s="1">
        <v>192</v>
      </c>
      <c r="H642" s="13" cm="1">
        <f t="array" ref="H642">_xlfn.LET(_xlpm.s,IFERROR(--F642,""),_xlpm.e,IFERROR(--G642,""),IF(OR(_xlpm.s="",_xlpm.e="",_xlpm.e&lt;_xlpm.s),"",_xlfn.LET(_xlpm.p,_xlfn.SEQUENCE(_xlpm.e-_xlpm.s+1,1,_xlpm.s,1),SUM(1/COUNTIFS($D:$D,D642,$E:$E,E642,$F:$F,"&lt;&gt;N/A",$G:$G,"&lt;&gt;N/A",$F:$F,"&lt;="&amp;_xlpm.p,$G:$G,"&gt;="&amp;_xlpm.p)))))</f>
        <v>1</v>
      </c>
      <c r="I642" t="s">
        <v>1506</v>
      </c>
      <c r="J642" s="5" t="s">
        <v>3176</v>
      </c>
      <c r="K642" s="5" t="s">
        <v>7</v>
      </c>
      <c r="L642" s="5" t="s">
        <v>4971</v>
      </c>
      <c r="M642" t="s">
        <v>7475</v>
      </c>
      <c r="N642" s="5" t="s">
        <v>7622</v>
      </c>
      <c r="O642" t="s">
        <v>5072</v>
      </c>
      <c r="P642" t="s">
        <v>8021</v>
      </c>
      <c r="R642" s="1" t="b">
        <v>1</v>
      </c>
    </row>
    <row r="643" spans="1:18">
      <c r="A643" t="s">
        <v>3025</v>
      </c>
      <c r="B643" t="s">
        <v>11319</v>
      </c>
      <c r="C643" s="5" t="s">
        <v>7832</v>
      </c>
      <c r="D643" s="1">
        <v>6</v>
      </c>
      <c r="E643" s="1">
        <v>4</v>
      </c>
      <c r="F643" s="1">
        <v>192</v>
      </c>
      <c r="G643" s="1">
        <v>192</v>
      </c>
      <c r="H643" s="13" cm="1">
        <f t="array" ref="H643">_xlfn.LET(_xlpm.s,IFERROR(--F643,""),_xlpm.e,IFERROR(--G643,""),IF(OR(_xlpm.s="",_xlpm.e="",_xlpm.e&lt;_xlpm.s),"",_xlfn.LET(_xlpm.p,_xlfn.SEQUENCE(_xlpm.e-_xlpm.s+1,1,_xlpm.s,1),SUM(1/COUNTIFS($D:$D,D643,$E:$E,E643,$F:$F,"&lt;&gt;N/A",$G:$G,"&lt;&gt;N/A",$F:$F,"&lt;="&amp;_xlpm.p,$G:$G,"&gt;="&amp;_xlpm.p)))))</f>
        <v>0.5</v>
      </c>
      <c r="I643" t="s">
        <v>1506</v>
      </c>
      <c r="J643" s="5" t="s">
        <v>3148</v>
      </c>
      <c r="K643" s="5" t="s">
        <v>7</v>
      </c>
      <c r="L643" s="5" t="s">
        <v>7</v>
      </c>
      <c r="M643" s="5" t="s">
        <v>7</v>
      </c>
      <c r="N643" s="5" t="s">
        <v>7</v>
      </c>
      <c r="O643" t="s">
        <v>778</v>
      </c>
      <c r="P643" t="s">
        <v>7834</v>
      </c>
      <c r="R643" s="1" t="b">
        <v>1</v>
      </c>
    </row>
    <row r="644" spans="1:18">
      <c r="A644" t="s">
        <v>3025</v>
      </c>
      <c r="B644" t="s">
        <v>11320</v>
      </c>
      <c r="C644" s="5" t="s">
        <v>7825</v>
      </c>
      <c r="D644" s="1">
        <v>6</v>
      </c>
      <c r="E644" s="1">
        <v>5</v>
      </c>
      <c r="F644" s="1">
        <v>193</v>
      </c>
      <c r="G644" s="1">
        <v>202</v>
      </c>
      <c r="H644" s="13" cm="1">
        <f t="array" ref="H644">_xlfn.LET(_xlpm.s,IFERROR(--F644,""),_xlpm.e,IFERROR(--G644,""),IF(OR(_xlpm.s="",_xlpm.e="",_xlpm.e&lt;_xlpm.s),"",_xlfn.LET(_xlpm.p,_xlfn.SEQUENCE(_xlpm.e-_xlpm.s+1,1,_xlpm.s,1),SUM(1/COUNTIFS($D:$D,D644,$E:$E,E644,$F:$F,"&lt;&gt;N/A",$G:$G,"&lt;&gt;N/A",$F:$F,"&lt;="&amp;_xlpm.p,$G:$G,"&gt;="&amp;_xlpm.p)))))</f>
        <v>9.5</v>
      </c>
      <c r="I644" t="s">
        <v>7</v>
      </c>
      <c r="J644" s="5" t="s">
        <v>1566</v>
      </c>
      <c r="K644" s="5" t="s">
        <v>1511</v>
      </c>
      <c r="L644" s="5" t="s">
        <v>7</v>
      </c>
      <c r="M644" s="5" t="s">
        <v>7</v>
      </c>
      <c r="N644" s="5" t="s">
        <v>7</v>
      </c>
      <c r="O644" t="s">
        <v>778</v>
      </c>
      <c r="P644" t="s">
        <v>7834</v>
      </c>
      <c r="R644" s="1" t="b">
        <v>1</v>
      </c>
    </row>
    <row r="645" spans="1:18">
      <c r="A645" t="s">
        <v>3025</v>
      </c>
      <c r="B645" t="s">
        <v>11321</v>
      </c>
      <c r="C645" s="5" t="s">
        <v>7825</v>
      </c>
      <c r="D645" s="1">
        <v>6</v>
      </c>
      <c r="E645" s="1">
        <v>5</v>
      </c>
      <c r="F645" s="1">
        <v>202</v>
      </c>
      <c r="G645" s="1">
        <v>205</v>
      </c>
      <c r="H645" s="13" cm="1">
        <f t="array" ref="H645">_xlfn.LET(_xlpm.s,IFERROR(--F645,""),_xlpm.e,IFERROR(--G645,""),IF(OR(_xlpm.s="",_xlpm.e="",_xlpm.e&lt;_xlpm.s),"",_xlfn.LET(_xlpm.p,_xlfn.SEQUENCE(_xlpm.e-_xlpm.s+1,1,_xlpm.s,1),SUM(1/COUNTIFS($D:$D,D645,$E:$E,E645,$F:$F,"&lt;&gt;N/A",$G:$G,"&lt;&gt;N/A",$F:$F,"&lt;="&amp;_xlpm.p,$G:$G,"&gt;="&amp;_xlpm.p)))))</f>
        <v>3</v>
      </c>
      <c r="I645" t="s">
        <v>7</v>
      </c>
      <c r="J645" s="5" t="s">
        <v>1553</v>
      </c>
      <c r="K645" s="5" t="s">
        <v>7</v>
      </c>
      <c r="L645" s="5" t="s">
        <v>7</v>
      </c>
      <c r="M645" s="5" t="s">
        <v>7</v>
      </c>
      <c r="N645" s="5" t="s">
        <v>7</v>
      </c>
      <c r="O645" t="s">
        <v>778</v>
      </c>
      <c r="P645" t="s">
        <v>7834</v>
      </c>
      <c r="R645" s="1" t="b">
        <v>1</v>
      </c>
    </row>
    <row r="646" spans="1:18">
      <c r="A646" t="s">
        <v>3025</v>
      </c>
      <c r="B646" t="s">
        <v>11322</v>
      </c>
      <c r="C646" s="5" t="s">
        <v>7825</v>
      </c>
      <c r="D646" s="1">
        <v>6</v>
      </c>
      <c r="E646" s="1">
        <v>5</v>
      </c>
      <c r="F646" s="1">
        <v>205</v>
      </c>
      <c r="G646" s="1">
        <v>213</v>
      </c>
      <c r="H646" s="13" cm="1">
        <f t="array" ref="H646">_xlfn.LET(_xlpm.s,IFERROR(--F646,""),_xlpm.e,IFERROR(--G646,""),IF(OR(_xlpm.s="",_xlpm.e="",_xlpm.e&lt;_xlpm.s),"",_xlfn.LET(_xlpm.p,_xlfn.SEQUENCE(_xlpm.e-_xlpm.s+1,1,_xlpm.s,1),SUM(1/COUNTIFS($D:$D,D646,$E:$E,E646,$F:$F,"&lt;&gt;N/A",$G:$G,"&lt;&gt;N/A",$F:$F,"&lt;="&amp;_xlpm.p,$G:$G,"&gt;="&amp;_xlpm.p)))))</f>
        <v>8.5</v>
      </c>
      <c r="I646" t="s">
        <v>1350</v>
      </c>
      <c r="J646" s="5" t="s">
        <v>1554</v>
      </c>
      <c r="K646" s="5" t="s">
        <v>7</v>
      </c>
      <c r="L646" s="5" t="s">
        <v>7</v>
      </c>
      <c r="M646" s="5" t="s">
        <v>7</v>
      </c>
      <c r="N646" s="5" t="s">
        <v>7</v>
      </c>
      <c r="O646" t="s">
        <v>778</v>
      </c>
      <c r="P646" t="s">
        <v>7834</v>
      </c>
      <c r="R646" s="1" t="b">
        <v>0</v>
      </c>
    </row>
    <row r="647" spans="1:18">
      <c r="A647" t="s">
        <v>3025</v>
      </c>
      <c r="B647" t="s">
        <v>11323</v>
      </c>
      <c r="C647" s="5" t="s">
        <v>7825</v>
      </c>
      <c r="D647" s="1">
        <v>6</v>
      </c>
      <c r="E647" s="1">
        <v>5</v>
      </c>
      <c r="F647" s="1">
        <v>214</v>
      </c>
      <c r="G647" s="1">
        <v>224</v>
      </c>
      <c r="H647" s="13" cm="1">
        <f t="array" ref="H647">_xlfn.LET(_xlpm.s,IFERROR(--F647,""),_xlpm.e,IFERROR(--G647,""),IF(OR(_xlpm.s="",_xlpm.e="",_xlpm.e&lt;_xlpm.s),"",_xlfn.LET(_xlpm.p,_xlfn.SEQUENCE(_xlpm.e-_xlpm.s+1,1,_xlpm.s,1),SUM(1/COUNTIFS($D:$D,D647,$E:$E,E647,$F:$F,"&lt;&gt;N/A",$G:$G,"&lt;&gt;N/A",$F:$F,"&lt;="&amp;_xlpm.p,$G:$G,"&gt;="&amp;_xlpm.p)))))</f>
        <v>11</v>
      </c>
      <c r="I647" t="s">
        <v>1506</v>
      </c>
      <c r="J647" s="5" t="s">
        <v>3222</v>
      </c>
      <c r="K647" s="5" t="s">
        <v>4972</v>
      </c>
      <c r="L647" s="5" t="s">
        <v>7</v>
      </c>
      <c r="M647" s="5" t="s">
        <v>7</v>
      </c>
      <c r="N647" s="5" t="s">
        <v>7</v>
      </c>
      <c r="O647" t="s">
        <v>778</v>
      </c>
      <c r="P647" t="s">
        <v>7834</v>
      </c>
      <c r="R647" s="1" t="b">
        <v>1</v>
      </c>
    </row>
    <row r="648" spans="1:18">
      <c r="A648" t="s">
        <v>3025</v>
      </c>
      <c r="B648" t="s">
        <v>11324</v>
      </c>
      <c r="C648" s="5" t="s">
        <v>7825</v>
      </c>
      <c r="D648" s="1">
        <v>6</v>
      </c>
      <c r="E648" s="1">
        <v>5</v>
      </c>
      <c r="F648" s="1">
        <v>225</v>
      </c>
      <c r="G648" s="1">
        <v>233</v>
      </c>
      <c r="H648" s="13" cm="1">
        <f t="array" ref="H648">_xlfn.LET(_xlpm.s,IFERROR(--F648,""),_xlpm.e,IFERROR(--G648,""),IF(OR(_xlpm.s="",_xlpm.e="",_xlpm.e&lt;_xlpm.s),"",_xlfn.LET(_xlpm.p,_xlfn.SEQUENCE(_xlpm.e-_xlpm.s+1,1,_xlpm.s,1),SUM(1/COUNTIFS($D:$D,D648,$E:$E,E648,$F:$F,"&lt;&gt;N/A",$G:$G,"&lt;&gt;N/A",$F:$F,"&lt;="&amp;_xlpm.p,$G:$G,"&gt;="&amp;_xlpm.p)))))</f>
        <v>8.5</v>
      </c>
      <c r="I648" t="s">
        <v>1506</v>
      </c>
      <c r="J648" s="5" t="s">
        <v>7578</v>
      </c>
      <c r="K648" s="5" t="s">
        <v>4973</v>
      </c>
      <c r="L648" s="5" t="s">
        <v>4954</v>
      </c>
      <c r="M648" s="5" t="s">
        <v>7</v>
      </c>
      <c r="N648" s="5" t="s">
        <v>7</v>
      </c>
      <c r="O648" t="s">
        <v>11522</v>
      </c>
      <c r="P648" t="s">
        <v>10179</v>
      </c>
      <c r="Q648" s="5" t="s">
        <v>2509</v>
      </c>
      <c r="R648" s="1" t="b">
        <v>1</v>
      </c>
    </row>
    <row r="649" spans="1:18">
      <c r="A649" t="s">
        <v>3025</v>
      </c>
      <c r="B649" t="s">
        <v>11325</v>
      </c>
      <c r="C649" s="5" t="s">
        <v>7825</v>
      </c>
      <c r="D649" s="1">
        <v>6</v>
      </c>
      <c r="E649" s="1">
        <v>5</v>
      </c>
      <c r="F649" s="1">
        <v>233</v>
      </c>
      <c r="G649" s="1">
        <v>234</v>
      </c>
      <c r="H649" s="13" cm="1">
        <f t="array" ref="H649">_xlfn.LET(_xlpm.s,IFERROR(--F649,""),_xlpm.e,IFERROR(--G649,""),IF(OR(_xlpm.s="",_xlpm.e="",_xlpm.e&lt;_xlpm.s),"",_xlfn.LET(_xlpm.p,_xlfn.SEQUENCE(_xlpm.e-_xlpm.s+1,1,_xlpm.s,1),SUM(1/COUNTIFS($D:$D,D649,$E:$E,E649,$F:$F,"&lt;&gt;N/A",$G:$G,"&lt;&gt;N/A",$F:$F,"&lt;="&amp;_xlpm.p,$G:$G,"&gt;="&amp;_xlpm.p)))))</f>
        <v>1.5</v>
      </c>
      <c r="I649" t="s">
        <v>1506</v>
      </c>
      <c r="J649" s="5" t="s">
        <v>5076</v>
      </c>
      <c r="K649" s="5" t="s">
        <v>7</v>
      </c>
      <c r="L649" s="5" t="s">
        <v>7</v>
      </c>
      <c r="M649" s="5" t="s">
        <v>7</v>
      </c>
      <c r="N649" s="5" t="s">
        <v>7</v>
      </c>
      <c r="O649" t="s">
        <v>778</v>
      </c>
      <c r="P649" t="s">
        <v>7834</v>
      </c>
      <c r="R649" s="1" t="b">
        <v>1</v>
      </c>
    </row>
    <row r="650" spans="1:18">
      <c r="A650" t="s">
        <v>3025</v>
      </c>
      <c r="B650" t="s">
        <v>11326</v>
      </c>
      <c r="C650" s="5" t="s">
        <v>7830</v>
      </c>
      <c r="D650" s="1">
        <v>6</v>
      </c>
      <c r="E650" s="1">
        <v>6</v>
      </c>
      <c r="F650" s="1">
        <v>235</v>
      </c>
      <c r="G650" s="1">
        <v>244</v>
      </c>
      <c r="H650" s="13" cm="1">
        <f t="array" ref="H650">_xlfn.LET(_xlpm.s,IFERROR(--F650,""),_xlpm.e,IFERROR(--G650,""),IF(OR(_xlpm.s="",_xlpm.e="",_xlpm.e&lt;_xlpm.s),"",_xlfn.LET(_xlpm.p,_xlfn.SEQUENCE(_xlpm.e-_xlpm.s+1,1,_xlpm.s,1),SUM(1/COUNTIFS($D:$D,D650,$E:$E,E650,$F:$F,"&lt;&gt;N/A",$G:$G,"&lt;&gt;N/A",$F:$F,"&lt;="&amp;_xlpm.p,$G:$G,"&gt;="&amp;_xlpm.p)))))</f>
        <v>9.5</v>
      </c>
      <c r="I650" t="s">
        <v>7</v>
      </c>
      <c r="J650" s="5" t="s">
        <v>1547</v>
      </c>
      <c r="K650" s="5" t="s">
        <v>4974</v>
      </c>
      <c r="L650" s="5" t="s">
        <v>7</v>
      </c>
      <c r="M650" s="5" t="s">
        <v>7</v>
      </c>
      <c r="N650" s="5" t="s">
        <v>7</v>
      </c>
      <c r="O650" t="s">
        <v>778</v>
      </c>
      <c r="P650" t="s">
        <v>7834</v>
      </c>
      <c r="R650" s="1" t="b">
        <v>1</v>
      </c>
    </row>
    <row r="651" spans="1:18">
      <c r="A651" t="s">
        <v>3025</v>
      </c>
      <c r="B651" t="s">
        <v>11327</v>
      </c>
      <c r="C651" s="5" t="s">
        <v>7830</v>
      </c>
      <c r="D651" s="1">
        <v>6</v>
      </c>
      <c r="E651" s="1">
        <v>6</v>
      </c>
      <c r="F651" s="1">
        <v>244</v>
      </c>
      <c r="G651" s="1">
        <v>251</v>
      </c>
      <c r="H651" s="13" cm="1">
        <f t="array" ref="H651">_xlfn.LET(_xlpm.s,IFERROR(--F651,""),_xlpm.e,IFERROR(--G651,""),IF(OR(_xlpm.s="",_xlpm.e="",_xlpm.e&lt;_xlpm.s),"",_xlfn.LET(_xlpm.p,_xlfn.SEQUENCE(_xlpm.e-_xlpm.s+1,1,_xlpm.s,1),SUM(1/COUNTIFS($D:$D,D651,$E:$E,E651,$F:$F,"&lt;&gt;N/A",$G:$G,"&lt;&gt;N/A",$F:$F,"&lt;="&amp;_xlpm.p,$G:$G,"&gt;="&amp;_xlpm.p)))))</f>
        <v>7</v>
      </c>
      <c r="I651" t="s">
        <v>7</v>
      </c>
      <c r="J651" t="s">
        <v>1548</v>
      </c>
      <c r="K651" s="5" t="s">
        <v>1511</v>
      </c>
      <c r="L651" s="5" t="s">
        <v>7</v>
      </c>
      <c r="M651" s="5" t="s">
        <v>7</v>
      </c>
      <c r="N651" s="5" t="s">
        <v>7</v>
      </c>
      <c r="O651" t="s">
        <v>778</v>
      </c>
      <c r="P651" t="s">
        <v>7834</v>
      </c>
      <c r="R651" s="1" t="b">
        <v>1</v>
      </c>
    </row>
    <row r="652" spans="1:18">
      <c r="A652" t="s">
        <v>3025</v>
      </c>
      <c r="B652" t="s">
        <v>11328</v>
      </c>
      <c r="C652" s="5" t="s">
        <v>7830</v>
      </c>
      <c r="D652" s="1">
        <v>6</v>
      </c>
      <c r="E652" s="1">
        <v>6</v>
      </c>
      <c r="F652" s="1">
        <v>251</v>
      </c>
      <c r="G652" s="1">
        <v>257</v>
      </c>
      <c r="H652" s="13" cm="1">
        <f t="array" ref="H652">_xlfn.LET(_xlpm.s,IFERROR(--F652,""),_xlpm.e,IFERROR(--G652,""),IF(OR(_xlpm.s="",_xlpm.e="",_xlpm.e&lt;_xlpm.s),"",_xlfn.LET(_xlpm.p,_xlfn.SEQUENCE(_xlpm.e-_xlpm.s+1,1,_xlpm.s,1),SUM(1/COUNTIFS($D:$D,D652,$E:$E,E652,$F:$F,"&lt;&gt;N/A",$G:$G,"&lt;&gt;N/A",$F:$F,"&lt;="&amp;_xlpm.p,$G:$G,"&gt;="&amp;_xlpm.p)))))</f>
        <v>6</v>
      </c>
      <c r="I652" t="s">
        <v>1350</v>
      </c>
      <c r="J652" s="5" t="s">
        <v>1549</v>
      </c>
      <c r="K652" s="5" t="s">
        <v>7</v>
      </c>
      <c r="L652" s="5" t="s">
        <v>7</v>
      </c>
      <c r="M652" s="5" t="s">
        <v>7</v>
      </c>
      <c r="N652" s="5" t="s">
        <v>7</v>
      </c>
      <c r="O652" t="s">
        <v>778</v>
      </c>
      <c r="P652" t="s">
        <v>7834</v>
      </c>
      <c r="R652" s="1" t="b">
        <v>0</v>
      </c>
    </row>
    <row r="653" spans="1:18">
      <c r="A653" t="s">
        <v>3025</v>
      </c>
      <c r="B653" t="s">
        <v>11329</v>
      </c>
      <c r="C653" s="5" t="s">
        <v>7830</v>
      </c>
      <c r="D653" s="1">
        <v>6</v>
      </c>
      <c r="E653" s="1">
        <v>6</v>
      </c>
      <c r="F653" s="1">
        <v>257</v>
      </c>
      <c r="G653" s="1">
        <v>262</v>
      </c>
      <c r="H653" s="13" cm="1">
        <f t="array" ref="H653">_xlfn.LET(_xlpm.s,IFERROR(--F653,""),_xlpm.e,IFERROR(--G653,""),IF(OR(_xlpm.s="",_xlpm.e="",_xlpm.e&lt;_xlpm.s),"",_xlfn.LET(_xlpm.p,_xlfn.SEQUENCE(_xlpm.e-_xlpm.s+1,1,_xlpm.s,1),SUM(1/COUNTIFS($D:$D,D653,$E:$E,E653,$F:$F,"&lt;&gt;N/A",$G:$G,"&lt;&gt;N/A",$F:$F,"&lt;="&amp;_xlpm.p,$G:$G,"&gt;="&amp;_xlpm.p)))))</f>
        <v>5</v>
      </c>
      <c r="I653" t="s">
        <v>1350</v>
      </c>
      <c r="J653" s="5" t="s">
        <v>1550</v>
      </c>
      <c r="K653" s="5" t="s">
        <v>7</v>
      </c>
      <c r="L653" s="5" t="s">
        <v>7</v>
      </c>
      <c r="M653" s="5" t="s">
        <v>7</v>
      </c>
      <c r="N653" s="5" t="s">
        <v>7</v>
      </c>
      <c r="O653" t="s">
        <v>778</v>
      </c>
      <c r="P653" t="s">
        <v>7834</v>
      </c>
      <c r="R653" s="1" t="b">
        <v>0</v>
      </c>
    </row>
    <row r="654" spans="1:18">
      <c r="A654" t="s">
        <v>3025</v>
      </c>
      <c r="B654" t="s">
        <v>11330</v>
      </c>
      <c r="C654" s="5" t="s">
        <v>7830</v>
      </c>
      <c r="D654" s="1">
        <v>6</v>
      </c>
      <c r="E654" s="1">
        <v>6</v>
      </c>
      <c r="F654" s="1">
        <v>262</v>
      </c>
      <c r="G654" s="1">
        <v>272</v>
      </c>
      <c r="H654" s="13" cm="1">
        <f t="array" ref="H654">_xlfn.LET(_xlpm.s,IFERROR(--F654,""),_xlpm.e,IFERROR(--G654,""),IF(OR(_xlpm.s="",_xlpm.e="",_xlpm.e&lt;_xlpm.s),"",_xlfn.LET(_xlpm.p,_xlfn.SEQUENCE(_xlpm.e-_xlpm.s+1,1,_xlpm.s,1),SUM(1/COUNTIFS($D:$D,D654,$E:$E,E654,$F:$F,"&lt;&gt;N/A",$G:$G,"&lt;&gt;N/A",$F:$F,"&lt;="&amp;_xlpm.p,$G:$G,"&gt;="&amp;_xlpm.p)))))</f>
        <v>10.5</v>
      </c>
      <c r="I654" t="s">
        <v>1506</v>
      </c>
      <c r="J654" s="5" t="s">
        <v>7574</v>
      </c>
      <c r="K654" s="5" t="s">
        <v>7</v>
      </c>
      <c r="L654" s="5" t="s">
        <v>4975</v>
      </c>
      <c r="M654" t="s">
        <v>7478</v>
      </c>
      <c r="N654" s="5" t="s">
        <v>7577</v>
      </c>
      <c r="O654" t="s">
        <v>5072</v>
      </c>
      <c r="P654" t="s">
        <v>8021</v>
      </c>
      <c r="R654" s="1" t="b">
        <v>1</v>
      </c>
    </row>
    <row r="655" spans="1:18">
      <c r="A655" t="s">
        <v>3025</v>
      </c>
      <c r="B655" t="s">
        <v>11331</v>
      </c>
      <c r="C655" s="5" t="s">
        <v>7830</v>
      </c>
      <c r="D655" s="1">
        <v>6</v>
      </c>
      <c r="E655" s="1">
        <v>6</v>
      </c>
      <c r="F655" s="1">
        <v>273</v>
      </c>
      <c r="G655" s="1">
        <v>274</v>
      </c>
      <c r="H655" s="13" cm="1">
        <f t="array" ref="H655">_xlfn.LET(_xlpm.s,IFERROR(--F655,""),_xlpm.e,IFERROR(--G655,""),IF(OR(_xlpm.s="",_xlpm.e="",_xlpm.e&lt;_xlpm.s),"",_xlfn.LET(_xlpm.p,_xlfn.SEQUENCE(_xlpm.e-_xlpm.s+1,1,_xlpm.s,1),SUM(1/COUNTIFS($D:$D,D655,$E:$E,E655,$F:$F,"&lt;&gt;N/A",$G:$G,"&lt;&gt;N/A",$F:$F,"&lt;="&amp;_xlpm.p,$G:$G,"&gt;="&amp;_xlpm.p)))))</f>
        <v>2</v>
      </c>
      <c r="I655" t="s">
        <v>1506</v>
      </c>
      <c r="J655" s="5" t="s">
        <v>7573</v>
      </c>
      <c r="K655" s="5" t="s">
        <v>7</v>
      </c>
      <c r="L655" s="5" t="s">
        <v>4976</v>
      </c>
      <c r="M655" t="s">
        <v>7478</v>
      </c>
      <c r="N655" s="5" t="s">
        <v>7576</v>
      </c>
      <c r="O655" t="s">
        <v>5072</v>
      </c>
      <c r="P655" t="s">
        <v>8021</v>
      </c>
      <c r="R655" s="1" t="b">
        <v>1</v>
      </c>
    </row>
    <row r="656" spans="1:18">
      <c r="A656" t="s">
        <v>3025</v>
      </c>
      <c r="B656" t="s">
        <v>11332</v>
      </c>
      <c r="C656" s="5" t="s">
        <v>7830</v>
      </c>
      <c r="D656" s="1">
        <v>6</v>
      </c>
      <c r="E656" s="1">
        <v>6</v>
      </c>
      <c r="F656" s="1">
        <v>275</v>
      </c>
      <c r="G656" s="1">
        <v>275</v>
      </c>
      <c r="H656" s="13" cm="1">
        <f t="array" ref="H656">_xlfn.LET(_xlpm.s,IFERROR(--F656,""),_xlpm.e,IFERROR(--G656,""),IF(OR(_xlpm.s="",_xlpm.e="",_xlpm.e&lt;_xlpm.s),"",_xlfn.LET(_xlpm.p,_xlfn.SEQUENCE(_xlpm.e-_xlpm.s+1,1,_xlpm.s,1),SUM(1/COUNTIFS($D:$D,D656,$E:$E,E656,$F:$F,"&lt;&gt;N/A",$G:$G,"&lt;&gt;N/A",$F:$F,"&lt;="&amp;_xlpm.p,$G:$G,"&gt;="&amp;_xlpm.p)))))</f>
        <v>0.5</v>
      </c>
      <c r="I656" t="s">
        <v>1506</v>
      </c>
      <c r="J656" s="5" t="s">
        <v>7575</v>
      </c>
      <c r="K656" s="5" t="s">
        <v>7</v>
      </c>
      <c r="L656" s="5" t="s">
        <v>4977</v>
      </c>
      <c r="M656" t="s">
        <v>7478</v>
      </c>
      <c r="N656" s="5" t="s">
        <v>7572</v>
      </c>
      <c r="O656" t="s">
        <v>5072</v>
      </c>
      <c r="P656" t="s">
        <v>8021</v>
      </c>
      <c r="R656" s="1" t="b">
        <v>1</v>
      </c>
    </row>
    <row r="657" spans="1:18">
      <c r="A657" t="s">
        <v>3025</v>
      </c>
      <c r="B657" t="s">
        <v>11333</v>
      </c>
      <c r="C657" s="5" t="s">
        <v>7830</v>
      </c>
      <c r="D657" s="1">
        <v>6</v>
      </c>
      <c r="E657" s="1">
        <v>6</v>
      </c>
      <c r="F657" s="1">
        <v>275</v>
      </c>
      <c r="G657" s="1">
        <v>275</v>
      </c>
      <c r="H657" s="13" cm="1">
        <f t="array" ref="H657">_xlfn.LET(_xlpm.s,IFERROR(--F657,""),_xlpm.e,IFERROR(--G657,""),IF(OR(_xlpm.s="",_xlpm.e="",_xlpm.e&lt;_xlpm.s),"",_xlfn.LET(_xlpm.p,_xlfn.SEQUENCE(_xlpm.e-_xlpm.s+1,1,_xlpm.s,1),SUM(1/COUNTIFS($D:$D,D657,$E:$E,E657,$F:$F,"&lt;&gt;N/A",$G:$G,"&lt;&gt;N/A",$F:$F,"&lt;="&amp;_xlpm.p,$G:$G,"&gt;="&amp;_xlpm.p)))))</f>
        <v>0.5</v>
      </c>
      <c r="I657" t="s">
        <v>1506</v>
      </c>
      <c r="J657" s="5" t="s">
        <v>1551</v>
      </c>
      <c r="K657" s="5" t="s">
        <v>7</v>
      </c>
      <c r="L657" s="5" t="s">
        <v>4978</v>
      </c>
      <c r="M657" t="s">
        <v>7478</v>
      </c>
      <c r="N657" s="5" t="s">
        <v>7571</v>
      </c>
      <c r="O657" t="s">
        <v>5072</v>
      </c>
      <c r="P657" t="s">
        <v>8021</v>
      </c>
      <c r="R657" s="1" t="b">
        <v>1</v>
      </c>
    </row>
    <row r="658" spans="1:18">
      <c r="A658" t="s">
        <v>3025</v>
      </c>
      <c r="B658" t="s">
        <v>11334</v>
      </c>
      <c r="C658" s="5" t="s">
        <v>7830</v>
      </c>
      <c r="D658" s="1">
        <v>6</v>
      </c>
      <c r="E658" s="1">
        <v>6</v>
      </c>
      <c r="F658" s="1">
        <v>276</v>
      </c>
      <c r="G658" s="1">
        <v>276</v>
      </c>
      <c r="H658" s="13" cm="1">
        <f t="array" ref="H658">_xlfn.LET(_xlpm.s,IFERROR(--F658,""),_xlpm.e,IFERROR(--G658,""),IF(OR(_xlpm.s="",_xlpm.e="",_xlpm.e&lt;_xlpm.s),"",_xlfn.LET(_xlpm.p,_xlfn.SEQUENCE(_xlpm.e-_xlpm.s+1,1,_xlpm.s,1),SUM(1/COUNTIFS($D:$D,D658,$E:$E,E658,$F:$F,"&lt;&gt;N/A",$G:$G,"&lt;&gt;N/A",$F:$F,"&lt;="&amp;_xlpm.p,$G:$G,"&gt;="&amp;_xlpm.p)))))</f>
        <v>1</v>
      </c>
      <c r="I658" t="s">
        <v>1506</v>
      </c>
      <c r="J658" s="5" t="s">
        <v>1552</v>
      </c>
      <c r="K658" s="5" t="s">
        <v>7</v>
      </c>
      <c r="L658" s="5" t="s">
        <v>4978</v>
      </c>
      <c r="M658" t="s">
        <v>7478</v>
      </c>
      <c r="N658" s="5" t="s">
        <v>7570</v>
      </c>
      <c r="O658" t="s">
        <v>5072</v>
      </c>
      <c r="P658" t="s">
        <v>8021</v>
      </c>
      <c r="R658" s="1" t="b">
        <v>1</v>
      </c>
    </row>
    <row r="659" spans="1:18">
      <c r="A659" t="s">
        <v>3025</v>
      </c>
      <c r="B659" t="s">
        <v>11335</v>
      </c>
      <c r="C659" s="5" t="s">
        <v>7824</v>
      </c>
      <c r="D659" s="1">
        <v>6</v>
      </c>
      <c r="E659" s="1">
        <v>7</v>
      </c>
      <c r="F659" s="1">
        <v>277</v>
      </c>
      <c r="G659" s="1">
        <v>288</v>
      </c>
      <c r="H659" s="13" cm="1">
        <f t="array" ref="H659">_xlfn.LET(_xlpm.s,IFERROR(--F659,""),_xlpm.e,IFERROR(--G659,""),IF(OR(_xlpm.s="",_xlpm.e="",_xlpm.e&lt;_xlpm.s),"",_xlfn.LET(_xlpm.p,_xlfn.SEQUENCE(_xlpm.e-_xlpm.s+1,1,_xlpm.s,1),SUM(1/COUNTIFS($D:$D,D659,$E:$E,E659,$F:$F,"&lt;&gt;N/A",$G:$G,"&lt;&gt;N/A",$F:$F,"&lt;="&amp;_xlpm.p,$G:$G,"&gt;="&amp;_xlpm.p)))))</f>
        <v>11.5</v>
      </c>
      <c r="I659" t="s">
        <v>7</v>
      </c>
      <c r="J659" s="5" t="s">
        <v>1540</v>
      </c>
      <c r="K659" s="5" t="s">
        <v>4974</v>
      </c>
      <c r="L659" s="5" t="s">
        <v>7</v>
      </c>
      <c r="M659" s="5" t="s">
        <v>7</v>
      </c>
      <c r="N659" s="5" t="s">
        <v>7</v>
      </c>
      <c r="O659" t="s">
        <v>778</v>
      </c>
      <c r="P659" t="s">
        <v>7834</v>
      </c>
      <c r="R659" s="1" t="b">
        <v>1</v>
      </c>
    </row>
    <row r="660" spans="1:18">
      <c r="A660" t="s">
        <v>3025</v>
      </c>
      <c r="B660" t="s">
        <v>11336</v>
      </c>
      <c r="C660" s="5" t="s">
        <v>7824</v>
      </c>
      <c r="D660" s="1">
        <v>6</v>
      </c>
      <c r="E660" s="1">
        <v>7</v>
      </c>
      <c r="F660" s="1">
        <v>288</v>
      </c>
      <c r="G660" s="1">
        <v>293</v>
      </c>
      <c r="H660" s="13" cm="1">
        <f t="array" ref="H660">_xlfn.LET(_xlpm.s,IFERROR(--F660,""),_xlpm.e,IFERROR(--G660,""),IF(OR(_xlpm.s="",_xlpm.e="",_xlpm.e&lt;_xlpm.s),"",_xlfn.LET(_xlpm.p,_xlfn.SEQUENCE(_xlpm.e-_xlpm.s+1,1,_xlpm.s,1),SUM(1/COUNTIFS($D:$D,D660,$E:$E,E660,$F:$F,"&lt;&gt;N/A",$G:$G,"&lt;&gt;N/A",$F:$F,"&lt;="&amp;_xlpm.p,$G:$G,"&gt;="&amp;_xlpm.p)))))</f>
        <v>5.5</v>
      </c>
      <c r="I660" t="s">
        <v>7</v>
      </c>
      <c r="J660" s="5" t="s">
        <v>1541</v>
      </c>
      <c r="K660" s="5" t="s">
        <v>1511</v>
      </c>
      <c r="L660" s="5" t="s">
        <v>7</v>
      </c>
      <c r="M660" s="5" t="s">
        <v>7</v>
      </c>
      <c r="N660" s="5" t="s">
        <v>7</v>
      </c>
      <c r="O660" t="s">
        <v>778</v>
      </c>
      <c r="P660" t="s">
        <v>7834</v>
      </c>
      <c r="R660" s="1" t="b">
        <v>1</v>
      </c>
    </row>
    <row r="661" spans="1:18">
      <c r="A661" t="s">
        <v>3025</v>
      </c>
      <c r="B661" t="s">
        <v>11337</v>
      </c>
      <c r="C661" s="5" t="s">
        <v>7824</v>
      </c>
      <c r="D661" s="1">
        <v>6</v>
      </c>
      <c r="E661" s="1">
        <v>7</v>
      </c>
      <c r="F661" s="1">
        <v>294</v>
      </c>
      <c r="G661" s="1">
        <v>305</v>
      </c>
      <c r="H661" s="13" cm="1">
        <f t="array" ref="H661">_xlfn.LET(_xlpm.s,IFERROR(--F661,""),_xlpm.e,IFERROR(--G661,""),IF(OR(_xlpm.s="",_xlpm.e="",_xlpm.e&lt;_xlpm.s),"",_xlfn.LET(_xlpm.p,_xlfn.SEQUENCE(_xlpm.e-_xlpm.s+1,1,_xlpm.s,1),SUM(1/COUNTIFS($D:$D,D661,$E:$E,E661,$F:$F,"&lt;&gt;N/A",$G:$G,"&lt;&gt;N/A",$F:$F,"&lt;="&amp;_xlpm.p,$G:$G,"&gt;="&amp;_xlpm.p)))))</f>
        <v>12</v>
      </c>
      <c r="I661" t="s">
        <v>1350</v>
      </c>
      <c r="J661" s="5" t="s">
        <v>1542</v>
      </c>
      <c r="K661" s="5" t="s">
        <v>7</v>
      </c>
      <c r="L661" s="5" t="s">
        <v>7</v>
      </c>
      <c r="M661" s="5" t="s">
        <v>7</v>
      </c>
      <c r="N661" s="5" t="s">
        <v>7</v>
      </c>
      <c r="O661" t="s">
        <v>778</v>
      </c>
      <c r="P661" t="s">
        <v>7834</v>
      </c>
      <c r="R661" s="1" t="b">
        <v>0</v>
      </c>
    </row>
    <row r="662" spans="1:18">
      <c r="A662" t="s">
        <v>3025</v>
      </c>
      <c r="B662" t="s">
        <v>11338</v>
      </c>
      <c r="C662" s="5" t="s">
        <v>7824</v>
      </c>
      <c r="D662" s="1">
        <v>6</v>
      </c>
      <c r="E662" s="1">
        <v>7</v>
      </c>
      <c r="F662" s="1">
        <v>306</v>
      </c>
      <c r="G662" s="1">
        <v>311</v>
      </c>
      <c r="H662" s="13" cm="1">
        <f t="array" ref="H662">_xlfn.LET(_xlpm.s,IFERROR(--F662,""),_xlpm.e,IFERROR(--G662,""),IF(OR(_xlpm.s="",_xlpm.e="",_xlpm.e&lt;_xlpm.s),"",_xlfn.LET(_xlpm.p,_xlfn.SEQUENCE(_xlpm.e-_xlpm.s+1,1,_xlpm.s,1),SUM(1/COUNTIFS($D:$D,D662,$E:$E,E662,$F:$F,"&lt;&gt;N/A",$G:$G,"&lt;&gt;N/A",$F:$F,"&lt;="&amp;_xlpm.p,$G:$G,"&gt;="&amp;_xlpm.p)))))</f>
        <v>5.5</v>
      </c>
      <c r="I662" t="s">
        <v>1506</v>
      </c>
      <c r="J662" s="5" t="s">
        <v>1543</v>
      </c>
      <c r="K662" s="5" t="s">
        <v>4979</v>
      </c>
      <c r="L662" s="5" t="s">
        <v>7</v>
      </c>
      <c r="M662" t="s">
        <v>7488</v>
      </c>
      <c r="N662" s="5" t="s">
        <v>2680</v>
      </c>
      <c r="O662" t="s">
        <v>5072</v>
      </c>
      <c r="P662" t="s">
        <v>8021</v>
      </c>
      <c r="Q662" s="5" t="s">
        <v>2509</v>
      </c>
      <c r="R662" s="1" t="b">
        <v>1</v>
      </c>
    </row>
    <row r="663" spans="1:18">
      <c r="A663" t="s">
        <v>3025</v>
      </c>
      <c r="B663" t="s">
        <v>11339</v>
      </c>
      <c r="C663" s="5" t="s">
        <v>7824</v>
      </c>
      <c r="D663" s="1">
        <v>6</v>
      </c>
      <c r="E663" s="1">
        <v>7</v>
      </c>
      <c r="F663" s="1">
        <v>311</v>
      </c>
      <c r="G663" s="1">
        <v>315</v>
      </c>
      <c r="H663" s="13" cm="1">
        <f t="array" ref="H663">_xlfn.LET(_xlpm.s,IFERROR(--F663,""),_xlpm.e,IFERROR(--G663,""),IF(OR(_xlpm.s="",_xlpm.e="",_xlpm.e&lt;_xlpm.s),"",_xlfn.LET(_xlpm.p,_xlfn.SEQUENCE(_xlpm.e-_xlpm.s+1,1,_xlpm.s,1),SUM(1/COUNTIFS($D:$D,D663,$E:$E,E663,$F:$F,"&lt;&gt;N/A",$G:$G,"&lt;&gt;N/A",$F:$F,"&lt;="&amp;_xlpm.p,$G:$G,"&gt;="&amp;_xlpm.p)))))</f>
        <v>4</v>
      </c>
      <c r="I663" t="s">
        <v>1506</v>
      </c>
      <c r="J663" s="5" t="s">
        <v>7612</v>
      </c>
      <c r="K663" s="5" t="s">
        <v>7</v>
      </c>
      <c r="L663" s="5" t="s">
        <v>7</v>
      </c>
      <c r="M663" t="s">
        <v>7487</v>
      </c>
      <c r="N663" s="5" t="s">
        <v>7489</v>
      </c>
      <c r="O663" t="s">
        <v>11522</v>
      </c>
      <c r="P663" t="s">
        <v>8092</v>
      </c>
      <c r="R663" s="1" t="b">
        <v>1</v>
      </c>
    </row>
    <row r="664" spans="1:18">
      <c r="A664" t="s">
        <v>3025</v>
      </c>
      <c r="B664" t="s">
        <v>11340</v>
      </c>
      <c r="C664" s="5" t="s">
        <v>7824</v>
      </c>
      <c r="D664" s="1">
        <v>6</v>
      </c>
      <c r="E664" s="1">
        <v>7</v>
      </c>
      <c r="F664" s="1">
        <v>315</v>
      </c>
      <c r="G664" s="1">
        <v>316</v>
      </c>
      <c r="H664" s="13" cm="1">
        <f t="array" ref="H664">_xlfn.LET(_xlpm.s,IFERROR(--F664,""),_xlpm.e,IFERROR(--G664,""),IF(OR(_xlpm.s="",_xlpm.e="",_xlpm.e&lt;_xlpm.s),"",_xlfn.LET(_xlpm.p,_xlfn.SEQUENCE(_xlpm.e-_xlpm.s+1,1,_xlpm.s,1),SUM(1/COUNTIFS($D:$D,D664,$E:$E,E664,$F:$F,"&lt;&gt;N/A",$G:$G,"&lt;&gt;N/A",$F:$F,"&lt;="&amp;_xlpm.p,$G:$G,"&gt;="&amp;_xlpm.p)))))</f>
        <v>1.5</v>
      </c>
      <c r="I664" t="s">
        <v>1506</v>
      </c>
      <c r="J664" s="5" t="s">
        <v>1544</v>
      </c>
      <c r="K664" s="5" t="s">
        <v>7</v>
      </c>
      <c r="L664" s="5" t="s">
        <v>4980</v>
      </c>
      <c r="M664" t="s">
        <v>7486</v>
      </c>
      <c r="N664" s="5" t="s">
        <v>7490</v>
      </c>
      <c r="O664" t="s">
        <v>5072</v>
      </c>
      <c r="P664" t="s">
        <v>8092</v>
      </c>
      <c r="R664" s="1" t="b">
        <v>1</v>
      </c>
    </row>
    <row r="665" spans="1:18">
      <c r="A665" t="s">
        <v>3025</v>
      </c>
      <c r="B665" t="s">
        <v>11341</v>
      </c>
      <c r="C665" s="5" t="s">
        <v>7824</v>
      </c>
      <c r="D665" s="1">
        <v>6</v>
      </c>
      <c r="E665" s="1">
        <v>7</v>
      </c>
      <c r="F665" s="1">
        <v>317</v>
      </c>
      <c r="G665" s="1">
        <v>318</v>
      </c>
      <c r="H665" s="13" cm="1">
        <f t="array" ref="H665">_xlfn.LET(_xlpm.s,IFERROR(--F665,""),_xlpm.e,IFERROR(--G665,""),IF(OR(_xlpm.s="",_xlpm.e="",_xlpm.e&lt;_xlpm.s),"",_xlfn.LET(_xlpm.p,_xlfn.SEQUENCE(_xlpm.e-_xlpm.s+1,1,_xlpm.s,1),SUM(1/COUNTIFS($D:$D,D665,$E:$E,E665,$F:$F,"&lt;&gt;N/A",$G:$G,"&lt;&gt;N/A",$F:$F,"&lt;="&amp;_xlpm.p,$G:$G,"&gt;="&amp;_xlpm.p)))))</f>
        <v>1.5</v>
      </c>
      <c r="I665" t="s">
        <v>1506</v>
      </c>
      <c r="J665" s="5" t="s">
        <v>1545</v>
      </c>
      <c r="K665" s="5" t="s">
        <v>7</v>
      </c>
      <c r="L665" s="5" t="s">
        <v>7</v>
      </c>
      <c r="M665" s="5" t="s">
        <v>7</v>
      </c>
      <c r="N665" s="5" t="s">
        <v>7</v>
      </c>
      <c r="O665" t="s">
        <v>778</v>
      </c>
      <c r="P665" t="s">
        <v>7834</v>
      </c>
      <c r="R665" s="1" t="b">
        <v>1</v>
      </c>
    </row>
    <row r="666" spans="1:18">
      <c r="A666" t="s">
        <v>3025</v>
      </c>
      <c r="B666" t="s">
        <v>11342</v>
      </c>
      <c r="C666" s="5" t="s">
        <v>7824</v>
      </c>
      <c r="D666" s="1">
        <v>6</v>
      </c>
      <c r="E666" s="1">
        <v>7</v>
      </c>
      <c r="F666" s="1">
        <v>318</v>
      </c>
      <c r="G666" s="1">
        <v>319</v>
      </c>
      <c r="H666" s="13" cm="1">
        <f t="array" ref="H666">_xlfn.LET(_xlpm.s,IFERROR(--F666,""),_xlpm.e,IFERROR(--G666,""),IF(OR(_xlpm.s="",_xlpm.e="",_xlpm.e&lt;_xlpm.s),"",_xlfn.LET(_xlpm.p,_xlfn.SEQUENCE(_xlpm.e-_xlpm.s+1,1,_xlpm.s,1),SUM(1/COUNTIFS($D:$D,D666,$E:$E,E666,$F:$F,"&lt;&gt;N/A",$G:$G,"&lt;&gt;N/A",$F:$F,"&lt;="&amp;_xlpm.p,$G:$G,"&gt;="&amp;_xlpm.p)))))</f>
        <v>1</v>
      </c>
      <c r="I666" t="s">
        <v>1506</v>
      </c>
      <c r="J666" s="5" t="s">
        <v>1629</v>
      </c>
      <c r="K666" s="5" t="s">
        <v>11509</v>
      </c>
      <c r="L666" s="5" t="s">
        <v>7</v>
      </c>
      <c r="M666" s="5" t="s">
        <v>7</v>
      </c>
      <c r="N666" s="5" t="s">
        <v>7</v>
      </c>
      <c r="O666" t="s">
        <v>778</v>
      </c>
      <c r="P666" t="s">
        <v>7834</v>
      </c>
      <c r="R666" s="1" t="b">
        <v>1</v>
      </c>
    </row>
    <row r="667" spans="1:18">
      <c r="A667" t="s">
        <v>3025</v>
      </c>
      <c r="B667" t="s">
        <v>11343</v>
      </c>
      <c r="C667" s="5" t="s">
        <v>7824</v>
      </c>
      <c r="D667" s="1">
        <v>6</v>
      </c>
      <c r="E667" s="1">
        <v>7</v>
      </c>
      <c r="F667" s="1">
        <v>319</v>
      </c>
      <c r="G667" s="1">
        <v>320</v>
      </c>
      <c r="H667" s="13" cm="1">
        <f t="array" ref="H667">_xlfn.LET(_xlpm.s,IFERROR(--F667,""),_xlpm.e,IFERROR(--G667,""),IF(OR(_xlpm.s="",_xlpm.e="",_xlpm.e&lt;_xlpm.s),"",_xlfn.LET(_xlpm.p,_xlfn.SEQUENCE(_xlpm.e-_xlpm.s+1,1,_xlpm.s,1),SUM(1/COUNTIFS($D:$D,D667,$E:$E,E667,$F:$F,"&lt;&gt;N/A",$G:$G,"&lt;&gt;N/A",$F:$F,"&lt;="&amp;_xlpm.p,$G:$G,"&gt;="&amp;_xlpm.p)))))</f>
        <v>1.5</v>
      </c>
      <c r="I667" t="s">
        <v>1506</v>
      </c>
      <c r="J667" s="5" t="s">
        <v>1546</v>
      </c>
      <c r="K667" s="5" t="s">
        <v>4981</v>
      </c>
      <c r="L667" s="5" t="s">
        <v>7</v>
      </c>
      <c r="M667" s="5" t="s">
        <v>7</v>
      </c>
      <c r="N667" s="5" t="s">
        <v>7</v>
      </c>
      <c r="O667" t="s">
        <v>778</v>
      </c>
      <c r="P667" t="s">
        <v>7834</v>
      </c>
      <c r="R667" s="1" t="b">
        <v>1</v>
      </c>
    </row>
    <row r="668" spans="1:18">
      <c r="A668" t="s">
        <v>3025</v>
      </c>
      <c r="B668" t="s">
        <v>11344</v>
      </c>
      <c r="C668" s="5" t="s">
        <v>7823</v>
      </c>
      <c r="D668" s="1">
        <v>6</v>
      </c>
      <c r="E668" s="1">
        <v>8</v>
      </c>
      <c r="F668" s="1">
        <v>321</v>
      </c>
      <c r="G668" s="1">
        <v>336</v>
      </c>
      <c r="H668" s="13" cm="1">
        <f t="array" ref="H668">_xlfn.LET(_xlpm.s,IFERROR(--F668,""),_xlpm.e,IFERROR(--G668,""),IF(OR(_xlpm.s="",_xlpm.e="",_xlpm.e&lt;_xlpm.s),"",_xlfn.LET(_xlpm.p,_xlfn.SEQUENCE(_xlpm.e-_xlpm.s+1,1,_xlpm.s,1),SUM(1/COUNTIFS($D:$D,D668,$E:$E,E668,$F:$F,"&lt;&gt;N/A",$G:$G,"&lt;&gt;N/A",$F:$F,"&lt;="&amp;_xlpm.p,$G:$G,"&gt;="&amp;_xlpm.p)))))</f>
        <v>15.5</v>
      </c>
      <c r="I668" t="s">
        <v>7</v>
      </c>
      <c r="J668" s="5" t="s">
        <v>1535</v>
      </c>
      <c r="K668" s="5" t="s">
        <v>7</v>
      </c>
      <c r="L668" s="5" t="s">
        <v>7</v>
      </c>
      <c r="M668" s="5" t="s">
        <v>7</v>
      </c>
      <c r="N668" s="5" t="s">
        <v>7</v>
      </c>
      <c r="O668" t="s">
        <v>778</v>
      </c>
      <c r="P668" t="s">
        <v>7834</v>
      </c>
      <c r="R668" s="1" t="b">
        <v>1</v>
      </c>
    </row>
    <row r="669" spans="1:18">
      <c r="A669" t="s">
        <v>3025</v>
      </c>
      <c r="B669" t="s">
        <v>11345</v>
      </c>
      <c r="C669" s="5" t="s">
        <v>7823</v>
      </c>
      <c r="D669" s="1">
        <v>6</v>
      </c>
      <c r="E669" s="1">
        <v>8</v>
      </c>
      <c r="F669" s="1">
        <v>336</v>
      </c>
      <c r="G669" s="1">
        <v>345</v>
      </c>
      <c r="H669" s="13" cm="1">
        <f t="array" ref="H669">_xlfn.LET(_xlpm.s,IFERROR(--F669,""),_xlpm.e,IFERROR(--G669,""),IF(OR(_xlpm.s="",_xlpm.e="",_xlpm.e&lt;_xlpm.s),"",_xlfn.LET(_xlpm.p,_xlfn.SEQUENCE(_xlpm.e-_xlpm.s+1,1,_xlpm.s,1),SUM(1/COUNTIFS($D:$D,D669,$E:$E,E669,$F:$F,"&lt;&gt;N/A",$G:$G,"&lt;&gt;N/A",$F:$F,"&lt;="&amp;_xlpm.p,$G:$G,"&gt;="&amp;_xlpm.p)))))</f>
        <v>8.8333333333333339</v>
      </c>
      <c r="I669" t="s">
        <v>1519</v>
      </c>
      <c r="J669" s="5" t="s">
        <v>1520</v>
      </c>
      <c r="K669" s="5" t="s">
        <v>1280</v>
      </c>
      <c r="L669" s="5" t="s">
        <v>7</v>
      </c>
      <c r="M669" s="5" t="s">
        <v>7</v>
      </c>
      <c r="N669" s="5" t="s">
        <v>7</v>
      </c>
      <c r="O669" t="s">
        <v>778</v>
      </c>
      <c r="P669" t="s">
        <v>7834</v>
      </c>
      <c r="R669" s="1" t="b">
        <v>1</v>
      </c>
    </row>
    <row r="670" spans="1:18">
      <c r="A670" t="s">
        <v>3025</v>
      </c>
      <c r="B670" t="s">
        <v>11346</v>
      </c>
      <c r="C670" s="5" t="s">
        <v>7823</v>
      </c>
      <c r="D670" s="1">
        <v>6</v>
      </c>
      <c r="E670" s="1">
        <v>8</v>
      </c>
      <c r="F670" s="1">
        <v>345</v>
      </c>
      <c r="G670" s="1">
        <v>345</v>
      </c>
      <c r="H670" s="13" cm="1">
        <f t="array" ref="H670">_xlfn.LET(_xlpm.s,IFERROR(--F670,""),_xlpm.e,IFERROR(--G670,""),IF(OR(_xlpm.s="",_xlpm.e="",_xlpm.e&lt;_xlpm.s),"",_xlfn.LET(_xlpm.p,_xlfn.SEQUENCE(_xlpm.e-_xlpm.s+1,1,_xlpm.s,1),SUM(1/COUNTIFS($D:$D,D670,$E:$E,E670,$F:$F,"&lt;&gt;N/A",$G:$G,"&lt;&gt;N/A",$F:$F,"&lt;="&amp;_xlpm.p,$G:$G,"&gt;="&amp;_xlpm.p)))))</f>
        <v>0.33333333333333331</v>
      </c>
      <c r="I670" t="s">
        <v>1350</v>
      </c>
      <c r="J670" s="5" t="s">
        <v>1536</v>
      </c>
      <c r="K670" s="5" t="s">
        <v>7</v>
      </c>
      <c r="L670" s="5" t="s">
        <v>7</v>
      </c>
      <c r="M670" s="5" t="s">
        <v>7</v>
      </c>
      <c r="N670" s="5" t="s">
        <v>7</v>
      </c>
      <c r="O670" t="s">
        <v>778</v>
      </c>
      <c r="P670" t="s">
        <v>7834</v>
      </c>
      <c r="R670" s="1" t="b">
        <v>0</v>
      </c>
    </row>
    <row r="671" spans="1:18">
      <c r="A671" t="s">
        <v>3025</v>
      </c>
      <c r="B671" t="s">
        <v>11347</v>
      </c>
      <c r="C671" s="5" t="s">
        <v>7823</v>
      </c>
      <c r="D671" s="1">
        <v>6</v>
      </c>
      <c r="E671" s="1">
        <v>8</v>
      </c>
      <c r="F671" s="1">
        <v>345</v>
      </c>
      <c r="G671" s="1">
        <v>346</v>
      </c>
      <c r="H671" s="13" cm="1">
        <f t="array" ref="H671">_xlfn.LET(_xlpm.s,IFERROR(--F671,""),_xlpm.e,IFERROR(--G671,""),IF(OR(_xlpm.s="",_xlpm.e="",_xlpm.e&lt;_xlpm.s),"",_xlfn.LET(_xlpm.p,_xlfn.SEQUENCE(_xlpm.e-_xlpm.s+1,1,_xlpm.s,1),SUM(1/COUNTIFS($D:$D,D671,$E:$E,E671,$F:$F,"&lt;&gt;N/A",$G:$G,"&lt;&gt;N/A",$F:$F,"&lt;="&amp;_xlpm.p,$G:$G,"&gt;="&amp;_xlpm.p)))))</f>
        <v>0.83333333333333326</v>
      </c>
      <c r="I671" t="s">
        <v>1350</v>
      </c>
      <c r="J671" s="5" t="s">
        <v>1537</v>
      </c>
      <c r="K671" s="5" t="s">
        <v>7</v>
      </c>
      <c r="L671" s="5" t="s">
        <v>7</v>
      </c>
      <c r="M671" s="5" t="s">
        <v>7</v>
      </c>
      <c r="N671" s="5" t="s">
        <v>7</v>
      </c>
      <c r="O671" t="s">
        <v>778</v>
      </c>
      <c r="P671" t="s">
        <v>7834</v>
      </c>
      <c r="R671" s="1" t="b">
        <v>0</v>
      </c>
    </row>
    <row r="672" spans="1:18">
      <c r="A672" t="s">
        <v>3025</v>
      </c>
      <c r="B672" t="s">
        <v>11348</v>
      </c>
      <c r="C672" s="5" t="s">
        <v>7823</v>
      </c>
      <c r="D672" s="1">
        <v>6</v>
      </c>
      <c r="E672" s="1">
        <v>8</v>
      </c>
      <c r="F672" s="1">
        <v>346</v>
      </c>
      <c r="G672" s="1">
        <v>350</v>
      </c>
      <c r="H672" s="13" cm="1">
        <f t="array" ref="H672">_xlfn.LET(_xlpm.s,IFERROR(--F672,""),_xlpm.e,IFERROR(--G672,""),IF(OR(_xlpm.s="",_xlpm.e="",_xlpm.e&lt;_xlpm.s),"",_xlfn.LET(_xlpm.p,_xlfn.SEQUENCE(_xlpm.e-_xlpm.s+1,1,_xlpm.s,1),SUM(1/COUNTIFS($D:$D,D672,$E:$E,E672,$F:$F,"&lt;&gt;N/A",$G:$G,"&lt;&gt;N/A",$F:$F,"&lt;="&amp;_xlpm.p,$G:$G,"&gt;="&amp;_xlpm.p)))))</f>
        <v>4.5</v>
      </c>
      <c r="I672" t="s">
        <v>1350</v>
      </c>
      <c r="J672" s="5" t="s">
        <v>1538</v>
      </c>
      <c r="K672" s="5" t="s">
        <v>7</v>
      </c>
      <c r="L672" s="5" t="s">
        <v>7</v>
      </c>
      <c r="M672" s="5" t="s">
        <v>7</v>
      </c>
      <c r="N672" s="5" t="s">
        <v>7</v>
      </c>
      <c r="O672" t="s">
        <v>778</v>
      </c>
      <c r="P672" t="s">
        <v>7834</v>
      </c>
      <c r="R672" s="1" t="b">
        <v>0</v>
      </c>
    </row>
    <row r="673" spans="1:18">
      <c r="A673" t="s">
        <v>3025</v>
      </c>
      <c r="B673" t="s">
        <v>11349</v>
      </c>
      <c r="C673" s="5" t="s">
        <v>7823</v>
      </c>
      <c r="D673" s="1">
        <v>6</v>
      </c>
      <c r="E673" s="1">
        <v>8</v>
      </c>
      <c r="F673" s="1">
        <v>351</v>
      </c>
      <c r="G673" s="1">
        <v>360</v>
      </c>
      <c r="H673" s="13" cm="1">
        <f t="array" ref="H673">_xlfn.LET(_xlpm.s,IFERROR(--F673,""),_xlpm.e,IFERROR(--G673,""),IF(OR(_xlpm.s="",_xlpm.e="",_xlpm.e&lt;_xlpm.s),"",_xlfn.LET(_xlpm.p,_xlfn.SEQUENCE(_xlpm.e-_xlpm.s+1,1,_xlpm.s,1),SUM(1/COUNTIFS($D:$D,D673,$E:$E,E673,$F:$F,"&lt;&gt;N/A",$G:$G,"&lt;&gt;N/A",$F:$F,"&lt;="&amp;_xlpm.p,$G:$G,"&gt;="&amp;_xlpm.p)))))</f>
        <v>10</v>
      </c>
      <c r="I673" t="s">
        <v>1506</v>
      </c>
      <c r="J673" s="5" t="s">
        <v>1539</v>
      </c>
      <c r="K673" s="5" t="s">
        <v>4982</v>
      </c>
      <c r="L673" s="5" t="s">
        <v>4983</v>
      </c>
      <c r="M673" t="s">
        <v>7497</v>
      </c>
      <c r="N673" s="5" t="s">
        <v>7668</v>
      </c>
      <c r="O673" t="s">
        <v>5072</v>
      </c>
      <c r="P673" t="s">
        <v>8092</v>
      </c>
      <c r="Q673" s="5" t="s">
        <v>2509</v>
      </c>
      <c r="R673" s="1" t="b">
        <v>1</v>
      </c>
    </row>
    <row r="674" spans="1:18">
      <c r="A674" t="s">
        <v>3025</v>
      </c>
      <c r="B674" t="s">
        <v>11350</v>
      </c>
      <c r="C674" s="5" t="s">
        <v>7829</v>
      </c>
      <c r="D674" s="1">
        <v>6</v>
      </c>
      <c r="E674" s="1">
        <v>9</v>
      </c>
      <c r="F674" s="1">
        <v>361</v>
      </c>
      <c r="G674" s="1">
        <v>373</v>
      </c>
      <c r="H674" s="13" cm="1">
        <f t="array" ref="H674">_xlfn.LET(_xlpm.s,IFERROR(--F674,""),_xlpm.e,IFERROR(--G674,""),IF(OR(_xlpm.s="",_xlpm.e="",_xlpm.e&lt;_xlpm.s),"",_xlfn.LET(_xlpm.p,_xlfn.SEQUENCE(_xlpm.e-_xlpm.s+1,1,_xlpm.s,1),SUM(1/COUNTIFS($D:$D,D674,$E:$E,E674,$F:$F,"&lt;&gt;N/A",$G:$G,"&lt;&gt;N/A",$F:$F,"&lt;="&amp;_xlpm.p,$G:$G,"&gt;="&amp;_xlpm.p)))))</f>
        <v>12.5</v>
      </c>
      <c r="I674" t="s">
        <v>7</v>
      </c>
      <c r="J674" s="5" t="s">
        <v>3214</v>
      </c>
      <c r="K674" s="5" t="s">
        <v>4974</v>
      </c>
      <c r="L674" s="5" t="s">
        <v>7</v>
      </c>
      <c r="M674" s="5" t="s">
        <v>7</v>
      </c>
      <c r="N674" s="5" t="s">
        <v>7</v>
      </c>
      <c r="O674" t="s">
        <v>778</v>
      </c>
      <c r="P674" t="s">
        <v>7834</v>
      </c>
      <c r="R674" s="1" t="b">
        <v>1</v>
      </c>
    </row>
    <row r="675" spans="1:18">
      <c r="A675" t="s">
        <v>3025</v>
      </c>
      <c r="B675" t="s">
        <v>11351</v>
      </c>
      <c r="C675" s="5" t="s">
        <v>7829</v>
      </c>
      <c r="D675" s="1">
        <v>6</v>
      </c>
      <c r="E675" s="1">
        <v>9</v>
      </c>
      <c r="F675" s="1">
        <v>373</v>
      </c>
      <c r="G675" s="1">
        <v>375</v>
      </c>
      <c r="H675" s="13" cm="1">
        <f t="array" ref="H675">_xlfn.LET(_xlpm.s,IFERROR(--F675,""),_xlpm.e,IFERROR(--G675,""),IF(OR(_xlpm.s="",_xlpm.e="",_xlpm.e&lt;_xlpm.s),"",_xlfn.LET(_xlpm.p,_xlfn.SEQUENCE(_xlpm.e-_xlpm.s+1,1,_xlpm.s,1),SUM(1/COUNTIFS($D:$D,D675,$E:$E,E675,$F:$F,"&lt;&gt;N/A",$G:$G,"&lt;&gt;N/A",$F:$F,"&lt;="&amp;_xlpm.p,$G:$G,"&gt;="&amp;_xlpm.p)))))</f>
        <v>2</v>
      </c>
      <c r="I675" t="s">
        <v>7</v>
      </c>
      <c r="J675" s="5" t="s">
        <v>1529</v>
      </c>
      <c r="K675" s="5" t="s">
        <v>1531</v>
      </c>
      <c r="L675" s="5" t="s">
        <v>7</v>
      </c>
      <c r="M675" s="5" t="s">
        <v>7</v>
      </c>
      <c r="N675" s="5" t="s">
        <v>7</v>
      </c>
      <c r="O675" t="s">
        <v>778</v>
      </c>
      <c r="P675" t="s">
        <v>7834</v>
      </c>
      <c r="R675" s="1" t="b">
        <v>1</v>
      </c>
    </row>
    <row r="676" spans="1:18">
      <c r="A676" t="s">
        <v>3025</v>
      </c>
      <c r="B676" t="s">
        <v>11352</v>
      </c>
      <c r="C676" s="5" t="s">
        <v>7829</v>
      </c>
      <c r="D676" s="1">
        <v>6</v>
      </c>
      <c r="E676" s="1">
        <v>9</v>
      </c>
      <c r="F676" s="1">
        <v>375</v>
      </c>
      <c r="G676" s="1">
        <v>381</v>
      </c>
      <c r="H676" s="13" cm="1">
        <f t="array" ref="H676">_xlfn.LET(_xlpm.s,IFERROR(--F676,""),_xlpm.e,IFERROR(--G676,""),IF(OR(_xlpm.s="",_xlpm.e="",_xlpm.e&lt;_xlpm.s),"",_xlfn.LET(_xlpm.p,_xlfn.SEQUENCE(_xlpm.e-_xlpm.s+1,1,_xlpm.s,1),SUM(1/COUNTIFS($D:$D,D676,$E:$E,E676,$F:$F,"&lt;&gt;N/A",$G:$G,"&lt;&gt;N/A",$F:$F,"&lt;="&amp;_xlpm.p,$G:$G,"&gt;="&amp;_xlpm.p)))))</f>
        <v>6.5</v>
      </c>
      <c r="I676" t="s">
        <v>1350</v>
      </c>
      <c r="J676" s="5" t="s">
        <v>1530</v>
      </c>
      <c r="K676" s="5" t="s">
        <v>7</v>
      </c>
      <c r="L676" s="5" t="s">
        <v>7</v>
      </c>
      <c r="M676" s="5" t="s">
        <v>7</v>
      </c>
      <c r="N676" s="5" t="s">
        <v>7</v>
      </c>
      <c r="O676" t="s">
        <v>778</v>
      </c>
      <c r="P676" t="s">
        <v>7834</v>
      </c>
      <c r="R676" s="1" t="b">
        <v>0</v>
      </c>
    </row>
    <row r="677" spans="1:18">
      <c r="A677" t="s">
        <v>3025</v>
      </c>
      <c r="B677" t="s">
        <v>11353</v>
      </c>
      <c r="C677" s="5" t="s">
        <v>7829</v>
      </c>
      <c r="D677" s="1">
        <v>6</v>
      </c>
      <c r="E677" s="1">
        <v>9</v>
      </c>
      <c r="F677" s="1">
        <v>382</v>
      </c>
      <c r="G677" s="1">
        <v>392</v>
      </c>
      <c r="H677" s="13" cm="1">
        <f t="array" ref="H677">_xlfn.LET(_xlpm.s,IFERROR(--F677,""),_xlpm.e,IFERROR(--G677,""),IF(OR(_xlpm.s="",_xlpm.e="",_xlpm.e&lt;_xlpm.s),"",_xlfn.LET(_xlpm.p,_xlfn.SEQUENCE(_xlpm.e-_xlpm.s+1,1,_xlpm.s,1),SUM(1/COUNTIFS($D:$D,D677,$E:$E,E677,$F:$F,"&lt;&gt;N/A",$G:$G,"&lt;&gt;N/A",$F:$F,"&lt;="&amp;_xlpm.p,$G:$G,"&gt;="&amp;_xlpm.p)))))</f>
        <v>11</v>
      </c>
      <c r="I677" t="s">
        <v>1506</v>
      </c>
      <c r="J677" s="5" t="s">
        <v>7623</v>
      </c>
      <c r="K677" s="5" t="s">
        <v>7</v>
      </c>
      <c r="L677" s="5" t="s">
        <v>4984</v>
      </c>
      <c r="M677" t="s">
        <v>7497</v>
      </c>
      <c r="N677" s="5" t="s">
        <v>7668</v>
      </c>
      <c r="O677" t="s">
        <v>5072</v>
      </c>
      <c r="P677" t="s">
        <v>8092</v>
      </c>
      <c r="Q677" s="5" t="s">
        <v>2509</v>
      </c>
      <c r="R677" s="1" t="b">
        <v>1</v>
      </c>
    </row>
    <row r="678" spans="1:18">
      <c r="A678" t="s">
        <v>3025</v>
      </c>
      <c r="B678" t="s">
        <v>11354</v>
      </c>
      <c r="C678" s="5" t="s">
        <v>7829</v>
      </c>
      <c r="D678" s="1">
        <v>6</v>
      </c>
      <c r="E678" s="1">
        <v>9</v>
      </c>
      <c r="F678" s="1">
        <v>393</v>
      </c>
      <c r="G678" s="1">
        <v>399</v>
      </c>
      <c r="H678" s="13" cm="1">
        <f t="array" ref="H678">_xlfn.LET(_xlpm.s,IFERROR(--F678,""),_xlpm.e,IFERROR(--G678,""),IF(OR(_xlpm.s="",_xlpm.e="",_xlpm.e&lt;_xlpm.s),"",_xlfn.LET(_xlpm.p,_xlfn.SEQUENCE(_xlpm.e-_xlpm.s+1,1,_xlpm.s,1),SUM(1/COUNTIFS($D:$D,D678,$E:$E,E678,$F:$F,"&lt;&gt;N/A",$G:$G,"&lt;&gt;N/A",$F:$F,"&lt;="&amp;_xlpm.p,$G:$G,"&gt;="&amp;_xlpm.p)))))</f>
        <v>6.5</v>
      </c>
      <c r="I678" t="s">
        <v>1506</v>
      </c>
      <c r="J678" s="5" t="s">
        <v>7593</v>
      </c>
      <c r="K678" s="5" t="s">
        <v>7</v>
      </c>
      <c r="L678" s="5" t="s">
        <v>4985</v>
      </c>
      <c r="M678" t="s">
        <v>7496</v>
      </c>
      <c r="N678" s="5" t="s">
        <v>2979</v>
      </c>
      <c r="O678" t="s">
        <v>5072</v>
      </c>
      <c r="P678" t="s">
        <v>8021</v>
      </c>
      <c r="Q678" s="5" t="s">
        <v>2509</v>
      </c>
      <c r="R678" s="1" t="b">
        <v>1</v>
      </c>
    </row>
    <row r="679" spans="1:18">
      <c r="A679" t="s">
        <v>3025</v>
      </c>
      <c r="B679" t="s">
        <v>11355</v>
      </c>
      <c r="C679" s="5" t="s">
        <v>7829</v>
      </c>
      <c r="D679" s="1">
        <v>6</v>
      </c>
      <c r="E679" s="1">
        <v>9</v>
      </c>
      <c r="F679" s="1">
        <v>399</v>
      </c>
      <c r="G679" s="1">
        <v>401</v>
      </c>
      <c r="H679" s="13" cm="1">
        <f t="array" ref="H679">_xlfn.LET(_xlpm.s,IFERROR(--F679,""),_xlpm.e,IFERROR(--G679,""),IF(OR(_xlpm.s="",_xlpm.e="",_xlpm.e&lt;_xlpm.s),"",_xlfn.LET(_xlpm.p,_xlfn.SEQUENCE(_xlpm.e-_xlpm.s+1,1,_xlpm.s,1),SUM(1/COUNTIFS($D:$D,D679,$E:$E,E679,$F:$F,"&lt;&gt;N/A",$G:$G,"&lt;&gt;N/A",$F:$F,"&lt;="&amp;_xlpm.p,$G:$G,"&gt;="&amp;_xlpm.p)))))</f>
        <v>2</v>
      </c>
      <c r="I679" t="s">
        <v>1506</v>
      </c>
      <c r="J679" s="5" t="s">
        <v>7592</v>
      </c>
      <c r="K679" s="5" t="s">
        <v>7</v>
      </c>
      <c r="L679" s="5" t="s">
        <v>4986</v>
      </c>
      <c r="M679" t="s">
        <v>7478</v>
      </c>
      <c r="N679" s="5" t="s">
        <v>7614</v>
      </c>
      <c r="O679" t="s">
        <v>5072</v>
      </c>
      <c r="P679" t="s">
        <v>8021</v>
      </c>
      <c r="Q679" s="5" t="s">
        <v>2509</v>
      </c>
      <c r="R679" s="1" t="b">
        <v>1</v>
      </c>
    </row>
    <row r="680" spans="1:18">
      <c r="A680" t="s">
        <v>3025</v>
      </c>
      <c r="B680" t="s">
        <v>11356</v>
      </c>
      <c r="C680" s="5" t="s">
        <v>7829</v>
      </c>
      <c r="D680" s="1">
        <v>6</v>
      </c>
      <c r="E680" s="1">
        <v>9</v>
      </c>
      <c r="F680" s="1">
        <v>401</v>
      </c>
      <c r="G680" s="1">
        <v>403</v>
      </c>
      <c r="H680" s="13" cm="1">
        <f t="array" ref="H680">_xlfn.LET(_xlpm.s,IFERROR(--F680,""),_xlpm.e,IFERROR(--G680,""),IF(OR(_xlpm.s="",_xlpm.e="",_xlpm.e&lt;_xlpm.s),"",_xlfn.LET(_xlpm.p,_xlfn.SEQUENCE(_xlpm.e-_xlpm.s+1,1,_xlpm.s,1),SUM(1/COUNTIFS($D:$D,D680,$E:$E,E680,$F:$F,"&lt;&gt;N/A",$G:$G,"&lt;&gt;N/A",$F:$F,"&lt;="&amp;_xlpm.p,$G:$G,"&gt;="&amp;_xlpm.p)))))</f>
        <v>1.8333333333333333</v>
      </c>
      <c r="I680" t="s">
        <v>1506</v>
      </c>
      <c r="J680" s="5" t="s">
        <v>1532</v>
      </c>
      <c r="K680" s="5" t="s">
        <v>1533</v>
      </c>
      <c r="L680" s="5" t="s">
        <v>4523</v>
      </c>
      <c r="M680" t="s">
        <v>7488</v>
      </c>
      <c r="N680" s="5" t="s">
        <v>7594</v>
      </c>
      <c r="O680" t="s">
        <v>5072</v>
      </c>
      <c r="P680" t="s">
        <v>8092</v>
      </c>
      <c r="Q680" s="5" t="s">
        <v>11531</v>
      </c>
      <c r="R680" s="1" t="b">
        <v>1</v>
      </c>
    </row>
    <row r="681" spans="1:18">
      <c r="A681" t="s">
        <v>3025</v>
      </c>
      <c r="B681" t="s">
        <v>11357</v>
      </c>
      <c r="C681" s="5" t="s">
        <v>7829</v>
      </c>
      <c r="D681" s="1">
        <v>6</v>
      </c>
      <c r="E681" s="1">
        <v>9</v>
      </c>
      <c r="F681" s="1">
        <v>403</v>
      </c>
      <c r="G681" s="1">
        <v>403</v>
      </c>
      <c r="H681" s="13" cm="1">
        <f t="array" ref="H681">_xlfn.LET(_xlpm.s,IFERROR(--F681,""),_xlpm.e,IFERROR(--G681,""),IF(OR(_xlpm.s="",_xlpm.e="",_xlpm.e&lt;_xlpm.s),"",_xlfn.LET(_xlpm.p,_xlfn.SEQUENCE(_xlpm.e-_xlpm.s+1,1,_xlpm.s,1),SUM(1/COUNTIFS($D:$D,D681,$E:$E,E681,$F:$F,"&lt;&gt;N/A",$G:$G,"&lt;&gt;N/A",$F:$F,"&lt;="&amp;_xlpm.p,$G:$G,"&gt;="&amp;_xlpm.p)))))</f>
        <v>0.33333333333333331</v>
      </c>
      <c r="I681" t="s">
        <v>1506</v>
      </c>
      <c r="J681" s="5" t="s">
        <v>1362</v>
      </c>
      <c r="K681" s="5" t="s">
        <v>7</v>
      </c>
      <c r="L681" s="5" t="s">
        <v>4987</v>
      </c>
      <c r="M681" s="5" t="s">
        <v>7</v>
      </c>
      <c r="N681" s="5" t="s">
        <v>7</v>
      </c>
      <c r="O681" t="s">
        <v>11522</v>
      </c>
      <c r="P681" t="s">
        <v>8034</v>
      </c>
      <c r="R681" s="1" t="b">
        <v>1</v>
      </c>
    </row>
    <row r="682" spans="1:18">
      <c r="A682" t="s">
        <v>3025</v>
      </c>
      <c r="B682" t="s">
        <v>11358</v>
      </c>
      <c r="C682" s="5" t="s">
        <v>7829</v>
      </c>
      <c r="D682" s="1">
        <v>6</v>
      </c>
      <c r="E682" s="1">
        <v>9</v>
      </c>
      <c r="F682" s="1">
        <v>403</v>
      </c>
      <c r="G682" s="1">
        <v>404</v>
      </c>
      <c r="H682" s="13" cm="1">
        <f t="array" ref="H682">_xlfn.LET(_xlpm.s,IFERROR(--F682,""),_xlpm.e,IFERROR(--G682,""),IF(OR(_xlpm.s="",_xlpm.e="",_xlpm.e&lt;_xlpm.s),"",_xlfn.LET(_xlpm.p,_xlfn.SEQUENCE(_xlpm.e-_xlpm.s+1,1,_xlpm.s,1),SUM(1/COUNTIFS($D:$D,D682,$E:$E,E682,$F:$F,"&lt;&gt;N/A",$G:$G,"&lt;&gt;N/A",$F:$F,"&lt;="&amp;_xlpm.p,$G:$G,"&gt;="&amp;_xlpm.p)))))</f>
        <v>1.3333333333333333</v>
      </c>
      <c r="I682" t="s">
        <v>1506</v>
      </c>
      <c r="J682" s="5" t="s">
        <v>1534</v>
      </c>
      <c r="K682" s="5" t="s">
        <v>11509</v>
      </c>
      <c r="L682" s="5" t="s">
        <v>7</v>
      </c>
      <c r="M682" s="5" t="s">
        <v>7</v>
      </c>
      <c r="N682" s="5" t="s">
        <v>7</v>
      </c>
      <c r="O682" t="s">
        <v>778</v>
      </c>
      <c r="P682" t="s">
        <v>7834</v>
      </c>
      <c r="R682" s="1" t="b">
        <v>1</v>
      </c>
    </row>
    <row r="683" spans="1:18">
      <c r="A683" t="s">
        <v>3025</v>
      </c>
      <c r="B683" t="s">
        <v>11359</v>
      </c>
      <c r="C683" s="5" t="s">
        <v>7828</v>
      </c>
      <c r="D683" s="1">
        <v>6</v>
      </c>
      <c r="E683" s="1">
        <v>10</v>
      </c>
      <c r="F683" s="1">
        <v>405</v>
      </c>
      <c r="G683" s="1">
        <v>415</v>
      </c>
      <c r="H683" s="13" cm="1">
        <f t="array" ref="H683">_xlfn.LET(_xlpm.s,IFERROR(--F683,""),_xlpm.e,IFERROR(--G683,""),IF(OR(_xlpm.s="",_xlpm.e="",_xlpm.e&lt;_xlpm.s),"",_xlfn.LET(_xlpm.p,_xlfn.SEQUENCE(_xlpm.e-_xlpm.s+1,1,_xlpm.s,1),SUM(1/COUNTIFS($D:$D,D683,$E:$E,E683,$F:$F,"&lt;&gt;N/A",$G:$G,"&lt;&gt;N/A",$F:$F,"&lt;="&amp;_xlpm.p,$G:$G,"&gt;="&amp;_xlpm.p)))))</f>
        <v>11</v>
      </c>
      <c r="I683" t="s">
        <v>7</v>
      </c>
      <c r="J683" s="5" t="s">
        <v>1509</v>
      </c>
      <c r="K683" s="5" t="s">
        <v>7</v>
      </c>
      <c r="L683" s="5" t="s">
        <v>7</v>
      </c>
      <c r="M683" s="5" t="s">
        <v>7</v>
      </c>
      <c r="N683" s="5" t="s">
        <v>7</v>
      </c>
      <c r="O683" t="s">
        <v>778</v>
      </c>
      <c r="P683" t="s">
        <v>7834</v>
      </c>
      <c r="R683" s="1" t="b">
        <v>1</v>
      </c>
    </row>
    <row r="684" spans="1:18">
      <c r="A684" t="s">
        <v>3025</v>
      </c>
      <c r="B684" t="s">
        <v>11360</v>
      </c>
      <c r="C684" s="5" t="s">
        <v>7828</v>
      </c>
      <c r="D684" s="1">
        <v>6</v>
      </c>
      <c r="E684" s="1">
        <v>10</v>
      </c>
      <c r="F684" s="1">
        <v>416</v>
      </c>
      <c r="G684" s="1">
        <v>432</v>
      </c>
      <c r="H684" s="13" cm="1">
        <f t="array" ref="H684">_xlfn.LET(_xlpm.s,IFERROR(--F684,""),_xlpm.e,IFERROR(--G684,""),IF(OR(_xlpm.s="",_xlpm.e="",_xlpm.e&lt;_xlpm.s),"",_xlfn.LET(_xlpm.p,_xlfn.SEQUENCE(_xlpm.e-_xlpm.s+1,1,_xlpm.s,1),SUM(1/COUNTIFS($D:$D,D684,$E:$E,E684,$F:$F,"&lt;&gt;N/A",$G:$G,"&lt;&gt;N/A",$F:$F,"&lt;="&amp;_xlpm.p,$G:$G,"&gt;="&amp;_xlpm.p)))))</f>
        <v>17</v>
      </c>
      <c r="I684" t="s">
        <v>7</v>
      </c>
      <c r="J684" s="5" t="s">
        <v>1510</v>
      </c>
      <c r="K684" s="5" t="s">
        <v>1511</v>
      </c>
      <c r="L684" s="5" t="s">
        <v>7</v>
      </c>
      <c r="M684" s="5" t="s">
        <v>7</v>
      </c>
      <c r="N684" s="5" t="s">
        <v>7</v>
      </c>
      <c r="O684" t="s">
        <v>778</v>
      </c>
      <c r="P684" t="s">
        <v>7834</v>
      </c>
      <c r="R684" s="1" t="b">
        <v>1</v>
      </c>
    </row>
    <row r="685" spans="1:18">
      <c r="A685" t="s">
        <v>3025</v>
      </c>
      <c r="B685" t="s">
        <v>11361</v>
      </c>
      <c r="C685" s="5" t="s">
        <v>7828</v>
      </c>
      <c r="D685" s="1">
        <v>6</v>
      </c>
      <c r="E685" s="1">
        <v>10</v>
      </c>
      <c r="F685" s="1">
        <v>433</v>
      </c>
      <c r="G685" s="1">
        <v>439</v>
      </c>
      <c r="H685" s="13" cm="1">
        <f t="array" ref="H685">_xlfn.LET(_xlpm.s,IFERROR(--F685,""),_xlpm.e,IFERROR(--G685,""),IF(OR(_xlpm.s="",_xlpm.e="",_xlpm.e&lt;_xlpm.s),"",_xlfn.LET(_xlpm.p,_xlfn.SEQUENCE(_xlpm.e-_xlpm.s+1,1,_xlpm.s,1),SUM(1/COUNTIFS($D:$D,D685,$E:$E,E685,$F:$F,"&lt;&gt;N/A",$G:$G,"&lt;&gt;N/A",$F:$F,"&lt;="&amp;_xlpm.p,$G:$G,"&gt;="&amp;_xlpm.p)))))</f>
        <v>6.5</v>
      </c>
      <c r="I685" t="s">
        <v>1506</v>
      </c>
      <c r="J685" s="5" t="s">
        <v>1512</v>
      </c>
      <c r="K685" s="5" t="s">
        <v>1280</v>
      </c>
      <c r="L685" s="5" t="s">
        <v>7</v>
      </c>
      <c r="M685" s="5" t="s">
        <v>7</v>
      </c>
      <c r="N685" s="5" t="s">
        <v>7</v>
      </c>
      <c r="O685" t="s">
        <v>778</v>
      </c>
      <c r="P685" t="s">
        <v>7834</v>
      </c>
      <c r="R685" s="1" t="b">
        <v>1</v>
      </c>
    </row>
    <row r="686" spans="1:18">
      <c r="A686" t="s">
        <v>3025</v>
      </c>
      <c r="B686" t="s">
        <v>11362</v>
      </c>
      <c r="C686" s="5" t="s">
        <v>7828</v>
      </c>
      <c r="D686" s="1">
        <v>6</v>
      </c>
      <c r="E686" s="1">
        <v>10</v>
      </c>
      <c r="F686" s="1">
        <v>439</v>
      </c>
      <c r="G686" s="1">
        <v>444</v>
      </c>
      <c r="H686" s="13" cm="1">
        <f t="array" ref="H686">_xlfn.LET(_xlpm.s,IFERROR(--F686,""),_xlpm.e,IFERROR(--G686,""),IF(OR(_xlpm.s="",_xlpm.e="",_xlpm.e&lt;_xlpm.s),"",_xlfn.LET(_xlpm.p,_xlfn.SEQUENCE(_xlpm.e-_xlpm.s+1,1,_xlpm.s,1),SUM(1/COUNTIFS($D:$D,D686,$E:$E,E686,$F:$F,"&lt;&gt;N/A",$G:$G,"&lt;&gt;N/A",$F:$F,"&lt;="&amp;_xlpm.p,$G:$G,"&gt;="&amp;_xlpm.p)))))</f>
        <v>5.5</v>
      </c>
      <c r="I686" t="s">
        <v>1506</v>
      </c>
      <c r="J686" s="5" t="s">
        <v>11404</v>
      </c>
      <c r="K686" s="5" t="s">
        <v>4988</v>
      </c>
      <c r="L686" s="5" t="s">
        <v>7580</v>
      </c>
      <c r="M686" s="5" t="s">
        <v>7183</v>
      </c>
      <c r="N686" s="5" t="s">
        <v>2076</v>
      </c>
      <c r="O686" t="s">
        <v>5072</v>
      </c>
      <c r="P686" t="s">
        <v>8021</v>
      </c>
      <c r="Q686" s="5" t="s">
        <v>2509</v>
      </c>
      <c r="R686" s="1" t="b">
        <v>1</v>
      </c>
    </row>
    <row r="687" spans="1:18">
      <c r="A687" t="s">
        <v>3025</v>
      </c>
      <c r="B687" t="s">
        <v>11363</v>
      </c>
      <c r="C687" s="5" t="s">
        <v>7826</v>
      </c>
      <c r="D687" s="1">
        <v>6</v>
      </c>
      <c r="E687" s="1">
        <v>11</v>
      </c>
      <c r="F687" s="1">
        <v>445</v>
      </c>
      <c r="G687" s="1">
        <v>449</v>
      </c>
      <c r="H687" s="13" cm="1">
        <f t="array" ref="H687">_xlfn.LET(_xlpm.s,IFERROR(--F687,""),_xlpm.e,IFERROR(--G687,""),IF(OR(_xlpm.s="",_xlpm.e="",_xlpm.e&lt;_xlpm.s),"",_xlfn.LET(_xlpm.p,_xlfn.SEQUENCE(_xlpm.e-_xlpm.s+1,1,_xlpm.s,1),SUM(1/COUNTIFS($D:$D,D687,$E:$E,E687,$F:$F,"&lt;&gt;N/A",$G:$G,"&lt;&gt;N/A",$F:$F,"&lt;="&amp;_xlpm.p,$G:$G,"&gt;="&amp;_xlpm.p)))))</f>
        <v>4.5</v>
      </c>
      <c r="I687" t="s">
        <v>1350</v>
      </c>
      <c r="J687" s="5" t="s">
        <v>1513</v>
      </c>
      <c r="K687" s="5" t="s">
        <v>7</v>
      </c>
      <c r="L687" s="5" t="s">
        <v>7</v>
      </c>
      <c r="M687" s="5" t="s">
        <v>7</v>
      </c>
      <c r="N687" s="5" t="s">
        <v>7</v>
      </c>
      <c r="O687" t="s">
        <v>778</v>
      </c>
      <c r="P687" t="s">
        <v>7834</v>
      </c>
      <c r="R687" s="1" t="b">
        <v>1</v>
      </c>
    </row>
    <row r="688" spans="1:18">
      <c r="A688" t="s">
        <v>3025</v>
      </c>
      <c r="B688" t="s">
        <v>11364</v>
      </c>
      <c r="C688" s="5" t="s">
        <v>7826</v>
      </c>
      <c r="D688" s="1">
        <v>6</v>
      </c>
      <c r="E688" s="1">
        <v>11</v>
      </c>
      <c r="F688" s="1">
        <v>449</v>
      </c>
      <c r="G688" s="1">
        <v>451</v>
      </c>
      <c r="H688" s="13" cm="1">
        <f t="array" ref="H688">_xlfn.LET(_xlpm.s,IFERROR(--F688,""),_xlpm.e,IFERROR(--G688,""),IF(OR(_xlpm.s="",_xlpm.e="",_xlpm.e&lt;_xlpm.s),"",_xlfn.LET(_xlpm.p,_xlfn.SEQUENCE(_xlpm.e-_xlpm.s+1,1,_xlpm.s,1),SUM(1/COUNTIFS($D:$D,D688,$E:$E,E688,$F:$F,"&lt;&gt;N/A",$G:$G,"&lt;&gt;N/A",$F:$F,"&lt;="&amp;_xlpm.p,$G:$G,"&gt;="&amp;_xlpm.p)))))</f>
        <v>2.5</v>
      </c>
      <c r="I688" t="s">
        <v>1350</v>
      </c>
      <c r="J688" s="5" t="s">
        <v>1514</v>
      </c>
      <c r="K688" s="5" t="s">
        <v>4989</v>
      </c>
      <c r="L688" s="5" t="s">
        <v>7589</v>
      </c>
      <c r="M688" s="5" t="s">
        <v>7</v>
      </c>
      <c r="N688" s="5" t="s">
        <v>7</v>
      </c>
      <c r="O688" t="s">
        <v>778</v>
      </c>
      <c r="P688" t="s">
        <v>7834</v>
      </c>
      <c r="R688" s="1" t="b">
        <v>1</v>
      </c>
    </row>
    <row r="689" spans="1:18">
      <c r="A689" t="s">
        <v>3025</v>
      </c>
      <c r="B689" t="s">
        <v>11365</v>
      </c>
      <c r="C689" s="5" t="s">
        <v>7826</v>
      </c>
      <c r="D689" s="1">
        <v>6</v>
      </c>
      <c r="E689" s="1">
        <v>11</v>
      </c>
      <c r="F689" s="1">
        <v>452</v>
      </c>
      <c r="G689" s="1">
        <v>472</v>
      </c>
      <c r="H689" s="13" cm="1">
        <f t="array" ref="H689">_xlfn.LET(_xlpm.s,IFERROR(--F689,""),_xlpm.e,IFERROR(--G689,""),IF(OR(_xlpm.s="",_xlpm.e="",_xlpm.e&lt;_xlpm.s),"",_xlfn.LET(_xlpm.p,_xlfn.SEQUENCE(_xlpm.e-_xlpm.s+1,1,_xlpm.s,1),SUM(1/COUNTIFS($D:$D,D689,$E:$E,E689,$F:$F,"&lt;&gt;N/A",$G:$G,"&lt;&gt;N/A",$F:$F,"&lt;="&amp;_xlpm.p,$G:$G,"&gt;="&amp;_xlpm.p)))))</f>
        <v>20.5</v>
      </c>
      <c r="I689" t="s">
        <v>1350</v>
      </c>
      <c r="J689" s="5" t="s">
        <v>1515</v>
      </c>
      <c r="K689" s="5" t="s">
        <v>1511</v>
      </c>
      <c r="L689" s="5" t="s">
        <v>7</v>
      </c>
      <c r="M689" s="5" t="s">
        <v>7</v>
      </c>
      <c r="N689" s="5" t="s">
        <v>7</v>
      </c>
      <c r="O689" t="s">
        <v>778</v>
      </c>
      <c r="P689" t="s">
        <v>7834</v>
      </c>
      <c r="R689" s="1" t="b">
        <v>1</v>
      </c>
    </row>
    <row r="690" spans="1:18">
      <c r="A690" t="s">
        <v>3025</v>
      </c>
      <c r="B690" t="s">
        <v>11366</v>
      </c>
      <c r="C690" s="5" t="s">
        <v>7826</v>
      </c>
      <c r="D690" s="1">
        <v>6</v>
      </c>
      <c r="E690" s="1">
        <v>11</v>
      </c>
      <c r="F690" s="1">
        <v>472</v>
      </c>
      <c r="G690" s="1">
        <v>485</v>
      </c>
      <c r="H690" s="13" cm="1">
        <f t="array" ref="H690">_xlfn.LET(_xlpm.s,IFERROR(--F690,""),_xlpm.e,IFERROR(--G690,""),IF(OR(_xlpm.s="",_xlpm.e="",_xlpm.e&lt;_xlpm.s),"",_xlfn.LET(_xlpm.p,_xlfn.SEQUENCE(_xlpm.e-_xlpm.s+1,1,_xlpm.s,1),SUM(1/COUNTIFS($D:$D,D690,$E:$E,E690,$F:$F,"&lt;&gt;N/A",$G:$G,"&lt;&gt;N/A",$F:$F,"&lt;="&amp;_xlpm.p,$G:$G,"&gt;="&amp;_xlpm.p)))))</f>
        <v>13</v>
      </c>
      <c r="I690" t="s">
        <v>1506</v>
      </c>
      <c r="J690" s="5" t="s">
        <v>7579</v>
      </c>
      <c r="K690" s="5" t="s">
        <v>4988</v>
      </c>
      <c r="L690" s="5" t="s">
        <v>7580</v>
      </c>
      <c r="M690" s="5" t="s">
        <v>7183</v>
      </c>
      <c r="N690" s="5" t="s">
        <v>2076</v>
      </c>
      <c r="O690" t="s">
        <v>5072</v>
      </c>
      <c r="P690" t="s">
        <v>8021</v>
      </c>
      <c r="Q690" s="5" t="s">
        <v>2509</v>
      </c>
      <c r="R690" s="1" t="b">
        <v>1</v>
      </c>
    </row>
    <row r="691" spans="1:18">
      <c r="A691" t="s">
        <v>3025</v>
      </c>
      <c r="B691" t="s">
        <v>11367</v>
      </c>
      <c r="C691" s="5" t="s">
        <v>7826</v>
      </c>
      <c r="D691" s="1">
        <v>6</v>
      </c>
      <c r="E691" s="1">
        <v>11</v>
      </c>
      <c r="F691" s="1">
        <v>485</v>
      </c>
      <c r="G691" s="1">
        <v>487</v>
      </c>
      <c r="H691" s="13" cm="1">
        <f t="array" ref="H691">_xlfn.LET(_xlpm.s,IFERROR(--F691,""),_xlpm.e,IFERROR(--G691,""),IF(OR(_xlpm.s="",_xlpm.e="",_xlpm.e&lt;_xlpm.s),"",_xlfn.LET(_xlpm.p,_xlfn.SEQUENCE(_xlpm.e-_xlpm.s+1,1,_xlpm.s,1),SUM(1/COUNTIFS($D:$D,D691,$E:$E,E691,$F:$F,"&lt;&gt;N/A",$G:$G,"&lt;&gt;N/A",$F:$F,"&lt;="&amp;_xlpm.p,$G:$G,"&gt;="&amp;_xlpm.p)))))</f>
        <v>1.8333333333333333</v>
      </c>
      <c r="I691" t="s">
        <v>1506</v>
      </c>
      <c r="J691" s="5" t="s">
        <v>7498</v>
      </c>
      <c r="K691" s="5" t="s">
        <v>4990</v>
      </c>
      <c r="L691" s="5" t="s">
        <v>4991</v>
      </c>
      <c r="M691" t="s">
        <v>7553</v>
      </c>
      <c r="N691" s="5" t="s">
        <v>2077</v>
      </c>
      <c r="O691" t="s">
        <v>5072</v>
      </c>
      <c r="P691" t="s">
        <v>8021</v>
      </c>
      <c r="R691" s="1" t="b">
        <v>1</v>
      </c>
    </row>
    <row r="692" spans="1:18">
      <c r="A692" t="s">
        <v>3025</v>
      </c>
      <c r="B692" t="s">
        <v>11368</v>
      </c>
      <c r="C692" s="5" t="s">
        <v>7826</v>
      </c>
      <c r="D692" s="1">
        <v>6</v>
      </c>
      <c r="E692" s="1">
        <v>11</v>
      </c>
      <c r="F692" s="1">
        <v>487</v>
      </c>
      <c r="G692" s="1">
        <v>487</v>
      </c>
      <c r="H692" s="13" cm="1">
        <f t="array" ref="H692">_xlfn.LET(_xlpm.s,IFERROR(--F692,""),_xlpm.e,IFERROR(--G692,""),IF(OR(_xlpm.s="",_xlpm.e="",_xlpm.e&lt;_xlpm.s),"",_xlfn.LET(_xlpm.p,_xlfn.SEQUENCE(_xlpm.e-_xlpm.s+1,1,_xlpm.s,1),SUM(1/COUNTIFS($D:$D,D692,$E:$E,E692,$F:$F,"&lt;&gt;N/A",$G:$G,"&lt;&gt;N/A",$F:$F,"&lt;="&amp;_xlpm.p,$G:$G,"&gt;="&amp;_xlpm.p)))))</f>
        <v>0.33333333333333331</v>
      </c>
      <c r="I692" t="s">
        <v>1506</v>
      </c>
      <c r="J692" s="5" t="s">
        <v>1517</v>
      </c>
      <c r="K692" s="5" t="s">
        <v>4992</v>
      </c>
      <c r="L692" s="5" t="s">
        <v>7</v>
      </c>
      <c r="M692" t="s">
        <v>7539</v>
      </c>
      <c r="N692" s="5" t="s">
        <v>2679</v>
      </c>
      <c r="O692" t="s">
        <v>11522</v>
      </c>
      <c r="P692" t="s">
        <v>8021</v>
      </c>
      <c r="R692" s="1" t="b">
        <v>1</v>
      </c>
    </row>
    <row r="693" spans="1:18">
      <c r="A693" t="s">
        <v>3025</v>
      </c>
      <c r="B693" t="s">
        <v>11369</v>
      </c>
      <c r="C693" s="5" t="s">
        <v>7826</v>
      </c>
      <c r="D693" s="1">
        <v>6</v>
      </c>
      <c r="E693" s="1">
        <v>11</v>
      </c>
      <c r="F693" s="1">
        <v>487</v>
      </c>
      <c r="G693" s="1">
        <v>488</v>
      </c>
      <c r="H693" s="13" cm="1">
        <f t="array" ref="H693">_xlfn.LET(_xlpm.s,IFERROR(--F693,""),_xlpm.e,IFERROR(--G693,""),IF(OR(_xlpm.s="",_xlpm.e="",_xlpm.e&lt;_xlpm.s),"",_xlfn.LET(_xlpm.p,_xlfn.SEQUENCE(_xlpm.e-_xlpm.s+1,1,_xlpm.s,1),SUM(1/COUNTIFS($D:$D,D693,$E:$E,E693,$F:$F,"&lt;&gt;N/A",$G:$G,"&lt;&gt;N/A",$F:$F,"&lt;="&amp;_xlpm.p,$G:$G,"&gt;="&amp;_xlpm.p)))))</f>
        <v>0.83333333333333326</v>
      </c>
      <c r="I693" t="s">
        <v>1506</v>
      </c>
      <c r="J693" s="5" t="s">
        <v>1516</v>
      </c>
      <c r="K693" s="5" t="s">
        <v>4993</v>
      </c>
      <c r="L693" s="5" t="s">
        <v>4994</v>
      </c>
      <c r="M693" t="s">
        <v>7539</v>
      </c>
      <c r="N693" s="5" t="s">
        <v>4484</v>
      </c>
      <c r="O693" t="s">
        <v>11522</v>
      </c>
      <c r="P693" t="s">
        <v>8021</v>
      </c>
      <c r="R693" s="1" t="b">
        <v>1</v>
      </c>
    </row>
    <row r="694" spans="1:18">
      <c r="A694" t="s">
        <v>3025</v>
      </c>
      <c r="B694" t="s">
        <v>11370</v>
      </c>
      <c r="C694" s="5" t="s">
        <v>7826</v>
      </c>
      <c r="D694" s="1">
        <v>6</v>
      </c>
      <c r="E694" s="1">
        <v>11</v>
      </c>
      <c r="F694" s="1">
        <v>488</v>
      </c>
      <c r="G694" s="1">
        <v>488</v>
      </c>
      <c r="H694" s="13" cm="1">
        <f t="array" ref="H694">_xlfn.LET(_xlpm.s,IFERROR(--F694,""),_xlpm.e,IFERROR(--G694,""),IF(OR(_xlpm.s="",_xlpm.e="",_xlpm.e&lt;_xlpm.s),"",_xlfn.LET(_xlpm.p,_xlfn.SEQUENCE(_xlpm.e-_xlpm.s+1,1,_xlpm.s,1),SUM(1/COUNTIFS($D:$D,D694,$E:$E,E694,$F:$F,"&lt;&gt;N/A",$G:$G,"&lt;&gt;N/A",$F:$F,"&lt;="&amp;_xlpm.p,$G:$G,"&gt;="&amp;_xlpm.p)))))</f>
        <v>0.5</v>
      </c>
      <c r="I694" t="s">
        <v>1506</v>
      </c>
      <c r="J694" s="5" t="s">
        <v>1518</v>
      </c>
      <c r="K694" s="5" t="s">
        <v>4995</v>
      </c>
      <c r="L694" s="5" t="s">
        <v>7</v>
      </c>
      <c r="M694" t="s">
        <v>7539</v>
      </c>
      <c r="N694" s="5" t="s">
        <v>7603</v>
      </c>
      <c r="O694" t="s">
        <v>11522</v>
      </c>
      <c r="P694" t="s">
        <v>8021</v>
      </c>
      <c r="R694" s="1" t="b">
        <v>1</v>
      </c>
    </row>
    <row r="695" spans="1:18">
      <c r="A695" t="s">
        <v>3025</v>
      </c>
      <c r="B695" t="s">
        <v>11371</v>
      </c>
      <c r="C695" s="5" t="s">
        <v>7827</v>
      </c>
      <c r="D695" s="1">
        <v>6</v>
      </c>
      <c r="E695" s="1">
        <v>12</v>
      </c>
      <c r="F695" s="1">
        <v>489</v>
      </c>
      <c r="G695" s="1">
        <v>500</v>
      </c>
      <c r="H695" s="13" cm="1">
        <f t="array" ref="H695">_xlfn.LET(_xlpm.s,IFERROR(--F695,""),_xlpm.e,IFERROR(--G695,""),IF(OR(_xlpm.s="",_xlpm.e="",_xlpm.e&lt;_xlpm.s),"",_xlfn.LET(_xlpm.p,_xlfn.SEQUENCE(_xlpm.e-_xlpm.s+1,1,_xlpm.s,1),SUM(1/COUNTIFS($D:$D,D695,$E:$E,E695,$F:$F,"&lt;&gt;N/A",$G:$G,"&lt;&gt;N/A",$F:$F,"&lt;="&amp;_xlpm.p,$G:$G,"&gt;="&amp;_xlpm.p)))))</f>
        <v>11.5</v>
      </c>
      <c r="I695" t="s">
        <v>1519</v>
      </c>
      <c r="J695" s="5" t="s">
        <v>1520</v>
      </c>
      <c r="K695" s="5" t="s">
        <v>1280</v>
      </c>
      <c r="L695" s="5" t="s">
        <v>7</v>
      </c>
      <c r="M695" s="5" t="s">
        <v>7</v>
      </c>
      <c r="N695" s="5" t="s">
        <v>7</v>
      </c>
      <c r="O695" t="s">
        <v>778</v>
      </c>
      <c r="P695" t="s">
        <v>7834</v>
      </c>
      <c r="R695" s="1" t="b">
        <v>1</v>
      </c>
    </row>
    <row r="696" spans="1:18">
      <c r="A696" t="s">
        <v>3025</v>
      </c>
      <c r="B696" t="s">
        <v>11372</v>
      </c>
      <c r="C696" s="5" t="s">
        <v>7827</v>
      </c>
      <c r="D696" s="1">
        <v>6</v>
      </c>
      <c r="E696" s="1">
        <v>12</v>
      </c>
      <c r="F696" s="1">
        <v>500</v>
      </c>
      <c r="G696" s="1">
        <v>501</v>
      </c>
      <c r="H696" s="13" cm="1">
        <f t="array" ref="H696">_xlfn.LET(_xlpm.s,IFERROR(--F696,""),_xlpm.e,IFERROR(--G696,""),IF(OR(_xlpm.s="",_xlpm.e="",_xlpm.e&lt;_xlpm.s),"",_xlfn.LET(_xlpm.p,_xlfn.SEQUENCE(_xlpm.e-_xlpm.s+1,1,_xlpm.s,1),SUM(1/COUNTIFS($D:$D,D696,$E:$E,E696,$F:$F,"&lt;&gt;N/A",$G:$G,"&lt;&gt;N/A",$F:$F,"&lt;="&amp;_xlpm.p,$G:$G,"&gt;="&amp;_xlpm.p)))))</f>
        <v>1</v>
      </c>
      <c r="I696" t="s">
        <v>1519</v>
      </c>
      <c r="J696" s="5" t="s">
        <v>1521</v>
      </c>
      <c r="K696" s="5" t="s">
        <v>7</v>
      </c>
      <c r="L696" s="5" t="s">
        <v>4996</v>
      </c>
      <c r="M696" s="5" t="s">
        <v>7</v>
      </c>
      <c r="N696" s="5" t="s">
        <v>7</v>
      </c>
      <c r="O696" t="s">
        <v>778</v>
      </c>
      <c r="P696" t="s">
        <v>7834</v>
      </c>
      <c r="R696" s="1" t="b">
        <v>1</v>
      </c>
    </row>
    <row r="697" spans="1:18">
      <c r="A697" t="s">
        <v>3025</v>
      </c>
      <c r="B697" t="s">
        <v>11373</v>
      </c>
      <c r="C697" s="5" t="s">
        <v>7827</v>
      </c>
      <c r="D697" s="1">
        <v>6</v>
      </c>
      <c r="E697" s="1">
        <v>12</v>
      </c>
      <c r="F697" s="1">
        <v>501</v>
      </c>
      <c r="G697" s="1">
        <v>506</v>
      </c>
      <c r="H697" s="13" cm="1">
        <f t="array" ref="H697">_xlfn.LET(_xlpm.s,IFERROR(--F697,""),_xlpm.e,IFERROR(--G697,""),IF(OR(_xlpm.s="",_xlpm.e="",_xlpm.e&lt;_xlpm.s),"",_xlfn.LET(_xlpm.p,_xlfn.SEQUENCE(_xlpm.e-_xlpm.s+1,1,_xlpm.s,1),SUM(1/COUNTIFS($D:$D,D697,$E:$E,E697,$F:$F,"&lt;&gt;N/A",$G:$G,"&lt;&gt;N/A",$F:$F,"&lt;="&amp;_xlpm.p,$G:$G,"&gt;="&amp;_xlpm.p)))))</f>
        <v>5.5</v>
      </c>
      <c r="I697" t="s">
        <v>1350</v>
      </c>
      <c r="J697" s="5" t="s">
        <v>1522</v>
      </c>
      <c r="K697" s="5" t="s">
        <v>7</v>
      </c>
      <c r="L697" s="5" t="s">
        <v>7</v>
      </c>
      <c r="M697" s="5" t="s">
        <v>7</v>
      </c>
      <c r="N697" s="5" t="s">
        <v>7</v>
      </c>
      <c r="O697" t="s">
        <v>778</v>
      </c>
      <c r="P697" t="s">
        <v>7834</v>
      </c>
      <c r="R697" s="1" t="b">
        <v>0</v>
      </c>
    </row>
    <row r="698" spans="1:18">
      <c r="A698" t="s">
        <v>3025</v>
      </c>
      <c r="B698" t="s">
        <v>11374</v>
      </c>
      <c r="C698" s="5" t="s">
        <v>7827</v>
      </c>
      <c r="D698" s="1">
        <v>6</v>
      </c>
      <c r="E698" s="1">
        <v>12</v>
      </c>
      <c r="F698" s="1">
        <v>507</v>
      </c>
      <c r="G698" s="1">
        <v>525</v>
      </c>
      <c r="H698" s="13" cm="1">
        <f t="array" ref="H698">_xlfn.LET(_xlpm.s,IFERROR(--F698,""),_xlpm.e,IFERROR(--G698,""),IF(OR(_xlpm.s="",_xlpm.e="",_xlpm.e&lt;_xlpm.s),"",_xlfn.LET(_xlpm.p,_xlfn.SEQUENCE(_xlpm.e-_xlpm.s+1,1,_xlpm.s,1),SUM(1/COUNTIFS($D:$D,D698,$E:$E,E698,$F:$F,"&lt;&gt;N/A",$G:$G,"&lt;&gt;N/A",$F:$F,"&lt;="&amp;_xlpm.p,$G:$G,"&gt;="&amp;_xlpm.p)))))</f>
        <v>18.5</v>
      </c>
      <c r="I698" t="s">
        <v>1350</v>
      </c>
      <c r="J698" s="5" t="s">
        <v>1523</v>
      </c>
      <c r="K698" s="5" t="s">
        <v>1511</v>
      </c>
      <c r="L698" s="5" t="s">
        <v>7</v>
      </c>
      <c r="M698" s="5" t="s">
        <v>7</v>
      </c>
      <c r="N698" s="5" t="s">
        <v>7</v>
      </c>
      <c r="O698" t="s">
        <v>778</v>
      </c>
      <c r="P698" t="s">
        <v>7834</v>
      </c>
      <c r="R698" s="1" t="b">
        <v>1</v>
      </c>
    </row>
    <row r="699" spans="1:18">
      <c r="A699" t="s">
        <v>3025</v>
      </c>
      <c r="B699" t="s">
        <v>11375</v>
      </c>
      <c r="C699" s="5" t="s">
        <v>7827</v>
      </c>
      <c r="D699" s="1">
        <v>6</v>
      </c>
      <c r="E699" s="1">
        <v>12</v>
      </c>
      <c r="F699" s="1">
        <v>525</v>
      </c>
      <c r="G699" s="1">
        <v>527</v>
      </c>
      <c r="H699" s="13" cm="1">
        <f t="array" ref="H699">_xlfn.LET(_xlpm.s,IFERROR(--F699,""),_xlpm.e,IFERROR(--G699,""),IF(OR(_xlpm.s="",_xlpm.e="",_xlpm.e&lt;_xlpm.s),"",_xlfn.LET(_xlpm.p,_xlfn.SEQUENCE(_xlpm.e-_xlpm.s+1,1,_xlpm.s,1),SUM(1/COUNTIFS($D:$D,D699,$E:$E,E699,$F:$F,"&lt;&gt;N/A",$G:$G,"&lt;&gt;N/A",$F:$F,"&lt;="&amp;_xlpm.p,$G:$G,"&gt;="&amp;_xlpm.p)))))</f>
        <v>2</v>
      </c>
      <c r="I699" t="s">
        <v>1506</v>
      </c>
      <c r="J699" s="5" t="s">
        <v>1524</v>
      </c>
      <c r="K699" s="5" t="s">
        <v>7</v>
      </c>
      <c r="L699" s="5" t="s">
        <v>4997</v>
      </c>
      <c r="M699" t="s">
        <v>7478</v>
      </c>
      <c r="N699" s="5" t="s">
        <v>7604</v>
      </c>
      <c r="O699" t="s">
        <v>5072</v>
      </c>
      <c r="P699" t="s">
        <v>8021</v>
      </c>
      <c r="R699" s="1" t="b">
        <v>1</v>
      </c>
    </row>
    <row r="700" spans="1:18">
      <c r="A700" t="s">
        <v>3025</v>
      </c>
      <c r="B700" t="s">
        <v>11376</v>
      </c>
      <c r="C700" s="5" t="s">
        <v>7827</v>
      </c>
      <c r="D700" s="1">
        <v>6</v>
      </c>
      <c r="E700" s="1">
        <v>12</v>
      </c>
      <c r="F700" s="1">
        <v>527</v>
      </c>
      <c r="G700" s="1">
        <v>529</v>
      </c>
      <c r="H700" s="13" cm="1">
        <f t="array" ref="H700">_xlfn.LET(_xlpm.s,IFERROR(--F700,""),_xlpm.e,IFERROR(--G700,""),IF(OR(_xlpm.s="",_xlpm.e="",_xlpm.e&lt;_xlpm.s),"",_xlfn.LET(_xlpm.p,_xlfn.SEQUENCE(_xlpm.e-_xlpm.s+1,1,_xlpm.s,1),SUM(1/COUNTIFS($D:$D,D700,$E:$E,E700,$F:$F,"&lt;&gt;N/A",$G:$G,"&lt;&gt;N/A",$F:$F,"&lt;="&amp;_xlpm.p,$G:$G,"&gt;="&amp;_xlpm.p)))))</f>
        <v>2</v>
      </c>
      <c r="I700" t="s">
        <v>1506</v>
      </c>
      <c r="J700" s="5" t="s">
        <v>1525</v>
      </c>
      <c r="K700" s="5" t="s">
        <v>7</v>
      </c>
      <c r="L700" s="5" t="s">
        <v>4998</v>
      </c>
      <c r="M700" s="5" t="s">
        <v>7</v>
      </c>
      <c r="N700" s="5" t="s">
        <v>2671</v>
      </c>
      <c r="O700" t="s">
        <v>11522</v>
      </c>
      <c r="P700" t="s">
        <v>8021</v>
      </c>
      <c r="R700" s="1" t="b">
        <v>1</v>
      </c>
    </row>
    <row r="701" spans="1:18">
      <c r="A701" t="s">
        <v>3025</v>
      </c>
      <c r="B701" t="s">
        <v>11377</v>
      </c>
      <c r="C701" s="5" t="s">
        <v>7827</v>
      </c>
      <c r="D701" s="1">
        <v>6</v>
      </c>
      <c r="E701" s="1">
        <v>12</v>
      </c>
      <c r="F701" s="1">
        <v>529</v>
      </c>
      <c r="G701" s="1">
        <v>531</v>
      </c>
      <c r="H701" s="13" cm="1">
        <f t="array" ref="H701">_xlfn.LET(_xlpm.s,IFERROR(--F701,""),_xlpm.e,IFERROR(--G701,""),IF(OR(_xlpm.s="",_xlpm.e="",_xlpm.e&lt;_xlpm.s),"",_xlfn.LET(_xlpm.p,_xlfn.SEQUENCE(_xlpm.e-_xlpm.s+1,1,_xlpm.s,1),SUM(1/COUNTIFS($D:$D,D701,$E:$E,E701,$F:$F,"&lt;&gt;N/A",$G:$G,"&lt;&gt;N/A",$F:$F,"&lt;="&amp;_xlpm.p,$G:$G,"&gt;="&amp;_xlpm.p)))))</f>
        <v>1.8333333333333333</v>
      </c>
      <c r="I701" t="s">
        <v>1506</v>
      </c>
      <c r="J701" t="s">
        <v>1526</v>
      </c>
      <c r="K701" s="5" t="s">
        <v>4992</v>
      </c>
      <c r="L701" s="5" t="s">
        <v>7</v>
      </c>
      <c r="M701" s="5" t="s">
        <v>7</v>
      </c>
      <c r="N701" s="5" t="s">
        <v>6330</v>
      </c>
      <c r="O701" t="s">
        <v>11522</v>
      </c>
      <c r="P701" t="s">
        <v>8021</v>
      </c>
      <c r="R701" s="1" t="b">
        <v>1</v>
      </c>
    </row>
    <row r="702" spans="1:18">
      <c r="A702" t="s">
        <v>3025</v>
      </c>
      <c r="B702" t="s">
        <v>11378</v>
      </c>
      <c r="C702" s="5" t="s">
        <v>7827</v>
      </c>
      <c r="D702" s="1">
        <v>6</v>
      </c>
      <c r="E702" s="1">
        <v>12</v>
      </c>
      <c r="F702" s="1">
        <v>531</v>
      </c>
      <c r="G702" s="1">
        <v>531</v>
      </c>
      <c r="H702" s="13" cm="1">
        <f t="array" ref="H702">_xlfn.LET(_xlpm.s,IFERROR(--F702,""),_xlpm.e,IFERROR(--G702,""),IF(OR(_xlpm.s="",_xlpm.e="",_xlpm.e&lt;_xlpm.s),"",_xlfn.LET(_xlpm.p,_xlfn.SEQUENCE(_xlpm.e-_xlpm.s+1,1,_xlpm.s,1),SUM(1/COUNTIFS($D:$D,D702,$E:$E,E702,$F:$F,"&lt;&gt;N/A",$G:$G,"&lt;&gt;N/A",$F:$F,"&lt;="&amp;_xlpm.p,$G:$G,"&gt;="&amp;_xlpm.p)))))</f>
        <v>0.33333333333333331</v>
      </c>
      <c r="I702" t="s">
        <v>1506</v>
      </c>
      <c r="J702" s="5" t="s">
        <v>1527</v>
      </c>
      <c r="K702" s="5" t="s">
        <v>4992</v>
      </c>
      <c r="L702" s="5" t="s">
        <v>7</v>
      </c>
      <c r="M702" s="5" t="s">
        <v>7</v>
      </c>
      <c r="N702" t="s">
        <v>10136</v>
      </c>
      <c r="O702" t="s">
        <v>11522</v>
      </c>
      <c r="P702" t="s">
        <v>8019</v>
      </c>
      <c r="R702" s="1" t="b">
        <v>1</v>
      </c>
    </row>
    <row r="703" spans="1:18">
      <c r="A703" t="s">
        <v>3025</v>
      </c>
      <c r="B703" t="s">
        <v>11379</v>
      </c>
      <c r="C703" s="5" t="s">
        <v>7827</v>
      </c>
      <c r="D703" s="1">
        <v>6</v>
      </c>
      <c r="E703" s="1">
        <v>12</v>
      </c>
      <c r="F703" s="1">
        <v>531</v>
      </c>
      <c r="G703" s="1">
        <v>532</v>
      </c>
      <c r="H703" s="13" cm="1">
        <f t="array" ref="H703">_xlfn.LET(_xlpm.s,IFERROR(--F703,""),_xlpm.e,IFERROR(--G703,""),IF(OR(_xlpm.s="",_xlpm.e="",_xlpm.e&lt;_xlpm.s),"",_xlfn.LET(_xlpm.p,_xlfn.SEQUENCE(_xlpm.e-_xlpm.s+1,1,_xlpm.s,1),SUM(1/COUNTIFS($D:$D,D703,$E:$E,E703,$F:$F,"&lt;&gt;N/A",$G:$G,"&lt;&gt;N/A",$F:$F,"&lt;="&amp;_xlpm.p,$G:$G,"&gt;="&amp;_xlpm.p)))))</f>
        <v>0.83333333333333326</v>
      </c>
      <c r="I703" t="s">
        <v>1506</v>
      </c>
      <c r="J703" s="5" t="s">
        <v>7582</v>
      </c>
      <c r="K703" s="5" t="s">
        <v>1932</v>
      </c>
      <c r="L703" s="5" t="s">
        <v>4999</v>
      </c>
      <c r="M703" s="5" t="s">
        <v>7</v>
      </c>
      <c r="N703" s="5" t="s">
        <v>7</v>
      </c>
      <c r="O703" t="s">
        <v>11522</v>
      </c>
      <c r="P703" t="s">
        <v>8020</v>
      </c>
      <c r="R703" s="1" t="b">
        <v>1</v>
      </c>
    </row>
    <row r="704" spans="1:18">
      <c r="A704" t="s">
        <v>3025</v>
      </c>
      <c r="B704" t="s">
        <v>11380</v>
      </c>
      <c r="C704" s="5" t="s">
        <v>7827</v>
      </c>
      <c r="D704" s="1">
        <v>6</v>
      </c>
      <c r="E704" s="1">
        <v>12</v>
      </c>
      <c r="F704" s="1">
        <v>532</v>
      </c>
      <c r="G704" s="1">
        <v>532</v>
      </c>
      <c r="H704" s="13" cm="1">
        <f t="array" ref="H704">_xlfn.LET(_xlpm.s,IFERROR(--F704,""),_xlpm.e,IFERROR(--G704,""),IF(OR(_xlpm.s="",_xlpm.e="",_xlpm.e&lt;_xlpm.s),"",_xlfn.LET(_xlpm.p,_xlfn.SEQUENCE(_xlpm.e-_xlpm.s+1,1,_xlpm.s,1),SUM(1/COUNTIFS($D:$D,D704,$E:$E,E704,$F:$F,"&lt;&gt;N/A",$G:$G,"&lt;&gt;N/A",$F:$F,"&lt;="&amp;_xlpm.p,$G:$G,"&gt;="&amp;_xlpm.p)))))</f>
        <v>0.5</v>
      </c>
      <c r="I704" t="s">
        <v>1506</v>
      </c>
      <c r="J704" s="5" t="s">
        <v>1528</v>
      </c>
      <c r="K704" s="5" t="s">
        <v>4992</v>
      </c>
      <c r="L704" s="5" t="s">
        <v>7</v>
      </c>
      <c r="M704" s="5" t="s">
        <v>7</v>
      </c>
      <c r="N704" s="5" t="s">
        <v>7</v>
      </c>
      <c r="O704" t="s">
        <v>11522</v>
      </c>
      <c r="P704" t="s">
        <v>8021</v>
      </c>
      <c r="Q704" t="s">
        <v>7581</v>
      </c>
      <c r="R704" s="1" t="b">
        <v>1</v>
      </c>
    </row>
  </sheetData>
  <phoneticPr fontId="1" type="noConversion"/>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5A512-6D89-446E-B988-67300D0C67B5}">
  <sheetPr codeName="Sheet13"/>
  <dimension ref="A1:R15"/>
  <sheetViews>
    <sheetView workbookViewId="0">
      <selection activeCell="K23" sqref="K23:K24"/>
    </sheetView>
  </sheetViews>
  <sheetFormatPr defaultColWidth="8.77734375" defaultRowHeight="14.4"/>
  <cols>
    <col min="1" max="2" width="5.77734375" customWidth="1"/>
    <col min="3" max="8" width="5.77734375" style="1" customWidth="1"/>
    <col min="9" max="11" width="5.77734375" customWidth="1"/>
    <col min="12" max="13" width="5.77734375" style="5" customWidth="1"/>
    <col min="14" max="14" width="5.77734375" customWidth="1"/>
    <col min="15" max="16" width="5.77734375" style="5" customWidth="1"/>
    <col min="17" max="17" width="5.77734375" customWidth="1"/>
    <col min="18" max="18" width="5.77734375" style="1" customWidth="1"/>
    <col min="19" max="19" width="8.77734375" customWidth="1"/>
  </cols>
  <sheetData>
    <row r="1" spans="1:18">
      <c r="A1" t="s">
        <v>3032</v>
      </c>
      <c r="B1" t="s">
        <v>3281</v>
      </c>
      <c r="C1" s="4" t="s">
        <v>41</v>
      </c>
      <c r="D1" s="2" t="s">
        <v>3282</v>
      </c>
      <c r="E1" s="2" t="s">
        <v>34</v>
      </c>
      <c r="F1" s="2" t="s">
        <v>8031</v>
      </c>
      <c r="G1" s="2" t="s">
        <v>8032</v>
      </c>
      <c r="H1" s="2" t="s">
        <v>2530</v>
      </c>
      <c r="I1" s="2" t="s">
        <v>5</v>
      </c>
      <c r="J1" s="2" t="s">
        <v>4</v>
      </c>
      <c r="K1" s="4" t="s">
        <v>11402</v>
      </c>
      <c r="L1" s="5" t="s">
        <v>11401</v>
      </c>
      <c r="M1" s="4" t="s">
        <v>11400</v>
      </c>
      <c r="N1" s="4" t="s">
        <v>5006</v>
      </c>
      <c r="O1" s="4" t="s">
        <v>11506</v>
      </c>
      <c r="P1" s="4" t="s">
        <v>11403</v>
      </c>
      <c r="Q1" t="s">
        <v>1948</v>
      </c>
      <c r="R1" s="1" t="s">
        <v>2062</v>
      </c>
    </row>
    <row r="2" spans="1:18">
      <c r="A2" t="s">
        <v>3020</v>
      </c>
      <c r="B2" t="s">
        <v>4025</v>
      </c>
      <c r="C2" s="5" t="s">
        <v>7768</v>
      </c>
      <c r="D2" s="1">
        <v>1</v>
      </c>
      <c r="E2" s="1">
        <v>8</v>
      </c>
      <c r="F2" s="2">
        <v>113</v>
      </c>
      <c r="G2" s="2">
        <v>114</v>
      </c>
      <c r="H2" s="2" cm="1">
        <f t="array" ref="H2">_xlfn.LET(_xlpm.s,IFERROR(--F2,""),_xlpm.e,IFERROR(--G2,""),IF(OR(_xlpm.s="",_xlpm.e="",_xlpm.e&lt;_xlpm.s),"",_xlfn.LET(_xlpm.p,_xlfn.SEQUENCE(_xlpm.e-_xlpm.s+1,1,_xlpm.s,1),SUM(1/COUNTIFS($D:$D,D2,$E:$E,E2,$F:$F,"&lt;&gt;N/A",$G:$G,"&lt;&gt;N/A",$F:$F,"&lt;="&amp;_xlpm.p,$G:$G,"&gt;="&amp;_xlpm.p)))))</f>
        <v>2</v>
      </c>
      <c r="I2" s="4" t="s">
        <v>518</v>
      </c>
      <c r="J2" s="4" t="s">
        <v>519</v>
      </c>
      <c r="K2" s="4" t="s">
        <v>520</v>
      </c>
      <c r="L2" s="5" t="s">
        <v>7</v>
      </c>
      <c r="M2" s="5" t="s">
        <v>7</v>
      </c>
      <c r="N2" s="5" t="s">
        <v>1933</v>
      </c>
      <c r="O2" s="5" t="s">
        <v>5072</v>
      </c>
      <c r="P2" t="s">
        <v>8019</v>
      </c>
      <c r="R2" s="1" t="b">
        <v>0</v>
      </c>
    </row>
    <row r="3" spans="1:18">
      <c r="A3" t="s">
        <v>3020</v>
      </c>
      <c r="B3" t="s">
        <v>4026</v>
      </c>
      <c r="C3" s="5" t="s">
        <v>7768</v>
      </c>
      <c r="D3" s="1">
        <v>1</v>
      </c>
      <c r="E3" s="1">
        <v>8</v>
      </c>
      <c r="F3" s="1">
        <v>115</v>
      </c>
      <c r="G3" s="1">
        <v>117</v>
      </c>
      <c r="H3" s="2" cm="1">
        <f t="array" ref="H3">_xlfn.LET(_xlpm.s,IFERROR(--F3,""),_xlpm.e,IFERROR(--G3,""),IF(OR(_xlpm.s="",_xlpm.e="",_xlpm.e&lt;_xlpm.s),"",_xlfn.LET(_xlpm.p,_xlfn.SEQUENCE(_xlpm.e-_xlpm.s+1,1,_xlpm.s,1),SUM(1/COUNTIFS($D:$D,D3,$E:$E,E3,$F:$F,"&lt;&gt;N/A",$G:$G,"&lt;&gt;N/A",$F:$F,"&lt;="&amp;_xlpm.p,$G:$G,"&gt;="&amp;_xlpm.p)))))</f>
        <v>3</v>
      </c>
      <c r="I3" s="4" t="s">
        <v>518</v>
      </c>
      <c r="J3" t="s">
        <v>521</v>
      </c>
      <c r="K3" s="5" t="s">
        <v>7</v>
      </c>
      <c r="L3" s="5" t="s">
        <v>7</v>
      </c>
      <c r="M3" s="5" t="s">
        <v>7</v>
      </c>
      <c r="N3" s="5" t="s">
        <v>7</v>
      </c>
      <c r="O3" s="5" t="s">
        <v>778</v>
      </c>
      <c r="P3" t="s">
        <v>7834</v>
      </c>
      <c r="R3" s="1" t="b">
        <v>0</v>
      </c>
    </row>
    <row r="4" spans="1:18">
      <c r="A4" t="s">
        <v>3020</v>
      </c>
      <c r="B4" t="s">
        <v>4027</v>
      </c>
      <c r="C4" s="5" t="s">
        <v>7768</v>
      </c>
      <c r="D4" s="1">
        <v>1</v>
      </c>
      <c r="E4" s="1">
        <v>8</v>
      </c>
      <c r="F4" s="1">
        <v>118</v>
      </c>
      <c r="G4" s="1">
        <v>119</v>
      </c>
      <c r="H4" s="2" cm="1">
        <f t="array" ref="H4">_xlfn.LET(_xlpm.s,IFERROR(--F4,""),_xlpm.e,IFERROR(--G4,""),IF(OR(_xlpm.s="",_xlpm.e="",_xlpm.e&lt;_xlpm.s),"",_xlfn.LET(_xlpm.p,_xlfn.SEQUENCE(_xlpm.e-_xlpm.s+1,1,_xlpm.s,1),SUM(1/COUNTIFS($D:$D,D4,$E:$E,E4,$F:$F,"&lt;&gt;N/A",$G:$G,"&lt;&gt;N/A",$F:$F,"&lt;="&amp;_xlpm.p,$G:$G,"&gt;="&amp;_xlpm.p)))))</f>
        <v>1.5</v>
      </c>
      <c r="I4" s="4" t="s">
        <v>518</v>
      </c>
      <c r="J4" t="s">
        <v>522</v>
      </c>
      <c r="K4" s="5" t="s">
        <v>7</v>
      </c>
      <c r="L4" s="5" t="s">
        <v>7</v>
      </c>
      <c r="M4" s="5" t="s">
        <v>7</v>
      </c>
      <c r="N4" t="s">
        <v>8033</v>
      </c>
      <c r="O4" s="5" t="s">
        <v>10264</v>
      </c>
      <c r="P4" t="s">
        <v>8020</v>
      </c>
      <c r="R4" s="1" t="b">
        <v>0</v>
      </c>
    </row>
    <row r="5" spans="1:18">
      <c r="A5" t="s">
        <v>3020</v>
      </c>
      <c r="B5" t="s">
        <v>4028</v>
      </c>
      <c r="C5" s="5" t="s">
        <v>7768</v>
      </c>
      <c r="D5" s="1">
        <v>1</v>
      </c>
      <c r="E5" s="1">
        <v>8</v>
      </c>
      <c r="F5" s="1">
        <v>119</v>
      </c>
      <c r="G5" s="1">
        <v>124</v>
      </c>
      <c r="H5" s="2" cm="1">
        <f t="array" ref="H5">_xlfn.LET(_xlpm.s,IFERROR(--F5,""),_xlpm.e,IFERROR(--G5,""),IF(OR(_xlpm.s="",_xlpm.e="",_xlpm.e&lt;_xlpm.s),"",_xlfn.LET(_xlpm.p,_xlfn.SEQUENCE(_xlpm.e-_xlpm.s+1,1,_xlpm.s,1),SUM(1/COUNTIFS($D:$D,D5,$E:$E,E5,$F:$F,"&lt;&gt;N/A",$G:$G,"&lt;&gt;N/A",$F:$F,"&lt;="&amp;_xlpm.p,$G:$G,"&gt;="&amp;_xlpm.p)))))</f>
        <v>5</v>
      </c>
      <c r="I5" s="4" t="s">
        <v>6317</v>
      </c>
      <c r="J5" t="s">
        <v>6716</v>
      </c>
      <c r="K5" s="5" t="s">
        <v>7</v>
      </c>
      <c r="L5" s="5" t="s">
        <v>7</v>
      </c>
      <c r="M5" s="5" t="s">
        <v>5016</v>
      </c>
      <c r="N5" s="5" t="s">
        <v>5015</v>
      </c>
      <c r="O5" s="5" t="s">
        <v>11522</v>
      </c>
      <c r="P5" t="s">
        <v>8021</v>
      </c>
      <c r="R5" s="1" t="b">
        <v>1</v>
      </c>
    </row>
    <row r="6" spans="1:18">
      <c r="A6" t="s">
        <v>3020</v>
      </c>
      <c r="B6" t="s">
        <v>4029</v>
      </c>
      <c r="C6" s="5" t="s">
        <v>7768</v>
      </c>
      <c r="D6" s="1">
        <v>1</v>
      </c>
      <c r="E6" s="1">
        <v>8</v>
      </c>
      <c r="F6" s="1">
        <v>124</v>
      </c>
      <c r="G6" s="1">
        <v>125</v>
      </c>
      <c r="H6" s="2" cm="1">
        <f t="array" ref="H6">_xlfn.LET(_xlpm.s,IFERROR(--F6,""),_xlpm.e,IFERROR(--G6,""),IF(OR(_xlpm.s="",_xlpm.e="",_xlpm.e&lt;_xlpm.s),"",_xlfn.LET(_xlpm.p,_xlfn.SEQUENCE(_xlpm.e-_xlpm.s+1,1,_xlpm.s,1),SUM(1/COUNTIFS($D:$D,D6,$E:$E,E6,$F:$F,"&lt;&gt;N/A",$G:$G,"&lt;&gt;N/A",$F:$F,"&lt;="&amp;_xlpm.p,$G:$G,"&gt;="&amp;_xlpm.p)))))</f>
        <v>0.75</v>
      </c>
      <c r="I6" s="4" t="s">
        <v>6318</v>
      </c>
      <c r="J6" t="s">
        <v>6319</v>
      </c>
      <c r="K6" s="5" t="s">
        <v>7</v>
      </c>
      <c r="L6" s="5" t="s">
        <v>7</v>
      </c>
      <c r="M6" t="s">
        <v>6324</v>
      </c>
      <c r="N6" s="5" t="s">
        <v>6325</v>
      </c>
      <c r="O6" s="5" t="s">
        <v>5072</v>
      </c>
      <c r="P6" t="s">
        <v>8021</v>
      </c>
      <c r="R6" s="1" t="b">
        <v>1</v>
      </c>
    </row>
    <row r="7" spans="1:18">
      <c r="A7" t="s">
        <v>3020</v>
      </c>
      <c r="B7" t="s">
        <v>4030</v>
      </c>
      <c r="C7" s="5" t="s">
        <v>7768</v>
      </c>
      <c r="D7" s="1">
        <v>1</v>
      </c>
      <c r="E7" s="1">
        <v>8</v>
      </c>
      <c r="F7" s="1">
        <v>125</v>
      </c>
      <c r="G7" s="1">
        <v>125</v>
      </c>
      <c r="H7" s="2" cm="1">
        <f t="array" ref="H7">_xlfn.LET(_xlpm.s,IFERROR(--F7,""),_xlpm.e,IFERROR(--G7,""),IF(OR(_xlpm.s="",_xlpm.e="",_xlpm.e&lt;_xlpm.s),"",_xlfn.LET(_xlpm.p,_xlfn.SEQUENCE(_xlpm.e-_xlpm.s+1,1,_xlpm.s,1),SUM(1/COUNTIFS($D:$D,D7,$E:$E,E7,$F:$F,"&lt;&gt;N/A",$G:$G,"&lt;&gt;N/A",$F:$F,"&lt;="&amp;_xlpm.p,$G:$G,"&gt;="&amp;_xlpm.p)))))</f>
        <v>0.25</v>
      </c>
      <c r="I7" s="4" t="s">
        <v>6318</v>
      </c>
      <c r="J7" t="s">
        <v>6316</v>
      </c>
      <c r="K7" s="5" t="s">
        <v>7</v>
      </c>
      <c r="L7" s="5" t="s">
        <v>7</v>
      </c>
      <c r="M7" t="s">
        <v>6324</v>
      </c>
      <c r="N7" s="5" t="s">
        <v>6326</v>
      </c>
      <c r="O7" s="5" t="s">
        <v>5072</v>
      </c>
      <c r="P7" t="s">
        <v>8021</v>
      </c>
      <c r="R7" s="1" t="b">
        <v>1</v>
      </c>
    </row>
    <row r="8" spans="1:18">
      <c r="A8" t="s">
        <v>3020</v>
      </c>
      <c r="B8" t="s">
        <v>6320</v>
      </c>
      <c r="C8" s="5" t="s">
        <v>7768</v>
      </c>
      <c r="D8" s="1">
        <v>1</v>
      </c>
      <c r="E8" s="1">
        <v>8</v>
      </c>
      <c r="F8" s="1">
        <v>125</v>
      </c>
      <c r="G8" s="1">
        <v>125</v>
      </c>
      <c r="H8" s="2" cm="1">
        <f t="array" ref="H8">_xlfn.LET(_xlpm.s,IFERROR(--F8,""),_xlpm.e,IFERROR(--G8,""),IF(OR(_xlpm.s="",_xlpm.e="",_xlpm.e&lt;_xlpm.s),"",_xlfn.LET(_xlpm.p,_xlfn.SEQUENCE(_xlpm.e-_xlpm.s+1,1,_xlpm.s,1),SUM(1/COUNTIFS($D:$D,D8,$E:$E,E8,$F:$F,"&lt;&gt;N/A",$G:$G,"&lt;&gt;N/A",$F:$F,"&lt;="&amp;_xlpm.p,$G:$G,"&gt;="&amp;_xlpm.p)))))</f>
        <v>0.25</v>
      </c>
      <c r="I8" s="4" t="s">
        <v>6318</v>
      </c>
      <c r="J8" t="s">
        <v>6315</v>
      </c>
      <c r="K8" s="5" t="s">
        <v>7</v>
      </c>
      <c r="L8" s="5" t="s">
        <v>7</v>
      </c>
      <c r="M8" s="5" t="s">
        <v>6314</v>
      </c>
      <c r="N8" s="5" t="s">
        <v>6322</v>
      </c>
      <c r="O8" s="5" t="s">
        <v>5072</v>
      </c>
      <c r="P8" t="s">
        <v>8021</v>
      </c>
      <c r="R8" s="1" t="b">
        <v>1</v>
      </c>
    </row>
    <row r="9" spans="1:18">
      <c r="A9" t="s">
        <v>3020</v>
      </c>
      <c r="B9" t="s">
        <v>6321</v>
      </c>
      <c r="C9" s="5" t="s">
        <v>7768</v>
      </c>
      <c r="D9" s="1">
        <v>1</v>
      </c>
      <c r="E9" s="1">
        <v>8</v>
      </c>
      <c r="F9" s="1">
        <v>125</v>
      </c>
      <c r="G9" s="1">
        <v>128</v>
      </c>
      <c r="H9" s="2" cm="1">
        <f t="array" ref="H9">_xlfn.LET(_xlpm.s,IFERROR(--F9,""),_xlpm.e,IFERROR(--G9,""),IF(OR(_xlpm.s="",_xlpm.e="",_xlpm.e&lt;_xlpm.s),"",_xlfn.LET(_xlpm.p,_xlfn.SEQUENCE(_xlpm.e-_xlpm.s+1,1,_xlpm.s,1),SUM(1/COUNTIFS($D:$D,D9,$E:$E,E9,$F:$F,"&lt;&gt;N/A",$G:$G,"&lt;&gt;N/A",$F:$F,"&lt;="&amp;_xlpm.p,$G:$G,"&gt;="&amp;_xlpm.p)))))</f>
        <v>3.25</v>
      </c>
      <c r="I9" s="4" t="s">
        <v>524</v>
      </c>
      <c r="J9" t="s">
        <v>525</v>
      </c>
      <c r="K9" s="5" t="s">
        <v>7</v>
      </c>
      <c r="L9" s="5" t="s">
        <v>7</v>
      </c>
      <c r="M9" s="5" t="s">
        <v>7</v>
      </c>
      <c r="N9" s="5" t="s">
        <v>7</v>
      </c>
      <c r="O9" s="5" t="s">
        <v>778</v>
      </c>
      <c r="P9" t="s">
        <v>7834</v>
      </c>
      <c r="R9" s="1" t="b">
        <v>0</v>
      </c>
    </row>
    <row r="10" spans="1:18">
      <c r="N10" s="5"/>
    </row>
    <row r="12" spans="1:18">
      <c r="K12" s="5"/>
    </row>
    <row r="15" spans="1:18">
      <c r="K15" s="5"/>
    </row>
  </sheetData>
  <phoneticPr fontId="1"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Corpus B</vt:lpstr>
      <vt:lpstr>Corpus A</vt:lpstr>
      <vt:lpstr>Overview</vt:lpstr>
      <vt:lpstr>1. OP</vt:lpstr>
      <vt:lpstr>2. JSEL</vt:lpstr>
      <vt:lpstr>3. PSM</vt:lpstr>
      <vt:lpstr>4. SSP</vt:lpstr>
      <vt:lpstr>5. JSACI</vt:lpstr>
      <vt:lpstr>6. AIN</vt:lpstr>
      <vt:lpstr>7. MS</vt:lpstr>
      <vt:lpstr>8. DS</vt:lpstr>
      <vt:lpstr>9. RMF</vt:lpstr>
      <vt:lpstr>10. PCU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2026-02-14T07:59:38Z</dcterms:created>
  <dcterms:modified xsi:type="dcterms:W3CDTF">2026-05-19T22:02:36Z</dcterms:modified>
</cp:coreProperties>
</file>